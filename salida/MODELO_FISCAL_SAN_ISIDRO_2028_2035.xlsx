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<sst xmlns="http://schemas.openxmlformats.org/spreadsheetml/2006/main" count="1577" uniqueCount="770">
  <si>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</si>
  <si>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</si>
  <si>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</si>
  <si>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</si>
  <si>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</si>
  <si>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</si>
  <si>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</si>
  <si>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</si>
  <si>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</si>
  <si>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</si>
  <si>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</si>
  <si>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</si>
  <si>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</si>
  <si>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</si>
  <si>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</si>
  <si>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</si>
  <si>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</si>
  <si>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el mantenimiento de habilitaciones —6.863 M en régimen, y la inversión de 1.200 M una vez—, la plataforma y el semillero —dentro de Ciencia y Técnica, 22,0%—, las pasantías de las áreas —2.135,3 M—, los cuidadores de Desarrollo Social —667,8 M—,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</si>
  <si>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</si>
  <si>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</si>
  <si>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</si>
  <si>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</si>
  <si>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</si>
  <si>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</si>
  <si>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</si>
  <si>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</si>
  <si>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</si>
  <si>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</si>
  <si>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</si>
  <si>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</si>
  <si>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</si>
  <si>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</si>
  <si>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</si>
  <si>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</si>
  <si>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</si>
  <si>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</si>
  <si>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</si>
  <si>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</si>
  <si>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</si>
  <si>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</si>
  <si>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</si>
  <si>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</si>
  <si>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</si>
  <si>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</si>
  <si>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</si>
  <si>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</si>
  <si>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</si>
  <si>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</si>
  <si>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</si>
  <si>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</si>
  <si>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</si>
  <si>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</si>
  <si>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</si>
  <si>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</si>
  <si>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</si>
  <si>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</si>
  <si>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</si>
  <si>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</si>
  <si>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</si>
  <si>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</si>
  <si>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</si>
  <si>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</si>
  <si>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</si>
  <si>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</si>
  <si>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</si>
  <si>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</si>
  <si>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</si>
  <si>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</si>
  <si>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</si>
  <si>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</si>
  <si>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</si>
  <si>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</si>
  <si>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</si>
  <si>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</si>
  <si>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</si>
  <si>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</si>
  <si>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</si>
  <si>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</si>
  <si>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</si>
  <si>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</si>
  <si>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</si>
  <si>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</si>
  <si>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</si>
  <si>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</si>
  <si>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</si>
  <si>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</si>
  <si>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</si>
  <si>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</si>
  <si>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</si>
  <si>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</si>
  <si>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</si>
  <si>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</si>
  <si>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</si>
  <si>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</si>
  <si>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</si>
  <si>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</si>
  <si>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</si>
  <si>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</si>
  <si>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</si>
  <si>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</si>
  <si>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</si>
  <si>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</si>
  <si>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</si>
  <si>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</si>
  <si>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</si>
  <si>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</si>
  <si>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</si>
  <si>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</si>
  <si>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</si>
  <si>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</si>
  <si>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</si>
  <si>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</si>
  <si>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</si>
  <si>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</si>
  <si>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</si>
  <si>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</si>
  <si>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</si>
  <si>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</si>
  <si>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</si>
  <si>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</si>
  <si>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</si>
  <si>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</si>
  <si>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</si>
  <si>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</si>
  <si>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</si>
  <si>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</si>
  <si>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</si>
  <si>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</si>
  <si>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</si>
  <si>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(6.4); el año 1 adelanta lo de la costa (fila 238)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</si>
  <si>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</si>
  <si>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</si>
  <si>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 · inversión inicial, una vez</t>
  </si>
  <si>
    <t xml:space="preserve">Cuadro 14 y 5.9: 1.200 M a licitar, 60% el año 1 y 40% el año 2; incluye 80 cámaras corporales.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</si>
  <si>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</si>
  <si>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</si>
  <si>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</si>
  <si>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</si>
  <si>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Habilitaciones y analítica · mantenimiento anual, sobre lo invertido</t>
  </si>
  <si>
    <t xml:space="preserve">Desde el año siguiente a cada compra: 264 M por año en régimen. Es el soporte anual de software de lista: 10.450 USD sobre una licencia de 47.500 USD (lista de precios de Oracle, 2026)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</si>
  <si>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</si>
  <si>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</si>
  <si>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</si>
  <si>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</si>
  <si>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</si>
  <si>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</si>
  <si>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</si>
  <si>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</si>
  <si>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</si>
  <si>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</si>
  <si>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</si>
  <si>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</si>
  <si>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</si>
  <si>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</si>
  <si>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</si>
  <si>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</si>
  <si>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</si>
  <si>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</si>
  <si>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</si>
  <si>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</si>
  <si>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</si>
  <si>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</si>
  <si>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</si>
  <si>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</si>
  <si>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</si>
  <si>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</si>
  <si>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</si>
  <si>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</si>
  <si>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</si>
  <si>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</si>
  <si>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</si>
  <si>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</si>
  <si>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</si>
  <si>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</si>
  <si>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</si>
  <si>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</si>
  <si>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</si>
  <si>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</si>
  <si>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</si>
  <si>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</si>
  <si>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</si>
  <si>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</si>
  <si>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</si>
  <si>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</si>
  <si>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</si>
  <si>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</si>
  <si>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</si>
  <si>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</si>
  <si>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</si>
  <si>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</si>
  <si>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</si>
  <si>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</si>
  <si>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</si>
  <si>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</si>
  <si>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</si>
  <si>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</si>
  <si>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</si>
  <si>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</si>
  <si>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</si>
  <si>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</si>
  <si>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</si>
  <si>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</si>
  <si>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</si>
  <si>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</si>
  <si>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</si>
  <si>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</si>
  <si>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</si>
  <si>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</si>
  <si>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</si>
  <si>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</si>
  <si>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</si>
  <si>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</si>
  <si>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</si>
  <si>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</si>
  <si>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</si>
  <si>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</si>
  <si>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Control: lo municipal por origen menos no tributarios, rentas y recursos de capital</t>
  </si>
  <si>
    <t xml:space="preserve">Tiene que dar cero: los recursos de capital (rubro 2.1) son todos de origen municipal</t>
  </si>
  <si>
    <t xml:space="preserve">Origen municipal · corrientes, como en el modelo</t>
  </si>
  <si>
    <t xml:space="preserve">Los recursos de capital se restan enteros de lo municipal, como en 03_scripts/modelo.py (corrección 180)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</si>
  <si>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</si>
  <si>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</si>
  <si>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</si>
  <si>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</si>
  <si>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</si>
  <si>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</si>
  <si>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</si>
  <si>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</si>
  <si>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</si>
  <si>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</si>
  <si>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</si>
  <si>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</si>
  <si>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</si>
  <si>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</si>
  <si>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</si>
  <si>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</si>
  <si>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</si>
  <si>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</si>
  <si>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</si>
  <si>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</si>
  <si>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</si>
  <si>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</si>
  <si>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</si>
  <si>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</si>
  <si>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</si>
  <si>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</si>
  <si>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</si>
  <si>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</si>
  <si>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</si>
  <si>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</si>
  <si>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</si>
  <si>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</si>
  <si>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</si>
  <si>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</si>
  <si>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</si>
  <si>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</si>
  <si>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</si>
  <si>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</si>
  <si>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</si>
  <si>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</si>
  <si>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</si>
  <si>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</si>
  <si>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</si>
  <si>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</si>
  <si>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</si>
  <si>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</si>
  <si>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</si>
  <si>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</si>
  <si>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</si>
  <si>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</si>
  <si>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</si>
  <si>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</si>
  <si>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</si>
  <si>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</si>
  <si>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</si>
  <si>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</si>
  <si>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</si>
  <si>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</si>
  <si>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</si>
  <si>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</si>
  <si>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</si>
  <si>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</si>
  <si>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</si>
  <si>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</si>
  <si>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</si>
  <si>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</si>
  <si>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27, suma exacta de sus filas: equipo 1.285,1 M, infraestructura y licencias 193,2 M, auditoría externa 107,3 M. Con los dispositivos, 1.676,6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</si>
  <si>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</si>
  <si>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</si>
  <si>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</si>
  <si>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</si>
  <si>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</si>
  <si>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</si>
  <si>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</si>
  <si>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</si>
  <si>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</si>
  <si>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</si>
  <si>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</si>
  <si>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</si>
  <si>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</si>
  <si>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</si>
  <si>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</si>
  <si>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</si>
  <si>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</si>
  <si>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</si>
  <si>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</si>
  <si>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</si>
  <si>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</si>
  <si>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</si>
  <si>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</si>
  <si>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</si>
  <si>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</si>
  <si>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</si>
  <si>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el mantenimiento de habilitaciones: los 6.863 M del cuadro 15. La inversión de 1.200 M va aparte, una vez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</si>
  <si>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</si>
  <si>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</si>
  <si>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</si>
  <si>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</si>
  <si>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</si>
  <si>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</si>
  <si>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</si>
  <si>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áreas, cuidadores y obra vecinal: el 52,4% del documento</t>
  </si>
  <si>
    <t xml:space="preserve">Gasto flexible libre</t>
  </si>
  <si>
    <t xml:space="preserve">El 47,6%</t>
  </si>
  <si>
    <t xml:space="preserve">Libre con la beca y el módulo de salud</t>
  </si>
  <si>
    <t xml:space="preserve">El 44,9%.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</si>
  <si>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</si>
  <si>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</si>
  <si>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</si>
  <si>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</si>
  <si>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</si>
  <si>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</si>
  <si>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</si>
  <si>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</si>
  <si>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</si>
  <si>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</si>
  <si>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</si>
  <si>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</si>
  <si>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</si>
  <si>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</si>
  <si>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</si>
  <si>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</si>
  <si>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</si>
  <si>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</si>
  <si>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</si>
  <si>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</si>
  <si>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</si>
  <si>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</si>
  <si>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</si>
  <si>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</si>
  <si>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</si>
  <si>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</si>
  <si>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</si>
  <si>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</si>
  <si>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</si>
  <si>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</si>
  <si>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</si>
  <si>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</si>
  <si>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</si>
  <si>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</si>
  <si>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28% del cuadro 15</t>
  </si>
  <si>
    <t xml:space="preserve">U · SI LA TABLA NUEVA NO SALE EN DICIEMBRE Y COBRA DESDE ABRIL (6.6)</t>
  </si>
  <si>
    <t xml:space="preserve">Parte de lo cobrado en el año que entra de abril a diciembre</t>
  </si>
  <si>
    <t xml:space="preserve">2025: el primer trimestre trajo el 27,3% de lo cobrado en el año por tasas y derechos (rubro 1.2), en pesos constantes (data/ejecucion_recursos.csv)</t>
  </si>
  <si>
    <t xml:space="preserve">Año 1: lo que cobra la tabla nueva si cobra desde abril</t>
  </si>
  <si>
    <t xml:space="preserve">1.437 M en vez de 1.976 M</t>
  </si>
  <si>
    <t xml:space="preserve">Año 1: lo que suma el programa al gasto</t>
  </si>
  <si>
    <t xml:space="preserve">1.806 M</t>
  </si>
  <si>
    <t xml:space="preserve">Año 1: lo que cobra menos lo que suma el programa</t>
  </si>
  <si>
    <t xml:space="preserve">−369 M</t>
  </si>
  <si>
    <t xml:space="preserve">Resultado 2028 con el programa, si la tabla cobra desde abril</t>
  </si>
  <si>
    <t xml:space="preserve">+1.207 M: peor que sin el programa (+1.576 M), y con superávit. Desde 2029 no cambia nada</t>
  </si>
  <si>
    <t xml:space="preserve">Resultado 2028 si nada cambia, para comparar</t>
  </si>
  <si>
    <t xml:space="preserve">V · CUIDADORES DOMICILIARIOS Y EQUIPOS POR ÁREA (5.13 y 3.4)</t>
  </si>
  <si>
    <t xml:space="preserve">Cuidadores domiciliarios, primera etapa</t>
  </si>
  <si>
    <t xml:space="preserve">Formados en el curso de operador de cuidados de adultos mayores del CFL 404 (380 h, DGCyE 2269/2022); unas 240 personas, cuatro horas por día cada una. Los paga Desarrollo Social</t>
  </si>
  <si>
    <t xml:space="preserve">Sueldo mensual · asistencia y cuidado de personas, con retiro</t>
  </si>
  <si>
    <t xml:space="preserve">Diciembre de 2025: Comisión Nacional de Trabajo en Casas Particulares, Resolución 3/2025, Anexo II</t>
  </si>
  <si>
    <t xml:space="preserve">Cargas del empleador</t>
  </si>
  <si>
    <t xml:space="preserve">Las del cuadro 27: IPS 12%, IOMA 4,8% y ART 3,275%</t>
  </si>
  <si>
    <t xml:space="preserve">Cuidadores · costo anual, trece sueldos</t>
  </si>
  <si>
    <t xml:space="preserve">667,8 M por año: entra en el gasto flexible ocupado</t>
  </si>
  <si>
    <t xml:space="preserve">Ambiente · seis estaciones de monitoreo de ruido, una vez</t>
  </si>
  <si>
    <t xml:space="preserve">39.718.000 $ cada una (Ciudad, orden de compra de diciembre de 2024), a pesos de diciembre de 2025</t>
  </si>
  <si>
    <t xml:space="preserve">Formación · sesenta puestos en seis centros de acceso, una vez</t>
  </si>
  <si>
    <t xml:space="preserve">Notebook, escritorio y silla: 2,28 M por puesto (compras públicas 2025 y 2026)</t>
  </si>
  <si>
    <t xml:space="preserve">Formación · conexión de las seis sedes, por año</t>
  </si>
  <si>
    <t xml:space="preserve">Fibra óptica, 629.200 $ por mes (Ciudad, 2026)</t>
  </si>
  <si>
    <t xml:space="preserve">Habilitaciones · ochenta cámaras corporales, una vez, dentro de los 1.200 M</t>
  </si>
  <si>
    <t xml:space="preserve">2.170.000 $ cada una (Superintendencia de Riesgos del Trabajo, enero de 2026)</t>
  </si>
  <si>
    <t xml:space="preserve">Habilitaciones · licencia de monitoreo, por año</t>
  </si>
  <si>
    <t xml:space="preserve">55.878 $ por cámara y por año, desde el segundo año (lista de proveedor, 2026)</t>
  </si>
  <si>
    <t xml:space="preserve">Salud · trece pantallas de ocupación de guardia, una vez</t>
  </si>
  <si>
    <t xml:space="preserve">Televisor de 43 pulgadas, soporte y mini PC: 0,64 M por pantalla (compras públicas 2025 y 2026)</t>
  </si>
  <si>
    <t xml:space="preserve">Cada equipo entra en la línea de su área y dentro de su monto; en Ciencia y Técnica quedan las personas que los instalan (cuadro 27). Precios llevados a diciembre de 2025 con el IPC.</t>
  </si>
  <si>
    <t xml:space="preserve">Ambiente · adelanto del año 1 para la costa, una vez</t>
  </si>
  <si>
    <t xml:space="preserve">5.5 (189): diagnóstico de Perú 22-36 M, piloto de arena con pie de piedra 196 M, muestras 42-75 M, bote, desfibrilador y primera temporada de guardavidas 42 M. Se reasigna en 2028 como el resto de ambiente: no cambia el gasto total ni el resultado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</si>
  <si>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</si>
  <si>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</si>
  <si>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</si>
  <si>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</si>
  <si>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</si>
  <si>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</si>
  <si>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</si>
  <si>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</si>
  <si>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</si>
  <si>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</si>
  <si>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</si>
  <si>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</si>
  <si>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</si>
  <si>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</si>
  <si>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</si>
  <si>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</si>
  <si>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</si>
  <si>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</si>
  <si>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</si>
  <si>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</si>
  <si>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</si>
  <si>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</si>
  <si>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</si>
  <si>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</si>
  <si>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</si>
  <si>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</si>
  <si>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</si>
  <si>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</si>
  <si>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</si>
  <si>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</si>
  <si>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</si>
  <si>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</si>
  <si>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</si>
  <si>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</si>
  <si>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</si>
  <si>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</si>
  <si>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</si>
  <si>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</si>
  <si>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</si>
  <si>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</si>
  <si>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</si>
  <si>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</si>
  <si>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</si>
  <si>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</si>
  <si>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</si>
  <si>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</si>
  <si>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</si>
  <si>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</si>
  <si>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</si>
  <si>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</si>
  <si>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</si>
  <si>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</si>
  <si>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</si>
  <si>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</si>
  <si>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</si>
  <si>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</si>
  <si>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</si>
  <si>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</si>
  <si>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</si>
  <si>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</si>
  <si>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</si>
  <si>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</si>
  <si>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</si>
  <si>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</si>
  <si>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</si>
  <si>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</si>
  <si>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</si>
  <si>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</si>
  <si>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</si>
  <si>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</si>
  <si>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</si>
  <si>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</si>
  <si>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</si>
  <si>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</si>
  <si>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</si>
  <si>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</si>
  <si>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</si>
  <si>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</si>
  <si>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</si>
  <si>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</si>
  <si>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</si>
  <si>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</si>
  <si>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</si>
  <si>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</si>
  <si>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</si>
  <si>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</si>
  <si>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</si>
  <si>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</si>
  <si>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</si>
  <si>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</si>
  <si>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</si>
  <si>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</si>
  <si>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</si>
  <si>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</si>
  <si>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</si>
  <si>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</si>
  <si>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</si>
  <si>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</si>
  <si>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</si>
  <si>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</si>
  <si>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</si>
  <si>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</si>
  <si>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</si>
  <si>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</si>
  <si>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</si>
  <si>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</si>
  <si>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</si>
  <si>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</si>
  <si>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</si>
  <si>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</si>
  <si>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</si>
  <si>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</si>
  <si>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</si>
  <si>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</si>
  <si>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</si>
  <si>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</si>
  <si>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</si>
  <si>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</si>
  <si>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</si>
  <si>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</si>
  <si>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</si>
  <si>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</si>
  <si>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</si>
  <si>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</si>
  <si>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</si>
  <si>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</si>
  <si>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</si>
  <si>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</si>
  <si>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</si>
  <si>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</si>
  <si>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</si>
  <si>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</si>
  <si>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</si>
  <si>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</si>
  <si>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</si>
  <si>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</si>
  <si>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</si>
  <si>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</si>
  <si>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</si>
  <si>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</si>
  <si>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</si>
  <si>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</si>
  <si>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</si>
  <si>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</si>
  <si>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</si>
  <si>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</si>
  <si>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</si>
  <si>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</si>
  <si>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</si>
  <si>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</si>
  <si>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</si>
  <si>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</si>
  <si>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</si>
  <si>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</si>
  <si>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</si>
  <si>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</si>
  <si>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</si>
  <si>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</si>
  <si>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</si>
  <si>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</si>
  <si>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</si>
  <si>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</si>
  <si>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</si>
  <si>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</si>
  <si>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</si>
  <si>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</si>
  <si>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</si>
  <si>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</si>
  <si>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</si>
  <si>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</si>
  <si>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</si>
  <si>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</si>
  <si>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</si>
  <si>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</si>
  <si>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</si>
  <si>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</si>
  <si>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CUPOS DE FORMACIÓN POR ZONA · EXACTOS A 928 POR EL RESTO MAYOR (5.3)</t>
  </si>
  <si>
    <t xml:space="preserve">Cupos por año, en régimen</t>
  </si>
  <si>
    <t xml:space="preserve">Lo que compran los 2.783,1 M de formación a 3 M por persona</t>
  </si>
  <si>
    <t xml:space="preserve">ÍNDICE</t>
  </si>
  <si>
    <t xml:space="preserve">CUOTA</t>
  </si>
  <si>
    <t xml:space="preserve">ENTERA</t>
  </si>
  <si>
    <t xml:space="preserve">RESTO</t>
  </si>
  <si>
    <t xml:space="preserve">CUPOS</t>
  </si>
  <si>
    <t xml:space="preserve">Cada zona recibe la parte entera de su cuota; las vacantes que faltan para 928 van a los restos mayores. Da Boulogne 315, Béccar 307, Martínez 98, San Isidro 96, Villa Adelina 94 y Acassuso 18.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</si>
  <si>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</si>
  <si>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</si>
  <si>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</si>
  <si>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</si>
  <si>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</si>
  <si>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</si>
  <si>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</si>
  <si>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</si>
  <si>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Habilitaciones y analítica de seguridad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</si>
  <si>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</si>
  <si>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</si>
  <si>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</si>
  <si>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</si>
  <si>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</si>
  <si>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36, y en el año 1 adelanta 350 M para empezar la costa (5.5);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</si>
  <si>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</si>
  <si>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</si>
  <si>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</si>
  <si>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</si>
  <si>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</si>
  <si>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</si>
  <si>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</si>
  <si>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</si>
  <si>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</si>
  <si>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</si>
  <si>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</si>
  <si>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</si>
  <si>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</si>
  <si>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</si>
  <si>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</si>
  <si>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</si>
  <si>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</si>
  <si>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</si>
  <si>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</si>
  <si>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</si>
  <si>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</si>
  <si>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</si>
  <si>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</si>
  <si>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</si>
  <si>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</si>
  <si>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</si>
  <si>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</si>
  <si>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</si>
  <si>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</si>
  <si>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</si>
  <si>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</si>
  <si>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</si>
  <si>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</si>
  <si>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</si>
  <si>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</si>
  <si>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</si>
  <si>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</si>
  <si>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</si>
  <si>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</si>
  <si>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</si>
  <si>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</si>
  <si>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</si>
  <si>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</si>
  <si>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</si>
  <si>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</si>
  <si>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</si>
  <si>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</si>
  <si>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</si>
  <si>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</si>
  <si>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</si>
  <si>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</si>
  <si>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</si>
  <si>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</si>
  <si>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</si>
  <si>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</si>
  <si>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</si>
  <si>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</si>
  <si>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</si>
  <si>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</si>
  <si>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</si>
  <si>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</si>
  <si>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</si>
  <si>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</si>
  <si>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</si>
  <si>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</si>
  <si>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</si>
  <si>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</si>
  <si>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</si>
  <si>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</si>
  <si>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</si>
  <si>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</si>
  <si>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</si>
  <si>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</si>
  <si>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</si>
  <si>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</si>
  <si>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</si>
  <si>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</si>
  <si>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</si>
  <si>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</si>
  <si>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</si>
  <si>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</si>
  <si>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</si>
  <si>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</si>
  <si>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</si>
  <si>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</si>
  <si>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</si>
  <si>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</si>
  <si>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</si>
  <si>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</si>
  <si>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</si>
  <si>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</si>
  <si>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</si>
  <si>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</si>
  <si>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</si>
  <si>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</si>
  <si>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</si>
  <si>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</si>
  <si>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</si>
  <si>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</si>
  <si>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</si>
  <si>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</si>
  <si>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</si>
  <si>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</si>
  <si>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</si>
  <si>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</si>
  <si>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</si>
  <si>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</si>
  <si>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</si>
  <si>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</si>
  <si>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</si>
  <si>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</si>
  <si>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</si>
  <si>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</si>
  <si>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</si>
  <si>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</si>
  <si>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</si>
  <si>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</si>
  <si>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</si>
  <si>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</si>
  <si>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</si>
  <si>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</si>
  <si>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</si>
  <si>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</si>
  <si>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</si>
  <si>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</si>
  <si>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</si>
  <si>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</si>
  <si>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</si>
  <si>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</si>
  <si>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</si>
  <si>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</si>
  <si>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</si>
  <si>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</si>
  <si>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</si>
  <si>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</si>
  <si>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</si>
  <si>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</si>
  <si>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</si>
  <si>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</si>
  <si>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</si>
  <si>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</si>
  <si>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</si>
  <si>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</si>
  <si>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</si>
  <si>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</si>
  <si>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</si>
  <si>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</si>
  <si>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</si>
  <si>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</si>
  <si>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</si>
  <si>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</si>
  <si>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</si>
  <si>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</si>
  <si>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</si>
  <si>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</si>
  <si>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</si>
  <si>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</si>
  <si>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</si>
  <si>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Cuatro licitaciones llamadas desde 2004 y ninguna terminó en un contrato; el mismo grupo presta el servicio desde 1998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</si>
  <si>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</si>
  <si>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</si>
  <si>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</si>
  <si>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</si>
  <si>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género, separada del programa que hoy comparte</t>
  </si>
  <si>
    <t xml:space="preserve">Género no tiene partida propia; discapacidad sí, y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</si>
  <si>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</si>
  <si>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</si>
  <si>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</si>
  <si>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</si>
  <si>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régimen; y 250 a 300 egresados con empleo pago por año.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</si>
  <si>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</si>
  <si>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Municipio; el empleo, al registro de inserción laboral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</si>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</sst>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%"/>
    <numFmt numFmtId="171" formatCode="0"/>
    <numFmt numFmtId="172" formatCode="#,##0;\(#,##0\);\-"/>
    <numFmt numFmtId="173" formatCode="\$#,##0,,&quot;  M&quot;;&quot;($&quot;#,##0,,&quot;) M&quot;;\-"/>
    <numFmt numFmtId="174" formatCode="0.0000"/>
    <numFmt numFmtId="175" formatCode="0.00\x"/>
    <numFmt numFmtId="176" formatCode="#,##0"/>
    <numFmt numFmtId="177" formatCode="0.000000"/>
    <numFmt numFmtId="178" formatCode="0.000"/>
    <numFmt numFmtId="179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46.2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7" customFormat="false" ht="19.4" hidden="false" customHeight="false" outlineLevel="0" collapsed="false">
      <c r="B57" s="2" t="s">
        <v>138</v>
      </c>
      <c r="C57" s="29" t="n">
        <v>0.22</v>
      </c>
      <c r="D57" s="2"/>
      <c r="E57" s="20" t="s">
        <v>139</v>
      </c>
    </row>
    <row r="58" customFormat="false" ht="15" hidden="false" customHeight="true" outlineLevel="0" collapsed="false">
      <c r="B58" s="18" t="s">
        <v>140</v>
      </c>
      <c r="C58" s="18"/>
      <c r="D58" s="18"/>
      <c r="E58" s="18"/>
    </row>
    <row r="59" customFormat="false" ht="15" hidden="false" customHeight="true" outlineLevel="0" collapsed="false">
      <c r="B59" s="9" t="s">
        <v>141</v>
      </c>
      <c r="C59" s="19" t="n">
        <v>8960328499</v>
      </c>
      <c r="D59" s="2"/>
      <c r="E59" s="20" t="s">
        <v>142</v>
      </c>
    </row>
    <row r="60" customFormat="false" ht="15" hidden="false" customHeight="true" outlineLevel="0" collapsed="false">
      <c r="B60" s="9" t="s">
        <v>143</v>
      </c>
      <c r="C60" s="30" t="n">
        <v>8231000000</v>
      </c>
      <c r="D60" s="2"/>
      <c r="E60" s="20" t="s">
        <v>144</v>
      </c>
    </row>
    <row r="61" customFormat="false" ht="15" hidden="false" customHeight="true" outlineLevel="0" collapsed="false">
      <c r="B61" s="9" t="s">
        <v>145</v>
      </c>
      <c r="C61" s="19" t="n">
        <v>3388144415</v>
      </c>
      <c r="D61" s="2"/>
      <c r="E61" s="20" t="s">
        <v>146</v>
      </c>
    </row>
    <row r="62" customFormat="false" ht="15" hidden="false" customHeight="true" outlineLevel="0" collapsed="false">
      <c r="B62" s="9" t="s">
        <v>147</v>
      </c>
      <c r="C62" s="28" t="n">
        <v>0.25</v>
      </c>
      <c r="E62" s="20" t="s">
        <v>148</v>
      </c>
    </row>
    <row r="63" customFormat="false" ht="15" hidden="false" customHeight="true" outlineLevel="0" collapsed="false">
      <c r="B63" s="9" t="s">
        <v>149</v>
      </c>
      <c r="C63" s="28" t="n">
        <v>0.6</v>
      </c>
      <c r="E63" s="21" t="s">
        <v>150</v>
      </c>
    </row>
    <row r="64" customFormat="false" ht="15" hidden="false" customHeight="false" outlineLevel="0" collapsed="false">
      <c r="B64" s="2" t="s">
        <v>151</v>
      </c>
      <c r="C64" s="31" t="n">
        <v>3</v>
      </c>
      <c r="D64" s="2"/>
      <c r="E64" s="20" t="s">
        <v>152</v>
      </c>
    </row>
    <row r="66" customFormat="false" ht="32.25" hidden="false" customHeight="true" outlineLevel="0" collapsed="false">
      <c r="B66" s="32" t="s">
        <v>153</v>
      </c>
    </row>
    <row r="68" customFormat="false" ht="15" hidden="false" customHeight="true" outlineLevel="0" collapsed="false">
      <c r="B68" s="13" t="s">
        <v>154</v>
      </c>
    </row>
    <row r="69" customFormat="false" ht="25.5" hidden="false" customHeight="true" outlineLevel="0" collapsed="false">
      <c r="B69" s="20" t="s">
        <v>155</v>
      </c>
    </row>
    <row r="70" customFormat="false" ht="25.5" hidden="false" customHeight="true" outlineLevel="0" collapsed="false">
      <c r="B70" s="20" t="s">
        <v>156</v>
      </c>
    </row>
    <row r="71" customFormat="false" ht="25.5" hidden="false" customHeight="true" outlineLevel="0" collapsed="false">
      <c r="B71" s="21" t="s">
        <v>157</v>
      </c>
    </row>
    <row r="73" customFormat="false" ht="15" hidden="false" customHeight="true" outlineLevel="0" collapsed="false">
      <c r="B73" s="18" t="s">
        <v>158</v>
      </c>
      <c r="C73" s="18"/>
      <c r="D73" s="18"/>
      <c r="E73" s="18"/>
    </row>
    <row r="74" customFormat="false" ht="21.75" hidden="false" customHeight="true" outlineLevel="0" collapsed="false">
      <c r="B74" s="9" t="s">
        <v>159</v>
      </c>
      <c r="C74" s="23" t="n">
        <f aca="false">C107/(C107+C108)</f>
        <v>0.998059175393064</v>
      </c>
      <c r="D74" s="2"/>
      <c r="E74" s="20" t="s">
        <v>160</v>
      </c>
    </row>
    <row r="75" customFormat="false" ht="21.75" hidden="false" customHeight="true" outlineLevel="0" collapsed="false">
      <c r="B75" s="9" t="s">
        <v>161</v>
      </c>
      <c r="C75" s="23" t="n">
        <f aca="false">C109/(C109+C110)</f>
        <v>0.908650695230564</v>
      </c>
      <c r="D75" s="2"/>
      <c r="E75" s="20" t="s">
        <v>162</v>
      </c>
    </row>
    <row r="76" customFormat="false" ht="15" hidden="false" customHeight="true" outlineLevel="0" collapsed="false">
      <c r="B76" s="9" t="s">
        <v>163</v>
      </c>
      <c r="C76" s="33" t="n">
        <v>0</v>
      </c>
      <c r="D76" s="2"/>
      <c r="E76" s="20" t="s">
        <v>164</v>
      </c>
    </row>
    <row r="77" customFormat="false" ht="21.75" hidden="false" customHeight="true" outlineLevel="0" collapsed="false">
      <c r="B77" s="9" t="s">
        <v>165</v>
      </c>
      <c r="C77" s="34" t="n">
        <v>4500000000</v>
      </c>
      <c r="E77" s="21" t="s">
        <v>166</v>
      </c>
    </row>
    <row r="78" customFormat="false" ht="21.75" hidden="false" customHeight="true" outlineLevel="0" collapsed="false">
      <c r="B78" s="9" t="s">
        <v>167</v>
      </c>
      <c r="C78" s="34" t="n">
        <v>2100000000</v>
      </c>
      <c r="E78" s="21" t="s">
        <v>168</v>
      </c>
    </row>
    <row r="80" customFormat="false" ht="15" hidden="false" customHeight="true" outlineLevel="0" collapsed="false">
      <c r="B80" s="18" t="s">
        <v>169</v>
      </c>
      <c r="C80" s="18"/>
      <c r="D80" s="18"/>
      <c r="E80" s="18"/>
    </row>
    <row r="81" customFormat="false" ht="21.75" hidden="false" customHeight="true" outlineLevel="0" collapsed="false">
      <c r="B81" s="9" t="s">
        <v>170</v>
      </c>
      <c r="C81" s="22" t="n">
        <v>0.24</v>
      </c>
      <c r="E81" s="21" t="s">
        <v>171</v>
      </c>
    </row>
    <row r="82" customFormat="false" ht="15" hidden="false" customHeight="true" outlineLevel="0" collapsed="false">
      <c r="B82" s="9" t="s">
        <v>172</v>
      </c>
      <c r="C82" s="22" t="n">
        <v>0.035</v>
      </c>
      <c r="E82" s="21" t="s">
        <v>173</v>
      </c>
    </row>
    <row r="83" customFormat="false" ht="21.75" hidden="false" customHeight="true" outlineLevel="0" collapsed="false">
      <c r="B83" s="9" t="s">
        <v>174</v>
      </c>
      <c r="C83" s="22" t="n">
        <v>0.01</v>
      </c>
      <c r="E83" s="21" t="s">
        <v>175</v>
      </c>
    </row>
    <row r="84" customFormat="false" ht="21.75" hidden="false" customHeight="true" outlineLevel="0" collapsed="false">
      <c r="B84" s="9" t="s">
        <v>176</v>
      </c>
      <c r="C84" s="24" t="n">
        <v>1</v>
      </c>
      <c r="E84" s="21" t="s">
        <v>177</v>
      </c>
    </row>
    <row r="86" customFormat="false" ht="15" hidden="false" customHeight="true" outlineLevel="0" collapsed="false">
      <c r="B86" s="18" t="s">
        <v>178</v>
      </c>
      <c r="C86" s="35"/>
      <c r="D86" s="35"/>
      <c r="E86" s="35"/>
    </row>
    <row r="87" customFormat="false" ht="21.75" hidden="false" customHeight="true" outlineLevel="0" collapsed="false">
      <c r="B87" s="9" t="s">
        <v>179</v>
      </c>
      <c r="C87" s="19" t="n">
        <v>4983984394</v>
      </c>
      <c r="D87" s="2"/>
      <c r="E87" s="20" t="s">
        <v>180</v>
      </c>
    </row>
    <row r="88" customFormat="false" ht="21.75" hidden="false" customHeight="true" outlineLevel="0" collapsed="false">
      <c r="B88" s="9" t="s">
        <v>181</v>
      </c>
      <c r="C88" s="19" t="n">
        <v>3976344105</v>
      </c>
      <c r="D88" s="2"/>
      <c r="E88" s="20" t="s">
        <v>182</v>
      </c>
    </row>
    <row r="89" customFormat="false" ht="15" hidden="false" customHeight="true" outlineLevel="0" collapsed="false">
      <c r="B89" s="9" t="s">
        <v>183</v>
      </c>
      <c r="C89" s="30" t="n">
        <v>1000000000</v>
      </c>
      <c r="D89" s="2"/>
      <c r="E89" s="20" t="s">
        <v>184</v>
      </c>
    </row>
    <row r="90" customFormat="false" ht="15" hidden="false" customHeight="true" outlineLevel="0" collapsed="false">
      <c r="B90" s="9" t="s">
        <v>185</v>
      </c>
      <c r="C90" s="33" t="n">
        <v>0</v>
      </c>
      <c r="D90" s="2"/>
      <c r="E90" s="20" t="s">
        <v>186</v>
      </c>
    </row>
    <row r="91" customFormat="false" ht="15" hidden="false" customHeight="true" outlineLevel="0" collapsed="false">
      <c r="B91" s="9" t="s">
        <v>187</v>
      </c>
      <c r="C91" s="27" t="n">
        <f aca="false">C87+C88-C59</f>
        <v>0</v>
      </c>
      <c r="D91" s="2"/>
      <c r="E91" s="20" t="s">
        <v>188</v>
      </c>
    </row>
    <row r="93" customFormat="false" ht="15" hidden="false" customHeight="true" outlineLevel="0" collapsed="false">
      <c r="B93" s="18" t="s">
        <v>189</v>
      </c>
      <c r="C93" s="18"/>
      <c r="D93" s="18"/>
      <c r="E93" s="18"/>
    </row>
    <row r="94" customFormat="false" ht="21.75" hidden="false" customHeight="true" outlineLevel="0" collapsed="false">
      <c r="B94" s="9" t="s">
        <v>190</v>
      </c>
      <c r="C94" s="22" t="n">
        <v>0.01</v>
      </c>
      <c r="E94" s="21" t="s">
        <v>191</v>
      </c>
    </row>
    <row r="95" customFormat="false" ht="21.75" hidden="false" customHeight="true" outlineLevel="0" collapsed="false">
      <c r="B95" s="9" t="s">
        <v>192</v>
      </c>
      <c r="C95" s="22" t="n">
        <v>0</v>
      </c>
      <c r="E95" s="21" t="s">
        <v>193</v>
      </c>
    </row>
    <row r="96" customFormat="false" ht="15" hidden="false" customHeight="true" outlineLevel="0" collapsed="false">
      <c r="B96" s="9" t="s">
        <v>194</v>
      </c>
      <c r="C96" s="24" t="n">
        <v>2</v>
      </c>
      <c r="E96" s="21" t="s">
        <v>195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196</v>
      </c>
      <c r="C99" s="18"/>
      <c r="D99" s="18"/>
      <c r="E99" s="18"/>
    </row>
    <row r="100" customFormat="false" ht="15" hidden="false" customHeight="true" outlineLevel="0" collapsed="false">
      <c r="B100" s="9" t="s">
        <v>197</v>
      </c>
      <c r="C100" s="36" t="n">
        <v>30000000000</v>
      </c>
      <c r="E100" s="21" t="s">
        <v>198</v>
      </c>
    </row>
    <row r="101" customFormat="false" ht="15" hidden="false" customHeight="true" outlineLevel="0" collapsed="false">
      <c r="B101" s="9" t="s">
        <v>199</v>
      </c>
      <c r="C101" s="37" t="n">
        <v>0.3088</v>
      </c>
      <c r="E101" s="21" t="s">
        <v>200</v>
      </c>
    </row>
    <row r="102" customFormat="false" ht="15" hidden="false" customHeight="true" outlineLevel="0" collapsed="false">
      <c r="B102" s="9" t="s">
        <v>201</v>
      </c>
      <c r="C102" s="38" t="n">
        <v>8</v>
      </c>
      <c r="E102" s="21" t="s">
        <v>202</v>
      </c>
    </row>
    <row r="103" customFormat="false" ht="15" hidden="false" customHeight="true" outlineLevel="0" collapsed="false">
      <c r="B103" s="9" t="s">
        <v>203</v>
      </c>
      <c r="C103" s="38" t="n">
        <v>15</v>
      </c>
      <c r="E103" s="21" t="s">
        <v>204</v>
      </c>
    </row>
    <row r="104" customFormat="false" ht="15" hidden="false" customHeight="true" outlineLevel="0" collapsed="false">
      <c r="B104" s="9" t="s">
        <v>205</v>
      </c>
      <c r="C104" s="27" t="n">
        <f aca="false">C100*(C102-1)/C102</f>
        <v>26250000000</v>
      </c>
      <c r="D104" s="2"/>
      <c r="E104" s="20" t="s">
        <v>206</v>
      </c>
    </row>
    <row r="106" customFormat="false" ht="15" hidden="false" customHeight="false" outlineLevel="0" collapsed="false">
      <c r="B106" s="39" t="s">
        <v>207</v>
      </c>
      <c r="C106" s="40"/>
      <c r="D106" s="40"/>
      <c r="E106" s="40"/>
    </row>
    <row r="107" customFormat="false" ht="15" hidden="false" customHeight="false" outlineLevel="0" collapsed="false">
      <c r="B107" s="2" t="s">
        <v>208</v>
      </c>
      <c r="C107" s="41" t="n">
        <v>207565454181.72</v>
      </c>
      <c r="D107" s="2"/>
      <c r="E107" s="20" t="s">
        <v>209</v>
      </c>
    </row>
    <row r="108" customFormat="false" ht="15" hidden="false" customHeight="false" outlineLevel="0" collapsed="false">
      <c r="B108" s="2" t="s">
        <v>210</v>
      </c>
      <c r="C108" s="41" t="n">
        <v>403631519.01</v>
      </c>
      <c r="D108" s="2"/>
      <c r="E108" s="2"/>
    </row>
    <row r="109" customFormat="false" ht="15" hidden="false" customHeight="false" outlineLevel="0" collapsed="false">
      <c r="B109" s="2" t="s">
        <v>211</v>
      </c>
      <c r="C109" s="41" t="n">
        <v>79683151665.59</v>
      </c>
      <c r="D109" s="2"/>
      <c r="E109" s="20" t="s">
        <v>212</v>
      </c>
    </row>
    <row r="110" customFormat="false" ht="15" hidden="false" customHeight="false" outlineLevel="0" collapsed="false">
      <c r="B110" s="2" t="s">
        <v>213</v>
      </c>
      <c r="C110" s="41" t="n">
        <v>8010779659</v>
      </c>
      <c r="D110" s="2"/>
      <c r="E110" s="2"/>
    </row>
    <row r="111" customFormat="false" ht="15" hidden="false" customHeight="false" outlineLevel="0" collapsed="false">
      <c r="B111" s="2" t="s">
        <v>214</v>
      </c>
      <c r="C111" s="41" t="n">
        <v>190050533.83</v>
      </c>
      <c r="D111" s="2"/>
      <c r="E111" s="2"/>
    </row>
    <row r="112" customFormat="false" ht="15" hidden="false" customHeight="false" outlineLevel="0" collapsed="false">
      <c r="B112" s="2" t="s">
        <v>215</v>
      </c>
      <c r="C112" s="41" t="n">
        <v>7331698373.78</v>
      </c>
      <c r="D112" s="2"/>
      <c r="E112" s="2"/>
    </row>
    <row r="113" customFormat="false" ht="15" hidden="false" customHeight="false" outlineLevel="0" collapsed="false">
      <c r="B113" s="2" t="s">
        <v>216</v>
      </c>
      <c r="C113" s="42" t="n">
        <f aca="false">(C107+C108)-(C9+C10+C12)</f>
        <v>0</v>
      </c>
      <c r="D113" s="2"/>
      <c r="E113" s="20" t="s">
        <v>217</v>
      </c>
    </row>
    <row r="114" customFormat="false" ht="15" hidden="false" customHeight="false" outlineLevel="0" collapsed="false">
      <c r="B114" s="2" t="s">
        <v>218</v>
      </c>
      <c r="C114" s="42" t="n">
        <f aca="false">C107+C108-C12</f>
        <v>205938984903.51</v>
      </c>
      <c r="D114" s="2"/>
      <c r="E114" s="20" t="s">
        <v>219</v>
      </c>
    </row>
    <row r="115" customFormat="false" ht="15" hidden="false" customHeight="false" outlineLevel="0" collapsed="false">
      <c r="B115" s="2" t="s">
        <v>220</v>
      </c>
      <c r="C115" s="42" t="n">
        <f aca="false">C109+C110</f>
        <v>87693931324.59</v>
      </c>
      <c r="D115" s="2"/>
      <c r="E115" s="2"/>
    </row>
    <row r="116" customFormat="false" ht="15" hidden="false" customHeight="false" outlineLevel="0" collapsed="false">
      <c r="B116" s="2" t="s">
        <v>221</v>
      </c>
      <c r="C116" s="42" t="n">
        <f aca="false">C111</f>
        <v>190050533.83</v>
      </c>
      <c r="D116" s="2"/>
      <c r="E116" s="2"/>
    </row>
    <row r="117" customFormat="false" ht="15" hidden="false" customHeight="false" outlineLevel="0" collapsed="false">
      <c r="B117" s="2" t="s">
        <v>222</v>
      </c>
      <c r="C117" s="42" t="n">
        <f aca="false">C112</f>
        <v>7331698373.78</v>
      </c>
      <c r="D117" s="2"/>
      <c r="E117" s="2"/>
    </row>
    <row r="118" customFormat="false" ht="15" hidden="false" customHeight="false" outlineLevel="0" collapsed="false">
      <c r="B118" s="2" t="s">
        <v>223</v>
      </c>
      <c r="C118" s="43" t="n">
        <v>0.824</v>
      </c>
      <c r="D118" s="2"/>
      <c r="E118" s="20" t="s">
        <v>224</v>
      </c>
    </row>
    <row r="120" customFormat="false" ht="15" hidden="false" customHeight="false" outlineLevel="0" collapsed="false">
      <c r="B120" s="39" t="s">
        <v>225</v>
      </c>
      <c r="C120" s="40"/>
      <c r="D120" s="40"/>
      <c r="E120" s="40"/>
    </row>
    <row r="121" customFormat="false" ht="15" hidden="false" customHeight="false" outlineLevel="0" collapsed="false">
      <c r="B121" s="2" t="s">
        <v>226</v>
      </c>
      <c r="C121" s="41" t="n">
        <v>301154665135.71</v>
      </c>
      <c r="D121" s="2"/>
      <c r="E121" s="20" t="s">
        <v>227</v>
      </c>
    </row>
    <row r="122" customFormat="false" ht="15" hidden="false" customHeight="false" outlineLevel="0" collapsed="false">
      <c r="B122" s="2" t="s">
        <v>228</v>
      </c>
      <c r="C122" s="41" t="n">
        <v>2030100797.22</v>
      </c>
      <c r="D122" s="2"/>
      <c r="E122" s="2"/>
    </row>
    <row r="123" customFormat="false" ht="15" hidden="false" customHeight="false" outlineLevel="0" collapsed="false">
      <c r="B123" s="2" t="s">
        <v>229</v>
      </c>
      <c r="C123" s="41" t="n">
        <v>251403592133.29</v>
      </c>
      <c r="D123" s="2"/>
      <c r="E123" s="20" t="s">
        <v>230</v>
      </c>
    </row>
    <row r="124" customFormat="false" ht="15" hidden="false" customHeight="false" outlineLevel="0" collapsed="false">
      <c r="B124" s="2" t="s">
        <v>231</v>
      </c>
      <c r="C124" s="41" t="n">
        <v>57832237847.26</v>
      </c>
      <c r="D124" s="2"/>
      <c r="E124" s="2"/>
    </row>
    <row r="125" customFormat="false" ht="15" hidden="false" customHeight="false" outlineLevel="0" collapsed="false">
      <c r="B125" s="2" t="s">
        <v>232</v>
      </c>
      <c r="C125" s="41" t="n">
        <v>-6051064047.62</v>
      </c>
      <c r="D125" s="2"/>
      <c r="E125" s="20" t="s">
        <v>233</v>
      </c>
    </row>
    <row r="126" customFormat="false" ht="15" hidden="false" customHeight="false" outlineLevel="0" collapsed="false">
      <c r="B126" s="2" t="s">
        <v>234</v>
      </c>
      <c r="C126" s="42" t="n">
        <f aca="false">C124-C21</f>
        <v>16528497</v>
      </c>
      <c r="D126" s="2"/>
      <c r="E126" s="20" t="s">
        <v>235</v>
      </c>
    </row>
    <row r="127" customFormat="false" ht="15" hidden="false" customHeight="false" outlineLevel="0" collapsed="false">
      <c r="B127" s="2" t="s">
        <v>236</v>
      </c>
      <c r="C127" s="42" t="n">
        <f aca="false">C15+C17+C19+C21+C23+C25+C27</f>
        <v>324303955405.45</v>
      </c>
      <c r="D127" s="2"/>
      <c r="E127" s="20" t="s">
        <v>237</v>
      </c>
    </row>
    <row r="128" customFormat="false" ht="15" hidden="false" customHeight="false" outlineLevel="0" collapsed="false">
      <c r="B128" s="2" t="s">
        <v>238</v>
      </c>
      <c r="C128" s="42" t="n">
        <f aca="false">C17+C21+C23+C25</f>
        <v>87325600155.82</v>
      </c>
      <c r="D128" s="2"/>
      <c r="E128" s="20" t="s">
        <v>239</v>
      </c>
    </row>
    <row r="130" customFormat="false" ht="15" hidden="false" customHeight="false" outlineLevel="0" collapsed="false">
      <c r="B130" s="39" t="s">
        <v>240</v>
      </c>
      <c r="C130" s="40"/>
      <c r="D130" s="40"/>
      <c r="E130" s="40"/>
    </row>
    <row r="131" customFormat="false" ht="15" hidden="false" customHeight="false" outlineLevel="0" collapsed="false">
      <c r="B131" s="2" t="s">
        <v>241</v>
      </c>
      <c r="C131" s="44" t="n">
        <v>0.1088</v>
      </c>
      <c r="D131" s="2"/>
      <c r="E131" s="20" t="s">
        <v>242</v>
      </c>
    </row>
    <row r="132" customFormat="false" ht="15" hidden="false" customHeight="false" outlineLevel="0" collapsed="false">
      <c r="B132" s="2" t="s">
        <v>243</v>
      </c>
      <c r="C132" s="29" t="n">
        <v>0.25</v>
      </c>
      <c r="D132" s="2"/>
      <c r="E132" s="20" t="s">
        <v>244</v>
      </c>
    </row>
    <row r="133" customFormat="false" ht="15" hidden="false" customHeight="false" outlineLevel="0" collapsed="false">
      <c r="B133" s="2" t="s">
        <v>245</v>
      </c>
      <c r="C133" s="41" t="n">
        <v>8089117779</v>
      </c>
      <c r="D133" s="2"/>
      <c r="E133" s="2"/>
    </row>
    <row r="134" customFormat="false" ht="15" hidden="false" customHeight="false" outlineLevel="0" collapsed="false">
      <c r="B134" s="2" t="s">
        <v>246</v>
      </c>
      <c r="C134" s="41" t="n">
        <v>1976231202</v>
      </c>
      <c r="D134" s="2"/>
      <c r="E134" s="20" t="s">
        <v>247</v>
      </c>
    </row>
    <row r="135" customFormat="false" ht="15" hidden="false" customHeight="false" outlineLevel="0" collapsed="false">
      <c r="B135" s="2" t="s">
        <v>248</v>
      </c>
      <c r="C135" s="41" t="n">
        <v>5857773011</v>
      </c>
      <c r="D135" s="2"/>
      <c r="E135" s="2"/>
    </row>
    <row r="136" customFormat="false" ht="15" hidden="false" customHeight="false" outlineLevel="0" collapsed="false">
      <c r="B136" s="2" t="s">
        <v>249</v>
      </c>
      <c r="C136" s="41" t="n">
        <v>7168458887</v>
      </c>
      <c r="D136" s="2"/>
      <c r="E136" s="2"/>
    </row>
    <row r="137" customFormat="false" ht="15" hidden="false" customHeight="false" outlineLevel="0" collapsed="false">
      <c r="B137" s="2" t="s">
        <v>250</v>
      </c>
      <c r="C137" s="41" t="n">
        <v>7225200000</v>
      </c>
      <c r="D137" s="2"/>
      <c r="E137" s="2"/>
    </row>
    <row r="138" customFormat="false" ht="15" hidden="false" customHeight="false" outlineLevel="0" collapsed="false">
      <c r="B138" s="2" t="s">
        <v>251</v>
      </c>
      <c r="C138" s="41" t="n">
        <v>1946360326</v>
      </c>
      <c r="D138" s="2"/>
      <c r="E138" s="20" t="s">
        <v>252</v>
      </c>
    </row>
    <row r="139" customFormat="false" ht="15" hidden="false" customHeight="false" outlineLevel="0" collapsed="false">
      <c r="B139" s="2" t="s">
        <v>253</v>
      </c>
      <c r="C139" s="41" t="n">
        <v>5814717849</v>
      </c>
      <c r="D139" s="2"/>
      <c r="E139" s="2"/>
    </row>
    <row r="140" customFormat="false" ht="15" hidden="false" customHeight="false" outlineLevel="0" collapsed="false">
      <c r="B140" s="2" t="s">
        <v>254</v>
      </c>
      <c r="C140" s="41" t="n">
        <v>7123967702</v>
      </c>
      <c r="D140" s="2"/>
      <c r="E140" s="2"/>
    </row>
    <row r="141" customFormat="false" ht="15" hidden="false" customHeight="false" outlineLevel="0" collapsed="false">
      <c r="B141" s="2" t="s">
        <v>255</v>
      </c>
      <c r="C141" s="41" t="n">
        <v>7180683703</v>
      </c>
      <c r="D141" s="2"/>
      <c r="E141" s="2"/>
    </row>
    <row r="142" customFormat="false" ht="15" hidden="false" customHeight="false" outlineLevel="0" collapsed="false">
      <c r="B142" s="2" t="s">
        <v>256</v>
      </c>
      <c r="C142" s="45" t="n">
        <v>0</v>
      </c>
      <c r="D142" s="2"/>
      <c r="E142" s="20" t="s">
        <v>257</v>
      </c>
    </row>
    <row r="143" customFormat="false" ht="15" hidden="false" customHeight="false" outlineLevel="0" collapsed="false">
      <c r="B143" s="2" t="s">
        <v>258</v>
      </c>
      <c r="C143" s="42" t="n">
        <f aca="false">C50-C49</f>
        <v>7225194059.57375</v>
      </c>
      <c r="D143" s="2"/>
      <c r="E143" s="20" t="s">
        <v>259</v>
      </c>
    </row>
    <row r="144" customFormat="false" ht="15" hidden="false" customHeight="false" outlineLevel="0" collapsed="false">
      <c r="B144" s="2" t="s">
        <v>260</v>
      </c>
      <c r="C144" s="46" t="n">
        <f aca="false">C141/C143</f>
        <v>0.993839562480018</v>
      </c>
      <c r="D144" s="2"/>
      <c r="E144" s="20" t="s">
        <v>261</v>
      </c>
    </row>
    <row r="146" customFormat="false" ht="15" hidden="false" customHeight="false" outlineLevel="0" collapsed="false">
      <c r="B146" s="39" t="s">
        <v>262</v>
      </c>
      <c r="C146" s="40"/>
      <c r="D146" s="40"/>
      <c r="E146" s="40"/>
    </row>
    <row r="147" customFormat="false" ht="15" hidden="false" customHeight="false" outlineLevel="0" collapsed="false">
      <c r="B147" s="2" t="s">
        <v>263</v>
      </c>
      <c r="C147" s="41" t="n">
        <v>170314500.62</v>
      </c>
      <c r="D147" s="2"/>
      <c r="E147" s="2"/>
    </row>
    <row r="148" customFormat="false" ht="15" hidden="false" customHeight="false" outlineLevel="0" collapsed="false">
      <c r="B148" s="2" t="s">
        <v>264</v>
      </c>
      <c r="C148" s="41" t="n">
        <v>335387189.32</v>
      </c>
      <c r="D148" s="2"/>
      <c r="E148" s="2"/>
    </row>
    <row r="149" customFormat="false" ht="15" hidden="false" customHeight="false" outlineLevel="0" collapsed="false">
      <c r="B149" s="2" t="s">
        <v>265</v>
      </c>
      <c r="C149" s="43" t="n">
        <v>0.025</v>
      </c>
      <c r="D149" s="2"/>
      <c r="E149" s="20" t="s">
        <v>266</v>
      </c>
    </row>
    <row r="150" customFormat="false" ht="15" hidden="false" customHeight="false" outlineLevel="0" collapsed="false">
      <c r="B150" s="2" t="s">
        <v>267</v>
      </c>
      <c r="C150" s="29" t="n">
        <v>0.6</v>
      </c>
      <c r="D150" s="2"/>
      <c r="E150" s="20" t="s">
        <v>268</v>
      </c>
    </row>
    <row r="151" customFormat="false" ht="15" hidden="false" customHeight="false" outlineLevel="0" collapsed="false">
      <c r="B151" s="2" t="s">
        <v>269</v>
      </c>
      <c r="C151" s="29" t="n">
        <v>0.6</v>
      </c>
      <c r="D151" s="2"/>
      <c r="E151" s="20" t="s">
        <v>270</v>
      </c>
    </row>
    <row r="152" customFormat="false" ht="15" hidden="false" customHeight="false" outlineLevel="0" collapsed="false">
      <c r="B152" s="2" t="s">
        <v>271</v>
      </c>
      <c r="C152" s="31" t="n">
        <v>2</v>
      </c>
      <c r="D152" s="2"/>
      <c r="E152" s="20" t="s">
        <v>272</v>
      </c>
    </row>
    <row r="153" customFormat="false" ht="15" hidden="false" customHeight="false" outlineLevel="0" collapsed="false">
      <c r="B153" s="2" t="s">
        <v>273</v>
      </c>
      <c r="C153" s="41" t="n">
        <v>3000000</v>
      </c>
      <c r="D153" s="2"/>
      <c r="E153" s="20" t="s">
        <v>274</v>
      </c>
    </row>
    <row r="154" customFormat="false" ht="15" hidden="false" customHeight="false" outlineLevel="0" collapsed="false">
      <c r="B154" s="2" t="s">
        <v>275</v>
      </c>
      <c r="C154" s="31" t="n">
        <v>3</v>
      </c>
      <c r="D154" s="2"/>
      <c r="E154" s="20" t="s">
        <v>276</v>
      </c>
    </row>
    <row r="155" customFormat="false" ht="15" hidden="false" customHeight="false" outlineLevel="0" collapsed="false">
      <c r="B155" s="2" t="s">
        <v>277</v>
      </c>
      <c r="C155" s="31" t="n">
        <v>9</v>
      </c>
      <c r="D155" s="2"/>
      <c r="E155" s="2"/>
    </row>
    <row r="156" customFormat="false" ht="15" hidden="false" customHeight="false" outlineLevel="0" collapsed="false">
      <c r="B156" s="2" t="s">
        <v>278</v>
      </c>
      <c r="C156" s="31" t="n">
        <v>24</v>
      </c>
      <c r="D156" s="2"/>
      <c r="E156" s="20" t="s">
        <v>279</v>
      </c>
    </row>
    <row r="157" customFormat="false" ht="15" hidden="false" customHeight="false" outlineLevel="0" collapsed="false">
      <c r="B157" s="2" t="s">
        <v>280</v>
      </c>
      <c r="C157" s="47" t="n">
        <v>556</v>
      </c>
      <c r="D157" s="2"/>
      <c r="E157" s="20" t="s">
        <v>281</v>
      </c>
    </row>
    <row r="159" customFormat="false" ht="15" hidden="false" customHeight="false" outlineLevel="0" collapsed="false">
      <c r="B159" s="39" t="s">
        <v>282</v>
      </c>
      <c r="C159" s="40"/>
      <c r="D159" s="40"/>
      <c r="E159" s="40"/>
    </row>
    <row r="160" customFormat="false" ht="15" hidden="false" customHeight="false" outlineLevel="0" collapsed="false">
      <c r="B160" s="2" t="s">
        <v>283</v>
      </c>
      <c r="C160" s="42" t="n">
        <f aca="false">C199</f>
        <v>8155070001.31</v>
      </c>
      <c r="D160" s="2"/>
      <c r="E160" s="20" t="s">
        <v>284</v>
      </c>
    </row>
    <row r="161" customFormat="false" ht="19.4" hidden="false" customHeight="false" outlineLevel="0" collapsed="false">
      <c r="B161" s="2" t="s">
        <v>285</v>
      </c>
      <c r="C161" s="41" t="n">
        <v>1585600000</v>
      </c>
      <c r="D161" s="2"/>
      <c r="E161" s="20" t="s">
        <v>286</v>
      </c>
    </row>
    <row r="162" customFormat="false" ht="15" hidden="false" customHeight="false" outlineLevel="0" collapsed="false">
      <c r="B162" s="2" t="s">
        <v>287</v>
      </c>
      <c r="C162" s="41" t="n">
        <v>91000000</v>
      </c>
      <c r="D162" s="2"/>
      <c r="E162" s="20" t="s">
        <v>288</v>
      </c>
    </row>
    <row r="163" customFormat="false" ht="15" hidden="false" customHeight="false" outlineLevel="0" collapsed="false">
      <c r="B163" s="2" t="s">
        <v>289</v>
      </c>
      <c r="C163" s="41" t="n">
        <v>121000000</v>
      </c>
      <c r="D163" s="2"/>
      <c r="E163" s="20" t="s">
        <v>290</v>
      </c>
    </row>
    <row r="164" customFormat="false" ht="15" hidden="false" customHeight="false" outlineLevel="0" collapsed="false">
      <c r="B164" s="2" t="s">
        <v>291</v>
      </c>
      <c r="C164" s="46" t="n">
        <f aca="false">(C161+C162+C163)/C160</f>
        <v>0.220427292434184</v>
      </c>
      <c r="D164" s="2"/>
      <c r="E164" s="20" t="s">
        <v>292</v>
      </c>
    </row>
    <row r="166" customFormat="false" ht="15" hidden="false" customHeight="false" outlineLevel="0" collapsed="false">
      <c r="B166" s="39" t="s">
        <v>293</v>
      </c>
      <c r="C166" s="40"/>
      <c r="D166" s="40"/>
      <c r="E166" s="40"/>
    </row>
    <row r="167" customFormat="false" ht="15" hidden="false" customHeight="false" outlineLevel="0" collapsed="false">
      <c r="B167" s="2" t="s">
        <v>294</v>
      </c>
      <c r="C167" s="47" t="n">
        <v>464</v>
      </c>
      <c r="D167" s="2"/>
      <c r="E167" s="20" t="s">
        <v>295</v>
      </c>
    </row>
    <row r="168" customFormat="false" ht="15" hidden="false" customHeight="false" outlineLevel="0" collapsed="false">
      <c r="B168" s="2" t="s">
        <v>296</v>
      </c>
      <c r="C168" s="47" t="n">
        <v>17</v>
      </c>
      <c r="D168" s="2"/>
      <c r="E168" s="20" t="s">
        <v>297</v>
      </c>
    </row>
    <row r="169" customFormat="false" ht="15" hidden="false" customHeight="false" outlineLevel="0" collapsed="false">
      <c r="B169" s="2" t="s">
        <v>298</v>
      </c>
      <c r="C169" s="41" t="n">
        <v>3166250</v>
      </c>
      <c r="D169" s="2"/>
      <c r="E169" s="20" t="s">
        <v>299</v>
      </c>
    </row>
    <row r="170" customFormat="false" ht="15" hidden="false" customHeight="false" outlineLevel="0" collapsed="false">
      <c r="B170" s="2" t="s">
        <v>300</v>
      </c>
      <c r="C170" s="41" t="n">
        <v>240000</v>
      </c>
      <c r="D170" s="2"/>
      <c r="E170" s="20" t="s">
        <v>301</v>
      </c>
    </row>
    <row r="171" customFormat="false" ht="15" hidden="false" customHeight="false" outlineLevel="0" collapsed="false">
      <c r="B171" s="2" t="s">
        <v>302</v>
      </c>
      <c r="C171" s="41" t="n">
        <v>720000000</v>
      </c>
      <c r="D171" s="2"/>
      <c r="E171" s="20" t="s">
        <v>303</v>
      </c>
    </row>
    <row r="172" customFormat="false" ht="15" hidden="false" customHeight="false" outlineLevel="0" collapsed="false">
      <c r="B172" s="2" t="s">
        <v>304</v>
      </c>
      <c r="C172" s="42" t="n">
        <f aca="false">(C167-C168)*C169+C171</f>
        <v>2135313750</v>
      </c>
      <c r="D172" s="2"/>
      <c r="E172" s="20" t="s">
        <v>305</v>
      </c>
    </row>
    <row r="173" customFormat="false" ht="15" hidden="false" customHeight="false" outlineLevel="0" collapsed="false">
      <c r="B173" s="2" t="s">
        <v>306</v>
      </c>
      <c r="C173" s="42" t="n">
        <f aca="false">C167*C169</f>
        <v>1469140000</v>
      </c>
      <c r="D173" s="2"/>
      <c r="E173" s="20" t="s">
        <v>307</v>
      </c>
    </row>
    <row r="174" customFormat="false" ht="15" hidden="false" customHeight="false" outlineLevel="0" collapsed="false">
      <c r="B174" s="2" t="s">
        <v>308</v>
      </c>
      <c r="C174" s="42" t="n">
        <f aca="false">C167*C170*12</f>
        <v>1336320000</v>
      </c>
      <c r="D174" s="2"/>
      <c r="E174" s="20" t="s">
        <v>309</v>
      </c>
    </row>
    <row r="175" customFormat="false" ht="15" hidden="false" customHeight="false" outlineLevel="0" collapsed="false">
      <c r="B175" s="2" t="s">
        <v>310</v>
      </c>
      <c r="C175" s="42" t="n">
        <f aca="false">(C49+C143/2)*C150*(1-C151)</f>
        <v>988391692.73445</v>
      </c>
      <c r="D175" s="2"/>
      <c r="E175" s="20" t="s">
        <v>311</v>
      </c>
    </row>
    <row r="176" customFormat="false" ht="15" hidden="false" customHeight="false" outlineLevel="0" collapsed="false">
      <c r="B176" s="2" t="s">
        <v>312</v>
      </c>
      <c r="C176" s="42" t="n">
        <f aca="false">(C52*C127-C51)+C53+6*C55+C54*C57</f>
        <v>6862559331.08175</v>
      </c>
      <c r="D176" s="2"/>
      <c r="E176" s="20" t="s">
        <v>313</v>
      </c>
    </row>
    <row r="177" customFormat="false" ht="15" hidden="false" customHeight="false" outlineLevel="0" collapsed="false">
      <c r="B177" s="2" t="s">
        <v>314</v>
      </c>
      <c r="C177" s="42" t="n">
        <f aca="false">C21*C45</f>
        <v>28907854675.13</v>
      </c>
      <c r="D177" s="2"/>
      <c r="E177" s="20" t="s">
        <v>315</v>
      </c>
    </row>
    <row r="178" customFormat="false" ht="15" hidden="false" customHeight="false" outlineLevel="0" collapsed="false">
      <c r="B178" s="2" t="s">
        <v>316</v>
      </c>
      <c r="C178" s="46" t="n">
        <f aca="false">C143/C128</f>
        <v>0.0827385560097088</v>
      </c>
      <c r="D178" s="2"/>
      <c r="E178" s="20" t="s">
        <v>317</v>
      </c>
    </row>
    <row r="179" customFormat="false" ht="15" hidden="false" customHeight="false" outlineLevel="0" collapsed="false">
      <c r="B179" s="2" t="s">
        <v>318</v>
      </c>
      <c r="C179" s="46" t="n">
        <f aca="false">(C143+C177)/C128</f>
        <v>0.413773838029507</v>
      </c>
      <c r="D179" s="2"/>
      <c r="E179" s="20" t="s">
        <v>319</v>
      </c>
    </row>
    <row r="180" customFormat="false" ht="15" hidden="false" customHeight="false" outlineLevel="0" collapsed="false">
      <c r="B180" s="2" t="s">
        <v>320</v>
      </c>
      <c r="C180" s="46" t="n">
        <f aca="false">(C143+C176+C172+C228+C177)/C128</f>
        <v>0.524459231288886</v>
      </c>
      <c r="D180" s="2"/>
      <c r="E180" s="20" t="s">
        <v>321</v>
      </c>
    </row>
    <row r="181" customFormat="false" ht="15" hidden="false" customHeight="false" outlineLevel="0" collapsed="false">
      <c r="B181" s="2" t="s">
        <v>322</v>
      </c>
      <c r="C181" s="46" t="n">
        <f aca="false">1-C180</f>
        <v>0.475540768711114</v>
      </c>
      <c r="D181" s="2"/>
      <c r="E181" s="20" t="s">
        <v>323</v>
      </c>
    </row>
    <row r="182" customFormat="false" ht="15" hidden="false" customHeight="false" outlineLevel="0" collapsed="false">
      <c r="B182" s="2" t="s">
        <v>324</v>
      </c>
      <c r="C182" s="46" t="n">
        <f aca="false">C181-(C174+C175)/C128</f>
        <v>0.448919575285746</v>
      </c>
      <c r="D182" s="2"/>
      <c r="E182" s="20" t="s">
        <v>325</v>
      </c>
    </row>
    <row r="184" customFormat="false" ht="15" hidden="false" customHeight="false" outlineLevel="0" collapsed="false">
      <c r="B184" s="39" t="s">
        <v>326</v>
      </c>
      <c r="C184" s="40"/>
      <c r="D184" s="40"/>
      <c r="E184" s="40"/>
    </row>
    <row r="185" customFormat="false" ht="19.4" hidden="false" customHeight="false" outlineLevel="0" collapsed="false">
      <c r="B185" s="2" t="s">
        <v>327</v>
      </c>
      <c r="C185" s="43" t="n">
        <v>0.015</v>
      </c>
      <c r="D185" s="2"/>
      <c r="E185" s="20" t="s">
        <v>328</v>
      </c>
    </row>
    <row r="186" customFormat="false" ht="15" hidden="false" customHeight="false" outlineLevel="0" collapsed="false">
      <c r="B186" s="2" t="s">
        <v>329</v>
      </c>
      <c r="C186" s="41" t="n">
        <v>3100000</v>
      </c>
      <c r="D186" s="2"/>
      <c r="E186" s="20" t="s">
        <v>330</v>
      </c>
    </row>
    <row r="188" customFormat="false" ht="15" hidden="false" customHeight="false" outlineLevel="0" collapsed="false">
      <c r="B188" s="39" t="s">
        <v>331</v>
      </c>
      <c r="C188" s="40"/>
      <c r="D188" s="40"/>
      <c r="E188" s="40"/>
    </row>
    <row r="189" customFormat="false" ht="15" hidden="false" customHeight="false" outlineLevel="0" collapsed="false">
      <c r="B189" s="2" t="s">
        <v>332</v>
      </c>
      <c r="C189" s="41" t="n">
        <v>4571068290.21</v>
      </c>
      <c r="D189" s="2"/>
      <c r="E189" s="20" t="s">
        <v>333</v>
      </c>
    </row>
    <row r="190" customFormat="false" ht="15" hidden="false" customHeight="false" outlineLevel="0" collapsed="false">
      <c r="B190" s="2" t="s">
        <v>334</v>
      </c>
      <c r="C190" s="41" t="n">
        <v>726703843.49</v>
      </c>
      <c r="D190" s="2"/>
      <c r="E190" s="2"/>
    </row>
    <row r="191" customFormat="false" ht="15" hidden="false" customHeight="false" outlineLevel="0" collapsed="false">
      <c r="B191" s="2" t="s">
        <v>335</v>
      </c>
      <c r="C191" s="41" t="n">
        <v>32551822739.17</v>
      </c>
      <c r="D191" s="2"/>
      <c r="E191" s="2"/>
    </row>
    <row r="192" customFormat="false" ht="15" hidden="false" customHeight="false" outlineLevel="0" collapsed="false">
      <c r="B192" s="2" t="s">
        <v>336</v>
      </c>
      <c r="C192" s="41" t="n">
        <v>4040041713.91</v>
      </c>
      <c r="D192" s="2"/>
      <c r="E192" s="2"/>
    </row>
    <row r="193" customFormat="false" ht="15" hidden="false" customHeight="false" outlineLevel="0" collapsed="false">
      <c r="B193" s="2" t="s">
        <v>337</v>
      </c>
      <c r="C193" s="41" t="n">
        <v>2241064072.7</v>
      </c>
      <c r="D193" s="2"/>
      <c r="E193" s="2"/>
    </row>
    <row r="194" customFormat="false" ht="15" hidden="false" customHeight="false" outlineLevel="0" collapsed="false">
      <c r="B194" s="2" t="s">
        <v>338</v>
      </c>
      <c r="C194" s="41" t="n">
        <v>267333862.93</v>
      </c>
      <c r="D194" s="2"/>
      <c r="E194" s="2"/>
    </row>
    <row r="195" customFormat="false" ht="15" hidden="false" customHeight="false" outlineLevel="0" collapsed="false">
      <c r="B195" s="2" t="s">
        <v>339</v>
      </c>
      <c r="C195" s="41" t="n">
        <v>32446010425.66</v>
      </c>
      <c r="D195" s="2"/>
      <c r="E195" s="2"/>
    </row>
    <row r="196" customFormat="false" ht="15" hidden="false" customHeight="false" outlineLevel="0" collapsed="false">
      <c r="B196" s="2" t="s">
        <v>340</v>
      </c>
      <c r="C196" s="41" t="n">
        <v>78217069372.33</v>
      </c>
      <c r="D196" s="2"/>
      <c r="E196" s="2"/>
    </row>
    <row r="197" customFormat="false" ht="15" hidden="false" customHeight="false" outlineLevel="0" collapsed="false">
      <c r="B197" s="2" t="s">
        <v>341</v>
      </c>
      <c r="C197" s="41" t="n">
        <v>5914489308.16</v>
      </c>
      <c r="D197" s="2"/>
      <c r="E197" s="2"/>
    </row>
    <row r="198" customFormat="false" ht="15" hidden="false" customHeight="false" outlineLevel="0" collapsed="false">
      <c r="B198" s="2" t="s">
        <v>342</v>
      </c>
      <c r="C198" s="41" t="n">
        <v>13986341015.32</v>
      </c>
      <c r="D198" s="2"/>
      <c r="E198" s="2"/>
    </row>
    <row r="199" customFormat="false" ht="15" hidden="false" customHeight="false" outlineLevel="0" collapsed="false">
      <c r="B199" s="2" t="s">
        <v>343</v>
      </c>
      <c r="C199" s="41" t="n">
        <v>8155070001.31</v>
      </c>
      <c r="D199" s="2"/>
      <c r="E199" s="2"/>
    </row>
    <row r="200" customFormat="false" ht="15" hidden="false" customHeight="false" outlineLevel="0" collapsed="false">
      <c r="B200" s="2" t="s">
        <v>344</v>
      </c>
      <c r="C200" s="41" t="n">
        <v>170314500.62</v>
      </c>
      <c r="D200" s="2"/>
      <c r="E200" s="2"/>
    </row>
    <row r="201" customFormat="false" ht="15" hidden="false" customHeight="false" outlineLevel="0" collapsed="false">
      <c r="B201" s="2" t="s">
        <v>345</v>
      </c>
      <c r="C201" s="41" t="n">
        <v>12335648700.58</v>
      </c>
      <c r="D201" s="2"/>
      <c r="E201" s="2"/>
    </row>
    <row r="202" customFormat="false" ht="15" hidden="false" customHeight="false" outlineLevel="0" collapsed="false">
      <c r="B202" s="2" t="s">
        <v>346</v>
      </c>
      <c r="C202" s="41" t="n">
        <v>3320175803.51</v>
      </c>
      <c r="D202" s="2"/>
      <c r="E202" s="2"/>
    </row>
    <row r="203" customFormat="false" ht="15" hidden="false" customHeight="false" outlineLevel="0" collapsed="false">
      <c r="B203" s="2" t="s">
        <v>347</v>
      </c>
      <c r="C203" s="41" t="n">
        <v>70310298420.88</v>
      </c>
      <c r="D203" s="2"/>
      <c r="E203" s="2"/>
    </row>
    <row r="204" customFormat="false" ht="15" hidden="false" customHeight="false" outlineLevel="0" collapsed="false">
      <c r="B204" s="2" t="s">
        <v>348</v>
      </c>
      <c r="C204" s="41" t="n">
        <v>36356305741.94</v>
      </c>
      <c r="D204" s="2"/>
      <c r="E204" s="2"/>
    </row>
    <row r="205" customFormat="false" ht="15" hidden="false" customHeight="false" outlineLevel="0" collapsed="false">
      <c r="B205" s="2" t="s">
        <v>349</v>
      </c>
      <c r="C205" s="41" t="n">
        <v>1410068521.98</v>
      </c>
      <c r="D205" s="2"/>
      <c r="E205" s="2"/>
    </row>
    <row r="206" customFormat="false" ht="15" hidden="false" customHeight="false" outlineLevel="0" collapsed="false">
      <c r="B206" s="2" t="s">
        <v>350</v>
      </c>
      <c r="C206" s="41" t="n">
        <v>2216003645.85</v>
      </c>
      <c r="D206" s="2"/>
      <c r="E206" s="2"/>
    </row>
    <row r="207" customFormat="false" ht="15" hidden="false" customHeight="false" outlineLevel="0" collapsed="false">
      <c r="B207" s="2" t="s">
        <v>351</v>
      </c>
      <c r="C207" s="41" t="n">
        <v>14898030035.79</v>
      </c>
      <c r="D207" s="2"/>
      <c r="E207" s="2"/>
    </row>
    <row r="208" customFormat="false" ht="15" hidden="false" customHeight="false" outlineLevel="0" collapsed="false">
      <c r="B208" s="48" t="s">
        <v>352</v>
      </c>
      <c r="C208" s="42" t="n">
        <f aca="false">SUM(C189:C207)</f>
        <v>324133860016.34</v>
      </c>
      <c r="D208" s="2"/>
      <c r="E208" s="20" t="s">
        <v>353</v>
      </c>
    </row>
    <row r="210" customFormat="false" ht="15" hidden="false" customHeight="false" outlineLevel="0" collapsed="false">
      <c r="B210" s="39" t="s">
        <v>354</v>
      </c>
      <c r="C210" s="40"/>
      <c r="D210" s="40"/>
      <c r="E210" s="40"/>
    </row>
    <row r="211" customFormat="false" ht="15" hidden="false" customHeight="false" outlineLevel="0" collapsed="false">
      <c r="B211" s="2" t="s">
        <v>355</v>
      </c>
      <c r="C211" s="41" t="n">
        <v>14654788589.44</v>
      </c>
      <c r="D211" s="2"/>
      <c r="E211" s="20" t="s">
        <v>356</v>
      </c>
    </row>
    <row r="212" customFormat="false" ht="15" hidden="false" customHeight="false" outlineLevel="0" collapsed="false">
      <c r="B212" s="2" t="s">
        <v>357</v>
      </c>
      <c r="C212" s="41" t="n">
        <v>2688842043.13</v>
      </c>
      <c r="D212" s="2"/>
      <c r="E212" s="2"/>
    </row>
    <row r="213" customFormat="false" ht="15" hidden="false" customHeight="false" outlineLevel="0" collapsed="false">
      <c r="B213" s="2" t="s">
        <v>358</v>
      </c>
      <c r="C213" s="41" t="n">
        <v>7406224850.59</v>
      </c>
      <c r="D213" s="2"/>
      <c r="E213" s="2"/>
    </row>
    <row r="214" customFormat="false" ht="15" hidden="false" customHeight="false" outlineLevel="0" collapsed="false">
      <c r="B214" s="2" t="s">
        <v>359</v>
      </c>
      <c r="C214" s="49" t="n">
        <f aca="false">C176/SUM(C211:C213)</f>
        <v>0.27727674352487</v>
      </c>
      <c r="D214" s="2"/>
      <c r="E214" s="20" t="s">
        <v>360</v>
      </c>
    </row>
    <row r="216" customFormat="false" ht="15" hidden="false" customHeight="false" outlineLevel="0" collapsed="false">
      <c r="B216" s="39" t="s">
        <v>361</v>
      </c>
      <c r="C216" s="40"/>
      <c r="D216" s="40"/>
      <c r="E216" s="40"/>
    </row>
    <row r="217" customFormat="false" ht="19.4" hidden="false" customHeight="false" outlineLevel="0" collapsed="false">
      <c r="B217" s="2" t="s">
        <v>362</v>
      </c>
      <c r="C217" s="43" t="n">
        <v>0.727366</v>
      </c>
      <c r="D217" s="2"/>
      <c r="E217" s="20" t="s">
        <v>363</v>
      </c>
    </row>
    <row r="218" customFormat="false" ht="15" hidden="false" customHeight="false" outlineLevel="0" collapsed="false">
      <c r="B218" s="2" t="s">
        <v>364</v>
      </c>
      <c r="C218" s="42" t="n">
        <f aca="false">C134*C217</f>
        <v>1437443384.47393</v>
      </c>
      <c r="D218" s="2"/>
      <c r="E218" s="20" t="s">
        <v>365</v>
      </c>
    </row>
    <row r="219" customFormat="false" ht="15" hidden="false" customHeight="false" outlineLevel="0" collapsed="false">
      <c r="B219" s="2" t="s">
        <v>366</v>
      </c>
      <c r="C219" s="42" t="n">
        <f aca="false">'Resumen anual'!C53</f>
        <v>1806298514.89344</v>
      </c>
      <c r="D219" s="2"/>
      <c r="E219" s="20" t="s">
        <v>367</v>
      </c>
    </row>
    <row r="220" customFormat="false" ht="15" hidden="false" customHeight="false" outlineLevel="0" collapsed="false">
      <c r="B220" s="2" t="s">
        <v>368</v>
      </c>
      <c r="C220" s="42" t="n">
        <f aca="false">C218-C219</f>
        <v>-368855130.419506</v>
      </c>
      <c r="D220" s="2"/>
      <c r="E220" s="20" t="s">
        <v>369</v>
      </c>
    </row>
    <row r="221" customFormat="false" ht="15" hidden="false" customHeight="false" outlineLevel="0" collapsed="false">
      <c r="B221" s="2" t="s">
        <v>370</v>
      </c>
      <c r="C221" s="42" t="n">
        <f aca="false">'Resumen anual'!C33-(C134-C218)</f>
        <v>1207262573.17871</v>
      </c>
      <c r="D221" s="2"/>
      <c r="E221" s="20" t="s">
        <v>371</v>
      </c>
    </row>
    <row r="222" customFormat="false" ht="15" hidden="false" customHeight="false" outlineLevel="0" collapsed="false">
      <c r="B222" s="2" t="s">
        <v>372</v>
      </c>
      <c r="C222" s="42" t="n">
        <f aca="false">'Resumen anual'!C68</f>
        <v>1576117703.59821</v>
      </c>
      <c r="D222" s="2"/>
      <c r="E222" s="2"/>
    </row>
    <row r="224" customFormat="false" ht="15" hidden="false" customHeight="false" outlineLevel="0" collapsed="false">
      <c r="B224" s="39" t="s">
        <v>373</v>
      </c>
      <c r="C224" s="40"/>
      <c r="D224" s="40"/>
      <c r="E224" s="40"/>
    </row>
    <row r="225" customFormat="false" ht="19.4" hidden="false" customHeight="false" outlineLevel="0" collapsed="false">
      <c r="B225" s="2" t="s">
        <v>374</v>
      </c>
      <c r="C225" s="47" t="n">
        <v>100</v>
      </c>
      <c r="D225" s="2"/>
      <c r="E225" s="20" t="s">
        <v>375</v>
      </c>
    </row>
    <row r="226" customFormat="false" ht="15" hidden="false" customHeight="false" outlineLevel="0" collapsed="false">
      <c r="B226" s="2" t="s">
        <v>376</v>
      </c>
      <c r="C226" s="41" t="n">
        <v>427806.54</v>
      </c>
      <c r="D226" s="2"/>
      <c r="E226" s="20" t="s">
        <v>377</v>
      </c>
    </row>
    <row r="227" customFormat="false" ht="15" hidden="false" customHeight="false" outlineLevel="0" collapsed="false">
      <c r="B227" s="2" t="s">
        <v>378</v>
      </c>
      <c r="C227" s="44" t="n">
        <v>0.20075</v>
      </c>
      <c r="D227" s="2"/>
      <c r="E227" s="20" t="s">
        <v>379</v>
      </c>
    </row>
    <row r="228" customFormat="false" ht="15" hidden="false" customHeight="false" outlineLevel="0" collapsed="false">
      <c r="B228" s="2" t="s">
        <v>380</v>
      </c>
      <c r="C228" s="42" t="n">
        <f aca="false">C225*C226*(1+C227)*13</f>
        <v>667795313.7765</v>
      </c>
      <c r="D228" s="2"/>
      <c r="E228" s="20" t="s">
        <v>381</v>
      </c>
    </row>
    <row r="230" customFormat="false" ht="15" hidden="false" customHeight="false" outlineLevel="0" collapsed="false">
      <c r="B230" s="2" t="s">
        <v>382</v>
      </c>
      <c r="C230" s="41" t="n">
        <v>313491221</v>
      </c>
      <c r="D230" s="2"/>
      <c r="E230" s="20" t="s">
        <v>383</v>
      </c>
    </row>
    <row r="231" customFormat="false" ht="15" hidden="false" customHeight="false" outlineLevel="0" collapsed="false">
      <c r="B231" s="2" t="s">
        <v>384</v>
      </c>
      <c r="C231" s="41" t="n">
        <v>137091891</v>
      </c>
      <c r="D231" s="2"/>
      <c r="E231" s="20" t="s">
        <v>385</v>
      </c>
    </row>
    <row r="232" customFormat="false" ht="15" hidden="false" customHeight="false" outlineLevel="0" collapsed="false">
      <c r="B232" s="2" t="s">
        <v>386</v>
      </c>
      <c r="C232" s="41" t="n">
        <v>39502616</v>
      </c>
      <c r="D232" s="2"/>
      <c r="E232" s="20" t="s">
        <v>387</v>
      </c>
    </row>
    <row r="233" customFormat="false" ht="15" hidden="false" customHeight="false" outlineLevel="0" collapsed="false">
      <c r="B233" s="2" t="s">
        <v>388</v>
      </c>
      <c r="C233" s="41" t="n">
        <v>168737624</v>
      </c>
      <c r="D233" s="2"/>
      <c r="E233" s="20" t="s">
        <v>389</v>
      </c>
    </row>
    <row r="234" customFormat="false" ht="15" hidden="false" customHeight="false" outlineLevel="0" collapsed="false">
      <c r="B234" s="2" t="s">
        <v>390</v>
      </c>
      <c r="C234" s="41" t="n">
        <v>3825756</v>
      </c>
      <c r="D234" s="2"/>
      <c r="E234" s="20" t="s">
        <v>391</v>
      </c>
    </row>
    <row r="235" customFormat="false" ht="15" hidden="false" customHeight="false" outlineLevel="0" collapsed="false">
      <c r="B235" s="2" t="s">
        <v>392</v>
      </c>
      <c r="C235" s="41" t="n">
        <v>8318978</v>
      </c>
      <c r="D235" s="2"/>
      <c r="E235" s="20" t="s">
        <v>393</v>
      </c>
    </row>
    <row r="236" customFormat="false" ht="15" hidden="false" customHeight="false" outlineLevel="0" collapsed="false">
      <c r="B236" s="50" t="s">
        <v>394</v>
      </c>
    </row>
    <row r="238" customFormat="false" ht="19.4" hidden="false" customHeight="false" outlineLevel="0" collapsed="false">
      <c r="B238" s="2" t="s">
        <v>395</v>
      </c>
      <c r="C238" s="41" t="n">
        <v>350000000</v>
      </c>
      <c r="D238" s="2"/>
      <c r="E238" s="20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397</v>
      </c>
    </row>
    <row r="3" customFormat="false" ht="15" hidden="false" customHeight="true" outlineLevel="0" collapsed="false">
      <c r="B3" s="4" t="s">
        <v>398</v>
      </c>
    </row>
    <row r="5" customFormat="false" ht="15" hidden="false" customHeight="true" outlineLevel="0" collapsed="false">
      <c r="B5" s="51" t="s">
        <v>399</v>
      </c>
      <c r="C5" s="51" t="s">
        <v>400</v>
      </c>
      <c r="D5" s="51" t="s">
        <v>401</v>
      </c>
      <c r="E5" s="51" t="s">
        <v>402</v>
      </c>
      <c r="F5" s="51" t="s">
        <v>403</v>
      </c>
      <c r="G5" s="51" t="s">
        <v>404</v>
      </c>
      <c r="H5" s="51" t="s">
        <v>405</v>
      </c>
      <c r="I5" s="51" t="s">
        <v>406</v>
      </c>
      <c r="J5" s="51" t="s">
        <v>407</v>
      </c>
      <c r="K5" s="51" t="s">
        <v>408</v>
      </c>
      <c r="L5" s="51" t="s">
        <v>409</v>
      </c>
      <c r="M5" s="51" t="s">
        <v>410</v>
      </c>
      <c r="N5" s="51" t="s">
        <v>411</v>
      </c>
      <c r="O5" s="51" t="s">
        <v>412</v>
      </c>
      <c r="P5" s="51" t="s">
        <v>413</v>
      </c>
    </row>
    <row r="6" customFormat="false" ht="15" hidden="false" customHeight="true" outlineLevel="0" collapsed="false">
      <c r="B6" s="9" t="s">
        <v>414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415</v>
      </c>
    </row>
    <row r="7" customFormat="false" ht="15" hidden="false" customHeight="true" outlineLevel="0" collapsed="false">
      <c r="B7" s="9" t="s">
        <v>416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417</v>
      </c>
    </row>
    <row r="8" customFormat="false" ht="15" hidden="false" customHeight="true" outlineLevel="0" collapsed="false">
      <c r="B8" s="9" t="s">
        <v>418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419</v>
      </c>
    </row>
    <row r="9" customFormat="false" ht="15" hidden="false" customHeight="true" outlineLevel="0" collapsed="false">
      <c r="B9" s="9" t="s">
        <v>420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421</v>
      </c>
    </row>
    <row r="10" customFormat="false" ht="15" hidden="false" customHeight="true" outlineLevel="0" collapsed="false">
      <c r="B10" s="9" t="s">
        <v>422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423</v>
      </c>
    </row>
    <row r="11" customFormat="false" ht="15" hidden="false" customHeight="true" outlineLevel="0" collapsed="false">
      <c r="B11" s="9" t="s">
        <v>424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425</v>
      </c>
    </row>
    <row r="12" customFormat="false" ht="15" hidden="false" customHeight="true" outlineLevel="0" collapsed="false">
      <c r="B12" s="9" t="s">
        <v>426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427</v>
      </c>
    </row>
    <row r="13" customFormat="false" ht="15" hidden="false" customHeight="true" outlineLevel="0" collapsed="false">
      <c r="B13" s="9" t="s">
        <v>428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429</v>
      </c>
    </row>
    <row r="14" customFormat="false" ht="15" hidden="false" customHeight="true" outlineLevel="0" collapsed="false">
      <c r="B14" s="9" t="s">
        <v>430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431</v>
      </c>
    </row>
    <row r="15" customFormat="false" ht="15" hidden="false" customHeight="true" outlineLevel="0" collapsed="false">
      <c r="B15" s="9" t="s">
        <v>432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434</v>
      </c>
    </row>
    <row r="3" customFormat="false" ht="15" hidden="false" customHeight="true" outlineLevel="0" collapsed="false">
      <c r="B3" s="4" t="s">
        <v>435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A7" s="2"/>
      <c r="B7" s="56" t="s">
        <v>446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447</v>
      </c>
      <c r="C8" s="57" t="n">
        <f aca="false">Supuestos!$C$114*(1+Supuestos!$C$31)^3*Estacionalidad!C$6*C$18</f>
        <v>21385841008.064</v>
      </c>
      <c r="D8" s="57" t="n">
        <f aca="false">Supuestos!$C$114*(1+Supuestos!$C$31)^3*Estacionalidad!D$6*D$18</f>
        <v>17457829394.338</v>
      </c>
      <c r="E8" s="57" t="n">
        <f aca="false">Supuestos!$C$114*(1+Supuestos!$C$31)^3*Estacionalidad!E$6*E$18</f>
        <v>18330720864.0549</v>
      </c>
      <c r="F8" s="57" t="n">
        <f aca="false">Supuestos!$C$114*(1+Supuestos!$C$31)^3*Estacionalidad!F$6*F$18</f>
        <v>17894275129.1964</v>
      </c>
      <c r="G8" s="57" t="n">
        <f aca="false">Supuestos!$C$114*(1+Supuestos!$C$31)^3*Estacionalidad!G$6*G$18</f>
        <v>17457829394.338</v>
      </c>
      <c r="H8" s="57" t="n">
        <f aca="false">Supuestos!$C$114*(1+Supuestos!$C$31)^3*Estacionalidad!H$6*H$18</f>
        <v>17894275129.1964</v>
      </c>
      <c r="I8" s="57" t="n">
        <f aca="false">Supuestos!$C$114*(1+Supuestos!$C$31)^3*Estacionalidad!I$6*I$18</f>
        <v>18330720864.0549</v>
      </c>
      <c r="J8" s="57" t="n">
        <f aca="false">Supuestos!$C$114*(1+Supuestos!$C$31)^3*Estacionalidad!J$6*J$18</f>
        <v>17894275129.1964</v>
      </c>
      <c r="K8" s="57" t="n">
        <f aca="false">Supuestos!$C$114*(1+Supuestos!$C$31)^3*Estacionalidad!K$6*K$18</f>
        <v>17457829394.338</v>
      </c>
      <c r="L8" s="57" t="n">
        <f aca="false">Supuestos!$C$114*(1+Supuestos!$C$31)^3*Estacionalidad!L$6*L$18</f>
        <v>17894275129.1964</v>
      </c>
      <c r="M8" s="57" t="n">
        <f aca="false">Supuestos!$C$114*(1+Supuestos!$C$31)^3*Estacionalidad!M$6*M$18</f>
        <v>17457829394.338</v>
      </c>
      <c r="N8" s="57" t="n">
        <f aca="false">Supuestos!$C$114*(1+Supuestos!$C$31)^3*Estacionalidad!N$6*N$18</f>
        <v>18767166598.9133</v>
      </c>
      <c r="O8" s="57" t="n">
        <f aca="false">Supuestos!$C$114*(1+Supuestos!$C$31)^4*Estacionalidad!C$6*O$18</f>
        <v>21802864907.7213</v>
      </c>
      <c r="P8" s="57" t="n">
        <f aca="false">Supuestos!$C$114*(1+Supuestos!$C$31)^4*Estacionalidad!D$6*P$18</f>
        <v>17798257067.5276</v>
      </c>
      <c r="Q8" s="57" t="n">
        <f aca="false">Supuestos!$C$114*(1+Supuestos!$C$31)^4*Estacionalidad!E$6*Q$18</f>
        <v>18688169920.904</v>
      </c>
      <c r="R8" s="57" t="n">
        <f aca="false">Supuestos!$C$114*(1+Supuestos!$C$31)^4*Estacionalidad!F$6*R$18</f>
        <v>18243213494.2158</v>
      </c>
      <c r="S8" s="57" t="n">
        <f aca="false">Supuestos!$C$114*(1+Supuestos!$C$31)^4*Estacionalidad!G$6*S$18</f>
        <v>17798257067.5276</v>
      </c>
      <c r="T8" s="57" t="n">
        <f aca="false">Supuestos!$C$114*(1+Supuestos!$C$31)^4*Estacionalidad!H$6*T$18</f>
        <v>18243213494.2158</v>
      </c>
      <c r="U8" s="57" t="n">
        <f aca="false">Supuestos!$C$114*(1+Supuestos!$C$31)^4*Estacionalidad!I$6*U$18</f>
        <v>18688169920.904</v>
      </c>
      <c r="V8" s="57" t="n">
        <f aca="false">Supuestos!$C$114*(1+Supuestos!$C$31)^4*Estacionalidad!J$6*V$18</f>
        <v>18243213494.2158</v>
      </c>
      <c r="W8" s="57" t="n">
        <f aca="false">Supuestos!$C$114*(1+Supuestos!$C$31)^4*Estacionalidad!K$6*W$18</f>
        <v>17798257067.5276</v>
      </c>
      <c r="X8" s="57" t="n">
        <f aca="false">Supuestos!$C$114*(1+Supuestos!$C$31)^4*Estacionalidad!L$6*X$18</f>
        <v>18243213494.2158</v>
      </c>
      <c r="Y8" s="57" t="n">
        <f aca="false">Supuestos!$C$114*(1+Supuestos!$C$31)^4*Estacionalidad!M$6*Y$18</f>
        <v>17798257067.5276</v>
      </c>
      <c r="Z8" s="57" t="n">
        <f aca="false">Supuestos!$C$114*(1+Supuestos!$C$31)^4*Estacionalidad!N$6*Z$18</f>
        <v>19133126347.5921</v>
      </c>
      <c r="AA8" s="57" t="n">
        <f aca="false">Supuestos!$C$114*(1+Supuestos!$C$31)^5*Estacionalidad!C$6*AA$18</f>
        <v>22228020773.4218</v>
      </c>
      <c r="AB8" s="57" t="n">
        <f aca="false">Supuestos!$C$114*(1+Supuestos!$C$31)^5*Estacionalidad!D$6*AB$18</f>
        <v>18145323080.3444</v>
      </c>
      <c r="AC8" s="57" t="n">
        <f aca="false">Supuestos!$C$114*(1+Supuestos!$C$31)^5*Estacionalidad!E$6*AC$18</f>
        <v>19052589234.3616</v>
      </c>
      <c r="AD8" s="57" t="n">
        <f aca="false">Supuestos!$C$114*(1+Supuestos!$C$31)^5*Estacionalidad!F$6*AD$18</f>
        <v>18598956157.353</v>
      </c>
      <c r="AE8" s="57" t="n">
        <f aca="false">Supuestos!$C$114*(1+Supuestos!$C$31)^5*Estacionalidad!G$6*AE$18</f>
        <v>18145323080.3444</v>
      </c>
      <c r="AF8" s="57" t="n">
        <f aca="false">Supuestos!$C$114*(1+Supuestos!$C$31)^5*Estacionalidad!H$6*AF$18</f>
        <v>18598956157.353</v>
      </c>
      <c r="AG8" s="57" t="n">
        <f aca="false">Supuestos!$C$114*(1+Supuestos!$C$31)^5*Estacionalidad!I$6*AG$18</f>
        <v>19052589234.3616</v>
      </c>
      <c r="AH8" s="57" t="n">
        <f aca="false">Supuestos!$C$114*(1+Supuestos!$C$31)^5*Estacionalidad!J$6*AH$18</f>
        <v>18598956157.353</v>
      </c>
      <c r="AI8" s="57" t="n">
        <f aca="false">Supuestos!$C$114*(1+Supuestos!$C$31)^5*Estacionalidad!K$6*AI$18</f>
        <v>18145323080.3444</v>
      </c>
      <c r="AJ8" s="57" t="n">
        <f aca="false">Supuestos!$C$114*(1+Supuestos!$C$31)^5*Estacionalidad!L$6*AJ$18</f>
        <v>18598956157.353</v>
      </c>
      <c r="AK8" s="57" t="n">
        <f aca="false">Supuestos!$C$114*(1+Supuestos!$C$31)^5*Estacionalidad!M$6*AK$18</f>
        <v>18145323080.3444</v>
      </c>
      <c r="AL8" s="57" t="n">
        <f aca="false">Supuestos!$C$114*(1+Supuestos!$C$31)^5*Estacionalidad!N$6*AL$18</f>
        <v>19506222311.3702</v>
      </c>
      <c r="AM8" s="57" t="n">
        <f aca="false">Supuestos!$C$114*(1+Supuestos!$C$31)^6*Estacionalidad!C$6*AM$18</f>
        <v>22661467178.5036</v>
      </c>
      <c r="AN8" s="57" t="n">
        <f aca="false">Supuestos!$C$114*(1+Supuestos!$C$31)^6*Estacionalidad!D$6*AN$18</f>
        <v>18499156880.4111</v>
      </c>
      <c r="AO8" s="57" t="n">
        <f aca="false">Supuestos!$C$114*(1+Supuestos!$C$31)^6*Estacionalidad!E$6*AO$18</f>
        <v>19424114724.4316</v>
      </c>
      <c r="AP8" s="57" t="n">
        <f aca="false">Supuestos!$C$114*(1+Supuestos!$C$31)^6*Estacionalidad!F$6*AP$18</f>
        <v>18961635802.4214</v>
      </c>
      <c r="AQ8" s="57" t="n">
        <f aca="false">Supuestos!$C$114*(1+Supuestos!$C$31)^6*Estacionalidad!G$6*AQ$18</f>
        <v>18499156880.4111</v>
      </c>
      <c r="AR8" s="57" t="n">
        <f aca="false">Supuestos!$C$114*(1+Supuestos!$C$31)^6*Estacionalidad!H$6*AR$18</f>
        <v>18961635802.4214</v>
      </c>
      <c r="AS8" s="57" t="n">
        <f aca="false">Supuestos!$C$114*(1+Supuestos!$C$31)^6*Estacionalidad!I$6*AS$18</f>
        <v>19424114724.4316</v>
      </c>
      <c r="AT8" s="57" t="n">
        <f aca="false">Supuestos!$C$114*(1+Supuestos!$C$31)^6*Estacionalidad!J$6*AT$18</f>
        <v>18961635802.4214</v>
      </c>
      <c r="AU8" s="57" t="n">
        <f aca="false">Supuestos!$C$114*(1+Supuestos!$C$31)^6*Estacionalidad!K$6*AU$18</f>
        <v>18499156880.4111</v>
      </c>
      <c r="AV8" s="57" t="n">
        <f aca="false">Supuestos!$C$114*(1+Supuestos!$C$31)^6*Estacionalidad!L$6*AV$18</f>
        <v>18961635802.4214</v>
      </c>
      <c r="AW8" s="57" t="n">
        <f aca="false">Supuestos!$C$114*(1+Supuestos!$C$31)^6*Estacionalidad!M$6*AW$18</f>
        <v>18499156880.4111</v>
      </c>
      <c r="AX8" s="57" t="n">
        <f aca="false">Supuestos!$C$114*(1+Supuestos!$C$31)^6*Estacionalidad!N$6*AX$18</f>
        <v>19886593646.4419</v>
      </c>
      <c r="AY8" s="57" t="n">
        <f aca="false">Supuestos!$C$114*(1+Supuestos!$C$31)^7*Estacionalidad!C$6*AY$18</f>
        <v>23103365788.4844</v>
      </c>
      <c r="AZ8" s="57" t="n">
        <f aca="false">Supuestos!$C$114*(1+Supuestos!$C$31)^7*Estacionalidad!D$6*AZ$18</f>
        <v>18859890439.5791</v>
      </c>
      <c r="BA8" s="57" t="n">
        <f aca="false">Supuestos!$C$114*(1+Supuestos!$C$31)^7*Estacionalidad!E$6*BA$18</f>
        <v>19802884961.5581</v>
      </c>
      <c r="BB8" s="57" t="n">
        <f aca="false">Supuestos!$C$114*(1+Supuestos!$C$31)^7*Estacionalidad!F$6*BB$18</f>
        <v>19331387700.5686</v>
      </c>
      <c r="BC8" s="57" t="n">
        <f aca="false">Supuestos!$C$114*(1+Supuestos!$C$31)^7*Estacionalidad!G$6*BC$18</f>
        <v>18859890439.5791</v>
      </c>
      <c r="BD8" s="57" t="n">
        <f aca="false">Supuestos!$C$114*(1+Supuestos!$C$31)^7*Estacionalidad!H$6*BD$18</f>
        <v>19331387700.5686</v>
      </c>
      <c r="BE8" s="57" t="n">
        <f aca="false">Supuestos!$C$114*(1+Supuestos!$C$31)^7*Estacionalidad!I$6*BE$18</f>
        <v>19802884961.5581</v>
      </c>
      <c r="BF8" s="57" t="n">
        <f aca="false">Supuestos!$C$114*(1+Supuestos!$C$31)^7*Estacionalidad!J$6*BF$18</f>
        <v>19331387700.5686</v>
      </c>
      <c r="BG8" s="57" t="n">
        <f aca="false">Supuestos!$C$114*(1+Supuestos!$C$31)^7*Estacionalidad!K$6*BG$18</f>
        <v>18859890439.5791</v>
      </c>
      <c r="BH8" s="57" t="n">
        <f aca="false">Supuestos!$C$114*(1+Supuestos!$C$31)^7*Estacionalidad!L$6*BH$18</f>
        <v>19331387700.5686</v>
      </c>
      <c r="BI8" s="57" t="n">
        <f aca="false">Supuestos!$C$114*(1+Supuestos!$C$31)^7*Estacionalidad!M$6*BI$18</f>
        <v>18859890439.5791</v>
      </c>
      <c r="BJ8" s="57" t="n">
        <f aca="false">Supuestos!$C$114*(1+Supuestos!$C$31)^7*Estacionalidad!N$6*BJ$18</f>
        <v>20274382222.5475</v>
      </c>
      <c r="BK8" s="57" t="n">
        <f aca="false">Supuestos!$C$114*(1+Supuestos!$C$31)^8*Estacionalidad!C$6*BK$18</f>
        <v>23553881421.3598</v>
      </c>
      <c r="BL8" s="57" t="n">
        <f aca="false">Supuestos!$C$114*(1+Supuestos!$C$31)^8*Estacionalidad!D$6*BL$18</f>
        <v>19227658303.1509</v>
      </c>
      <c r="BM8" s="57" t="n">
        <f aca="false">Supuestos!$C$114*(1+Supuestos!$C$31)^8*Estacionalidad!E$6*BM$18</f>
        <v>20189041218.3084</v>
      </c>
      <c r="BN8" s="57" t="n">
        <f aca="false">Supuestos!$C$114*(1+Supuestos!$C$31)^8*Estacionalidad!F$6*BN$18</f>
        <v>19708349760.7297</v>
      </c>
      <c r="BO8" s="57" t="n">
        <f aca="false">Supuestos!$C$114*(1+Supuestos!$C$31)^8*Estacionalidad!G$6*BO$18</f>
        <v>19227658303.1509</v>
      </c>
      <c r="BP8" s="57" t="n">
        <f aca="false">Supuestos!$C$114*(1+Supuestos!$C$31)^8*Estacionalidad!H$6*BP$18</f>
        <v>19708349760.7297</v>
      </c>
      <c r="BQ8" s="57" t="n">
        <f aca="false">Supuestos!$C$114*(1+Supuestos!$C$31)^8*Estacionalidad!I$6*BQ$18</f>
        <v>20189041218.3084</v>
      </c>
      <c r="BR8" s="57" t="n">
        <f aca="false">Supuestos!$C$114*(1+Supuestos!$C$31)^8*Estacionalidad!J$6*BR$18</f>
        <v>19708349760.7297</v>
      </c>
      <c r="BS8" s="57" t="n">
        <f aca="false">Supuestos!$C$114*(1+Supuestos!$C$31)^8*Estacionalidad!K$6*BS$18</f>
        <v>19227658303.1509</v>
      </c>
      <c r="BT8" s="57" t="n">
        <f aca="false">Supuestos!$C$114*(1+Supuestos!$C$31)^8*Estacionalidad!L$6*BT$18</f>
        <v>19708349760.7297</v>
      </c>
      <c r="BU8" s="57" t="n">
        <f aca="false">Supuestos!$C$114*(1+Supuestos!$C$31)^8*Estacionalidad!M$6*BU$18</f>
        <v>19227658303.1509</v>
      </c>
      <c r="BV8" s="57" t="n">
        <f aca="false">Supuestos!$C$114*(1+Supuestos!$C$31)^8*Estacionalidad!N$6*BV$18</f>
        <v>20669732675.8872</v>
      </c>
      <c r="BW8" s="57" t="n">
        <f aca="false">Supuestos!$C$114*(1+Supuestos!$C$31)^9*Estacionalidad!C$6*BW$18</f>
        <v>24013182109.0764</v>
      </c>
      <c r="BX8" s="57" t="n">
        <f aca="false">Supuestos!$C$114*(1+Supuestos!$C$31)^9*Estacionalidad!D$6*BX$18</f>
        <v>19602597640.0623</v>
      </c>
      <c r="BY8" s="57" t="n">
        <f aca="false">Supuestos!$C$114*(1+Supuestos!$C$31)^9*Estacionalidad!E$6*BY$18</f>
        <v>20582727522.0655</v>
      </c>
      <c r="BZ8" s="57" t="n">
        <f aca="false">Supuestos!$C$114*(1+Supuestos!$C$31)^9*Estacionalidad!F$6*BZ$18</f>
        <v>20092662581.0639</v>
      </c>
      <c r="CA8" s="57" t="n">
        <f aca="false">Supuestos!$C$114*(1+Supuestos!$C$31)^9*Estacionalidad!G$6*CA$18</f>
        <v>19602597640.0623</v>
      </c>
      <c r="CB8" s="57" t="n">
        <f aca="false">Supuestos!$C$114*(1+Supuestos!$C$31)^9*Estacionalidad!H$6*CB$18</f>
        <v>20092662581.0639</v>
      </c>
      <c r="CC8" s="57" t="n">
        <f aca="false">Supuestos!$C$114*(1+Supuestos!$C$31)^9*Estacionalidad!I$6*CC$18</f>
        <v>20582727522.0655</v>
      </c>
      <c r="CD8" s="57" t="n">
        <f aca="false">Supuestos!$C$114*(1+Supuestos!$C$31)^9*Estacionalidad!J$6*CD$18</f>
        <v>20092662581.0639</v>
      </c>
      <c r="CE8" s="57" t="n">
        <f aca="false">Supuestos!$C$114*(1+Supuestos!$C$31)^9*Estacionalidad!K$6*CE$18</f>
        <v>19602597640.0623</v>
      </c>
      <c r="CF8" s="57" t="n">
        <f aca="false">Supuestos!$C$114*(1+Supuestos!$C$31)^9*Estacionalidad!L$6*CF$18</f>
        <v>20092662581.0639</v>
      </c>
      <c r="CG8" s="57" t="n">
        <f aca="false">Supuestos!$C$114*(1+Supuestos!$C$31)^9*Estacionalidad!M$6*CG$18</f>
        <v>19602597640.0623</v>
      </c>
      <c r="CH8" s="57" t="n">
        <f aca="false">Supuestos!$C$114*(1+Supuestos!$C$31)^9*Estacionalidad!N$6*CH$18</f>
        <v>21072792463.067</v>
      </c>
      <c r="CI8" s="57" t="n">
        <f aca="false">Supuestos!$C$114*(1+Supuestos!$C$31)^10*Estacionalidad!C$6*CI$18</f>
        <v>24481439160.2034</v>
      </c>
      <c r="CJ8" s="57" t="n">
        <f aca="false">Supuestos!$C$114*(1+Supuestos!$C$31)^10*Estacionalidad!D$6*CJ$18</f>
        <v>19984848294.0436</v>
      </c>
      <c r="CK8" s="57" t="n">
        <f aca="false">Supuestos!$C$114*(1+Supuestos!$C$31)^10*Estacionalidad!E$6*CK$18</f>
        <v>20984090708.7457</v>
      </c>
      <c r="CL8" s="57" t="n">
        <f aca="false">Supuestos!$C$114*(1+Supuestos!$C$31)^10*Estacionalidad!F$6*CL$18</f>
        <v>20484469501.3946</v>
      </c>
      <c r="CM8" s="57" t="n">
        <f aca="false">Supuestos!$C$114*(1+Supuestos!$C$31)^10*Estacionalidad!G$6*CM$18</f>
        <v>19984848294.0436</v>
      </c>
      <c r="CN8" s="57" t="n">
        <f aca="false">Supuestos!$C$114*(1+Supuestos!$C$31)^10*Estacionalidad!H$6*CN$18</f>
        <v>20484469501.3946</v>
      </c>
      <c r="CO8" s="57" t="n">
        <f aca="false">Supuestos!$C$114*(1+Supuestos!$C$31)^10*Estacionalidad!I$6*CO$18</f>
        <v>20984090708.7457</v>
      </c>
      <c r="CP8" s="57" t="n">
        <f aca="false">Supuestos!$C$114*(1+Supuestos!$C$31)^10*Estacionalidad!J$6*CP$18</f>
        <v>20484469501.3946</v>
      </c>
      <c r="CQ8" s="57" t="n">
        <f aca="false">Supuestos!$C$114*(1+Supuestos!$C$31)^10*Estacionalidad!K$6*CQ$18</f>
        <v>19984848294.0436</v>
      </c>
      <c r="CR8" s="57" t="n">
        <f aca="false">Supuestos!$C$114*(1+Supuestos!$C$31)^10*Estacionalidad!L$6*CR$18</f>
        <v>20484469501.3946</v>
      </c>
      <c r="CS8" s="57" t="n">
        <f aca="false">Supuestos!$C$114*(1+Supuestos!$C$31)^10*Estacionalidad!M$6*CS$18</f>
        <v>19984848294.0436</v>
      </c>
      <c r="CT8" s="57" t="n">
        <f aca="false">Supuestos!$C$114*(1+Supuestos!$C$31)^10*Estacionalidad!N$6*CT$18</f>
        <v>21483711916.0968</v>
      </c>
    </row>
    <row r="9" customFormat="false" ht="15" hidden="false" customHeight="true" outlineLevel="0" collapsed="false">
      <c r="A9" s="2"/>
      <c r="B9" s="9" t="s">
        <v>448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449</v>
      </c>
      <c r="C10" s="57" t="n">
        <f aca="false">Supuestos!$C$115*Supuestos!$C$118*(1+Supuestos!$C$32)^3*Estacionalidad!C$7*C$18</f>
        <v>5611057186.86815</v>
      </c>
      <c r="D10" s="57" t="n">
        <f aca="false">Supuestos!$C$115*Supuestos!$C$118*(1+Supuestos!$C$32)^3*Estacionalidad!D$7*D$18</f>
        <v>5475850989.59422</v>
      </c>
      <c r="E10" s="57" t="n">
        <f aca="false">Supuestos!$C$115*Supuestos!$C$118*(1+Supuestos!$C$32)^3*Estacionalidad!E$7*E$18</f>
        <v>5746263384.14208</v>
      </c>
      <c r="F10" s="57" t="n">
        <f aca="false">Supuestos!$C$115*Supuestos!$C$118*(1+Supuestos!$C$32)^3*Estacionalidad!F$7*F$18</f>
        <v>5678660285.50511</v>
      </c>
      <c r="G10" s="57" t="n">
        <f aca="false">Supuestos!$C$115*Supuestos!$C$118*(1+Supuestos!$C$32)^3*Estacionalidad!G$7*G$18</f>
        <v>5611057186.86815</v>
      </c>
      <c r="H10" s="57" t="n">
        <f aca="false">Supuestos!$C$115*Supuestos!$C$118*(1+Supuestos!$C$32)^3*Estacionalidad!H$7*H$18</f>
        <v>5678660285.50511</v>
      </c>
      <c r="I10" s="57" t="n">
        <f aca="false">Supuestos!$C$115*Supuestos!$C$118*(1+Supuestos!$C$32)^3*Estacionalidad!I$7*I$18</f>
        <v>5746263384.14208</v>
      </c>
      <c r="J10" s="57" t="n">
        <f aca="false">Supuestos!$C$115*Supuestos!$C$118*(1+Supuestos!$C$32)^3*Estacionalidad!J$7*J$18</f>
        <v>5678660285.50511</v>
      </c>
      <c r="K10" s="57" t="n">
        <f aca="false">Supuestos!$C$115*Supuestos!$C$118*(1+Supuestos!$C$32)^3*Estacionalidad!K$7*K$18</f>
        <v>5611057186.86815</v>
      </c>
      <c r="L10" s="57" t="n">
        <f aca="false">Supuestos!$C$115*Supuestos!$C$118*(1+Supuestos!$C$32)^3*Estacionalidad!L$7*L$18</f>
        <v>5678660285.50511</v>
      </c>
      <c r="M10" s="57" t="n">
        <f aca="false">Supuestos!$C$115*Supuestos!$C$118*(1+Supuestos!$C$32)^3*Estacionalidad!M$7*M$18</f>
        <v>5611057186.86815</v>
      </c>
      <c r="N10" s="57" t="n">
        <f aca="false">Supuestos!$C$115*Supuestos!$C$118*(1+Supuestos!$C$32)^3*Estacionalidad!N$7*N$18</f>
        <v>5475850989.59422</v>
      </c>
      <c r="O10" s="57" t="n">
        <f aca="false">Supuestos!$C$115*Supuestos!$C$118*(1+Supuestos!$C$32)^4*Estacionalidad!C$7*O$18</f>
        <v>5487838371.04452</v>
      </c>
      <c r="P10" s="57" t="n">
        <f aca="false">Supuestos!$C$115*Supuestos!$C$118*(1+Supuestos!$C$32)^4*Estacionalidad!D$7*P$18</f>
        <v>5355601301.86273</v>
      </c>
      <c r="Q10" s="57" t="n">
        <f aca="false">Supuestos!$C$115*Supuestos!$C$118*(1+Supuestos!$C$32)^4*Estacionalidad!E$7*Q$18</f>
        <v>5620075440.22632</v>
      </c>
      <c r="R10" s="57" t="n">
        <f aca="false">Supuestos!$C$115*Supuestos!$C$118*(1+Supuestos!$C$32)^4*Estacionalidad!F$7*R$18</f>
        <v>5553956905.63542</v>
      </c>
      <c r="S10" s="57" t="n">
        <f aca="false">Supuestos!$C$115*Supuestos!$C$118*(1+Supuestos!$C$32)^4*Estacionalidad!G$7*S$18</f>
        <v>5487838371.04452</v>
      </c>
      <c r="T10" s="57" t="n">
        <f aca="false">Supuestos!$C$115*Supuestos!$C$118*(1+Supuestos!$C$32)^4*Estacionalidad!H$7*T$18</f>
        <v>5553956905.63542</v>
      </c>
      <c r="U10" s="57" t="n">
        <f aca="false">Supuestos!$C$115*Supuestos!$C$118*(1+Supuestos!$C$32)^4*Estacionalidad!I$7*U$18</f>
        <v>5620075440.22632</v>
      </c>
      <c r="V10" s="57" t="n">
        <f aca="false">Supuestos!$C$115*Supuestos!$C$118*(1+Supuestos!$C$32)^4*Estacionalidad!J$7*V$18</f>
        <v>5553956905.63542</v>
      </c>
      <c r="W10" s="57" t="n">
        <f aca="false">Supuestos!$C$115*Supuestos!$C$118*(1+Supuestos!$C$32)^4*Estacionalidad!K$7*W$18</f>
        <v>5487838371.04452</v>
      </c>
      <c r="X10" s="57" t="n">
        <f aca="false">Supuestos!$C$115*Supuestos!$C$118*(1+Supuestos!$C$32)^4*Estacionalidad!L$7*X$18</f>
        <v>5553956905.63542</v>
      </c>
      <c r="Y10" s="57" t="n">
        <f aca="false">Supuestos!$C$115*Supuestos!$C$118*(1+Supuestos!$C$32)^4*Estacionalidad!M$7*Y$18</f>
        <v>5487838371.04452</v>
      </c>
      <c r="Z10" s="57" t="n">
        <f aca="false">Supuestos!$C$115*Supuestos!$C$118*(1+Supuestos!$C$32)^4*Estacionalidad!N$7*Z$18</f>
        <v>5355601301.86273</v>
      </c>
      <c r="AA10" s="57" t="n">
        <f aca="false">Supuestos!$C$115*Supuestos!$C$118*(1+Supuestos!$C$32)^5*Estacionalidad!C$7*AA$18</f>
        <v>5367325440.41639</v>
      </c>
      <c r="AB10" s="57" t="n">
        <f aca="false">Supuestos!$C$115*Supuestos!$C$118*(1+Supuestos!$C$32)^5*Estacionalidad!D$7*AB$18</f>
        <v>5237992297.27382</v>
      </c>
      <c r="AC10" s="57" t="n">
        <f aca="false">Supuestos!$C$115*Supuestos!$C$118*(1+Supuestos!$C$32)^5*Estacionalidad!E$7*AC$18</f>
        <v>5496658583.55895</v>
      </c>
      <c r="AD10" s="57" t="n">
        <f aca="false">Supuestos!$C$115*Supuestos!$C$118*(1+Supuestos!$C$32)^5*Estacionalidad!F$7*AD$18</f>
        <v>5431992011.98767</v>
      </c>
      <c r="AE10" s="57" t="n">
        <f aca="false">Supuestos!$C$115*Supuestos!$C$118*(1+Supuestos!$C$32)^5*Estacionalidad!G$7*AE$18</f>
        <v>5367325440.41639</v>
      </c>
      <c r="AF10" s="57" t="n">
        <f aca="false">Supuestos!$C$115*Supuestos!$C$118*(1+Supuestos!$C$32)^5*Estacionalidad!H$7*AF$18</f>
        <v>5431992011.98767</v>
      </c>
      <c r="AG10" s="57" t="n">
        <f aca="false">Supuestos!$C$115*Supuestos!$C$118*(1+Supuestos!$C$32)^5*Estacionalidad!I$7*AG$18</f>
        <v>5496658583.55895</v>
      </c>
      <c r="AH10" s="57" t="n">
        <f aca="false">Supuestos!$C$115*Supuestos!$C$118*(1+Supuestos!$C$32)^5*Estacionalidad!J$7*AH$18</f>
        <v>5431992011.98767</v>
      </c>
      <c r="AI10" s="57" t="n">
        <f aca="false">Supuestos!$C$115*Supuestos!$C$118*(1+Supuestos!$C$32)^5*Estacionalidad!K$7*AI$18</f>
        <v>5367325440.41639</v>
      </c>
      <c r="AJ10" s="57" t="n">
        <f aca="false">Supuestos!$C$115*Supuestos!$C$118*(1+Supuestos!$C$32)^5*Estacionalidad!L$7*AJ$18</f>
        <v>5431992011.98767</v>
      </c>
      <c r="AK10" s="57" t="n">
        <f aca="false">Supuestos!$C$115*Supuestos!$C$118*(1+Supuestos!$C$32)^5*Estacionalidad!M$7*AK$18</f>
        <v>5367325440.41639</v>
      </c>
      <c r="AL10" s="57" t="n">
        <f aca="false">Supuestos!$C$115*Supuestos!$C$118*(1+Supuestos!$C$32)^5*Estacionalidad!N$7*AL$18</f>
        <v>5237992297.27382</v>
      </c>
      <c r="AM10" s="57" t="n">
        <f aca="false">Supuestos!$C$115*Supuestos!$C$118*(1+Supuestos!$C$32)^6*Estacionalidad!C$7*AM$18</f>
        <v>5249458973.74484</v>
      </c>
      <c r="AN10" s="57" t="n">
        <f aca="false">Supuestos!$C$115*Supuestos!$C$118*(1+Supuestos!$C$32)^6*Estacionalidad!D$7*AN$18</f>
        <v>5122965986.42569</v>
      </c>
      <c r="AO10" s="57" t="n">
        <f aca="false">Supuestos!$C$115*Supuestos!$C$118*(1+Supuestos!$C$32)^6*Estacionalidad!E$7*AO$18</f>
        <v>5375951961.064</v>
      </c>
      <c r="AP10" s="57" t="n">
        <f aca="false">Supuestos!$C$115*Supuestos!$C$118*(1+Supuestos!$C$32)^6*Estacionalidad!F$7*AP$18</f>
        <v>5312705467.40442</v>
      </c>
      <c r="AQ10" s="57" t="n">
        <f aca="false">Supuestos!$C$115*Supuestos!$C$118*(1+Supuestos!$C$32)^6*Estacionalidad!G$7*AQ$18</f>
        <v>5249458973.74484</v>
      </c>
      <c r="AR10" s="57" t="n">
        <f aca="false">Supuestos!$C$115*Supuestos!$C$118*(1+Supuestos!$C$32)^6*Estacionalidad!H$7*AR$18</f>
        <v>5312705467.40442</v>
      </c>
      <c r="AS10" s="57" t="n">
        <f aca="false">Supuestos!$C$115*Supuestos!$C$118*(1+Supuestos!$C$32)^6*Estacionalidad!I$7*AS$18</f>
        <v>5375951961.064</v>
      </c>
      <c r="AT10" s="57" t="n">
        <f aca="false">Supuestos!$C$115*Supuestos!$C$118*(1+Supuestos!$C$32)^6*Estacionalidad!J$7*AT$18</f>
        <v>5312705467.40442</v>
      </c>
      <c r="AU10" s="57" t="n">
        <f aca="false">Supuestos!$C$115*Supuestos!$C$118*(1+Supuestos!$C$32)^6*Estacionalidad!K$7*AU$18</f>
        <v>5249458973.74484</v>
      </c>
      <c r="AV10" s="57" t="n">
        <f aca="false">Supuestos!$C$115*Supuestos!$C$118*(1+Supuestos!$C$32)^6*Estacionalidad!L$7*AV$18</f>
        <v>5312705467.40442</v>
      </c>
      <c r="AW10" s="57" t="n">
        <f aca="false">Supuestos!$C$115*Supuestos!$C$118*(1+Supuestos!$C$32)^6*Estacionalidad!M$7*AW$18</f>
        <v>5249458973.74484</v>
      </c>
      <c r="AX10" s="57" t="n">
        <f aca="false">Supuestos!$C$115*Supuestos!$C$118*(1+Supuestos!$C$32)^6*Estacionalidad!N$7*AX$18</f>
        <v>5122965986.42569</v>
      </c>
      <c r="AY10" s="57" t="n">
        <f aca="false">Supuestos!$C$115*Supuestos!$C$118*(1+Supuestos!$C$32)^7*Estacionalidad!C$7*AY$18</f>
        <v>5134180854.68141</v>
      </c>
      <c r="AZ10" s="57" t="n">
        <f aca="false">Supuestos!$C$115*Supuestos!$C$118*(1+Supuestos!$C$32)^7*Estacionalidad!D$7*AZ$18</f>
        <v>5010465653.36378</v>
      </c>
      <c r="BA10" s="57" t="n">
        <f aca="false">Supuestos!$C$115*Supuestos!$C$118*(1+Supuestos!$C$32)^7*Estacionalidad!E$7*BA$18</f>
        <v>5257896055.99903</v>
      </c>
      <c r="BB10" s="57" t="n">
        <f aca="false">Supuestos!$C$115*Supuestos!$C$118*(1+Supuestos!$C$32)^7*Estacionalidad!F$7*BB$18</f>
        <v>5196038455.34022</v>
      </c>
      <c r="BC10" s="57" t="n">
        <f aca="false">Supuestos!$C$115*Supuestos!$C$118*(1+Supuestos!$C$32)^7*Estacionalidad!G$7*BC$18</f>
        <v>5134180854.68141</v>
      </c>
      <c r="BD10" s="57" t="n">
        <f aca="false">Supuestos!$C$115*Supuestos!$C$118*(1+Supuestos!$C$32)^7*Estacionalidad!H$7*BD$18</f>
        <v>5196038455.34022</v>
      </c>
      <c r="BE10" s="57" t="n">
        <f aca="false">Supuestos!$C$115*Supuestos!$C$118*(1+Supuestos!$C$32)^7*Estacionalidad!I$7*BE$18</f>
        <v>5257896055.99903</v>
      </c>
      <c r="BF10" s="57" t="n">
        <f aca="false">Supuestos!$C$115*Supuestos!$C$118*(1+Supuestos!$C$32)^7*Estacionalidad!J$7*BF$18</f>
        <v>5196038455.34022</v>
      </c>
      <c r="BG10" s="57" t="n">
        <f aca="false">Supuestos!$C$115*Supuestos!$C$118*(1+Supuestos!$C$32)^7*Estacionalidad!K$7*BG$18</f>
        <v>5134180854.68141</v>
      </c>
      <c r="BH10" s="57" t="n">
        <f aca="false">Supuestos!$C$115*Supuestos!$C$118*(1+Supuestos!$C$32)^7*Estacionalidad!L$7*BH$18</f>
        <v>5196038455.34022</v>
      </c>
      <c r="BI10" s="57" t="n">
        <f aca="false">Supuestos!$C$115*Supuestos!$C$118*(1+Supuestos!$C$32)^7*Estacionalidad!M$7*BI$18</f>
        <v>5134180854.68141</v>
      </c>
      <c r="BJ10" s="57" t="n">
        <f aca="false">Supuestos!$C$115*Supuestos!$C$118*(1+Supuestos!$C$32)^7*Estacionalidad!N$7*BJ$18</f>
        <v>5010465653.36378</v>
      </c>
      <c r="BK10" s="57" t="n">
        <f aca="false">Supuestos!$C$115*Supuestos!$C$118*(1+Supuestos!$C$32)^8*Estacionalidad!C$7*BK$18</f>
        <v>5021434243.1126</v>
      </c>
      <c r="BL10" s="57" t="n">
        <f aca="false">Supuestos!$C$115*Supuestos!$C$118*(1+Supuestos!$C$32)^8*Estacionalidad!D$7*BL$18</f>
        <v>4900435827.61591</v>
      </c>
      <c r="BM10" s="57" t="n">
        <f aca="false">Supuestos!$C$115*Supuestos!$C$118*(1+Supuestos!$C$32)^8*Estacionalidad!E$7*BM$18</f>
        <v>5142432658.60929</v>
      </c>
      <c r="BN10" s="57" t="n">
        <f aca="false">Supuestos!$C$115*Supuestos!$C$118*(1+Supuestos!$C$32)^8*Estacionalidad!F$7*BN$18</f>
        <v>5081933450.86095</v>
      </c>
      <c r="BO10" s="57" t="n">
        <f aca="false">Supuestos!$C$115*Supuestos!$C$118*(1+Supuestos!$C$32)^8*Estacionalidad!G$7*BO$18</f>
        <v>5021434243.1126</v>
      </c>
      <c r="BP10" s="57" t="n">
        <f aca="false">Supuestos!$C$115*Supuestos!$C$118*(1+Supuestos!$C$32)^8*Estacionalidad!H$7*BP$18</f>
        <v>5081933450.86095</v>
      </c>
      <c r="BQ10" s="57" t="n">
        <f aca="false">Supuestos!$C$115*Supuestos!$C$118*(1+Supuestos!$C$32)^8*Estacionalidad!I$7*BQ$18</f>
        <v>5142432658.60929</v>
      </c>
      <c r="BR10" s="57" t="n">
        <f aca="false">Supuestos!$C$115*Supuestos!$C$118*(1+Supuestos!$C$32)^8*Estacionalidad!J$7*BR$18</f>
        <v>5081933450.86095</v>
      </c>
      <c r="BS10" s="57" t="n">
        <f aca="false">Supuestos!$C$115*Supuestos!$C$118*(1+Supuestos!$C$32)^8*Estacionalidad!K$7*BS$18</f>
        <v>5021434243.1126</v>
      </c>
      <c r="BT10" s="57" t="n">
        <f aca="false">Supuestos!$C$115*Supuestos!$C$118*(1+Supuestos!$C$32)^8*Estacionalidad!L$7*BT$18</f>
        <v>5081933450.86095</v>
      </c>
      <c r="BU10" s="57" t="n">
        <f aca="false">Supuestos!$C$115*Supuestos!$C$118*(1+Supuestos!$C$32)^8*Estacionalidad!M$7*BU$18</f>
        <v>5021434243.1126</v>
      </c>
      <c r="BV10" s="57" t="n">
        <f aca="false">Supuestos!$C$115*Supuestos!$C$118*(1+Supuestos!$C$32)^8*Estacionalidad!N$7*BV$18</f>
        <v>4900435827.61591</v>
      </c>
      <c r="BW10" s="57" t="n">
        <f aca="false">Supuestos!$C$115*Supuestos!$C$118*(1+Supuestos!$C$32)^9*Estacionalidad!C$7*BW$18</f>
        <v>4911163547.13385</v>
      </c>
      <c r="BX10" s="57" t="n">
        <f aca="false">Supuestos!$C$115*Supuestos!$C$118*(1+Supuestos!$C$32)^9*Estacionalidad!D$7*BX$18</f>
        <v>4792822256.84147</v>
      </c>
      <c r="BY10" s="57" t="n">
        <f aca="false">Supuestos!$C$115*Supuestos!$C$118*(1+Supuestos!$C$32)^9*Estacionalidad!E$7*BY$18</f>
        <v>5029504837.42623</v>
      </c>
      <c r="BZ10" s="57" t="n">
        <f aca="false">Supuestos!$C$115*Supuestos!$C$118*(1+Supuestos!$C$32)^9*Estacionalidad!F$7*BZ$18</f>
        <v>4970334192.28004</v>
      </c>
      <c r="CA10" s="57" t="n">
        <f aca="false">Supuestos!$C$115*Supuestos!$C$118*(1+Supuestos!$C$32)^9*Estacionalidad!G$7*CA$18</f>
        <v>4911163547.13385</v>
      </c>
      <c r="CB10" s="57" t="n">
        <f aca="false">Supuestos!$C$115*Supuestos!$C$118*(1+Supuestos!$C$32)^9*Estacionalidad!H$7*CB$18</f>
        <v>4970334192.28004</v>
      </c>
      <c r="CC10" s="57" t="n">
        <f aca="false">Supuestos!$C$115*Supuestos!$C$118*(1+Supuestos!$C$32)^9*Estacionalidad!I$7*CC$18</f>
        <v>5029504837.42623</v>
      </c>
      <c r="CD10" s="57" t="n">
        <f aca="false">Supuestos!$C$115*Supuestos!$C$118*(1+Supuestos!$C$32)^9*Estacionalidad!J$7*CD$18</f>
        <v>4970334192.28004</v>
      </c>
      <c r="CE10" s="57" t="n">
        <f aca="false">Supuestos!$C$115*Supuestos!$C$118*(1+Supuestos!$C$32)^9*Estacionalidad!K$7*CE$18</f>
        <v>4911163547.13385</v>
      </c>
      <c r="CF10" s="57" t="n">
        <f aca="false">Supuestos!$C$115*Supuestos!$C$118*(1+Supuestos!$C$32)^9*Estacionalidad!L$7*CF$18</f>
        <v>4970334192.28004</v>
      </c>
      <c r="CG10" s="57" t="n">
        <f aca="false">Supuestos!$C$115*Supuestos!$C$118*(1+Supuestos!$C$32)^9*Estacionalidad!M$7*CG$18</f>
        <v>4911163547.13385</v>
      </c>
      <c r="CH10" s="57" t="n">
        <f aca="false">Supuestos!$C$115*Supuestos!$C$118*(1+Supuestos!$C$32)^9*Estacionalidad!N$7*CH$18</f>
        <v>4792822256.84147</v>
      </c>
      <c r="CI10" s="57" t="n">
        <f aca="false">Supuestos!$C$115*Supuestos!$C$118*(1+Supuestos!$C$32)^10*Estacionalidad!C$7*CI$18</f>
        <v>4803314395.63879</v>
      </c>
      <c r="CJ10" s="57" t="n">
        <f aca="false">Supuestos!$C$115*Supuestos!$C$118*(1+Supuestos!$C$32)^10*Estacionalidad!D$7*CJ$18</f>
        <v>4687571880.08123</v>
      </c>
      <c r="CK10" s="57" t="n">
        <f aca="false">Supuestos!$C$115*Supuestos!$C$118*(1+Supuestos!$C$32)^10*Estacionalidad!E$7*CK$18</f>
        <v>4919056911.19635</v>
      </c>
      <c r="CL10" s="57" t="n">
        <f aca="false">Supuestos!$C$115*Supuestos!$C$118*(1+Supuestos!$C$32)^10*Estacionalidad!F$7*CL$18</f>
        <v>4861185653.41757</v>
      </c>
      <c r="CM10" s="57" t="n">
        <f aca="false">Supuestos!$C$115*Supuestos!$C$118*(1+Supuestos!$C$32)^10*Estacionalidad!G$7*CM$18</f>
        <v>4803314395.63879</v>
      </c>
      <c r="CN10" s="57" t="n">
        <f aca="false">Supuestos!$C$115*Supuestos!$C$118*(1+Supuestos!$C$32)^10*Estacionalidad!H$7*CN$18</f>
        <v>4861185653.41757</v>
      </c>
      <c r="CO10" s="57" t="n">
        <f aca="false">Supuestos!$C$115*Supuestos!$C$118*(1+Supuestos!$C$32)^10*Estacionalidad!I$7*CO$18</f>
        <v>4919056911.19635</v>
      </c>
      <c r="CP10" s="57" t="n">
        <f aca="false">Supuestos!$C$115*Supuestos!$C$118*(1+Supuestos!$C$32)^10*Estacionalidad!J$7*CP$18</f>
        <v>4861185653.41757</v>
      </c>
      <c r="CQ10" s="57" t="n">
        <f aca="false">Supuestos!$C$115*Supuestos!$C$118*(1+Supuestos!$C$32)^10*Estacionalidad!K$7*CQ$18</f>
        <v>4803314395.63879</v>
      </c>
      <c r="CR10" s="57" t="n">
        <f aca="false">Supuestos!$C$115*Supuestos!$C$118*(1+Supuestos!$C$32)^10*Estacionalidad!L$7*CR$18</f>
        <v>4861185653.41757</v>
      </c>
      <c r="CS10" s="57" t="n">
        <f aca="false">Supuestos!$C$115*Supuestos!$C$118*(1+Supuestos!$C$32)^10*Estacionalidad!M$7*CS$18</f>
        <v>4803314395.63879</v>
      </c>
      <c r="CT10" s="57" t="n">
        <f aca="false">Supuestos!$C$115*Supuestos!$C$118*(1+Supuestos!$C$32)^10*Estacionalidad!N$7*CT$18</f>
        <v>4687571880.08123</v>
      </c>
    </row>
    <row r="11" customFormat="false" ht="15" hidden="false" customHeight="true" outlineLevel="0" collapsed="false">
      <c r="A11" s="2"/>
      <c r="B11" s="9" t="s">
        <v>450</v>
      </c>
      <c r="C11" s="57" t="n">
        <f aca="false">Supuestos!$C$115*(1-Supuestos!$C$118)*Estacionalidad!C$7*C$18</f>
        <v>1281032948.78961</v>
      </c>
      <c r="D11" s="57" t="n">
        <f aca="false">Supuestos!$C$115*(1-Supuestos!$C$118)*Estacionalidad!D$7*D$18</f>
        <v>1250164684.96336</v>
      </c>
      <c r="E11" s="57" t="n">
        <f aca="false">Supuestos!$C$115*(1-Supuestos!$C$118)*Estacionalidad!E$7*E$18</f>
        <v>1311901212.61587</v>
      </c>
      <c r="F11" s="57" t="n">
        <f aca="false">Supuestos!$C$115*(1-Supuestos!$C$118)*Estacionalidad!F$7*F$18</f>
        <v>1296467080.70274</v>
      </c>
      <c r="G11" s="57" t="n">
        <f aca="false">Supuestos!$C$115*(1-Supuestos!$C$118)*Estacionalidad!G$7*G$18</f>
        <v>1281032948.78961</v>
      </c>
      <c r="H11" s="57" t="n">
        <f aca="false">Supuestos!$C$115*(1-Supuestos!$C$118)*Estacionalidad!H$7*H$18</f>
        <v>1296467080.70274</v>
      </c>
      <c r="I11" s="57" t="n">
        <f aca="false">Supuestos!$C$115*(1-Supuestos!$C$118)*Estacionalidad!I$7*I$18</f>
        <v>1311901212.61587</v>
      </c>
      <c r="J11" s="57" t="n">
        <f aca="false">Supuestos!$C$115*(1-Supuestos!$C$118)*Estacionalidad!J$7*J$18</f>
        <v>1296467080.70274</v>
      </c>
      <c r="K11" s="57" t="n">
        <f aca="false">Supuestos!$C$115*(1-Supuestos!$C$118)*Estacionalidad!K$7*K$18</f>
        <v>1281032948.78961</v>
      </c>
      <c r="L11" s="57" t="n">
        <f aca="false">Supuestos!$C$115*(1-Supuestos!$C$118)*Estacionalidad!L$7*L$18</f>
        <v>1296467080.70274</v>
      </c>
      <c r="M11" s="57" t="n">
        <f aca="false">Supuestos!$C$115*(1-Supuestos!$C$118)*Estacionalidad!M$7*M$18</f>
        <v>1281032948.78961</v>
      </c>
      <c r="N11" s="57" t="n">
        <f aca="false">Supuestos!$C$115*(1-Supuestos!$C$118)*Estacionalidad!N$7*N$18</f>
        <v>1250164684.96336</v>
      </c>
      <c r="O11" s="57" t="n">
        <f aca="false">Supuestos!$C$115*(1-Supuestos!$C$118)*Estacionalidad!C$7*O$18</f>
        <v>1281032948.78961</v>
      </c>
      <c r="P11" s="57" t="n">
        <f aca="false">Supuestos!$C$115*(1-Supuestos!$C$118)*Estacionalidad!D$7*P$18</f>
        <v>1250164684.96336</v>
      </c>
      <c r="Q11" s="57" t="n">
        <f aca="false">Supuestos!$C$115*(1-Supuestos!$C$118)*Estacionalidad!E$7*Q$18</f>
        <v>1311901212.61587</v>
      </c>
      <c r="R11" s="57" t="n">
        <f aca="false">Supuestos!$C$115*(1-Supuestos!$C$118)*Estacionalidad!F$7*R$18</f>
        <v>1296467080.70274</v>
      </c>
      <c r="S11" s="57" t="n">
        <f aca="false">Supuestos!$C$115*(1-Supuestos!$C$118)*Estacionalidad!G$7*S$18</f>
        <v>1281032948.78961</v>
      </c>
      <c r="T11" s="57" t="n">
        <f aca="false">Supuestos!$C$115*(1-Supuestos!$C$118)*Estacionalidad!H$7*T$18</f>
        <v>1296467080.70274</v>
      </c>
      <c r="U11" s="57" t="n">
        <f aca="false">Supuestos!$C$115*(1-Supuestos!$C$118)*Estacionalidad!I$7*U$18</f>
        <v>1311901212.61587</v>
      </c>
      <c r="V11" s="57" t="n">
        <f aca="false">Supuestos!$C$115*(1-Supuestos!$C$118)*Estacionalidad!J$7*V$18</f>
        <v>1296467080.70274</v>
      </c>
      <c r="W11" s="57" t="n">
        <f aca="false">Supuestos!$C$115*(1-Supuestos!$C$118)*Estacionalidad!K$7*W$18</f>
        <v>1281032948.78961</v>
      </c>
      <c r="X11" s="57" t="n">
        <f aca="false">Supuestos!$C$115*(1-Supuestos!$C$118)*Estacionalidad!L$7*X$18</f>
        <v>1296467080.70274</v>
      </c>
      <c r="Y11" s="57" t="n">
        <f aca="false">Supuestos!$C$115*(1-Supuestos!$C$118)*Estacionalidad!M$7*Y$18</f>
        <v>1281032948.78961</v>
      </c>
      <c r="Z11" s="57" t="n">
        <f aca="false">Supuestos!$C$115*(1-Supuestos!$C$118)*Estacionalidad!N$7*Z$18</f>
        <v>1250164684.96336</v>
      </c>
      <c r="AA11" s="57" t="n">
        <f aca="false">Supuestos!$C$115*(1-Supuestos!$C$118)*Estacionalidad!C$7*AA$18</f>
        <v>1281032948.78961</v>
      </c>
      <c r="AB11" s="57" t="n">
        <f aca="false">Supuestos!$C$115*(1-Supuestos!$C$118)*Estacionalidad!D$7*AB$18</f>
        <v>1250164684.96336</v>
      </c>
      <c r="AC11" s="57" t="n">
        <f aca="false">Supuestos!$C$115*(1-Supuestos!$C$118)*Estacionalidad!E$7*AC$18</f>
        <v>1311901212.61587</v>
      </c>
      <c r="AD11" s="57" t="n">
        <f aca="false">Supuestos!$C$115*(1-Supuestos!$C$118)*Estacionalidad!F$7*AD$18</f>
        <v>1296467080.70274</v>
      </c>
      <c r="AE11" s="57" t="n">
        <f aca="false">Supuestos!$C$115*(1-Supuestos!$C$118)*Estacionalidad!G$7*AE$18</f>
        <v>1281032948.78961</v>
      </c>
      <c r="AF11" s="57" t="n">
        <f aca="false">Supuestos!$C$115*(1-Supuestos!$C$118)*Estacionalidad!H$7*AF$18</f>
        <v>1296467080.70274</v>
      </c>
      <c r="AG11" s="57" t="n">
        <f aca="false">Supuestos!$C$115*(1-Supuestos!$C$118)*Estacionalidad!I$7*AG$18</f>
        <v>1311901212.61587</v>
      </c>
      <c r="AH11" s="57" t="n">
        <f aca="false">Supuestos!$C$115*(1-Supuestos!$C$118)*Estacionalidad!J$7*AH$18</f>
        <v>1296467080.70274</v>
      </c>
      <c r="AI11" s="57" t="n">
        <f aca="false">Supuestos!$C$115*(1-Supuestos!$C$118)*Estacionalidad!K$7*AI$18</f>
        <v>1281032948.78961</v>
      </c>
      <c r="AJ11" s="57" t="n">
        <f aca="false">Supuestos!$C$115*(1-Supuestos!$C$118)*Estacionalidad!L$7*AJ$18</f>
        <v>1296467080.70274</v>
      </c>
      <c r="AK11" s="57" t="n">
        <f aca="false">Supuestos!$C$115*(1-Supuestos!$C$118)*Estacionalidad!M$7*AK$18</f>
        <v>1281032948.78961</v>
      </c>
      <c r="AL11" s="57" t="n">
        <f aca="false">Supuestos!$C$115*(1-Supuestos!$C$118)*Estacionalidad!N$7*AL$18</f>
        <v>1250164684.96336</v>
      </c>
      <c r="AM11" s="57" t="n">
        <f aca="false">Supuestos!$C$115*(1-Supuestos!$C$118)*Estacionalidad!C$7*AM$18</f>
        <v>1281032948.78961</v>
      </c>
      <c r="AN11" s="57" t="n">
        <f aca="false">Supuestos!$C$115*(1-Supuestos!$C$118)*Estacionalidad!D$7*AN$18</f>
        <v>1250164684.96336</v>
      </c>
      <c r="AO11" s="57" t="n">
        <f aca="false">Supuestos!$C$115*(1-Supuestos!$C$118)*Estacionalidad!E$7*AO$18</f>
        <v>1311901212.61587</v>
      </c>
      <c r="AP11" s="57" t="n">
        <f aca="false">Supuestos!$C$115*(1-Supuestos!$C$118)*Estacionalidad!F$7*AP$18</f>
        <v>1296467080.70274</v>
      </c>
      <c r="AQ11" s="57" t="n">
        <f aca="false">Supuestos!$C$115*(1-Supuestos!$C$118)*Estacionalidad!G$7*AQ$18</f>
        <v>1281032948.78961</v>
      </c>
      <c r="AR11" s="57" t="n">
        <f aca="false">Supuestos!$C$115*(1-Supuestos!$C$118)*Estacionalidad!H$7*AR$18</f>
        <v>1296467080.70274</v>
      </c>
      <c r="AS11" s="57" t="n">
        <f aca="false">Supuestos!$C$115*(1-Supuestos!$C$118)*Estacionalidad!I$7*AS$18</f>
        <v>1311901212.61587</v>
      </c>
      <c r="AT11" s="57" t="n">
        <f aca="false">Supuestos!$C$115*(1-Supuestos!$C$118)*Estacionalidad!J$7*AT$18</f>
        <v>1296467080.70274</v>
      </c>
      <c r="AU11" s="57" t="n">
        <f aca="false">Supuestos!$C$115*(1-Supuestos!$C$118)*Estacionalidad!K$7*AU$18</f>
        <v>1281032948.78961</v>
      </c>
      <c r="AV11" s="57" t="n">
        <f aca="false">Supuestos!$C$115*(1-Supuestos!$C$118)*Estacionalidad!L$7*AV$18</f>
        <v>1296467080.70274</v>
      </c>
      <c r="AW11" s="57" t="n">
        <f aca="false">Supuestos!$C$115*(1-Supuestos!$C$118)*Estacionalidad!M$7*AW$18</f>
        <v>1281032948.78961</v>
      </c>
      <c r="AX11" s="57" t="n">
        <f aca="false">Supuestos!$C$115*(1-Supuestos!$C$118)*Estacionalidad!N$7*AX$18</f>
        <v>1250164684.96336</v>
      </c>
      <c r="AY11" s="57" t="n">
        <f aca="false">Supuestos!$C$115*(1-Supuestos!$C$118)*Estacionalidad!C$7*AY$18</f>
        <v>1281032948.78961</v>
      </c>
      <c r="AZ11" s="57" t="n">
        <f aca="false">Supuestos!$C$115*(1-Supuestos!$C$118)*Estacionalidad!D$7*AZ$18</f>
        <v>1250164684.96336</v>
      </c>
      <c r="BA11" s="57" t="n">
        <f aca="false">Supuestos!$C$115*(1-Supuestos!$C$118)*Estacionalidad!E$7*BA$18</f>
        <v>1311901212.61587</v>
      </c>
      <c r="BB11" s="57" t="n">
        <f aca="false">Supuestos!$C$115*(1-Supuestos!$C$118)*Estacionalidad!F$7*BB$18</f>
        <v>1296467080.70274</v>
      </c>
      <c r="BC11" s="57" t="n">
        <f aca="false">Supuestos!$C$115*(1-Supuestos!$C$118)*Estacionalidad!G$7*BC$18</f>
        <v>1281032948.78961</v>
      </c>
      <c r="BD11" s="57" t="n">
        <f aca="false">Supuestos!$C$115*(1-Supuestos!$C$118)*Estacionalidad!H$7*BD$18</f>
        <v>1296467080.70274</v>
      </c>
      <c r="BE11" s="57" t="n">
        <f aca="false">Supuestos!$C$115*(1-Supuestos!$C$118)*Estacionalidad!I$7*BE$18</f>
        <v>1311901212.61587</v>
      </c>
      <c r="BF11" s="57" t="n">
        <f aca="false">Supuestos!$C$115*(1-Supuestos!$C$118)*Estacionalidad!J$7*BF$18</f>
        <v>1296467080.70274</v>
      </c>
      <c r="BG11" s="57" t="n">
        <f aca="false">Supuestos!$C$115*(1-Supuestos!$C$118)*Estacionalidad!K$7*BG$18</f>
        <v>1281032948.78961</v>
      </c>
      <c r="BH11" s="57" t="n">
        <f aca="false">Supuestos!$C$115*(1-Supuestos!$C$118)*Estacionalidad!L$7*BH$18</f>
        <v>1296467080.70274</v>
      </c>
      <c r="BI11" s="57" t="n">
        <f aca="false">Supuestos!$C$115*(1-Supuestos!$C$118)*Estacionalidad!M$7*BI$18</f>
        <v>1281032948.78961</v>
      </c>
      <c r="BJ11" s="57" t="n">
        <f aca="false">Supuestos!$C$115*(1-Supuestos!$C$118)*Estacionalidad!N$7*BJ$18</f>
        <v>1250164684.96336</v>
      </c>
      <c r="BK11" s="57" t="n">
        <f aca="false">Supuestos!$C$115*(1-Supuestos!$C$118)*Estacionalidad!C$7*BK$18</f>
        <v>1281032948.78961</v>
      </c>
      <c r="BL11" s="57" t="n">
        <f aca="false">Supuestos!$C$115*(1-Supuestos!$C$118)*Estacionalidad!D$7*BL$18</f>
        <v>1250164684.96336</v>
      </c>
      <c r="BM11" s="57" t="n">
        <f aca="false">Supuestos!$C$115*(1-Supuestos!$C$118)*Estacionalidad!E$7*BM$18</f>
        <v>1311901212.61587</v>
      </c>
      <c r="BN11" s="57" t="n">
        <f aca="false">Supuestos!$C$115*(1-Supuestos!$C$118)*Estacionalidad!F$7*BN$18</f>
        <v>1296467080.70274</v>
      </c>
      <c r="BO11" s="57" t="n">
        <f aca="false">Supuestos!$C$115*(1-Supuestos!$C$118)*Estacionalidad!G$7*BO$18</f>
        <v>1281032948.78961</v>
      </c>
      <c r="BP11" s="57" t="n">
        <f aca="false">Supuestos!$C$115*(1-Supuestos!$C$118)*Estacionalidad!H$7*BP$18</f>
        <v>1296467080.70274</v>
      </c>
      <c r="BQ11" s="57" t="n">
        <f aca="false">Supuestos!$C$115*(1-Supuestos!$C$118)*Estacionalidad!I$7*BQ$18</f>
        <v>1311901212.61587</v>
      </c>
      <c r="BR11" s="57" t="n">
        <f aca="false">Supuestos!$C$115*(1-Supuestos!$C$118)*Estacionalidad!J$7*BR$18</f>
        <v>1296467080.70274</v>
      </c>
      <c r="BS11" s="57" t="n">
        <f aca="false">Supuestos!$C$115*(1-Supuestos!$C$118)*Estacionalidad!K$7*BS$18</f>
        <v>1281032948.78961</v>
      </c>
      <c r="BT11" s="57" t="n">
        <f aca="false">Supuestos!$C$115*(1-Supuestos!$C$118)*Estacionalidad!L$7*BT$18</f>
        <v>1296467080.70274</v>
      </c>
      <c r="BU11" s="57" t="n">
        <f aca="false">Supuestos!$C$115*(1-Supuestos!$C$118)*Estacionalidad!M$7*BU$18</f>
        <v>1281032948.78961</v>
      </c>
      <c r="BV11" s="57" t="n">
        <f aca="false">Supuestos!$C$115*(1-Supuestos!$C$118)*Estacionalidad!N$7*BV$18</f>
        <v>1250164684.96336</v>
      </c>
      <c r="BW11" s="57" t="n">
        <f aca="false">Supuestos!$C$115*(1-Supuestos!$C$118)*Estacionalidad!C$7*BW$18</f>
        <v>1281032948.78961</v>
      </c>
      <c r="BX11" s="57" t="n">
        <f aca="false">Supuestos!$C$115*(1-Supuestos!$C$118)*Estacionalidad!D$7*BX$18</f>
        <v>1250164684.96336</v>
      </c>
      <c r="BY11" s="57" t="n">
        <f aca="false">Supuestos!$C$115*(1-Supuestos!$C$118)*Estacionalidad!E$7*BY$18</f>
        <v>1311901212.61587</v>
      </c>
      <c r="BZ11" s="57" t="n">
        <f aca="false">Supuestos!$C$115*(1-Supuestos!$C$118)*Estacionalidad!F$7*BZ$18</f>
        <v>1296467080.70274</v>
      </c>
      <c r="CA11" s="57" t="n">
        <f aca="false">Supuestos!$C$115*(1-Supuestos!$C$118)*Estacionalidad!G$7*CA$18</f>
        <v>1281032948.78961</v>
      </c>
      <c r="CB11" s="57" t="n">
        <f aca="false">Supuestos!$C$115*(1-Supuestos!$C$118)*Estacionalidad!H$7*CB$18</f>
        <v>1296467080.70274</v>
      </c>
      <c r="CC11" s="57" t="n">
        <f aca="false">Supuestos!$C$115*(1-Supuestos!$C$118)*Estacionalidad!I$7*CC$18</f>
        <v>1311901212.61587</v>
      </c>
      <c r="CD11" s="57" t="n">
        <f aca="false">Supuestos!$C$115*(1-Supuestos!$C$118)*Estacionalidad!J$7*CD$18</f>
        <v>1296467080.70274</v>
      </c>
      <c r="CE11" s="57" t="n">
        <f aca="false">Supuestos!$C$115*(1-Supuestos!$C$118)*Estacionalidad!K$7*CE$18</f>
        <v>1281032948.78961</v>
      </c>
      <c r="CF11" s="57" t="n">
        <f aca="false">Supuestos!$C$115*(1-Supuestos!$C$118)*Estacionalidad!L$7*CF$18</f>
        <v>1296467080.70274</v>
      </c>
      <c r="CG11" s="57" t="n">
        <f aca="false">Supuestos!$C$115*(1-Supuestos!$C$118)*Estacionalidad!M$7*CG$18</f>
        <v>1281032948.78961</v>
      </c>
      <c r="CH11" s="57" t="n">
        <f aca="false">Supuestos!$C$115*(1-Supuestos!$C$118)*Estacionalidad!N$7*CH$18</f>
        <v>1250164684.96336</v>
      </c>
      <c r="CI11" s="57" t="n">
        <f aca="false">Supuestos!$C$115*(1-Supuestos!$C$118)*Estacionalidad!C$7*CI$18</f>
        <v>1281032948.78961</v>
      </c>
      <c r="CJ11" s="57" t="n">
        <f aca="false">Supuestos!$C$115*(1-Supuestos!$C$118)*Estacionalidad!D$7*CJ$18</f>
        <v>1250164684.96336</v>
      </c>
      <c r="CK11" s="57" t="n">
        <f aca="false">Supuestos!$C$115*(1-Supuestos!$C$118)*Estacionalidad!E$7*CK$18</f>
        <v>1311901212.61587</v>
      </c>
      <c r="CL11" s="57" t="n">
        <f aca="false">Supuestos!$C$115*(1-Supuestos!$C$118)*Estacionalidad!F$7*CL$18</f>
        <v>1296467080.70274</v>
      </c>
      <c r="CM11" s="57" t="n">
        <f aca="false">Supuestos!$C$115*(1-Supuestos!$C$118)*Estacionalidad!G$7*CM$18</f>
        <v>1281032948.78961</v>
      </c>
      <c r="CN11" s="57" t="n">
        <f aca="false">Supuestos!$C$115*(1-Supuestos!$C$118)*Estacionalidad!H$7*CN$18</f>
        <v>1296467080.70274</v>
      </c>
      <c r="CO11" s="57" t="n">
        <f aca="false">Supuestos!$C$115*(1-Supuestos!$C$118)*Estacionalidad!I$7*CO$18</f>
        <v>1311901212.61587</v>
      </c>
      <c r="CP11" s="57" t="n">
        <f aca="false">Supuestos!$C$115*(1-Supuestos!$C$118)*Estacionalidad!J$7*CP$18</f>
        <v>1296467080.70274</v>
      </c>
      <c r="CQ11" s="57" t="n">
        <f aca="false">Supuestos!$C$115*(1-Supuestos!$C$118)*Estacionalidad!K$7*CQ$18</f>
        <v>1281032948.78961</v>
      </c>
      <c r="CR11" s="57" t="n">
        <f aca="false">Supuestos!$C$115*(1-Supuestos!$C$118)*Estacionalidad!L$7*CR$18</f>
        <v>1296467080.70274</v>
      </c>
      <c r="CS11" s="57" t="n">
        <f aca="false">Supuestos!$C$115*(1-Supuestos!$C$118)*Estacionalidad!M$7*CS$18</f>
        <v>1281032948.78961</v>
      </c>
      <c r="CT11" s="57" t="n">
        <f aca="false">Supuestos!$C$115*(1-Supuestos!$C$118)*Estacionalidad!N$7*CT$18</f>
        <v>1250164684.96336</v>
      </c>
    </row>
    <row r="12" customFormat="false" ht="15" hidden="false" customHeight="true" outlineLevel="0" collapsed="false">
      <c r="A12" s="2"/>
      <c r="B12" s="9" t="s">
        <v>451</v>
      </c>
      <c r="C12" s="57" t="n">
        <f aca="false">(Supuestos!$C$116+Supuestos!$C$117)*Estacionalidad!C$8*C$18</f>
        <v>626812408.9675</v>
      </c>
      <c r="D12" s="57" t="n">
        <f aca="false">(Supuestos!$C$116+Supuestos!$C$117)*Estacionalidad!D$8*D$18</f>
        <v>626812408.9675</v>
      </c>
      <c r="E12" s="57" t="n">
        <f aca="false">(Supuestos!$C$116+Supuestos!$C$117)*Estacionalidad!E$8*E$18</f>
        <v>626812408.9675</v>
      </c>
      <c r="F12" s="57" t="n">
        <f aca="false">(Supuestos!$C$116+Supuestos!$C$117)*Estacionalidad!F$8*F$18</f>
        <v>626812408.9675</v>
      </c>
      <c r="G12" s="57" t="n">
        <f aca="false">(Supuestos!$C$116+Supuestos!$C$117)*Estacionalidad!G$8*G$18</f>
        <v>626812408.9675</v>
      </c>
      <c r="H12" s="57" t="n">
        <f aca="false">(Supuestos!$C$116+Supuestos!$C$117)*Estacionalidad!H$8*H$18</f>
        <v>626812408.9675</v>
      </c>
      <c r="I12" s="57" t="n">
        <f aca="false">(Supuestos!$C$116+Supuestos!$C$117)*Estacionalidad!I$8*I$18</f>
        <v>626812408.9675</v>
      </c>
      <c r="J12" s="57" t="n">
        <f aca="false">(Supuestos!$C$116+Supuestos!$C$117)*Estacionalidad!J$8*J$18</f>
        <v>626812408.9675</v>
      </c>
      <c r="K12" s="57" t="n">
        <f aca="false">(Supuestos!$C$116+Supuestos!$C$117)*Estacionalidad!K$8*K$18</f>
        <v>626812408.9675</v>
      </c>
      <c r="L12" s="57" t="n">
        <f aca="false">(Supuestos!$C$116+Supuestos!$C$117)*Estacionalidad!L$8*L$18</f>
        <v>626812408.9675</v>
      </c>
      <c r="M12" s="57" t="n">
        <f aca="false">(Supuestos!$C$116+Supuestos!$C$117)*Estacionalidad!M$8*M$18</f>
        <v>626812408.9675</v>
      </c>
      <c r="N12" s="57" t="n">
        <f aca="false">(Supuestos!$C$116+Supuestos!$C$117)*Estacionalidad!N$8*N$18</f>
        <v>626812408.9675</v>
      </c>
      <c r="O12" s="57" t="n">
        <f aca="false">(Supuestos!$C$116+Supuestos!$C$117)*Estacionalidad!C$8*O$18</f>
        <v>626812408.9675</v>
      </c>
      <c r="P12" s="57" t="n">
        <f aca="false">(Supuestos!$C$116+Supuestos!$C$117)*Estacionalidad!D$8*P$18</f>
        <v>626812408.9675</v>
      </c>
      <c r="Q12" s="57" t="n">
        <f aca="false">(Supuestos!$C$116+Supuestos!$C$117)*Estacionalidad!E$8*Q$18</f>
        <v>626812408.9675</v>
      </c>
      <c r="R12" s="57" t="n">
        <f aca="false">(Supuestos!$C$116+Supuestos!$C$117)*Estacionalidad!F$8*R$18</f>
        <v>626812408.9675</v>
      </c>
      <c r="S12" s="57" t="n">
        <f aca="false">(Supuestos!$C$116+Supuestos!$C$117)*Estacionalidad!G$8*S$18</f>
        <v>626812408.9675</v>
      </c>
      <c r="T12" s="57" t="n">
        <f aca="false">(Supuestos!$C$116+Supuestos!$C$117)*Estacionalidad!H$8*T$18</f>
        <v>626812408.9675</v>
      </c>
      <c r="U12" s="57" t="n">
        <f aca="false">(Supuestos!$C$116+Supuestos!$C$117)*Estacionalidad!I$8*U$18</f>
        <v>626812408.9675</v>
      </c>
      <c r="V12" s="57" t="n">
        <f aca="false">(Supuestos!$C$116+Supuestos!$C$117)*Estacionalidad!J$8*V$18</f>
        <v>626812408.9675</v>
      </c>
      <c r="W12" s="57" t="n">
        <f aca="false">(Supuestos!$C$116+Supuestos!$C$117)*Estacionalidad!K$8*W$18</f>
        <v>626812408.9675</v>
      </c>
      <c r="X12" s="57" t="n">
        <f aca="false">(Supuestos!$C$116+Supuestos!$C$117)*Estacionalidad!L$8*X$18</f>
        <v>626812408.9675</v>
      </c>
      <c r="Y12" s="57" t="n">
        <f aca="false">(Supuestos!$C$116+Supuestos!$C$117)*Estacionalidad!M$8*Y$18</f>
        <v>626812408.9675</v>
      </c>
      <c r="Z12" s="57" t="n">
        <f aca="false">(Supuestos!$C$116+Supuestos!$C$117)*Estacionalidad!N$8*Z$18</f>
        <v>626812408.9675</v>
      </c>
      <c r="AA12" s="57" t="n">
        <f aca="false">(Supuestos!$C$116+Supuestos!$C$117)*Estacionalidad!C$8*AA$18</f>
        <v>626812408.9675</v>
      </c>
      <c r="AB12" s="57" t="n">
        <f aca="false">(Supuestos!$C$116+Supuestos!$C$117)*Estacionalidad!D$8*AB$18</f>
        <v>626812408.9675</v>
      </c>
      <c r="AC12" s="57" t="n">
        <f aca="false">(Supuestos!$C$116+Supuestos!$C$117)*Estacionalidad!E$8*AC$18</f>
        <v>626812408.9675</v>
      </c>
      <c r="AD12" s="57" t="n">
        <f aca="false">(Supuestos!$C$116+Supuestos!$C$117)*Estacionalidad!F$8*AD$18</f>
        <v>626812408.9675</v>
      </c>
      <c r="AE12" s="57" t="n">
        <f aca="false">(Supuestos!$C$116+Supuestos!$C$117)*Estacionalidad!G$8*AE$18</f>
        <v>626812408.9675</v>
      </c>
      <c r="AF12" s="57" t="n">
        <f aca="false">(Supuestos!$C$116+Supuestos!$C$117)*Estacionalidad!H$8*AF$18</f>
        <v>626812408.9675</v>
      </c>
      <c r="AG12" s="57" t="n">
        <f aca="false">(Supuestos!$C$116+Supuestos!$C$117)*Estacionalidad!I$8*AG$18</f>
        <v>626812408.9675</v>
      </c>
      <c r="AH12" s="57" t="n">
        <f aca="false">(Supuestos!$C$116+Supuestos!$C$117)*Estacionalidad!J$8*AH$18</f>
        <v>626812408.9675</v>
      </c>
      <c r="AI12" s="57" t="n">
        <f aca="false">(Supuestos!$C$116+Supuestos!$C$117)*Estacionalidad!K$8*AI$18</f>
        <v>626812408.9675</v>
      </c>
      <c r="AJ12" s="57" t="n">
        <f aca="false">(Supuestos!$C$116+Supuestos!$C$117)*Estacionalidad!L$8*AJ$18</f>
        <v>626812408.9675</v>
      </c>
      <c r="AK12" s="57" t="n">
        <f aca="false">(Supuestos!$C$116+Supuestos!$C$117)*Estacionalidad!M$8*AK$18</f>
        <v>626812408.9675</v>
      </c>
      <c r="AL12" s="57" t="n">
        <f aca="false">(Supuestos!$C$116+Supuestos!$C$117)*Estacionalidad!N$8*AL$18</f>
        <v>626812408.9675</v>
      </c>
      <c r="AM12" s="57" t="n">
        <f aca="false">(Supuestos!$C$116+Supuestos!$C$117)*Estacionalidad!C$8*AM$18</f>
        <v>626812408.9675</v>
      </c>
      <c r="AN12" s="57" t="n">
        <f aca="false">(Supuestos!$C$116+Supuestos!$C$117)*Estacionalidad!D$8*AN$18</f>
        <v>626812408.9675</v>
      </c>
      <c r="AO12" s="57" t="n">
        <f aca="false">(Supuestos!$C$116+Supuestos!$C$117)*Estacionalidad!E$8*AO$18</f>
        <v>626812408.9675</v>
      </c>
      <c r="AP12" s="57" t="n">
        <f aca="false">(Supuestos!$C$116+Supuestos!$C$117)*Estacionalidad!F$8*AP$18</f>
        <v>626812408.9675</v>
      </c>
      <c r="AQ12" s="57" t="n">
        <f aca="false">(Supuestos!$C$116+Supuestos!$C$117)*Estacionalidad!G$8*AQ$18</f>
        <v>626812408.9675</v>
      </c>
      <c r="AR12" s="57" t="n">
        <f aca="false">(Supuestos!$C$116+Supuestos!$C$117)*Estacionalidad!H$8*AR$18</f>
        <v>626812408.9675</v>
      </c>
      <c r="AS12" s="57" t="n">
        <f aca="false">(Supuestos!$C$116+Supuestos!$C$117)*Estacionalidad!I$8*AS$18</f>
        <v>626812408.9675</v>
      </c>
      <c r="AT12" s="57" t="n">
        <f aca="false">(Supuestos!$C$116+Supuestos!$C$117)*Estacionalidad!J$8*AT$18</f>
        <v>626812408.9675</v>
      </c>
      <c r="AU12" s="57" t="n">
        <f aca="false">(Supuestos!$C$116+Supuestos!$C$117)*Estacionalidad!K$8*AU$18</f>
        <v>626812408.9675</v>
      </c>
      <c r="AV12" s="57" t="n">
        <f aca="false">(Supuestos!$C$116+Supuestos!$C$117)*Estacionalidad!L$8*AV$18</f>
        <v>626812408.9675</v>
      </c>
      <c r="AW12" s="57" t="n">
        <f aca="false">(Supuestos!$C$116+Supuestos!$C$117)*Estacionalidad!M$8*AW$18</f>
        <v>626812408.9675</v>
      </c>
      <c r="AX12" s="57" t="n">
        <f aca="false">(Supuestos!$C$116+Supuestos!$C$117)*Estacionalidad!N$8*AX$18</f>
        <v>626812408.9675</v>
      </c>
      <c r="AY12" s="57" t="n">
        <f aca="false">(Supuestos!$C$116+Supuestos!$C$117)*Estacionalidad!C$8*AY$18</f>
        <v>626812408.9675</v>
      </c>
      <c r="AZ12" s="57" t="n">
        <f aca="false">(Supuestos!$C$116+Supuestos!$C$117)*Estacionalidad!D$8*AZ$18</f>
        <v>626812408.9675</v>
      </c>
      <c r="BA12" s="57" t="n">
        <f aca="false">(Supuestos!$C$116+Supuestos!$C$117)*Estacionalidad!E$8*BA$18</f>
        <v>626812408.9675</v>
      </c>
      <c r="BB12" s="57" t="n">
        <f aca="false">(Supuestos!$C$116+Supuestos!$C$117)*Estacionalidad!F$8*BB$18</f>
        <v>626812408.9675</v>
      </c>
      <c r="BC12" s="57" t="n">
        <f aca="false">(Supuestos!$C$116+Supuestos!$C$117)*Estacionalidad!G$8*BC$18</f>
        <v>626812408.9675</v>
      </c>
      <c r="BD12" s="57" t="n">
        <f aca="false">(Supuestos!$C$116+Supuestos!$C$117)*Estacionalidad!H$8*BD$18</f>
        <v>626812408.9675</v>
      </c>
      <c r="BE12" s="57" t="n">
        <f aca="false">(Supuestos!$C$116+Supuestos!$C$117)*Estacionalidad!I$8*BE$18</f>
        <v>626812408.9675</v>
      </c>
      <c r="BF12" s="57" t="n">
        <f aca="false">(Supuestos!$C$116+Supuestos!$C$117)*Estacionalidad!J$8*BF$18</f>
        <v>626812408.9675</v>
      </c>
      <c r="BG12" s="57" t="n">
        <f aca="false">(Supuestos!$C$116+Supuestos!$C$117)*Estacionalidad!K$8*BG$18</f>
        <v>626812408.9675</v>
      </c>
      <c r="BH12" s="57" t="n">
        <f aca="false">(Supuestos!$C$116+Supuestos!$C$117)*Estacionalidad!L$8*BH$18</f>
        <v>626812408.9675</v>
      </c>
      <c r="BI12" s="57" t="n">
        <f aca="false">(Supuestos!$C$116+Supuestos!$C$117)*Estacionalidad!M$8*BI$18</f>
        <v>626812408.9675</v>
      </c>
      <c r="BJ12" s="57" t="n">
        <f aca="false">(Supuestos!$C$116+Supuestos!$C$117)*Estacionalidad!N$8*BJ$18</f>
        <v>626812408.9675</v>
      </c>
      <c r="BK12" s="57" t="n">
        <f aca="false">(Supuestos!$C$116+Supuestos!$C$117)*Estacionalidad!C$8*BK$18</f>
        <v>626812408.9675</v>
      </c>
      <c r="BL12" s="57" t="n">
        <f aca="false">(Supuestos!$C$116+Supuestos!$C$117)*Estacionalidad!D$8*BL$18</f>
        <v>626812408.9675</v>
      </c>
      <c r="BM12" s="57" t="n">
        <f aca="false">(Supuestos!$C$116+Supuestos!$C$117)*Estacionalidad!E$8*BM$18</f>
        <v>626812408.9675</v>
      </c>
      <c r="BN12" s="57" t="n">
        <f aca="false">(Supuestos!$C$116+Supuestos!$C$117)*Estacionalidad!F$8*BN$18</f>
        <v>626812408.9675</v>
      </c>
      <c r="BO12" s="57" t="n">
        <f aca="false">(Supuestos!$C$116+Supuestos!$C$117)*Estacionalidad!G$8*BO$18</f>
        <v>626812408.9675</v>
      </c>
      <c r="BP12" s="57" t="n">
        <f aca="false">(Supuestos!$C$116+Supuestos!$C$117)*Estacionalidad!H$8*BP$18</f>
        <v>626812408.9675</v>
      </c>
      <c r="BQ12" s="57" t="n">
        <f aca="false">(Supuestos!$C$116+Supuestos!$C$117)*Estacionalidad!I$8*BQ$18</f>
        <v>626812408.9675</v>
      </c>
      <c r="BR12" s="57" t="n">
        <f aca="false">(Supuestos!$C$116+Supuestos!$C$117)*Estacionalidad!J$8*BR$18</f>
        <v>626812408.9675</v>
      </c>
      <c r="BS12" s="57" t="n">
        <f aca="false">(Supuestos!$C$116+Supuestos!$C$117)*Estacionalidad!K$8*BS$18</f>
        <v>626812408.9675</v>
      </c>
      <c r="BT12" s="57" t="n">
        <f aca="false">(Supuestos!$C$116+Supuestos!$C$117)*Estacionalidad!L$8*BT$18</f>
        <v>626812408.9675</v>
      </c>
      <c r="BU12" s="57" t="n">
        <f aca="false">(Supuestos!$C$116+Supuestos!$C$117)*Estacionalidad!M$8*BU$18</f>
        <v>626812408.9675</v>
      </c>
      <c r="BV12" s="57" t="n">
        <f aca="false">(Supuestos!$C$116+Supuestos!$C$117)*Estacionalidad!N$8*BV$18</f>
        <v>626812408.9675</v>
      </c>
      <c r="BW12" s="57" t="n">
        <f aca="false">(Supuestos!$C$116+Supuestos!$C$117)*Estacionalidad!C$8*BW$18</f>
        <v>626812408.9675</v>
      </c>
      <c r="BX12" s="57" t="n">
        <f aca="false">(Supuestos!$C$116+Supuestos!$C$117)*Estacionalidad!D$8*BX$18</f>
        <v>626812408.9675</v>
      </c>
      <c r="BY12" s="57" t="n">
        <f aca="false">(Supuestos!$C$116+Supuestos!$C$117)*Estacionalidad!E$8*BY$18</f>
        <v>626812408.9675</v>
      </c>
      <c r="BZ12" s="57" t="n">
        <f aca="false">(Supuestos!$C$116+Supuestos!$C$117)*Estacionalidad!F$8*BZ$18</f>
        <v>626812408.9675</v>
      </c>
      <c r="CA12" s="57" t="n">
        <f aca="false">(Supuestos!$C$116+Supuestos!$C$117)*Estacionalidad!G$8*CA$18</f>
        <v>626812408.9675</v>
      </c>
      <c r="CB12" s="57" t="n">
        <f aca="false">(Supuestos!$C$116+Supuestos!$C$117)*Estacionalidad!H$8*CB$18</f>
        <v>626812408.9675</v>
      </c>
      <c r="CC12" s="57" t="n">
        <f aca="false">(Supuestos!$C$116+Supuestos!$C$117)*Estacionalidad!I$8*CC$18</f>
        <v>626812408.9675</v>
      </c>
      <c r="CD12" s="57" t="n">
        <f aca="false">(Supuestos!$C$116+Supuestos!$C$117)*Estacionalidad!J$8*CD$18</f>
        <v>626812408.9675</v>
      </c>
      <c r="CE12" s="57" t="n">
        <f aca="false">(Supuestos!$C$116+Supuestos!$C$117)*Estacionalidad!K$8*CE$18</f>
        <v>626812408.9675</v>
      </c>
      <c r="CF12" s="57" t="n">
        <f aca="false">(Supuestos!$C$116+Supuestos!$C$117)*Estacionalidad!L$8*CF$18</f>
        <v>626812408.9675</v>
      </c>
      <c r="CG12" s="57" t="n">
        <f aca="false">(Supuestos!$C$116+Supuestos!$C$117)*Estacionalidad!M$8*CG$18</f>
        <v>626812408.9675</v>
      </c>
      <c r="CH12" s="57" t="n">
        <f aca="false">(Supuestos!$C$116+Supuestos!$C$117)*Estacionalidad!N$8*CH$18</f>
        <v>626812408.9675</v>
      </c>
      <c r="CI12" s="57" t="n">
        <f aca="false">(Supuestos!$C$116+Supuestos!$C$117)*Estacionalidad!C$8*CI$18</f>
        <v>626812408.9675</v>
      </c>
      <c r="CJ12" s="57" t="n">
        <f aca="false">(Supuestos!$C$116+Supuestos!$C$117)*Estacionalidad!D$8*CJ$18</f>
        <v>626812408.9675</v>
      </c>
      <c r="CK12" s="57" t="n">
        <f aca="false">(Supuestos!$C$116+Supuestos!$C$117)*Estacionalidad!E$8*CK$18</f>
        <v>626812408.9675</v>
      </c>
      <c r="CL12" s="57" t="n">
        <f aca="false">(Supuestos!$C$116+Supuestos!$C$117)*Estacionalidad!F$8*CL$18</f>
        <v>626812408.9675</v>
      </c>
      <c r="CM12" s="57" t="n">
        <f aca="false">(Supuestos!$C$116+Supuestos!$C$117)*Estacionalidad!G$8*CM$18</f>
        <v>626812408.9675</v>
      </c>
      <c r="CN12" s="57" t="n">
        <f aca="false">(Supuestos!$C$116+Supuestos!$C$117)*Estacionalidad!H$8*CN$18</f>
        <v>626812408.9675</v>
      </c>
      <c r="CO12" s="57" t="n">
        <f aca="false">(Supuestos!$C$116+Supuestos!$C$117)*Estacionalidad!I$8*CO$18</f>
        <v>626812408.9675</v>
      </c>
      <c r="CP12" s="57" t="n">
        <f aca="false">(Supuestos!$C$116+Supuestos!$C$117)*Estacionalidad!J$8*CP$18</f>
        <v>626812408.9675</v>
      </c>
      <c r="CQ12" s="57" t="n">
        <f aca="false">(Supuestos!$C$116+Supuestos!$C$117)*Estacionalidad!K$8*CQ$18</f>
        <v>626812408.9675</v>
      </c>
      <c r="CR12" s="57" t="n">
        <f aca="false">(Supuestos!$C$116+Supuestos!$C$117)*Estacionalidad!L$8*CR$18</f>
        <v>626812408.9675</v>
      </c>
      <c r="CS12" s="57" t="n">
        <f aca="false">(Supuestos!$C$116+Supuestos!$C$117)*Estacionalidad!M$8*CS$18</f>
        <v>626812408.9675</v>
      </c>
      <c r="CT12" s="57" t="n">
        <f aca="false">(Supuestos!$C$116+Supuestos!$C$117)*Estacionalidad!N$8*CT$18</f>
        <v>626812408.9675</v>
      </c>
    </row>
    <row r="13" customFormat="false" ht="15" hidden="false" customHeight="true" outlineLevel="0" collapsed="false">
      <c r="A13" s="2"/>
      <c r="B13" s="58" t="s">
        <v>452</v>
      </c>
      <c r="C13" s="59" t="n">
        <f aca="false">SUM(C8:C12)</f>
        <v>29098414210.4853</v>
      </c>
      <c r="D13" s="59" t="n">
        <f aca="false">SUM(D8:D12)</f>
        <v>24968755974.0231</v>
      </c>
      <c r="E13" s="59" t="n">
        <f aca="false">SUM(E8:E12)</f>
        <v>26181701290.7483</v>
      </c>
      <c r="F13" s="59" t="n">
        <f aca="false">SUM(F8:F12)</f>
        <v>25658265862.9358</v>
      </c>
      <c r="G13" s="59" t="n">
        <f aca="false">SUM(G8:G12)</f>
        <v>25134830435.1232</v>
      </c>
      <c r="H13" s="59" t="n">
        <f aca="false">SUM(H8:H12)</f>
        <v>25658265862.9358</v>
      </c>
      <c r="I13" s="59" t="n">
        <f aca="false">SUM(I8:I12)</f>
        <v>26181701290.7483</v>
      </c>
      <c r="J13" s="59" t="n">
        <f aca="false">SUM(J8:J12)</f>
        <v>25658265862.9358</v>
      </c>
      <c r="K13" s="59" t="n">
        <f aca="false">SUM(K8:K12)</f>
        <v>25134830435.1232</v>
      </c>
      <c r="L13" s="59" t="n">
        <f aca="false">SUM(L8:L12)</f>
        <v>25658265862.9358</v>
      </c>
      <c r="M13" s="59" t="n">
        <f aca="false">SUM(M8:M12)</f>
        <v>25134830435.1232</v>
      </c>
      <c r="N13" s="59" t="n">
        <f aca="false">SUM(N8:N12)</f>
        <v>26289950565.8104</v>
      </c>
      <c r="O13" s="59" t="n">
        <f aca="false">SUM(O8:O12)</f>
        <v>29772610391.6009</v>
      </c>
      <c r="P13" s="59" t="n">
        <f aca="false">SUM(P8:P12)</f>
        <v>25499457304.2012</v>
      </c>
      <c r="Q13" s="59" t="n">
        <f aca="false">SUM(Q8:Q12)</f>
        <v>26739011915.6376</v>
      </c>
      <c r="R13" s="59" t="n">
        <f aca="false">SUM(R8:R12)</f>
        <v>26200787276.4234</v>
      </c>
      <c r="S13" s="59" t="n">
        <f aca="false">SUM(S8:S12)</f>
        <v>25662562637.2092</v>
      </c>
      <c r="T13" s="59" t="n">
        <f aca="false">SUM(T8:T12)</f>
        <v>26200787276.4234</v>
      </c>
      <c r="U13" s="59" t="n">
        <f aca="false">SUM(U8:U12)</f>
        <v>26739011915.6376</v>
      </c>
      <c r="V13" s="59" t="n">
        <f aca="false">SUM(V8:V12)</f>
        <v>26200787276.4234</v>
      </c>
      <c r="W13" s="59" t="n">
        <f aca="false">SUM(W8:W12)</f>
        <v>25662562637.2092</v>
      </c>
      <c r="X13" s="59" t="n">
        <f aca="false">SUM(X8:X12)</f>
        <v>26200787276.4234</v>
      </c>
      <c r="Y13" s="59" t="n">
        <f aca="false">SUM(Y8:Y12)</f>
        <v>25662562637.2092</v>
      </c>
      <c r="Z13" s="59" t="n">
        <f aca="false">SUM(Z8:Z12)</f>
        <v>26869473222.3317</v>
      </c>
      <c r="AA13" s="59" t="n">
        <f aca="false">SUM(AA8:AA12)</f>
        <v>30205700542.5213</v>
      </c>
      <c r="AB13" s="59" t="n">
        <f aca="false">SUM(AB8:AB12)</f>
        <v>25833769182.509</v>
      </c>
      <c r="AC13" s="59" t="n">
        <f aca="false">SUM(AC8:AC12)</f>
        <v>27090111986.0119</v>
      </c>
      <c r="AD13" s="59" t="n">
        <f aca="false">SUM(AD8:AD12)</f>
        <v>26542041287.7449</v>
      </c>
      <c r="AE13" s="59" t="n">
        <f aca="false">SUM(AE8:AE12)</f>
        <v>25993970589.4779</v>
      </c>
      <c r="AF13" s="59" t="n">
        <f aca="false">SUM(AF8:AF12)</f>
        <v>26542041287.7449</v>
      </c>
      <c r="AG13" s="59" t="n">
        <f aca="false">SUM(AG8:AG12)</f>
        <v>27090111986.0119</v>
      </c>
      <c r="AH13" s="59" t="n">
        <f aca="false">SUM(AH8:AH12)</f>
        <v>26542041287.7449</v>
      </c>
      <c r="AI13" s="59" t="n">
        <f aca="false">SUM(AI8:AI12)</f>
        <v>25993970589.4779</v>
      </c>
      <c r="AJ13" s="59" t="n">
        <f aca="false">SUM(AJ8:AJ12)</f>
        <v>26542041287.7449</v>
      </c>
      <c r="AK13" s="59" t="n">
        <f aca="false">SUM(AK8:AK12)</f>
        <v>25993970589.4779</v>
      </c>
      <c r="AL13" s="59" t="n">
        <f aca="false">SUM(AL8:AL12)</f>
        <v>27237679166.8569</v>
      </c>
      <c r="AM13" s="59" t="n">
        <f aca="false">SUM(AM8:AM12)</f>
        <v>30526841110.0055</v>
      </c>
      <c r="AN13" s="59" t="n">
        <f aca="false">SUM(AN8:AN12)</f>
        <v>26077115960.7676</v>
      </c>
      <c r="AO13" s="59" t="n">
        <f aca="false">SUM(AO8:AO12)</f>
        <v>27345697107.079</v>
      </c>
      <c r="AP13" s="59" t="n">
        <f aca="false">SUM(AP8:AP12)</f>
        <v>26790087159.496</v>
      </c>
      <c r="AQ13" s="59" t="n">
        <f aca="false">SUM(AQ8:AQ12)</f>
        <v>26234477211.913</v>
      </c>
      <c r="AR13" s="59" t="n">
        <f aca="false">SUM(AR8:AR12)</f>
        <v>26790087159.496</v>
      </c>
      <c r="AS13" s="59" t="n">
        <f aca="false">SUM(AS8:AS12)</f>
        <v>27345697107.079</v>
      </c>
      <c r="AT13" s="59" t="n">
        <f aca="false">SUM(AT8:AT12)</f>
        <v>26790087159.496</v>
      </c>
      <c r="AU13" s="59" t="n">
        <f aca="false">SUM(AU8:AU12)</f>
        <v>26234477211.913</v>
      </c>
      <c r="AV13" s="59" t="n">
        <f aca="false">SUM(AV8:AV12)</f>
        <v>26790087159.496</v>
      </c>
      <c r="AW13" s="59" t="n">
        <f aca="false">SUM(AW8:AW12)</f>
        <v>26234477211.913</v>
      </c>
      <c r="AX13" s="59" t="n">
        <f aca="false">SUM(AX8:AX12)</f>
        <v>27507903926.7985</v>
      </c>
      <c r="AY13" s="59" t="n">
        <f aca="false">SUM(AY8:AY12)</f>
        <v>30853461600.9229</v>
      </c>
      <c r="AZ13" s="59" t="n">
        <f aca="false">SUM(AZ8:AZ12)</f>
        <v>26325349186.8737</v>
      </c>
      <c r="BA13" s="59" t="n">
        <f aca="false">SUM(BA8:BA12)</f>
        <v>27606411439.1405</v>
      </c>
      <c r="BB13" s="59" t="n">
        <f aca="false">SUM(BB8:BB12)</f>
        <v>27043172045.579</v>
      </c>
      <c r="BC13" s="59" t="n">
        <f aca="false">SUM(BC8:BC12)</f>
        <v>26479932652.0176</v>
      </c>
      <c r="BD13" s="59" t="n">
        <f aca="false">SUM(BD8:BD12)</f>
        <v>27043172045.579</v>
      </c>
      <c r="BE13" s="59" t="n">
        <f aca="false">SUM(BE8:BE12)</f>
        <v>27606411439.1405</v>
      </c>
      <c r="BF13" s="59" t="n">
        <f aca="false">SUM(BF8:BF12)</f>
        <v>27043172045.579</v>
      </c>
      <c r="BG13" s="59" t="n">
        <f aca="false">SUM(BG8:BG12)</f>
        <v>26479932652.0176</v>
      </c>
      <c r="BH13" s="59" t="n">
        <f aca="false">SUM(BH8:BH12)</f>
        <v>27043172045.579</v>
      </c>
      <c r="BI13" s="59" t="n">
        <f aca="false">SUM(BI8:BI12)</f>
        <v>26479932652.0176</v>
      </c>
      <c r="BJ13" s="59" t="n">
        <f aca="false">SUM(BJ8:BJ12)</f>
        <v>27783192169.8422</v>
      </c>
      <c r="BK13" s="59" t="n">
        <f aca="false">SUM(BK8:BK12)</f>
        <v>31191230622.2296</v>
      </c>
      <c r="BL13" s="59" t="n">
        <f aca="false">SUM(BL8:BL12)</f>
        <v>26583087224.6977</v>
      </c>
      <c r="BM13" s="59" t="n">
        <f aca="false">SUM(BM8:BM12)</f>
        <v>27877104298.5011</v>
      </c>
      <c r="BN13" s="59" t="n">
        <f aca="false">SUM(BN8:BN12)</f>
        <v>27306029101.2608</v>
      </c>
      <c r="BO13" s="59" t="n">
        <f aca="false">SUM(BO8:BO12)</f>
        <v>26734953904.0206</v>
      </c>
      <c r="BP13" s="59" t="n">
        <f aca="false">SUM(BP8:BP12)</f>
        <v>27306029101.2608</v>
      </c>
      <c r="BQ13" s="59" t="n">
        <f aca="false">SUM(BQ8:BQ12)</f>
        <v>27877104298.5011</v>
      </c>
      <c r="BR13" s="59" t="n">
        <f aca="false">SUM(BR8:BR12)</f>
        <v>27306029101.2608</v>
      </c>
      <c r="BS13" s="59" t="n">
        <f aca="false">SUM(BS8:BS12)</f>
        <v>26734953904.0206</v>
      </c>
      <c r="BT13" s="59" t="n">
        <f aca="false">SUM(BT8:BT12)</f>
        <v>27306029101.2608</v>
      </c>
      <c r="BU13" s="59" t="n">
        <f aca="false">SUM(BU8:BU12)</f>
        <v>26734953904.0206</v>
      </c>
      <c r="BV13" s="59" t="n">
        <f aca="false">SUM(BV8:BV12)</f>
        <v>28068512797.434</v>
      </c>
      <c r="BW13" s="59" t="n">
        <f aca="false">SUM(BW8:BW12)</f>
        <v>31540260613.9673</v>
      </c>
      <c r="BX13" s="59" t="n">
        <f aca="false">SUM(BX8:BX12)</f>
        <v>26850412990.8347</v>
      </c>
      <c r="BY13" s="59" t="n">
        <f aca="false">SUM(BY8:BY12)</f>
        <v>28157862781.0751</v>
      </c>
      <c r="BZ13" s="59" t="n">
        <f aca="false">SUM(BZ8:BZ12)</f>
        <v>27578742663.0142</v>
      </c>
      <c r="CA13" s="59" t="n">
        <f aca="false">SUM(CA8:CA12)</f>
        <v>26999622544.9533</v>
      </c>
      <c r="CB13" s="59" t="n">
        <f aca="false">SUM(CB8:CB12)</f>
        <v>27578742663.0142</v>
      </c>
      <c r="CC13" s="59" t="n">
        <f aca="false">SUM(CC8:CC12)</f>
        <v>28157862781.0751</v>
      </c>
      <c r="CD13" s="59" t="n">
        <f aca="false">SUM(CD8:CD12)</f>
        <v>27578742663.0142</v>
      </c>
      <c r="CE13" s="59" t="n">
        <f aca="false">SUM(CE8:CE12)</f>
        <v>26999622544.9533</v>
      </c>
      <c r="CF13" s="59" t="n">
        <f aca="false">SUM(CF8:CF12)</f>
        <v>27578742663.0142</v>
      </c>
      <c r="CG13" s="59" t="n">
        <f aca="false">SUM(CG8:CG12)</f>
        <v>26999622544.9533</v>
      </c>
      <c r="CH13" s="59" t="n">
        <f aca="false">SUM(CH8:CH12)</f>
        <v>28363959013.8393</v>
      </c>
      <c r="CI13" s="59" t="n">
        <f aca="false">SUM(CI8:CI12)</f>
        <v>31900668513.5993</v>
      </c>
      <c r="CJ13" s="59" t="n">
        <f aca="false">SUM(CJ8:CJ12)</f>
        <v>27127413268.0556</v>
      </c>
      <c r="CK13" s="59" t="n">
        <f aca="false">SUM(CK8:CK12)</f>
        <v>28448778041.5254</v>
      </c>
      <c r="CL13" s="59" t="n">
        <f aca="false">SUM(CL8:CL12)</f>
        <v>27861401044.4824</v>
      </c>
      <c r="CM13" s="59" t="n">
        <f aca="false">SUM(CM8:CM12)</f>
        <v>27274024047.4395</v>
      </c>
      <c r="CN13" s="59" t="n">
        <f aca="false">SUM(CN8:CN12)</f>
        <v>27861401044.4824</v>
      </c>
      <c r="CO13" s="59" t="n">
        <f aca="false">SUM(CO8:CO12)</f>
        <v>28448778041.5254</v>
      </c>
      <c r="CP13" s="59" t="n">
        <f aca="false">SUM(CP8:CP12)</f>
        <v>27861401044.4824</v>
      </c>
      <c r="CQ13" s="59" t="n">
        <f aca="false">SUM(CQ8:CQ12)</f>
        <v>27274024047.4395</v>
      </c>
      <c r="CR13" s="59" t="n">
        <f aca="false">SUM(CR8:CR12)</f>
        <v>27861401044.4824</v>
      </c>
      <c r="CS13" s="59" t="n">
        <f aca="false">SUM(CS8:CS12)</f>
        <v>27274024047.4395</v>
      </c>
      <c r="CT13" s="59" t="n">
        <f aca="false">SUM(CT8:CT12)</f>
        <v>28669628090.1089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453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420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454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455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456</v>
      </c>
      <c r="C20" s="61" t="n">
        <f aca="false">C13+C16</f>
        <v>29199919250.3463</v>
      </c>
      <c r="D20" s="61" t="n">
        <f aca="false">D13+D16</f>
        <v>25070261013.8841</v>
      </c>
      <c r="E20" s="61" t="n">
        <f aca="false">E13+E16</f>
        <v>26344109354.5259</v>
      </c>
      <c r="F20" s="61" t="n">
        <f aca="false">F13+F16</f>
        <v>25820673926.7134</v>
      </c>
      <c r="G20" s="61" t="n">
        <f aca="false">G13+G16</f>
        <v>25317539506.873</v>
      </c>
      <c r="H20" s="61" t="n">
        <f aca="false">H13+H16</f>
        <v>25861275942.6578</v>
      </c>
      <c r="I20" s="61" t="n">
        <f aca="false">I13+I16</f>
        <v>26364410362.4981</v>
      </c>
      <c r="J20" s="61" t="n">
        <f aca="false">J13+J16</f>
        <v>25840974934.6856</v>
      </c>
      <c r="K20" s="61" t="n">
        <f aca="false">K13+K16</f>
        <v>25317539506.873</v>
      </c>
      <c r="L20" s="61" t="n">
        <f aca="false">L13+L16</f>
        <v>25861275942.6578</v>
      </c>
      <c r="M20" s="61" t="n">
        <f aca="false">M13+M16</f>
        <v>25337840514.8452</v>
      </c>
      <c r="N20" s="61" t="n">
        <f aca="false">N13+N16</f>
        <v>26452358629.588</v>
      </c>
      <c r="O20" s="61" t="n">
        <f aca="false">O13+O16</f>
        <v>29874115431.4619</v>
      </c>
      <c r="P20" s="61" t="n">
        <f aca="false">P13+P16</f>
        <v>25600962344.0622</v>
      </c>
      <c r="Q20" s="61" t="n">
        <f aca="false">Q13+Q16</f>
        <v>26901419979.4152</v>
      </c>
      <c r="R20" s="61" t="n">
        <f aca="false">R13+R16</f>
        <v>26363195340.201</v>
      </c>
      <c r="S20" s="61" t="n">
        <f aca="false">S13+S16</f>
        <v>25845271708.959</v>
      </c>
      <c r="T20" s="61" t="n">
        <f aca="false">T13+T16</f>
        <v>26403797356.1454</v>
      </c>
      <c r="U20" s="61" t="n">
        <f aca="false">U13+U16</f>
        <v>26921720987.3874</v>
      </c>
      <c r="V20" s="61" t="n">
        <f aca="false">V13+V16</f>
        <v>26383496348.1732</v>
      </c>
      <c r="W20" s="61" t="n">
        <f aca="false">W13+W16</f>
        <v>25845271708.959</v>
      </c>
      <c r="X20" s="61" t="n">
        <f aca="false">X13+X16</f>
        <v>26403797356.1454</v>
      </c>
      <c r="Y20" s="61" t="n">
        <f aca="false">Y13+Y16</f>
        <v>25865572716.9312</v>
      </c>
      <c r="Z20" s="61" t="n">
        <f aca="false">Z13+Z16</f>
        <v>27031881286.1093</v>
      </c>
      <c r="AA20" s="61" t="n">
        <f aca="false">AA13+AA16</f>
        <v>30307205582.3823</v>
      </c>
      <c r="AB20" s="61" t="n">
        <f aca="false">AB13+AB16</f>
        <v>25935274222.37</v>
      </c>
      <c r="AC20" s="61" t="n">
        <f aca="false">AC13+AC16</f>
        <v>27252520049.7895</v>
      </c>
      <c r="AD20" s="61" t="n">
        <f aca="false">AD13+AD16</f>
        <v>26704449351.5225</v>
      </c>
      <c r="AE20" s="61" t="n">
        <f aca="false">AE13+AE16</f>
        <v>26176679661.2277</v>
      </c>
      <c r="AF20" s="61" t="n">
        <f aca="false">AF13+AF16</f>
        <v>26745051367.4669</v>
      </c>
      <c r="AG20" s="61" t="n">
        <f aca="false">AG13+AG16</f>
        <v>27272821057.7617</v>
      </c>
      <c r="AH20" s="61" t="n">
        <f aca="false">AH13+AH16</f>
        <v>26724750359.4947</v>
      </c>
      <c r="AI20" s="61" t="n">
        <f aca="false">AI13+AI16</f>
        <v>26176679661.2277</v>
      </c>
      <c r="AJ20" s="61" t="n">
        <f aca="false">AJ13+AJ16</f>
        <v>26745051367.4669</v>
      </c>
      <c r="AK20" s="61" t="n">
        <f aca="false">AK13+AK16</f>
        <v>26196980669.1999</v>
      </c>
      <c r="AL20" s="61" t="n">
        <f aca="false">AL13+AL16</f>
        <v>27400087230.6345</v>
      </c>
      <c r="AM20" s="61" t="n">
        <f aca="false">AM13+AM16</f>
        <v>30628346149.8665</v>
      </c>
      <c r="AN20" s="61" t="n">
        <f aca="false">AN13+AN16</f>
        <v>26178621000.6286</v>
      </c>
      <c r="AO20" s="61" t="n">
        <f aca="false">AO13+AO16</f>
        <v>27508105170.8566</v>
      </c>
      <c r="AP20" s="61" t="n">
        <f aca="false">AP13+AP16</f>
        <v>26952495223.2736</v>
      </c>
      <c r="AQ20" s="61" t="n">
        <f aca="false">AQ13+AQ16</f>
        <v>26417186283.6628</v>
      </c>
      <c r="AR20" s="61" t="n">
        <f aca="false">AR13+AR16</f>
        <v>26993097239.218</v>
      </c>
      <c r="AS20" s="61" t="n">
        <f aca="false">AS13+AS16</f>
        <v>27528406178.8288</v>
      </c>
      <c r="AT20" s="61" t="n">
        <f aca="false">AT13+AT16</f>
        <v>26972796231.2458</v>
      </c>
      <c r="AU20" s="61" t="n">
        <f aca="false">AU13+AU16</f>
        <v>26417186283.6628</v>
      </c>
      <c r="AV20" s="61" t="n">
        <f aca="false">AV13+AV16</f>
        <v>26993097239.218</v>
      </c>
      <c r="AW20" s="61" t="n">
        <f aca="false">AW13+AW16</f>
        <v>26437487291.635</v>
      </c>
      <c r="AX20" s="61" t="n">
        <f aca="false">AX13+AX16</f>
        <v>27670311990.5761</v>
      </c>
      <c r="AY20" s="61" t="n">
        <f aca="false">AY13+AY16</f>
        <v>30954966640.7839</v>
      </c>
      <c r="AZ20" s="61" t="n">
        <f aca="false">AZ13+AZ16</f>
        <v>26426854226.7347</v>
      </c>
      <c r="BA20" s="61" t="n">
        <f aca="false">BA13+BA16</f>
        <v>27768819502.9181</v>
      </c>
      <c r="BB20" s="61" t="n">
        <f aca="false">BB13+BB16</f>
        <v>27205580109.3566</v>
      </c>
      <c r="BC20" s="61" t="n">
        <f aca="false">BC13+BC16</f>
        <v>26662641723.7674</v>
      </c>
      <c r="BD20" s="61" t="n">
        <f aca="false">BD13+BD16</f>
        <v>27246182125.301</v>
      </c>
      <c r="BE20" s="61" t="n">
        <f aca="false">BE13+BE16</f>
        <v>27789120510.8903</v>
      </c>
      <c r="BF20" s="61" t="n">
        <f aca="false">BF13+BF16</f>
        <v>27225881117.3288</v>
      </c>
      <c r="BG20" s="61" t="n">
        <f aca="false">BG13+BG16</f>
        <v>26662641723.7674</v>
      </c>
      <c r="BH20" s="61" t="n">
        <f aca="false">BH13+BH16</f>
        <v>27246182125.301</v>
      </c>
      <c r="BI20" s="61" t="n">
        <f aca="false">BI13+BI16</f>
        <v>26682942731.7396</v>
      </c>
      <c r="BJ20" s="61" t="n">
        <f aca="false">BJ13+BJ16</f>
        <v>27945600233.6198</v>
      </c>
      <c r="BK20" s="61" t="n">
        <f aca="false">BK13+BK16</f>
        <v>31292735662.0906</v>
      </c>
      <c r="BL20" s="61" t="n">
        <f aca="false">BL13+BL16</f>
        <v>26684592264.5587</v>
      </c>
      <c r="BM20" s="61" t="n">
        <f aca="false">BM13+BM16</f>
        <v>28039512362.2787</v>
      </c>
      <c r="BN20" s="61" t="n">
        <f aca="false">BN13+BN16</f>
        <v>27468437165.0384</v>
      </c>
      <c r="BO20" s="61" t="n">
        <f aca="false">BO13+BO16</f>
        <v>26917662975.7704</v>
      </c>
      <c r="BP20" s="61" t="n">
        <f aca="false">BP13+BP16</f>
        <v>27509039180.9828</v>
      </c>
      <c r="BQ20" s="61" t="n">
        <f aca="false">BQ13+BQ16</f>
        <v>28059813370.2509</v>
      </c>
      <c r="BR20" s="61" t="n">
        <f aca="false">BR13+BR16</f>
        <v>27488738173.0106</v>
      </c>
      <c r="BS20" s="61" t="n">
        <f aca="false">BS13+BS16</f>
        <v>26917662975.7704</v>
      </c>
      <c r="BT20" s="61" t="n">
        <f aca="false">BT13+BT16</f>
        <v>27509039180.9828</v>
      </c>
      <c r="BU20" s="61" t="n">
        <f aca="false">BU13+BU16</f>
        <v>26937963983.7426</v>
      </c>
      <c r="BV20" s="61" t="n">
        <f aca="false">BV13+BV16</f>
        <v>28230920861.2116</v>
      </c>
      <c r="BW20" s="61" t="n">
        <f aca="false">BW13+BW16</f>
        <v>31641765653.8283</v>
      </c>
      <c r="BX20" s="61" t="n">
        <f aca="false">BX13+BX16</f>
        <v>26951918030.6957</v>
      </c>
      <c r="BY20" s="61" t="n">
        <f aca="false">BY13+BY16</f>
        <v>28320270844.8527</v>
      </c>
      <c r="BZ20" s="61" t="n">
        <f aca="false">BZ13+BZ16</f>
        <v>27741150726.7918</v>
      </c>
      <c r="CA20" s="61" t="n">
        <f aca="false">CA13+CA16</f>
        <v>27182331616.7031</v>
      </c>
      <c r="CB20" s="61" t="n">
        <f aca="false">CB13+CB16</f>
        <v>27781752742.7362</v>
      </c>
      <c r="CC20" s="61" t="n">
        <f aca="false">CC13+CC16</f>
        <v>28340571852.8249</v>
      </c>
      <c r="CD20" s="61" t="n">
        <f aca="false">CD13+CD16</f>
        <v>27761451734.764</v>
      </c>
      <c r="CE20" s="61" t="n">
        <f aca="false">CE13+CE16</f>
        <v>27182331616.7031</v>
      </c>
      <c r="CF20" s="61" t="n">
        <f aca="false">CF13+CF16</f>
        <v>27781752742.7362</v>
      </c>
      <c r="CG20" s="61" t="n">
        <f aca="false">CG13+CG16</f>
        <v>27202632624.6753</v>
      </c>
      <c r="CH20" s="61" t="n">
        <f aca="false">CH13+CH16</f>
        <v>28526367077.6169</v>
      </c>
      <c r="CI20" s="61" t="n">
        <f aca="false">CI13+CI16</f>
        <v>32002173553.4603</v>
      </c>
      <c r="CJ20" s="61" t="n">
        <f aca="false">CJ13+CJ16</f>
        <v>27228918307.9166</v>
      </c>
      <c r="CK20" s="61" t="n">
        <f aca="false">CK13+CK16</f>
        <v>28611186105.303</v>
      </c>
      <c r="CL20" s="61" t="n">
        <f aca="false">CL13+CL16</f>
        <v>28023809108.26</v>
      </c>
      <c r="CM20" s="61" t="n">
        <f aca="false">CM13+CM16</f>
        <v>27456733119.1893</v>
      </c>
      <c r="CN20" s="61" t="n">
        <f aca="false">CN13+CN16</f>
        <v>28064411124.2044</v>
      </c>
      <c r="CO20" s="61" t="n">
        <f aca="false">CO13+CO16</f>
        <v>28631487113.2752</v>
      </c>
      <c r="CP20" s="61" t="n">
        <f aca="false">CP13+CP16</f>
        <v>28044110116.2322</v>
      </c>
      <c r="CQ20" s="61" t="n">
        <f aca="false">CQ13+CQ16</f>
        <v>27456733119.1893</v>
      </c>
      <c r="CR20" s="61" t="n">
        <f aca="false">CR13+CR16</f>
        <v>28064411124.2044</v>
      </c>
      <c r="CS20" s="61" t="n">
        <f aca="false">CS13+CS16</f>
        <v>27477034127.1615</v>
      </c>
      <c r="CT20" s="61" t="n">
        <f aca="false">CT13+CT16</f>
        <v>28832036153.8865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457</v>
      </c>
      <c r="C22" s="63" t="n">
        <f aca="false">C13*((Supuestos!$C$6+Supuestos!$C$8+Supuestos!$C$10+Supuestos!$C$11)/(Supuestos!$C$7+Supuestos!$C$9+Supuestos!$C$10+Supuestos!$C$11)/C18-1)</f>
        <v>3477856340.54231</v>
      </c>
      <c r="D22" s="63" t="n">
        <f aca="false">D13*((Supuestos!$C$6+Supuestos!$C$8+Supuestos!$C$10+Supuestos!$C$11)/(Supuestos!$C$7+Supuestos!$C$9+Supuestos!$C$10+Supuestos!$C$11)/D18-1)</f>
        <v>2984277619.10197</v>
      </c>
      <c r="E22" s="63" t="n">
        <f aca="false">E13*((Supuestos!$C$6+Supuestos!$C$8+Supuestos!$C$10+Supuestos!$C$11)/(Supuestos!$C$7+Supuestos!$C$9+Supuestos!$C$10+Supuestos!$C$11)/E18-1)</f>
        <v>3129249421.68852</v>
      </c>
      <c r="F22" s="63" t="n">
        <f aca="false">F13*((Supuestos!$C$6+Supuestos!$C$8+Supuestos!$C$10+Supuestos!$C$11)/(Supuestos!$C$7+Supuestos!$C$9+Supuestos!$C$10+Supuestos!$C$11)/F18-1)</f>
        <v>3066688169.78269</v>
      </c>
      <c r="G22" s="63" t="n">
        <f aca="false">G13*((Supuestos!$C$6+Supuestos!$C$8+Supuestos!$C$10+Supuestos!$C$11)/(Supuestos!$C$7+Supuestos!$C$9+Supuestos!$C$10+Supuestos!$C$11)/G18-1)</f>
        <v>3004126917.87686</v>
      </c>
      <c r="H22" s="63" t="n">
        <f aca="false">H13*((Supuestos!$C$6+Supuestos!$C$8+Supuestos!$C$10+Supuestos!$C$11)/(Supuestos!$C$7+Supuestos!$C$9+Supuestos!$C$10+Supuestos!$C$11)/H18-1)</f>
        <v>3066688169.78269</v>
      </c>
      <c r="I22" s="63" t="n">
        <f aca="false">I13*((Supuestos!$C$6+Supuestos!$C$8+Supuestos!$C$10+Supuestos!$C$11)/(Supuestos!$C$7+Supuestos!$C$9+Supuestos!$C$10+Supuestos!$C$11)/I18-1)</f>
        <v>3129249421.68852</v>
      </c>
      <c r="J22" s="63" t="n">
        <f aca="false">J13*((Supuestos!$C$6+Supuestos!$C$8+Supuestos!$C$10+Supuestos!$C$11)/(Supuestos!$C$7+Supuestos!$C$9+Supuestos!$C$10+Supuestos!$C$11)/J18-1)</f>
        <v>3066688169.78269</v>
      </c>
      <c r="K22" s="63" t="n">
        <f aca="false">K13*((Supuestos!$C$6+Supuestos!$C$8+Supuestos!$C$10+Supuestos!$C$11)/(Supuestos!$C$7+Supuestos!$C$9+Supuestos!$C$10+Supuestos!$C$11)/K18-1)</f>
        <v>3004126917.87686</v>
      </c>
      <c r="L22" s="63" t="n">
        <f aca="false">L13*((Supuestos!$C$6+Supuestos!$C$8+Supuestos!$C$10+Supuestos!$C$11)/(Supuestos!$C$7+Supuestos!$C$9+Supuestos!$C$10+Supuestos!$C$11)/L18-1)</f>
        <v>3066688169.78269</v>
      </c>
      <c r="M22" s="63" t="n">
        <f aca="false">M13*((Supuestos!$C$6+Supuestos!$C$8+Supuestos!$C$10+Supuestos!$C$11)/(Supuestos!$C$7+Supuestos!$C$9+Supuestos!$C$10+Supuestos!$C$11)/M18-1)</f>
        <v>3004126917.87686</v>
      </c>
      <c r="N22" s="63" t="n">
        <f aca="false">N13*((Supuestos!$C$6+Supuestos!$C$8+Supuestos!$C$10+Supuestos!$C$11)/(Supuestos!$C$7+Supuestos!$C$9+Supuestos!$C$10+Supuestos!$C$11)/N18-1)</f>
        <v>3142187426.65712</v>
      </c>
      <c r="O22" s="63" t="n">
        <f aca="false">O13*((Supuestos!$C$6+Supuestos!$C$8+Supuestos!$C$10+Supuestos!$C$11)/(Supuestos!$C$7+Supuestos!$C$9+Supuestos!$C$10+Supuestos!$C$11)/O18-1)</f>
        <v>3558436589.56556</v>
      </c>
      <c r="P22" s="63" t="n">
        <f aca="false">P13*((Supuestos!$C$6+Supuestos!$C$8+Supuestos!$C$10+Supuestos!$C$11)/(Supuestos!$C$7+Supuestos!$C$9+Supuestos!$C$10+Supuestos!$C$11)/P18-1)</f>
        <v>3047707295.12291</v>
      </c>
      <c r="Q22" s="63" t="n">
        <f aca="false">Q13*((Supuestos!$C$6+Supuestos!$C$8+Supuestos!$C$10+Supuestos!$C$11)/(Supuestos!$C$7+Supuestos!$C$9+Supuestos!$C$10+Supuestos!$C$11)/Q18-1)</f>
        <v>3195859453.30063</v>
      </c>
      <c r="R22" s="63" t="n">
        <f aca="false">R13*((Supuestos!$C$6+Supuestos!$C$8+Supuestos!$C$10+Supuestos!$C$11)/(Supuestos!$C$7+Supuestos!$C$9+Supuestos!$C$10+Supuestos!$C$11)/R18-1)</f>
        <v>3131530587.79659</v>
      </c>
      <c r="S22" s="63" t="n">
        <f aca="false">S13*((Supuestos!$C$6+Supuestos!$C$8+Supuestos!$C$10+Supuestos!$C$11)/(Supuestos!$C$7+Supuestos!$C$9+Supuestos!$C$10+Supuestos!$C$11)/S18-1)</f>
        <v>3067201722.29255</v>
      </c>
      <c r="T22" s="63" t="n">
        <f aca="false">T13*((Supuestos!$C$6+Supuestos!$C$8+Supuestos!$C$10+Supuestos!$C$11)/(Supuestos!$C$7+Supuestos!$C$9+Supuestos!$C$10+Supuestos!$C$11)/T18-1)</f>
        <v>3131530587.79659</v>
      </c>
      <c r="U22" s="63" t="n">
        <f aca="false">U13*((Supuestos!$C$6+Supuestos!$C$8+Supuestos!$C$10+Supuestos!$C$11)/(Supuestos!$C$7+Supuestos!$C$9+Supuestos!$C$10+Supuestos!$C$11)/U18-1)</f>
        <v>3195859453.30063</v>
      </c>
      <c r="V22" s="63" t="n">
        <f aca="false">V13*((Supuestos!$C$6+Supuestos!$C$8+Supuestos!$C$10+Supuestos!$C$11)/(Supuestos!$C$7+Supuestos!$C$9+Supuestos!$C$10+Supuestos!$C$11)/V18-1)</f>
        <v>3131530587.79659</v>
      </c>
      <c r="W22" s="63" t="n">
        <f aca="false">W13*((Supuestos!$C$6+Supuestos!$C$8+Supuestos!$C$10+Supuestos!$C$11)/(Supuestos!$C$7+Supuestos!$C$9+Supuestos!$C$10+Supuestos!$C$11)/W18-1)</f>
        <v>3067201722.29255</v>
      </c>
      <c r="X22" s="63" t="n">
        <f aca="false">X13*((Supuestos!$C$6+Supuestos!$C$8+Supuestos!$C$10+Supuestos!$C$11)/(Supuestos!$C$7+Supuestos!$C$9+Supuestos!$C$10+Supuestos!$C$11)/X18-1)</f>
        <v>3131530587.79659</v>
      </c>
      <c r="Y22" s="63" t="n">
        <f aca="false">Y13*((Supuestos!$C$6+Supuestos!$C$8+Supuestos!$C$10+Supuestos!$C$11)/(Supuestos!$C$7+Supuestos!$C$9+Supuestos!$C$10+Supuestos!$C$11)/Y18-1)</f>
        <v>3067201722.29255</v>
      </c>
      <c r="Z22" s="63" t="n">
        <f aca="false">Z13*((Supuestos!$C$6+Supuestos!$C$8+Supuestos!$C$10+Supuestos!$C$11)/(Supuestos!$C$7+Supuestos!$C$9+Supuestos!$C$10+Supuestos!$C$11)/Z18-1)</f>
        <v>3211452250.88058</v>
      </c>
      <c r="AA22" s="63" t="n">
        <f aca="false">AA13*((Supuestos!$C$6+Supuestos!$C$8+Supuestos!$C$10+Supuestos!$C$11)/(Supuestos!$C$7+Supuestos!$C$9+Supuestos!$C$10+Supuestos!$C$11)/AA18-1)</f>
        <v>3610199730.90067</v>
      </c>
      <c r="AB22" s="63" t="n">
        <f aca="false">AB13*((Supuestos!$C$6+Supuestos!$C$8+Supuestos!$C$10+Supuestos!$C$11)/(Supuestos!$C$7+Supuestos!$C$9+Supuestos!$C$10+Supuestos!$C$11)/AB18-1)</f>
        <v>3087664410.21795</v>
      </c>
      <c r="AC22" s="63" t="n">
        <f aca="false">AC13*((Supuestos!$C$6+Supuestos!$C$8+Supuestos!$C$10+Supuestos!$C$11)/(Supuestos!$C$7+Supuestos!$C$9+Supuestos!$C$10+Supuestos!$C$11)/AC18-1)</f>
        <v>3237823101.11605</v>
      </c>
      <c r="AD22" s="63" t="n">
        <f aca="false">AD13*((Supuestos!$C$6+Supuestos!$C$8+Supuestos!$C$10+Supuestos!$C$11)/(Supuestos!$C$7+Supuestos!$C$9+Supuestos!$C$10+Supuestos!$C$11)/AD18-1)</f>
        <v>3172317429.93942</v>
      </c>
      <c r="AE22" s="63" t="n">
        <f aca="false">AE13*((Supuestos!$C$6+Supuestos!$C$8+Supuestos!$C$10+Supuestos!$C$11)/(Supuestos!$C$7+Supuestos!$C$9+Supuestos!$C$10+Supuestos!$C$11)/AE18-1)</f>
        <v>3106811758.76279</v>
      </c>
      <c r="AF22" s="63" t="n">
        <f aca="false">AF13*((Supuestos!$C$6+Supuestos!$C$8+Supuestos!$C$10+Supuestos!$C$11)/(Supuestos!$C$7+Supuestos!$C$9+Supuestos!$C$10+Supuestos!$C$11)/AF18-1)</f>
        <v>3172317429.93942</v>
      </c>
      <c r="AG22" s="63" t="n">
        <f aca="false">AG13*((Supuestos!$C$6+Supuestos!$C$8+Supuestos!$C$10+Supuestos!$C$11)/(Supuestos!$C$7+Supuestos!$C$9+Supuestos!$C$10+Supuestos!$C$11)/AG18-1)</f>
        <v>3237823101.11605</v>
      </c>
      <c r="AH22" s="63" t="n">
        <f aca="false">AH13*((Supuestos!$C$6+Supuestos!$C$8+Supuestos!$C$10+Supuestos!$C$11)/(Supuestos!$C$7+Supuestos!$C$9+Supuestos!$C$10+Supuestos!$C$11)/AH18-1)</f>
        <v>3172317429.93942</v>
      </c>
      <c r="AI22" s="63" t="n">
        <f aca="false">AI13*((Supuestos!$C$6+Supuestos!$C$8+Supuestos!$C$10+Supuestos!$C$11)/(Supuestos!$C$7+Supuestos!$C$9+Supuestos!$C$10+Supuestos!$C$11)/AI18-1)</f>
        <v>3106811758.76279</v>
      </c>
      <c r="AJ22" s="63" t="n">
        <f aca="false">AJ13*((Supuestos!$C$6+Supuestos!$C$8+Supuestos!$C$10+Supuestos!$C$11)/(Supuestos!$C$7+Supuestos!$C$9+Supuestos!$C$10+Supuestos!$C$11)/AJ18-1)</f>
        <v>3172317429.93942</v>
      </c>
      <c r="AK22" s="63" t="n">
        <f aca="false">AK13*((Supuestos!$C$6+Supuestos!$C$8+Supuestos!$C$10+Supuestos!$C$11)/(Supuestos!$C$7+Supuestos!$C$9+Supuestos!$C$10+Supuestos!$C$11)/AK18-1)</f>
        <v>3106811758.76279</v>
      </c>
      <c r="AL22" s="63" t="n">
        <f aca="false">AL13*((Supuestos!$C$6+Supuestos!$C$8+Supuestos!$C$10+Supuestos!$C$11)/(Supuestos!$C$7+Supuestos!$C$9+Supuestos!$C$10+Supuestos!$C$11)/AL18-1)</f>
        <v>3255460400.93058</v>
      </c>
      <c r="AM22" s="63" t="n">
        <f aca="false">AM13*((Supuestos!$C$6+Supuestos!$C$8+Supuestos!$C$10+Supuestos!$C$11)/(Supuestos!$C$7+Supuestos!$C$9+Supuestos!$C$10+Supuestos!$C$11)/AM18-1)</f>
        <v>3648582604.646</v>
      </c>
      <c r="AN22" s="63" t="n">
        <f aca="false">AN13*((Supuestos!$C$6+Supuestos!$C$8+Supuestos!$C$10+Supuestos!$C$11)/(Supuestos!$C$7+Supuestos!$C$9+Supuestos!$C$10+Supuestos!$C$11)/AN18-1)</f>
        <v>3116749333.183</v>
      </c>
      <c r="AO22" s="63" t="n">
        <f aca="false">AO13*((Supuestos!$C$6+Supuestos!$C$8+Supuestos!$C$10+Supuestos!$C$11)/(Supuestos!$C$7+Supuestos!$C$9+Supuestos!$C$10+Supuestos!$C$11)/AO18-1)</f>
        <v>3268370756.64881</v>
      </c>
      <c r="AP22" s="63" t="n">
        <f aca="false">AP13*((Supuestos!$C$6+Supuestos!$C$8+Supuestos!$C$10+Supuestos!$C$11)/(Supuestos!$C$7+Supuestos!$C$9+Supuestos!$C$10+Supuestos!$C$11)/AP18-1)</f>
        <v>3201963990.79923</v>
      </c>
      <c r="AQ22" s="63" t="n">
        <f aca="false">AQ13*((Supuestos!$C$6+Supuestos!$C$8+Supuestos!$C$10+Supuestos!$C$11)/(Supuestos!$C$7+Supuestos!$C$9+Supuestos!$C$10+Supuestos!$C$11)/AQ18-1)</f>
        <v>3135557224.94965</v>
      </c>
      <c r="AR22" s="63" t="n">
        <f aca="false">AR13*((Supuestos!$C$6+Supuestos!$C$8+Supuestos!$C$10+Supuestos!$C$11)/(Supuestos!$C$7+Supuestos!$C$9+Supuestos!$C$10+Supuestos!$C$11)/AR18-1)</f>
        <v>3201963990.79923</v>
      </c>
      <c r="AS22" s="63" t="n">
        <f aca="false">AS13*((Supuestos!$C$6+Supuestos!$C$8+Supuestos!$C$10+Supuestos!$C$11)/(Supuestos!$C$7+Supuestos!$C$9+Supuestos!$C$10+Supuestos!$C$11)/AS18-1)</f>
        <v>3268370756.64881</v>
      </c>
      <c r="AT22" s="63" t="n">
        <f aca="false">AT13*((Supuestos!$C$6+Supuestos!$C$8+Supuestos!$C$10+Supuestos!$C$11)/(Supuestos!$C$7+Supuestos!$C$9+Supuestos!$C$10+Supuestos!$C$11)/AT18-1)</f>
        <v>3201963990.79923</v>
      </c>
      <c r="AU22" s="63" t="n">
        <f aca="false">AU13*((Supuestos!$C$6+Supuestos!$C$8+Supuestos!$C$10+Supuestos!$C$11)/(Supuestos!$C$7+Supuestos!$C$9+Supuestos!$C$10+Supuestos!$C$11)/AU18-1)</f>
        <v>3135557224.94965</v>
      </c>
      <c r="AV22" s="63" t="n">
        <f aca="false">AV13*((Supuestos!$C$6+Supuestos!$C$8+Supuestos!$C$10+Supuestos!$C$11)/(Supuestos!$C$7+Supuestos!$C$9+Supuestos!$C$10+Supuestos!$C$11)/AV18-1)</f>
        <v>3201963990.79923</v>
      </c>
      <c r="AW22" s="63" t="n">
        <f aca="false">AW13*((Supuestos!$C$6+Supuestos!$C$8+Supuestos!$C$10+Supuestos!$C$11)/(Supuestos!$C$7+Supuestos!$C$9+Supuestos!$C$10+Supuestos!$C$11)/AW18-1)</f>
        <v>3135557224.94965</v>
      </c>
      <c r="AX22" s="63" t="n">
        <f aca="false">AX13*((Supuestos!$C$6+Supuestos!$C$8+Supuestos!$C$10+Supuestos!$C$11)/(Supuestos!$C$7+Supuestos!$C$9+Supuestos!$C$10+Supuestos!$C$11)/AX18-1)</f>
        <v>3287757793.08179</v>
      </c>
      <c r="AY22" s="63" t="n">
        <f aca="false">AY13*((Supuestos!$C$6+Supuestos!$C$8+Supuestos!$C$10+Supuestos!$C$11)/(Supuestos!$C$7+Supuestos!$C$9+Supuestos!$C$10+Supuestos!$C$11)/AY18-1)</f>
        <v>3687620441.45288</v>
      </c>
      <c r="AZ22" s="63" t="n">
        <f aca="false">AZ13*((Supuestos!$C$6+Supuestos!$C$8+Supuestos!$C$10+Supuestos!$C$11)/(Supuestos!$C$7+Supuestos!$C$9+Supuestos!$C$10+Supuestos!$C$11)/AZ18-1)</f>
        <v>3146418286.72465</v>
      </c>
      <c r="BA22" s="63" t="n">
        <f aca="false">BA13*((Supuestos!$C$6+Supuestos!$C$8+Supuestos!$C$10+Supuestos!$C$11)/(Supuestos!$C$7+Supuestos!$C$9+Supuestos!$C$10+Supuestos!$C$11)/BA18-1)</f>
        <v>3299531457.92522</v>
      </c>
      <c r="BB22" s="63" t="n">
        <f aca="false">BB13*((Supuestos!$C$6+Supuestos!$C$8+Supuestos!$C$10+Supuestos!$C$11)/(Supuestos!$C$7+Supuestos!$C$9+Supuestos!$C$10+Supuestos!$C$11)/BB18-1)</f>
        <v>3232212817.05458</v>
      </c>
      <c r="BC22" s="63" t="n">
        <f aca="false">BC13*((Supuestos!$C$6+Supuestos!$C$8+Supuestos!$C$10+Supuestos!$C$11)/(Supuestos!$C$7+Supuestos!$C$9+Supuestos!$C$10+Supuestos!$C$11)/BC18-1)</f>
        <v>3164894176.18394</v>
      </c>
      <c r="BD22" s="63" t="n">
        <f aca="false">BD13*((Supuestos!$C$6+Supuestos!$C$8+Supuestos!$C$10+Supuestos!$C$11)/(Supuestos!$C$7+Supuestos!$C$9+Supuestos!$C$10+Supuestos!$C$11)/BD18-1)</f>
        <v>3232212817.05458</v>
      </c>
      <c r="BE22" s="63" t="n">
        <f aca="false">BE13*((Supuestos!$C$6+Supuestos!$C$8+Supuestos!$C$10+Supuestos!$C$11)/(Supuestos!$C$7+Supuestos!$C$9+Supuestos!$C$10+Supuestos!$C$11)/BE18-1)</f>
        <v>3299531457.92522</v>
      </c>
      <c r="BF22" s="63" t="n">
        <f aca="false">BF13*((Supuestos!$C$6+Supuestos!$C$8+Supuestos!$C$10+Supuestos!$C$11)/(Supuestos!$C$7+Supuestos!$C$9+Supuestos!$C$10+Supuestos!$C$11)/BF18-1)</f>
        <v>3232212817.05458</v>
      </c>
      <c r="BG22" s="63" t="n">
        <f aca="false">BG13*((Supuestos!$C$6+Supuestos!$C$8+Supuestos!$C$10+Supuestos!$C$11)/(Supuestos!$C$7+Supuestos!$C$9+Supuestos!$C$10+Supuestos!$C$11)/BG18-1)</f>
        <v>3164894176.18394</v>
      </c>
      <c r="BH22" s="63" t="n">
        <f aca="false">BH13*((Supuestos!$C$6+Supuestos!$C$8+Supuestos!$C$10+Supuestos!$C$11)/(Supuestos!$C$7+Supuestos!$C$9+Supuestos!$C$10+Supuestos!$C$11)/BH18-1)</f>
        <v>3232212817.05458</v>
      </c>
      <c r="BI22" s="63" t="n">
        <f aca="false">BI13*((Supuestos!$C$6+Supuestos!$C$8+Supuestos!$C$10+Supuestos!$C$11)/(Supuestos!$C$7+Supuestos!$C$9+Supuestos!$C$10+Supuestos!$C$11)/BI18-1)</f>
        <v>3164894176.18394</v>
      </c>
      <c r="BJ22" s="63" t="n">
        <f aca="false">BJ13*((Supuestos!$C$6+Supuestos!$C$8+Supuestos!$C$10+Supuestos!$C$11)/(Supuestos!$C$7+Supuestos!$C$9+Supuestos!$C$10+Supuestos!$C$11)/BJ18-1)</f>
        <v>3320660375.14763</v>
      </c>
      <c r="BK22" s="63" t="n">
        <f aca="false">BK13*((Supuestos!$C$6+Supuestos!$C$8+Supuestos!$C$10+Supuestos!$C$11)/(Supuestos!$C$7+Supuestos!$C$9+Supuestos!$C$10+Supuestos!$C$11)/BK18-1)</f>
        <v>3727990755.9275</v>
      </c>
      <c r="BL22" s="63" t="n">
        <f aca="false">BL13*((Supuestos!$C$6+Supuestos!$C$8+Supuestos!$C$10+Supuestos!$C$11)/(Supuestos!$C$7+Supuestos!$C$9+Supuestos!$C$10+Supuestos!$C$11)/BL18-1)</f>
        <v>3177223259.89469</v>
      </c>
      <c r="BM22" s="63" t="n">
        <f aca="false">BM13*((Supuestos!$C$6+Supuestos!$C$8+Supuestos!$C$10+Supuestos!$C$11)/(Supuestos!$C$7+Supuestos!$C$9+Supuestos!$C$10+Supuestos!$C$11)/BM18-1)</f>
        <v>3331884797.54219</v>
      </c>
      <c r="BN22" s="63" t="n">
        <f aca="false">BN13*((Supuestos!$C$6+Supuestos!$C$8+Supuestos!$C$10+Supuestos!$C$11)/(Supuestos!$C$7+Supuestos!$C$9+Supuestos!$C$10+Supuestos!$C$11)/BN18-1)</f>
        <v>3263629617.67975</v>
      </c>
      <c r="BO22" s="63" t="n">
        <f aca="false">BO13*((Supuestos!$C$6+Supuestos!$C$8+Supuestos!$C$10+Supuestos!$C$11)/(Supuestos!$C$7+Supuestos!$C$9+Supuestos!$C$10+Supuestos!$C$11)/BO18-1)</f>
        <v>3195374437.81731</v>
      </c>
      <c r="BP22" s="63" t="n">
        <f aca="false">BP13*((Supuestos!$C$6+Supuestos!$C$8+Supuestos!$C$10+Supuestos!$C$11)/(Supuestos!$C$7+Supuestos!$C$9+Supuestos!$C$10+Supuestos!$C$11)/BP18-1)</f>
        <v>3263629617.67975</v>
      </c>
      <c r="BQ22" s="63" t="n">
        <f aca="false">BQ13*((Supuestos!$C$6+Supuestos!$C$8+Supuestos!$C$10+Supuestos!$C$11)/(Supuestos!$C$7+Supuestos!$C$9+Supuestos!$C$10+Supuestos!$C$11)/BQ18-1)</f>
        <v>3331884797.54219</v>
      </c>
      <c r="BR22" s="63" t="n">
        <f aca="false">BR13*((Supuestos!$C$6+Supuestos!$C$8+Supuestos!$C$10+Supuestos!$C$11)/(Supuestos!$C$7+Supuestos!$C$9+Supuestos!$C$10+Supuestos!$C$11)/BR18-1)</f>
        <v>3263629617.67975</v>
      </c>
      <c r="BS22" s="63" t="n">
        <f aca="false">BS13*((Supuestos!$C$6+Supuestos!$C$8+Supuestos!$C$10+Supuestos!$C$11)/(Supuestos!$C$7+Supuestos!$C$9+Supuestos!$C$10+Supuestos!$C$11)/BS18-1)</f>
        <v>3195374437.81731</v>
      </c>
      <c r="BT22" s="63" t="n">
        <f aca="false">BT13*((Supuestos!$C$6+Supuestos!$C$8+Supuestos!$C$10+Supuestos!$C$11)/(Supuestos!$C$7+Supuestos!$C$9+Supuestos!$C$10+Supuestos!$C$11)/BT18-1)</f>
        <v>3263629617.67975</v>
      </c>
      <c r="BU22" s="63" t="n">
        <f aca="false">BU13*((Supuestos!$C$6+Supuestos!$C$8+Supuestos!$C$10+Supuestos!$C$11)/(Supuestos!$C$7+Supuestos!$C$9+Supuestos!$C$10+Supuestos!$C$11)/BU18-1)</f>
        <v>3195374437.81731</v>
      </c>
      <c r="BV22" s="63" t="n">
        <f aca="false">BV13*((Supuestos!$C$6+Supuestos!$C$8+Supuestos!$C$10+Supuestos!$C$11)/(Supuestos!$C$7+Supuestos!$C$9+Supuestos!$C$10+Supuestos!$C$11)/BV18-1)</f>
        <v>3354762032.59809</v>
      </c>
      <c r="BW22" s="63" t="n">
        <f aca="false">BW13*((Supuestos!$C$6+Supuestos!$C$8+Supuestos!$C$10+Supuestos!$C$11)/(Supuestos!$C$7+Supuestos!$C$9+Supuestos!$C$10+Supuestos!$C$11)/BW18-1)</f>
        <v>3769706986.95728</v>
      </c>
      <c r="BX22" s="63" t="n">
        <f aca="false">BX13*((Supuestos!$C$6+Supuestos!$C$8+Supuestos!$C$10+Supuestos!$C$11)/(Supuestos!$C$7+Supuestos!$C$9+Supuestos!$C$10+Supuestos!$C$11)/BX18-1)</f>
        <v>3209174162.92414</v>
      </c>
      <c r="BY22" s="63" t="n">
        <f aca="false">BY13*((Supuestos!$C$6+Supuestos!$C$8+Supuestos!$C$10+Supuestos!$C$11)/(Supuestos!$C$7+Supuestos!$C$9+Supuestos!$C$10+Supuestos!$C$11)/BY18-1)</f>
        <v>3365441185.24489</v>
      </c>
      <c r="BZ22" s="63" t="n">
        <f aca="false">BZ13*((Supuestos!$C$6+Supuestos!$C$8+Supuestos!$C$10+Supuestos!$C$11)/(Supuestos!$C$7+Supuestos!$C$9+Supuestos!$C$10+Supuestos!$C$11)/BZ18-1)</f>
        <v>3296224472.61015</v>
      </c>
      <c r="CA22" s="63" t="n">
        <f aca="false">CA13*((Supuestos!$C$6+Supuestos!$C$8+Supuestos!$C$10+Supuestos!$C$11)/(Supuestos!$C$7+Supuestos!$C$9+Supuestos!$C$10+Supuestos!$C$11)/CA18-1)</f>
        <v>3227007759.97542</v>
      </c>
      <c r="CB22" s="63" t="n">
        <f aca="false">CB13*((Supuestos!$C$6+Supuestos!$C$8+Supuestos!$C$10+Supuestos!$C$11)/(Supuestos!$C$7+Supuestos!$C$9+Supuestos!$C$10+Supuestos!$C$11)/CB18-1)</f>
        <v>3296224472.61015</v>
      </c>
      <c r="CC22" s="63" t="n">
        <f aca="false">CC13*((Supuestos!$C$6+Supuestos!$C$8+Supuestos!$C$10+Supuestos!$C$11)/(Supuestos!$C$7+Supuestos!$C$9+Supuestos!$C$10+Supuestos!$C$11)/CC18-1)</f>
        <v>3365441185.24489</v>
      </c>
      <c r="CD22" s="63" t="n">
        <f aca="false">CD13*((Supuestos!$C$6+Supuestos!$C$8+Supuestos!$C$10+Supuestos!$C$11)/(Supuestos!$C$7+Supuestos!$C$9+Supuestos!$C$10+Supuestos!$C$11)/CD18-1)</f>
        <v>3296224472.61015</v>
      </c>
      <c r="CE22" s="63" t="n">
        <f aca="false">CE13*((Supuestos!$C$6+Supuestos!$C$8+Supuestos!$C$10+Supuestos!$C$11)/(Supuestos!$C$7+Supuestos!$C$9+Supuestos!$C$10+Supuestos!$C$11)/CE18-1)</f>
        <v>3227007759.97542</v>
      </c>
      <c r="CF22" s="63" t="n">
        <f aca="false">CF13*((Supuestos!$C$6+Supuestos!$C$8+Supuestos!$C$10+Supuestos!$C$11)/(Supuestos!$C$7+Supuestos!$C$9+Supuestos!$C$10+Supuestos!$C$11)/CF18-1)</f>
        <v>3296224472.61015</v>
      </c>
      <c r="CG22" s="63" t="n">
        <f aca="false">CG13*((Supuestos!$C$6+Supuestos!$C$8+Supuestos!$C$10+Supuestos!$C$11)/(Supuestos!$C$7+Supuestos!$C$9+Supuestos!$C$10+Supuestos!$C$11)/CG18-1)</f>
        <v>3227007759.97542</v>
      </c>
      <c r="CH22" s="63" t="n">
        <f aca="false">CH13*((Supuestos!$C$6+Supuestos!$C$8+Supuestos!$C$10+Supuestos!$C$11)/(Supuestos!$C$7+Supuestos!$C$9+Supuestos!$C$10+Supuestos!$C$11)/CH18-1)</f>
        <v>3390073905.25143</v>
      </c>
      <c r="CI22" s="63" t="n">
        <f aca="false">CI13*((Supuestos!$C$6+Supuestos!$C$8+Supuestos!$C$10+Supuestos!$C$11)/(Supuestos!$C$7+Supuestos!$C$9+Supuestos!$C$10+Supuestos!$C$11)/CI18-1)</f>
        <v>3812783110.96354</v>
      </c>
      <c r="CJ22" s="63" t="n">
        <f aca="false">CJ13*((Supuestos!$C$6+Supuestos!$C$8+Supuestos!$C$10+Supuestos!$C$11)/(Supuestos!$C$7+Supuestos!$C$9+Supuestos!$C$10+Supuestos!$C$11)/CJ18-1)</f>
        <v>3242281368.13114</v>
      </c>
      <c r="CK22" s="63" t="n">
        <f aca="false">CK13*((Supuestos!$C$6+Supuestos!$C$8+Supuestos!$C$10+Supuestos!$C$11)/(Supuestos!$C$7+Supuestos!$C$9+Supuestos!$C$10+Supuestos!$C$11)/CK18-1)</f>
        <v>3400211515.88213</v>
      </c>
      <c r="CL22" s="63" t="n">
        <f aca="false">CL13*((Supuestos!$C$6+Supuestos!$C$8+Supuestos!$C$10+Supuestos!$C$11)/(Supuestos!$C$7+Supuestos!$C$9+Supuestos!$C$10+Supuestos!$C$11)/CL18-1)</f>
        <v>3330007937.13458</v>
      </c>
      <c r="CM22" s="63" t="n">
        <f aca="false">CM13*((Supuestos!$C$6+Supuestos!$C$8+Supuestos!$C$10+Supuestos!$C$11)/(Supuestos!$C$7+Supuestos!$C$9+Supuestos!$C$10+Supuestos!$C$11)/CM18-1)</f>
        <v>3259804358.38702</v>
      </c>
      <c r="CN22" s="63" t="n">
        <f aca="false">CN13*((Supuestos!$C$6+Supuestos!$C$8+Supuestos!$C$10+Supuestos!$C$11)/(Supuestos!$C$7+Supuestos!$C$9+Supuestos!$C$10+Supuestos!$C$11)/CN18-1)</f>
        <v>3330007937.13458</v>
      </c>
      <c r="CO22" s="63" t="n">
        <f aca="false">CO13*((Supuestos!$C$6+Supuestos!$C$8+Supuestos!$C$10+Supuestos!$C$11)/(Supuestos!$C$7+Supuestos!$C$9+Supuestos!$C$10+Supuestos!$C$11)/CO18-1)</f>
        <v>3400211515.88213</v>
      </c>
      <c r="CP22" s="63" t="n">
        <f aca="false">CP13*((Supuestos!$C$6+Supuestos!$C$8+Supuestos!$C$10+Supuestos!$C$11)/(Supuestos!$C$7+Supuestos!$C$9+Supuestos!$C$10+Supuestos!$C$11)/CP18-1)</f>
        <v>3330007937.13458</v>
      </c>
      <c r="CQ22" s="63" t="n">
        <f aca="false">CQ13*((Supuestos!$C$6+Supuestos!$C$8+Supuestos!$C$10+Supuestos!$C$11)/(Supuestos!$C$7+Supuestos!$C$9+Supuestos!$C$10+Supuestos!$C$11)/CQ18-1)</f>
        <v>3259804358.38702</v>
      </c>
      <c r="CR22" s="63" t="n">
        <f aca="false">CR13*((Supuestos!$C$6+Supuestos!$C$8+Supuestos!$C$10+Supuestos!$C$11)/(Supuestos!$C$7+Supuestos!$C$9+Supuestos!$C$10+Supuestos!$C$11)/CR18-1)</f>
        <v>3330007937.13458</v>
      </c>
      <c r="CS22" s="63" t="n">
        <f aca="false">CS13*((Supuestos!$C$6+Supuestos!$C$8+Supuestos!$C$10+Supuestos!$C$11)/(Supuestos!$C$7+Supuestos!$C$9+Supuestos!$C$10+Supuestos!$C$11)/CS18-1)</f>
        <v>3259804358.38702</v>
      </c>
      <c r="CT22" s="63" t="n">
        <f aca="false">CT13*((Supuestos!$C$6+Supuestos!$C$8+Supuestos!$C$10+Supuestos!$C$11)/(Supuestos!$C$7+Supuestos!$C$9+Supuestos!$C$10+Supuestos!$C$11)/CT18-1)</f>
        <v>3426607618.98998</v>
      </c>
    </row>
    <row r="23" customFormat="false" ht="15" hidden="false" customHeight="true" outlineLevel="0" collapsed="false">
      <c r="A23" s="2"/>
      <c r="B23" s="62" t="s">
        <v>458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459</v>
      </c>
    </row>
    <row r="3" customFormat="false" ht="15" hidden="false" customHeight="true" outlineLevel="0" collapsed="false">
      <c r="B3" s="4" t="s">
        <v>460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461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462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463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464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465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466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467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468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469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470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471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472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473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474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475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476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477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478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480</v>
      </c>
    </row>
    <row r="3" customFormat="false" ht="15" hidden="false" customHeight="true" outlineLevel="0" collapsed="false">
      <c r="B3" s="4" t="s">
        <v>481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482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483</v>
      </c>
      <c r="C8" s="57" t="n">
        <f aca="false">Supuestos!$C$77</f>
        <v>4500000000</v>
      </c>
      <c r="D8" s="57" t="n">
        <f aca="false">C47</f>
        <v>15143761433.2603</v>
      </c>
      <c r="E8" s="57" t="n">
        <f aca="false">D47</f>
        <v>16725459415.8236</v>
      </c>
      <c r="F8" s="57" t="n">
        <f aca="false">E47</f>
        <v>23420149136.5194</v>
      </c>
      <c r="G8" s="57" t="n">
        <f aca="false">F47</f>
        <v>27703336116.4827</v>
      </c>
      <c r="H8" s="57" t="n">
        <f aca="false">G47</f>
        <v>26266561224.8272</v>
      </c>
      <c r="I8" s="57" t="n">
        <f aca="false">H47</f>
        <v>25259933210.391</v>
      </c>
      <c r="J8" s="57" t="n">
        <f aca="false">I47</f>
        <v>27717215452.8262</v>
      </c>
      <c r="K8" s="57" t="n">
        <f aca="false">J47</f>
        <v>25904507853.3746</v>
      </c>
      <c r="L8" s="57" t="n">
        <f aca="false">K47</f>
        <v>27317553161.8061</v>
      </c>
      <c r="M8" s="57" t="n">
        <f aca="false">L47</f>
        <v>29267402077.1737</v>
      </c>
      <c r="N8" s="57" t="n">
        <f aca="false">M47</f>
        <v>26907199176.7206</v>
      </c>
      <c r="O8" s="57" t="n">
        <f aca="false">N47</f>
        <v>26438212654.8279</v>
      </c>
      <c r="P8" s="57" t="n">
        <f aca="false">O47</f>
        <v>34119978674.8532</v>
      </c>
      <c r="Q8" s="57" t="n">
        <f aca="false">P47</f>
        <v>35454121241.7501</v>
      </c>
      <c r="R8" s="57" t="n">
        <f aca="false">Q47</f>
        <v>42399889199.1669</v>
      </c>
      <c r="S8" s="57" t="n">
        <f aca="false">R47</f>
        <v>47007813972.0306</v>
      </c>
      <c r="T8" s="57" t="n">
        <f aca="false">S47</f>
        <v>45925378044.5598</v>
      </c>
      <c r="U8" s="57" t="n">
        <f aca="false">T47</f>
        <v>45310337401.459</v>
      </c>
      <c r="V8" s="57" t="n">
        <f aca="false">U47</f>
        <v>48185404506.0803</v>
      </c>
      <c r="W8" s="57" t="n">
        <f aca="false">V47</f>
        <v>46781477660.435</v>
      </c>
      <c r="X8" s="57" t="n">
        <f aca="false">W47</f>
        <v>48591573636.3843</v>
      </c>
      <c r="Y8" s="57" t="n">
        <f aca="false">X47</f>
        <v>50955056572.8198</v>
      </c>
      <c r="Z8" s="57" t="n">
        <f aca="false">Y47</f>
        <v>52744670780.997</v>
      </c>
      <c r="AA8" s="57" t="n">
        <f aca="false">Z47</f>
        <v>52730932829.0324</v>
      </c>
      <c r="AB8" s="57" t="n">
        <f aca="false">AA47</f>
        <v>60877105450.073</v>
      </c>
      <c r="AC8" s="57" t="n">
        <f aca="false">AB47</f>
        <v>66327289656.5676</v>
      </c>
      <c r="AD8" s="57" t="n">
        <f aca="false">AC47</f>
        <v>73659607939.4966</v>
      </c>
      <c r="AE8" s="57" t="n">
        <f aca="false">AD47</f>
        <v>78644405635.353</v>
      </c>
      <c r="AF8" s="57" t="n">
        <f aca="false">AE47</f>
        <v>81679233898.2222</v>
      </c>
      <c r="AG8" s="57" t="n">
        <f aca="false">AF47</f>
        <v>81444806899.155</v>
      </c>
      <c r="AH8" s="57" t="n">
        <f aca="false">AG47</f>
        <v>84710687055.4736</v>
      </c>
      <c r="AI8" s="57" t="n">
        <f aca="false">AH47</f>
        <v>87437960256.9699</v>
      </c>
      <c r="AJ8" s="57" t="n">
        <f aca="false">AI47</f>
        <v>89622806576.1911</v>
      </c>
      <c r="AK8" s="57" t="n">
        <f aca="false">AJ47</f>
        <v>92371285759.4755</v>
      </c>
      <c r="AL8" s="57" t="n">
        <f aca="false">AK47</f>
        <v>94536304053.6073</v>
      </c>
      <c r="AM8" s="57" t="n">
        <f aca="false">AL47</f>
        <v>94934937377.7038</v>
      </c>
      <c r="AN8" s="57" t="n">
        <f aca="false">AM47</f>
        <v>103292127539.327</v>
      </c>
      <c r="AO8" s="57" t="n">
        <f aca="false">AN47</f>
        <v>108875678132.731</v>
      </c>
      <c r="AP8" s="57" t="n">
        <f aca="false">AO47</f>
        <v>116353989210.57</v>
      </c>
      <c r="AQ8" s="57" t="n">
        <f aca="false">AP47</f>
        <v>121477202350.85</v>
      </c>
      <c r="AR8" s="57" t="n">
        <f aca="false">AQ47</f>
        <v>124642942274.114</v>
      </c>
      <c r="AS8" s="57" t="n">
        <f aca="false">AR47</f>
        <v>124547147671.996</v>
      </c>
      <c r="AT8" s="57" t="n">
        <f aca="false">AS47</f>
        <v>127959351198.673</v>
      </c>
      <c r="AU8" s="57" t="n">
        <f aca="false">AT47</f>
        <v>130825436221.253</v>
      </c>
      <c r="AV8" s="57" t="n">
        <f aca="false">AU47</f>
        <v>133141623670.71</v>
      </c>
      <c r="AW8" s="57" t="n">
        <f aca="false">AV47</f>
        <v>136029181460.11</v>
      </c>
      <c r="AX8" s="57" t="n">
        <f aca="false">AW47</f>
        <v>138325787063.043</v>
      </c>
      <c r="AY8" s="57" t="n">
        <f aca="false">AX47</f>
        <v>138885701877.59</v>
      </c>
      <c r="AZ8" s="57" t="n">
        <f aca="false">AY47</f>
        <v>147460749191.545</v>
      </c>
      <c r="BA8" s="57" t="n">
        <f aca="false">AZ47</f>
        <v>153329225849.872</v>
      </c>
      <c r="BB8" s="57" t="n">
        <f aca="false">BA47</f>
        <v>161105474955.728</v>
      </c>
      <c r="BC8" s="57" t="n">
        <f aca="false">BB47</f>
        <v>166519100737.61</v>
      </c>
      <c r="BD8" s="57" t="n">
        <f aca="false">BC47</f>
        <v>169967793755.969</v>
      </c>
      <c r="BE8" s="57" t="n">
        <f aca="false">BD47</f>
        <v>170162890805.034</v>
      </c>
      <c r="BF8" s="57" t="n">
        <f aca="false">BE47</f>
        <v>173873894496.514</v>
      </c>
      <c r="BG8" s="57" t="n">
        <f aca="false">BF47</f>
        <v>177031308195.626</v>
      </c>
      <c r="BH8" s="57" t="n">
        <f aca="false">BG47</f>
        <v>179631392128.318</v>
      </c>
      <c r="BI8" s="57" t="n">
        <f aca="false">BH47</f>
        <v>182810799038.123</v>
      </c>
      <c r="BJ8" s="57" t="n">
        <f aca="false">BI47</f>
        <v>185391801457.082</v>
      </c>
      <c r="BK8" s="57" t="n">
        <f aca="false">BJ47</f>
        <v>186266051411.706</v>
      </c>
      <c r="BL8" s="57" t="n">
        <f aca="false">BK47</f>
        <v>195218214358.343</v>
      </c>
      <c r="BM8" s="57" t="n">
        <f aca="false">BL47</f>
        <v>201384114646.72</v>
      </c>
      <c r="BN8" s="57" t="n">
        <f aca="false">BM47</f>
        <v>209471276537.067</v>
      </c>
      <c r="BO8" s="57" t="n">
        <f aca="false">BN47</f>
        <v>215188098179.553</v>
      </c>
      <c r="BP8" s="57" t="n">
        <f aca="false">BO47</f>
        <v>218932333810.956</v>
      </c>
      <c r="BQ8" s="57" t="n">
        <f aca="false">BP47</f>
        <v>219431126752.631</v>
      </c>
      <c r="BR8" s="57" t="n">
        <f aca="false">BQ47</f>
        <v>223453950815.498</v>
      </c>
      <c r="BS8" s="57" t="n">
        <f aca="false">BR47</f>
        <v>226915520486.297</v>
      </c>
      <c r="BT8" s="57" t="n">
        <f aca="false">BS47</f>
        <v>229812133827.142</v>
      </c>
      <c r="BU8" s="57" t="n">
        <f aca="false">BT47</f>
        <v>233296237188.96</v>
      </c>
      <c r="BV8" s="57" t="n">
        <f aca="false">BU47</f>
        <v>236174289992.21</v>
      </c>
      <c r="BW8" s="57" t="n">
        <f aca="false">BV47</f>
        <v>237376007427.054</v>
      </c>
      <c r="BX8" s="57" t="n">
        <f aca="false">BW47</f>
        <v>246719654995.102</v>
      </c>
      <c r="BY8" s="57" t="n">
        <f aca="false">BX47</f>
        <v>253195690918.666</v>
      </c>
      <c r="BZ8" s="57" t="n">
        <f aca="false">BY47</f>
        <v>261606958140.327</v>
      </c>
      <c r="CA8" s="57" t="n">
        <f aca="false">BZ47</f>
        <v>267639973428</v>
      </c>
      <c r="CB8" s="57" t="n">
        <f aca="false">CA47</f>
        <v>271692552851.934</v>
      </c>
      <c r="CC8" s="57" t="n">
        <f aca="false">CB47</f>
        <v>272508060417.834</v>
      </c>
      <c r="CD8" s="57" t="n">
        <f aca="false">CC47</f>
        <v>276855942433.455</v>
      </c>
      <c r="CE8" s="57" t="n">
        <f aca="false">CD47</f>
        <v>280634710086.261</v>
      </c>
      <c r="CF8" s="57" t="n">
        <f aca="false">CE47</f>
        <v>283840697854.166</v>
      </c>
      <c r="CG8" s="57" t="n">
        <f aca="false">CF47</f>
        <v>287642560063.983</v>
      </c>
      <c r="CH8" s="57" t="n">
        <f aca="false">CG47</f>
        <v>290830529266.514</v>
      </c>
      <c r="CI8" s="57" t="n">
        <f aca="false">CH47</f>
        <v>292373070710.101</v>
      </c>
      <c r="CJ8" s="57" t="n">
        <f aca="false">CI47</f>
        <v>302122820018.828</v>
      </c>
      <c r="CK8" s="57" t="n">
        <f aca="false">CJ47</f>
        <v>308921921764.822</v>
      </c>
      <c r="CL8" s="57" t="n">
        <f aca="false">CK47</f>
        <v>317670709742.378</v>
      </c>
      <c r="CM8" s="57" t="n">
        <f aca="false">CL47</f>
        <v>324033136613.843</v>
      </c>
      <c r="CN8" s="57" t="n">
        <f aca="false">CM47</f>
        <v>328407078472.031</v>
      </c>
      <c r="CO8" s="57" t="n">
        <f aca="false">CN47</f>
        <v>329552539914.187</v>
      </c>
      <c r="CP8" s="57" t="n">
        <f aca="false">CO47</f>
        <v>334238941027.106</v>
      </c>
      <c r="CQ8" s="57" t="n">
        <f aca="false">CP47</f>
        <v>338348169536.627</v>
      </c>
      <c r="CR8" s="57" t="n">
        <f aca="false">CQ47</f>
        <v>341876594935.889</v>
      </c>
      <c r="CS8" s="57" t="n">
        <f aca="false">CR47</f>
        <v>346009499639.954</v>
      </c>
      <c r="CT8" s="57" t="n">
        <f aca="false">CS47</f>
        <v>349520469818.343</v>
      </c>
    </row>
    <row r="9" customFormat="false" ht="15" hidden="false" customHeight="true" outlineLevel="0" collapsed="false">
      <c r="B9" s="9" t="s">
        <v>484</v>
      </c>
      <c r="C9" s="57" t="n">
        <f aca="false">Supuestos!$C$78</f>
        <v>2100000000</v>
      </c>
      <c r="D9" s="57" t="n">
        <f aca="false">C48</f>
        <v>1393752118.75616</v>
      </c>
      <c r="E9" s="57" t="n">
        <f aca="false">D48</f>
        <v>1029196474.39207</v>
      </c>
      <c r="F9" s="57" t="n">
        <f aca="false">E48</f>
        <v>863003275.473312</v>
      </c>
      <c r="G9" s="57" t="n">
        <f aca="false">F48</f>
        <v>775686611.544519</v>
      </c>
      <c r="H9" s="57" t="n">
        <f aca="false">G48</f>
        <v>727827915.458617</v>
      </c>
      <c r="I9" s="57" t="n">
        <f aca="false">H48</f>
        <v>708138332.23299</v>
      </c>
      <c r="J9" s="57" t="n">
        <f aca="false">I48</f>
        <v>702493904.741681</v>
      </c>
      <c r="K9" s="57" t="n">
        <f aca="false">J48</f>
        <v>695451626.526612</v>
      </c>
      <c r="L9" s="57" t="n">
        <f aca="false">K48</f>
        <v>687710422.949664</v>
      </c>
      <c r="M9" s="57" t="n">
        <f aca="false">L48</f>
        <v>688079585.978513</v>
      </c>
      <c r="N9" s="57" t="n">
        <f aca="false">M48</f>
        <v>684044103.023523</v>
      </c>
      <c r="O9" s="57" t="n">
        <f aca="false">N48</f>
        <v>675683671.056626</v>
      </c>
      <c r="P9" s="57" t="n">
        <f aca="false">O48</f>
        <v>676739799.028472</v>
      </c>
      <c r="Q9" s="57" t="n">
        <f aca="false">P48</f>
        <v>665829642.718455</v>
      </c>
      <c r="R9" s="57" t="n">
        <f aca="false">Q48</f>
        <v>676219544.583581</v>
      </c>
      <c r="S9" s="57" t="n">
        <f aca="false">R48</f>
        <v>677246445.721559</v>
      </c>
      <c r="T9" s="57" t="n">
        <f aca="false">S48</f>
        <v>673611546.843871</v>
      </c>
      <c r="U9" s="57" t="n">
        <f aca="false">T48</f>
        <v>675981847.547522</v>
      </c>
      <c r="V9" s="57" t="n">
        <f aca="false">U48</f>
        <v>681315347.346023</v>
      </c>
      <c r="W9" s="57" t="n">
        <f aca="false">V48</f>
        <v>679814047.450689</v>
      </c>
      <c r="X9" s="57" t="n">
        <f aca="false">W48</f>
        <v>674895347.708436</v>
      </c>
      <c r="Y9" s="57" t="n">
        <f aca="false">X48</f>
        <v>676623747.979804</v>
      </c>
      <c r="Z9" s="57" t="n">
        <f aca="false">Y48</f>
        <v>673319898.320903</v>
      </c>
      <c r="AA9" s="57" t="n">
        <f aca="false">Z48</f>
        <v>665508273.711299</v>
      </c>
      <c r="AB9" s="57" t="n">
        <f aca="false">AA48</f>
        <v>666684937.383077</v>
      </c>
      <c r="AC9" s="57" t="n">
        <f aca="false">AB48</f>
        <v>655869011.078804</v>
      </c>
      <c r="AD9" s="57" t="n">
        <f aca="false">AC48</f>
        <v>666062683.801264</v>
      </c>
      <c r="AE9" s="57" t="n">
        <f aca="false">AD48</f>
        <v>667046824.534481</v>
      </c>
      <c r="AF9" s="57" t="n">
        <f aca="false">AE48</f>
        <v>663445899.620986</v>
      </c>
      <c r="AG9" s="57" t="n">
        <f aca="false">AF48</f>
        <v>665777833.14016</v>
      </c>
      <c r="AH9" s="57" t="n">
        <f aca="false">AG48</f>
        <v>671036795.179851</v>
      </c>
      <c r="AI9" s="57" t="n">
        <f aca="false">AH48</f>
        <v>669553580.571683</v>
      </c>
      <c r="AJ9" s="57" t="n">
        <f aca="false">AI48</f>
        <v>664699277.639587</v>
      </c>
      <c r="AK9" s="57" t="n">
        <f aca="false">AJ48</f>
        <v>666404522.14946</v>
      </c>
      <c r="AL9" s="57" t="n">
        <f aca="false">AK48</f>
        <v>663144448.776384</v>
      </c>
      <c r="AM9" s="57" t="n">
        <f aca="false">AL48</f>
        <v>655520239.340958</v>
      </c>
      <c r="AN9" s="57" t="n">
        <f aca="false">AM48</f>
        <v>656733428.132123</v>
      </c>
      <c r="AO9" s="57" t="n">
        <f aca="false">AN48</f>
        <v>645987239.345143</v>
      </c>
      <c r="AP9" s="57" t="n">
        <f aca="false">AO48</f>
        <v>655973723.049089</v>
      </c>
      <c r="AQ9" s="57" t="n">
        <f aca="false">AP48</f>
        <v>656910436.596653</v>
      </c>
      <c r="AR9" s="57" t="n">
        <f aca="false">AQ48</f>
        <v>653341965.413935</v>
      </c>
      <c r="AS9" s="57" t="n">
        <f aca="false">AR48</f>
        <v>655633958.474894</v>
      </c>
      <c r="AT9" s="57" t="n">
        <f aca="false">AS48</f>
        <v>660816782.961873</v>
      </c>
      <c r="AU9" s="57" t="n">
        <f aca="false">AT48</f>
        <v>659351666.900954</v>
      </c>
      <c r="AV9" s="57" t="n">
        <f aca="false">AU48</f>
        <v>654562580.566086</v>
      </c>
      <c r="AW9" s="57" t="n">
        <f aca="false">AV48</f>
        <v>656244266.050969</v>
      </c>
      <c r="AX9" s="57" t="n">
        <f aca="false">AW48</f>
        <v>653028580.489002</v>
      </c>
      <c r="AY9" s="57" t="n">
        <f aca="false">AX48</f>
        <v>645582370.8132</v>
      </c>
      <c r="AZ9" s="57" t="n">
        <f aca="false">AY48</f>
        <v>646928029.700468</v>
      </c>
      <c r="BA9" s="57" t="n">
        <f aca="false">AZ48</f>
        <v>636296186.807638</v>
      </c>
      <c r="BB9" s="57" t="n">
        <f aca="false">BA48</f>
        <v>646103597.652826</v>
      </c>
      <c r="BC9" s="57" t="n">
        <f aca="false">BB48</f>
        <v>647005460.468918</v>
      </c>
      <c r="BD9" s="57" t="n">
        <f aca="false">BC48</f>
        <v>643474249.618372</v>
      </c>
      <c r="BE9" s="57" t="n">
        <f aca="false">BD48</f>
        <v>645730187.147509</v>
      </c>
      <c r="BF9" s="57" t="n">
        <f aca="false">BE48</f>
        <v>650840298.17067</v>
      </c>
      <c r="BG9" s="57" t="n">
        <f aca="false">BF48</f>
        <v>649393511.075749</v>
      </c>
      <c r="BH9" s="57" t="n">
        <f aca="false">BG48</f>
        <v>644668274.921787</v>
      </c>
      <c r="BI9" s="57" t="n">
        <f aca="false">BH48</f>
        <v>646327199.799217</v>
      </c>
      <c r="BJ9" s="57" t="n">
        <f aca="false">BI48</f>
        <v>643154819.63143</v>
      </c>
      <c r="BK9" s="57" t="n">
        <f aca="false">BJ48</f>
        <v>635883391.584044</v>
      </c>
      <c r="BL9" s="57" t="n">
        <f aca="false">BK48</f>
        <v>637366063.707977</v>
      </c>
      <c r="BM9" s="57" t="n">
        <f aca="false">BL48</f>
        <v>626846516.228038</v>
      </c>
      <c r="BN9" s="57" t="n">
        <f aca="false">BM48</f>
        <v>636479742.606703</v>
      </c>
      <c r="BO9" s="57" t="n">
        <f aca="false">BN48</f>
        <v>637347635.15203</v>
      </c>
      <c r="BP9" s="57" t="n">
        <f aca="false">BO48</f>
        <v>633852561.128598</v>
      </c>
      <c r="BQ9" s="57" t="n">
        <f aca="false">BP48</f>
        <v>636073445.108796</v>
      </c>
      <c r="BR9" s="57" t="n">
        <f aca="false">BQ48</f>
        <v>641112907.39499</v>
      </c>
      <c r="BS9" s="57" t="n">
        <f aca="false">BR48</f>
        <v>639683917.894083</v>
      </c>
      <c r="BT9" s="57" t="n">
        <f aca="false">BS48</f>
        <v>635020702.499624</v>
      </c>
      <c r="BU9" s="57" t="n">
        <f aca="false">BT48</f>
        <v>636657515.794309</v>
      </c>
      <c r="BV9" s="57" t="n">
        <f aca="false">BU48</f>
        <v>633527201.797646</v>
      </c>
      <c r="BW9" s="57" t="n">
        <f aca="false">BV48</f>
        <v>626427661.568269</v>
      </c>
      <c r="BX9" s="57" t="n">
        <f aca="false">BW48</f>
        <v>628047334.031391</v>
      </c>
      <c r="BY9" s="57" t="n">
        <f aca="false">BX48</f>
        <v>617635784.698337</v>
      </c>
      <c r="BZ9" s="57" t="n">
        <f aca="false">BY48</f>
        <v>627098475.897625</v>
      </c>
      <c r="CA9" s="57" t="n">
        <f aca="false">BZ48</f>
        <v>627932686.344649</v>
      </c>
      <c r="CB9" s="57" t="n">
        <f aca="false">CA48</f>
        <v>624472356.76345</v>
      </c>
      <c r="CC9" s="57" t="n">
        <f aca="false">CB48</f>
        <v>626659027.473379</v>
      </c>
      <c r="CD9" s="57" t="n">
        <f aca="false">CC48</f>
        <v>631629797.633055</v>
      </c>
      <c r="CE9" s="57" t="n">
        <f aca="false">CD48</f>
        <v>630218047.560273</v>
      </c>
      <c r="CF9" s="57" t="n">
        <f aca="false">CE48</f>
        <v>625615037.371262</v>
      </c>
      <c r="CG9" s="57" t="n">
        <f aca="false">CF48</f>
        <v>627230367.777285</v>
      </c>
      <c r="CH9" s="57" t="n">
        <f aca="false">CG48</f>
        <v>624140897.827677</v>
      </c>
      <c r="CI9" s="57" t="n">
        <f aca="false">CH48</f>
        <v>617210431.322796</v>
      </c>
      <c r="CJ9" s="57" t="n">
        <f aca="false">CI48</f>
        <v>618967148.80773</v>
      </c>
      <c r="CK9" s="57" t="n">
        <f aca="false">CJ48</f>
        <v>608659358.452254</v>
      </c>
      <c r="CL9" s="57" t="n">
        <f aca="false">CK48</f>
        <v>617955079.911934</v>
      </c>
      <c r="CM9" s="57" t="n">
        <f aca="false">CL48</f>
        <v>618755881.037033</v>
      </c>
      <c r="CN9" s="57" t="n">
        <f aca="false">CM48</f>
        <v>615328922.34275</v>
      </c>
      <c r="CO9" s="57" t="n">
        <f aca="false">CN48</f>
        <v>617482202.948259</v>
      </c>
      <c r="CP9" s="57" t="n">
        <f aca="false">CO48</f>
        <v>622386202.507846</v>
      </c>
      <c r="CQ9" s="57" t="n">
        <f aca="false">CP48</f>
        <v>620991142.682898</v>
      </c>
      <c r="CR9" s="57" t="n">
        <f aca="false">CQ48</f>
        <v>616446553.165683</v>
      </c>
      <c r="CS9" s="57" t="n">
        <f aca="false">CR48</f>
        <v>618041018.359725</v>
      </c>
      <c r="CT9" s="57" t="n">
        <f aca="false">CS48</f>
        <v>614991191.352005</v>
      </c>
    </row>
    <row r="10" customFormat="false" ht="15" hidden="false" customHeight="true" outlineLevel="0" collapsed="false">
      <c r="B10" s="9" t="s">
        <v>485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486</v>
      </c>
      <c r="C11" s="59" t="n">
        <f aca="false">C8+C9+C10</f>
        <v>6600000000</v>
      </c>
      <c r="D11" s="59" t="n">
        <f aca="false">D8+D9+D10</f>
        <v>19009241235.0514</v>
      </c>
      <c r="E11" s="59" t="n">
        <f aca="false">E8+E9+E10</f>
        <v>20242219293.3663</v>
      </c>
      <c r="F11" s="59" t="n">
        <f aca="false">F8+F9+F10</f>
        <v>26767825029.6759</v>
      </c>
      <c r="G11" s="59" t="n">
        <f aca="false">G8+G9+G10</f>
        <v>30992070600.2878</v>
      </c>
      <c r="H11" s="59" t="n">
        <f aca="false">H8+H9+H10</f>
        <v>29521890939.8839</v>
      </c>
      <c r="I11" s="59" t="n">
        <f aca="false">I8+I9+I10</f>
        <v>29531412053.3869</v>
      </c>
      <c r="J11" s="59" t="n">
        <f aca="false">J8+J9+J10</f>
        <v>30955883513.5685</v>
      </c>
      <c r="K11" s="59" t="n">
        <f aca="false">K8+K9+K10</f>
        <v>29136133635.9018</v>
      </c>
      <c r="L11" s="59" t="n">
        <f aca="false">L8+L9+L10</f>
        <v>30541437740.7564</v>
      </c>
      <c r="M11" s="59" t="n">
        <f aca="false">M8+M9+M10</f>
        <v>32491655819.1528</v>
      </c>
      <c r="N11" s="59" t="n">
        <f aca="false">N8+N9+N10</f>
        <v>30128964178.5252</v>
      </c>
      <c r="O11" s="59" t="n">
        <f aca="false">O8+O9+O10</f>
        <v>30678783579.4278</v>
      </c>
      <c r="P11" s="59" t="n">
        <f aca="false">P8+P9+P10</f>
        <v>37300447497.1526</v>
      </c>
      <c r="Q11" s="59" t="n">
        <f aca="false">Q8+Q9+Q10</f>
        <v>38608510080.042</v>
      </c>
      <c r="R11" s="59" t="n">
        <f aca="false">R8+R9+R10</f>
        <v>45566049732.1021</v>
      </c>
      <c r="S11" s="59" t="n">
        <f aca="false">S8+S9+S10</f>
        <v>50203376660.6811</v>
      </c>
      <c r="T11" s="59" t="n">
        <f aca="false">T8+T9+T10</f>
        <v>49131759761.6702</v>
      </c>
      <c r="U11" s="59" t="n">
        <f aca="false">U8+U9+U10</f>
        <v>49554928130.438</v>
      </c>
      <c r="V11" s="59" t="n">
        <f aca="false">V8+V9+V10</f>
        <v>51408162380.0953</v>
      </c>
      <c r="W11" s="59" t="n">
        <f aca="false">W8+W9+W10</f>
        <v>50002734234.5547</v>
      </c>
      <c r="X11" s="59" t="n">
        <f aca="false">X8+X9+X10</f>
        <v>51807911510.7618</v>
      </c>
      <c r="Y11" s="59" t="n">
        <f aca="false">Y8+Y9+Y10</f>
        <v>54173122847.4686</v>
      </c>
      <c r="Z11" s="59" t="n">
        <f aca="false">Z8+Z9+Z10</f>
        <v>55960979948.7673</v>
      </c>
      <c r="AA11" s="59" t="n">
        <f aca="false">AA8+AA9+AA10</f>
        <v>56966596726.9555</v>
      </c>
      <c r="AB11" s="59" t="n">
        <f aca="false">AB8+AB9+AB10</f>
        <v>64052787781.3954</v>
      </c>
      <c r="AC11" s="59" t="n">
        <f aca="false">AC8+AC9+AC10</f>
        <v>69476986233.8883</v>
      </c>
      <c r="AD11" s="59" t="n">
        <f aca="false">AD8+AD9+AD10</f>
        <v>76820879982.3178</v>
      </c>
      <c r="AE11" s="59" t="n">
        <f aca="false">AE8+AE9+AE10</f>
        <v>81835037073.4848</v>
      </c>
      <c r="AF11" s="59" t="n">
        <f aca="false">AF8+AF9+AF10</f>
        <v>84880718338.7782</v>
      </c>
      <c r="AG11" s="59" t="n">
        <f aca="false">AG8+AG9+AG10</f>
        <v>85684461984.395</v>
      </c>
      <c r="AH11" s="59" t="n">
        <f aca="false">AH8+AH9+AH10</f>
        <v>87928434747.9909</v>
      </c>
      <c r="AI11" s="59" t="n">
        <f aca="false">AI8+AI9+AI10</f>
        <v>90654224734.8791</v>
      </c>
      <c r="AJ11" s="59" t="n">
        <f aca="false">AJ8+AJ9+AJ10</f>
        <v>92834216751.1682</v>
      </c>
      <c r="AK11" s="59" t="n">
        <f aca="false">AK8+AK9+AK10</f>
        <v>95584401178.9625</v>
      </c>
      <c r="AL11" s="59" t="n">
        <f aca="false">AL8+AL9+AL10</f>
        <v>97747706142.5016</v>
      </c>
      <c r="AM11" s="59" t="n">
        <f aca="false">AM8+AM9+AM10</f>
        <v>99165881611.925</v>
      </c>
      <c r="AN11" s="59" t="n">
        <f aca="false">AN8+AN9+AN10</f>
        <v>106463126732.067</v>
      </c>
      <c r="AO11" s="59" t="n">
        <f aca="false">AO8+AO9+AO10</f>
        <v>112020761308.987</v>
      </c>
      <c r="AP11" s="59" t="n">
        <f aca="false">AP8+AP9+AP10</f>
        <v>119510440663.308</v>
      </c>
      <c r="AQ11" s="59" t="n">
        <f aca="false">AQ8+AQ9+AQ10</f>
        <v>124662965771.712</v>
      </c>
      <c r="AR11" s="59" t="n">
        <f aca="false">AR8+AR9+AR10</f>
        <v>127839591151.131</v>
      </c>
      <c r="AS11" s="59" t="n">
        <f aca="false">AS8+AS9+AS10</f>
        <v>128781927253.239</v>
      </c>
      <c r="AT11" s="59" t="n">
        <f aca="false">AT8+AT9+AT10</f>
        <v>131172147249.641</v>
      </c>
      <c r="AU11" s="59" t="n">
        <f aca="false">AU8+AU9+AU10</f>
        <v>134036767156.16</v>
      </c>
      <c r="AV11" s="59" t="n">
        <f aca="false">AV8+AV9+AV10</f>
        <v>136348165519.282</v>
      </c>
      <c r="AW11" s="59" t="n">
        <f aca="false">AW8+AW9+AW10</f>
        <v>139237404994.167</v>
      </c>
      <c r="AX11" s="59" t="n">
        <f aca="false">AX8+AX9+AX10</f>
        <v>141532341654.319</v>
      </c>
      <c r="AY11" s="59" t="n">
        <f aca="false">AY8+AY9+AY10</f>
        <v>143111976613.952</v>
      </c>
      <c r="AZ11" s="59" t="n">
        <f aca="false">AZ8+AZ9+AZ10</f>
        <v>150627211356.522</v>
      </c>
      <c r="BA11" s="59" t="n">
        <f aca="false">BA8+BA9+BA10</f>
        <v>156464617973.59</v>
      </c>
      <c r="BB11" s="59" t="n">
        <f aca="false">BB8+BB9+BB10</f>
        <v>164252056283.07</v>
      </c>
      <c r="BC11" s="59" t="n">
        <f aca="false">BC8+BC9+BC10</f>
        <v>169694959182.345</v>
      </c>
      <c r="BD11" s="59" t="n">
        <f aca="false">BD8+BD9+BD10</f>
        <v>173154574917.191</v>
      </c>
      <c r="BE11" s="59" t="n">
        <f aca="false">BE8+BE9+BE10</f>
        <v>174387766614.95</v>
      </c>
      <c r="BF11" s="59" t="n">
        <f aca="false">BF8+BF9+BF10</f>
        <v>177076714062.69</v>
      </c>
      <c r="BG11" s="59" t="n">
        <f aca="false">BG8+BG9+BG10</f>
        <v>180232680974.708</v>
      </c>
      <c r="BH11" s="59" t="n">
        <f aca="false">BH8+BH9+BH10</f>
        <v>182828039671.246</v>
      </c>
      <c r="BI11" s="59" t="n">
        <f aca="false">BI8+BI9+BI10</f>
        <v>186009105505.928</v>
      </c>
      <c r="BJ11" s="59" t="n">
        <f aca="false">BJ8+BJ9+BJ10</f>
        <v>188588482287.5</v>
      </c>
      <c r="BK11" s="59" t="n">
        <f aca="false">BK8+BK9+BK10</f>
        <v>190482627168.839</v>
      </c>
      <c r="BL11" s="59" t="n">
        <f aca="false">BL8+BL9+BL10</f>
        <v>198375114557.327</v>
      </c>
      <c r="BM11" s="59" t="n">
        <f aca="false">BM8+BM9+BM10</f>
        <v>204510057099.858</v>
      </c>
      <c r="BN11" s="59" t="n">
        <f aca="false">BN8+BN9+BN10</f>
        <v>212608234009.362</v>
      </c>
      <c r="BO11" s="59" t="n">
        <f aca="false">BO8+BO9+BO10</f>
        <v>218354298798.971</v>
      </c>
      <c r="BP11" s="59" t="n">
        <f aca="false">BP8+BP9+BP10</f>
        <v>222109493283.688</v>
      </c>
      <c r="BQ11" s="59" t="n">
        <f aca="false">BQ8+BQ9+BQ10</f>
        <v>223646345820.508</v>
      </c>
      <c r="BR11" s="59" t="n">
        <f aca="false">BR8+BR9+BR10</f>
        <v>226647042990.899</v>
      </c>
      <c r="BS11" s="59" t="n">
        <f aca="false">BS8+BS9+BS10</f>
        <v>230107183672.197</v>
      </c>
      <c r="BT11" s="59" t="n">
        <f aca="false">BT8+BT9+BT10</f>
        <v>232999133797.647</v>
      </c>
      <c r="BU11" s="59" t="n">
        <f aca="false">BU8+BU9+BU10</f>
        <v>236484873972.76</v>
      </c>
      <c r="BV11" s="59" t="n">
        <f aca="false">BV8+BV9+BV10</f>
        <v>239361343204.794</v>
      </c>
      <c r="BW11" s="59" t="n">
        <f aca="false">BW8+BW9+BW10</f>
        <v>241583127454.171</v>
      </c>
      <c r="BX11" s="59" t="n">
        <f aca="false">BX8+BX9+BX10</f>
        <v>249867236464.41</v>
      </c>
      <c r="BY11" s="59" t="n">
        <f aca="false">BY8+BY9+BY10</f>
        <v>256312422640.275</v>
      </c>
      <c r="BZ11" s="59" t="n">
        <f aca="false">BZ8+BZ9+BZ10</f>
        <v>264734534345.913</v>
      </c>
      <c r="CA11" s="59" t="n">
        <f aca="false">CA8+CA9+CA10</f>
        <v>270796759098.611</v>
      </c>
      <c r="CB11" s="59" t="n">
        <f aca="false">CB8+CB9+CB10</f>
        <v>274860332120.301</v>
      </c>
      <c r="CC11" s="59" t="n">
        <f aca="false">CC8+CC9+CC10</f>
        <v>276713865068.076</v>
      </c>
      <c r="CD11" s="59" t="n">
        <f aca="false">CD8+CD9+CD10</f>
        <v>280039551499.094</v>
      </c>
      <c r="CE11" s="59" t="n">
        <f aca="false">CE8+CE9+CE10</f>
        <v>283816907401.827</v>
      </c>
      <c r="CF11" s="59" t="n">
        <f aca="false">CF8+CF9+CF10</f>
        <v>287018292159.544</v>
      </c>
      <c r="CG11" s="59" t="n">
        <f aca="false">CG8+CG9+CG10</f>
        <v>290821769699.766</v>
      </c>
      <c r="CH11" s="59" t="n">
        <f aca="false">CH8+CH9+CH10</f>
        <v>294008196175.128</v>
      </c>
      <c r="CI11" s="59" t="n">
        <f aca="false">CI8+CI9+CI10</f>
        <v>296570973506.972</v>
      </c>
      <c r="CJ11" s="59" t="n">
        <f aca="false">CJ8+CJ9+CJ10</f>
        <v>305261321302.912</v>
      </c>
      <c r="CK11" s="59" t="n">
        <f aca="false">CK8+CK9+CK10</f>
        <v>312029677060.185</v>
      </c>
      <c r="CL11" s="59" t="n">
        <f aca="false">CL8+CL9+CL10</f>
        <v>320789142551.979</v>
      </c>
      <c r="CM11" s="59" t="n">
        <f aca="false">CM8+CM9+CM10</f>
        <v>327180745479.146</v>
      </c>
      <c r="CN11" s="59" t="n">
        <f aca="false">CN8+CN9+CN10</f>
        <v>331565714305.977</v>
      </c>
      <c r="CO11" s="59" t="n">
        <f aca="false">CO8+CO9+CO10</f>
        <v>333749167739.904</v>
      </c>
      <c r="CP11" s="59" t="n">
        <f aca="false">CP8+CP9+CP10</f>
        <v>337413306497.62</v>
      </c>
      <c r="CQ11" s="59" t="n">
        <f aca="false">CQ8+CQ9+CQ10</f>
        <v>341521139947.316</v>
      </c>
      <c r="CR11" s="59" t="n">
        <f aca="false">CR8+CR9+CR10</f>
        <v>345045020757.06</v>
      </c>
      <c r="CS11" s="59" t="n">
        <f aca="false">CS8+CS9+CS10</f>
        <v>349179519926.319</v>
      </c>
      <c r="CT11" s="59" t="n">
        <f aca="false">CT8+CT9+CT10</f>
        <v>352688987020.481</v>
      </c>
    </row>
    <row r="13" customFormat="false" ht="15" hidden="false" customHeight="true" outlineLevel="0" collapsed="false">
      <c r="B13" s="56" t="s">
        <v>487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488</v>
      </c>
      <c r="C14" s="57" t="n">
        <f aca="false">(Recursos!C8+Recursos!C9+Recursos!C16)*Supuestos!$C$74</f>
        <v>21638937654.9952</v>
      </c>
      <c r="D14" s="57" t="n">
        <f aca="false">(Recursos!D8+Recursos!D9+Recursos!D16)*Supuestos!$C$74</f>
        <v>17683046500.556</v>
      </c>
      <c r="E14" s="57" t="n">
        <f aca="false">(Recursos!E8+Recursos!E9+Recursos!E16)*Supuestos!$C$74</f>
        <v>18622918245.5939</v>
      </c>
      <c r="F14" s="57" t="n">
        <f aca="false">(Recursos!F8+Recursos!F9+Recursos!F16)*Supuestos!$C$74</f>
        <v>18183374783.9895</v>
      </c>
      <c r="G14" s="57" t="n">
        <f aca="false">(Recursos!G8+Recursos!G9+Recursos!G16)*Supuestos!$C$74</f>
        <v>17764092929.6615</v>
      </c>
      <c r="H14" s="57" t="n">
        <f aca="false">(Recursos!H8+Recursos!H9+Recursos!H16)*Supuestos!$C$74</f>
        <v>18223897998.5423</v>
      </c>
      <c r="I14" s="57" t="n">
        <f aca="false">(Recursos!I8+Recursos!I9+Recursos!I16)*Supuestos!$C$74</f>
        <v>18643179852.8702</v>
      </c>
      <c r="J14" s="57" t="n">
        <f aca="false">(Recursos!J8+Recursos!J9+Recursos!J16)*Supuestos!$C$74</f>
        <v>18203636391.2659</v>
      </c>
      <c r="K14" s="57" t="n">
        <f aca="false">(Recursos!K8+Recursos!K9+Recursos!K16)*Supuestos!$C$74</f>
        <v>17764092929.6615</v>
      </c>
      <c r="L14" s="57" t="n">
        <f aca="false">(Recursos!L8+Recursos!L9+Recursos!L16)*Supuestos!$C$74</f>
        <v>18223897998.5423</v>
      </c>
      <c r="M14" s="57" t="n">
        <f aca="false">(Recursos!M8+Recursos!M9+Recursos!M16)*Supuestos!$C$74</f>
        <v>17784354536.9379</v>
      </c>
      <c r="N14" s="57" t="n">
        <f aca="false">(Recursos!N8+Recursos!N9+Recursos!N16)*Supuestos!$C$74</f>
        <v>19062461707.1982</v>
      </c>
      <c r="O14" s="57" t="n">
        <f aca="false">(Recursos!O8+Recursos!O9+Recursos!O16)*Supuestos!$C$74</f>
        <v>22434805009.2864</v>
      </c>
      <c r="P14" s="57" t="n">
        <f aca="false">(Recursos!P8+Recursos!P9+Recursos!P16)*Supuestos!$C$74</f>
        <v>18332734136.7121</v>
      </c>
      <c r="Q14" s="57" t="n">
        <f aca="false">(Recursos!Q8+Recursos!Q9+Recursos!Q16)*Supuestos!$C$74</f>
        <v>19305090263.5578</v>
      </c>
      <c r="R14" s="57" t="n">
        <f aca="false">(Recursos!R8+Recursos!R9+Recursos!R16)*Supuestos!$C$74</f>
        <v>18849304611.0495</v>
      </c>
      <c r="S14" s="57" t="n">
        <f aca="false">(Recursos!S8+Recursos!S9+Recursos!S16)*Supuestos!$C$74</f>
        <v>18413780565.8177</v>
      </c>
      <c r="T14" s="57" t="n">
        <f aca="false">(Recursos!T8+Recursos!T9+Recursos!T16)*Supuestos!$C$74</f>
        <v>18889827825.6023</v>
      </c>
      <c r="U14" s="57" t="n">
        <f aca="false">(Recursos!U8+Recursos!U9+Recursos!U16)*Supuestos!$C$74</f>
        <v>19325351870.8342</v>
      </c>
      <c r="V14" s="57" t="n">
        <f aca="false">(Recursos!V8+Recursos!V9+Recursos!V16)*Supuestos!$C$74</f>
        <v>18869566218.3259</v>
      </c>
      <c r="W14" s="57" t="n">
        <f aca="false">(Recursos!W8+Recursos!W9+Recursos!W16)*Supuestos!$C$74</f>
        <v>18413780565.8177</v>
      </c>
      <c r="X14" s="57" t="n">
        <f aca="false">(Recursos!X8+Recursos!X9+Recursos!X16)*Supuestos!$C$74</f>
        <v>18889827825.6023</v>
      </c>
      <c r="Y14" s="57" t="n">
        <f aca="false">(Recursos!Y8+Recursos!Y9+Recursos!Y16)*Supuestos!$C$74</f>
        <v>18434042173.094</v>
      </c>
      <c r="Z14" s="57" t="n">
        <f aca="false">(Recursos!Z8+Recursos!Z9+Recursos!Z16)*Supuestos!$C$74</f>
        <v>19760875916.066</v>
      </c>
      <c r="AA14" s="57" t="n">
        <f aca="false">(Recursos!AA8+Recursos!AA9+Recursos!AA16)*Supuestos!$C$74</f>
        <v>22987333644.3518</v>
      </c>
      <c r="AB14" s="57" t="n">
        <f aca="false">(Recursos!AB8+Recursos!AB9+Recursos!AB16)*Supuestos!$C$74</f>
        <v>18783777920.439</v>
      </c>
      <c r="AC14" s="57" t="n">
        <f aca="false">(Recursos!AC8+Recursos!AC9+Recursos!AC16)*Supuestos!$C$74</f>
        <v>19778686236.471</v>
      </c>
      <c r="AD14" s="57" t="n">
        <f aca="false">(Recursos!AD8+Recursos!AD9+Recursos!AD16)*Supuestos!$C$74</f>
        <v>19311624489.3696</v>
      </c>
      <c r="AE14" s="57" t="n">
        <f aca="false">(Recursos!AE8+Recursos!AE9+Recursos!AE16)*Supuestos!$C$74</f>
        <v>18864824349.5445</v>
      </c>
      <c r="AF14" s="57" t="n">
        <f aca="false">(Recursos!AF8+Recursos!AF9+Recursos!AF16)*Supuestos!$C$74</f>
        <v>19352147703.9223</v>
      </c>
      <c r="AG14" s="57" t="n">
        <f aca="false">(Recursos!AG8+Recursos!AG9+Recursos!AG16)*Supuestos!$C$74</f>
        <v>19798947843.7474</v>
      </c>
      <c r="AH14" s="57" t="n">
        <f aca="false">(Recursos!AH8+Recursos!AH9+Recursos!AH16)*Supuestos!$C$74</f>
        <v>19331886096.646</v>
      </c>
      <c r="AI14" s="57" t="n">
        <f aca="false">(Recursos!AI8+Recursos!AI9+Recursos!AI16)*Supuestos!$C$74</f>
        <v>18864824349.5445</v>
      </c>
      <c r="AJ14" s="57" t="n">
        <f aca="false">(Recursos!AJ8+Recursos!AJ9+Recursos!AJ16)*Supuestos!$C$74</f>
        <v>19352147703.9223</v>
      </c>
      <c r="AK14" s="57" t="n">
        <f aca="false">(Recursos!AK8+Recursos!AK9+Recursos!AK16)*Supuestos!$C$74</f>
        <v>18885085956.8209</v>
      </c>
      <c r="AL14" s="57" t="n">
        <f aca="false">(Recursos!AL8+Recursos!AL9+Recursos!AL16)*Supuestos!$C$74</f>
        <v>20245747983.5724</v>
      </c>
      <c r="AM14" s="57" t="n">
        <f aca="false">(Recursos!AM8+Recursos!AM9+Recursos!AM16)*Supuestos!$C$74</f>
        <v>23425488642.8531</v>
      </c>
      <c r="AN14" s="57" t="n">
        <f aca="false">(Recursos!AN8+Recursos!AN9+Recursos!AN16)*Supuestos!$C$74</f>
        <v>19141455470.2359</v>
      </c>
      <c r="AO14" s="57" t="n">
        <f aca="false">(Recursos!AO8+Recursos!AO9+Recursos!AO16)*Supuestos!$C$74</f>
        <v>20154247663.7578</v>
      </c>
      <c r="AP14" s="57" t="n">
        <f aca="false">(Recursos!AP8+Recursos!AP9+Recursos!AP16)*Supuestos!$C$74</f>
        <v>19678243977.9114</v>
      </c>
      <c r="AQ14" s="57" t="n">
        <f aca="false">(Recursos!AQ8+Recursos!AQ9+Recursos!AQ16)*Supuestos!$C$74</f>
        <v>19222501899.3414</v>
      </c>
      <c r="AR14" s="57" t="n">
        <f aca="false">(Recursos!AR8+Recursos!AR9+Recursos!AR16)*Supuestos!$C$74</f>
        <v>19718767192.4642</v>
      </c>
      <c r="AS14" s="57" t="n">
        <f aca="false">(Recursos!AS8+Recursos!AS9+Recursos!AS16)*Supuestos!$C$74</f>
        <v>20174509271.0341</v>
      </c>
      <c r="AT14" s="57" t="n">
        <f aca="false">(Recursos!AT8+Recursos!AT9+Recursos!AT16)*Supuestos!$C$74</f>
        <v>19698505585.1878</v>
      </c>
      <c r="AU14" s="57" t="n">
        <f aca="false">(Recursos!AU8+Recursos!AU9+Recursos!AU16)*Supuestos!$C$74</f>
        <v>19222501899.3414</v>
      </c>
      <c r="AV14" s="57" t="n">
        <f aca="false">(Recursos!AV8+Recursos!AV9+Recursos!AV16)*Supuestos!$C$74</f>
        <v>19718767192.4642</v>
      </c>
      <c r="AW14" s="57" t="n">
        <f aca="false">(Recursos!AW8+Recursos!AW9+Recursos!AW16)*Supuestos!$C$74</f>
        <v>19242763506.6178</v>
      </c>
      <c r="AX14" s="57" t="n">
        <f aca="false">(Recursos!AX8+Recursos!AX9+Recursos!AX16)*Supuestos!$C$74</f>
        <v>20630251349.6041</v>
      </c>
      <c r="AY14" s="57" t="n">
        <f aca="false">(Recursos!AY8+Recursos!AY9+Recursos!AY16)*Supuestos!$C$74</f>
        <v>23866529605.1379</v>
      </c>
      <c r="AZ14" s="57" t="n">
        <f aca="false">(Recursos!AZ8+Recursos!AZ9+Recursos!AZ16)*Supuestos!$C$74</f>
        <v>19501488908.8357</v>
      </c>
      <c r="BA14" s="57" t="n">
        <f aca="false">(Recursos!BA8+Recursos!BA9+Recursos!BA16)*Supuestos!$C$74</f>
        <v>20532282774.2876</v>
      </c>
      <c r="BB14" s="57" t="n">
        <f aca="false">(Recursos!BB8+Recursos!BB9+Recursos!BB16)*Supuestos!$C$74</f>
        <v>20047278252.4762</v>
      </c>
      <c r="BC14" s="57" t="n">
        <f aca="false">(Recursos!BC8+Recursos!BC9+Recursos!BC16)*Supuestos!$C$74</f>
        <v>19582535337.9413</v>
      </c>
      <c r="BD14" s="57" t="n">
        <f aca="false">(Recursos!BD8+Recursos!BD9+Recursos!BD16)*Supuestos!$C$74</f>
        <v>20087801467.029</v>
      </c>
      <c r="BE14" s="57" t="n">
        <f aca="false">(Recursos!BE8+Recursos!BE9+Recursos!BE16)*Supuestos!$C$74</f>
        <v>20552544381.564</v>
      </c>
      <c r="BF14" s="57" t="n">
        <f aca="false">(Recursos!BF8+Recursos!BF9+Recursos!BF16)*Supuestos!$C$74</f>
        <v>20067539859.7526</v>
      </c>
      <c r="BG14" s="57" t="n">
        <f aca="false">(Recursos!BG8+Recursos!BG9+Recursos!BG16)*Supuestos!$C$74</f>
        <v>19582535337.9413</v>
      </c>
      <c r="BH14" s="57" t="n">
        <f aca="false">(Recursos!BH8+Recursos!BH9+Recursos!BH16)*Supuestos!$C$74</f>
        <v>20087801467.029</v>
      </c>
      <c r="BI14" s="57" t="n">
        <f aca="false">(Recursos!BI8+Recursos!BI9+Recursos!BI16)*Supuestos!$C$74</f>
        <v>19602796945.2177</v>
      </c>
      <c r="BJ14" s="57" t="n">
        <f aca="false">(Recursos!BJ8+Recursos!BJ9+Recursos!BJ16)*Supuestos!$C$74</f>
        <v>21017287296.0989</v>
      </c>
      <c r="BK14" s="57" t="n">
        <f aca="false">(Recursos!BK8+Recursos!BK9+Recursos!BK16)*Supuestos!$C$74</f>
        <v>24316170866.1872</v>
      </c>
      <c r="BL14" s="57" t="n">
        <f aca="false">(Recursos!BL8+Recursos!BL9+Recursos!BL16)*Supuestos!$C$74</f>
        <v>19868542999.4883</v>
      </c>
      <c r="BM14" s="57" t="n">
        <f aca="false">(Recursos!BM8+Recursos!BM9+Recursos!BM16)*Supuestos!$C$74</f>
        <v>20917689569.4727</v>
      </c>
      <c r="BN14" s="57" t="n">
        <f aca="false">(Recursos!BN8+Recursos!BN9+Recursos!BN16)*Supuestos!$C$74</f>
        <v>20423508695.3951</v>
      </c>
      <c r="BO14" s="57" t="n">
        <f aca="false">(Recursos!BO8+Recursos!BO9+Recursos!BO16)*Supuestos!$C$74</f>
        <v>19949589428.5938</v>
      </c>
      <c r="BP14" s="57" t="n">
        <f aca="false">(Recursos!BP8+Recursos!BP9+Recursos!BP16)*Supuestos!$C$74</f>
        <v>20464031909.9478</v>
      </c>
      <c r="BQ14" s="57" t="n">
        <f aca="false">(Recursos!BQ8+Recursos!BQ9+Recursos!BQ16)*Supuestos!$C$74</f>
        <v>20937951176.7491</v>
      </c>
      <c r="BR14" s="57" t="n">
        <f aca="false">(Recursos!BR8+Recursos!BR9+Recursos!BR16)*Supuestos!$C$74</f>
        <v>20443770302.6715</v>
      </c>
      <c r="BS14" s="57" t="n">
        <f aca="false">(Recursos!BS8+Recursos!BS9+Recursos!BS16)*Supuestos!$C$74</f>
        <v>19949589428.5938</v>
      </c>
      <c r="BT14" s="57" t="n">
        <f aca="false">(Recursos!BT8+Recursos!BT9+Recursos!BT16)*Supuestos!$C$74</f>
        <v>20464031909.9478</v>
      </c>
      <c r="BU14" s="57" t="n">
        <f aca="false">(Recursos!BU8+Recursos!BU9+Recursos!BU16)*Supuestos!$C$74</f>
        <v>19969851035.8702</v>
      </c>
      <c r="BV14" s="57" t="n">
        <f aca="false">(Recursos!BV8+Recursos!BV9+Recursos!BV16)*Supuestos!$C$74</f>
        <v>21411870443.5504</v>
      </c>
      <c r="BW14" s="57" t="n">
        <f aca="false">(Recursos!BW8+Recursos!BW9+Recursos!BW16)*Supuestos!$C$74</f>
        <v>24774580131.827</v>
      </c>
      <c r="BX14" s="57" t="n">
        <f aca="false">(Recursos!BX8+Recursos!BX9+Recursos!BX16)*Supuestos!$C$74</f>
        <v>20242754644.9085</v>
      </c>
      <c r="BY14" s="57" t="n">
        <f aca="false">(Recursos!BY8+Recursos!BY9+Recursos!BY16)*Supuestos!$C$74</f>
        <v>21310611797.164</v>
      </c>
      <c r="BZ14" s="57" t="n">
        <f aca="false">(Recursos!BZ8+Recursos!BZ9+Recursos!BZ16)*Supuestos!$C$74</f>
        <v>20807075631.9508</v>
      </c>
      <c r="CA14" s="57" t="n">
        <f aca="false">(Recursos!CA8+Recursos!CA9+Recursos!CA16)*Supuestos!$C$74</f>
        <v>20323801074.0141</v>
      </c>
      <c r="CB14" s="57" t="n">
        <f aca="false">(Recursos!CB8+Recursos!CB9+Recursos!CB16)*Supuestos!$C$74</f>
        <v>20847598846.5036</v>
      </c>
      <c r="CC14" s="57" t="n">
        <f aca="false">(Recursos!CC8+Recursos!CC9+Recursos!CC16)*Supuestos!$C$74</f>
        <v>21330873404.4404</v>
      </c>
      <c r="CD14" s="57" t="n">
        <f aca="false">(Recursos!CD8+Recursos!CD9+Recursos!CD16)*Supuestos!$C$74</f>
        <v>20827337239.2272</v>
      </c>
      <c r="CE14" s="57" t="n">
        <f aca="false">(Recursos!CE8+Recursos!CE9+Recursos!CE16)*Supuestos!$C$74</f>
        <v>20323801074.0141</v>
      </c>
      <c r="CF14" s="57" t="n">
        <f aca="false">(Recursos!CF8+Recursos!CF9+Recursos!CF16)*Supuestos!$C$74</f>
        <v>20847598846.5036</v>
      </c>
      <c r="CG14" s="57" t="n">
        <f aca="false">(Recursos!CG8+Recursos!CG9+Recursos!CG16)*Supuestos!$C$74</f>
        <v>20344062681.2905</v>
      </c>
      <c r="CH14" s="57" t="n">
        <f aca="false">(Recursos!CH8+Recursos!CH9+Recursos!CH16)*Supuestos!$C$74</f>
        <v>21814147962.3772</v>
      </c>
      <c r="CI14" s="57" t="n">
        <f aca="false">(Recursos!CI8+Recursos!CI9+Recursos!CI16)*Supuestos!$C$74</f>
        <v>25241928378.1468</v>
      </c>
      <c r="CJ14" s="57" t="n">
        <f aca="false">(Recursos!CJ8+Recursos!CJ9+Recursos!CJ16)*Supuestos!$C$74</f>
        <v>20624263417.4145</v>
      </c>
      <c r="CK14" s="57" t="n">
        <f aca="false">(Recursos!CK8+Recursos!CK9+Recursos!CK16)*Supuestos!$C$74</f>
        <v>21711196008.2953</v>
      </c>
      <c r="CL14" s="57" t="n">
        <f aca="false">(Recursos!CL8+Recursos!CL9+Recursos!CL16)*Supuestos!$C$74</f>
        <v>21198122123.7694</v>
      </c>
      <c r="CM14" s="57" t="n">
        <f aca="false">(Recursos!CM8+Recursos!CM9+Recursos!CM16)*Supuestos!$C$74</f>
        <v>20705309846.52</v>
      </c>
      <c r="CN14" s="57" t="n">
        <f aca="false">(Recursos!CN8+Recursos!CN9+Recursos!CN16)*Supuestos!$C$74</f>
        <v>21238645338.3222</v>
      </c>
      <c r="CO14" s="57" t="n">
        <f aca="false">(Recursos!CO8+Recursos!CO9+Recursos!CO16)*Supuestos!$C$74</f>
        <v>21731457615.5716</v>
      </c>
      <c r="CP14" s="57" t="n">
        <f aca="false">(Recursos!CP8+Recursos!CP9+Recursos!CP16)*Supuestos!$C$74</f>
        <v>21218383731.0458</v>
      </c>
      <c r="CQ14" s="57" t="n">
        <f aca="false">(Recursos!CQ8+Recursos!CQ9+Recursos!CQ16)*Supuestos!$C$74</f>
        <v>20705309846.52</v>
      </c>
      <c r="CR14" s="57" t="n">
        <f aca="false">(Recursos!CR8+Recursos!CR9+Recursos!CR16)*Supuestos!$C$74</f>
        <v>21238645338.3222</v>
      </c>
      <c r="CS14" s="57" t="n">
        <f aca="false">(Recursos!CS8+Recursos!CS9+Recursos!CS16)*Supuestos!$C$74</f>
        <v>20725571453.7964</v>
      </c>
      <c r="CT14" s="57" t="n">
        <f aca="false">(Recursos!CT8+Recursos!CT9+Recursos!CT16)*Supuestos!$C$74</f>
        <v>22224269892.8211</v>
      </c>
    </row>
    <row r="15" customFormat="false" ht="15" hidden="false" customHeight="true" outlineLevel="0" collapsed="false">
      <c r="B15" s="9" t="s">
        <v>489</v>
      </c>
      <c r="C15" s="57" t="n">
        <f aca="false">(Recursos!C8+Recursos!C9+Recursos!C16)*(1-Supuestos!$C$74)</f>
        <v>42079050.7258589</v>
      </c>
      <c r="D15" s="57" t="n">
        <f aca="false">(Recursos!D8+Recursos!D9+Recursos!D16)*(1-Supuestos!$C$74)</f>
        <v>34386429.802983</v>
      </c>
      <c r="E15" s="57" t="n">
        <f aca="false">(Recursos!E8+Recursos!E9+Recursos!E16)*(1-Supuestos!$C$74)</f>
        <v>36214103.2066318</v>
      </c>
      <c r="F15" s="57" t="n">
        <f aca="false">(Recursos!F8+Recursos!F9+Recursos!F16)*(1-Supuestos!$C$74)</f>
        <v>35359367.5485345</v>
      </c>
      <c r="G15" s="57" t="n">
        <f aca="false">(Recursos!G8+Recursos!G9+Recursos!G16)*(1-Supuestos!$C$74)</f>
        <v>34544032.5862552</v>
      </c>
      <c r="H15" s="57" t="n">
        <f aca="false">(Recursos!H8+Recursos!H9+Recursos!H16)*(1-Supuestos!$C$74)</f>
        <v>35438168.9401706</v>
      </c>
      <c r="I15" s="57" t="n">
        <f aca="false">(Recursos!I8+Recursos!I9+Recursos!I16)*(1-Supuestos!$C$74)</f>
        <v>36253503.9024499</v>
      </c>
      <c r="J15" s="57" t="n">
        <f aca="false">(Recursos!J8+Recursos!J9+Recursos!J16)*(1-Supuestos!$C$74)</f>
        <v>35398768.2443525</v>
      </c>
      <c r="K15" s="57" t="n">
        <f aca="false">(Recursos!K8+Recursos!K9+Recursos!K16)*(1-Supuestos!$C$74)</f>
        <v>34544032.5862552</v>
      </c>
      <c r="L15" s="57" t="n">
        <f aca="false">(Recursos!L8+Recursos!L9+Recursos!L16)*(1-Supuestos!$C$74)</f>
        <v>35438168.9401706</v>
      </c>
      <c r="M15" s="57" t="n">
        <f aca="false">(Recursos!M8+Recursos!M9+Recursos!M16)*(1-Supuestos!$C$74)</f>
        <v>34583433.2820733</v>
      </c>
      <c r="N15" s="57" t="n">
        <f aca="false">(Recursos!N8+Recursos!N9+Recursos!N16)*(1-Supuestos!$C$74)</f>
        <v>37068838.8647291</v>
      </c>
      <c r="O15" s="57" t="n">
        <f aca="false">(Recursos!O8+Recursos!O9+Recursos!O16)*(1-Supuestos!$C$74)</f>
        <v>43626693.3738585</v>
      </c>
      <c r="P15" s="57" t="n">
        <f aca="false">(Recursos!P8+Recursos!P9+Recursos!P16)*(1-Supuestos!$C$74)</f>
        <v>35649811.5564521</v>
      </c>
      <c r="Q15" s="57" t="n">
        <f aca="false">(Recursos!Q8+Recursos!Q9+Recursos!Q16)*(1-Supuestos!$C$74)</f>
        <v>37540654.0477744</v>
      </c>
      <c r="R15" s="57" t="n">
        <f aca="false">(Recursos!R8+Recursos!R9+Recursos!R16)*(1-Supuestos!$C$74)</f>
        <v>36654333.8458403</v>
      </c>
      <c r="S15" s="57" t="n">
        <f aca="false">(Recursos!S8+Recursos!S9+Recursos!S16)*(1-Supuestos!$C$74)</f>
        <v>35807414.3397244</v>
      </c>
      <c r="T15" s="57" t="n">
        <f aca="false">(Recursos!T8+Recursos!T9+Recursos!T16)*(1-Supuestos!$C$74)</f>
        <v>36733135.2374764</v>
      </c>
      <c r="U15" s="57" t="n">
        <f aca="false">(Recursos!U8+Recursos!U9+Recursos!U16)*(1-Supuestos!$C$74)</f>
        <v>37580054.7435924</v>
      </c>
      <c r="V15" s="57" t="n">
        <f aca="false">(Recursos!V8+Recursos!V9+Recursos!V16)*(1-Supuestos!$C$74)</f>
        <v>36693734.5416584</v>
      </c>
      <c r="W15" s="57" t="n">
        <f aca="false">(Recursos!W8+Recursos!W9+Recursos!W16)*(1-Supuestos!$C$74)</f>
        <v>35807414.3397244</v>
      </c>
      <c r="X15" s="57" t="n">
        <f aca="false">(Recursos!X8+Recursos!X9+Recursos!X16)*(1-Supuestos!$C$74)</f>
        <v>36733135.2374764</v>
      </c>
      <c r="Y15" s="57" t="n">
        <f aca="false">(Recursos!Y8+Recursos!Y9+Recursos!Y16)*(1-Supuestos!$C$74)</f>
        <v>35846815.0355424</v>
      </c>
      <c r="Z15" s="57" t="n">
        <f aca="false">(Recursos!Z8+Recursos!Z9+Recursos!Z16)*(1-Supuestos!$C$74)</f>
        <v>38426974.2497084</v>
      </c>
      <c r="AA15" s="57" t="n">
        <f aca="false">(Recursos!AA8+Recursos!AA9+Recursos!AA16)*(1-Supuestos!$C$74)</f>
        <v>44701139.8570037</v>
      </c>
      <c r="AB15" s="57" t="n">
        <f aca="false">(Recursos!AB8+Recursos!AB9+Recursos!AB16)*(1-Supuestos!$C$74)</f>
        <v>36526910.7263666</v>
      </c>
      <c r="AC15" s="57" t="n">
        <f aca="false">(Recursos!AC8+Recursos!AC9+Recursos!AC16)*(1-Supuestos!$C$74)</f>
        <v>38461608.1761846</v>
      </c>
      <c r="AD15" s="57" t="n">
        <f aca="false">(Recursos!AD8+Recursos!AD9+Recursos!AD16)*(1-Supuestos!$C$74)</f>
        <v>37553360.4950026</v>
      </c>
      <c r="AE15" s="57" t="n">
        <f aca="false">(Recursos!AE8+Recursos!AE9+Recursos!AE16)*(1-Supuestos!$C$74)</f>
        <v>36684513.5096388</v>
      </c>
      <c r="AF15" s="57" t="n">
        <f aca="false">(Recursos!AF8+Recursos!AF9+Recursos!AF16)*(1-Supuestos!$C$74)</f>
        <v>37632161.8866388</v>
      </c>
      <c r="AG15" s="57" t="n">
        <f aca="false">(Recursos!AG8+Recursos!AG9+Recursos!AG16)*(1-Supuestos!$C$74)</f>
        <v>38501008.8720026</v>
      </c>
      <c r="AH15" s="57" t="n">
        <f aca="false">(Recursos!AH8+Recursos!AH9+Recursos!AH16)*(1-Supuestos!$C$74)</f>
        <v>37592761.1908207</v>
      </c>
      <c r="AI15" s="57" t="n">
        <f aca="false">(Recursos!AI8+Recursos!AI9+Recursos!AI16)*(1-Supuestos!$C$74)</f>
        <v>36684513.5096388</v>
      </c>
      <c r="AJ15" s="57" t="n">
        <f aca="false">(Recursos!AJ8+Recursos!AJ9+Recursos!AJ16)*(1-Supuestos!$C$74)</f>
        <v>37632161.8866388</v>
      </c>
      <c r="AK15" s="57" t="n">
        <f aca="false">(Recursos!AK8+Recursos!AK9+Recursos!AK16)*(1-Supuestos!$C$74)</f>
        <v>36723914.2054568</v>
      </c>
      <c r="AL15" s="57" t="n">
        <f aca="false">(Recursos!AL8+Recursos!AL9+Recursos!AL16)*(1-Supuestos!$C$74)</f>
        <v>39369855.8573665</v>
      </c>
      <c r="AM15" s="57" t="n">
        <f aca="false">(Recursos!AM8+Recursos!AM9+Recursos!AM16)*(1-Supuestos!$C$74)</f>
        <v>45553175.5115113</v>
      </c>
      <c r="AN15" s="57" t="n">
        <f aca="false">(Recursos!AN8+Recursos!AN9+Recursos!AN16)*(1-Supuestos!$C$74)</f>
        <v>37222450.0361686</v>
      </c>
      <c r="AO15" s="57" t="n">
        <f aca="false">(Recursos!AO8+Recursos!AO9+Recursos!AO16)*(1-Supuestos!$C$74)</f>
        <v>39191924.4514767</v>
      </c>
      <c r="AP15" s="57" t="n">
        <f aca="false">(Recursos!AP8+Recursos!AP9+Recursos!AP16)*(1-Supuestos!$C$74)</f>
        <v>38266288.2875498</v>
      </c>
      <c r="AQ15" s="57" t="n">
        <f aca="false">(Recursos!AQ8+Recursos!AQ9+Recursos!AQ16)*(1-Supuestos!$C$74)</f>
        <v>37380052.8194409</v>
      </c>
      <c r="AR15" s="57" t="n">
        <f aca="false">(Recursos!AR8+Recursos!AR9+Recursos!AR16)*(1-Supuestos!$C$74)</f>
        <v>38345089.6791859</v>
      </c>
      <c r="AS15" s="57" t="n">
        <f aca="false">(Recursos!AS8+Recursos!AS9+Recursos!AS16)*(1-Supuestos!$C$74)</f>
        <v>39231325.1472948</v>
      </c>
      <c r="AT15" s="57" t="n">
        <f aca="false">(Recursos!AT8+Recursos!AT9+Recursos!AT16)*(1-Supuestos!$C$74)</f>
        <v>38305688.9833678</v>
      </c>
      <c r="AU15" s="57" t="n">
        <f aca="false">(Recursos!AU8+Recursos!AU9+Recursos!AU16)*(1-Supuestos!$C$74)</f>
        <v>37380052.8194409</v>
      </c>
      <c r="AV15" s="57" t="n">
        <f aca="false">(Recursos!AV8+Recursos!AV9+Recursos!AV16)*(1-Supuestos!$C$74)</f>
        <v>38345089.6791859</v>
      </c>
      <c r="AW15" s="57" t="n">
        <f aca="false">(Recursos!AW8+Recursos!AW9+Recursos!AW16)*(1-Supuestos!$C$74)</f>
        <v>37419453.5152589</v>
      </c>
      <c r="AX15" s="57" t="n">
        <f aca="false">(Recursos!AX8+Recursos!AX9+Recursos!AX16)*(1-Supuestos!$C$74)</f>
        <v>40117560.6154037</v>
      </c>
      <c r="AY15" s="57" t="n">
        <f aca="false">(Recursos!AY8+Recursos!AY9+Recursos!AY16)*(1-Supuestos!$C$74)</f>
        <v>46410823.207533</v>
      </c>
      <c r="AZ15" s="57" t="n">
        <f aca="false">(Recursos!AZ8+Recursos!AZ9+Recursos!AZ16)*(1-Supuestos!$C$74)</f>
        <v>37922570.6043496</v>
      </c>
      <c r="BA15" s="57" t="n">
        <f aca="false">(Recursos!BA8+Recursos!BA9+Recursos!BA16)*(1-Supuestos!$C$74)</f>
        <v>39927051.0480667</v>
      </c>
      <c r="BB15" s="57" t="n">
        <f aca="false">(Recursos!BB8+Recursos!BB9+Recursos!BB16)*(1-Supuestos!$C$74)</f>
        <v>38983911.8699353</v>
      </c>
      <c r="BC15" s="57" t="n">
        <f aca="false">(Recursos!BC8+Recursos!BC9+Recursos!BC16)*(1-Supuestos!$C$74)</f>
        <v>38080173.3876218</v>
      </c>
      <c r="BD15" s="57" t="n">
        <f aca="false">(Recursos!BD8+Recursos!BD9+Recursos!BD16)*(1-Supuestos!$C$74)</f>
        <v>39062713.2615714</v>
      </c>
      <c r="BE15" s="57" t="n">
        <f aca="false">(Recursos!BE8+Recursos!BE9+Recursos!BE16)*(1-Supuestos!$C$74)</f>
        <v>39966451.7438848</v>
      </c>
      <c r="BF15" s="57" t="n">
        <f aca="false">(Recursos!BF8+Recursos!BF9+Recursos!BF16)*(1-Supuestos!$C$74)</f>
        <v>39023312.5657533</v>
      </c>
      <c r="BG15" s="57" t="n">
        <f aca="false">(Recursos!BG8+Recursos!BG9+Recursos!BG16)*(1-Supuestos!$C$74)</f>
        <v>38080173.3876218</v>
      </c>
      <c r="BH15" s="57" t="n">
        <f aca="false">(Recursos!BH8+Recursos!BH9+Recursos!BH16)*(1-Supuestos!$C$74)</f>
        <v>39062713.2615714</v>
      </c>
      <c r="BI15" s="57" t="n">
        <f aca="false">(Recursos!BI8+Recursos!BI9+Recursos!BI16)*(1-Supuestos!$C$74)</f>
        <v>38119574.0834399</v>
      </c>
      <c r="BJ15" s="57" t="n">
        <f aca="false">(Recursos!BJ8+Recursos!BJ9+Recursos!BJ16)*(1-Supuestos!$C$74)</f>
        <v>40870190.2261982</v>
      </c>
      <c r="BK15" s="57" t="n">
        <f aca="false">(Recursos!BK8+Recursos!BK9+Recursos!BK16)*(1-Supuestos!$C$74)</f>
        <v>47285195.0336271</v>
      </c>
      <c r="BL15" s="57" t="n">
        <f aca="false">(Recursos!BL8+Recursos!BL9+Recursos!BL16)*(1-Supuestos!$C$74)</f>
        <v>38636343.5236101</v>
      </c>
      <c r="BM15" s="57" t="n">
        <f aca="false">(Recursos!BM8+Recursos!BM9+Recursos!BM16)*(1-Supuestos!$C$74)</f>
        <v>40676512.6132903</v>
      </c>
      <c r="BN15" s="57" t="n">
        <f aca="false">(Recursos!BN8+Recursos!BN9+Recursos!BN16)*(1-Supuestos!$C$74)</f>
        <v>39715529.1121773</v>
      </c>
      <c r="BO15" s="57" t="n">
        <f aca="false">(Recursos!BO8+Recursos!BO9+Recursos!BO16)*(1-Supuestos!$C$74)</f>
        <v>38793946.3068823</v>
      </c>
      <c r="BP15" s="57" t="n">
        <f aca="false">(Recursos!BP8+Recursos!BP9+Recursos!BP16)*(1-Supuestos!$C$74)</f>
        <v>39794330.5038134</v>
      </c>
      <c r="BQ15" s="57" t="n">
        <f aca="false">(Recursos!BQ8+Recursos!BQ9+Recursos!BQ16)*(1-Supuestos!$C$74)</f>
        <v>40715913.3091083</v>
      </c>
      <c r="BR15" s="57" t="n">
        <f aca="false">(Recursos!BR8+Recursos!BR9+Recursos!BR16)*(1-Supuestos!$C$74)</f>
        <v>39754929.8079953</v>
      </c>
      <c r="BS15" s="57" t="n">
        <f aca="false">(Recursos!BS8+Recursos!BS9+Recursos!BS16)*(1-Supuestos!$C$74)</f>
        <v>38793946.3068823</v>
      </c>
      <c r="BT15" s="57" t="n">
        <f aca="false">(Recursos!BT8+Recursos!BT9+Recursos!BT16)*(1-Supuestos!$C$74)</f>
        <v>39794330.5038134</v>
      </c>
      <c r="BU15" s="57" t="n">
        <f aca="false">(Recursos!BU8+Recursos!BU9+Recursos!BU16)*(1-Supuestos!$C$74)</f>
        <v>38833347.0027004</v>
      </c>
      <c r="BV15" s="57" t="n">
        <f aca="false">(Recursos!BV8+Recursos!BV9+Recursos!BV16)*(1-Supuestos!$C$74)</f>
        <v>41637496.1144033</v>
      </c>
      <c r="BW15" s="57" t="n">
        <f aca="false">(Recursos!BW8+Recursos!BW9+Recursos!BW16)*(1-Supuestos!$C$74)</f>
        <v>48176617.11033</v>
      </c>
      <c r="BX15" s="57" t="n">
        <f aca="false">(Recursos!BX8+Recursos!BX9+Recursos!BX16)*(1-Supuestos!$C$74)</f>
        <v>39364035.0147962</v>
      </c>
      <c r="BY15" s="57" t="n">
        <f aca="false">(Recursos!BY8+Recursos!BY9+Recursos!BY16)*(1-Supuestos!$C$74)</f>
        <v>41440588.6790357</v>
      </c>
      <c r="BZ15" s="57" t="n">
        <f aca="false">(Recursos!BZ8+Recursos!BZ9+Recursos!BZ16)*(1-Supuestos!$C$74)</f>
        <v>40461412.890643</v>
      </c>
      <c r="CA15" s="57" t="n">
        <f aca="false">(Recursos!CA8+Recursos!CA9+Recursos!CA16)*(1-Supuestos!$C$74)</f>
        <v>39521637.7980684</v>
      </c>
      <c r="CB15" s="57" t="n">
        <f aca="false">(Recursos!CB8+Recursos!CB9+Recursos!CB16)*(1-Supuestos!$C$74)</f>
        <v>40540214.2822791</v>
      </c>
      <c r="CC15" s="57" t="n">
        <f aca="false">(Recursos!CC8+Recursos!CC9+Recursos!CC16)*(1-Supuestos!$C$74)</f>
        <v>41479989.3748537</v>
      </c>
      <c r="CD15" s="57" t="n">
        <f aca="false">(Recursos!CD8+Recursos!CD9+Recursos!CD16)*(1-Supuestos!$C$74)</f>
        <v>40500813.5864611</v>
      </c>
      <c r="CE15" s="57" t="n">
        <f aca="false">(Recursos!CE8+Recursos!CE9+Recursos!CE16)*(1-Supuestos!$C$74)</f>
        <v>39521637.7980684</v>
      </c>
      <c r="CF15" s="57" t="n">
        <f aca="false">(Recursos!CF8+Recursos!CF9+Recursos!CF16)*(1-Supuestos!$C$74)</f>
        <v>40540214.2822791</v>
      </c>
      <c r="CG15" s="57" t="n">
        <f aca="false">(Recursos!CG8+Recursos!CG9+Recursos!CG16)*(1-Supuestos!$C$74)</f>
        <v>39561038.4938865</v>
      </c>
      <c r="CH15" s="57" t="n">
        <f aca="false">(Recursos!CH8+Recursos!CH9+Recursos!CH16)*(1-Supuestos!$C$74)</f>
        <v>42419764.4674283</v>
      </c>
      <c r="CI15" s="57" t="n">
        <f aca="false">(Recursos!CI8+Recursos!CI9+Recursos!CI16)*(1-Supuestos!$C$74)</f>
        <v>49085421.9175287</v>
      </c>
      <c r="CJ15" s="57" t="n">
        <f aca="false">(Recursos!CJ8+Recursos!CJ9+Recursos!CJ16)*(1-Supuestos!$C$74)</f>
        <v>40105916.4900604</v>
      </c>
      <c r="CK15" s="57" t="n">
        <f aca="false">(Recursos!CK8+Recursos!CK9+Recursos!CK16)*(1-Supuestos!$C$74)</f>
        <v>42219564.2280631</v>
      </c>
      <c r="CL15" s="57" t="n">
        <f aca="false">(Recursos!CL8+Recursos!CL9+Recursos!CL16)*(1-Supuestos!$C$74)</f>
        <v>41221841.4027888</v>
      </c>
      <c r="CM15" s="57" t="n">
        <f aca="false">(Recursos!CM8+Recursos!CM9+Recursos!CM16)*(1-Supuestos!$C$74)</f>
        <v>40263519.2733326</v>
      </c>
      <c r="CN15" s="57" t="n">
        <f aca="false">(Recursos!CN8+Recursos!CN9+Recursos!CN16)*(1-Supuestos!$C$74)</f>
        <v>41300642.7944249</v>
      </c>
      <c r="CO15" s="57" t="n">
        <f aca="false">(Recursos!CO8+Recursos!CO9+Recursos!CO16)*(1-Supuestos!$C$74)</f>
        <v>42258964.9238811</v>
      </c>
      <c r="CP15" s="57" t="n">
        <f aca="false">(Recursos!CP8+Recursos!CP9+Recursos!CP16)*(1-Supuestos!$C$74)</f>
        <v>41261242.0986069</v>
      </c>
      <c r="CQ15" s="57" t="n">
        <f aca="false">(Recursos!CQ8+Recursos!CQ9+Recursos!CQ16)*(1-Supuestos!$C$74)</f>
        <v>40263519.2733326</v>
      </c>
      <c r="CR15" s="57" t="n">
        <f aca="false">(Recursos!CR8+Recursos!CR9+Recursos!CR16)*(1-Supuestos!$C$74)</f>
        <v>41300642.7944249</v>
      </c>
      <c r="CS15" s="57" t="n">
        <f aca="false">(Recursos!CS8+Recursos!CS9+Recursos!CS16)*(1-Supuestos!$C$74)</f>
        <v>40302919.9691507</v>
      </c>
      <c r="CT15" s="57" t="n">
        <f aca="false">(Recursos!CT8+Recursos!CT9+Recursos!CT16)*(1-Supuestos!$C$74)</f>
        <v>43217287.0533373</v>
      </c>
    </row>
    <row r="16" customFormat="false" ht="15" hidden="false" customHeight="true" outlineLevel="0" collapsed="false">
      <c r="B16" s="9" t="s">
        <v>490</v>
      </c>
      <c r="C16" s="57" t="n">
        <f aca="false">(Recursos!C10+Recursos!C11)*Supuestos!$C$75</f>
        <v>6262502493.35713</v>
      </c>
      <c r="D16" s="57" t="n">
        <f aca="false">(Recursos!D10+Recursos!D11)*Supuestos!$C$75</f>
        <v>6111598818.81841</v>
      </c>
      <c r="E16" s="57" t="n">
        <f aca="false">(Recursos!E10+Recursos!E11)*Supuestos!$C$75</f>
        <v>6413406167.89586</v>
      </c>
      <c r="F16" s="57" t="n">
        <f aca="false">(Recursos!F10+Recursos!F11)*Supuestos!$C$75</f>
        <v>6337954330.62649</v>
      </c>
      <c r="G16" s="57" t="n">
        <f aca="false">(Recursos!G10+Recursos!G11)*Supuestos!$C$75</f>
        <v>6262502493.35713</v>
      </c>
      <c r="H16" s="57" t="n">
        <f aca="false">(Recursos!H10+Recursos!H11)*Supuestos!$C$75</f>
        <v>6337954330.62649</v>
      </c>
      <c r="I16" s="57" t="n">
        <f aca="false">(Recursos!I10+Recursos!I11)*Supuestos!$C$75</f>
        <v>6413406167.89586</v>
      </c>
      <c r="J16" s="57" t="n">
        <f aca="false">(Recursos!J10+Recursos!J11)*Supuestos!$C$75</f>
        <v>6337954330.62649</v>
      </c>
      <c r="K16" s="57" t="n">
        <f aca="false">(Recursos!K10+Recursos!K11)*Supuestos!$C$75</f>
        <v>6262502493.35713</v>
      </c>
      <c r="L16" s="57" t="n">
        <f aca="false">(Recursos!L10+Recursos!L11)*Supuestos!$C$75</f>
        <v>6337954330.62649</v>
      </c>
      <c r="M16" s="57" t="n">
        <f aca="false">(Recursos!M10+Recursos!M11)*Supuestos!$C$75</f>
        <v>6262502493.35713</v>
      </c>
      <c r="N16" s="57" t="n">
        <f aca="false">(Recursos!N10+Recursos!N11)*Supuestos!$C$75</f>
        <v>6111598818.81841</v>
      </c>
      <c r="O16" s="57" t="n">
        <f aca="false">(Recursos!O10+Recursos!O11)*Supuestos!$C$75</f>
        <v>6150539630.69351</v>
      </c>
      <c r="P16" s="57" t="n">
        <f aca="false">(Recursos!P10+Recursos!P11)*Supuestos!$C$75</f>
        <v>6002333856.45993</v>
      </c>
      <c r="Q16" s="57" t="n">
        <f aca="false">(Recursos!Q10+Recursos!Q11)*Supuestos!$C$75</f>
        <v>6298745404.92709</v>
      </c>
      <c r="R16" s="57" t="n">
        <f aca="false">(Recursos!R10+Recursos!R11)*Supuestos!$C$75</f>
        <v>6224642517.8103</v>
      </c>
      <c r="S16" s="57" t="n">
        <f aca="false">(Recursos!S10+Recursos!S11)*Supuestos!$C$75</f>
        <v>6150539630.69351</v>
      </c>
      <c r="T16" s="57" t="n">
        <f aca="false">(Recursos!T10+Recursos!T11)*Supuestos!$C$75</f>
        <v>6224642517.8103</v>
      </c>
      <c r="U16" s="57" t="n">
        <f aca="false">(Recursos!U10+Recursos!U11)*Supuestos!$C$75</f>
        <v>6298745404.92709</v>
      </c>
      <c r="V16" s="57" t="n">
        <f aca="false">(Recursos!V10+Recursos!V11)*Supuestos!$C$75</f>
        <v>6224642517.8103</v>
      </c>
      <c r="W16" s="57" t="n">
        <f aca="false">(Recursos!W10+Recursos!W11)*Supuestos!$C$75</f>
        <v>6150539630.69351</v>
      </c>
      <c r="X16" s="57" t="n">
        <f aca="false">(Recursos!X10+Recursos!X11)*Supuestos!$C$75</f>
        <v>6224642517.8103</v>
      </c>
      <c r="Y16" s="57" t="n">
        <f aca="false">(Recursos!Y10+Recursos!Y11)*Supuestos!$C$75</f>
        <v>6150539630.69351</v>
      </c>
      <c r="Z16" s="57" t="n">
        <f aca="false">(Recursos!Z10+Recursos!Z11)*Supuestos!$C$75</f>
        <v>6002333856.45993</v>
      </c>
      <c r="AA16" s="57" t="n">
        <f aca="false">(Recursos!AA10+Recursos!AA11)*Supuestos!$C$75</f>
        <v>6041035472.49398</v>
      </c>
      <c r="AB16" s="57" t="n">
        <f aca="false">(Recursos!AB10+Recursos!AB11)*Supuestos!$C$75</f>
        <v>5895468352.67485</v>
      </c>
      <c r="AC16" s="57" t="n">
        <f aca="false">(Recursos!AC10+Recursos!AC11)*Supuestos!$C$75</f>
        <v>6186602592.31311</v>
      </c>
      <c r="AD16" s="57" t="n">
        <f aca="false">(Recursos!AD10+Recursos!AD11)*Supuestos!$C$75</f>
        <v>6113819032.40354</v>
      </c>
      <c r="AE16" s="57" t="n">
        <f aca="false">(Recursos!AE10+Recursos!AE11)*Supuestos!$C$75</f>
        <v>6041035472.49398</v>
      </c>
      <c r="AF16" s="57" t="n">
        <f aca="false">(Recursos!AF10+Recursos!AF11)*Supuestos!$C$75</f>
        <v>6113819032.40354</v>
      </c>
      <c r="AG16" s="57" t="n">
        <f aca="false">(Recursos!AG10+Recursos!AG11)*Supuestos!$C$75</f>
        <v>6186602592.31311</v>
      </c>
      <c r="AH16" s="57" t="n">
        <f aca="false">(Recursos!AH10+Recursos!AH11)*Supuestos!$C$75</f>
        <v>6113819032.40354</v>
      </c>
      <c r="AI16" s="57" t="n">
        <f aca="false">(Recursos!AI10+Recursos!AI11)*Supuestos!$C$75</f>
        <v>6041035472.49398</v>
      </c>
      <c r="AJ16" s="57" t="n">
        <f aca="false">(Recursos!AJ10+Recursos!AJ11)*Supuestos!$C$75</f>
        <v>6113819032.40354</v>
      </c>
      <c r="AK16" s="57" t="n">
        <f aca="false">(Recursos!AK10+Recursos!AK11)*Supuestos!$C$75</f>
        <v>6041035472.49398</v>
      </c>
      <c r="AL16" s="57" t="n">
        <f aca="false">(Recursos!AL10+Recursos!AL11)*Supuestos!$C$75</f>
        <v>5895468352.67485</v>
      </c>
      <c r="AM16" s="57" t="n">
        <f aca="false">(Recursos!AM10+Recursos!AM11)*Supuestos!$C$75</f>
        <v>5933936025.60851</v>
      </c>
      <c r="AN16" s="57" t="n">
        <f aca="false">(Recursos!AN10+Recursos!AN11)*Supuestos!$C$75</f>
        <v>5790949615.35288</v>
      </c>
      <c r="AO16" s="57" t="n">
        <f aca="false">(Recursos!AO10+Recursos!AO11)*Supuestos!$C$75</f>
        <v>6076922435.86414</v>
      </c>
      <c r="AP16" s="57" t="n">
        <f aca="false">(Recursos!AP10+Recursos!AP11)*Supuestos!$C$75</f>
        <v>6005429230.73632</v>
      </c>
      <c r="AQ16" s="57" t="n">
        <f aca="false">(Recursos!AQ10+Recursos!AQ11)*Supuestos!$C$75</f>
        <v>5933936025.60851</v>
      </c>
      <c r="AR16" s="57" t="n">
        <f aca="false">(Recursos!AR10+Recursos!AR11)*Supuestos!$C$75</f>
        <v>6005429230.73632</v>
      </c>
      <c r="AS16" s="57" t="n">
        <f aca="false">(Recursos!AS10+Recursos!AS11)*Supuestos!$C$75</f>
        <v>6076922435.86414</v>
      </c>
      <c r="AT16" s="57" t="n">
        <f aca="false">(Recursos!AT10+Recursos!AT11)*Supuestos!$C$75</f>
        <v>6005429230.73632</v>
      </c>
      <c r="AU16" s="57" t="n">
        <f aca="false">(Recursos!AU10+Recursos!AU11)*Supuestos!$C$75</f>
        <v>5933936025.60851</v>
      </c>
      <c r="AV16" s="57" t="n">
        <f aca="false">(Recursos!AV10+Recursos!AV11)*Supuestos!$C$75</f>
        <v>6005429230.73632</v>
      </c>
      <c r="AW16" s="57" t="n">
        <f aca="false">(Recursos!AW10+Recursos!AW11)*Supuestos!$C$75</f>
        <v>5933936025.60851</v>
      </c>
      <c r="AX16" s="57" t="n">
        <f aca="false">(Recursos!AX10+Recursos!AX11)*Supuestos!$C$75</f>
        <v>5790949615.35288</v>
      </c>
      <c r="AY16" s="57" t="n">
        <f aca="false">(Recursos!AY10+Recursos!AY11)*Supuestos!$C$75</f>
        <v>5829188482.57665</v>
      </c>
      <c r="AZ16" s="57" t="n">
        <f aca="false">(Recursos!AZ10+Recursos!AZ11)*Supuestos!$C$75</f>
        <v>5688726109.50251</v>
      </c>
      <c r="BA16" s="57" t="n">
        <f aca="false">(Recursos!BA10+Recursos!BA11)*Supuestos!$C$75</f>
        <v>5969650855.65078</v>
      </c>
      <c r="BB16" s="57" t="n">
        <f aca="false">(Recursos!BB10+Recursos!BB11)*Supuestos!$C$75</f>
        <v>5899419669.11372</v>
      </c>
      <c r="BC16" s="57" t="n">
        <f aca="false">(Recursos!BC10+Recursos!BC11)*Supuestos!$C$75</f>
        <v>5829188482.57665</v>
      </c>
      <c r="BD16" s="57" t="n">
        <f aca="false">(Recursos!BD10+Recursos!BD11)*Supuestos!$C$75</f>
        <v>5899419669.11372</v>
      </c>
      <c r="BE16" s="57" t="n">
        <f aca="false">(Recursos!BE10+Recursos!BE11)*Supuestos!$C$75</f>
        <v>5969650855.65078</v>
      </c>
      <c r="BF16" s="57" t="n">
        <f aca="false">(Recursos!BF10+Recursos!BF11)*Supuestos!$C$75</f>
        <v>5899419669.11372</v>
      </c>
      <c r="BG16" s="57" t="n">
        <f aca="false">(Recursos!BG10+Recursos!BG11)*Supuestos!$C$75</f>
        <v>5829188482.57665</v>
      </c>
      <c r="BH16" s="57" t="n">
        <f aca="false">(Recursos!BH10+Recursos!BH11)*Supuestos!$C$75</f>
        <v>5899419669.11372</v>
      </c>
      <c r="BI16" s="57" t="n">
        <f aca="false">(Recursos!BI10+Recursos!BI11)*Supuestos!$C$75</f>
        <v>5829188482.57665</v>
      </c>
      <c r="BJ16" s="57" t="n">
        <f aca="false">(Recursos!BJ10+Recursos!BJ11)*Supuestos!$C$75</f>
        <v>5688726109.50251</v>
      </c>
      <c r="BK16" s="57" t="n">
        <f aca="false">(Recursos!BK10+Recursos!BK11)*Supuestos!$C$75</f>
        <v>5726741195.58976</v>
      </c>
      <c r="BL16" s="57" t="n">
        <f aca="false">(Recursos!BL10+Recursos!BL11)*Supuestos!$C$75</f>
        <v>5588747431.84061</v>
      </c>
      <c r="BM16" s="57" t="n">
        <f aca="false">(Recursos!BM10+Recursos!BM11)*Supuestos!$C$75</f>
        <v>5864734959.33891</v>
      </c>
      <c r="BN16" s="57" t="n">
        <f aca="false">(Recursos!BN10+Recursos!BN11)*Supuestos!$C$75</f>
        <v>5795738077.46434</v>
      </c>
      <c r="BO16" s="57" t="n">
        <f aca="false">(Recursos!BO10+Recursos!BO11)*Supuestos!$C$75</f>
        <v>5726741195.58976</v>
      </c>
      <c r="BP16" s="57" t="n">
        <f aca="false">(Recursos!BP10+Recursos!BP11)*Supuestos!$C$75</f>
        <v>5795738077.46434</v>
      </c>
      <c r="BQ16" s="57" t="n">
        <f aca="false">(Recursos!BQ10+Recursos!BQ11)*Supuestos!$C$75</f>
        <v>5864734959.33891</v>
      </c>
      <c r="BR16" s="57" t="n">
        <f aca="false">(Recursos!BR10+Recursos!BR11)*Supuestos!$C$75</f>
        <v>5795738077.46434</v>
      </c>
      <c r="BS16" s="57" t="n">
        <f aca="false">(Recursos!BS10+Recursos!BS11)*Supuestos!$C$75</f>
        <v>5726741195.58976</v>
      </c>
      <c r="BT16" s="57" t="n">
        <f aca="false">(Recursos!BT10+Recursos!BT11)*Supuestos!$C$75</f>
        <v>5795738077.46434</v>
      </c>
      <c r="BU16" s="57" t="n">
        <f aca="false">(Recursos!BU10+Recursos!BU11)*Supuestos!$C$75</f>
        <v>5726741195.58976</v>
      </c>
      <c r="BV16" s="57" t="n">
        <f aca="false">(Recursos!BV10+Recursos!BV11)*Supuestos!$C$75</f>
        <v>5588747431.84061</v>
      </c>
      <c r="BW16" s="57" t="n">
        <f aca="false">(Recursos!BW10+Recursos!BW11)*Supuestos!$C$75</f>
        <v>5626543651.02511</v>
      </c>
      <c r="BX16" s="57" t="n">
        <f aca="false">(Recursos!BX10+Recursos!BX11)*Supuestos!$C$75</f>
        <v>5490964285.94017</v>
      </c>
      <c r="BY16" s="57" t="n">
        <f aca="false">(Recursos!BY10+Recursos!BY11)*Supuestos!$C$75</f>
        <v>5762123016.11005</v>
      </c>
      <c r="BZ16" s="57" t="n">
        <f aca="false">(Recursos!BZ10+Recursos!BZ11)*Supuestos!$C$75</f>
        <v>5694333333.56758</v>
      </c>
      <c r="CA16" s="57" t="n">
        <f aca="false">(Recursos!CA10+Recursos!CA11)*Supuestos!$C$75</f>
        <v>5626543651.02511</v>
      </c>
      <c r="CB16" s="57" t="n">
        <f aca="false">(Recursos!CB10+Recursos!CB11)*Supuestos!$C$75</f>
        <v>5694333333.56758</v>
      </c>
      <c r="CC16" s="57" t="n">
        <f aca="false">(Recursos!CC10+Recursos!CC11)*Supuestos!$C$75</f>
        <v>5762123016.11005</v>
      </c>
      <c r="CD16" s="57" t="n">
        <f aca="false">(Recursos!CD10+Recursos!CD11)*Supuestos!$C$75</f>
        <v>5694333333.56758</v>
      </c>
      <c r="CE16" s="57" t="n">
        <f aca="false">(Recursos!CE10+Recursos!CE11)*Supuestos!$C$75</f>
        <v>5626543651.02511</v>
      </c>
      <c r="CF16" s="57" t="n">
        <f aca="false">(Recursos!CF10+Recursos!CF11)*Supuestos!$C$75</f>
        <v>5694333333.56758</v>
      </c>
      <c r="CG16" s="57" t="n">
        <f aca="false">(Recursos!CG10+Recursos!CG11)*Supuestos!$C$75</f>
        <v>5626543651.02511</v>
      </c>
      <c r="CH16" s="57" t="n">
        <f aca="false">(Recursos!CH10+Recursos!CH11)*Supuestos!$C$75</f>
        <v>5490964285.94017</v>
      </c>
      <c r="CI16" s="57" t="n">
        <f aca="false">(Recursos!CI10+Recursos!CI11)*Supuestos!$C$75</f>
        <v>5528546444.5391</v>
      </c>
      <c r="CJ16" s="57" t="n">
        <f aca="false">(Recursos!CJ10+Recursos!CJ11)*Supuestos!$C$75</f>
        <v>5395328457.9237</v>
      </c>
      <c r="CK16" s="57" t="n">
        <f aca="false">(Recursos!CK10+Recursos!CK11)*Supuestos!$C$75</f>
        <v>5661764431.1545</v>
      </c>
      <c r="CL16" s="57" t="n">
        <f aca="false">(Recursos!CL10+Recursos!CL11)*Supuestos!$C$75</f>
        <v>5595155437.8468</v>
      </c>
      <c r="CM16" s="57" t="n">
        <f aca="false">(Recursos!CM10+Recursos!CM11)*Supuestos!$C$75</f>
        <v>5528546444.5391</v>
      </c>
      <c r="CN16" s="57" t="n">
        <f aca="false">(Recursos!CN10+Recursos!CN11)*Supuestos!$C$75</f>
        <v>5595155437.8468</v>
      </c>
      <c r="CO16" s="57" t="n">
        <f aca="false">(Recursos!CO10+Recursos!CO11)*Supuestos!$C$75</f>
        <v>5661764431.1545</v>
      </c>
      <c r="CP16" s="57" t="n">
        <f aca="false">(Recursos!CP10+Recursos!CP11)*Supuestos!$C$75</f>
        <v>5595155437.8468</v>
      </c>
      <c r="CQ16" s="57" t="n">
        <f aca="false">(Recursos!CQ10+Recursos!CQ11)*Supuestos!$C$75</f>
        <v>5528546444.5391</v>
      </c>
      <c r="CR16" s="57" t="n">
        <f aca="false">(Recursos!CR10+Recursos!CR11)*Supuestos!$C$75</f>
        <v>5595155437.8468</v>
      </c>
      <c r="CS16" s="57" t="n">
        <f aca="false">(Recursos!CS10+Recursos!CS11)*Supuestos!$C$75</f>
        <v>5528546444.5391</v>
      </c>
      <c r="CT16" s="57" t="n">
        <f aca="false">(Recursos!CT10+Recursos!CT11)*Supuestos!$C$75</f>
        <v>5395328457.9237</v>
      </c>
    </row>
    <row r="17" customFormat="false" ht="15" hidden="false" customHeight="true" outlineLevel="0" collapsed="false">
      <c r="B17" s="9" t="s">
        <v>491</v>
      </c>
      <c r="C17" s="57" t="n">
        <f aca="false">(Recursos!C10+Recursos!C11)*(1-Supuestos!$C$75)</f>
        <v>629587642.300627</v>
      </c>
      <c r="D17" s="57" t="n">
        <f aca="false">(Recursos!D10+Recursos!D11)*(1-Supuestos!$C$75)</f>
        <v>614416855.739167</v>
      </c>
      <c r="E17" s="57" t="n">
        <f aca="false">(Recursos!E10+Recursos!E11)*(1-Supuestos!$C$75)</f>
        <v>644758428.862088</v>
      </c>
      <c r="F17" s="57" t="n">
        <f aca="false">(Recursos!F10+Recursos!F11)*(1-Supuestos!$C$75)</f>
        <v>637173035.581358</v>
      </c>
      <c r="G17" s="57" t="n">
        <f aca="false">(Recursos!G10+Recursos!G11)*(1-Supuestos!$C$75)</f>
        <v>629587642.300627</v>
      </c>
      <c r="H17" s="57" t="n">
        <f aca="false">(Recursos!H10+Recursos!H11)*(1-Supuestos!$C$75)</f>
        <v>637173035.581358</v>
      </c>
      <c r="I17" s="57" t="n">
        <f aca="false">(Recursos!I10+Recursos!I11)*(1-Supuestos!$C$75)</f>
        <v>644758428.862088</v>
      </c>
      <c r="J17" s="57" t="n">
        <f aca="false">(Recursos!J10+Recursos!J11)*(1-Supuestos!$C$75)</f>
        <v>637173035.581358</v>
      </c>
      <c r="K17" s="57" t="n">
        <f aca="false">(Recursos!K10+Recursos!K11)*(1-Supuestos!$C$75)</f>
        <v>629587642.300627</v>
      </c>
      <c r="L17" s="57" t="n">
        <f aca="false">(Recursos!L10+Recursos!L11)*(1-Supuestos!$C$75)</f>
        <v>637173035.581358</v>
      </c>
      <c r="M17" s="57" t="n">
        <f aca="false">(Recursos!M10+Recursos!M11)*(1-Supuestos!$C$75)</f>
        <v>629587642.300627</v>
      </c>
      <c r="N17" s="57" t="n">
        <f aca="false">(Recursos!N10+Recursos!N11)*(1-Supuestos!$C$75)</f>
        <v>614416855.739167</v>
      </c>
      <c r="O17" s="57" t="n">
        <f aca="false">(Recursos!O10+Recursos!O11)*(1-Supuestos!$C$75)</f>
        <v>618331689.140626</v>
      </c>
      <c r="P17" s="57" t="n">
        <f aca="false">(Recursos!P10+Recursos!P11)*(1-Supuestos!$C$75)</f>
        <v>603432130.366153</v>
      </c>
      <c r="Q17" s="57" t="n">
        <f aca="false">(Recursos!Q10+Recursos!Q11)*(1-Supuestos!$C$75)</f>
        <v>633231247.915099</v>
      </c>
      <c r="R17" s="57" t="n">
        <f aca="false">(Recursos!R10+Recursos!R11)*(1-Supuestos!$C$75)</f>
        <v>625781468.527863</v>
      </c>
      <c r="S17" s="57" t="n">
        <f aca="false">(Recursos!S10+Recursos!S11)*(1-Supuestos!$C$75)</f>
        <v>618331689.140626</v>
      </c>
      <c r="T17" s="57" t="n">
        <f aca="false">(Recursos!T10+Recursos!T11)*(1-Supuestos!$C$75)</f>
        <v>625781468.527863</v>
      </c>
      <c r="U17" s="57" t="n">
        <f aca="false">(Recursos!U10+Recursos!U11)*(1-Supuestos!$C$75)</f>
        <v>633231247.915099</v>
      </c>
      <c r="V17" s="57" t="n">
        <f aca="false">(Recursos!V10+Recursos!V11)*(1-Supuestos!$C$75)</f>
        <v>625781468.527863</v>
      </c>
      <c r="W17" s="57" t="n">
        <f aca="false">(Recursos!W10+Recursos!W11)*(1-Supuestos!$C$75)</f>
        <v>618331689.140626</v>
      </c>
      <c r="X17" s="57" t="n">
        <f aca="false">(Recursos!X10+Recursos!X11)*(1-Supuestos!$C$75)</f>
        <v>625781468.527863</v>
      </c>
      <c r="Y17" s="57" t="n">
        <f aca="false">(Recursos!Y10+Recursos!Y11)*(1-Supuestos!$C$75)</f>
        <v>618331689.140626</v>
      </c>
      <c r="Z17" s="57" t="n">
        <f aca="false">(Recursos!Z10+Recursos!Z11)*(1-Supuestos!$C$75)</f>
        <v>603432130.366153</v>
      </c>
      <c r="AA17" s="57" t="n">
        <f aca="false">(Recursos!AA10+Recursos!AA11)*(1-Supuestos!$C$75)</f>
        <v>607322916.712018</v>
      </c>
      <c r="AB17" s="57" t="n">
        <f aca="false">(Recursos!AB10+Recursos!AB11)*(1-Supuestos!$C$75)</f>
        <v>592688629.562331</v>
      </c>
      <c r="AC17" s="57" t="n">
        <f aca="false">(Recursos!AC10+Recursos!AC11)*(1-Supuestos!$C$75)</f>
        <v>621957203.861706</v>
      </c>
      <c r="AD17" s="57" t="n">
        <f aca="false">(Recursos!AD10+Recursos!AD11)*(1-Supuestos!$C$75)</f>
        <v>614640060.286862</v>
      </c>
      <c r="AE17" s="57" t="n">
        <f aca="false">(Recursos!AE10+Recursos!AE11)*(1-Supuestos!$C$75)</f>
        <v>607322916.712018</v>
      </c>
      <c r="AF17" s="57" t="n">
        <f aca="false">(Recursos!AF10+Recursos!AF11)*(1-Supuestos!$C$75)</f>
        <v>614640060.286862</v>
      </c>
      <c r="AG17" s="57" t="n">
        <f aca="false">(Recursos!AG10+Recursos!AG11)*(1-Supuestos!$C$75)</f>
        <v>621957203.861706</v>
      </c>
      <c r="AH17" s="57" t="n">
        <f aca="false">(Recursos!AH10+Recursos!AH11)*(1-Supuestos!$C$75)</f>
        <v>614640060.286862</v>
      </c>
      <c r="AI17" s="57" t="n">
        <f aca="false">(Recursos!AI10+Recursos!AI11)*(1-Supuestos!$C$75)</f>
        <v>607322916.712018</v>
      </c>
      <c r="AJ17" s="57" t="n">
        <f aca="false">(Recursos!AJ10+Recursos!AJ11)*(1-Supuestos!$C$75)</f>
        <v>614640060.286862</v>
      </c>
      <c r="AK17" s="57" t="n">
        <f aca="false">(Recursos!AK10+Recursos!AK11)*(1-Supuestos!$C$75)</f>
        <v>607322916.712018</v>
      </c>
      <c r="AL17" s="57" t="n">
        <f aca="false">(Recursos!AL10+Recursos!AL11)*(1-Supuestos!$C$75)</f>
        <v>592688629.562331</v>
      </c>
      <c r="AM17" s="57" t="n">
        <f aca="false">(Recursos!AM10+Recursos!AM11)*(1-Supuestos!$C$75)</f>
        <v>596555896.925943</v>
      </c>
      <c r="AN17" s="57" t="n">
        <f aca="false">(Recursos!AN10+Recursos!AN11)*(1-Supuestos!$C$75)</f>
        <v>582181056.036161</v>
      </c>
      <c r="AO17" s="57" t="n">
        <f aca="false">(Recursos!AO10+Recursos!AO11)*(1-Supuestos!$C$75)</f>
        <v>610930737.815725</v>
      </c>
      <c r="AP17" s="57" t="n">
        <f aca="false">(Recursos!AP10+Recursos!AP11)*(1-Supuestos!$C$75)</f>
        <v>603743317.370834</v>
      </c>
      <c r="AQ17" s="57" t="n">
        <f aca="false">(Recursos!AQ10+Recursos!AQ11)*(1-Supuestos!$C$75)</f>
        <v>596555896.925943</v>
      </c>
      <c r="AR17" s="57" t="n">
        <f aca="false">(Recursos!AR10+Recursos!AR11)*(1-Supuestos!$C$75)</f>
        <v>603743317.370834</v>
      </c>
      <c r="AS17" s="57" t="n">
        <f aca="false">(Recursos!AS10+Recursos!AS11)*(1-Supuestos!$C$75)</f>
        <v>610930737.815725</v>
      </c>
      <c r="AT17" s="57" t="n">
        <f aca="false">(Recursos!AT10+Recursos!AT11)*(1-Supuestos!$C$75)</f>
        <v>603743317.370834</v>
      </c>
      <c r="AU17" s="57" t="n">
        <f aca="false">(Recursos!AU10+Recursos!AU11)*(1-Supuestos!$C$75)</f>
        <v>596555896.925943</v>
      </c>
      <c r="AV17" s="57" t="n">
        <f aca="false">(Recursos!AV10+Recursos!AV11)*(1-Supuestos!$C$75)</f>
        <v>603743317.370834</v>
      </c>
      <c r="AW17" s="57" t="n">
        <f aca="false">(Recursos!AW10+Recursos!AW11)*(1-Supuestos!$C$75)</f>
        <v>596555896.925943</v>
      </c>
      <c r="AX17" s="57" t="n">
        <f aca="false">(Recursos!AX10+Recursos!AX11)*(1-Supuestos!$C$75)</f>
        <v>582181056.036161</v>
      </c>
      <c r="AY17" s="57" t="n">
        <f aca="false">(Recursos!AY10+Recursos!AY11)*(1-Supuestos!$C$75)</f>
        <v>586025320.89437</v>
      </c>
      <c r="AZ17" s="57" t="n">
        <f aca="false">(Recursos!AZ10+Recursos!AZ11)*(1-Supuestos!$C$75)</f>
        <v>571904228.824626</v>
      </c>
      <c r="BA17" s="57" t="n">
        <f aca="false">(Recursos!BA10+Recursos!BA11)*(1-Supuestos!$C$75)</f>
        <v>600146412.964114</v>
      </c>
      <c r="BB17" s="57" t="n">
        <f aca="false">(Recursos!BB10+Recursos!BB11)*(1-Supuestos!$C$75)</f>
        <v>593085866.929242</v>
      </c>
      <c r="BC17" s="57" t="n">
        <f aca="false">(Recursos!BC10+Recursos!BC11)*(1-Supuestos!$C$75)</f>
        <v>586025320.89437</v>
      </c>
      <c r="BD17" s="57" t="n">
        <f aca="false">(Recursos!BD10+Recursos!BD11)*(1-Supuestos!$C$75)</f>
        <v>593085866.929242</v>
      </c>
      <c r="BE17" s="57" t="n">
        <f aca="false">(Recursos!BE10+Recursos!BE11)*(1-Supuestos!$C$75)</f>
        <v>600146412.964114</v>
      </c>
      <c r="BF17" s="57" t="n">
        <f aca="false">(Recursos!BF10+Recursos!BF11)*(1-Supuestos!$C$75)</f>
        <v>593085866.929242</v>
      </c>
      <c r="BG17" s="57" t="n">
        <f aca="false">(Recursos!BG10+Recursos!BG11)*(1-Supuestos!$C$75)</f>
        <v>586025320.89437</v>
      </c>
      <c r="BH17" s="57" t="n">
        <f aca="false">(Recursos!BH10+Recursos!BH11)*(1-Supuestos!$C$75)</f>
        <v>593085866.929242</v>
      </c>
      <c r="BI17" s="57" t="n">
        <f aca="false">(Recursos!BI10+Recursos!BI11)*(1-Supuestos!$C$75)</f>
        <v>586025320.89437</v>
      </c>
      <c r="BJ17" s="57" t="n">
        <f aca="false">(Recursos!BJ10+Recursos!BJ11)*(1-Supuestos!$C$75)</f>
        <v>571904228.824626</v>
      </c>
      <c r="BK17" s="57" t="n">
        <f aca="false">(Recursos!BK10+Recursos!BK11)*(1-Supuestos!$C$75)</f>
        <v>575725996.31245</v>
      </c>
      <c r="BL17" s="57" t="n">
        <f aca="false">(Recursos!BL10+Recursos!BL11)*(1-Supuestos!$C$75)</f>
        <v>561853080.738656</v>
      </c>
      <c r="BM17" s="57" t="n">
        <f aca="false">(Recursos!BM10+Recursos!BM11)*(1-Supuestos!$C$75)</f>
        <v>589598911.886244</v>
      </c>
      <c r="BN17" s="57" t="n">
        <f aca="false">(Recursos!BN10+Recursos!BN11)*(1-Supuestos!$C$75)</f>
        <v>582662454.099347</v>
      </c>
      <c r="BO17" s="57" t="n">
        <f aca="false">(Recursos!BO10+Recursos!BO11)*(1-Supuestos!$C$75)</f>
        <v>575725996.31245</v>
      </c>
      <c r="BP17" s="57" t="n">
        <f aca="false">(Recursos!BP10+Recursos!BP11)*(1-Supuestos!$C$75)</f>
        <v>582662454.099347</v>
      </c>
      <c r="BQ17" s="57" t="n">
        <f aca="false">(Recursos!BQ10+Recursos!BQ11)*(1-Supuestos!$C$75)</f>
        <v>589598911.886244</v>
      </c>
      <c r="BR17" s="57" t="n">
        <f aca="false">(Recursos!BR10+Recursos!BR11)*(1-Supuestos!$C$75)</f>
        <v>582662454.099347</v>
      </c>
      <c r="BS17" s="57" t="n">
        <f aca="false">(Recursos!BS10+Recursos!BS11)*(1-Supuestos!$C$75)</f>
        <v>575725996.31245</v>
      </c>
      <c r="BT17" s="57" t="n">
        <f aca="false">(Recursos!BT10+Recursos!BT11)*(1-Supuestos!$C$75)</f>
        <v>582662454.099347</v>
      </c>
      <c r="BU17" s="57" t="n">
        <f aca="false">(Recursos!BU10+Recursos!BU11)*(1-Supuestos!$C$75)</f>
        <v>575725996.31245</v>
      </c>
      <c r="BV17" s="57" t="n">
        <f aca="false">(Recursos!BV10+Recursos!BV11)*(1-Supuestos!$C$75)</f>
        <v>561853080.738656</v>
      </c>
      <c r="BW17" s="57" t="n">
        <f aca="false">(Recursos!BW10+Recursos!BW11)*(1-Supuestos!$C$75)</f>
        <v>565652844.898349</v>
      </c>
      <c r="BX17" s="57" t="n">
        <f aca="false">(Recursos!BX10+Recursos!BX11)*(1-Supuestos!$C$75)</f>
        <v>552022655.864654</v>
      </c>
      <c r="BY17" s="57" t="n">
        <f aca="false">(Recursos!BY10+Recursos!BY11)*(1-Supuestos!$C$75)</f>
        <v>579283033.932044</v>
      </c>
      <c r="BZ17" s="57" t="n">
        <f aca="false">(Recursos!BZ10+Recursos!BZ11)*(1-Supuestos!$C$75)</f>
        <v>572467939.415196</v>
      </c>
      <c r="CA17" s="57" t="n">
        <f aca="false">(Recursos!CA10+Recursos!CA11)*(1-Supuestos!$C$75)</f>
        <v>565652844.898349</v>
      </c>
      <c r="CB17" s="57" t="n">
        <f aca="false">(Recursos!CB10+Recursos!CB11)*(1-Supuestos!$C$75)</f>
        <v>572467939.415196</v>
      </c>
      <c r="CC17" s="57" t="n">
        <f aca="false">(Recursos!CC10+Recursos!CC11)*(1-Supuestos!$C$75)</f>
        <v>579283033.932044</v>
      </c>
      <c r="CD17" s="57" t="n">
        <f aca="false">(Recursos!CD10+Recursos!CD11)*(1-Supuestos!$C$75)</f>
        <v>572467939.415196</v>
      </c>
      <c r="CE17" s="57" t="n">
        <f aca="false">(Recursos!CE10+Recursos!CE11)*(1-Supuestos!$C$75)</f>
        <v>565652844.898349</v>
      </c>
      <c r="CF17" s="57" t="n">
        <f aca="false">(Recursos!CF10+Recursos!CF11)*(1-Supuestos!$C$75)</f>
        <v>572467939.415196</v>
      </c>
      <c r="CG17" s="57" t="n">
        <f aca="false">(Recursos!CG10+Recursos!CG11)*(1-Supuestos!$C$75)</f>
        <v>565652844.898349</v>
      </c>
      <c r="CH17" s="57" t="n">
        <f aca="false">(Recursos!CH10+Recursos!CH11)*(1-Supuestos!$C$75)</f>
        <v>552022655.864654</v>
      </c>
      <c r="CI17" s="57" t="n">
        <f aca="false">(Recursos!CI10+Recursos!CI11)*(1-Supuestos!$C$75)</f>
        <v>555800899.889301</v>
      </c>
      <c r="CJ17" s="57" t="n">
        <f aca="false">(Recursos!CJ10+Recursos!CJ11)*(1-Supuestos!$C$75)</f>
        <v>542408107.120885</v>
      </c>
      <c r="CK17" s="57" t="n">
        <f aca="false">(Recursos!CK10+Recursos!CK11)*(1-Supuestos!$C$75)</f>
        <v>569193692.657718</v>
      </c>
      <c r="CL17" s="57" t="n">
        <f aca="false">(Recursos!CL10+Recursos!CL11)*(1-Supuestos!$C$75)</f>
        <v>562497296.27351</v>
      </c>
      <c r="CM17" s="57" t="n">
        <f aca="false">(Recursos!CM10+Recursos!CM11)*(1-Supuestos!$C$75)</f>
        <v>555800899.889301</v>
      </c>
      <c r="CN17" s="57" t="n">
        <f aca="false">(Recursos!CN10+Recursos!CN11)*(1-Supuestos!$C$75)</f>
        <v>562497296.27351</v>
      </c>
      <c r="CO17" s="57" t="n">
        <f aca="false">(Recursos!CO10+Recursos!CO11)*(1-Supuestos!$C$75)</f>
        <v>569193692.657718</v>
      </c>
      <c r="CP17" s="57" t="n">
        <f aca="false">(Recursos!CP10+Recursos!CP11)*(1-Supuestos!$C$75)</f>
        <v>562497296.27351</v>
      </c>
      <c r="CQ17" s="57" t="n">
        <f aca="false">(Recursos!CQ10+Recursos!CQ11)*(1-Supuestos!$C$75)</f>
        <v>555800899.889301</v>
      </c>
      <c r="CR17" s="57" t="n">
        <f aca="false">(Recursos!CR10+Recursos!CR11)*(1-Supuestos!$C$75)</f>
        <v>562497296.27351</v>
      </c>
      <c r="CS17" s="57" t="n">
        <f aca="false">(Recursos!CS10+Recursos!CS11)*(1-Supuestos!$C$75)</f>
        <v>555800899.889301</v>
      </c>
      <c r="CT17" s="57" t="n">
        <f aca="false">(Recursos!CT10+Recursos!CT11)*(1-Supuestos!$C$75)</f>
        <v>542408107.120885</v>
      </c>
    </row>
    <row r="18" customFormat="false" ht="15" hidden="false" customHeight="true" outlineLevel="0" collapsed="false">
      <c r="B18" s="9" t="s">
        <v>492</v>
      </c>
      <c r="C18" s="57" t="n">
        <f aca="false">Recursos!C12</f>
        <v>626812408.9675</v>
      </c>
      <c r="D18" s="57" t="n">
        <f aca="false">Recursos!D12</f>
        <v>626812408.9675</v>
      </c>
      <c r="E18" s="57" t="n">
        <f aca="false">Recursos!E12</f>
        <v>626812408.9675</v>
      </c>
      <c r="F18" s="57" t="n">
        <f aca="false">Recursos!F12</f>
        <v>626812408.9675</v>
      </c>
      <c r="G18" s="57" t="n">
        <f aca="false">Recursos!G12</f>
        <v>626812408.9675</v>
      </c>
      <c r="H18" s="57" t="n">
        <f aca="false">Recursos!H12</f>
        <v>626812408.9675</v>
      </c>
      <c r="I18" s="57" t="n">
        <f aca="false">Recursos!I12</f>
        <v>626812408.9675</v>
      </c>
      <c r="J18" s="57" t="n">
        <f aca="false">Recursos!J12</f>
        <v>626812408.9675</v>
      </c>
      <c r="K18" s="57" t="n">
        <f aca="false">Recursos!K12</f>
        <v>626812408.9675</v>
      </c>
      <c r="L18" s="57" t="n">
        <f aca="false">Recursos!L12</f>
        <v>626812408.9675</v>
      </c>
      <c r="M18" s="57" t="n">
        <f aca="false">Recursos!M12</f>
        <v>626812408.9675</v>
      </c>
      <c r="N18" s="57" t="n">
        <f aca="false">Recursos!N12</f>
        <v>626812408.9675</v>
      </c>
      <c r="O18" s="57" t="n">
        <f aca="false">Recursos!O12</f>
        <v>626812408.9675</v>
      </c>
      <c r="P18" s="57" t="n">
        <f aca="false">Recursos!P12</f>
        <v>626812408.9675</v>
      </c>
      <c r="Q18" s="57" t="n">
        <f aca="false">Recursos!Q12</f>
        <v>626812408.9675</v>
      </c>
      <c r="R18" s="57" t="n">
        <f aca="false">Recursos!R12</f>
        <v>626812408.9675</v>
      </c>
      <c r="S18" s="57" t="n">
        <f aca="false">Recursos!S12</f>
        <v>626812408.9675</v>
      </c>
      <c r="T18" s="57" t="n">
        <f aca="false">Recursos!T12</f>
        <v>626812408.9675</v>
      </c>
      <c r="U18" s="57" t="n">
        <f aca="false">Recursos!U12</f>
        <v>626812408.9675</v>
      </c>
      <c r="V18" s="57" t="n">
        <f aca="false">Recursos!V12</f>
        <v>626812408.9675</v>
      </c>
      <c r="W18" s="57" t="n">
        <f aca="false">Recursos!W12</f>
        <v>626812408.9675</v>
      </c>
      <c r="X18" s="57" t="n">
        <f aca="false">Recursos!X12</f>
        <v>626812408.9675</v>
      </c>
      <c r="Y18" s="57" t="n">
        <f aca="false">Recursos!Y12</f>
        <v>626812408.9675</v>
      </c>
      <c r="Z18" s="57" t="n">
        <f aca="false">Recursos!Z12</f>
        <v>626812408.9675</v>
      </c>
      <c r="AA18" s="57" t="n">
        <f aca="false">Recursos!AA12</f>
        <v>626812408.9675</v>
      </c>
      <c r="AB18" s="57" t="n">
        <f aca="false">Recursos!AB12</f>
        <v>626812408.9675</v>
      </c>
      <c r="AC18" s="57" t="n">
        <f aca="false">Recursos!AC12</f>
        <v>626812408.9675</v>
      </c>
      <c r="AD18" s="57" t="n">
        <f aca="false">Recursos!AD12</f>
        <v>626812408.9675</v>
      </c>
      <c r="AE18" s="57" t="n">
        <f aca="false">Recursos!AE12</f>
        <v>626812408.9675</v>
      </c>
      <c r="AF18" s="57" t="n">
        <f aca="false">Recursos!AF12</f>
        <v>626812408.9675</v>
      </c>
      <c r="AG18" s="57" t="n">
        <f aca="false">Recursos!AG12</f>
        <v>626812408.9675</v>
      </c>
      <c r="AH18" s="57" t="n">
        <f aca="false">Recursos!AH12</f>
        <v>626812408.9675</v>
      </c>
      <c r="AI18" s="57" t="n">
        <f aca="false">Recursos!AI12</f>
        <v>626812408.9675</v>
      </c>
      <c r="AJ18" s="57" t="n">
        <f aca="false">Recursos!AJ12</f>
        <v>626812408.9675</v>
      </c>
      <c r="AK18" s="57" t="n">
        <f aca="false">Recursos!AK12</f>
        <v>626812408.9675</v>
      </c>
      <c r="AL18" s="57" t="n">
        <f aca="false">Recursos!AL12</f>
        <v>626812408.9675</v>
      </c>
      <c r="AM18" s="57" t="n">
        <f aca="false">Recursos!AM12</f>
        <v>626812408.9675</v>
      </c>
      <c r="AN18" s="57" t="n">
        <f aca="false">Recursos!AN12</f>
        <v>626812408.9675</v>
      </c>
      <c r="AO18" s="57" t="n">
        <f aca="false">Recursos!AO12</f>
        <v>626812408.9675</v>
      </c>
      <c r="AP18" s="57" t="n">
        <f aca="false">Recursos!AP12</f>
        <v>626812408.9675</v>
      </c>
      <c r="AQ18" s="57" t="n">
        <f aca="false">Recursos!AQ12</f>
        <v>626812408.9675</v>
      </c>
      <c r="AR18" s="57" t="n">
        <f aca="false">Recursos!AR12</f>
        <v>626812408.9675</v>
      </c>
      <c r="AS18" s="57" t="n">
        <f aca="false">Recursos!AS12</f>
        <v>626812408.9675</v>
      </c>
      <c r="AT18" s="57" t="n">
        <f aca="false">Recursos!AT12</f>
        <v>626812408.9675</v>
      </c>
      <c r="AU18" s="57" t="n">
        <f aca="false">Recursos!AU12</f>
        <v>626812408.9675</v>
      </c>
      <c r="AV18" s="57" t="n">
        <f aca="false">Recursos!AV12</f>
        <v>626812408.9675</v>
      </c>
      <c r="AW18" s="57" t="n">
        <f aca="false">Recursos!AW12</f>
        <v>626812408.9675</v>
      </c>
      <c r="AX18" s="57" t="n">
        <f aca="false">Recursos!AX12</f>
        <v>626812408.9675</v>
      </c>
      <c r="AY18" s="57" t="n">
        <f aca="false">Recursos!AY12</f>
        <v>626812408.9675</v>
      </c>
      <c r="AZ18" s="57" t="n">
        <f aca="false">Recursos!AZ12</f>
        <v>626812408.9675</v>
      </c>
      <c r="BA18" s="57" t="n">
        <f aca="false">Recursos!BA12</f>
        <v>626812408.9675</v>
      </c>
      <c r="BB18" s="57" t="n">
        <f aca="false">Recursos!BB12</f>
        <v>626812408.9675</v>
      </c>
      <c r="BC18" s="57" t="n">
        <f aca="false">Recursos!BC12</f>
        <v>626812408.9675</v>
      </c>
      <c r="BD18" s="57" t="n">
        <f aca="false">Recursos!BD12</f>
        <v>626812408.9675</v>
      </c>
      <c r="BE18" s="57" t="n">
        <f aca="false">Recursos!BE12</f>
        <v>626812408.9675</v>
      </c>
      <c r="BF18" s="57" t="n">
        <f aca="false">Recursos!BF12</f>
        <v>626812408.9675</v>
      </c>
      <c r="BG18" s="57" t="n">
        <f aca="false">Recursos!BG12</f>
        <v>626812408.9675</v>
      </c>
      <c r="BH18" s="57" t="n">
        <f aca="false">Recursos!BH12</f>
        <v>626812408.9675</v>
      </c>
      <c r="BI18" s="57" t="n">
        <f aca="false">Recursos!BI12</f>
        <v>626812408.9675</v>
      </c>
      <c r="BJ18" s="57" t="n">
        <f aca="false">Recursos!BJ12</f>
        <v>626812408.9675</v>
      </c>
      <c r="BK18" s="57" t="n">
        <f aca="false">Recursos!BK12</f>
        <v>626812408.9675</v>
      </c>
      <c r="BL18" s="57" t="n">
        <f aca="false">Recursos!BL12</f>
        <v>626812408.9675</v>
      </c>
      <c r="BM18" s="57" t="n">
        <f aca="false">Recursos!BM12</f>
        <v>626812408.9675</v>
      </c>
      <c r="BN18" s="57" t="n">
        <f aca="false">Recursos!BN12</f>
        <v>626812408.9675</v>
      </c>
      <c r="BO18" s="57" t="n">
        <f aca="false">Recursos!BO12</f>
        <v>626812408.9675</v>
      </c>
      <c r="BP18" s="57" t="n">
        <f aca="false">Recursos!BP12</f>
        <v>626812408.9675</v>
      </c>
      <c r="BQ18" s="57" t="n">
        <f aca="false">Recursos!BQ12</f>
        <v>626812408.9675</v>
      </c>
      <c r="BR18" s="57" t="n">
        <f aca="false">Recursos!BR12</f>
        <v>626812408.9675</v>
      </c>
      <c r="BS18" s="57" t="n">
        <f aca="false">Recursos!BS12</f>
        <v>626812408.9675</v>
      </c>
      <c r="BT18" s="57" t="n">
        <f aca="false">Recursos!BT12</f>
        <v>626812408.9675</v>
      </c>
      <c r="BU18" s="57" t="n">
        <f aca="false">Recursos!BU12</f>
        <v>626812408.9675</v>
      </c>
      <c r="BV18" s="57" t="n">
        <f aca="false">Recursos!BV12</f>
        <v>626812408.9675</v>
      </c>
      <c r="BW18" s="57" t="n">
        <f aca="false">Recursos!BW12</f>
        <v>626812408.9675</v>
      </c>
      <c r="BX18" s="57" t="n">
        <f aca="false">Recursos!BX12</f>
        <v>626812408.9675</v>
      </c>
      <c r="BY18" s="57" t="n">
        <f aca="false">Recursos!BY12</f>
        <v>626812408.9675</v>
      </c>
      <c r="BZ18" s="57" t="n">
        <f aca="false">Recursos!BZ12</f>
        <v>626812408.9675</v>
      </c>
      <c r="CA18" s="57" t="n">
        <f aca="false">Recursos!CA12</f>
        <v>626812408.9675</v>
      </c>
      <c r="CB18" s="57" t="n">
        <f aca="false">Recursos!CB12</f>
        <v>626812408.9675</v>
      </c>
      <c r="CC18" s="57" t="n">
        <f aca="false">Recursos!CC12</f>
        <v>626812408.9675</v>
      </c>
      <c r="CD18" s="57" t="n">
        <f aca="false">Recursos!CD12</f>
        <v>626812408.9675</v>
      </c>
      <c r="CE18" s="57" t="n">
        <f aca="false">Recursos!CE12</f>
        <v>626812408.9675</v>
      </c>
      <c r="CF18" s="57" t="n">
        <f aca="false">Recursos!CF12</f>
        <v>626812408.9675</v>
      </c>
      <c r="CG18" s="57" t="n">
        <f aca="false">Recursos!CG12</f>
        <v>626812408.9675</v>
      </c>
      <c r="CH18" s="57" t="n">
        <f aca="false">Recursos!CH12</f>
        <v>626812408.9675</v>
      </c>
      <c r="CI18" s="57" t="n">
        <f aca="false">Recursos!CI12</f>
        <v>626812408.9675</v>
      </c>
      <c r="CJ18" s="57" t="n">
        <f aca="false">Recursos!CJ12</f>
        <v>626812408.9675</v>
      </c>
      <c r="CK18" s="57" t="n">
        <f aca="false">Recursos!CK12</f>
        <v>626812408.9675</v>
      </c>
      <c r="CL18" s="57" t="n">
        <f aca="false">Recursos!CL12</f>
        <v>626812408.9675</v>
      </c>
      <c r="CM18" s="57" t="n">
        <f aca="false">Recursos!CM12</f>
        <v>626812408.9675</v>
      </c>
      <c r="CN18" s="57" t="n">
        <f aca="false">Recursos!CN12</f>
        <v>626812408.9675</v>
      </c>
      <c r="CO18" s="57" t="n">
        <f aca="false">Recursos!CO12</f>
        <v>626812408.9675</v>
      </c>
      <c r="CP18" s="57" t="n">
        <f aca="false">Recursos!CP12</f>
        <v>626812408.9675</v>
      </c>
      <c r="CQ18" s="57" t="n">
        <f aca="false">Recursos!CQ12</f>
        <v>626812408.9675</v>
      </c>
      <c r="CR18" s="57" t="n">
        <f aca="false">Recursos!CR12</f>
        <v>626812408.9675</v>
      </c>
      <c r="CS18" s="57" t="n">
        <f aca="false">Recursos!CS12</f>
        <v>626812408.9675</v>
      </c>
      <c r="CT18" s="57" t="n">
        <f aca="false">Recursos!CT12</f>
        <v>626812408.9675</v>
      </c>
    </row>
    <row r="19" customFormat="false" ht="15" hidden="false" customHeight="true" outlineLevel="0" collapsed="false">
      <c r="B19" s="58" t="s">
        <v>493</v>
      </c>
      <c r="C19" s="59" t="n">
        <f aca="false">SUM(C14:C18)</f>
        <v>29199919250.3463</v>
      </c>
      <c r="D19" s="59" t="n">
        <f aca="false">SUM(D14:D18)</f>
        <v>25070261013.8841</v>
      </c>
      <c r="E19" s="59" t="n">
        <f aca="false">SUM(E14:E18)</f>
        <v>26344109354.5259</v>
      </c>
      <c r="F19" s="59" t="n">
        <f aca="false">SUM(F14:F18)</f>
        <v>25820673926.7134</v>
      </c>
      <c r="G19" s="59" t="n">
        <f aca="false">SUM(G14:G18)</f>
        <v>25317539506.873</v>
      </c>
      <c r="H19" s="59" t="n">
        <f aca="false">SUM(H14:H18)</f>
        <v>25861275942.6578</v>
      </c>
      <c r="I19" s="59" t="n">
        <f aca="false">SUM(I14:I18)</f>
        <v>26364410362.4981</v>
      </c>
      <c r="J19" s="59" t="n">
        <f aca="false">SUM(J14:J18)</f>
        <v>25840974934.6856</v>
      </c>
      <c r="K19" s="59" t="n">
        <f aca="false">SUM(K14:K18)</f>
        <v>25317539506.873</v>
      </c>
      <c r="L19" s="59" t="n">
        <f aca="false">SUM(L14:L18)</f>
        <v>25861275942.6578</v>
      </c>
      <c r="M19" s="59" t="n">
        <f aca="false">SUM(M14:M18)</f>
        <v>25337840514.8452</v>
      </c>
      <c r="N19" s="59" t="n">
        <f aca="false">SUM(N14:N18)</f>
        <v>26452358629.588</v>
      </c>
      <c r="O19" s="59" t="n">
        <f aca="false">SUM(O14:O18)</f>
        <v>29874115431.4619</v>
      </c>
      <c r="P19" s="59" t="n">
        <f aca="false">SUM(P14:P18)</f>
        <v>25600962344.0622</v>
      </c>
      <c r="Q19" s="59" t="n">
        <f aca="false">SUM(Q14:Q18)</f>
        <v>26901419979.4152</v>
      </c>
      <c r="R19" s="59" t="n">
        <f aca="false">SUM(R14:R18)</f>
        <v>26363195340.201</v>
      </c>
      <c r="S19" s="59" t="n">
        <f aca="false">SUM(S14:S18)</f>
        <v>25845271708.959</v>
      </c>
      <c r="T19" s="59" t="n">
        <f aca="false">SUM(T14:T18)</f>
        <v>26403797356.1454</v>
      </c>
      <c r="U19" s="59" t="n">
        <f aca="false">SUM(U14:U18)</f>
        <v>26921720987.3874</v>
      </c>
      <c r="V19" s="59" t="n">
        <f aca="false">SUM(V14:V18)</f>
        <v>26383496348.1732</v>
      </c>
      <c r="W19" s="59" t="n">
        <f aca="false">SUM(W14:W18)</f>
        <v>25845271708.959</v>
      </c>
      <c r="X19" s="59" t="n">
        <f aca="false">SUM(X14:X18)</f>
        <v>26403797356.1454</v>
      </c>
      <c r="Y19" s="59" t="n">
        <f aca="false">SUM(Y14:Y18)</f>
        <v>25865572716.9312</v>
      </c>
      <c r="Z19" s="59" t="n">
        <f aca="false">SUM(Z14:Z18)</f>
        <v>27031881286.1093</v>
      </c>
      <c r="AA19" s="59" t="n">
        <f aca="false">SUM(AA14:AA18)</f>
        <v>30307205582.3823</v>
      </c>
      <c r="AB19" s="59" t="n">
        <f aca="false">SUM(AB14:AB18)</f>
        <v>25935274222.37</v>
      </c>
      <c r="AC19" s="59" t="n">
        <f aca="false">SUM(AC14:AC18)</f>
        <v>27252520049.7895</v>
      </c>
      <c r="AD19" s="59" t="n">
        <f aca="false">SUM(AD14:AD18)</f>
        <v>26704449351.5225</v>
      </c>
      <c r="AE19" s="59" t="n">
        <f aca="false">SUM(AE14:AE18)</f>
        <v>26176679661.2277</v>
      </c>
      <c r="AF19" s="59" t="n">
        <f aca="false">SUM(AF14:AF18)</f>
        <v>26745051367.4669</v>
      </c>
      <c r="AG19" s="59" t="n">
        <f aca="false">SUM(AG14:AG18)</f>
        <v>27272821057.7617</v>
      </c>
      <c r="AH19" s="59" t="n">
        <f aca="false">SUM(AH14:AH18)</f>
        <v>26724750359.4947</v>
      </c>
      <c r="AI19" s="59" t="n">
        <f aca="false">SUM(AI14:AI18)</f>
        <v>26176679661.2277</v>
      </c>
      <c r="AJ19" s="59" t="n">
        <f aca="false">SUM(AJ14:AJ18)</f>
        <v>26745051367.4669</v>
      </c>
      <c r="AK19" s="59" t="n">
        <f aca="false">SUM(AK14:AK18)</f>
        <v>26196980669.1999</v>
      </c>
      <c r="AL19" s="59" t="n">
        <f aca="false">SUM(AL14:AL18)</f>
        <v>27400087230.6345</v>
      </c>
      <c r="AM19" s="59" t="n">
        <f aca="false">SUM(AM14:AM18)</f>
        <v>30628346149.8665</v>
      </c>
      <c r="AN19" s="59" t="n">
        <f aca="false">SUM(AN14:AN18)</f>
        <v>26178621000.6286</v>
      </c>
      <c r="AO19" s="59" t="n">
        <f aca="false">SUM(AO14:AO18)</f>
        <v>27508105170.8566</v>
      </c>
      <c r="AP19" s="59" t="n">
        <f aca="false">SUM(AP14:AP18)</f>
        <v>26952495223.2736</v>
      </c>
      <c r="AQ19" s="59" t="n">
        <f aca="false">SUM(AQ14:AQ18)</f>
        <v>26417186283.6628</v>
      </c>
      <c r="AR19" s="59" t="n">
        <f aca="false">SUM(AR14:AR18)</f>
        <v>26993097239.218</v>
      </c>
      <c r="AS19" s="59" t="n">
        <f aca="false">SUM(AS14:AS18)</f>
        <v>27528406178.8288</v>
      </c>
      <c r="AT19" s="59" t="n">
        <f aca="false">SUM(AT14:AT18)</f>
        <v>26972796231.2458</v>
      </c>
      <c r="AU19" s="59" t="n">
        <f aca="false">SUM(AU14:AU18)</f>
        <v>26417186283.6628</v>
      </c>
      <c r="AV19" s="59" t="n">
        <f aca="false">SUM(AV14:AV18)</f>
        <v>26993097239.218</v>
      </c>
      <c r="AW19" s="59" t="n">
        <f aca="false">SUM(AW14:AW18)</f>
        <v>26437487291.635</v>
      </c>
      <c r="AX19" s="59" t="n">
        <f aca="false">SUM(AX14:AX18)</f>
        <v>27670311990.5761</v>
      </c>
      <c r="AY19" s="59" t="n">
        <f aca="false">SUM(AY14:AY18)</f>
        <v>30954966640.7839</v>
      </c>
      <c r="AZ19" s="59" t="n">
        <f aca="false">SUM(AZ14:AZ18)</f>
        <v>26426854226.7347</v>
      </c>
      <c r="BA19" s="59" t="n">
        <f aca="false">SUM(BA14:BA18)</f>
        <v>27768819502.9181</v>
      </c>
      <c r="BB19" s="59" t="n">
        <f aca="false">SUM(BB14:BB18)</f>
        <v>27205580109.3566</v>
      </c>
      <c r="BC19" s="59" t="n">
        <f aca="false">SUM(BC14:BC18)</f>
        <v>26662641723.7674</v>
      </c>
      <c r="BD19" s="59" t="n">
        <f aca="false">SUM(BD14:BD18)</f>
        <v>27246182125.301</v>
      </c>
      <c r="BE19" s="59" t="n">
        <f aca="false">SUM(BE14:BE18)</f>
        <v>27789120510.8903</v>
      </c>
      <c r="BF19" s="59" t="n">
        <f aca="false">SUM(BF14:BF18)</f>
        <v>27225881117.3288</v>
      </c>
      <c r="BG19" s="59" t="n">
        <f aca="false">SUM(BG14:BG18)</f>
        <v>26662641723.7674</v>
      </c>
      <c r="BH19" s="59" t="n">
        <f aca="false">SUM(BH14:BH18)</f>
        <v>27246182125.301</v>
      </c>
      <c r="BI19" s="59" t="n">
        <f aca="false">SUM(BI14:BI18)</f>
        <v>26682942731.7396</v>
      </c>
      <c r="BJ19" s="59" t="n">
        <f aca="false">SUM(BJ14:BJ18)</f>
        <v>27945600233.6198</v>
      </c>
      <c r="BK19" s="59" t="n">
        <f aca="false">SUM(BK14:BK18)</f>
        <v>31292735662.0906</v>
      </c>
      <c r="BL19" s="59" t="n">
        <f aca="false">SUM(BL14:BL18)</f>
        <v>26684592264.5587</v>
      </c>
      <c r="BM19" s="59" t="n">
        <f aca="false">SUM(BM14:BM18)</f>
        <v>28039512362.2787</v>
      </c>
      <c r="BN19" s="59" t="n">
        <f aca="false">SUM(BN14:BN18)</f>
        <v>27468437165.0384</v>
      </c>
      <c r="BO19" s="59" t="n">
        <f aca="false">SUM(BO14:BO18)</f>
        <v>26917662975.7704</v>
      </c>
      <c r="BP19" s="59" t="n">
        <f aca="false">SUM(BP14:BP18)</f>
        <v>27509039180.9828</v>
      </c>
      <c r="BQ19" s="59" t="n">
        <f aca="false">SUM(BQ14:BQ18)</f>
        <v>28059813370.2509</v>
      </c>
      <c r="BR19" s="59" t="n">
        <f aca="false">SUM(BR14:BR18)</f>
        <v>27488738173.0106</v>
      </c>
      <c r="BS19" s="59" t="n">
        <f aca="false">SUM(BS14:BS18)</f>
        <v>26917662975.7704</v>
      </c>
      <c r="BT19" s="59" t="n">
        <f aca="false">SUM(BT14:BT18)</f>
        <v>27509039180.9828</v>
      </c>
      <c r="BU19" s="59" t="n">
        <f aca="false">SUM(BU14:BU18)</f>
        <v>26937963983.7426</v>
      </c>
      <c r="BV19" s="59" t="n">
        <f aca="false">SUM(BV14:BV18)</f>
        <v>28230920861.2116</v>
      </c>
      <c r="BW19" s="59" t="n">
        <f aca="false">SUM(BW14:BW18)</f>
        <v>31641765653.8283</v>
      </c>
      <c r="BX19" s="59" t="n">
        <f aca="false">SUM(BX14:BX18)</f>
        <v>26951918030.6957</v>
      </c>
      <c r="BY19" s="59" t="n">
        <f aca="false">SUM(BY14:BY18)</f>
        <v>28320270844.8527</v>
      </c>
      <c r="BZ19" s="59" t="n">
        <f aca="false">SUM(BZ14:BZ18)</f>
        <v>27741150726.7918</v>
      </c>
      <c r="CA19" s="59" t="n">
        <f aca="false">SUM(CA14:CA18)</f>
        <v>27182331616.7031</v>
      </c>
      <c r="CB19" s="59" t="n">
        <f aca="false">SUM(CB14:CB18)</f>
        <v>27781752742.7362</v>
      </c>
      <c r="CC19" s="59" t="n">
        <f aca="false">SUM(CC14:CC18)</f>
        <v>28340571852.8249</v>
      </c>
      <c r="CD19" s="59" t="n">
        <f aca="false">SUM(CD14:CD18)</f>
        <v>27761451734.764</v>
      </c>
      <c r="CE19" s="59" t="n">
        <f aca="false">SUM(CE14:CE18)</f>
        <v>27182331616.7031</v>
      </c>
      <c r="CF19" s="59" t="n">
        <f aca="false">SUM(CF14:CF18)</f>
        <v>27781752742.7362</v>
      </c>
      <c r="CG19" s="59" t="n">
        <f aca="false">SUM(CG14:CG18)</f>
        <v>27202632624.6753</v>
      </c>
      <c r="CH19" s="59" t="n">
        <f aca="false">SUM(CH14:CH18)</f>
        <v>28526367077.6169</v>
      </c>
      <c r="CI19" s="59" t="n">
        <f aca="false">SUM(CI14:CI18)</f>
        <v>32002173553.4602</v>
      </c>
      <c r="CJ19" s="59" t="n">
        <f aca="false">SUM(CJ14:CJ18)</f>
        <v>27228918307.9166</v>
      </c>
      <c r="CK19" s="59" t="n">
        <f aca="false">SUM(CK14:CK18)</f>
        <v>28611186105.303</v>
      </c>
      <c r="CL19" s="59" t="n">
        <f aca="false">SUM(CL14:CL18)</f>
        <v>28023809108.26</v>
      </c>
      <c r="CM19" s="59" t="n">
        <f aca="false">SUM(CM14:CM18)</f>
        <v>27456733119.1892</v>
      </c>
      <c r="CN19" s="59" t="n">
        <f aca="false">SUM(CN14:CN18)</f>
        <v>28064411124.2044</v>
      </c>
      <c r="CO19" s="59" t="n">
        <f aca="false">SUM(CO14:CO18)</f>
        <v>28631487113.2752</v>
      </c>
      <c r="CP19" s="59" t="n">
        <f aca="false">SUM(CP14:CP18)</f>
        <v>28044110116.2322</v>
      </c>
      <c r="CQ19" s="59" t="n">
        <f aca="false">SUM(CQ14:CQ18)</f>
        <v>27456733119.1892</v>
      </c>
      <c r="CR19" s="59" t="n">
        <f aca="false">SUM(CR14:CR18)</f>
        <v>28064411124.2044</v>
      </c>
      <c r="CS19" s="59" t="n">
        <f aca="false">SUM(CS14:CS18)</f>
        <v>27477034127.1615</v>
      </c>
      <c r="CT19" s="59" t="n">
        <f aca="false">SUM(CT14:CT18)</f>
        <v>28832036153.8865</v>
      </c>
    </row>
    <row r="21" customFormat="false" ht="15" hidden="false" customHeight="true" outlineLevel="0" collapsed="false">
      <c r="B21" s="56" t="s">
        <v>494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495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496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497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498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499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500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501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502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503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504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505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506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507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508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509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510</v>
      </c>
      <c r="C39" s="57" t="n">
        <f aca="false">C8*Supuestos!$C$94/12</f>
        <v>3750000</v>
      </c>
      <c r="D39" s="57" t="n">
        <f aca="false">D8*Supuestos!$C$94/12</f>
        <v>12619801.1943836</v>
      </c>
      <c r="E39" s="57" t="n">
        <f aca="false">E8*Supuestos!$C$94/12</f>
        <v>13937882.8465197</v>
      </c>
      <c r="F39" s="57" t="n">
        <f aca="false">F8*Supuestos!$C$94/12</f>
        <v>19516790.9470995</v>
      </c>
      <c r="G39" s="57" t="n">
        <f aca="false">G8*Supuestos!$C$94/12</f>
        <v>23086113.4304023</v>
      </c>
      <c r="H39" s="57" t="n">
        <f aca="false">H8*Supuestos!$C$94/12</f>
        <v>21888801.0206893</v>
      </c>
      <c r="I39" s="57" t="n">
        <f aca="false">I8*Supuestos!$C$94/12</f>
        <v>21049944.3419925</v>
      </c>
      <c r="J39" s="57" t="n">
        <f aca="false">J8*Supuestos!$C$94/12</f>
        <v>23097679.5440218</v>
      </c>
      <c r="K39" s="57" t="n">
        <f aca="false">K8*Supuestos!$C$94/12</f>
        <v>21587089.8778122</v>
      </c>
      <c r="L39" s="57" t="n">
        <f aca="false">L8*Supuestos!$C$94/12</f>
        <v>22764627.6348385</v>
      </c>
      <c r="M39" s="57" t="n">
        <f aca="false">M8*Supuestos!$C$94/12</f>
        <v>24389501.7309781</v>
      </c>
      <c r="N39" s="57" t="n">
        <f aca="false">N8*Supuestos!$C$94/12</f>
        <v>22422665.9806005</v>
      </c>
      <c r="O39" s="57" t="n">
        <f aca="false">O8*Supuestos!$C$94/12</f>
        <v>22031843.8790232</v>
      </c>
      <c r="P39" s="57" t="n">
        <f aca="false">P8*Supuestos!$C$94/12</f>
        <v>28433315.5623777</v>
      </c>
      <c r="Q39" s="57" t="n">
        <f aca="false">Q8*Supuestos!$C$94/12</f>
        <v>29545101.0347918</v>
      </c>
      <c r="R39" s="57" t="n">
        <f aca="false">R8*Supuestos!$C$94/12</f>
        <v>35333240.9993058</v>
      </c>
      <c r="S39" s="57" t="n">
        <f aca="false">S8*Supuestos!$C$94/12</f>
        <v>39173178.3100255</v>
      </c>
      <c r="T39" s="57" t="n">
        <f aca="false">T8*Supuestos!$C$94/12</f>
        <v>38271148.3704665</v>
      </c>
      <c r="U39" s="57" t="n">
        <f aca="false">U8*Supuestos!$C$94/12</f>
        <v>37758614.5012159</v>
      </c>
      <c r="V39" s="57" t="n">
        <f aca="false">V8*Supuestos!$C$94/12</f>
        <v>40154503.7550669</v>
      </c>
      <c r="W39" s="57" t="n">
        <f aca="false">W8*Supuestos!$C$94/12</f>
        <v>38984564.7170291</v>
      </c>
      <c r="X39" s="57" t="n">
        <f aca="false">X8*Supuestos!$C$94/12</f>
        <v>40492978.0303203</v>
      </c>
      <c r="Y39" s="57" t="n">
        <f aca="false">Y8*Supuestos!$C$94/12</f>
        <v>42462547.1440165</v>
      </c>
      <c r="Z39" s="57" t="n">
        <f aca="false">Z8*Supuestos!$C$94/12</f>
        <v>43953892.3174975</v>
      </c>
      <c r="AA39" s="57" t="n">
        <f aca="false">AA8*Supuestos!$C$94/12</f>
        <v>43942444.0241937</v>
      </c>
      <c r="AB39" s="57" t="n">
        <f aca="false">AB8*Supuestos!$C$94/12</f>
        <v>50730921.2083942</v>
      </c>
      <c r="AC39" s="57" t="n">
        <f aca="false">AC8*Supuestos!$C$94/12</f>
        <v>55272741.380473</v>
      </c>
      <c r="AD39" s="57" t="n">
        <f aca="false">AD8*Supuestos!$C$94/12</f>
        <v>61383006.6162471</v>
      </c>
      <c r="AE39" s="57" t="n">
        <f aca="false">AE8*Supuestos!$C$94/12</f>
        <v>65537004.6961275</v>
      </c>
      <c r="AF39" s="57" t="n">
        <f aca="false">AF8*Supuestos!$C$94/12</f>
        <v>68066028.2485185</v>
      </c>
      <c r="AG39" s="57" t="n">
        <f aca="false">AG8*Supuestos!$C$94/12</f>
        <v>67870672.4159625</v>
      </c>
      <c r="AH39" s="57" t="n">
        <f aca="false">AH8*Supuestos!$C$94/12</f>
        <v>70592239.2128947</v>
      </c>
      <c r="AI39" s="57" t="n">
        <f aca="false">AI8*Supuestos!$C$94/12</f>
        <v>72864966.8808083</v>
      </c>
      <c r="AJ39" s="57" t="n">
        <f aca="false">AJ8*Supuestos!$C$94/12</f>
        <v>74685672.1468259</v>
      </c>
      <c r="AK39" s="57" t="n">
        <f aca="false">AK8*Supuestos!$C$94/12</f>
        <v>76976071.4662296</v>
      </c>
      <c r="AL39" s="57" t="n">
        <f aca="false">AL8*Supuestos!$C$94/12</f>
        <v>78780253.3780061</v>
      </c>
      <c r="AM39" s="57" t="n">
        <f aca="false">AM8*Supuestos!$C$94/12</f>
        <v>79112447.8147532</v>
      </c>
      <c r="AN39" s="57" t="n">
        <f aca="false">AN8*Supuestos!$C$94/12</f>
        <v>86076772.9494392</v>
      </c>
      <c r="AO39" s="57" t="n">
        <f aca="false">AO8*Supuestos!$C$94/12</f>
        <v>90729731.7772761</v>
      </c>
      <c r="AP39" s="57" t="n">
        <f aca="false">AP8*Supuestos!$C$94/12</f>
        <v>96961657.675475</v>
      </c>
      <c r="AQ39" s="57" t="n">
        <f aca="false">AQ8*Supuestos!$C$94/12</f>
        <v>101231001.959041</v>
      </c>
      <c r="AR39" s="57" t="n">
        <f aca="false">AR8*Supuestos!$C$94/12</f>
        <v>103869118.561761</v>
      </c>
      <c r="AS39" s="57" t="n">
        <f aca="false">AS8*Supuestos!$C$94/12</f>
        <v>103789289.726664</v>
      </c>
      <c r="AT39" s="57" t="n">
        <f aca="false">AT8*Supuestos!$C$94/12</f>
        <v>106632792.665561</v>
      </c>
      <c r="AU39" s="57" t="n">
        <f aca="false">AU8*Supuestos!$C$94/12</f>
        <v>109021196.851044</v>
      </c>
      <c r="AV39" s="57" t="n">
        <f aca="false">AV8*Supuestos!$C$94/12</f>
        <v>110951353.058925</v>
      </c>
      <c r="AW39" s="57" t="n">
        <f aca="false">AW8*Supuestos!$C$94/12</f>
        <v>113357651.216758</v>
      </c>
      <c r="AX39" s="57" t="n">
        <f aca="false">AX8*Supuestos!$C$94/12</f>
        <v>115271489.219203</v>
      </c>
      <c r="AY39" s="57" t="n">
        <f aca="false">AY8*Supuestos!$C$94/12</f>
        <v>115738084.897992</v>
      </c>
      <c r="AZ39" s="57" t="n">
        <f aca="false">AZ8*Supuestos!$C$94/12</f>
        <v>122883957.659621</v>
      </c>
      <c r="BA39" s="57" t="n">
        <f aca="false">BA8*Supuestos!$C$94/12</f>
        <v>127774354.874893</v>
      </c>
      <c r="BB39" s="57" t="n">
        <f aca="false">BB8*Supuestos!$C$94/12</f>
        <v>134254562.463107</v>
      </c>
      <c r="BC39" s="57" t="n">
        <f aca="false">BC8*Supuestos!$C$94/12</f>
        <v>138765917.281342</v>
      </c>
      <c r="BD39" s="57" t="n">
        <f aca="false">BD8*Supuestos!$C$94/12</f>
        <v>141639828.129974</v>
      </c>
      <c r="BE39" s="57" t="n">
        <f aca="false">BE8*Supuestos!$C$94/12</f>
        <v>141802409.004195</v>
      </c>
      <c r="BF39" s="57" t="n">
        <f aca="false">BF8*Supuestos!$C$94/12</f>
        <v>144894912.080428</v>
      </c>
      <c r="BG39" s="57" t="n">
        <f aca="false">BG8*Supuestos!$C$94/12</f>
        <v>147526090.163022</v>
      </c>
      <c r="BH39" s="57" t="n">
        <f aca="false">BH8*Supuestos!$C$94/12</f>
        <v>149692826.773598</v>
      </c>
      <c r="BI39" s="57" t="n">
        <f aca="false">BI8*Supuestos!$C$94/12</f>
        <v>152342332.531769</v>
      </c>
      <c r="BJ39" s="57" t="n">
        <f aca="false">BJ8*Supuestos!$C$94/12</f>
        <v>154493167.880902</v>
      </c>
      <c r="BK39" s="57" t="n">
        <f aca="false">BK8*Supuestos!$C$94/12</f>
        <v>155221709.509755</v>
      </c>
      <c r="BL39" s="57" t="n">
        <f aca="false">BL8*Supuestos!$C$94/12</f>
        <v>162681845.298619</v>
      </c>
      <c r="BM39" s="57" t="n">
        <f aca="false">BM8*Supuestos!$C$94/12</f>
        <v>167820095.538933</v>
      </c>
      <c r="BN39" s="57" t="n">
        <f aca="false">BN8*Supuestos!$C$94/12</f>
        <v>174559397.114223</v>
      </c>
      <c r="BO39" s="57" t="n">
        <f aca="false">BO8*Supuestos!$C$94/12</f>
        <v>179323415.149627</v>
      </c>
      <c r="BP39" s="57" t="n">
        <f aca="false">BP8*Supuestos!$C$94/12</f>
        <v>182443611.50913</v>
      </c>
      <c r="BQ39" s="57" t="n">
        <f aca="false">BQ8*Supuestos!$C$94/12</f>
        <v>182859272.293859</v>
      </c>
      <c r="BR39" s="57" t="n">
        <f aca="false">BR8*Supuestos!$C$94/12</f>
        <v>186211625.679581</v>
      </c>
      <c r="BS39" s="57" t="n">
        <f aca="false">BS8*Supuestos!$C$94/12</f>
        <v>189096267.071914</v>
      </c>
      <c r="BT39" s="57" t="n">
        <f aca="false">BT8*Supuestos!$C$94/12</f>
        <v>191510111.522618</v>
      </c>
      <c r="BU39" s="57" t="n">
        <f aca="false">BU8*Supuestos!$C$94/12</f>
        <v>194413530.9908</v>
      </c>
      <c r="BV39" s="57" t="n">
        <f aca="false">BV8*Supuestos!$C$94/12</f>
        <v>196811908.326842</v>
      </c>
      <c r="BW39" s="57" t="n">
        <f aca="false">BW8*Supuestos!$C$94/12</f>
        <v>197813339.522545</v>
      </c>
      <c r="BX39" s="57" t="n">
        <f aca="false">BX8*Supuestos!$C$94/12</f>
        <v>205599712.495918</v>
      </c>
      <c r="BY39" s="57" t="n">
        <f aca="false">BY8*Supuestos!$C$94/12</f>
        <v>210996409.098888</v>
      </c>
      <c r="BZ39" s="57" t="n">
        <f aca="false">BZ8*Supuestos!$C$94/12</f>
        <v>218005798.450273</v>
      </c>
      <c r="CA39" s="57" t="n">
        <f aca="false">CA8*Supuestos!$C$94/12</f>
        <v>223033311.19</v>
      </c>
      <c r="CB39" s="57" t="n">
        <f aca="false">CB8*Supuestos!$C$94/12</f>
        <v>226410460.709945</v>
      </c>
      <c r="CC39" s="57" t="n">
        <f aca="false">CC8*Supuestos!$C$94/12</f>
        <v>227090050.348195</v>
      </c>
      <c r="CD39" s="57" t="n">
        <f aca="false">CD8*Supuestos!$C$94/12</f>
        <v>230713285.361213</v>
      </c>
      <c r="CE39" s="57" t="n">
        <f aca="false">CE8*Supuestos!$C$94/12</f>
        <v>233862258.405218</v>
      </c>
      <c r="CF39" s="57" t="n">
        <f aca="false">CF8*Supuestos!$C$94/12</f>
        <v>236533914.878472</v>
      </c>
      <c r="CG39" s="57" t="n">
        <f aca="false">CG8*Supuestos!$C$94/12</f>
        <v>239702133.386652</v>
      </c>
      <c r="CH39" s="57" t="n">
        <f aca="false">CH8*Supuestos!$C$94/12</f>
        <v>242358774.388762</v>
      </c>
      <c r="CI39" s="57" t="n">
        <f aca="false">CI8*Supuestos!$C$94/12</f>
        <v>243644225.591751</v>
      </c>
      <c r="CJ39" s="57" t="n">
        <f aca="false">CJ8*Supuestos!$C$94/12</f>
        <v>251769016.682357</v>
      </c>
      <c r="CK39" s="57" t="n">
        <f aca="false">CK8*Supuestos!$C$94/12</f>
        <v>257434934.804018</v>
      </c>
      <c r="CL39" s="57" t="n">
        <f aca="false">CL8*Supuestos!$C$94/12</f>
        <v>264725591.451982</v>
      </c>
      <c r="CM39" s="57" t="n">
        <f aca="false">CM8*Supuestos!$C$94/12</f>
        <v>270027613.84487</v>
      </c>
      <c r="CN39" s="57" t="n">
        <f aca="false">CN8*Supuestos!$C$94/12</f>
        <v>273672565.393359</v>
      </c>
      <c r="CO39" s="57" t="n">
        <f aca="false">CO8*Supuestos!$C$94/12</f>
        <v>274627116.595156</v>
      </c>
      <c r="CP39" s="57" t="n">
        <f aca="false">CP8*Supuestos!$C$94/12</f>
        <v>278532450.855922</v>
      </c>
      <c r="CQ39" s="57" t="n">
        <f aca="false">CQ8*Supuestos!$C$94/12</f>
        <v>281956807.947189</v>
      </c>
      <c r="CR39" s="57" t="n">
        <f aca="false">CR8*Supuestos!$C$94/12</f>
        <v>284897162.446574</v>
      </c>
      <c r="CS39" s="57" t="n">
        <f aca="false">CS8*Supuestos!$C$94/12</f>
        <v>288341249.699961</v>
      </c>
      <c r="CT39" s="57" t="n">
        <f aca="false">CT8*Supuestos!$C$94/12</f>
        <v>291267058.181952</v>
      </c>
    </row>
    <row r="40" customFormat="false" ht="15" hidden="false" customHeight="true" outlineLevel="0" collapsed="false">
      <c r="B40" s="9" t="s">
        <v>511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512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513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514</v>
      </c>
      <c r="C43" s="59" t="n">
        <f aca="false">C39+C40-C41+C42</f>
        <v>3750000</v>
      </c>
      <c r="D43" s="59" t="n">
        <f aca="false">D39+D40-D41+D42</f>
        <v>12619801.1943836</v>
      </c>
      <c r="E43" s="59" t="n">
        <f aca="false">E39+E40-E41+E42</f>
        <v>13937882.8465197</v>
      </c>
      <c r="F43" s="59" t="n">
        <f aca="false">F39+F40-F41+F42</f>
        <v>19516790.9470995</v>
      </c>
      <c r="G43" s="59" t="n">
        <f aca="false">G39+G40-G41+G42</f>
        <v>23086113.4304023</v>
      </c>
      <c r="H43" s="59" t="n">
        <f aca="false">H39+H40-H41+H42</f>
        <v>21888801.0206893</v>
      </c>
      <c r="I43" s="59" t="n">
        <f aca="false">I39+I40-I41+I42</f>
        <v>21049944.3419925</v>
      </c>
      <c r="J43" s="59" t="n">
        <f aca="false">J39+J40-J41+J42</f>
        <v>23097679.5440218</v>
      </c>
      <c r="K43" s="59" t="n">
        <f aca="false">K39+K40-K41+K42</f>
        <v>21587089.8778122</v>
      </c>
      <c r="L43" s="59" t="n">
        <f aca="false">L39+L40-L41+L42</f>
        <v>22764627.6348385</v>
      </c>
      <c r="M43" s="59" t="n">
        <f aca="false">M39+M40-M41+M42</f>
        <v>24389501.7309781</v>
      </c>
      <c r="N43" s="59" t="n">
        <f aca="false">N39+N40-N41+N42</f>
        <v>22422665.9806005</v>
      </c>
      <c r="O43" s="59" t="n">
        <f aca="false">O39+O40-O41+O42</f>
        <v>22031843.8790232</v>
      </c>
      <c r="P43" s="59" t="n">
        <f aca="false">P39+P40-P41+P42</f>
        <v>28433315.5623777</v>
      </c>
      <c r="Q43" s="59" t="n">
        <f aca="false">Q39+Q40-Q41+Q42</f>
        <v>29545101.0347918</v>
      </c>
      <c r="R43" s="59" t="n">
        <f aca="false">R39+R40-R41+R42</f>
        <v>35333240.9993058</v>
      </c>
      <c r="S43" s="59" t="n">
        <f aca="false">S39+S40-S41+S42</f>
        <v>39173178.3100255</v>
      </c>
      <c r="T43" s="59" t="n">
        <f aca="false">T39+T40-T41+T42</f>
        <v>38271148.3704665</v>
      </c>
      <c r="U43" s="59" t="n">
        <f aca="false">U39+U40-U41+U42</f>
        <v>37758614.5012159</v>
      </c>
      <c r="V43" s="59" t="n">
        <f aca="false">V39+V40-V41+V42</f>
        <v>40154503.7550669</v>
      </c>
      <c r="W43" s="59" t="n">
        <f aca="false">W39+W40-W41+W42</f>
        <v>38984564.7170291</v>
      </c>
      <c r="X43" s="59" t="n">
        <f aca="false">X39+X40-X41+X42</f>
        <v>40492978.0303203</v>
      </c>
      <c r="Y43" s="59" t="n">
        <f aca="false">Y39+Y40-Y41+Y42</f>
        <v>42462547.1440165</v>
      </c>
      <c r="Z43" s="59" t="n">
        <f aca="false">Z39+Z40-Z41+Z42</f>
        <v>43953892.3174975</v>
      </c>
      <c r="AA43" s="59" t="n">
        <f aca="false">AA39+AA40-AA41+AA42</f>
        <v>43942444.0241937</v>
      </c>
      <c r="AB43" s="59" t="n">
        <f aca="false">AB39+AB40-AB41+AB42</f>
        <v>50730921.2083942</v>
      </c>
      <c r="AC43" s="59" t="n">
        <f aca="false">AC39+AC40-AC41+AC42</f>
        <v>55272741.380473</v>
      </c>
      <c r="AD43" s="59" t="n">
        <f aca="false">AD39+AD40-AD41+AD42</f>
        <v>61383006.6162471</v>
      </c>
      <c r="AE43" s="59" t="n">
        <f aca="false">AE39+AE40-AE41+AE42</f>
        <v>65537004.6961275</v>
      </c>
      <c r="AF43" s="59" t="n">
        <f aca="false">AF39+AF40-AF41+AF42</f>
        <v>68066028.2485185</v>
      </c>
      <c r="AG43" s="59" t="n">
        <f aca="false">AG39+AG40-AG41+AG42</f>
        <v>67870672.4159625</v>
      </c>
      <c r="AH43" s="59" t="n">
        <f aca="false">AH39+AH40-AH41+AH42</f>
        <v>70592239.2128947</v>
      </c>
      <c r="AI43" s="59" t="n">
        <f aca="false">AI39+AI40-AI41+AI42</f>
        <v>72864966.8808083</v>
      </c>
      <c r="AJ43" s="59" t="n">
        <f aca="false">AJ39+AJ40-AJ41+AJ42</f>
        <v>74685672.1468259</v>
      </c>
      <c r="AK43" s="59" t="n">
        <f aca="false">AK39+AK40-AK41+AK42</f>
        <v>76976071.4662296</v>
      </c>
      <c r="AL43" s="59" t="n">
        <f aca="false">AL39+AL40-AL41+AL42</f>
        <v>78780253.3780061</v>
      </c>
      <c r="AM43" s="59" t="n">
        <f aca="false">AM39+AM40-AM41+AM42</f>
        <v>79112447.8147532</v>
      </c>
      <c r="AN43" s="59" t="n">
        <f aca="false">AN39+AN40-AN41+AN42</f>
        <v>86076772.9494392</v>
      </c>
      <c r="AO43" s="59" t="n">
        <f aca="false">AO39+AO40-AO41+AO42</f>
        <v>90729731.7772761</v>
      </c>
      <c r="AP43" s="59" t="n">
        <f aca="false">AP39+AP40-AP41+AP42</f>
        <v>96961657.675475</v>
      </c>
      <c r="AQ43" s="59" t="n">
        <f aca="false">AQ39+AQ40-AQ41+AQ42</f>
        <v>101231001.959041</v>
      </c>
      <c r="AR43" s="59" t="n">
        <f aca="false">AR39+AR40-AR41+AR42</f>
        <v>103869118.561761</v>
      </c>
      <c r="AS43" s="59" t="n">
        <f aca="false">AS39+AS40-AS41+AS42</f>
        <v>103789289.726664</v>
      </c>
      <c r="AT43" s="59" t="n">
        <f aca="false">AT39+AT40-AT41+AT42</f>
        <v>106632792.665561</v>
      </c>
      <c r="AU43" s="59" t="n">
        <f aca="false">AU39+AU40-AU41+AU42</f>
        <v>109021196.851044</v>
      </c>
      <c r="AV43" s="59" t="n">
        <f aca="false">AV39+AV40-AV41+AV42</f>
        <v>110951353.058925</v>
      </c>
      <c r="AW43" s="59" t="n">
        <f aca="false">AW39+AW40-AW41+AW42</f>
        <v>113357651.216758</v>
      </c>
      <c r="AX43" s="59" t="n">
        <f aca="false">AX39+AX40-AX41+AX42</f>
        <v>115271489.219203</v>
      </c>
      <c r="AY43" s="59" t="n">
        <f aca="false">AY39+AY40-AY41+AY42</f>
        <v>115738084.897992</v>
      </c>
      <c r="AZ43" s="59" t="n">
        <f aca="false">AZ39+AZ40-AZ41+AZ42</f>
        <v>122883957.659621</v>
      </c>
      <c r="BA43" s="59" t="n">
        <f aca="false">BA39+BA40-BA41+BA42</f>
        <v>127774354.874893</v>
      </c>
      <c r="BB43" s="59" t="n">
        <f aca="false">BB39+BB40-BB41+BB42</f>
        <v>134254562.463107</v>
      </c>
      <c r="BC43" s="59" t="n">
        <f aca="false">BC39+BC40-BC41+BC42</f>
        <v>138765917.281342</v>
      </c>
      <c r="BD43" s="59" t="n">
        <f aca="false">BD39+BD40-BD41+BD42</f>
        <v>141639828.129974</v>
      </c>
      <c r="BE43" s="59" t="n">
        <f aca="false">BE39+BE40-BE41+BE42</f>
        <v>141802409.004195</v>
      </c>
      <c r="BF43" s="59" t="n">
        <f aca="false">BF39+BF40-BF41+BF42</f>
        <v>144894912.080428</v>
      </c>
      <c r="BG43" s="59" t="n">
        <f aca="false">BG39+BG40-BG41+BG42</f>
        <v>147526090.163022</v>
      </c>
      <c r="BH43" s="59" t="n">
        <f aca="false">BH39+BH40-BH41+BH42</f>
        <v>149692826.773598</v>
      </c>
      <c r="BI43" s="59" t="n">
        <f aca="false">BI39+BI40-BI41+BI42</f>
        <v>152342332.531769</v>
      </c>
      <c r="BJ43" s="59" t="n">
        <f aca="false">BJ39+BJ40-BJ41+BJ42</f>
        <v>154493167.880902</v>
      </c>
      <c r="BK43" s="59" t="n">
        <f aca="false">BK39+BK40-BK41+BK42</f>
        <v>155221709.509755</v>
      </c>
      <c r="BL43" s="59" t="n">
        <f aca="false">BL39+BL40-BL41+BL42</f>
        <v>162681845.298619</v>
      </c>
      <c r="BM43" s="59" t="n">
        <f aca="false">BM39+BM40-BM41+BM42</f>
        <v>167820095.538933</v>
      </c>
      <c r="BN43" s="59" t="n">
        <f aca="false">BN39+BN40-BN41+BN42</f>
        <v>174559397.114223</v>
      </c>
      <c r="BO43" s="59" t="n">
        <f aca="false">BO39+BO40-BO41+BO42</f>
        <v>179323415.149627</v>
      </c>
      <c r="BP43" s="59" t="n">
        <f aca="false">BP39+BP40-BP41+BP42</f>
        <v>182443611.50913</v>
      </c>
      <c r="BQ43" s="59" t="n">
        <f aca="false">BQ39+BQ40-BQ41+BQ42</f>
        <v>182859272.293859</v>
      </c>
      <c r="BR43" s="59" t="n">
        <f aca="false">BR39+BR40-BR41+BR42</f>
        <v>186211625.679581</v>
      </c>
      <c r="BS43" s="59" t="n">
        <f aca="false">BS39+BS40-BS41+BS42</f>
        <v>189096267.071914</v>
      </c>
      <c r="BT43" s="59" t="n">
        <f aca="false">BT39+BT40-BT41+BT42</f>
        <v>191510111.522618</v>
      </c>
      <c r="BU43" s="59" t="n">
        <f aca="false">BU39+BU40-BU41+BU42</f>
        <v>194413530.9908</v>
      </c>
      <c r="BV43" s="59" t="n">
        <f aca="false">BV39+BV40-BV41+BV42</f>
        <v>196811908.326842</v>
      </c>
      <c r="BW43" s="59" t="n">
        <f aca="false">BW39+BW40-BW41+BW42</f>
        <v>197813339.522545</v>
      </c>
      <c r="BX43" s="59" t="n">
        <f aca="false">BX39+BX40-BX41+BX42</f>
        <v>205599712.495918</v>
      </c>
      <c r="BY43" s="59" t="n">
        <f aca="false">BY39+BY40-BY41+BY42</f>
        <v>210996409.098888</v>
      </c>
      <c r="BZ43" s="59" t="n">
        <f aca="false">BZ39+BZ40-BZ41+BZ42</f>
        <v>218005798.450273</v>
      </c>
      <c r="CA43" s="59" t="n">
        <f aca="false">CA39+CA40-CA41+CA42</f>
        <v>223033311.19</v>
      </c>
      <c r="CB43" s="59" t="n">
        <f aca="false">CB39+CB40-CB41+CB42</f>
        <v>226410460.709945</v>
      </c>
      <c r="CC43" s="59" t="n">
        <f aca="false">CC39+CC40-CC41+CC42</f>
        <v>227090050.348195</v>
      </c>
      <c r="CD43" s="59" t="n">
        <f aca="false">CD39+CD40-CD41+CD42</f>
        <v>230713285.361213</v>
      </c>
      <c r="CE43" s="59" t="n">
        <f aca="false">CE39+CE40-CE41+CE42</f>
        <v>233862258.405218</v>
      </c>
      <c r="CF43" s="59" t="n">
        <f aca="false">CF39+CF40-CF41+CF42</f>
        <v>236533914.878472</v>
      </c>
      <c r="CG43" s="59" t="n">
        <f aca="false">CG39+CG40-CG41+CG42</f>
        <v>239702133.386652</v>
      </c>
      <c r="CH43" s="59" t="n">
        <f aca="false">CH39+CH40-CH41+CH42</f>
        <v>242358774.388762</v>
      </c>
      <c r="CI43" s="59" t="n">
        <f aca="false">CI39+CI40-CI41+CI42</f>
        <v>243644225.591751</v>
      </c>
      <c r="CJ43" s="59" t="n">
        <f aca="false">CJ39+CJ40-CJ41+CJ42</f>
        <v>251769016.682357</v>
      </c>
      <c r="CK43" s="59" t="n">
        <f aca="false">CK39+CK40-CK41+CK42</f>
        <v>257434934.804018</v>
      </c>
      <c r="CL43" s="59" t="n">
        <f aca="false">CL39+CL40-CL41+CL42</f>
        <v>264725591.451982</v>
      </c>
      <c r="CM43" s="59" t="n">
        <f aca="false">CM39+CM40-CM41+CM42</f>
        <v>270027613.84487</v>
      </c>
      <c r="CN43" s="59" t="n">
        <f aca="false">CN39+CN40-CN41+CN42</f>
        <v>273672565.393359</v>
      </c>
      <c r="CO43" s="59" t="n">
        <f aca="false">CO39+CO40-CO41+CO42</f>
        <v>274627116.595156</v>
      </c>
      <c r="CP43" s="59" t="n">
        <f aca="false">CP39+CP40-CP41+CP42</f>
        <v>278532450.855922</v>
      </c>
      <c r="CQ43" s="59" t="n">
        <f aca="false">CQ39+CQ40-CQ41+CQ42</f>
        <v>281956807.947189</v>
      </c>
      <c r="CR43" s="59" t="n">
        <f aca="false">CR39+CR40-CR41+CR42</f>
        <v>284897162.446574</v>
      </c>
      <c r="CS43" s="59" t="n">
        <f aca="false">CS39+CS40-CS41+CS42</f>
        <v>288341249.699961</v>
      </c>
      <c r="CT43" s="59" t="n">
        <f aca="false">CT39+CT40-CT41+CT42</f>
        <v>291267058.181952</v>
      </c>
    </row>
    <row r="45" customFormat="false" ht="15" hidden="false" customHeight="true" outlineLevel="0" collapsed="false">
      <c r="B45" s="56" t="s">
        <v>515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516</v>
      </c>
      <c r="C46" s="61" t="n">
        <f aca="false">C19-C27+C35+C43</f>
        <v>12409241235.0514</v>
      </c>
      <c r="D46" s="61" t="n">
        <f aca="false">D19-D27+D35+D43</f>
        <v>1232978058.31495</v>
      </c>
      <c r="E46" s="61" t="n">
        <f aca="false">E19-E27+E35+E43</f>
        <v>6525605736.30952</v>
      </c>
      <c r="F46" s="61" t="n">
        <f aca="false">F19-F27+F35+F43</f>
        <v>4224245570.6119</v>
      </c>
      <c r="G46" s="61" t="n">
        <f aca="false">G19-G27+G35+G43</f>
        <v>-1470179660.40387</v>
      </c>
      <c r="H46" s="61" t="n">
        <f aca="false">H19-H27+H35+H43</f>
        <v>9521113.50303967</v>
      </c>
      <c r="I46" s="61" t="n">
        <f aca="false">I19-I27+I35+I43</f>
        <v>1424471460.18154</v>
      </c>
      <c r="J46" s="61" t="n">
        <f aca="false">J19-J27+J35+J43</f>
        <v>-1819749877.66664</v>
      </c>
      <c r="K46" s="61" t="n">
        <f aca="false">K19-K27+K35+K43</f>
        <v>1405304104.85461</v>
      </c>
      <c r="L46" s="61" t="n">
        <f aca="false">L19-L27+L35+L43</f>
        <v>1950218078.39637</v>
      </c>
      <c r="M46" s="61" t="n">
        <f aca="false">M19-M27+M35+M43</f>
        <v>-2362691640.62762</v>
      </c>
      <c r="N46" s="61" t="n">
        <f aca="false">N19-N27+N35+N43</f>
        <v>549819400.902644</v>
      </c>
      <c r="O46" s="61" t="n">
        <f aca="false">O19-O27+O35+O43</f>
        <v>6621663917.72476</v>
      </c>
      <c r="P46" s="61" t="n">
        <f aca="false">P19-P27+P35+P43</f>
        <v>1308062582.88942</v>
      </c>
      <c r="Q46" s="61" t="n">
        <f aca="false">Q19-Q27+Q35+Q43</f>
        <v>6957539652.06008</v>
      </c>
      <c r="R46" s="61" t="n">
        <f aca="false">R19-R27+R35+R43</f>
        <v>4637326928.57906</v>
      </c>
      <c r="S46" s="61" t="n">
        <f aca="false">S19-S27+S35+S43</f>
        <v>-1071616899.01096</v>
      </c>
      <c r="T46" s="61" t="n">
        <f aca="false">T19-T27+T35+T43</f>
        <v>423168368.767776</v>
      </c>
      <c r="U46" s="61" t="n">
        <f aca="false">U19-U27+U35+U43</f>
        <v>1853234249.65739</v>
      </c>
      <c r="V46" s="61" t="n">
        <f aca="false">V19-V27+V35+V43</f>
        <v>-1405428145.54064</v>
      </c>
      <c r="W46" s="61" t="n">
        <f aca="false">W19-W27+W35+W43</f>
        <v>1805177276.20711</v>
      </c>
      <c r="X46" s="61" t="n">
        <f aca="false">X19-X27+X35+X43</f>
        <v>2365211336.70682</v>
      </c>
      <c r="Y46" s="61" t="n">
        <f aca="false">Y19-Y27+Y35+Y43</f>
        <v>1787857101.29871</v>
      </c>
      <c r="Z46" s="61" t="n">
        <f aca="false">Z19-Z27+Z35+Z43</f>
        <v>1005616778.18818</v>
      </c>
      <c r="AA46" s="61" t="n">
        <f aca="false">AA19-AA27+AA35+AA43</f>
        <v>7086191054.4399</v>
      </c>
      <c r="AB46" s="61" t="n">
        <f aca="false">AB19-AB27+AB35+AB43</f>
        <v>5424198452.49286</v>
      </c>
      <c r="AC46" s="61" t="n">
        <f aca="false">AC19-AC27+AC35+AC43</f>
        <v>7343893748.42956</v>
      </c>
      <c r="AD46" s="61" t="n">
        <f aca="false">AD19-AD27+AD35+AD43</f>
        <v>5014157091.167</v>
      </c>
      <c r="AE46" s="61" t="n">
        <f aca="false">AE19-AE27+AE35+AE43</f>
        <v>3045681265.29333</v>
      </c>
      <c r="AF46" s="61" t="n">
        <f aca="false">AF19-AF27+AF35+AF43</f>
        <v>803743645.616829</v>
      </c>
      <c r="AG46" s="61" t="n">
        <f aca="false">AG19-AG27+AG35+AG43</f>
        <v>2243972763.59594</v>
      </c>
      <c r="AH46" s="61" t="n">
        <f aca="false">AH19-AH27+AH35+AH43</f>
        <v>2725789986.88818</v>
      </c>
      <c r="AI46" s="61" t="n">
        <f aca="false">AI19-AI27+AI35+AI43</f>
        <v>2179992016.28908</v>
      </c>
      <c r="AJ46" s="61" t="n">
        <f aca="false">AJ19-AJ27+AJ35+AJ43</f>
        <v>2750184427.79432</v>
      </c>
      <c r="AK46" s="61" t="n">
        <f aca="false">AK19-AK27+AK35+AK43</f>
        <v>2163304963.53911</v>
      </c>
      <c r="AL46" s="61" t="n">
        <f aca="false">AL19-AL27+AL35+AL43</f>
        <v>1418175469.42338</v>
      </c>
      <c r="AM46" s="61" t="n">
        <f aca="false">AM19-AM27+AM35+AM43</f>
        <v>7297245120.14196</v>
      </c>
      <c r="AN46" s="61" t="n">
        <f aca="false">AN19-AN27+AN35+AN43</f>
        <v>5557634576.91981</v>
      </c>
      <c r="AO46" s="61" t="n">
        <f aca="false">AO19-AO27+AO35+AO43</f>
        <v>7489679354.32079</v>
      </c>
      <c r="AP46" s="61" t="n">
        <f aca="false">AP19-AP27+AP35+AP43</f>
        <v>5152525108.40468</v>
      </c>
      <c r="AQ46" s="61" t="n">
        <f aca="false">AQ19-AQ27+AQ35+AQ43</f>
        <v>3176625379.41873</v>
      </c>
      <c r="AR46" s="61" t="n">
        <f aca="false">AR19-AR27+AR35+AR43</f>
        <v>942336102.108527</v>
      </c>
      <c r="AS46" s="61" t="n">
        <f aca="false">AS19-AS27+AS35+AS43</f>
        <v>2390219996.40106</v>
      </c>
      <c r="AT46" s="61" t="n">
        <f aca="false">AT19-AT27+AT35+AT43</f>
        <v>2864619906.51931</v>
      </c>
      <c r="AU46" s="61" t="n">
        <f aca="false">AU19-AU27+AU35+AU43</f>
        <v>2311398363.1218</v>
      </c>
      <c r="AV46" s="61" t="n">
        <f aca="false">AV19-AV27+AV35+AV43</f>
        <v>2889239474.88487</v>
      </c>
      <c r="AW46" s="61" t="n">
        <f aca="false">AW19-AW27+AW35+AW43</f>
        <v>2294936660.15213</v>
      </c>
      <c r="AX46" s="61" t="n">
        <f aca="false">AX19-AX27+AX35+AX43</f>
        <v>1579634959.63348</v>
      </c>
      <c r="AY46" s="61" t="n">
        <f aca="false">AY19-AY27+AY35+AY43</f>
        <v>7515234742.5699</v>
      </c>
      <c r="AZ46" s="61" t="n">
        <f aca="false">AZ19-AZ27+AZ35+AZ43</f>
        <v>5837406617.06766</v>
      </c>
      <c r="BA46" s="61" t="n">
        <f aca="false">BA19-BA27+BA35+BA43</f>
        <v>7787438309.47986</v>
      </c>
      <c r="BB46" s="61" t="n">
        <f aca="false">BB19-BB27+BB35+BB43</f>
        <v>5442902899.27533</v>
      </c>
      <c r="BC46" s="61" t="n">
        <f aca="false">BC19-BC27+BC35+BC43</f>
        <v>3459615734.84561</v>
      </c>
      <c r="BD46" s="61" t="n">
        <f aca="false">BD19-BD27+BD35+BD43</f>
        <v>1233191697.75975</v>
      </c>
      <c r="BE46" s="61" t="n">
        <f aca="false">BE19-BE27+BE35+BE43</f>
        <v>2688947447.74005</v>
      </c>
      <c r="BF46" s="61" t="n">
        <f aca="false">BF19-BF27+BF35+BF43</f>
        <v>3155966912.01719</v>
      </c>
      <c r="BG46" s="61" t="n">
        <f aca="false">BG19-BG27+BG35+BG43</f>
        <v>2595358696.53837</v>
      </c>
      <c r="BH46" s="61" t="n">
        <f aca="false">BH19-BH27+BH35+BH43</f>
        <v>3181065834.68256</v>
      </c>
      <c r="BI46" s="61" t="n">
        <f aca="false">BI19-BI27+BI35+BI43</f>
        <v>2579376781.57172</v>
      </c>
      <c r="BJ46" s="61" t="n">
        <f aca="false">BJ19-BJ27+BJ35+BJ43</f>
        <v>1894144881.33888</v>
      </c>
      <c r="BK46" s="61" t="n">
        <f aca="false">BK19-BK27+BK35+BK43</f>
        <v>7892487388.48832</v>
      </c>
      <c r="BL46" s="61" t="n">
        <f aca="false">BL19-BL27+BL35+BL43</f>
        <v>6134942542.53059</v>
      </c>
      <c r="BM46" s="61" t="n">
        <f aca="false">BM19-BM27+BM35+BM43</f>
        <v>8098176909.50454</v>
      </c>
      <c r="BN46" s="61" t="n">
        <f aca="false">BN19-BN27+BN35+BN43</f>
        <v>5746064789.60826</v>
      </c>
      <c r="BO46" s="61" t="n">
        <f aca="false">BO19-BO27+BO35+BO43</f>
        <v>3755194484.71689</v>
      </c>
      <c r="BP46" s="61" t="n">
        <f aca="false">BP19-BP27+BP35+BP43</f>
        <v>1536852536.82072</v>
      </c>
      <c r="BQ46" s="61" t="n">
        <f aca="false">BQ19-BQ27+BQ35+BQ43</f>
        <v>3000697170.39035</v>
      </c>
      <c r="BR46" s="61" t="n">
        <f aca="false">BR19-BR27+BR35+BR43</f>
        <v>3460140681.29816</v>
      </c>
      <c r="BS46" s="61" t="n">
        <f aca="false">BS19-BS27+BS35+BS43</f>
        <v>2891950125.45025</v>
      </c>
      <c r="BT46" s="61" t="n">
        <f aca="false">BT19-BT27+BT35+BT43</f>
        <v>3485740175.11339</v>
      </c>
      <c r="BU46" s="61" t="n">
        <f aca="false">BU19-BU27+BU35+BU43</f>
        <v>2876469232.03375</v>
      </c>
      <c r="BV46" s="61" t="n">
        <f aca="false">BV19-BV27+BV35+BV43</f>
        <v>2221784249.37664</v>
      </c>
      <c r="BW46" s="61" t="n">
        <f aca="false">BW19-BW27+BW35+BW43</f>
        <v>8284109010.23887</v>
      </c>
      <c r="BX46" s="61" t="n">
        <f aca="false">BX19-BX27+BX35+BX43</f>
        <v>6445186175.86489</v>
      </c>
      <c r="BY46" s="61" t="n">
        <f aca="false">BY19-BY27+BY35+BY43</f>
        <v>8422111705.63846</v>
      </c>
      <c r="BZ46" s="61" t="n">
        <f aca="false">BZ19-BZ27+BZ35+BZ43</f>
        <v>6062224752.69764</v>
      </c>
      <c r="CA46" s="61" t="n">
        <f aca="false">CA19-CA27+CA35+CA43</f>
        <v>4063573021.68996</v>
      </c>
      <c r="CB46" s="61" t="n">
        <f aca="false">CB19-CB27+CB35+CB43</f>
        <v>1853532947.77486</v>
      </c>
      <c r="CC46" s="61" t="n">
        <f aca="false">CC19-CC27+CC35+CC43</f>
        <v>3325686431.01864</v>
      </c>
      <c r="CD46" s="61" t="n">
        <f aca="false">CD19-CD27+CD35+CD43</f>
        <v>3777355902.73312</v>
      </c>
      <c r="CE46" s="61" t="n">
        <f aca="false">CE19-CE27+CE35+CE43</f>
        <v>3201384757.71625</v>
      </c>
      <c r="CF46" s="61" t="n">
        <f aca="false">CF19-CF27+CF35+CF43</f>
        <v>3803477540.22257</v>
      </c>
      <c r="CG46" s="61" t="n">
        <f aca="false">CG19-CG27+CG35+CG43</f>
        <v>3186426475.36229</v>
      </c>
      <c r="CH46" s="61" t="n">
        <f aca="false">CH19-CH27+CH35+CH43</f>
        <v>2562777331.84391</v>
      </c>
      <c r="CI46" s="61" t="n">
        <f aca="false">CI19-CI27+CI35+CI43</f>
        <v>8690347795.94</v>
      </c>
      <c r="CJ46" s="61" t="n">
        <f aca="false">CJ19-CJ27+CJ35+CJ43</f>
        <v>6768355757.27231</v>
      </c>
      <c r="CK46" s="61" t="n">
        <f aca="false">CK19-CK27+CK35+CK43</f>
        <v>8759465491.79398</v>
      </c>
      <c r="CL46" s="61" t="n">
        <f aca="false">CL19-CL27+CL35+CL43</f>
        <v>6391602927.16762</v>
      </c>
      <c r="CM46" s="61" t="n">
        <f aca="false">CM19-CM27+CM35+CM43</f>
        <v>4384968826.83098</v>
      </c>
      <c r="CN46" s="61" t="n">
        <f aca="false">CN19-CN27+CN35+CN43</f>
        <v>2183453433.92656</v>
      </c>
      <c r="CO46" s="61" t="n">
        <f aca="false">CO19-CO27+CO35+CO43</f>
        <v>3664138757.716</v>
      </c>
      <c r="CP46" s="61" t="n">
        <f aca="false">CP19-CP27+CP35+CP43</f>
        <v>4107833449.6961</v>
      </c>
      <c r="CQ46" s="61" t="n">
        <f aca="false">CQ19-CQ27+CQ35+CQ43</f>
        <v>3523880809.74437</v>
      </c>
      <c r="CR46" s="61" t="n">
        <f aca="false">CR19-CR27+CR35+CR43</f>
        <v>4134499169.25895</v>
      </c>
      <c r="CS46" s="61" t="n">
        <f aca="false">CS19-CS27+CS35+CS43</f>
        <v>3509467094.16175</v>
      </c>
      <c r="CT46" s="61" t="n">
        <f aca="false">CT19-CT27+CT35+CT43</f>
        <v>2917354691.90667</v>
      </c>
    </row>
    <row r="47" customFormat="false" ht="15" hidden="false" customHeight="true" outlineLevel="0" collapsed="false">
      <c r="B47" s="9" t="s">
        <v>517</v>
      </c>
      <c r="C47" s="57" t="n">
        <f aca="false">C11+C46-C48-C36</f>
        <v>15143761433.2603</v>
      </c>
      <c r="D47" s="57" t="n">
        <f aca="false">D11+D46-D48-D36</f>
        <v>16725459415.8236</v>
      </c>
      <c r="E47" s="57" t="n">
        <f aca="false">E11+E46-E48-E36</f>
        <v>23420149136.5194</v>
      </c>
      <c r="F47" s="57" t="n">
        <f aca="false">F11+F46-F48-F36</f>
        <v>27703336116.4827</v>
      </c>
      <c r="G47" s="57" t="n">
        <f aca="false">G11+G46-G48-G36</f>
        <v>26266561224.8272</v>
      </c>
      <c r="H47" s="57" t="n">
        <f aca="false">H11+H46-H48-H36</f>
        <v>25259933210.391</v>
      </c>
      <c r="I47" s="57" t="n">
        <f aca="false">I11+I46-I48-I36</f>
        <v>27717215452.8262</v>
      </c>
      <c r="J47" s="57" t="n">
        <f aca="false">J11+J46-J48-J36</f>
        <v>25904507853.3746</v>
      </c>
      <c r="K47" s="57" t="n">
        <f aca="false">K11+K46-K48-K36</f>
        <v>27317553161.8061</v>
      </c>
      <c r="L47" s="57" t="n">
        <f aca="false">L11+L46-L48-L36</f>
        <v>29267402077.1737</v>
      </c>
      <c r="M47" s="57" t="n">
        <f aca="false">M11+M46-M48-M36</f>
        <v>26907199176.7206</v>
      </c>
      <c r="N47" s="57" t="n">
        <f aca="false">N11+N46-N48-N36</f>
        <v>26438212654.8279</v>
      </c>
      <c r="O47" s="57" t="n">
        <f aca="false">O11+O46-O48-O36</f>
        <v>34119978674.8532</v>
      </c>
      <c r="P47" s="57" t="n">
        <f aca="false">P11+P46-P48-P36</f>
        <v>35454121241.7501</v>
      </c>
      <c r="Q47" s="57" t="n">
        <f aca="false">Q11+Q46-Q48-Q36</f>
        <v>42399889199.1669</v>
      </c>
      <c r="R47" s="57" t="n">
        <f aca="false">R11+R46-R48-R36</f>
        <v>47007813972.0306</v>
      </c>
      <c r="S47" s="57" t="n">
        <f aca="false">S11+S46-S48-S36</f>
        <v>45925378044.5598</v>
      </c>
      <c r="T47" s="57" t="n">
        <f aca="false">T11+T46-T48-T36</f>
        <v>45310337401.459</v>
      </c>
      <c r="U47" s="57" t="n">
        <f aca="false">U11+U46-U48-U36</f>
        <v>48185404506.0803</v>
      </c>
      <c r="V47" s="57" t="n">
        <f aca="false">V11+V46-V48-V36</f>
        <v>46781477660.435</v>
      </c>
      <c r="W47" s="57" t="n">
        <f aca="false">W11+W46-W48-W36</f>
        <v>48591573636.3843</v>
      </c>
      <c r="X47" s="57" t="n">
        <f aca="false">X11+X46-X48-X36</f>
        <v>50955056572.8198</v>
      </c>
      <c r="Y47" s="57" t="n">
        <f aca="false">Y11+Y46-Y48-Y36</f>
        <v>52744670780.997</v>
      </c>
      <c r="Z47" s="57" t="n">
        <f aca="false">Z11+Z46-Z48-Z36</f>
        <v>52730932829.0324</v>
      </c>
      <c r="AA47" s="57" t="n">
        <f aca="false">AA11+AA46-AA48-AA36</f>
        <v>60877105450.073</v>
      </c>
      <c r="AB47" s="57" t="n">
        <f aca="false">AB11+AB46-AB48-AB36</f>
        <v>66327289656.5676</v>
      </c>
      <c r="AC47" s="57" t="n">
        <f aca="false">AC11+AC46-AC48-AC36</f>
        <v>73659607939.4966</v>
      </c>
      <c r="AD47" s="57" t="n">
        <f aca="false">AD11+AD46-AD48-AD36</f>
        <v>78644405635.353</v>
      </c>
      <c r="AE47" s="57" t="n">
        <f aca="false">AE11+AE46-AE48-AE36</f>
        <v>81679233898.2222</v>
      </c>
      <c r="AF47" s="57" t="n">
        <f aca="false">AF11+AF46-AF48-AF36</f>
        <v>81444806899.155</v>
      </c>
      <c r="AG47" s="57" t="n">
        <f aca="false">AG11+AG46-AG48-AG36</f>
        <v>84710687055.4736</v>
      </c>
      <c r="AH47" s="57" t="n">
        <f aca="false">AH11+AH46-AH48-AH36</f>
        <v>87437960256.9699</v>
      </c>
      <c r="AI47" s="57" t="n">
        <f aca="false">AI11+AI46-AI48-AI36</f>
        <v>89622806576.1911</v>
      </c>
      <c r="AJ47" s="57" t="n">
        <f aca="false">AJ11+AJ46-AJ48-AJ36</f>
        <v>92371285759.4755</v>
      </c>
      <c r="AK47" s="57" t="n">
        <f aca="false">AK11+AK46-AK48-AK36</f>
        <v>94536304053.6073</v>
      </c>
      <c r="AL47" s="57" t="n">
        <f aca="false">AL11+AL46-AL48-AL36</f>
        <v>94934937377.7038</v>
      </c>
      <c r="AM47" s="57" t="n">
        <f aca="false">AM11+AM46-AM48-AM36</f>
        <v>103292127539.327</v>
      </c>
      <c r="AN47" s="57" t="n">
        <f aca="false">AN11+AN46-AN48-AN36</f>
        <v>108875678132.731</v>
      </c>
      <c r="AO47" s="57" t="n">
        <f aca="false">AO11+AO46-AO48-AO36</f>
        <v>116353989210.57</v>
      </c>
      <c r="AP47" s="57" t="n">
        <f aca="false">AP11+AP46-AP48-AP36</f>
        <v>121477202350.85</v>
      </c>
      <c r="AQ47" s="57" t="n">
        <f aca="false">AQ11+AQ46-AQ48-AQ36</f>
        <v>124642942274.114</v>
      </c>
      <c r="AR47" s="57" t="n">
        <f aca="false">AR11+AR46-AR48-AR36</f>
        <v>124547147671.996</v>
      </c>
      <c r="AS47" s="57" t="n">
        <f aca="false">AS11+AS46-AS48-AS36</f>
        <v>127959351198.673</v>
      </c>
      <c r="AT47" s="57" t="n">
        <f aca="false">AT11+AT46-AT48-AT36</f>
        <v>130825436221.253</v>
      </c>
      <c r="AU47" s="57" t="n">
        <f aca="false">AU11+AU46-AU48-AU36</f>
        <v>133141623670.71</v>
      </c>
      <c r="AV47" s="57" t="n">
        <f aca="false">AV11+AV46-AV48-AV36</f>
        <v>136029181460.11</v>
      </c>
      <c r="AW47" s="57" t="n">
        <f aca="false">AW11+AW46-AW48-AW36</f>
        <v>138325787063.043</v>
      </c>
      <c r="AX47" s="57" t="n">
        <f aca="false">AX11+AX46-AX48-AX36</f>
        <v>138885701877.59</v>
      </c>
      <c r="AY47" s="57" t="n">
        <f aca="false">AY11+AY46-AY48-AY36</f>
        <v>147460749191.545</v>
      </c>
      <c r="AZ47" s="57" t="n">
        <f aca="false">AZ11+AZ46-AZ48-AZ36</f>
        <v>153329225849.872</v>
      </c>
      <c r="BA47" s="57" t="n">
        <f aca="false">BA11+BA46-BA48-BA36</f>
        <v>161105474955.728</v>
      </c>
      <c r="BB47" s="57" t="n">
        <f aca="false">BB11+BB46-BB48-BB36</f>
        <v>166519100737.61</v>
      </c>
      <c r="BC47" s="57" t="n">
        <f aca="false">BC11+BC46-BC48-BC36</f>
        <v>169967793755.969</v>
      </c>
      <c r="BD47" s="57" t="n">
        <f aca="false">BD11+BD46-BD48-BD36</f>
        <v>170162890805.034</v>
      </c>
      <c r="BE47" s="57" t="n">
        <f aca="false">BE11+BE46-BE48-BE36</f>
        <v>173873894496.514</v>
      </c>
      <c r="BF47" s="57" t="n">
        <f aca="false">BF11+BF46-BF48-BF36</f>
        <v>177031308195.626</v>
      </c>
      <c r="BG47" s="57" t="n">
        <f aca="false">BG11+BG46-BG48-BG36</f>
        <v>179631392128.318</v>
      </c>
      <c r="BH47" s="57" t="n">
        <f aca="false">BH11+BH46-BH48-BH36</f>
        <v>182810799038.123</v>
      </c>
      <c r="BI47" s="57" t="n">
        <f aca="false">BI11+BI46-BI48-BI36</f>
        <v>185391801457.082</v>
      </c>
      <c r="BJ47" s="57" t="n">
        <f aca="false">BJ11+BJ46-BJ48-BJ36</f>
        <v>186266051411.706</v>
      </c>
      <c r="BK47" s="57" t="n">
        <f aca="false">BK11+BK46-BK48-BK36</f>
        <v>195218214358.343</v>
      </c>
      <c r="BL47" s="57" t="n">
        <f aca="false">BL11+BL46-BL48-BL36</f>
        <v>201384114646.72</v>
      </c>
      <c r="BM47" s="57" t="n">
        <f aca="false">BM11+BM46-BM48-BM36</f>
        <v>209471276537.067</v>
      </c>
      <c r="BN47" s="57" t="n">
        <f aca="false">BN11+BN46-BN48-BN36</f>
        <v>215188098179.553</v>
      </c>
      <c r="BO47" s="57" t="n">
        <f aca="false">BO11+BO46-BO48-BO36</f>
        <v>218932333810.956</v>
      </c>
      <c r="BP47" s="57" t="n">
        <f aca="false">BP11+BP46-BP48-BP36</f>
        <v>219431126752.631</v>
      </c>
      <c r="BQ47" s="57" t="n">
        <f aca="false">BQ11+BQ46-BQ48-BQ36</f>
        <v>223453950815.498</v>
      </c>
      <c r="BR47" s="57" t="n">
        <f aca="false">BR11+BR46-BR48-BR36</f>
        <v>226915520486.297</v>
      </c>
      <c r="BS47" s="57" t="n">
        <f aca="false">BS11+BS46-BS48-BS36</f>
        <v>229812133827.142</v>
      </c>
      <c r="BT47" s="57" t="n">
        <f aca="false">BT11+BT46-BT48-BT36</f>
        <v>233296237188.96</v>
      </c>
      <c r="BU47" s="57" t="n">
        <f aca="false">BU11+BU46-BU48-BU36</f>
        <v>236174289992.21</v>
      </c>
      <c r="BV47" s="57" t="n">
        <f aca="false">BV11+BV46-BV48-BV36</f>
        <v>237376007427.054</v>
      </c>
      <c r="BW47" s="57" t="n">
        <f aca="false">BW11+BW46-BW48-BW36</f>
        <v>246719654995.102</v>
      </c>
      <c r="BX47" s="57" t="n">
        <f aca="false">BX11+BX46-BX48-BX36</f>
        <v>253195690918.666</v>
      </c>
      <c r="BY47" s="57" t="n">
        <f aca="false">BY11+BY46-BY48-BY36</f>
        <v>261606958140.327</v>
      </c>
      <c r="BZ47" s="57" t="n">
        <f aca="false">BZ11+BZ46-BZ48-BZ36</f>
        <v>267639973428</v>
      </c>
      <c r="CA47" s="57" t="n">
        <f aca="false">CA11+CA46-CA48-CA36</f>
        <v>271692552851.934</v>
      </c>
      <c r="CB47" s="57" t="n">
        <f aca="false">CB11+CB46-CB48-CB36</f>
        <v>272508060417.834</v>
      </c>
      <c r="CC47" s="57" t="n">
        <f aca="false">CC11+CC46-CC48-CC36</f>
        <v>276855942433.455</v>
      </c>
      <c r="CD47" s="57" t="n">
        <f aca="false">CD11+CD46-CD48-CD36</f>
        <v>280634710086.261</v>
      </c>
      <c r="CE47" s="57" t="n">
        <f aca="false">CE11+CE46-CE48-CE36</f>
        <v>283840697854.166</v>
      </c>
      <c r="CF47" s="57" t="n">
        <f aca="false">CF11+CF46-CF48-CF36</f>
        <v>287642560063.983</v>
      </c>
      <c r="CG47" s="57" t="n">
        <f aca="false">CG11+CG46-CG48-CG36</f>
        <v>290830529266.514</v>
      </c>
      <c r="CH47" s="57" t="n">
        <f aca="false">CH11+CH46-CH48-CH36</f>
        <v>292373070710.101</v>
      </c>
      <c r="CI47" s="57" t="n">
        <f aca="false">CI11+CI46-CI48-CI36</f>
        <v>302122820018.828</v>
      </c>
      <c r="CJ47" s="57" t="n">
        <f aca="false">CJ11+CJ46-CJ48-CJ36</f>
        <v>308921921764.822</v>
      </c>
      <c r="CK47" s="57" t="n">
        <f aca="false">CK11+CK46-CK48-CK36</f>
        <v>317670709742.378</v>
      </c>
      <c r="CL47" s="57" t="n">
        <f aca="false">CL11+CL46-CL48-CL36</f>
        <v>324033136613.843</v>
      </c>
      <c r="CM47" s="57" t="n">
        <f aca="false">CM11+CM46-CM48-CM36</f>
        <v>328407078472.031</v>
      </c>
      <c r="CN47" s="57" t="n">
        <f aca="false">CN11+CN46-CN48-CN36</f>
        <v>329552539914.187</v>
      </c>
      <c r="CO47" s="57" t="n">
        <f aca="false">CO11+CO46-CO48-CO36</f>
        <v>334238941027.106</v>
      </c>
      <c r="CP47" s="57" t="n">
        <f aca="false">CP11+CP46-CP48-CP36</f>
        <v>338348169536.627</v>
      </c>
      <c r="CQ47" s="57" t="n">
        <f aca="false">CQ11+CQ46-CQ48-CQ36</f>
        <v>341876594935.889</v>
      </c>
      <c r="CR47" s="57" t="n">
        <f aca="false">CR11+CR46-CR48-CR36</f>
        <v>346009499639.954</v>
      </c>
      <c r="CS47" s="57" t="n">
        <f aca="false">CS11+CS46-CS48-CS36</f>
        <v>349520469818.343</v>
      </c>
      <c r="CT47" s="57" t="n">
        <f aca="false">CT11+CT46-CT48-CT36</f>
        <v>351417422281.833</v>
      </c>
    </row>
    <row r="48" customFormat="false" ht="15" hidden="false" customHeight="true" outlineLevel="0" collapsed="false">
      <c r="B48" s="9" t="s">
        <v>518</v>
      </c>
      <c r="C48" s="57" t="n">
        <f aca="false">C9*0.5+(C15+C17+C18*Supuestos!$C$116/(Supuestos!$C$116+Supuestos!$C$117)*(1-Supuestos!$C$76))*0.5</f>
        <v>1393752118.75616</v>
      </c>
      <c r="D48" s="57" t="n">
        <f aca="false">D9*0.5+(D15+D17+D18*Supuestos!$C$116/(Supuestos!$C$116+Supuestos!$C$117)*(1-Supuestos!$C$76))*0.5</f>
        <v>1029196474.39207</v>
      </c>
      <c r="E48" s="57" t="n">
        <f aca="false">E9*0.5+(E15+E17+E18*Supuestos!$C$116/(Supuestos!$C$116+Supuestos!$C$117)*(1-Supuestos!$C$76))*0.5</f>
        <v>863003275.473312</v>
      </c>
      <c r="F48" s="57" t="n">
        <f aca="false">F9*0.5+(F15+F17+F18*Supuestos!$C$116/(Supuestos!$C$116+Supuestos!$C$117)*(1-Supuestos!$C$76))*0.5</f>
        <v>775686611.544519</v>
      </c>
      <c r="G48" s="57" t="n">
        <f aca="false">G9*0.5+(G15+G17+G18*Supuestos!$C$116/(Supuestos!$C$116+Supuestos!$C$117)*(1-Supuestos!$C$76))*0.5</f>
        <v>727827915.458617</v>
      </c>
      <c r="H48" s="57" t="n">
        <f aca="false">H9*0.5+(H15+H17+H18*Supuestos!$C$116/(Supuestos!$C$116+Supuestos!$C$117)*(1-Supuestos!$C$76))*0.5</f>
        <v>708138332.23299</v>
      </c>
      <c r="I48" s="57" t="n">
        <f aca="false">I9*0.5+(I15+I17+I18*Supuestos!$C$116/(Supuestos!$C$116+Supuestos!$C$117)*(1-Supuestos!$C$76))*0.5</f>
        <v>702493904.741681</v>
      </c>
      <c r="J48" s="57" t="n">
        <f aca="false">J9*0.5+(J15+J17+J18*Supuestos!$C$116/(Supuestos!$C$116+Supuestos!$C$117)*(1-Supuestos!$C$76))*0.5</f>
        <v>695451626.526612</v>
      </c>
      <c r="K48" s="57" t="n">
        <f aca="false">K9*0.5+(K15+K17+K18*Supuestos!$C$116/(Supuestos!$C$116+Supuestos!$C$117)*(1-Supuestos!$C$76))*0.5</f>
        <v>687710422.949664</v>
      </c>
      <c r="L48" s="57" t="n">
        <f aca="false">L9*0.5+(L15+L17+L18*Supuestos!$C$116/(Supuestos!$C$116+Supuestos!$C$117)*(1-Supuestos!$C$76))*0.5</f>
        <v>688079585.978513</v>
      </c>
      <c r="M48" s="57" t="n">
        <f aca="false">M9*0.5+(M15+M17+M18*Supuestos!$C$116/(Supuestos!$C$116+Supuestos!$C$117)*(1-Supuestos!$C$76))*0.5</f>
        <v>684044103.023523</v>
      </c>
      <c r="N48" s="57" t="n">
        <f aca="false">N9*0.5+(N15+N17+N18*Supuestos!$C$116/(Supuestos!$C$116+Supuestos!$C$117)*(1-Supuestos!$C$76))*0.5</f>
        <v>675683671.056626</v>
      </c>
      <c r="O48" s="57" t="n">
        <f aca="false">O9*0.5+(O15+O17+O18*Supuestos!$C$116/(Supuestos!$C$116+Supuestos!$C$117)*(1-Supuestos!$C$76))*0.5</f>
        <v>676739799.028472</v>
      </c>
      <c r="P48" s="57" t="n">
        <f aca="false">P9*0.5+(P15+P17+P18*Supuestos!$C$116/(Supuestos!$C$116+Supuestos!$C$117)*(1-Supuestos!$C$76))*0.5</f>
        <v>665829642.718455</v>
      </c>
      <c r="Q48" s="57" t="n">
        <f aca="false">Q9*0.5+(Q15+Q17+Q18*Supuestos!$C$116/(Supuestos!$C$116+Supuestos!$C$117)*(1-Supuestos!$C$76))*0.5</f>
        <v>676219544.583581</v>
      </c>
      <c r="R48" s="57" t="n">
        <f aca="false">R9*0.5+(R15+R17+R18*Supuestos!$C$116/(Supuestos!$C$116+Supuestos!$C$117)*(1-Supuestos!$C$76))*0.5</f>
        <v>677246445.721559</v>
      </c>
      <c r="S48" s="57" t="n">
        <f aca="false">S9*0.5+(S15+S17+S18*Supuestos!$C$116/(Supuestos!$C$116+Supuestos!$C$117)*(1-Supuestos!$C$76))*0.5</f>
        <v>673611546.843871</v>
      </c>
      <c r="T48" s="57" t="n">
        <f aca="false">T9*0.5+(T15+T17+T18*Supuestos!$C$116/(Supuestos!$C$116+Supuestos!$C$117)*(1-Supuestos!$C$76))*0.5</f>
        <v>675981847.547522</v>
      </c>
      <c r="U48" s="57" t="n">
        <f aca="false">U9*0.5+(U15+U17+U18*Supuestos!$C$116/(Supuestos!$C$116+Supuestos!$C$117)*(1-Supuestos!$C$76))*0.5</f>
        <v>681315347.346023</v>
      </c>
      <c r="V48" s="57" t="n">
        <f aca="false">V9*0.5+(V15+V17+V18*Supuestos!$C$116/(Supuestos!$C$116+Supuestos!$C$117)*(1-Supuestos!$C$76))*0.5</f>
        <v>679814047.450689</v>
      </c>
      <c r="W48" s="57" t="n">
        <f aca="false">W9*0.5+(W15+W17+W18*Supuestos!$C$116/(Supuestos!$C$116+Supuestos!$C$117)*(1-Supuestos!$C$76))*0.5</f>
        <v>674895347.708436</v>
      </c>
      <c r="X48" s="57" t="n">
        <f aca="false">X9*0.5+(X15+X17+X18*Supuestos!$C$116/(Supuestos!$C$116+Supuestos!$C$117)*(1-Supuestos!$C$76))*0.5</f>
        <v>676623747.979804</v>
      </c>
      <c r="Y48" s="57" t="n">
        <f aca="false">Y9*0.5+(Y15+Y17+Y18*Supuestos!$C$116/(Supuestos!$C$116+Supuestos!$C$117)*(1-Supuestos!$C$76))*0.5</f>
        <v>673319898.320903</v>
      </c>
      <c r="Z48" s="57" t="n">
        <f aca="false">Z9*0.5+(Z15+Z17+Z18*Supuestos!$C$116/(Supuestos!$C$116+Supuestos!$C$117)*(1-Supuestos!$C$76))*0.5</f>
        <v>665508273.711299</v>
      </c>
      <c r="AA48" s="57" t="n">
        <f aca="false">AA9*0.5+(AA15+AA17+AA18*Supuestos!$C$116/(Supuestos!$C$116+Supuestos!$C$117)*(1-Supuestos!$C$76))*0.5</f>
        <v>666684937.383077</v>
      </c>
      <c r="AB48" s="57" t="n">
        <f aca="false">AB9*0.5+(AB15+AB17+AB18*Supuestos!$C$116/(Supuestos!$C$116+Supuestos!$C$117)*(1-Supuestos!$C$76))*0.5</f>
        <v>655869011.078804</v>
      </c>
      <c r="AC48" s="57" t="n">
        <f aca="false">AC9*0.5+(AC15+AC17+AC18*Supuestos!$C$116/(Supuestos!$C$116+Supuestos!$C$117)*(1-Supuestos!$C$76))*0.5</f>
        <v>666062683.801264</v>
      </c>
      <c r="AD48" s="57" t="n">
        <f aca="false">AD9*0.5+(AD15+AD17+AD18*Supuestos!$C$116/(Supuestos!$C$116+Supuestos!$C$117)*(1-Supuestos!$C$76))*0.5</f>
        <v>667046824.534481</v>
      </c>
      <c r="AE48" s="57" t="n">
        <f aca="false">AE9*0.5+(AE15+AE17+AE18*Supuestos!$C$116/(Supuestos!$C$116+Supuestos!$C$117)*(1-Supuestos!$C$76))*0.5</f>
        <v>663445899.620986</v>
      </c>
      <c r="AF48" s="57" t="n">
        <f aca="false">AF9*0.5+(AF15+AF17+AF18*Supuestos!$C$116/(Supuestos!$C$116+Supuestos!$C$117)*(1-Supuestos!$C$76))*0.5</f>
        <v>665777833.14016</v>
      </c>
      <c r="AG48" s="57" t="n">
        <f aca="false">AG9*0.5+(AG15+AG17+AG18*Supuestos!$C$116/(Supuestos!$C$116+Supuestos!$C$117)*(1-Supuestos!$C$76))*0.5</f>
        <v>671036795.179851</v>
      </c>
      <c r="AH48" s="57" t="n">
        <f aca="false">AH9*0.5+(AH15+AH17+AH18*Supuestos!$C$116/(Supuestos!$C$116+Supuestos!$C$117)*(1-Supuestos!$C$76))*0.5</f>
        <v>669553580.571683</v>
      </c>
      <c r="AI48" s="57" t="n">
        <f aca="false">AI9*0.5+(AI15+AI17+AI18*Supuestos!$C$116/(Supuestos!$C$116+Supuestos!$C$117)*(1-Supuestos!$C$76))*0.5</f>
        <v>664699277.639587</v>
      </c>
      <c r="AJ48" s="57" t="n">
        <f aca="false">AJ9*0.5+(AJ15+AJ17+AJ18*Supuestos!$C$116/(Supuestos!$C$116+Supuestos!$C$117)*(1-Supuestos!$C$76))*0.5</f>
        <v>666404522.14946</v>
      </c>
      <c r="AK48" s="57" t="n">
        <f aca="false">AK9*0.5+(AK15+AK17+AK18*Supuestos!$C$116/(Supuestos!$C$116+Supuestos!$C$117)*(1-Supuestos!$C$76))*0.5</f>
        <v>663144448.776384</v>
      </c>
      <c r="AL48" s="57" t="n">
        <f aca="false">AL9*0.5+(AL15+AL17+AL18*Supuestos!$C$116/(Supuestos!$C$116+Supuestos!$C$117)*(1-Supuestos!$C$76))*0.5</f>
        <v>655520239.340958</v>
      </c>
      <c r="AM48" s="57" t="n">
        <f aca="false">AM9*0.5+(AM15+AM17+AM18*Supuestos!$C$116/(Supuestos!$C$116+Supuestos!$C$117)*(1-Supuestos!$C$76))*0.5</f>
        <v>656733428.132123</v>
      </c>
      <c r="AN48" s="57" t="n">
        <f aca="false">AN9*0.5+(AN15+AN17+AN18*Supuestos!$C$116/(Supuestos!$C$116+Supuestos!$C$117)*(1-Supuestos!$C$76))*0.5</f>
        <v>645987239.345143</v>
      </c>
      <c r="AO48" s="57" t="n">
        <f aca="false">AO9*0.5+(AO15+AO17+AO18*Supuestos!$C$116/(Supuestos!$C$116+Supuestos!$C$117)*(1-Supuestos!$C$76))*0.5</f>
        <v>655973723.049089</v>
      </c>
      <c r="AP48" s="57" t="n">
        <f aca="false">AP9*0.5+(AP15+AP17+AP18*Supuestos!$C$116/(Supuestos!$C$116+Supuestos!$C$117)*(1-Supuestos!$C$76))*0.5</f>
        <v>656910436.596653</v>
      </c>
      <c r="AQ48" s="57" t="n">
        <f aca="false">AQ9*0.5+(AQ15+AQ17+AQ18*Supuestos!$C$116/(Supuestos!$C$116+Supuestos!$C$117)*(1-Supuestos!$C$76))*0.5</f>
        <v>653341965.413935</v>
      </c>
      <c r="AR48" s="57" t="n">
        <f aca="false">AR9*0.5+(AR15+AR17+AR18*Supuestos!$C$116/(Supuestos!$C$116+Supuestos!$C$117)*(1-Supuestos!$C$76))*0.5</f>
        <v>655633958.474894</v>
      </c>
      <c r="AS48" s="57" t="n">
        <f aca="false">AS9*0.5+(AS15+AS17+AS18*Supuestos!$C$116/(Supuestos!$C$116+Supuestos!$C$117)*(1-Supuestos!$C$76))*0.5</f>
        <v>660816782.961873</v>
      </c>
      <c r="AT48" s="57" t="n">
        <f aca="false">AT9*0.5+(AT15+AT17+AT18*Supuestos!$C$116/(Supuestos!$C$116+Supuestos!$C$117)*(1-Supuestos!$C$76))*0.5</f>
        <v>659351666.900954</v>
      </c>
      <c r="AU48" s="57" t="n">
        <f aca="false">AU9*0.5+(AU15+AU17+AU18*Supuestos!$C$116/(Supuestos!$C$116+Supuestos!$C$117)*(1-Supuestos!$C$76))*0.5</f>
        <v>654562580.566086</v>
      </c>
      <c r="AV48" s="57" t="n">
        <f aca="false">AV9*0.5+(AV15+AV17+AV18*Supuestos!$C$116/(Supuestos!$C$116+Supuestos!$C$117)*(1-Supuestos!$C$76))*0.5</f>
        <v>656244266.050969</v>
      </c>
      <c r="AW48" s="57" t="n">
        <f aca="false">AW9*0.5+(AW15+AW17+AW18*Supuestos!$C$116/(Supuestos!$C$116+Supuestos!$C$117)*(1-Supuestos!$C$76))*0.5</f>
        <v>653028580.489002</v>
      </c>
      <c r="AX48" s="57" t="n">
        <f aca="false">AX9*0.5+(AX15+AX17+AX18*Supuestos!$C$116/(Supuestos!$C$116+Supuestos!$C$117)*(1-Supuestos!$C$76))*0.5</f>
        <v>645582370.8132</v>
      </c>
      <c r="AY48" s="57" t="n">
        <f aca="false">AY9*0.5+(AY15+AY17+AY18*Supuestos!$C$116/(Supuestos!$C$116+Supuestos!$C$117)*(1-Supuestos!$C$76))*0.5</f>
        <v>646928029.700468</v>
      </c>
      <c r="AZ48" s="57" t="n">
        <f aca="false">AZ9*0.5+(AZ15+AZ17+AZ18*Supuestos!$C$116/(Supuestos!$C$116+Supuestos!$C$117)*(1-Supuestos!$C$76))*0.5</f>
        <v>636296186.807638</v>
      </c>
      <c r="BA48" s="57" t="n">
        <f aca="false">BA9*0.5+(BA15+BA17+BA18*Supuestos!$C$116/(Supuestos!$C$116+Supuestos!$C$117)*(1-Supuestos!$C$76))*0.5</f>
        <v>646103597.652826</v>
      </c>
      <c r="BB48" s="57" t="n">
        <f aca="false">BB9*0.5+(BB15+BB17+BB18*Supuestos!$C$116/(Supuestos!$C$116+Supuestos!$C$117)*(1-Supuestos!$C$76))*0.5</f>
        <v>647005460.468918</v>
      </c>
      <c r="BC48" s="57" t="n">
        <f aca="false">BC9*0.5+(BC15+BC17+BC18*Supuestos!$C$116/(Supuestos!$C$116+Supuestos!$C$117)*(1-Supuestos!$C$76))*0.5</f>
        <v>643474249.618372</v>
      </c>
      <c r="BD48" s="57" t="n">
        <f aca="false">BD9*0.5+(BD15+BD17+BD18*Supuestos!$C$116/(Supuestos!$C$116+Supuestos!$C$117)*(1-Supuestos!$C$76))*0.5</f>
        <v>645730187.147509</v>
      </c>
      <c r="BE48" s="57" t="n">
        <f aca="false">BE9*0.5+(BE15+BE17+BE18*Supuestos!$C$116/(Supuestos!$C$116+Supuestos!$C$117)*(1-Supuestos!$C$76))*0.5</f>
        <v>650840298.17067</v>
      </c>
      <c r="BF48" s="57" t="n">
        <f aca="false">BF9*0.5+(BF15+BF17+BF18*Supuestos!$C$116/(Supuestos!$C$116+Supuestos!$C$117)*(1-Supuestos!$C$76))*0.5</f>
        <v>649393511.075749</v>
      </c>
      <c r="BG48" s="57" t="n">
        <f aca="false">BG9*0.5+(BG15+BG17+BG18*Supuestos!$C$116/(Supuestos!$C$116+Supuestos!$C$117)*(1-Supuestos!$C$76))*0.5</f>
        <v>644668274.921787</v>
      </c>
      <c r="BH48" s="57" t="n">
        <f aca="false">BH9*0.5+(BH15+BH17+BH18*Supuestos!$C$116/(Supuestos!$C$116+Supuestos!$C$117)*(1-Supuestos!$C$76))*0.5</f>
        <v>646327199.799217</v>
      </c>
      <c r="BI48" s="57" t="n">
        <f aca="false">BI9*0.5+(BI15+BI17+BI18*Supuestos!$C$116/(Supuestos!$C$116+Supuestos!$C$117)*(1-Supuestos!$C$76))*0.5</f>
        <v>643154819.63143</v>
      </c>
      <c r="BJ48" s="57" t="n">
        <f aca="false">BJ9*0.5+(BJ15+BJ17+BJ18*Supuestos!$C$116/(Supuestos!$C$116+Supuestos!$C$117)*(1-Supuestos!$C$76))*0.5</f>
        <v>635883391.584044</v>
      </c>
      <c r="BK48" s="57" t="n">
        <f aca="false">BK9*0.5+(BK15+BK17+BK18*Supuestos!$C$116/(Supuestos!$C$116+Supuestos!$C$117)*(1-Supuestos!$C$76))*0.5</f>
        <v>637366063.707977</v>
      </c>
      <c r="BL48" s="57" t="n">
        <f aca="false">BL9*0.5+(BL15+BL17+BL18*Supuestos!$C$116/(Supuestos!$C$116+Supuestos!$C$117)*(1-Supuestos!$C$76))*0.5</f>
        <v>626846516.228038</v>
      </c>
      <c r="BM48" s="57" t="n">
        <f aca="false">BM9*0.5+(BM15+BM17+BM18*Supuestos!$C$116/(Supuestos!$C$116+Supuestos!$C$117)*(1-Supuestos!$C$76))*0.5</f>
        <v>636479742.606703</v>
      </c>
      <c r="BN48" s="57" t="n">
        <f aca="false">BN9*0.5+(BN15+BN17+BN18*Supuestos!$C$116/(Supuestos!$C$116+Supuestos!$C$117)*(1-Supuestos!$C$76))*0.5</f>
        <v>637347635.15203</v>
      </c>
      <c r="BO48" s="57" t="n">
        <f aca="false">BO9*0.5+(BO15+BO17+BO18*Supuestos!$C$116/(Supuestos!$C$116+Supuestos!$C$117)*(1-Supuestos!$C$76))*0.5</f>
        <v>633852561.128598</v>
      </c>
      <c r="BP48" s="57" t="n">
        <f aca="false">BP9*0.5+(BP15+BP17+BP18*Supuestos!$C$116/(Supuestos!$C$116+Supuestos!$C$117)*(1-Supuestos!$C$76))*0.5</f>
        <v>636073445.108796</v>
      </c>
      <c r="BQ48" s="57" t="n">
        <f aca="false">BQ9*0.5+(BQ15+BQ17+BQ18*Supuestos!$C$116/(Supuestos!$C$116+Supuestos!$C$117)*(1-Supuestos!$C$76))*0.5</f>
        <v>641112907.39499</v>
      </c>
      <c r="BR48" s="57" t="n">
        <f aca="false">BR9*0.5+(BR15+BR17+BR18*Supuestos!$C$116/(Supuestos!$C$116+Supuestos!$C$117)*(1-Supuestos!$C$76))*0.5</f>
        <v>639683917.894083</v>
      </c>
      <c r="BS48" s="57" t="n">
        <f aca="false">BS9*0.5+(BS15+BS17+BS18*Supuestos!$C$116/(Supuestos!$C$116+Supuestos!$C$117)*(1-Supuestos!$C$76))*0.5</f>
        <v>635020702.499624</v>
      </c>
      <c r="BT48" s="57" t="n">
        <f aca="false">BT9*0.5+(BT15+BT17+BT18*Supuestos!$C$116/(Supuestos!$C$116+Supuestos!$C$117)*(1-Supuestos!$C$76))*0.5</f>
        <v>636657515.794309</v>
      </c>
      <c r="BU48" s="57" t="n">
        <f aca="false">BU9*0.5+(BU15+BU17+BU18*Supuestos!$C$116/(Supuestos!$C$116+Supuestos!$C$117)*(1-Supuestos!$C$76))*0.5</f>
        <v>633527201.797646</v>
      </c>
      <c r="BV48" s="57" t="n">
        <f aca="false">BV9*0.5+(BV15+BV17+BV18*Supuestos!$C$116/(Supuestos!$C$116+Supuestos!$C$117)*(1-Supuestos!$C$76))*0.5</f>
        <v>626427661.568269</v>
      </c>
      <c r="BW48" s="57" t="n">
        <f aca="false">BW9*0.5+(BW15+BW17+BW18*Supuestos!$C$116/(Supuestos!$C$116+Supuestos!$C$117)*(1-Supuestos!$C$76))*0.5</f>
        <v>628047334.031391</v>
      </c>
      <c r="BX48" s="57" t="n">
        <f aca="false">BX9*0.5+(BX15+BX17+BX18*Supuestos!$C$116/(Supuestos!$C$116+Supuestos!$C$117)*(1-Supuestos!$C$76))*0.5</f>
        <v>617635784.698337</v>
      </c>
      <c r="BY48" s="57" t="n">
        <f aca="false">BY9*0.5+(BY15+BY17+BY18*Supuestos!$C$116/(Supuestos!$C$116+Supuestos!$C$117)*(1-Supuestos!$C$76))*0.5</f>
        <v>627098475.897625</v>
      </c>
      <c r="BZ48" s="57" t="n">
        <f aca="false">BZ9*0.5+(BZ15+BZ17+BZ18*Supuestos!$C$116/(Supuestos!$C$116+Supuestos!$C$117)*(1-Supuestos!$C$76))*0.5</f>
        <v>627932686.344649</v>
      </c>
      <c r="CA48" s="57" t="n">
        <f aca="false">CA9*0.5+(CA15+CA17+CA18*Supuestos!$C$116/(Supuestos!$C$116+Supuestos!$C$117)*(1-Supuestos!$C$76))*0.5</f>
        <v>624472356.76345</v>
      </c>
      <c r="CB48" s="57" t="n">
        <f aca="false">CB9*0.5+(CB15+CB17+CB18*Supuestos!$C$116/(Supuestos!$C$116+Supuestos!$C$117)*(1-Supuestos!$C$76))*0.5</f>
        <v>626659027.473379</v>
      </c>
      <c r="CC48" s="57" t="n">
        <f aca="false">CC9*0.5+(CC15+CC17+CC18*Supuestos!$C$116/(Supuestos!$C$116+Supuestos!$C$117)*(1-Supuestos!$C$76))*0.5</f>
        <v>631629797.633055</v>
      </c>
      <c r="CD48" s="57" t="n">
        <f aca="false">CD9*0.5+(CD15+CD17+CD18*Supuestos!$C$116/(Supuestos!$C$116+Supuestos!$C$117)*(1-Supuestos!$C$76))*0.5</f>
        <v>630218047.560273</v>
      </c>
      <c r="CE48" s="57" t="n">
        <f aca="false">CE9*0.5+(CE15+CE17+CE18*Supuestos!$C$116/(Supuestos!$C$116+Supuestos!$C$117)*(1-Supuestos!$C$76))*0.5</f>
        <v>625615037.371262</v>
      </c>
      <c r="CF48" s="57" t="n">
        <f aca="false">CF9*0.5+(CF15+CF17+CF18*Supuestos!$C$116/(Supuestos!$C$116+Supuestos!$C$117)*(1-Supuestos!$C$76))*0.5</f>
        <v>627230367.777285</v>
      </c>
      <c r="CG48" s="57" t="n">
        <f aca="false">CG9*0.5+(CG15+CG17+CG18*Supuestos!$C$116/(Supuestos!$C$116+Supuestos!$C$117)*(1-Supuestos!$C$76))*0.5</f>
        <v>624140897.827677</v>
      </c>
      <c r="CH48" s="57" t="n">
        <f aca="false">CH9*0.5+(CH15+CH17+CH18*Supuestos!$C$116/(Supuestos!$C$116+Supuestos!$C$117)*(1-Supuestos!$C$76))*0.5</f>
        <v>617210431.322796</v>
      </c>
      <c r="CI48" s="57" t="n">
        <f aca="false">CI9*0.5+(CI15+CI17+CI18*Supuestos!$C$116/(Supuestos!$C$116+Supuestos!$C$117)*(1-Supuestos!$C$76))*0.5</f>
        <v>618967148.80773</v>
      </c>
      <c r="CJ48" s="57" t="n">
        <f aca="false">CJ9*0.5+(CJ15+CJ17+CJ18*Supuestos!$C$116/(Supuestos!$C$116+Supuestos!$C$117)*(1-Supuestos!$C$76))*0.5</f>
        <v>608659358.452254</v>
      </c>
      <c r="CK48" s="57" t="n">
        <f aca="false">CK9*0.5+(CK15+CK17+CK18*Supuestos!$C$116/(Supuestos!$C$116+Supuestos!$C$117)*(1-Supuestos!$C$76))*0.5</f>
        <v>617955079.911934</v>
      </c>
      <c r="CL48" s="57" t="n">
        <f aca="false">CL9*0.5+(CL15+CL17+CL18*Supuestos!$C$116/(Supuestos!$C$116+Supuestos!$C$117)*(1-Supuestos!$C$76))*0.5</f>
        <v>618755881.037033</v>
      </c>
      <c r="CM48" s="57" t="n">
        <f aca="false">CM9*0.5+(CM15+CM17+CM18*Supuestos!$C$116/(Supuestos!$C$116+Supuestos!$C$117)*(1-Supuestos!$C$76))*0.5</f>
        <v>615328922.34275</v>
      </c>
      <c r="CN48" s="57" t="n">
        <f aca="false">CN9*0.5+(CN15+CN17+CN18*Supuestos!$C$116/(Supuestos!$C$116+Supuestos!$C$117)*(1-Supuestos!$C$76))*0.5</f>
        <v>617482202.948259</v>
      </c>
      <c r="CO48" s="57" t="n">
        <f aca="false">CO9*0.5+(CO15+CO17+CO18*Supuestos!$C$116/(Supuestos!$C$116+Supuestos!$C$117)*(1-Supuestos!$C$76))*0.5</f>
        <v>622386202.507846</v>
      </c>
      <c r="CP48" s="57" t="n">
        <f aca="false">CP9*0.5+(CP15+CP17+CP18*Supuestos!$C$116/(Supuestos!$C$116+Supuestos!$C$117)*(1-Supuestos!$C$76))*0.5</f>
        <v>620991142.682898</v>
      </c>
      <c r="CQ48" s="57" t="n">
        <f aca="false">CQ9*0.5+(CQ15+CQ17+CQ18*Supuestos!$C$116/(Supuestos!$C$116+Supuestos!$C$117)*(1-Supuestos!$C$76))*0.5</f>
        <v>616446553.165683</v>
      </c>
      <c r="CR48" s="57" t="n">
        <f aca="false">CR9*0.5+(CR15+CR17+CR18*Supuestos!$C$116/(Supuestos!$C$116+Supuestos!$C$117)*(1-Supuestos!$C$76))*0.5</f>
        <v>618041018.359725</v>
      </c>
      <c r="CS48" s="57" t="n">
        <f aca="false">CS9*0.5+(CS15+CS17+CS18*Supuestos!$C$116/(Supuestos!$C$116+Supuestos!$C$117)*(1-Supuestos!$C$76))*0.5</f>
        <v>614991191.352005</v>
      </c>
      <c r="CT48" s="57" t="n">
        <f aca="false">CT9*0.5+(CT15+CT17+CT18*Supuestos!$C$116/(Supuestos!$C$116+Supuestos!$C$117)*(1-Supuestos!$C$76))*0.5</f>
        <v>608227065.00603</v>
      </c>
    </row>
    <row r="49" customFormat="false" ht="15" hidden="false" customHeight="true" outlineLevel="0" collapsed="false">
      <c r="B49" s="58" t="s">
        <v>519</v>
      </c>
      <c r="C49" s="61" t="n">
        <f aca="false">C47+C48+C36</f>
        <v>19009241235.0514</v>
      </c>
      <c r="D49" s="61" t="n">
        <f aca="false">D47+D48+D36</f>
        <v>20242219293.3663</v>
      </c>
      <c r="E49" s="61" t="n">
        <f aca="false">E47+E48+E36</f>
        <v>26767825029.6759</v>
      </c>
      <c r="F49" s="61" t="n">
        <f aca="false">F47+F48+F36</f>
        <v>30992070600.2878</v>
      </c>
      <c r="G49" s="61" t="n">
        <f aca="false">G47+G48+G36</f>
        <v>29521890939.8839</v>
      </c>
      <c r="H49" s="61" t="n">
        <f aca="false">H47+H48+H36</f>
        <v>29531412053.3869</v>
      </c>
      <c r="I49" s="61" t="n">
        <f aca="false">I47+I48+I36</f>
        <v>30955883513.5685</v>
      </c>
      <c r="J49" s="61" t="n">
        <f aca="false">J47+J48+J36</f>
        <v>29136133635.9018</v>
      </c>
      <c r="K49" s="61" t="n">
        <f aca="false">K47+K48+K36</f>
        <v>30541437740.7564</v>
      </c>
      <c r="L49" s="61" t="n">
        <f aca="false">L47+L48+L36</f>
        <v>32491655819.1528</v>
      </c>
      <c r="M49" s="61" t="n">
        <f aca="false">M47+M48+M36</f>
        <v>30128964178.5252</v>
      </c>
      <c r="N49" s="61" t="n">
        <f aca="false">N47+N48+N36</f>
        <v>30678783579.4278</v>
      </c>
      <c r="O49" s="61" t="n">
        <f aca="false">O47+O48+O36</f>
        <v>37300447497.1526</v>
      </c>
      <c r="P49" s="61" t="n">
        <f aca="false">P47+P48+P36</f>
        <v>38608510080.042</v>
      </c>
      <c r="Q49" s="61" t="n">
        <f aca="false">Q47+Q48+Q36</f>
        <v>45566049732.1021</v>
      </c>
      <c r="R49" s="61" t="n">
        <f aca="false">R47+R48+R36</f>
        <v>50203376660.6811</v>
      </c>
      <c r="S49" s="61" t="n">
        <f aca="false">S47+S48+S36</f>
        <v>49131759761.6702</v>
      </c>
      <c r="T49" s="61" t="n">
        <f aca="false">T47+T48+T36</f>
        <v>49554928130.438</v>
      </c>
      <c r="U49" s="61" t="n">
        <f aca="false">U47+U48+U36</f>
        <v>51408162380.0953</v>
      </c>
      <c r="V49" s="61" t="n">
        <f aca="false">V47+V48+V36</f>
        <v>50002734234.5547</v>
      </c>
      <c r="W49" s="61" t="n">
        <f aca="false">W47+W48+W36</f>
        <v>51807911510.7618</v>
      </c>
      <c r="X49" s="61" t="n">
        <f aca="false">X47+X48+X36</f>
        <v>54173122847.4686</v>
      </c>
      <c r="Y49" s="61" t="n">
        <f aca="false">Y47+Y48+Y36</f>
        <v>55960979948.7673</v>
      </c>
      <c r="Z49" s="61" t="n">
        <f aca="false">Z47+Z48+Z36</f>
        <v>56966596726.9555</v>
      </c>
      <c r="AA49" s="61" t="n">
        <f aca="false">AA47+AA48+AA36</f>
        <v>64052787781.3954</v>
      </c>
      <c r="AB49" s="61" t="n">
        <f aca="false">AB47+AB48+AB36</f>
        <v>69476986233.8883</v>
      </c>
      <c r="AC49" s="61" t="n">
        <f aca="false">AC47+AC48+AC36</f>
        <v>76820879982.3178</v>
      </c>
      <c r="AD49" s="61" t="n">
        <f aca="false">AD47+AD48+AD36</f>
        <v>81835037073.4848</v>
      </c>
      <c r="AE49" s="61" t="n">
        <f aca="false">AE47+AE48+AE36</f>
        <v>84880718338.7782</v>
      </c>
      <c r="AF49" s="61" t="n">
        <f aca="false">AF47+AF48+AF36</f>
        <v>85684461984.395</v>
      </c>
      <c r="AG49" s="61" t="n">
        <f aca="false">AG47+AG48+AG36</f>
        <v>87928434747.9909</v>
      </c>
      <c r="AH49" s="61" t="n">
        <f aca="false">AH47+AH48+AH36</f>
        <v>90654224734.8791</v>
      </c>
      <c r="AI49" s="61" t="n">
        <f aca="false">AI47+AI48+AI36</f>
        <v>92834216751.1682</v>
      </c>
      <c r="AJ49" s="61" t="n">
        <f aca="false">AJ47+AJ48+AJ36</f>
        <v>95584401178.9625</v>
      </c>
      <c r="AK49" s="61" t="n">
        <f aca="false">AK47+AK48+AK36</f>
        <v>97747706142.5016</v>
      </c>
      <c r="AL49" s="61" t="n">
        <f aca="false">AL47+AL48+AL36</f>
        <v>99165881611.925</v>
      </c>
      <c r="AM49" s="61" t="n">
        <f aca="false">AM47+AM48+AM36</f>
        <v>106463126732.067</v>
      </c>
      <c r="AN49" s="61" t="n">
        <f aca="false">AN47+AN48+AN36</f>
        <v>112020761308.987</v>
      </c>
      <c r="AO49" s="61" t="n">
        <f aca="false">AO47+AO48+AO36</f>
        <v>119510440663.308</v>
      </c>
      <c r="AP49" s="61" t="n">
        <f aca="false">AP47+AP48+AP36</f>
        <v>124662965771.712</v>
      </c>
      <c r="AQ49" s="61" t="n">
        <f aca="false">AQ47+AQ48+AQ36</f>
        <v>127839591151.131</v>
      </c>
      <c r="AR49" s="61" t="n">
        <f aca="false">AR47+AR48+AR36</f>
        <v>128781927253.239</v>
      </c>
      <c r="AS49" s="61" t="n">
        <f aca="false">AS47+AS48+AS36</f>
        <v>131172147249.641</v>
      </c>
      <c r="AT49" s="61" t="n">
        <f aca="false">AT47+AT48+AT36</f>
        <v>134036767156.16</v>
      </c>
      <c r="AU49" s="61" t="n">
        <f aca="false">AU47+AU48+AU36</f>
        <v>136348165519.282</v>
      </c>
      <c r="AV49" s="61" t="n">
        <f aca="false">AV47+AV48+AV36</f>
        <v>139237404994.167</v>
      </c>
      <c r="AW49" s="61" t="n">
        <f aca="false">AW47+AW48+AW36</f>
        <v>141532341654.319</v>
      </c>
      <c r="AX49" s="61" t="n">
        <f aca="false">AX47+AX48+AX36</f>
        <v>143111976613.952</v>
      </c>
      <c r="AY49" s="61" t="n">
        <f aca="false">AY47+AY48+AY36</f>
        <v>150627211356.522</v>
      </c>
      <c r="AZ49" s="61" t="n">
        <f aca="false">AZ47+AZ48+AZ36</f>
        <v>156464617973.59</v>
      </c>
      <c r="BA49" s="61" t="n">
        <f aca="false">BA47+BA48+BA36</f>
        <v>164252056283.07</v>
      </c>
      <c r="BB49" s="61" t="n">
        <f aca="false">BB47+BB48+BB36</f>
        <v>169694959182.345</v>
      </c>
      <c r="BC49" s="61" t="n">
        <f aca="false">BC47+BC48+BC36</f>
        <v>173154574917.191</v>
      </c>
      <c r="BD49" s="61" t="n">
        <f aca="false">BD47+BD48+BD36</f>
        <v>174387766614.95</v>
      </c>
      <c r="BE49" s="61" t="n">
        <f aca="false">BE47+BE48+BE36</f>
        <v>177076714062.69</v>
      </c>
      <c r="BF49" s="61" t="n">
        <f aca="false">BF47+BF48+BF36</f>
        <v>180232680974.708</v>
      </c>
      <c r="BG49" s="61" t="n">
        <f aca="false">BG47+BG48+BG36</f>
        <v>182828039671.246</v>
      </c>
      <c r="BH49" s="61" t="n">
        <f aca="false">BH47+BH48+BH36</f>
        <v>186009105505.928</v>
      </c>
      <c r="BI49" s="61" t="n">
        <f aca="false">BI47+BI48+BI36</f>
        <v>188588482287.5</v>
      </c>
      <c r="BJ49" s="61" t="n">
        <f aca="false">BJ47+BJ48+BJ36</f>
        <v>190482627168.839</v>
      </c>
      <c r="BK49" s="61" t="n">
        <f aca="false">BK47+BK48+BK36</f>
        <v>198375114557.327</v>
      </c>
      <c r="BL49" s="61" t="n">
        <f aca="false">BL47+BL48+BL36</f>
        <v>204510057099.858</v>
      </c>
      <c r="BM49" s="61" t="n">
        <f aca="false">BM47+BM48+BM36</f>
        <v>212608234009.362</v>
      </c>
      <c r="BN49" s="61" t="n">
        <f aca="false">BN47+BN48+BN36</f>
        <v>218354298798.971</v>
      </c>
      <c r="BO49" s="61" t="n">
        <f aca="false">BO47+BO48+BO36</f>
        <v>222109493283.688</v>
      </c>
      <c r="BP49" s="61" t="n">
        <f aca="false">BP47+BP48+BP36</f>
        <v>223646345820.508</v>
      </c>
      <c r="BQ49" s="61" t="n">
        <f aca="false">BQ47+BQ48+BQ36</f>
        <v>226647042990.899</v>
      </c>
      <c r="BR49" s="61" t="n">
        <f aca="false">BR47+BR48+BR36</f>
        <v>230107183672.197</v>
      </c>
      <c r="BS49" s="61" t="n">
        <f aca="false">BS47+BS48+BS36</f>
        <v>232999133797.647</v>
      </c>
      <c r="BT49" s="61" t="n">
        <f aca="false">BT47+BT48+BT36</f>
        <v>236484873972.76</v>
      </c>
      <c r="BU49" s="61" t="n">
        <f aca="false">BU47+BU48+BU36</f>
        <v>239361343204.794</v>
      </c>
      <c r="BV49" s="61" t="n">
        <f aca="false">BV47+BV48+BV36</f>
        <v>241583127454.171</v>
      </c>
      <c r="BW49" s="61" t="n">
        <f aca="false">BW47+BW48+BW36</f>
        <v>249867236464.41</v>
      </c>
      <c r="BX49" s="61" t="n">
        <f aca="false">BX47+BX48+BX36</f>
        <v>256312422640.275</v>
      </c>
      <c r="BY49" s="61" t="n">
        <f aca="false">BY47+BY48+BY36</f>
        <v>264734534345.913</v>
      </c>
      <c r="BZ49" s="61" t="n">
        <f aca="false">BZ47+BZ48+BZ36</f>
        <v>270796759098.611</v>
      </c>
      <c r="CA49" s="61" t="n">
        <f aca="false">CA47+CA48+CA36</f>
        <v>274860332120.301</v>
      </c>
      <c r="CB49" s="61" t="n">
        <f aca="false">CB47+CB48+CB36</f>
        <v>276713865068.076</v>
      </c>
      <c r="CC49" s="61" t="n">
        <f aca="false">CC47+CC48+CC36</f>
        <v>280039551499.094</v>
      </c>
      <c r="CD49" s="61" t="n">
        <f aca="false">CD47+CD48+CD36</f>
        <v>283816907401.827</v>
      </c>
      <c r="CE49" s="61" t="n">
        <f aca="false">CE47+CE48+CE36</f>
        <v>287018292159.544</v>
      </c>
      <c r="CF49" s="61" t="n">
        <f aca="false">CF47+CF48+CF36</f>
        <v>290821769699.766</v>
      </c>
      <c r="CG49" s="61" t="n">
        <f aca="false">CG47+CG48+CG36</f>
        <v>294008196175.128</v>
      </c>
      <c r="CH49" s="61" t="n">
        <f aca="false">CH47+CH48+CH36</f>
        <v>296570973506.972</v>
      </c>
      <c r="CI49" s="61" t="n">
        <f aca="false">CI47+CI48+CI36</f>
        <v>305261321302.912</v>
      </c>
      <c r="CJ49" s="61" t="n">
        <f aca="false">CJ47+CJ48+CJ36</f>
        <v>312029677060.185</v>
      </c>
      <c r="CK49" s="61" t="n">
        <f aca="false">CK47+CK48+CK36</f>
        <v>320789142551.979</v>
      </c>
      <c r="CL49" s="61" t="n">
        <f aca="false">CL47+CL48+CL36</f>
        <v>327180745479.146</v>
      </c>
      <c r="CM49" s="61" t="n">
        <f aca="false">CM47+CM48+CM36</f>
        <v>331565714305.977</v>
      </c>
      <c r="CN49" s="61" t="n">
        <f aca="false">CN47+CN48+CN36</f>
        <v>333749167739.904</v>
      </c>
      <c r="CO49" s="61" t="n">
        <f aca="false">CO47+CO48+CO36</f>
        <v>337413306497.62</v>
      </c>
      <c r="CP49" s="61" t="n">
        <f aca="false">CP47+CP48+CP36</f>
        <v>341521139947.316</v>
      </c>
      <c r="CQ49" s="61" t="n">
        <f aca="false">CQ47+CQ48+CQ36</f>
        <v>345045020757.06</v>
      </c>
      <c r="CR49" s="61" t="n">
        <f aca="false">CR47+CR48+CR36</f>
        <v>349179519926.319</v>
      </c>
      <c r="CS49" s="61" t="n">
        <f aca="false">CS47+CS48+CS36</f>
        <v>352688987020.481</v>
      </c>
      <c r="CT49" s="61" t="n">
        <f aca="false">CT47+CT48+CT36</f>
        <v>355606341712.388</v>
      </c>
    </row>
    <row r="51" customFormat="false" ht="15" hidden="false" customHeight="true" outlineLevel="0" collapsed="false">
      <c r="B51" s="56" t="s">
        <v>520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521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522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523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524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525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526</v>
      </c>
      <c r="C57" s="70" t="n">
        <f aca="false">IFERROR(C49/'Gastos objeto'!C23,0)</f>
        <v>0.87447526061104</v>
      </c>
      <c r="D57" s="70" t="n">
        <f aca="false">IFERROR(D49/'Gastos objeto'!D23,0)</f>
        <v>0.76810941511301</v>
      </c>
      <c r="E57" s="70" t="n">
        <f aca="false">IFERROR(E49/'Gastos objeto'!E23,0)</f>
        <v>1.19958578122481</v>
      </c>
      <c r="F57" s="70" t="n">
        <f aca="false">IFERROR(F49/'Gastos objeto'!F23,0)</f>
        <v>1.28292412687145</v>
      </c>
      <c r="G57" s="70" t="n">
        <f aca="false">IFERROR(G49/'Gastos objeto'!G23,0)</f>
        <v>1.00576197694646</v>
      </c>
      <c r="H57" s="70" t="n">
        <f aca="false">IFERROR(H49/'Gastos objeto'!H23,0)</f>
        <v>0.969106544435172</v>
      </c>
      <c r="I57" s="70" t="n">
        <f aca="false">IFERROR(I49/'Gastos objeto'!I23,0)</f>
        <v>1.16947062462239</v>
      </c>
      <c r="J57" s="70" t="n">
        <f aca="false">IFERROR(J49/'Gastos objeto'!J23,0)</f>
        <v>0.964134244466553</v>
      </c>
      <c r="K57" s="70" t="n">
        <f aca="false">IFERROR(K49/'Gastos objeto'!K23,0)</f>
        <v>1.15381343439585</v>
      </c>
      <c r="L57" s="70" t="n">
        <f aca="false">IFERROR(L49/'Gastos objeto'!L23,0)</f>
        <v>1.22748998616645</v>
      </c>
      <c r="M57" s="70" t="n">
        <f aca="false">IFERROR(M49/'Gastos objeto'!M23,0)</f>
        <v>0.995531843959039</v>
      </c>
      <c r="N57" s="70" t="n">
        <f aca="false">IFERROR(N49/'Gastos objeto'!N23,0)</f>
        <v>1.00530091405696</v>
      </c>
      <c r="O57" s="70" t="n">
        <f aca="false">IFERROR(O49/'Gastos objeto'!O23,0)</f>
        <v>1.50909761615848</v>
      </c>
      <c r="P57" s="70" t="n">
        <f aca="false">IFERROR(P49/'Gastos objeto'!P23,0)</f>
        <v>1.44089979509405</v>
      </c>
      <c r="Q57" s="70" t="n">
        <f aca="false">IFERROR(Q49/'Gastos objeto'!Q23,0)</f>
        <v>2.02833565313645</v>
      </c>
      <c r="R57" s="70" t="n">
        <f aca="false">IFERROR(R49/'Gastos objeto'!R23,0)</f>
        <v>2.06531172202465</v>
      </c>
      <c r="S57" s="70" t="n">
        <f aca="false">IFERROR(S49/'Gastos objeto'!S23,0)</f>
        <v>1.66529789105653</v>
      </c>
      <c r="T57" s="70" t="n">
        <f aca="false">IFERROR(T49/'Gastos objeto'!T23,0)</f>
        <v>1.61820740730351</v>
      </c>
      <c r="U57" s="70" t="n">
        <f aca="false">IFERROR(U49/'Gastos objeto'!U23,0)</f>
        <v>1.93114783019864</v>
      </c>
      <c r="V57" s="70" t="n">
        <f aca="false">IFERROR(V49/'Gastos objeto'!V23,0)</f>
        <v>1.6464232988167</v>
      </c>
      <c r="W57" s="70" t="n">
        <f aca="false">IFERROR(W49/'Gastos objeto'!W23,0)</f>
        <v>1.94616440792812</v>
      </c>
      <c r="X57" s="70" t="n">
        <f aca="false">IFERROR(X49/'Gastos objeto'!X23,0)</f>
        <v>2.03501358147125</v>
      </c>
      <c r="Y57" s="70" t="n">
        <f aca="false">IFERROR(Y49/'Gastos objeto'!Y23,0)</f>
        <v>2.09869041091096</v>
      </c>
      <c r="Z57" s="70" t="n">
        <f aca="false">IFERROR(Z49/'Gastos objeto'!Z23,0)</f>
        <v>1.85755349214667</v>
      </c>
      <c r="AA57" s="70" t="n">
        <f aca="false">IFERROR(AA49/'Gastos objeto'!AA23,0)</f>
        <v>2.59188751567604</v>
      </c>
      <c r="AB57" s="70" t="n">
        <f aca="false">IFERROR(AB49/'Gastos objeto'!AB23,0)</f>
        <v>3.01543341047158</v>
      </c>
      <c r="AC57" s="70" t="n">
        <f aca="false">IFERROR(AC49/'Gastos objeto'!AC23,0)</f>
        <v>3.42026729234063</v>
      </c>
      <c r="AD57" s="70" t="n">
        <f aca="false">IFERROR(AD49/'Gastos objeto'!AD23,0)</f>
        <v>3.36719328686513</v>
      </c>
      <c r="AE57" s="70" t="n">
        <f aca="false">IFERROR(AE49/'Gastos objeto'!AE23,0)</f>
        <v>3.29646302652413</v>
      </c>
      <c r="AF57" s="70" t="n">
        <f aca="false">IFERROR(AF49/'Gastos objeto'!AF23,0)</f>
        <v>2.79840004345391</v>
      </c>
      <c r="AG57" s="70" t="n">
        <f aca="false">IFERROR(AG49/'Gastos objeto'!AG23,0)</f>
        <v>3.30356042341332</v>
      </c>
      <c r="AH57" s="70" t="n">
        <f aca="false">IFERROR(AH49/'Gastos objeto'!AH23,0)</f>
        <v>3.40597111625721</v>
      </c>
      <c r="AI57" s="70" t="n">
        <f aca="false">IFERROR(AI49/'Gastos objeto'!AI23,0)</f>
        <v>3.48787562608967</v>
      </c>
      <c r="AJ57" s="70" t="n">
        <f aca="false">IFERROR(AJ49/'Gastos objeto'!AJ23,0)</f>
        <v>3.59120284280618</v>
      </c>
      <c r="AK57" s="70" t="n">
        <f aca="false">IFERROR(AK49/'Gastos objeto'!AK23,0)</f>
        <v>3.66639286123936</v>
      </c>
      <c r="AL57" s="70" t="n">
        <f aca="false">IFERROR(AL49/'Gastos objeto'!AL23,0)</f>
        <v>3.23402695230048</v>
      </c>
      <c r="AM57" s="70" t="n">
        <f aca="false">IFERROR(AM49/'Gastos objeto'!AM23,0)</f>
        <v>4.2819350915037</v>
      </c>
      <c r="AN57" s="70" t="n">
        <f aca="false">IFERROR(AN49/'Gastos objeto'!AN23,0)</f>
        <v>4.83035716292737</v>
      </c>
      <c r="AO57" s="70" t="n">
        <f aca="false">IFERROR(AO49/'Gastos objeto'!AO23,0)</f>
        <v>5.28549648431093</v>
      </c>
      <c r="AP57" s="70" t="n">
        <f aca="false">IFERROR(AP49/'Gastos objeto'!AP23,0)</f>
        <v>5.09782244467446</v>
      </c>
      <c r="AQ57" s="70" t="n">
        <f aca="false">IFERROR(AQ49/'Gastos objeto'!AQ23,0)</f>
        <v>4.9359767872864</v>
      </c>
      <c r="AR57" s="70" t="n">
        <f aca="false">IFERROR(AR49/'Gastos objeto'!AR23,0)</f>
        <v>4.18536042686569</v>
      </c>
      <c r="AS57" s="70" t="n">
        <f aca="false">IFERROR(AS49/'Gastos objeto'!AS23,0)</f>
        <v>4.90055606825055</v>
      </c>
      <c r="AT57" s="70" t="n">
        <f aca="false">IFERROR(AT49/'Gastos objeto'!AT23,0)</f>
        <v>5.00757749589714</v>
      </c>
      <c r="AU57" s="70" t="n">
        <f aca="false">IFERROR(AU49/'Gastos objeto'!AU23,0)</f>
        <v>5.09393071578446</v>
      </c>
      <c r="AV57" s="70" t="n">
        <f aca="false">IFERROR(AV49/'Gastos objeto'!AV23,0)</f>
        <v>5.20187192386982</v>
      </c>
      <c r="AW57" s="70" t="n">
        <f aca="false">IFERROR(AW49/'Gastos objeto'!AW23,0)</f>
        <v>5.27889454932187</v>
      </c>
      <c r="AX57" s="70" t="n">
        <f aca="false">IFERROR(AX49/'Gastos objeto'!AX23,0)</f>
        <v>4.64441071812703</v>
      </c>
      <c r="AY57" s="70" t="n">
        <f aca="false">IFERROR(AY49/'Gastos objeto'!AY23,0)</f>
        <v>6.02175339331112</v>
      </c>
      <c r="AZ57" s="70" t="n">
        <f aca="false">IFERROR(AZ49/'Gastos objeto'!AZ23,0)</f>
        <v>6.74678496505444</v>
      </c>
      <c r="BA57" s="70" t="n">
        <f aca="false">IFERROR(BA49/'Gastos objeto'!BA23,0)</f>
        <v>7.26424956017711</v>
      </c>
      <c r="BB57" s="70" t="n">
        <f aca="false">IFERROR(BB49/'Gastos objeto'!BB23,0)</f>
        <v>6.9393084490869</v>
      </c>
      <c r="BC57" s="70" t="n">
        <f aca="false">IFERROR(BC49/'Gastos objeto'!BC23,0)</f>
        <v>6.68562027387346</v>
      </c>
      <c r="BD57" s="70" t="n">
        <f aca="false">IFERROR(BD49/'Gastos objeto'!BD23,0)</f>
        <v>5.66753171727629</v>
      </c>
      <c r="BE57" s="70" t="n">
        <f aca="false">IFERROR(BE49/'Gastos objeto'!BE23,0)</f>
        <v>6.61553831236961</v>
      </c>
      <c r="BF57" s="70" t="n">
        <f aca="false">IFERROR(BF49/'Gastos objeto'!BF23,0)</f>
        <v>6.73344438561891</v>
      </c>
      <c r="BG57" s="70" t="n">
        <f aca="false">IFERROR(BG49/'Gastos objeto'!BG23,0)</f>
        <v>6.83040628703081</v>
      </c>
      <c r="BH57" s="70" t="n">
        <f aca="false">IFERROR(BH49/'Gastos objeto'!BH23,0)</f>
        <v>6.94925004926633</v>
      </c>
      <c r="BI57" s="70" t="n">
        <f aca="false">IFERROR(BI49/'Gastos objeto'!BI23,0)</f>
        <v>7.03400155452732</v>
      </c>
      <c r="BJ57" s="70" t="n">
        <f aca="false">IFERROR(BJ49/'Gastos objeto'!BJ23,0)</f>
        <v>6.18172969287116</v>
      </c>
      <c r="BK57" s="70" t="n">
        <f aca="false">IFERROR(BK49/'Gastos objeto'!BK23,0)</f>
        <v>7.9306123274541</v>
      </c>
      <c r="BL57" s="70" t="n">
        <f aca="false">IFERROR(BL49/'Gastos objeto'!BL23,0)</f>
        <v>8.81851370817041</v>
      </c>
      <c r="BM57" s="70" t="n">
        <f aca="false">IFERROR(BM49/'Gastos objeto'!BM23,0)</f>
        <v>9.40286109862077</v>
      </c>
      <c r="BN57" s="70" t="n">
        <f aca="false">IFERROR(BN49/'Gastos objeto'!BN23,0)</f>
        <v>8.92912693371146</v>
      </c>
      <c r="BO57" s="70" t="n">
        <f aca="false">IFERROR(BO49/'Gastos objeto'!BO23,0)</f>
        <v>8.5758042028479</v>
      </c>
      <c r="BP57" s="70" t="n">
        <f aca="false">IFERROR(BP49/'Gastos objeto'!BP23,0)</f>
        <v>7.26841557177216</v>
      </c>
      <c r="BQ57" s="70" t="n">
        <f aca="false">IFERROR(BQ49/'Gastos objeto'!BQ23,0)</f>
        <v>8.46747244112935</v>
      </c>
      <c r="BR57" s="70" t="n">
        <f aca="false">IFERROR(BR49/'Gastos objeto'!BR23,0)</f>
        <v>8.59674236441928</v>
      </c>
      <c r="BS57" s="70" t="n">
        <f aca="false">IFERROR(BS49/'Gastos objeto'!BS23,0)</f>
        <v>8.70478484167919</v>
      </c>
      <c r="BT57" s="70" t="n">
        <f aca="false">IFERROR(BT49/'Gastos objeto'!BT23,0)</f>
        <v>8.83501115515858</v>
      </c>
      <c r="BU57" s="70" t="n">
        <f aca="false">IFERROR(BU49/'Gastos objeto'!BU23,0)</f>
        <v>8.92773535145982</v>
      </c>
      <c r="BV57" s="70" t="n">
        <f aca="false">IFERROR(BV49/'Gastos objeto'!BV23,0)</f>
        <v>7.84009342204428</v>
      </c>
      <c r="BW57" s="70" t="n">
        <f aca="false">IFERROR(BW49/'Gastos objeto'!BW23,0)</f>
        <v>9.98915710850861</v>
      </c>
      <c r="BX57" s="70" t="n">
        <f aca="false">IFERROR(BX49/'Gastos objeto'!BX23,0)</f>
        <v>11.0522418539249</v>
      </c>
      <c r="BY57" s="70" t="n">
        <f aca="false">IFERROR(BY49/'Gastos objeto'!BY23,0)</f>
        <v>11.7082109545816</v>
      </c>
      <c r="BZ57" s="70" t="n">
        <f aca="false">IFERROR(BZ49/'Gastos objeto'!BZ23,0)</f>
        <v>11.0736479589775</v>
      </c>
      <c r="CA57" s="70" t="n">
        <f aca="false">IFERROR(CA49/'Gastos objeto'!CA23,0)</f>
        <v>10.6125512986642</v>
      </c>
      <c r="CB57" s="70" t="n">
        <f aca="false">IFERROR(CB49/'Gastos objeto'!CB23,0)</f>
        <v>8.99308843346917</v>
      </c>
      <c r="CC57" s="70" t="n">
        <f aca="false">IFERROR(CC49/'Gastos objeto'!CC23,0)</f>
        <v>10.4622021688588</v>
      </c>
      <c r="CD57" s="70" t="n">
        <f aca="false">IFERROR(CD49/'Gastos objeto'!CD23,0)</f>
        <v>10.6033231673269</v>
      </c>
      <c r="CE57" s="70" t="n">
        <f aca="false">IFERROR(CE49/'Gastos objeto'!CE23,0)</f>
        <v>10.7229260390507</v>
      </c>
      <c r="CF57" s="70" t="n">
        <f aca="false">IFERROR(CF49/'Gastos objeto'!CF23,0)</f>
        <v>10.8650229348552</v>
      </c>
      <c r="CG57" s="70" t="n">
        <f aca="false">IFERROR(CG49/'Gastos objeto'!CG23,0)</f>
        <v>10.9659618861926</v>
      </c>
      <c r="CH57" s="70" t="n">
        <f aca="false">IFERROR(CH49/'Gastos objeto'!CH23,0)</f>
        <v>9.62461312204996</v>
      </c>
      <c r="CI57" s="70" t="n">
        <f aca="false">IFERROR(CI49/'Gastos objeto'!CI23,0)</f>
        <v>12.2036940128405</v>
      </c>
      <c r="CJ57" s="70" t="n">
        <f aca="false">IFERROR(CJ49/'Gastos objeto'!CJ23,0)</f>
        <v>13.454780774755</v>
      </c>
      <c r="CK57" s="70" t="n">
        <f aca="false">IFERROR(CK49/'Gastos objeto'!CK23,0)</f>
        <v>14.1872950660466</v>
      </c>
      <c r="CL57" s="70" t="n">
        <f aca="false">IFERROR(CL49/'Gastos objeto'!CL23,0)</f>
        <v>13.3793491711344</v>
      </c>
      <c r="CM57" s="70" t="n">
        <f aca="false">IFERROR(CM49/'Gastos objeto'!CM23,0)</f>
        <v>12.8019861025647</v>
      </c>
      <c r="CN57" s="70" t="n">
        <f aca="false">IFERROR(CN49/'Gastos objeto'!CN23,0)</f>
        <v>10.8467126478946</v>
      </c>
      <c r="CO57" s="70" t="n">
        <f aca="false">IFERROR(CO49/'Gastos objeto'!CO23,0)</f>
        <v>12.6056701924572</v>
      </c>
      <c r="CP57" s="70" t="n">
        <f aca="false">IFERROR(CP49/'Gastos objeto'!CP23,0)</f>
        <v>12.7591377430108</v>
      </c>
      <c r="CQ57" s="70" t="n">
        <f aca="false">IFERROR(CQ49/'Gastos objeto'!CQ23,0)</f>
        <v>12.8907889803205</v>
      </c>
      <c r="CR57" s="70" t="n">
        <f aca="false">IFERROR(CR49/'Gastos objeto'!CR23,0)</f>
        <v>13.0452527549703</v>
      </c>
      <c r="CS57" s="70" t="n">
        <f aca="false">IFERROR(CS49/'Gastos objeto'!CS23,0)</f>
        <v>13.1546468420312</v>
      </c>
      <c r="CT57" s="70" t="n">
        <f aca="false">IFERROR(CT49/'Gastos objeto'!CT23,0)</f>
        <v>11.540486994587</v>
      </c>
    </row>
    <row r="59" customFormat="false" ht="15" hidden="false" customHeight="true" outlineLevel="0" collapsed="false">
      <c r="B59" s="56" t="s">
        <v>527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528</v>
      </c>
      <c r="C60" s="67" t="n">
        <f aca="false">Recursos!C13</f>
        <v>29098414210.4853</v>
      </c>
      <c r="D60" s="67" t="n">
        <f aca="false">Recursos!D13</f>
        <v>24968755974.0231</v>
      </c>
      <c r="E60" s="67" t="n">
        <f aca="false">Recursos!E13</f>
        <v>26181701290.7483</v>
      </c>
      <c r="F60" s="67" t="n">
        <f aca="false">Recursos!F13</f>
        <v>25658265862.9358</v>
      </c>
      <c r="G60" s="67" t="n">
        <f aca="false">Recursos!G13</f>
        <v>25134830435.1232</v>
      </c>
      <c r="H60" s="67" t="n">
        <f aca="false">Recursos!H13</f>
        <v>25658265862.9358</v>
      </c>
      <c r="I60" s="67" t="n">
        <f aca="false">Recursos!I13</f>
        <v>26181701290.7483</v>
      </c>
      <c r="J60" s="67" t="n">
        <f aca="false">Recursos!J13</f>
        <v>25658265862.9358</v>
      </c>
      <c r="K60" s="67" t="n">
        <f aca="false">Recursos!K13</f>
        <v>25134830435.1232</v>
      </c>
      <c r="L60" s="67" t="n">
        <f aca="false">Recursos!L13</f>
        <v>25658265862.9358</v>
      </c>
      <c r="M60" s="67" t="n">
        <f aca="false">Recursos!M13</f>
        <v>25134830435.1232</v>
      </c>
      <c r="N60" s="67" t="n">
        <f aca="false">Recursos!N13</f>
        <v>26289950565.8104</v>
      </c>
      <c r="O60" s="67" t="n">
        <f aca="false">Recursos!O13</f>
        <v>29772610391.6009</v>
      </c>
      <c r="P60" s="67" t="n">
        <f aca="false">Recursos!P13</f>
        <v>25499457304.2012</v>
      </c>
      <c r="Q60" s="67" t="n">
        <f aca="false">Recursos!Q13</f>
        <v>26739011915.6376</v>
      </c>
      <c r="R60" s="67" t="n">
        <f aca="false">Recursos!R13</f>
        <v>26200787276.4234</v>
      </c>
      <c r="S60" s="67" t="n">
        <f aca="false">Recursos!S13</f>
        <v>25662562637.2092</v>
      </c>
      <c r="T60" s="67" t="n">
        <f aca="false">Recursos!T13</f>
        <v>26200787276.4234</v>
      </c>
      <c r="U60" s="67" t="n">
        <f aca="false">Recursos!U13</f>
        <v>26739011915.6376</v>
      </c>
      <c r="V60" s="67" t="n">
        <f aca="false">Recursos!V13</f>
        <v>26200787276.4234</v>
      </c>
      <c r="W60" s="67" t="n">
        <f aca="false">Recursos!W13</f>
        <v>25662562637.2092</v>
      </c>
      <c r="X60" s="67" t="n">
        <f aca="false">Recursos!X13</f>
        <v>26200787276.4234</v>
      </c>
      <c r="Y60" s="67" t="n">
        <f aca="false">Recursos!Y13</f>
        <v>25662562637.2092</v>
      </c>
      <c r="Z60" s="67" t="n">
        <f aca="false">Recursos!Z13</f>
        <v>26869473222.3317</v>
      </c>
      <c r="AA60" s="67" t="n">
        <f aca="false">Recursos!AA13</f>
        <v>30205700542.5213</v>
      </c>
      <c r="AB60" s="67" t="n">
        <f aca="false">Recursos!AB13</f>
        <v>25833769182.509</v>
      </c>
      <c r="AC60" s="67" t="n">
        <f aca="false">Recursos!AC13</f>
        <v>27090111986.0119</v>
      </c>
      <c r="AD60" s="67" t="n">
        <f aca="false">Recursos!AD13</f>
        <v>26542041287.7449</v>
      </c>
      <c r="AE60" s="67" t="n">
        <f aca="false">Recursos!AE13</f>
        <v>25993970589.4779</v>
      </c>
      <c r="AF60" s="67" t="n">
        <f aca="false">Recursos!AF13</f>
        <v>26542041287.7449</v>
      </c>
      <c r="AG60" s="67" t="n">
        <f aca="false">Recursos!AG13</f>
        <v>27090111986.0119</v>
      </c>
      <c r="AH60" s="67" t="n">
        <f aca="false">Recursos!AH13</f>
        <v>26542041287.7449</v>
      </c>
      <c r="AI60" s="67" t="n">
        <f aca="false">Recursos!AI13</f>
        <v>25993970589.4779</v>
      </c>
      <c r="AJ60" s="67" t="n">
        <f aca="false">Recursos!AJ13</f>
        <v>26542041287.7449</v>
      </c>
      <c r="AK60" s="67" t="n">
        <f aca="false">Recursos!AK13</f>
        <v>25993970589.4779</v>
      </c>
      <c r="AL60" s="67" t="n">
        <f aca="false">Recursos!AL13</f>
        <v>27237679166.8569</v>
      </c>
      <c r="AM60" s="67" t="n">
        <f aca="false">Recursos!AM13</f>
        <v>30526841110.0055</v>
      </c>
      <c r="AN60" s="67" t="n">
        <f aca="false">Recursos!AN13</f>
        <v>26077115960.7676</v>
      </c>
      <c r="AO60" s="67" t="n">
        <f aca="false">Recursos!AO13</f>
        <v>27345697107.079</v>
      </c>
      <c r="AP60" s="67" t="n">
        <f aca="false">Recursos!AP13</f>
        <v>26790087159.496</v>
      </c>
      <c r="AQ60" s="67" t="n">
        <f aca="false">Recursos!AQ13</f>
        <v>26234477211.913</v>
      </c>
      <c r="AR60" s="67" t="n">
        <f aca="false">Recursos!AR13</f>
        <v>26790087159.496</v>
      </c>
      <c r="AS60" s="67" t="n">
        <f aca="false">Recursos!AS13</f>
        <v>27345697107.079</v>
      </c>
      <c r="AT60" s="67" t="n">
        <f aca="false">Recursos!AT13</f>
        <v>26790087159.496</v>
      </c>
      <c r="AU60" s="67" t="n">
        <f aca="false">Recursos!AU13</f>
        <v>26234477211.913</v>
      </c>
      <c r="AV60" s="67" t="n">
        <f aca="false">Recursos!AV13</f>
        <v>26790087159.496</v>
      </c>
      <c r="AW60" s="67" t="n">
        <f aca="false">Recursos!AW13</f>
        <v>26234477211.913</v>
      </c>
      <c r="AX60" s="67" t="n">
        <f aca="false">Recursos!AX13</f>
        <v>27507903926.7985</v>
      </c>
      <c r="AY60" s="67" t="n">
        <f aca="false">Recursos!AY13</f>
        <v>30853461600.9229</v>
      </c>
      <c r="AZ60" s="67" t="n">
        <f aca="false">Recursos!AZ13</f>
        <v>26325349186.8737</v>
      </c>
      <c r="BA60" s="67" t="n">
        <f aca="false">Recursos!BA13</f>
        <v>27606411439.1405</v>
      </c>
      <c r="BB60" s="67" t="n">
        <f aca="false">Recursos!BB13</f>
        <v>27043172045.579</v>
      </c>
      <c r="BC60" s="67" t="n">
        <f aca="false">Recursos!BC13</f>
        <v>26479932652.0176</v>
      </c>
      <c r="BD60" s="67" t="n">
        <f aca="false">Recursos!BD13</f>
        <v>27043172045.579</v>
      </c>
      <c r="BE60" s="67" t="n">
        <f aca="false">Recursos!BE13</f>
        <v>27606411439.1405</v>
      </c>
      <c r="BF60" s="67" t="n">
        <f aca="false">Recursos!BF13</f>
        <v>27043172045.579</v>
      </c>
      <c r="BG60" s="67" t="n">
        <f aca="false">Recursos!BG13</f>
        <v>26479932652.0176</v>
      </c>
      <c r="BH60" s="67" t="n">
        <f aca="false">Recursos!BH13</f>
        <v>27043172045.579</v>
      </c>
      <c r="BI60" s="67" t="n">
        <f aca="false">Recursos!BI13</f>
        <v>26479932652.0176</v>
      </c>
      <c r="BJ60" s="67" t="n">
        <f aca="false">Recursos!BJ13</f>
        <v>27783192169.8422</v>
      </c>
      <c r="BK60" s="67" t="n">
        <f aca="false">Recursos!BK13</f>
        <v>31191230622.2296</v>
      </c>
      <c r="BL60" s="67" t="n">
        <f aca="false">Recursos!BL13</f>
        <v>26583087224.6977</v>
      </c>
      <c r="BM60" s="67" t="n">
        <f aca="false">Recursos!BM13</f>
        <v>27877104298.5011</v>
      </c>
      <c r="BN60" s="67" t="n">
        <f aca="false">Recursos!BN13</f>
        <v>27306029101.2608</v>
      </c>
      <c r="BO60" s="67" t="n">
        <f aca="false">Recursos!BO13</f>
        <v>26734953904.0206</v>
      </c>
      <c r="BP60" s="67" t="n">
        <f aca="false">Recursos!BP13</f>
        <v>27306029101.2608</v>
      </c>
      <c r="BQ60" s="67" t="n">
        <f aca="false">Recursos!BQ13</f>
        <v>27877104298.5011</v>
      </c>
      <c r="BR60" s="67" t="n">
        <f aca="false">Recursos!BR13</f>
        <v>27306029101.2608</v>
      </c>
      <c r="BS60" s="67" t="n">
        <f aca="false">Recursos!BS13</f>
        <v>26734953904.0206</v>
      </c>
      <c r="BT60" s="67" t="n">
        <f aca="false">Recursos!BT13</f>
        <v>27306029101.2608</v>
      </c>
      <c r="BU60" s="67" t="n">
        <f aca="false">Recursos!BU13</f>
        <v>26734953904.0206</v>
      </c>
      <c r="BV60" s="67" t="n">
        <f aca="false">Recursos!BV13</f>
        <v>28068512797.434</v>
      </c>
      <c r="BW60" s="67" t="n">
        <f aca="false">Recursos!BW13</f>
        <v>31540260613.9673</v>
      </c>
      <c r="BX60" s="67" t="n">
        <f aca="false">Recursos!BX13</f>
        <v>26850412990.8347</v>
      </c>
      <c r="BY60" s="67" t="n">
        <f aca="false">Recursos!BY13</f>
        <v>28157862781.0751</v>
      </c>
      <c r="BZ60" s="67" t="n">
        <f aca="false">Recursos!BZ13</f>
        <v>27578742663.0142</v>
      </c>
      <c r="CA60" s="67" t="n">
        <f aca="false">Recursos!CA13</f>
        <v>26999622544.9533</v>
      </c>
      <c r="CB60" s="67" t="n">
        <f aca="false">Recursos!CB13</f>
        <v>27578742663.0142</v>
      </c>
      <c r="CC60" s="67" t="n">
        <f aca="false">Recursos!CC13</f>
        <v>28157862781.0751</v>
      </c>
      <c r="CD60" s="67" t="n">
        <f aca="false">Recursos!CD13</f>
        <v>27578742663.0142</v>
      </c>
      <c r="CE60" s="67" t="n">
        <f aca="false">Recursos!CE13</f>
        <v>26999622544.9533</v>
      </c>
      <c r="CF60" s="67" t="n">
        <f aca="false">Recursos!CF13</f>
        <v>27578742663.0142</v>
      </c>
      <c r="CG60" s="67" t="n">
        <f aca="false">Recursos!CG13</f>
        <v>26999622544.9533</v>
      </c>
      <c r="CH60" s="67" t="n">
        <f aca="false">Recursos!CH13</f>
        <v>28363959013.8393</v>
      </c>
      <c r="CI60" s="67" t="n">
        <f aca="false">Recursos!CI13</f>
        <v>31900668513.5993</v>
      </c>
      <c r="CJ60" s="67" t="n">
        <f aca="false">Recursos!CJ13</f>
        <v>27127413268.0556</v>
      </c>
      <c r="CK60" s="67" t="n">
        <f aca="false">Recursos!CK13</f>
        <v>28448778041.5254</v>
      </c>
      <c r="CL60" s="67" t="n">
        <f aca="false">Recursos!CL13</f>
        <v>27861401044.4824</v>
      </c>
      <c r="CM60" s="67" t="n">
        <f aca="false">Recursos!CM13</f>
        <v>27274024047.4395</v>
      </c>
      <c r="CN60" s="67" t="n">
        <f aca="false">Recursos!CN13</f>
        <v>27861401044.4824</v>
      </c>
      <c r="CO60" s="67" t="n">
        <f aca="false">Recursos!CO13</f>
        <v>28448778041.5254</v>
      </c>
      <c r="CP60" s="67" t="n">
        <f aca="false">Recursos!CP13</f>
        <v>27861401044.4824</v>
      </c>
      <c r="CQ60" s="67" t="n">
        <f aca="false">Recursos!CQ13</f>
        <v>27274024047.4395</v>
      </c>
      <c r="CR60" s="67" t="n">
        <f aca="false">Recursos!CR13</f>
        <v>27861401044.4824</v>
      </c>
      <c r="CS60" s="67" t="n">
        <f aca="false">Recursos!CS13</f>
        <v>27274024047.4395</v>
      </c>
      <c r="CT60" s="67" t="n">
        <f aca="false">Recursos!CT13</f>
        <v>28669628090.1089</v>
      </c>
    </row>
    <row r="61" customFormat="false" ht="15" hidden="false" customHeight="true" outlineLevel="0" collapsed="false">
      <c r="B61" s="9" t="s">
        <v>529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530</v>
      </c>
      <c r="C62" s="59" t="n">
        <f aca="false">C60-C61</f>
        <v>9314454732.41079</v>
      </c>
      <c r="D62" s="59" t="n">
        <f aca="false">D60-D61</f>
        <v>4897535090.7861</v>
      </c>
      <c r="E62" s="59" t="n">
        <f aca="false">E60-E61</f>
        <v>5712728200.65997</v>
      </c>
      <c r="F62" s="59" t="n">
        <f aca="false">F60-F61</f>
        <v>5189292772.84742</v>
      </c>
      <c r="G62" s="59" t="n">
        <f aca="false">G60-G61</f>
        <v>4665857345.03488</v>
      </c>
      <c r="H62" s="59" t="n">
        <f aca="false">H60-H61</f>
        <v>897388021.889732</v>
      </c>
      <c r="I62" s="59" t="n">
        <f aca="false">I60-I61</f>
        <v>5712728200.65997</v>
      </c>
      <c r="J62" s="59" t="n">
        <f aca="false">J60-J61</f>
        <v>5189292772.84742</v>
      </c>
      <c r="K62" s="59" t="n">
        <f aca="false">K60-K61</f>
        <v>4665857345.03488</v>
      </c>
      <c r="L62" s="59" t="n">
        <f aca="false">L60-L61</f>
        <v>5145100121.97905</v>
      </c>
      <c r="M62" s="59" t="n">
        <f aca="false">M60-M61</f>
        <v>4621664694.1665</v>
      </c>
      <c r="N62" s="59" t="n">
        <f aca="false">N60-N61</f>
        <v>2125701035.04145</v>
      </c>
      <c r="O62" s="59" t="n">
        <f aca="false">O60-O61</f>
        <v>9898335987.78174</v>
      </c>
      <c r="P62" s="59" t="n">
        <f aca="false">P60-P61</f>
        <v>5337921495.21952</v>
      </c>
      <c r="Q62" s="59" t="n">
        <f aca="false">Q60-Q61</f>
        <v>6179723899.8046</v>
      </c>
      <c r="R62" s="59" t="n">
        <f aca="false">R60-R61</f>
        <v>5641499260.59039</v>
      </c>
      <c r="S62" s="59" t="n">
        <f aca="false">S60-S61</f>
        <v>5103274621.37618</v>
      </c>
      <c r="T62" s="59" t="n">
        <f aca="false">T60-T61</f>
        <v>1349594509.63269</v>
      </c>
      <c r="U62" s="59" t="n">
        <f aca="false">U60-U61</f>
        <v>6179723899.8046</v>
      </c>
      <c r="V62" s="59" t="n">
        <f aca="false">V60-V61</f>
        <v>5641499260.59039</v>
      </c>
      <c r="W62" s="59" t="n">
        <f aca="false">W60-W61</f>
        <v>5103274621.37618</v>
      </c>
      <c r="X62" s="59" t="n">
        <f aca="false">X60-X61</f>
        <v>5597306609.72201</v>
      </c>
      <c r="Y62" s="59" t="n">
        <f aca="false">Y60-Y61</f>
        <v>5059081970.5078</v>
      </c>
      <c r="Z62" s="59" t="n">
        <f aca="false">Z60-Z61</f>
        <v>2614908765.8181</v>
      </c>
      <c r="AA62" s="59" t="n">
        <f aca="false">AA60-AA61</f>
        <v>10241111212.9575</v>
      </c>
      <c r="AB62" s="59" t="n">
        <f aca="false">AB60-AB61</f>
        <v>5581918447.78274</v>
      </c>
      <c r="AC62" s="59" t="n">
        <f aca="false">AC60-AC61</f>
        <v>6440509044.4342</v>
      </c>
      <c r="AD62" s="59" t="n">
        <f aca="false">AD60-AD61</f>
        <v>5892438346.16718</v>
      </c>
      <c r="AE62" s="59" t="n">
        <f aca="false">AE60-AE61</f>
        <v>5344367647.90016</v>
      </c>
      <c r="AF62" s="59" t="n">
        <f aca="false">AF60-AF61</f>
        <v>1600533595.20949</v>
      </c>
      <c r="AG62" s="59" t="n">
        <f aca="false">AG60-AG61</f>
        <v>6440509044.4342</v>
      </c>
      <c r="AH62" s="59" t="n">
        <f aca="false">AH60-AH61</f>
        <v>5892438346.16718</v>
      </c>
      <c r="AI62" s="59" t="n">
        <f aca="false">AI60-AI61</f>
        <v>5344367647.90016</v>
      </c>
      <c r="AJ62" s="59" t="n">
        <f aca="false">AJ60-AJ61</f>
        <v>5848245695.2988</v>
      </c>
      <c r="AK62" s="59" t="n">
        <f aca="false">AK60-AK61</f>
        <v>5300174997.03178</v>
      </c>
      <c r="AL62" s="59" t="n">
        <f aca="false">AL60-AL61</f>
        <v>2892799784.59857</v>
      </c>
      <c r="AM62" s="59" t="n">
        <f aca="false">AM60-AM61</f>
        <v>10471936854.697</v>
      </c>
      <c r="AN62" s="59" t="n">
        <f aca="false">AN60-AN61</f>
        <v>5734950300.29665</v>
      </c>
      <c r="AO62" s="59" t="n">
        <f aca="false">AO60-AO61</f>
        <v>6605779239.75662</v>
      </c>
      <c r="AP62" s="59" t="n">
        <f aca="false">AP60-AP61</f>
        <v>6050169292.17364</v>
      </c>
      <c r="AQ62" s="59" t="n">
        <f aca="false">AQ60-AQ61</f>
        <v>5494559344.59065</v>
      </c>
      <c r="AR62" s="59" t="n">
        <f aca="false">AR60-AR61</f>
        <v>1758264541.21595</v>
      </c>
      <c r="AS62" s="59" t="n">
        <f aca="false">AS60-AS61</f>
        <v>6605779239.75662</v>
      </c>
      <c r="AT62" s="59" t="n">
        <f aca="false">AT60-AT61</f>
        <v>6050169292.17364</v>
      </c>
      <c r="AU62" s="59" t="n">
        <f aca="false">AU60-AU61</f>
        <v>5494559344.59065</v>
      </c>
      <c r="AV62" s="59" t="n">
        <f aca="false">AV60-AV61</f>
        <v>6005976641.30526</v>
      </c>
      <c r="AW62" s="59" t="n">
        <f aca="false">AW60-AW61</f>
        <v>5450366693.72228</v>
      </c>
      <c r="AX62" s="59" t="n">
        <f aca="false">AX60-AX61</f>
        <v>3072709618.79548</v>
      </c>
      <c r="AY62" s="59" t="n">
        <f aca="false">AY60-AY61</f>
        <v>10798557345.6144</v>
      </c>
      <c r="AZ62" s="59" t="n">
        <f aca="false">AZ60-AZ61</f>
        <v>5983183526.40276</v>
      </c>
      <c r="BA62" s="59" t="n">
        <f aca="false">BA60-BA61</f>
        <v>6866493571.81807</v>
      </c>
      <c r="BB62" s="59" t="n">
        <f aca="false">BB60-BB61</f>
        <v>6303254178.25665</v>
      </c>
      <c r="BC62" s="59" t="n">
        <f aca="false">BC60-BC61</f>
        <v>5740014784.69523</v>
      </c>
      <c r="BD62" s="59" t="n">
        <f aca="false">BD60-BD61</f>
        <v>2011349427.29896</v>
      </c>
      <c r="BE62" s="59" t="n">
        <f aca="false">BE60-BE61</f>
        <v>6866493571.81807</v>
      </c>
      <c r="BF62" s="59" t="n">
        <f aca="false">BF60-BF61</f>
        <v>6303254178.25665</v>
      </c>
      <c r="BG62" s="59" t="n">
        <f aca="false">BG60-BG61</f>
        <v>5740014784.69523</v>
      </c>
      <c r="BH62" s="59" t="n">
        <f aca="false">BH60-BH61</f>
        <v>6259061527.38828</v>
      </c>
      <c r="BI62" s="59" t="n">
        <f aca="false">BI60-BI61</f>
        <v>5695822133.82686</v>
      </c>
      <c r="BJ62" s="59" t="n">
        <f aca="false">BJ60-BJ61</f>
        <v>3347997861.83919</v>
      </c>
      <c r="BK62" s="59" t="n">
        <f aca="false">BK60-BK61</f>
        <v>11136326366.921</v>
      </c>
      <c r="BL62" s="59" t="n">
        <f aca="false">BL60-BL61</f>
        <v>6240921564.22669</v>
      </c>
      <c r="BM62" s="59" t="n">
        <f aca="false">BM60-BM61</f>
        <v>7137186431.17872</v>
      </c>
      <c r="BN62" s="59" t="n">
        <f aca="false">BN60-BN61</f>
        <v>6566111233.93847</v>
      </c>
      <c r="BO62" s="59" t="n">
        <f aca="false">BO60-BO61</f>
        <v>5995036036.69823</v>
      </c>
      <c r="BP62" s="59" t="n">
        <f aca="false">BP60-BP61</f>
        <v>2274206482.98078</v>
      </c>
      <c r="BQ62" s="59" t="n">
        <f aca="false">BQ60-BQ61</f>
        <v>7137186431.17872</v>
      </c>
      <c r="BR62" s="59" t="n">
        <f aca="false">BR60-BR61</f>
        <v>6566111233.93847</v>
      </c>
      <c r="BS62" s="59" t="n">
        <f aca="false">BS60-BS61</f>
        <v>5995036036.69823</v>
      </c>
      <c r="BT62" s="59" t="n">
        <f aca="false">BT60-BT61</f>
        <v>6521918583.07009</v>
      </c>
      <c r="BU62" s="59" t="n">
        <f aca="false">BU60-BU61</f>
        <v>5950843385.82985</v>
      </c>
      <c r="BV62" s="59" t="n">
        <f aca="false">BV60-BV61</f>
        <v>3633318489.431</v>
      </c>
      <c r="BW62" s="59" t="n">
        <f aca="false">BW60-BW61</f>
        <v>11485356358.6588</v>
      </c>
      <c r="BX62" s="59" t="n">
        <f aca="false">BX60-BX61</f>
        <v>6508247330.36368</v>
      </c>
      <c r="BY62" s="59" t="n">
        <f aca="false">BY60-BY61</f>
        <v>7417944913.75267</v>
      </c>
      <c r="BZ62" s="59" t="n">
        <f aca="false">BZ60-BZ61</f>
        <v>6838824795.6918</v>
      </c>
      <c r="CA62" s="59" t="n">
        <f aca="false">CA60-CA61</f>
        <v>6259704677.63092</v>
      </c>
      <c r="CB62" s="59" t="n">
        <f aca="false">CB60-CB61</f>
        <v>2546920044.7341</v>
      </c>
      <c r="CC62" s="59" t="n">
        <f aca="false">CC60-CC61</f>
        <v>7417944913.75267</v>
      </c>
      <c r="CD62" s="59" t="n">
        <f aca="false">CD60-CD61</f>
        <v>6838824795.6918</v>
      </c>
      <c r="CE62" s="59" t="n">
        <f aca="false">CE60-CE61</f>
        <v>6259704677.63092</v>
      </c>
      <c r="CF62" s="59" t="n">
        <f aca="false">CF60-CF61</f>
        <v>6794632144.82342</v>
      </c>
      <c r="CG62" s="59" t="n">
        <f aca="false">CG60-CG61</f>
        <v>6215512026.76254</v>
      </c>
      <c r="CH62" s="59" t="n">
        <f aca="false">CH60-CH61</f>
        <v>3928764705.83636</v>
      </c>
      <c r="CI62" s="59" t="n">
        <f aca="false">CI60-CI61</f>
        <v>11845764258.2907</v>
      </c>
      <c r="CJ62" s="59" t="n">
        <f aca="false">CJ60-CJ61</f>
        <v>6785247607.58466</v>
      </c>
      <c r="CK62" s="59" t="n">
        <f aca="false">CK60-CK61</f>
        <v>7708860174.20307</v>
      </c>
      <c r="CL62" s="59" t="n">
        <f aca="false">CL60-CL61</f>
        <v>7121483177.16007</v>
      </c>
      <c r="CM62" s="59" t="n">
        <f aca="false">CM60-CM61</f>
        <v>6534106180.11707</v>
      </c>
      <c r="CN62" s="59" t="n">
        <f aca="false">CN60-CN61</f>
        <v>2829578426.20238</v>
      </c>
      <c r="CO62" s="59" t="n">
        <f aca="false">CO60-CO61</f>
        <v>7708860174.20307</v>
      </c>
      <c r="CP62" s="59" t="n">
        <f aca="false">CP60-CP61</f>
        <v>7121483177.16007</v>
      </c>
      <c r="CQ62" s="59" t="n">
        <f aca="false">CQ60-CQ61</f>
        <v>6534106180.11707</v>
      </c>
      <c r="CR62" s="59" t="n">
        <f aca="false">CR60-CR61</f>
        <v>7077290526.29169</v>
      </c>
      <c r="CS62" s="59" t="n">
        <f aca="false">CS60-CS61</f>
        <v>6489913529.2487</v>
      </c>
      <c r="CT62" s="59" t="n">
        <f aca="false">CT60-CT61</f>
        <v>4234433782.10593</v>
      </c>
    </row>
    <row r="63" customFormat="false" ht="15" hidden="false" customHeight="true" outlineLevel="0" collapsed="false">
      <c r="B63" s="58" t="s">
        <v>531</v>
      </c>
      <c r="C63" s="59" t="n">
        <f aca="false">Recursos!C20-('Gastos objeto'!C17-'Gastos objeto'!C14-'Gastos objeto'!C15)</f>
        <v>7630993375.96287</v>
      </c>
      <c r="D63" s="59" t="n">
        <f aca="false">Recursos!D20-('Gastos objeto'!D17-'Gastos objeto'!D14-'Gastos objeto'!D15)</f>
        <v>2635916640.83558</v>
      </c>
      <c r="E63" s="59" t="n">
        <f aca="false">Recursos!E20-('Gastos objeto'!E17-'Gastos objeto'!E14-'Gastos objeto'!E15)</f>
        <v>1199384400.61565</v>
      </c>
      <c r="F63" s="59" t="n">
        <f aca="false">Recursos!F20-('Gastos objeto'!F17-'Gastos objeto'!F14-'Gastos objeto'!F15)</f>
        <v>97791879.3005104</v>
      </c>
      <c r="G63" s="59" t="n">
        <f aca="false">Recursos!G20-('Gastos objeto'!G17-'Gastos objeto'!G14-'Gastos objeto'!G15)</f>
        <v>-983499634.042431</v>
      </c>
      <c r="H63" s="59" t="n">
        <f aca="false">Recursos!H20-('Gastos objeto'!H17-'Gastos objeto'!H14-'Gastos objeto'!H15)</f>
        <v>-4731667949.21538</v>
      </c>
      <c r="I63" s="59" t="n">
        <f aca="false">Recursos!I20-('Gastos objeto'!I17-'Gastos objeto'!I14-'Gastos objeto'!I15)</f>
        <v>63371221.5826569</v>
      </c>
      <c r="J63" s="59" t="n">
        <f aca="false">Recursos!J20-('Gastos objeto'!J17-'Gastos objeto'!J14-'Gastos objeto'!J15)</f>
        <v>-460064206.229889</v>
      </c>
      <c r="K63" s="59" t="n">
        <f aca="false">Recursos!K20-('Gastos objeto'!K17-'Gastos objeto'!K14-'Gastos objeto'!K15)</f>
        <v>-983499634.042427</v>
      </c>
      <c r="L63" s="59" t="n">
        <f aca="false">Recursos!L20-('Gastos objeto'!L17-'Gastos objeto'!L14-'Gastos objeto'!L15)</f>
        <v>-483955849.126068</v>
      </c>
      <c r="M63" s="59" t="n">
        <f aca="false">Recursos!M20-('Gastos objeto'!M17-'Gastos objeto'!M14-'Gastos objeto'!M15)</f>
        <v>-429234183.436008</v>
      </c>
      <c r="N63" s="59" t="n">
        <f aca="false">Recursos!N20-('Gastos objeto'!N17-'Gastos objeto'!N14-'Gastos objeto'!N15)</f>
        <v>-1809485671.50027</v>
      </c>
      <c r="O63" s="59" t="n">
        <f aca="false">Recursos!O20-('Gastos objeto'!O17-'Gastos objeto'!O14-'Gastos objeto'!O15)</f>
        <v>8154664680.83738</v>
      </c>
      <c r="P63" s="59" t="n">
        <f aca="false">Recursos!P20-('Gastos objeto'!P17-'Gastos objeto'!P14-'Gastos objeto'!P15)</f>
        <v>3016093094.77256</v>
      </c>
      <c r="Q63" s="59" t="n">
        <f aca="false">Recursos!Q20-('Gastos objeto'!Q17-'Gastos objeto'!Q14-'Gastos objeto'!Q15)</f>
        <v>1606170149.26384</v>
      </c>
      <c r="R63" s="59" t="n">
        <f aca="false">Recursos!R20-('Gastos objeto'!R17-'Gastos objeto'!R14-'Gastos objeto'!R15)</f>
        <v>489788416.547024</v>
      </c>
      <c r="S63" s="59" t="n">
        <f aca="false">Recursos!S20-('Gastos objeto'!S17-'Gastos objeto'!S14-'Gastos objeto'!S15)</f>
        <v>-606292308.197586</v>
      </c>
      <c r="T63" s="59" t="n">
        <f aca="false">Recursos!T20-('Gastos objeto'!T17-'Gastos objeto'!T14-'Gastos objeto'!T15)</f>
        <v>-4339671411.96887</v>
      </c>
      <c r="U63" s="59" t="n">
        <f aca="false">Recursos!U20-('Gastos objeto'!U17-'Gastos objeto'!U14-'Gastos objeto'!U15)</f>
        <v>470156970.230846</v>
      </c>
      <c r="V63" s="59" t="n">
        <f aca="false">Recursos!V20-('Gastos objeto'!V17-'Gastos objeto'!V14-'Gastos objeto'!V15)</f>
        <v>-68067668.9833756</v>
      </c>
      <c r="W63" s="59" t="n">
        <f aca="false">Recursos!W20-('Gastos objeto'!W17-'Gastos objeto'!W14-'Gastos objeto'!W15)</f>
        <v>-606292308.197582</v>
      </c>
      <c r="X63" s="59" t="n">
        <f aca="false">Recursos!X20-('Gastos objeto'!X17-'Gastos objeto'!X14-'Gastos objeto'!X15)</f>
        <v>-91959311.8795548</v>
      </c>
      <c r="Y63" s="59" t="n">
        <f aca="false">Recursos!Y20-('Gastos objeto'!Y17-'Gastos objeto'!Y14-'Gastos objeto'!Y15)</f>
        <v>-52026857.5911636</v>
      </c>
      <c r="Z63" s="59" t="n">
        <f aca="false">Recursos!Z20-('Gastos objeto'!Z17-'Gastos objeto'!Z14-'Gastos objeto'!Z15)</f>
        <v>-1380487891.22006</v>
      </c>
      <c r="AA63" s="59" t="n">
        <f aca="false">Recursos!AA20-('Gastos objeto'!AA17-'Gastos objeto'!AA14-'Gastos objeto'!AA15)</f>
        <v>8437229955.51669</v>
      </c>
      <c r="AB63" s="59" t="n">
        <f aca="false">Recursos!AB20-('Gastos objeto'!AB17-'Gastos objeto'!AB14-'Gastos objeto'!AB15)</f>
        <v>3199880096.83933</v>
      </c>
      <c r="AC63" s="59" t="n">
        <f aca="false">Recursos!AC20-('Gastos objeto'!AC17-'Gastos objeto'!AC14-'Gastos objeto'!AC15)</f>
        <v>1806745343.39699</v>
      </c>
      <c r="AD63" s="59" t="n">
        <f aca="false">Recursos!AD20-('Gastos objeto'!AD17-'Gastos objeto'!AD14-'Gastos objeto'!AD15)</f>
        <v>680517551.627369</v>
      </c>
      <c r="AE63" s="59" t="n">
        <f aca="false">Recursos!AE20-('Gastos objeto'!AE17-'Gastos objeto'!AE14-'Gastos objeto'!AE15)</f>
        <v>-425409232.170048</v>
      </c>
      <c r="AF63" s="59" t="n">
        <f aca="false">Recursos!AF20-('Gastos objeto'!AF17-'Gastos objeto'!AF14-'Gastos objeto'!AF15)</f>
        <v>-4148942276.88852</v>
      </c>
      <c r="AG63" s="59" t="n">
        <f aca="false">Recursos!AG20-('Gastos objeto'!AG17-'Gastos objeto'!AG14-'Gastos objeto'!AG15)</f>
        <v>670732164.363991</v>
      </c>
      <c r="AH63" s="59" t="n">
        <f aca="false">Recursos!AH20-('Gastos objeto'!AH17-'Gastos objeto'!AH14-'Gastos objeto'!AH15)</f>
        <v>122661466.096973</v>
      </c>
      <c r="AI63" s="59" t="n">
        <f aca="false">Recursos!AI20-('Gastos objeto'!AI17-'Gastos objeto'!AI14-'Gastos objeto'!AI15)</f>
        <v>-425409232.170048</v>
      </c>
      <c r="AJ63" s="59" t="n">
        <f aca="false">Recursos!AJ20-('Gastos objeto'!AJ17-'Gastos objeto'!AJ14-'Gastos objeto'!AJ15)</f>
        <v>98769823.2007904</v>
      </c>
      <c r="AK63" s="59" t="n">
        <f aca="false">Recursos!AK20-('Gastos objeto'!AK17-'Gastos objeto'!AK14-'Gastos objeto'!AK15)</f>
        <v>128856218.436371</v>
      </c>
      <c r="AL63" s="59" t="n">
        <f aca="false">Recursos!AL20-('Gastos objeto'!AL17-'Gastos objeto'!AL14-'Gastos objeto'!AL15)</f>
        <v>-1162806822.93604</v>
      </c>
      <c r="AM63" s="59" t="n">
        <f aca="false">Recursos!AM20-('Gastos objeto'!AM17-'Gastos objeto'!AM14-'Gastos objeto'!AM15)</f>
        <v>8607845646.75975</v>
      </c>
      <c r="AN63" s="59" t="n">
        <f aca="false">Recursos!AN20-('Gastos objeto'!AN17-'Gastos objeto'!AN14-'Gastos objeto'!AN15)</f>
        <v>3292701998.85679</v>
      </c>
      <c r="AO63" s="59" t="n">
        <f aca="false">Recursos!AO20-('Gastos objeto'!AO17-'Gastos objeto'!AO14-'Gastos objeto'!AO15)</f>
        <v>1911805588.22297</v>
      </c>
      <c r="AP63" s="59" t="n">
        <f aca="false">Recursos!AP20-('Gastos objeto'!AP17-'Gastos objeto'!AP14-'Gastos objeto'!AP15)</f>
        <v>778038547.137383</v>
      </c>
      <c r="AQ63" s="59" t="n">
        <f aca="false">Recursos!AQ20-('Gastos objeto'!AQ17-'Gastos objeto'!AQ14-'Gastos objeto'!AQ15)</f>
        <v>-335427485.975998</v>
      </c>
      <c r="AR63" s="59" t="n">
        <f aca="false">Recursos!AR20-('Gastos objeto'!AR17-'Gastos objeto'!AR14-'Gastos objeto'!AR15)</f>
        <v>-4051421281.37851</v>
      </c>
      <c r="AS63" s="59" t="n">
        <f aca="false">Recursos!AS20-('Gastos objeto'!AS17-'Gastos objeto'!AS14-'Gastos objeto'!AS15)</f>
        <v>775792409.189968</v>
      </c>
      <c r="AT63" s="59" t="n">
        <f aca="false">Recursos!AT20-('Gastos objeto'!AT17-'Gastos objeto'!AT14-'Gastos objeto'!AT15)</f>
        <v>220182461.606987</v>
      </c>
      <c r="AU63" s="59" t="n">
        <f aca="false">Recursos!AU20-('Gastos objeto'!AU17-'Gastos objeto'!AU14-'Gastos objeto'!AU15)</f>
        <v>-335427485.975998</v>
      </c>
      <c r="AV63" s="59" t="n">
        <f aca="false">Recursos!AV20-('Gastos objeto'!AV17-'Gastos objeto'!AV14-'Gastos objeto'!AV15)</f>
        <v>196290818.710804</v>
      </c>
      <c r="AW63" s="59" t="n">
        <f aca="false">Recursos!AW20-('Gastos objeto'!AW17-'Gastos objeto'!AW14-'Gastos objeto'!AW15)</f>
        <v>218837964.630421</v>
      </c>
      <c r="AX63" s="59" t="n">
        <f aca="false">Recursos!AX20-('Gastos objeto'!AX17-'Gastos objeto'!AX14-'Gastos objeto'!AX15)</f>
        <v>-1043106939.23557</v>
      </c>
      <c r="AY63" s="59" t="n">
        <f aca="false">Recursos!AY20-('Gastos objeto'!AY17-'Gastos objeto'!AY14-'Gastos objeto'!AY15)</f>
        <v>8934466137.67714</v>
      </c>
      <c r="AZ63" s="59" t="n">
        <f aca="false">Recursos!AZ20-('Gastos objeto'!AZ17-'Gastos objeto'!AZ14-'Gastos objeto'!AZ15)</f>
        <v>3540935224.9629</v>
      </c>
      <c r="BA63" s="59" t="n">
        <f aca="false">Recursos!BA20-('Gastos objeto'!BA17-'Gastos objeto'!BA14-'Gastos objeto'!BA15)</f>
        <v>2172519920.28442</v>
      </c>
      <c r="BB63" s="59" t="n">
        <f aca="false">Recursos!BB20-('Gastos objeto'!BB17-'Gastos objeto'!BB14-'Gastos objeto'!BB15)</f>
        <v>1031123433.2204</v>
      </c>
      <c r="BC63" s="59" t="n">
        <f aca="false">Recursos!BC20-('Gastos objeto'!BC17-'Gastos objeto'!BC14-'Gastos objeto'!BC15)</f>
        <v>-89972045.871418</v>
      </c>
      <c r="BD63" s="59" t="n">
        <f aca="false">Recursos!BD20-('Gastos objeto'!BD17-'Gastos objeto'!BD14-'Gastos objeto'!BD15)</f>
        <v>-3798336395.29549</v>
      </c>
      <c r="BE63" s="59" t="n">
        <f aca="false">Recursos!BE20-('Gastos objeto'!BE17-'Gastos objeto'!BE14-'Gastos objeto'!BE15)</f>
        <v>1036506741.25142</v>
      </c>
      <c r="BF63" s="59" t="n">
        <f aca="false">Recursos!BF20-('Gastos objeto'!BF17-'Gastos objeto'!BF14-'Gastos objeto'!BF15)</f>
        <v>473267347.690002</v>
      </c>
      <c r="BG63" s="59" t="n">
        <f aca="false">Recursos!BG20-('Gastos objeto'!BG17-'Gastos objeto'!BG14-'Gastos objeto'!BG15)</f>
        <v>-89972045.871418</v>
      </c>
      <c r="BH63" s="59" t="n">
        <f aca="false">Recursos!BH20-('Gastos objeto'!BH17-'Gastos objeto'!BH14-'Gastos objeto'!BH15)</f>
        <v>449375704.793819</v>
      </c>
      <c r="BI63" s="59" t="n">
        <f aca="false">Recursos!BI20-('Gastos objeto'!BI17-'Gastos objeto'!BI14-'Gastos objeto'!BI15)</f>
        <v>464293404.735001</v>
      </c>
      <c r="BJ63" s="59" t="n">
        <f aca="false">Recursos!BJ20-('Gastos objeto'!BJ17-'Gastos objeto'!BJ14-'Gastos objeto'!BJ15)</f>
        <v>-767818696.191864</v>
      </c>
      <c r="BK63" s="59" t="n">
        <f aca="false">Recursos!BK20-('Gastos objeto'!BK17-'Gastos objeto'!BK14-'Gastos objeto'!BK15)</f>
        <v>9272235158.98378</v>
      </c>
      <c r="BL63" s="59" t="n">
        <f aca="false">Recursos!BL20-('Gastos objeto'!BL17-'Gastos objeto'!BL14-'Gastos objeto'!BL15)</f>
        <v>3798673262.78683</v>
      </c>
      <c r="BM63" s="59" t="n">
        <f aca="false">Recursos!BM20-('Gastos objeto'!BM17-'Gastos objeto'!BM14-'Gastos objeto'!BM15)</f>
        <v>2443212779.64506</v>
      </c>
      <c r="BN63" s="59" t="n">
        <f aca="false">Recursos!BN20-('Gastos objeto'!BN17-'Gastos objeto'!BN14-'Gastos objeto'!BN15)</f>
        <v>1293980488.90221</v>
      </c>
      <c r="BO63" s="59" t="n">
        <f aca="false">Recursos!BO20-('Gastos objeto'!BO17-'Gastos objeto'!BO14-'Gastos objeto'!BO15)</f>
        <v>165049206.131577</v>
      </c>
      <c r="BP63" s="59" t="n">
        <f aca="false">Recursos!BP20-('Gastos objeto'!BP17-'Gastos objeto'!BP14-'Gastos objeto'!BP15)</f>
        <v>-3535479339.61368</v>
      </c>
      <c r="BQ63" s="59" t="n">
        <f aca="false">Recursos!BQ20-('Gastos objeto'!BQ17-'Gastos objeto'!BQ14-'Gastos objeto'!BQ15)</f>
        <v>1307199600.61206</v>
      </c>
      <c r="BR63" s="59" t="n">
        <f aca="false">Recursos!BR20-('Gastos objeto'!BR17-'Gastos objeto'!BR14-'Gastos objeto'!BR15)</f>
        <v>736124403.371819</v>
      </c>
      <c r="BS63" s="59" t="n">
        <f aca="false">Recursos!BS20-('Gastos objeto'!BS17-'Gastos objeto'!BS14-'Gastos objeto'!BS15)</f>
        <v>165049206.131577</v>
      </c>
      <c r="BT63" s="59" t="n">
        <f aca="false">Recursos!BT20-('Gastos objeto'!BT17-'Gastos objeto'!BT14-'Gastos objeto'!BT15)</f>
        <v>712232760.475636</v>
      </c>
      <c r="BU63" s="59" t="n">
        <f aca="false">Recursos!BU20-('Gastos objeto'!BU17-'Gastos objeto'!BU14-'Gastos objeto'!BU15)</f>
        <v>719314656.737995</v>
      </c>
      <c r="BV63" s="59" t="n">
        <f aca="false">Recursos!BV20-('Gastos objeto'!BV17-'Gastos objeto'!BV14-'Gastos objeto'!BV15)</f>
        <v>-482498068.600052</v>
      </c>
      <c r="BW63" s="59" t="n">
        <f aca="false">Recursos!BW20-('Gastos objeto'!BW17-'Gastos objeto'!BW14-'Gastos objeto'!BW15)</f>
        <v>9621265150.72155</v>
      </c>
      <c r="BX63" s="59" t="n">
        <f aca="false">Recursos!BX20-('Gastos objeto'!BX17-'Gastos objeto'!BX14-'Gastos objeto'!BX15)</f>
        <v>4065999028.92383</v>
      </c>
      <c r="BY63" s="59" t="n">
        <f aca="false">Recursos!BY20-('Gastos objeto'!BY17-'Gastos objeto'!BY14-'Gastos objeto'!BY15)</f>
        <v>2723971262.21902</v>
      </c>
      <c r="BZ63" s="59" t="n">
        <f aca="false">Recursos!BZ20-('Gastos objeto'!BZ17-'Gastos objeto'!BZ14-'Gastos objeto'!BZ15)</f>
        <v>1566694050.65554</v>
      </c>
      <c r="CA63" s="59" t="n">
        <f aca="false">Recursos!CA20-('Gastos objeto'!CA17-'Gastos objeto'!CA14-'Gastos objeto'!CA15)</f>
        <v>429717847.06427</v>
      </c>
      <c r="CB63" s="59" t="n">
        <f aca="false">Recursos!CB20-('Gastos objeto'!CB17-'Gastos objeto'!CB14-'Gastos objeto'!CB15)</f>
        <v>-3262765777.86035</v>
      </c>
      <c r="CC63" s="59" t="n">
        <f aca="false">Recursos!CC20-('Gastos objeto'!CC17-'Gastos objeto'!CC14-'Gastos objeto'!CC15)</f>
        <v>1587958083.18602</v>
      </c>
      <c r="CD63" s="59" t="n">
        <f aca="false">Recursos!CD20-('Gastos objeto'!CD17-'Gastos objeto'!CD14-'Gastos objeto'!CD15)</f>
        <v>1008837965.12515</v>
      </c>
      <c r="CE63" s="59" t="n">
        <f aca="false">Recursos!CE20-('Gastos objeto'!CE17-'Gastos objeto'!CE14-'Gastos objeto'!CE15)</f>
        <v>429717847.06427</v>
      </c>
      <c r="CF63" s="59" t="n">
        <f aca="false">Recursos!CF20-('Gastos objeto'!CF17-'Gastos objeto'!CF14-'Gastos objeto'!CF15)</f>
        <v>984946322.228962</v>
      </c>
      <c r="CG63" s="59" t="n">
        <f aca="false">Recursos!CG20-('Gastos objeto'!CG17-'Gastos objeto'!CG14-'Gastos objeto'!CG15)</f>
        <v>983983297.670689</v>
      </c>
      <c r="CH63" s="59" t="n">
        <f aca="false">Recursos!CH20-('Gastos objeto'!CH17-'Gastos objeto'!CH14-'Gastos objeto'!CH15)</f>
        <v>-187051852.194695</v>
      </c>
      <c r="CI63" s="59" t="n">
        <f aca="false">Recursos!CI20-('Gastos objeto'!CI17-'Gastos objeto'!CI14-'Gastos objeto'!CI15)</f>
        <v>9981673050.35348</v>
      </c>
      <c r="CJ63" s="59" t="n">
        <f aca="false">Recursos!CJ20-('Gastos objeto'!CJ17-'Gastos objeto'!CJ14-'Gastos objeto'!CJ15)</f>
        <v>4342999306.1448</v>
      </c>
      <c r="CK63" s="59" t="n">
        <f aca="false">Recursos!CK20-('Gastos objeto'!CK17-'Gastos objeto'!CK14-'Gastos objeto'!CK15)</f>
        <v>3014886522.66941</v>
      </c>
      <c r="CL63" s="59" t="n">
        <f aca="false">Recursos!CL20-('Gastos objeto'!CL17-'Gastos objeto'!CL14-'Gastos objeto'!CL15)</f>
        <v>1849352432.12381</v>
      </c>
      <c r="CM63" s="59" t="n">
        <f aca="false">Recursos!CM20-('Gastos objeto'!CM17-'Gastos objeto'!CM14-'Gastos objeto'!CM15)</f>
        <v>704119349.550423</v>
      </c>
      <c r="CN63" s="59" t="n">
        <f aca="false">Recursos!CN20-('Gastos objeto'!CN17-'Gastos objeto'!CN14-'Gastos objeto'!CN15)</f>
        <v>-2980107396.39208</v>
      </c>
      <c r="CO63" s="59" t="n">
        <f aca="false">Recursos!CO20-('Gastos objeto'!CO17-'Gastos objeto'!CO14-'Gastos objeto'!CO15)</f>
        <v>1878873343.63642</v>
      </c>
      <c r="CP63" s="59" t="n">
        <f aca="false">Recursos!CP20-('Gastos objeto'!CP17-'Gastos objeto'!CP14-'Gastos objeto'!CP15)</f>
        <v>1291496346.59342</v>
      </c>
      <c r="CQ63" s="59" t="n">
        <f aca="false">Recursos!CQ20-('Gastos objeto'!CQ17-'Gastos objeto'!CQ14-'Gastos objeto'!CQ15)</f>
        <v>704119349.550423</v>
      </c>
      <c r="CR63" s="59" t="n">
        <f aca="false">Recursos!CR20-('Gastos objeto'!CR17-'Gastos objeto'!CR14-'Gastos objeto'!CR15)</f>
        <v>1267604703.69724</v>
      </c>
      <c r="CS63" s="59" t="n">
        <f aca="false">Recursos!CS20-('Gastos objeto'!CS17-'Gastos objeto'!CS14-'Gastos objeto'!CS15)</f>
        <v>1258384800.15684</v>
      </c>
      <c r="CT63" s="59" t="n">
        <f aca="false">Recursos!CT20-('Gastos objeto'!CT17-'Gastos objeto'!CT14-'Gastos objeto'!CT15)</f>
        <v>118617224.074871</v>
      </c>
    </row>
    <row r="65" customFormat="false" ht="24" hidden="false" customHeight="true" outlineLevel="0" collapsed="false">
      <c r="B65" s="21" t="s">
        <v>532</v>
      </c>
    </row>
    <row r="66" customFormat="false" ht="24" hidden="false" customHeight="true" outlineLevel="0" collapsed="false">
      <c r="B66" s="21" t="s">
        <v>533</v>
      </c>
    </row>
    <row r="67" customFormat="false" ht="24" hidden="false" customHeight="true" outlineLevel="0" collapsed="false">
      <c r="B67" s="21" t="s">
        <v>534</v>
      </c>
    </row>
    <row r="68" customFormat="false" ht="24" hidden="false" customHeight="true" outlineLevel="0" collapsed="false">
      <c r="B68" s="21" t="s">
        <v>535</v>
      </c>
    </row>
    <row r="70" customFormat="false" ht="24" hidden="false" customHeight="true" outlineLevel="0" collapsed="false">
      <c r="B70" s="21" t="s">
        <v>536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537</v>
      </c>
    </row>
    <row r="3" customFormat="false" ht="15" hidden="false" customHeight="true" outlineLevel="0" collapsed="false">
      <c r="B3" s="4" t="s">
        <v>538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56" t="s">
        <v>539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332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335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336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337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540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339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340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341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342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343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344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345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346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347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348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349</v>
      </c>
      <c r="C23" s="57" t="n">
        <f aca="false">(Supuestos!$C$205)*(1+Supuestos!$C$36)^3*Estacionalidad!C$13+Programas!C$10</f>
        <v>143382216.947047</v>
      </c>
      <c r="D23" s="57" t="n">
        <f aca="false">(Supuestos!$C$205)*(1+Supuestos!$C$36)^3*Estacionalidad!D$13+Programas!D$10</f>
        <v>144792285.469027</v>
      </c>
      <c r="E23" s="57" t="n">
        <f aca="false">(Supuestos!$C$205)*(1+Supuestos!$C$36)^3*Estacionalidad!E$13+Programas!E$10</f>
        <v>147612422.512987</v>
      </c>
      <c r="F23" s="57" t="n">
        <f aca="false">(Supuestos!$C$205)*(1+Supuestos!$C$36)^3*Estacionalidad!F$13+Programas!F$10</f>
        <v>147612422.512987</v>
      </c>
      <c r="G23" s="57" t="n">
        <f aca="false">(Supuestos!$C$205)*(1+Supuestos!$C$36)^3*Estacionalidad!G$13+Programas!G$10</f>
        <v>147612422.512987</v>
      </c>
      <c r="H23" s="57" t="n">
        <f aca="false">(Supuestos!$C$205)*(1+Supuestos!$C$36)^3*Estacionalidad!H$13+Programas!H$10</f>
        <v>147612422.512987</v>
      </c>
      <c r="I23" s="57" t="n">
        <f aca="false">(Supuestos!$C$205)*(1+Supuestos!$C$36)^3*Estacionalidad!I$13+Programas!I$10</f>
        <v>147612422.512987</v>
      </c>
      <c r="J23" s="57" t="n">
        <f aca="false">(Supuestos!$C$205)*(1+Supuestos!$C$36)^3*Estacionalidad!J$13+Programas!J$10</f>
        <v>147612422.512987</v>
      </c>
      <c r="K23" s="57" t="n">
        <f aca="false">(Supuestos!$C$205)*(1+Supuestos!$C$36)^3*Estacionalidad!K$13+Programas!K$10</f>
        <v>147612422.512987</v>
      </c>
      <c r="L23" s="57" t="n">
        <f aca="false">(Supuestos!$C$205)*(1+Supuestos!$C$36)^3*Estacionalidad!L$13+Programas!L$10</f>
        <v>147612422.512987</v>
      </c>
      <c r="M23" s="57" t="n">
        <f aca="false">(Supuestos!$C$205)*(1+Supuestos!$C$36)^3*Estacionalidad!M$13+Programas!M$10</f>
        <v>147612422.512987</v>
      </c>
      <c r="N23" s="57" t="n">
        <f aca="false">(Supuestos!$C$205)*(1+Supuestos!$C$36)^3*Estacionalidad!N$13+Programas!N$10</f>
        <v>143382216.947047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541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351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542</v>
      </c>
      <c r="C26" s="57" t="n">
        <f aca="false">Programas!C$13</f>
        <v>60000000</v>
      </c>
      <c r="D26" s="57" t="n">
        <f aca="false">Programas!D$13</f>
        <v>60000000</v>
      </c>
      <c r="E26" s="57" t="n">
        <f aca="false">Programas!E$13</f>
        <v>60000000</v>
      </c>
      <c r="F26" s="57" t="n">
        <f aca="false">Programas!F$13</f>
        <v>60000000</v>
      </c>
      <c r="G26" s="57" t="n">
        <f aca="false">Programas!G$13</f>
        <v>60000000</v>
      </c>
      <c r="H26" s="57" t="n">
        <f aca="false">Programas!H$13</f>
        <v>60000000</v>
      </c>
      <c r="I26" s="57" t="n">
        <f aca="false">Programas!I$13</f>
        <v>60000000</v>
      </c>
      <c r="J26" s="57" t="n">
        <f aca="false">Programas!J$13</f>
        <v>60000000</v>
      </c>
      <c r="K26" s="57" t="n">
        <f aca="false">Programas!K$13</f>
        <v>60000000</v>
      </c>
      <c r="L26" s="57" t="n">
        <f aca="false">Programas!L$13</f>
        <v>60000000</v>
      </c>
      <c r="M26" s="57" t="n">
        <f aca="false">Programas!M$13</f>
        <v>60000000</v>
      </c>
      <c r="N26" s="57" t="n">
        <f aca="false">Programas!N$13</f>
        <v>60000000</v>
      </c>
      <c r="O26" s="57" t="n">
        <f aca="false">Programas!O$13</f>
        <v>53200000</v>
      </c>
      <c r="P26" s="57" t="n">
        <f aca="false">Programas!P$13</f>
        <v>53200000</v>
      </c>
      <c r="Q26" s="57" t="n">
        <f aca="false">Programas!Q$13</f>
        <v>53200000</v>
      </c>
      <c r="R26" s="57" t="n">
        <f aca="false">Programas!R$13</f>
        <v>53200000</v>
      </c>
      <c r="S26" s="57" t="n">
        <f aca="false">Programas!S$13</f>
        <v>53200000</v>
      </c>
      <c r="T26" s="57" t="n">
        <f aca="false">Programas!T$13</f>
        <v>53200000</v>
      </c>
      <c r="U26" s="57" t="n">
        <f aca="false">Programas!U$13</f>
        <v>53200000</v>
      </c>
      <c r="V26" s="57" t="n">
        <f aca="false">Programas!V$13</f>
        <v>53200000</v>
      </c>
      <c r="W26" s="57" t="n">
        <f aca="false">Programas!W$13</f>
        <v>53200000</v>
      </c>
      <c r="X26" s="57" t="n">
        <f aca="false">Programas!X$13</f>
        <v>53200000</v>
      </c>
      <c r="Y26" s="57" t="n">
        <f aca="false">Programas!Y$13</f>
        <v>53200000</v>
      </c>
      <c r="Z26" s="57" t="n">
        <f aca="false">Programas!Z$13</f>
        <v>53200000</v>
      </c>
      <c r="AA26" s="57" t="n">
        <f aca="false">Programas!AA$13</f>
        <v>22000000</v>
      </c>
      <c r="AB26" s="57" t="n">
        <f aca="false">Programas!AB$13</f>
        <v>22000000</v>
      </c>
      <c r="AC26" s="57" t="n">
        <f aca="false">Programas!AC$13</f>
        <v>22000000</v>
      </c>
      <c r="AD26" s="57" t="n">
        <f aca="false">Programas!AD$13</f>
        <v>22000000</v>
      </c>
      <c r="AE26" s="57" t="n">
        <f aca="false">Programas!AE$13</f>
        <v>22000000</v>
      </c>
      <c r="AF26" s="57" t="n">
        <f aca="false">Programas!AF$13</f>
        <v>22000000</v>
      </c>
      <c r="AG26" s="57" t="n">
        <f aca="false">Programas!AG$13</f>
        <v>22000000</v>
      </c>
      <c r="AH26" s="57" t="n">
        <f aca="false">Programas!AH$13</f>
        <v>22000000</v>
      </c>
      <c r="AI26" s="57" t="n">
        <f aca="false">Programas!AI$13</f>
        <v>22000000</v>
      </c>
      <c r="AJ26" s="57" t="n">
        <f aca="false">Programas!AJ$13</f>
        <v>22000000</v>
      </c>
      <c r="AK26" s="57" t="n">
        <f aca="false">Programas!AK$13</f>
        <v>22000000</v>
      </c>
      <c r="AL26" s="57" t="n">
        <f aca="false">Programas!AL$13</f>
        <v>22000000</v>
      </c>
      <c r="AM26" s="57" t="n">
        <f aca="false">Programas!AM$13</f>
        <v>22000000</v>
      </c>
      <c r="AN26" s="57" t="n">
        <f aca="false">Programas!AN$13</f>
        <v>22000000</v>
      </c>
      <c r="AO26" s="57" t="n">
        <f aca="false">Programas!AO$13</f>
        <v>22000000</v>
      </c>
      <c r="AP26" s="57" t="n">
        <f aca="false">Programas!AP$13</f>
        <v>22000000</v>
      </c>
      <c r="AQ26" s="57" t="n">
        <f aca="false">Programas!AQ$13</f>
        <v>22000000</v>
      </c>
      <c r="AR26" s="57" t="n">
        <f aca="false">Programas!AR$13</f>
        <v>22000000</v>
      </c>
      <c r="AS26" s="57" t="n">
        <f aca="false">Programas!AS$13</f>
        <v>22000000</v>
      </c>
      <c r="AT26" s="57" t="n">
        <f aca="false">Programas!AT$13</f>
        <v>22000000</v>
      </c>
      <c r="AU26" s="57" t="n">
        <f aca="false">Programas!AU$13</f>
        <v>22000000</v>
      </c>
      <c r="AV26" s="57" t="n">
        <f aca="false">Programas!AV$13</f>
        <v>22000000</v>
      </c>
      <c r="AW26" s="57" t="n">
        <f aca="false">Programas!AW$13</f>
        <v>22000000</v>
      </c>
      <c r="AX26" s="57" t="n">
        <f aca="false">Programas!AX$13</f>
        <v>22000000</v>
      </c>
      <c r="AY26" s="57" t="n">
        <f aca="false">Programas!AY$13</f>
        <v>22000000</v>
      </c>
      <c r="AZ26" s="57" t="n">
        <f aca="false">Programas!AZ$13</f>
        <v>22000000</v>
      </c>
      <c r="BA26" s="57" t="n">
        <f aca="false">Programas!BA$13</f>
        <v>22000000</v>
      </c>
      <c r="BB26" s="57" t="n">
        <f aca="false">Programas!BB$13</f>
        <v>22000000</v>
      </c>
      <c r="BC26" s="57" t="n">
        <f aca="false">Programas!BC$13</f>
        <v>22000000</v>
      </c>
      <c r="BD26" s="57" t="n">
        <f aca="false">Programas!BD$13</f>
        <v>22000000</v>
      </c>
      <c r="BE26" s="57" t="n">
        <f aca="false">Programas!BE$13</f>
        <v>22000000</v>
      </c>
      <c r="BF26" s="57" t="n">
        <f aca="false">Programas!BF$13</f>
        <v>22000000</v>
      </c>
      <c r="BG26" s="57" t="n">
        <f aca="false">Programas!BG$13</f>
        <v>22000000</v>
      </c>
      <c r="BH26" s="57" t="n">
        <f aca="false">Programas!BH$13</f>
        <v>22000000</v>
      </c>
      <c r="BI26" s="57" t="n">
        <f aca="false">Programas!BI$13</f>
        <v>22000000</v>
      </c>
      <c r="BJ26" s="57" t="n">
        <f aca="false">Programas!BJ$13</f>
        <v>22000000</v>
      </c>
      <c r="BK26" s="57" t="n">
        <f aca="false">Programas!BK$13</f>
        <v>22000000</v>
      </c>
      <c r="BL26" s="57" t="n">
        <f aca="false">Programas!BL$13</f>
        <v>22000000</v>
      </c>
      <c r="BM26" s="57" t="n">
        <f aca="false">Programas!BM$13</f>
        <v>22000000</v>
      </c>
      <c r="BN26" s="57" t="n">
        <f aca="false">Programas!BN$13</f>
        <v>22000000</v>
      </c>
      <c r="BO26" s="57" t="n">
        <f aca="false">Programas!BO$13</f>
        <v>22000000</v>
      </c>
      <c r="BP26" s="57" t="n">
        <f aca="false">Programas!BP$13</f>
        <v>22000000</v>
      </c>
      <c r="BQ26" s="57" t="n">
        <f aca="false">Programas!BQ$13</f>
        <v>22000000</v>
      </c>
      <c r="BR26" s="57" t="n">
        <f aca="false">Programas!BR$13</f>
        <v>22000000</v>
      </c>
      <c r="BS26" s="57" t="n">
        <f aca="false">Programas!BS$13</f>
        <v>22000000</v>
      </c>
      <c r="BT26" s="57" t="n">
        <f aca="false">Programas!BT$13</f>
        <v>22000000</v>
      </c>
      <c r="BU26" s="57" t="n">
        <f aca="false">Programas!BU$13</f>
        <v>22000000</v>
      </c>
      <c r="BV26" s="57" t="n">
        <f aca="false">Programas!BV$13</f>
        <v>22000000</v>
      </c>
      <c r="BW26" s="57" t="n">
        <f aca="false">Programas!BW$13</f>
        <v>22000000</v>
      </c>
      <c r="BX26" s="57" t="n">
        <f aca="false">Programas!BX$13</f>
        <v>22000000</v>
      </c>
      <c r="BY26" s="57" t="n">
        <f aca="false">Programas!BY$13</f>
        <v>22000000</v>
      </c>
      <c r="BZ26" s="57" t="n">
        <f aca="false">Programas!BZ$13</f>
        <v>22000000</v>
      </c>
      <c r="CA26" s="57" t="n">
        <f aca="false">Programas!CA$13</f>
        <v>22000000</v>
      </c>
      <c r="CB26" s="57" t="n">
        <f aca="false">Programas!CB$13</f>
        <v>22000000</v>
      </c>
      <c r="CC26" s="57" t="n">
        <f aca="false">Programas!CC$13</f>
        <v>22000000</v>
      </c>
      <c r="CD26" s="57" t="n">
        <f aca="false">Programas!CD$13</f>
        <v>22000000</v>
      </c>
      <c r="CE26" s="57" t="n">
        <f aca="false">Programas!CE$13</f>
        <v>22000000</v>
      </c>
      <c r="CF26" s="57" t="n">
        <f aca="false">Programas!CF$13</f>
        <v>22000000</v>
      </c>
      <c r="CG26" s="57" t="n">
        <f aca="false">Programas!CG$13</f>
        <v>22000000</v>
      </c>
      <c r="CH26" s="57" t="n">
        <f aca="false">Programas!CH$13</f>
        <v>22000000</v>
      </c>
      <c r="CI26" s="57" t="n">
        <f aca="false">Programas!CI$13</f>
        <v>22000000</v>
      </c>
      <c r="CJ26" s="57" t="n">
        <f aca="false">Programas!CJ$13</f>
        <v>22000000</v>
      </c>
      <c r="CK26" s="57" t="n">
        <f aca="false">Programas!CK$13</f>
        <v>22000000</v>
      </c>
      <c r="CL26" s="57" t="n">
        <f aca="false">Programas!CL$13</f>
        <v>22000000</v>
      </c>
      <c r="CM26" s="57" t="n">
        <f aca="false">Programas!CM$13</f>
        <v>22000000</v>
      </c>
      <c r="CN26" s="57" t="n">
        <f aca="false">Programas!CN$13</f>
        <v>22000000</v>
      </c>
      <c r="CO26" s="57" t="n">
        <f aca="false">Programas!CO$13</f>
        <v>22000000</v>
      </c>
      <c r="CP26" s="57" t="n">
        <f aca="false">Programas!CP$13</f>
        <v>22000000</v>
      </c>
      <c r="CQ26" s="57" t="n">
        <f aca="false">Programas!CQ$13</f>
        <v>22000000</v>
      </c>
      <c r="CR26" s="57" t="n">
        <f aca="false">Programas!CR$13</f>
        <v>22000000</v>
      </c>
      <c r="CS26" s="57" t="n">
        <f aca="false">Programas!CS$13</f>
        <v>22000000</v>
      </c>
      <c r="CT26" s="57" t="n">
        <f aca="false">Programas!CT$13</f>
        <v>22000000</v>
      </c>
    </row>
    <row r="27" customFormat="false" ht="15" hidden="false" customHeight="false" outlineLevel="0" collapsed="false">
      <c r="A27" s="2"/>
      <c r="B27" s="2" t="s">
        <v>543</v>
      </c>
      <c r="C27" s="71" t="n">
        <f aca="false">Programas!C$16</f>
        <v>-165406670.763335</v>
      </c>
      <c r="D27" s="71" t="n">
        <f aca="false">Programas!D$16</f>
        <v>-165406670.763335</v>
      </c>
      <c r="E27" s="71" t="n">
        <f aca="false">Programas!E$16</f>
        <v>-165406670.763335</v>
      </c>
      <c r="F27" s="71" t="n">
        <f aca="false">Programas!F$16</f>
        <v>-165406670.763335</v>
      </c>
      <c r="G27" s="71" t="n">
        <f aca="false">Programas!G$16</f>
        <v>-165406670.763335</v>
      </c>
      <c r="H27" s="71" t="n">
        <f aca="false">Programas!H$16</f>
        <v>-165406670.763335</v>
      </c>
      <c r="I27" s="71" t="n">
        <f aca="false">Programas!I$16</f>
        <v>-165406670.763335</v>
      </c>
      <c r="J27" s="71" t="n">
        <f aca="false">Programas!J$16</f>
        <v>-165406670.763335</v>
      </c>
      <c r="K27" s="71" t="n">
        <f aca="false">Programas!K$16</f>
        <v>-165406670.763335</v>
      </c>
      <c r="L27" s="71" t="n">
        <f aca="false">Programas!L$16</f>
        <v>-165406670.763335</v>
      </c>
      <c r="M27" s="71" t="n">
        <f aca="false">Programas!M$16</f>
        <v>-165406670.763335</v>
      </c>
      <c r="N27" s="71" t="n">
        <f aca="false">Programas!N$16</f>
        <v>-337406670.763335</v>
      </c>
      <c r="O27" s="71" t="n">
        <f aca="false">Programas!O$16</f>
        <v>-379560972.071905</v>
      </c>
      <c r="P27" s="71" t="n">
        <f aca="false">Programas!P$16</f>
        <v>-391555969.749272</v>
      </c>
      <c r="Q27" s="71" t="n">
        <f aca="false">Programas!Q$16</f>
        <v>-403550967.426639</v>
      </c>
      <c r="R27" s="71" t="n">
        <f aca="false">Programas!R$16</f>
        <v>-415545965.104006</v>
      </c>
      <c r="S27" s="71" t="n">
        <f aca="false">Programas!S$16</f>
        <v>-427540962.781373</v>
      </c>
      <c r="T27" s="71" t="n">
        <f aca="false">Programas!T$16</f>
        <v>-439535960.458741</v>
      </c>
      <c r="U27" s="71" t="n">
        <f aca="false">Programas!U$16</f>
        <v>-451530958.136108</v>
      </c>
      <c r="V27" s="71" t="n">
        <f aca="false">Programas!V$16</f>
        <v>-463525955.813475</v>
      </c>
      <c r="W27" s="71" t="n">
        <f aca="false">Programas!W$16</f>
        <v>-475520953.490842</v>
      </c>
      <c r="X27" s="71" t="n">
        <f aca="false">Programas!X$16</f>
        <v>-487515951.168209</v>
      </c>
      <c r="Y27" s="71" t="n">
        <f aca="false">Programas!Y$16</f>
        <v>-499510948.845577</v>
      </c>
      <c r="Z27" s="71" t="n">
        <f aca="false">Programas!Z$16</f>
        <v>-511505946.522944</v>
      </c>
      <c r="AA27" s="71" t="n">
        <f aca="false">Programas!AA$16</f>
        <v>-439934969.805773</v>
      </c>
      <c r="AB27" s="71" t="n">
        <f aca="false">Programas!AB$16</f>
        <v>-451929967.483141</v>
      </c>
      <c r="AC27" s="71" t="n">
        <f aca="false">Programas!AC$16</f>
        <v>-463924965.160508</v>
      </c>
      <c r="AD27" s="71" t="n">
        <f aca="false">Programas!AD$16</f>
        <v>-475919962.837875</v>
      </c>
      <c r="AE27" s="71" t="n">
        <f aca="false">Programas!AE$16</f>
        <v>-487914960.515242</v>
      </c>
      <c r="AF27" s="71" t="n">
        <f aca="false">Programas!AF$16</f>
        <v>-499909958.192609</v>
      </c>
      <c r="AG27" s="71" t="n">
        <f aca="false">Programas!AG$16</f>
        <v>-511904955.869977</v>
      </c>
      <c r="AH27" s="71" t="n">
        <f aca="false">Programas!AH$16</f>
        <v>-523899953.547344</v>
      </c>
      <c r="AI27" s="71" t="n">
        <f aca="false">Programas!AI$16</f>
        <v>-535894951.224711</v>
      </c>
      <c r="AJ27" s="71" t="n">
        <f aca="false">Programas!AJ$16</f>
        <v>-547889948.902078</v>
      </c>
      <c r="AK27" s="71" t="n">
        <f aca="false">Programas!AK$16</f>
        <v>-559884946.579445</v>
      </c>
      <c r="AL27" s="71" t="n">
        <f aca="false">Programas!AL$16</f>
        <v>-571879944.256812</v>
      </c>
      <c r="AM27" s="71" t="n">
        <f aca="false">Programas!AM$16</f>
        <v>-571879944.256812</v>
      </c>
      <c r="AN27" s="71" t="n">
        <f aca="false">Programas!AN$16</f>
        <v>-571879944.256812</v>
      </c>
      <c r="AO27" s="71" t="n">
        <f aca="false">Programas!AO$16</f>
        <v>-571879944.256812</v>
      </c>
      <c r="AP27" s="71" t="n">
        <f aca="false">Programas!AP$16</f>
        <v>-571879944.256812</v>
      </c>
      <c r="AQ27" s="71" t="n">
        <f aca="false">Programas!AQ$16</f>
        <v>-571879944.256812</v>
      </c>
      <c r="AR27" s="71" t="n">
        <f aca="false">Programas!AR$16</f>
        <v>-571879944.256812</v>
      </c>
      <c r="AS27" s="71" t="n">
        <f aca="false">Programas!AS$16</f>
        <v>-571879944.256812</v>
      </c>
      <c r="AT27" s="71" t="n">
        <f aca="false">Programas!AT$16</f>
        <v>-571879944.256812</v>
      </c>
      <c r="AU27" s="71" t="n">
        <f aca="false">Programas!AU$16</f>
        <v>-571879944.256812</v>
      </c>
      <c r="AV27" s="71" t="n">
        <f aca="false">Programas!AV$16</f>
        <v>-571879944.256812</v>
      </c>
      <c r="AW27" s="71" t="n">
        <f aca="false">Programas!AW$16</f>
        <v>-571879944.256812</v>
      </c>
      <c r="AX27" s="71" t="n">
        <f aca="false">Programas!AX$16</f>
        <v>-571879944.256812</v>
      </c>
      <c r="AY27" s="71" t="n">
        <f aca="false">Programas!AY$16</f>
        <v>-571879944.256812</v>
      </c>
      <c r="AZ27" s="71" t="n">
        <f aca="false">Programas!AZ$16</f>
        <v>-571879944.256812</v>
      </c>
      <c r="BA27" s="71" t="n">
        <f aca="false">Programas!BA$16</f>
        <v>-571879944.256812</v>
      </c>
      <c r="BB27" s="71" t="n">
        <f aca="false">Programas!BB$16</f>
        <v>-571879944.256812</v>
      </c>
      <c r="BC27" s="71" t="n">
        <f aca="false">Programas!BC$16</f>
        <v>-571879944.256812</v>
      </c>
      <c r="BD27" s="71" t="n">
        <f aca="false">Programas!BD$16</f>
        <v>-571879944.256812</v>
      </c>
      <c r="BE27" s="71" t="n">
        <f aca="false">Programas!BE$16</f>
        <v>-571879944.256812</v>
      </c>
      <c r="BF27" s="71" t="n">
        <f aca="false">Programas!BF$16</f>
        <v>-571879944.256812</v>
      </c>
      <c r="BG27" s="71" t="n">
        <f aca="false">Programas!BG$16</f>
        <v>-571879944.256812</v>
      </c>
      <c r="BH27" s="71" t="n">
        <f aca="false">Programas!BH$16</f>
        <v>-571879944.256812</v>
      </c>
      <c r="BI27" s="71" t="n">
        <f aca="false">Programas!BI$16</f>
        <v>-571879944.256812</v>
      </c>
      <c r="BJ27" s="71" t="n">
        <f aca="false">Programas!BJ$16</f>
        <v>-571879944.256812</v>
      </c>
      <c r="BK27" s="71" t="n">
        <f aca="false">Programas!BK$16</f>
        <v>-571879944.256812</v>
      </c>
      <c r="BL27" s="71" t="n">
        <f aca="false">Programas!BL$16</f>
        <v>-571879944.256812</v>
      </c>
      <c r="BM27" s="71" t="n">
        <f aca="false">Programas!BM$16</f>
        <v>-571879944.256812</v>
      </c>
      <c r="BN27" s="71" t="n">
        <f aca="false">Programas!BN$16</f>
        <v>-571879944.256812</v>
      </c>
      <c r="BO27" s="71" t="n">
        <f aca="false">Programas!BO$16</f>
        <v>-571879944.256812</v>
      </c>
      <c r="BP27" s="71" t="n">
        <f aca="false">Programas!BP$16</f>
        <v>-571879944.256812</v>
      </c>
      <c r="BQ27" s="71" t="n">
        <f aca="false">Programas!BQ$16</f>
        <v>-571879944.256812</v>
      </c>
      <c r="BR27" s="71" t="n">
        <f aca="false">Programas!BR$16</f>
        <v>-571879944.256812</v>
      </c>
      <c r="BS27" s="71" t="n">
        <f aca="false">Programas!BS$16</f>
        <v>-571879944.256812</v>
      </c>
      <c r="BT27" s="71" t="n">
        <f aca="false">Programas!BT$16</f>
        <v>-571879944.256812</v>
      </c>
      <c r="BU27" s="71" t="n">
        <f aca="false">Programas!BU$16</f>
        <v>-571879944.256812</v>
      </c>
      <c r="BV27" s="71" t="n">
        <f aca="false">Programas!BV$16</f>
        <v>-571879944.256812</v>
      </c>
      <c r="BW27" s="71" t="n">
        <f aca="false">Programas!BW$16</f>
        <v>-571879944.256812</v>
      </c>
      <c r="BX27" s="71" t="n">
        <f aca="false">Programas!BX$16</f>
        <v>-571879944.256812</v>
      </c>
      <c r="BY27" s="71" t="n">
        <f aca="false">Programas!BY$16</f>
        <v>-571879944.256812</v>
      </c>
      <c r="BZ27" s="71" t="n">
        <f aca="false">Programas!BZ$16</f>
        <v>-571879944.256812</v>
      </c>
      <c r="CA27" s="71" t="n">
        <f aca="false">Programas!CA$16</f>
        <v>-571879944.256812</v>
      </c>
      <c r="CB27" s="71" t="n">
        <f aca="false">Programas!CB$16</f>
        <v>-571879944.256812</v>
      </c>
      <c r="CC27" s="71" t="n">
        <f aca="false">Programas!CC$16</f>
        <v>-571879944.256812</v>
      </c>
      <c r="CD27" s="71" t="n">
        <f aca="false">Programas!CD$16</f>
        <v>-571879944.256812</v>
      </c>
      <c r="CE27" s="71" t="n">
        <f aca="false">Programas!CE$16</f>
        <v>-571879944.256812</v>
      </c>
      <c r="CF27" s="71" t="n">
        <f aca="false">Programas!CF$16</f>
        <v>-571879944.256812</v>
      </c>
      <c r="CG27" s="71" t="n">
        <f aca="false">Programas!CG$16</f>
        <v>-571879944.256812</v>
      </c>
      <c r="CH27" s="71" t="n">
        <f aca="false">Programas!CH$16</f>
        <v>-571879944.256812</v>
      </c>
      <c r="CI27" s="71" t="n">
        <f aca="false">Programas!CI$16</f>
        <v>-571879944.256812</v>
      </c>
      <c r="CJ27" s="71" t="n">
        <f aca="false">Programas!CJ$16</f>
        <v>-571879944.256812</v>
      </c>
      <c r="CK27" s="71" t="n">
        <f aca="false">Programas!CK$16</f>
        <v>-571879944.256812</v>
      </c>
      <c r="CL27" s="71" t="n">
        <f aca="false">Programas!CL$16</f>
        <v>-571879944.256812</v>
      </c>
      <c r="CM27" s="71" t="n">
        <f aca="false">Programas!CM$16</f>
        <v>-571879944.256812</v>
      </c>
      <c r="CN27" s="71" t="n">
        <f aca="false">Programas!CN$16</f>
        <v>-571879944.256812</v>
      </c>
      <c r="CO27" s="71" t="n">
        <f aca="false">Programas!CO$16</f>
        <v>-571879944.256812</v>
      </c>
      <c r="CP27" s="71" t="n">
        <f aca="false">Programas!CP$16</f>
        <v>-571879944.256812</v>
      </c>
      <c r="CQ27" s="71" t="n">
        <f aca="false">Programas!CQ$16</f>
        <v>-571879944.256812</v>
      </c>
      <c r="CR27" s="71" t="n">
        <f aca="false">Programas!CR$16</f>
        <v>-571879944.256812</v>
      </c>
      <c r="CS27" s="71" t="n">
        <f aca="false">Programas!CS$16</f>
        <v>-571879944.256812</v>
      </c>
      <c r="CT27" s="71" t="n">
        <f aca="false">Programas!CT$16</f>
        <v>-571879944.256812</v>
      </c>
    </row>
    <row r="28" customFormat="false" ht="15" hidden="false" customHeight="true" outlineLevel="0" collapsed="false">
      <c r="A28" s="2"/>
      <c r="B28" s="54" t="s">
        <v>544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50" t="s">
        <v>545</v>
      </c>
      <c r="C30" s="72" t="n">
        <f aca="false">IFERROR(C14/C28,0)</f>
        <v>0.251714567164357</v>
      </c>
      <c r="D30" s="72" t="n">
        <f aca="false">IFERROR(D14/D28,0)</f>
        <v>0.219634769713445</v>
      </c>
      <c r="E30" s="72" t="n">
        <f aca="false">IFERROR(E14/E28,0)</f>
        <v>0.25175770531599</v>
      </c>
      <c r="F30" s="72" t="n">
        <f aca="false">IFERROR(F14/F28,0)</f>
        <v>0.25175770531599</v>
      </c>
      <c r="G30" s="72" t="n">
        <f aca="false">IFERROR(G14/G28,0)</f>
        <v>0.220320600273847</v>
      </c>
      <c r="H30" s="72" t="n">
        <f aca="false">IFERROR(H14/H28,0)</f>
        <v>0.25175770531599</v>
      </c>
      <c r="I30" s="72" t="n">
        <f aca="false">IFERROR(I14/I28,0)</f>
        <v>0.25175770531599</v>
      </c>
      <c r="J30" s="72" t="n">
        <f aca="false">IFERROR(J14/J28,0)</f>
        <v>0.220320600273847</v>
      </c>
      <c r="K30" s="72" t="n">
        <f aca="false">IFERROR(K14/K28,0)</f>
        <v>0.25175770531599</v>
      </c>
      <c r="L30" s="72" t="n">
        <f aca="false">IFERROR(L14/L28,0)</f>
        <v>0.25175770531599</v>
      </c>
      <c r="M30" s="72" t="n">
        <f aca="false">IFERROR(M14/M28,0)</f>
        <v>0.220320600273847</v>
      </c>
      <c r="N30" s="72" t="n">
        <f aca="false">IFERROR(N14/N28,0)</f>
        <v>0.251714567164357</v>
      </c>
      <c r="O30" s="72" t="n">
        <f aca="false">IFERROR(O14/O28,0)</f>
        <v>0.251645427489186</v>
      </c>
      <c r="P30" s="72" t="n">
        <f aca="false">IFERROR(P14/P28,0)</f>
        <v>0.219738462033846</v>
      </c>
      <c r="Q30" s="72" t="n">
        <f aca="false">IFERROR(Q14/Q28,0)</f>
        <v>0.251690746664185</v>
      </c>
      <c r="R30" s="72" t="n">
        <f aca="false">IFERROR(R14/R28,0)</f>
        <v>0.251690746664185</v>
      </c>
      <c r="S30" s="72" t="n">
        <f aca="false">IFERROR(S14/S28,0)</f>
        <v>0.220418747325381</v>
      </c>
      <c r="T30" s="72" t="n">
        <f aca="false">IFERROR(T14/T28,0)</f>
        <v>0.251690746664185</v>
      </c>
      <c r="U30" s="72" t="n">
        <f aca="false">IFERROR(U14/U28,0)</f>
        <v>0.251690746664185</v>
      </c>
      <c r="V30" s="72" t="n">
        <f aca="false">IFERROR(V14/V28,0)</f>
        <v>0.220418747325381</v>
      </c>
      <c r="W30" s="72" t="n">
        <f aca="false">IFERROR(W14/W28,0)</f>
        <v>0.251690746664185</v>
      </c>
      <c r="X30" s="72" t="n">
        <f aca="false">IFERROR(X14/X28,0)</f>
        <v>0.251690746664185</v>
      </c>
      <c r="Y30" s="72" t="n">
        <f aca="false">IFERROR(Y14/Y28,0)</f>
        <v>0.251690746664185</v>
      </c>
      <c r="Z30" s="72" t="n">
        <f aca="false">IFERROR(Z14/Z28,0)</f>
        <v>0.251645427489186</v>
      </c>
      <c r="AA30" s="72" t="n">
        <f aca="false">IFERROR(AA14/AA28,0)</f>
        <v>0.248457368877707</v>
      </c>
      <c r="AB30" s="72" t="n">
        <f aca="false">IFERROR(AB14/AB28,0)</f>
        <v>0.248511038271278</v>
      </c>
      <c r="AC30" s="72" t="n">
        <f aca="false">IFERROR(AC14/AC28,0)</f>
        <v>0.248614609035241</v>
      </c>
      <c r="AD30" s="72" t="n">
        <f aca="false">IFERROR(AD14/AD28,0)</f>
        <v>0.248614609035241</v>
      </c>
      <c r="AE30" s="72" t="n">
        <f aca="false">IFERROR(AE14/AE28,0)</f>
        <v>0.248614609035241</v>
      </c>
      <c r="AF30" s="72" t="n">
        <f aca="false">IFERROR(AF14/AF28,0)</f>
        <v>0.248614609035241</v>
      </c>
      <c r="AG30" s="72" t="n">
        <f aca="false">IFERROR(AG14/AG28,0)</f>
        <v>0.248614609035241</v>
      </c>
      <c r="AH30" s="72" t="n">
        <f aca="false">IFERROR(AH14/AH28,0)</f>
        <v>0.248614609035241</v>
      </c>
      <c r="AI30" s="72" t="n">
        <f aca="false">IFERROR(AI14/AI28,0)</f>
        <v>0.248614609035241</v>
      </c>
      <c r="AJ30" s="72" t="n">
        <f aca="false">IFERROR(AJ14/AJ28,0)</f>
        <v>0.248614609035241</v>
      </c>
      <c r="AK30" s="72" t="n">
        <f aca="false">IFERROR(AK14/AK28,0)</f>
        <v>0.248614609035241</v>
      </c>
      <c r="AL30" s="72" t="n">
        <f aca="false">IFERROR(AL14/AL28,0)</f>
        <v>0.248457368877707</v>
      </c>
      <c r="AM30" s="72" t="n">
        <f aca="false">IFERROR(AM14/AM28,0)</f>
        <v>0.246999329089551</v>
      </c>
      <c r="AN30" s="72" t="n">
        <f aca="false">IFERROR(AN14/AN28,0)</f>
        <v>0.247070055846716</v>
      </c>
      <c r="AO30" s="72" t="n">
        <f aca="false">IFERROR(AO14/AO28,0)</f>
        <v>0.247206571896492</v>
      </c>
      <c r="AP30" s="72" t="n">
        <f aca="false">IFERROR(AP14/AP28,0)</f>
        <v>0.247206571896492</v>
      </c>
      <c r="AQ30" s="72" t="n">
        <f aca="false">IFERROR(AQ14/AQ28,0)</f>
        <v>0.247206571896492</v>
      </c>
      <c r="AR30" s="72" t="n">
        <f aca="false">IFERROR(AR14/AR28,0)</f>
        <v>0.247206571896492</v>
      </c>
      <c r="AS30" s="72" t="n">
        <f aca="false">IFERROR(AS14/AS28,0)</f>
        <v>0.247206571896492</v>
      </c>
      <c r="AT30" s="72" t="n">
        <f aca="false">IFERROR(AT14/AT28,0)</f>
        <v>0.247206571896492</v>
      </c>
      <c r="AU30" s="72" t="n">
        <f aca="false">IFERROR(AU14/AU28,0)</f>
        <v>0.247206571896492</v>
      </c>
      <c r="AV30" s="72" t="n">
        <f aca="false">IFERROR(AV14/AV28,0)</f>
        <v>0.247206571896492</v>
      </c>
      <c r="AW30" s="72" t="n">
        <f aca="false">IFERROR(AW14/AW28,0)</f>
        <v>0.247206571896492</v>
      </c>
      <c r="AX30" s="72" t="n">
        <f aca="false">IFERROR(AX14/AX28,0)</f>
        <v>0.246999329089551</v>
      </c>
      <c r="AY30" s="72" t="n">
        <f aca="false">IFERROR(AY14/AY28,0)</f>
        <v>0.246999329089551</v>
      </c>
      <c r="AZ30" s="72" t="n">
        <f aca="false">IFERROR(AZ14/AZ28,0)</f>
        <v>0.247070055846716</v>
      </c>
      <c r="BA30" s="72" t="n">
        <f aca="false">IFERROR(BA14/BA28,0)</f>
        <v>0.247206571896492</v>
      </c>
      <c r="BB30" s="72" t="n">
        <f aca="false">IFERROR(BB14/BB28,0)</f>
        <v>0.247206571896492</v>
      </c>
      <c r="BC30" s="72" t="n">
        <f aca="false">IFERROR(BC14/BC28,0)</f>
        <v>0.247206571896492</v>
      </c>
      <c r="BD30" s="72" t="n">
        <f aca="false">IFERROR(BD14/BD28,0)</f>
        <v>0.247206571896492</v>
      </c>
      <c r="BE30" s="72" t="n">
        <f aca="false">IFERROR(BE14/BE28,0)</f>
        <v>0.247206571896492</v>
      </c>
      <c r="BF30" s="72" t="n">
        <f aca="false">IFERROR(BF14/BF28,0)</f>
        <v>0.247206571896492</v>
      </c>
      <c r="BG30" s="72" t="n">
        <f aca="false">IFERROR(BG14/BG28,0)</f>
        <v>0.247206571896492</v>
      </c>
      <c r="BH30" s="72" t="n">
        <f aca="false">IFERROR(BH14/BH28,0)</f>
        <v>0.247206571896492</v>
      </c>
      <c r="BI30" s="72" t="n">
        <f aca="false">IFERROR(BI14/BI28,0)</f>
        <v>0.247206571896492</v>
      </c>
      <c r="BJ30" s="72" t="n">
        <f aca="false">IFERROR(BJ14/BJ28,0)</f>
        <v>0.246999329089551</v>
      </c>
      <c r="BK30" s="72" t="n">
        <f aca="false">IFERROR(BK14/BK28,0)</f>
        <v>0.246999329089551</v>
      </c>
      <c r="BL30" s="72" t="n">
        <f aca="false">IFERROR(BL14/BL28,0)</f>
        <v>0.247070055846716</v>
      </c>
      <c r="BM30" s="72" t="n">
        <f aca="false">IFERROR(BM14/BM28,0)</f>
        <v>0.247206571896492</v>
      </c>
      <c r="BN30" s="72" t="n">
        <f aca="false">IFERROR(BN14/BN28,0)</f>
        <v>0.247206571896492</v>
      </c>
      <c r="BO30" s="72" t="n">
        <f aca="false">IFERROR(BO14/BO28,0)</f>
        <v>0.247206571896492</v>
      </c>
      <c r="BP30" s="72" t="n">
        <f aca="false">IFERROR(BP14/BP28,0)</f>
        <v>0.247206571896492</v>
      </c>
      <c r="BQ30" s="72" t="n">
        <f aca="false">IFERROR(BQ14/BQ28,0)</f>
        <v>0.247206571896492</v>
      </c>
      <c r="BR30" s="72" t="n">
        <f aca="false">IFERROR(BR14/BR28,0)</f>
        <v>0.247206571896492</v>
      </c>
      <c r="BS30" s="72" t="n">
        <f aca="false">IFERROR(BS14/BS28,0)</f>
        <v>0.247206571896492</v>
      </c>
      <c r="BT30" s="72" t="n">
        <f aca="false">IFERROR(BT14/BT28,0)</f>
        <v>0.247206571896492</v>
      </c>
      <c r="BU30" s="72" t="n">
        <f aca="false">IFERROR(BU14/BU28,0)</f>
        <v>0.247206571896492</v>
      </c>
      <c r="BV30" s="72" t="n">
        <f aca="false">IFERROR(BV14/BV28,0)</f>
        <v>0.246999329089551</v>
      </c>
      <c r="BW30" s="72" t="n">
        <f aca="false">IFERROR(BW14/BW28,0)</f>
        <v>0.246999329089551</v>
      </c>
      <c r="BX30" s="72" t="n">
        <f aca="false">IFERROR(BX14/BX28,0)</f>
        <v>0.247070055846716</v>
      </c>
      <c r="BY30" s="72" t="n">
        <f aca="false">IFERROR(BY14/BY28,0)</f>
        <v>0.247206571896492</v>
      </c>
      <c r="BZ30" s="72" t="n">
        <f aca="false">IFERROR(BZ14/BZ28,0)</f>
        <v>0.247206571896492</v>
      </c>
      <c r="CA30" s="72" t="n">
        <f aca="false">IFERROR(CA14/CA28,0)</f>
        <v>0.247206571896492</v>
      </c>
      <c r="CB30" s="72" t="n">
        <f aca="false">IFERROR(CB14/CB28,0)</f>
        <v>0.247206571896492</v>
      </c>
      <c r="CC30" s="72" t="n">
        <f aca="false">IFERROR(CC14/CC28,0)</f>
        <v>0.247206571896492</v>
      </c>
      <c r="CD30" s="72" t="n">
        <f aca="false">IFERROR(CD14/CD28,0)</f>
        <v>0.247206571896492</v>
      </c>
      <c r="CE30" s="72" t="n">
        <f aca="false">IFERROR(CE14/CE28,0)</f>
        <v>0.247206571896492</v>
      </c>
      <c r="CF30" s="72" t="n">
        <f aca="false">IFERROR(CF14/CF28,0)</f>
        <v>0.247206571896492</v>
      </c>
      <c r="CG30" s="72" t="n">
        <f aca="false">IFERROR(CG14/CG28,0)</f>
        <v>0.247206571896492</v>
      </c>
      <c r="CH30" s="72" t="n">
        <f aca="false">IFERROR(CH14/CH28,0)</f>
        <v>0.246999329089551</v>
      </c>
      <c r="CI30" s="72" t="n">
        <f aca="false">IFERROR(CI14/CI28,0)</f>
        <v>0.246999329089551</v>
      </c>
      <c r="CJ30" s="72" t="n">
        <f aca="false">IFERROR(CJ14/CJ28,0)</f>
        <v>0.247070055846716</v>
      </c>
      <c r="CK30" s="72" t="n">
        <f aca="false">IFERROR(CK14/CK28,0)</f>
        <v>0.247206571896492</v>
      </c>
      <c r="CL30" s="72" t="n">
        <f aca="false">IFERROR(CL14/CL28,0)</f>
        <v>0.247206571896492</v>
      </c>
      <c r="CM30" s="72" t="n">
        <f aca="false">IFERROR(CM14/CM28,0)</f>
        <v>0.247206571896492</v>
      </c>
      <c r="CN30" s="72" t="n">
        <f aca="false">IFERROR(CN14/CN28,0)</f>
        <v>0.247206571896492</v>
      </c>
      <c r="CO30" s="72" t="n">
        <f aca="false">IFERROR(CO14/CO28,0)</f>
        <v>0.247206571896492</v>
      </c>
      <c r="CP30" s="72" t="n">
        <f aca="false">IFERROR(CP14/CP28,0)</f>
        <v>0.247206571896492</v>
      </c>
      <c r="CQ30" s="72" t="n">
        <f aca="false">IFERROR(CQ14/CQ28,0)</f>
        <v>0.247206571896492</v>
      </c>
      <c r="CR30" s="72" t="n">
        <f aca="false">IFERROR(CR14/CR28,0)</f>
        <v>0.247206571896492</v>
      </c>
      <c r="CS30" s="72" t="n">
        <f aca="false">IFERROR(CS14/CS28,0)</f>
        <v>0.247206571896492</v>
      </c>
      <c r="CT30" s="72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546</v>
      </c>
      <c r="C31" s="72" t="n">
        <f aca="false">IFERROR(C20/(C21*0.1467),0)</f>
        <v>0.321893365175163</v>
      </c>
      <c r="D31" s="72" t="n">
        <f aca="false">IFERROR(D20/(D21*0.1467),0)</f>
        <v>0.321893365175163</v>
      </c>
      <c r="E31" s="72" t="n">
        <f aca="false">IFERROR(E20/(E21*0.1467),0)</f>
        <v>0.321893365175163</v>
      </c>
      <c r="F31" s="72" t="n">
        <f aca="false">IFERROR(F20/(F21*0.1467),0)</f>
        <v>0.321893365175163</v>
      </c>
      <c r="G31" s="72" t="n">
        <f aca="false">IFERROR(G20/(G21*0.1467),0)</f>
        <v>0.321893365175163</v>
      </c>
      <c r="H31" s="72" t="n">
        <f aca="false">IFERROR(H20/(H21*0.1467),0)</f>
        <v>0.321893365175163</v>
      </c>
      <c r="I31" s="72" t="n">
        <f aca="false">IFERROR(I20/(I21*0.1467),0)</f>
        <v>0.321893365175163</v>
      </c>
      <c r="J31" s="72" t="n">
        <f aca="false">IFERROR(J20/(J21*0.1467),0)</f>
        <v>0.321893365175163</v>
      </c>
      <c r="K31" s="72" t="n">
        <f aca="false">IFERROR(K20/(K21*0.1467),0)</f>
        <v>0.321893365175163</v>
      </c>
      <c r="L31" s="72" t="n">
        <f aca="false">IFERROR(L20/(L21*0.1467),0)</f>
        <v>0.321893365175163</v>
      </c>
      <c r="M31" s="72" t="n">
        <f aca="false">IFERROR(M20/(M21*0.1467),0)</f>
        <v>0.321893365175163</v>
      </c>
      <c r="N31" s="72" t="n">
        <f aca="false">IFERROR(N20/(N21*0.1467),0)</f>
        <v>0.321893365175163</v>
      </c>
      <c r="O31" s="72" t="n">
        <f aca="false">IFERROR(O20/(O21*0.1467),0)</f>
        <v>0.321893365175163</v>
      </c>
      <c r="P31" s="72" t="n">
        <f aca="false">IFERROR(P20/(P21*0.1467),0)</f>
        <v>0.321893365175163</v>
      </c>
      <c r="Q31" s="72" t="n">
        <f aca="false">IFERROR(Q20/(Q21*0.1467),0)</f>
        <v>0.321893365175163</v>
      </c>
      <c r="R31" s="72" t="n">
        <f aca="false">IFERROR(R20/(R21*0.1467),0)</f>
        <v>0.321893365175163</v>
      </c>
      <c r="S31" s="72" t="n">
        <f aca="false">IFERROR(S20/(S21*0.1467),0)</f>
        <v>0.321893365175163</v>
      </c>
      <c r="T31" s="72" t="n">
        <f aca="false">IFERROR(T20/(T21*0.1467),0)</f>
        <v>0.321893365175163</v>
      </c>
      <c r="U31" s="72" t="n">
        <f aca="false">IFERROR(U20/(U21*0.1467),0)</f>
        <v>0.321893365175163</v>
      </c>
      <c r="V31" s="72" t="n">
        <f aca="false">IFERROR(V20/(V21*0.1467),0)</f>
        <v>0.321893365175163</v>
      </c>
      <c r="W31" s="72" t="n">
        <f aca="false">IFERROR(W20/(W21*0.1467),0)</f>
        <v>0.321893365175163</v>
      </c>
      <c r="X31" s="72" t="n">
        <f aca="false">IFERROR(X20/(X21*0.1467),0)</f>
        <v>0.321893365175163</v>
      </c>
      <c r="Y31" s="72" t="n">
        <f aca="false">IFERROR(Y20/(Y21*0.1467),0)</f>
        <v>0.321893365175163</v>
      </c>
      <c r="Z31" s="72" t="n">
        <f aca="false">IFERROR(Z20/(Z21*0.1467),0)</f>
        <v>0.321893365175163</v>
      </c>
      <c r="AA31" s="72" t="n">
        <f aca="false">IFERROR(AA20/(AA21*0.1467),0)</f>
        <v>0.321893365175163</v>
      </c>
      <c r="AB31" s="72" t="n">
        <f aca="false">IFERROR(AB20/(AB21*0.1467),0)</f>
        <v>0.321893365175163</v>
      </c>
      <c r="AC31" s="72" t="n">
        <f aca="false">IFERROR(AC20/(AC21*0.1467),0)</f>
        <v>0.321893365175163</v>
      </c>
      <c r="AD31" s="72" t="n">
        <f aca="false">IFERROR(AD20/(AD21*0.1467),0)</f>
        <v>0.321893365175163</v>
      </c>
      <c r="AE31" s="72" t="n">
        <f aca="false">IFERROR(AE20/(AE21*0.1467),0)</f>
        <v>0.321893365175163</v>
      </c>
      <c r="AF31" s="72" t="n">
        <f aca="false">IFERROR(AF20/(AF21*0.1467),0)</f>
        <v>0.321893365175163</v>
      </c>
      <c r="AG31" s="72" t="n">
        <f aca="false">IFERROR(AG20/(AG21*0.1467),0)</f>
        <v>0.321893365175163</v>
      </c>
      <c r="AH31" s="72" t="n">
        <f aca="false">IFERROR(AH20/(AH21*0.1467),0)</f>
        <v>0.321893365175163</v>
      </c>
      <c r="AI31" s="72" t="n">
        <f aca="false">IFERROR(AI20/(AI21*0.1467),0)</f>
        <v>0.321893365175163</v>
      </c>
      <c r="AJ31" s="72" t="n">
        <f aca="false">IFERROR(AJ20/(AJ21*0.1467),0)</f>
        <v>0.321893365175163</v>
      </c>
      <c r="AK31" s="72" t="n">
        <f aca="false">IFERROR(AK20/(AK21*0.1467),0)</f>
        <v>0.321893365175163</v>
      </c>
      <c r="AL31" s="72" t="n">
        <f aca="false">IFERROR(AL20/(AL21*0.1467),0)</f>
        <v>0.321893365175163</v>
      </c>
      <c r="AM31" s="72" t="n">
        <f aca="false">IFERROR(AM20/(AM21*0.1467),0)</f>
        <v>0.321893365175163</v>
      </c>
      <c r="AN31" s="72" t="n">
        <f aca="false">IFERROR(AN20/(AN21*0.1467),0)</f>
        <v>0.321893365175163</v>
      </c>
      <c r="AO31" s="72" t="n">
        <f aca="false">IFERROR(AO20/(AO21*0.1467),0)</f>
        <v>0.321893365175163</v>
      </c>
      <c r="AP31" s="72" t="n">
        <f aca="false">IFERROR(AP20/(AP21*0.1467),0)</f>
        <v>0.321893365175163</v>
      </c>
      <c r="AQ31" s="72" t="n">
        <f aca="false">IFERROR(AQ20/(AQ21*0.1467),0)</f>
        <v>0.321893365175163</v>
      </c>
      <c r="AR31" s="72" t="n">
        <f aca="false">IFERROR(AR20/(AR21*0.1467),0)</f>
        <v>0.321893365175163</v>
      </c>
      <c r="AS31" s="72" t="n">
        <f aca="false">IFERROR(AS20/(AS21*0.1467),0)</f>
        <v>0.321893365175163</v>
      </c>
      <c r="AT31" s="72" t="n">
        <f aca="false">IFERROR(AT20/(AT21*0.1467),0)</f>
        <v>0.321893365175163</v>
      </c>
      <c r="AU31" s="72" t="n">
        <f aca="false">IFERROR(AU20/(AU21*0.1467),0)</f>
        <v>0.321893365175163</v>
      </c>
      <c r="AV31" s="72" t="n">
        <f aca="false">IFERROR(AV20/(AV21*0.1467),0)</f>
        <v>0.321893365175163</v>
      </c>
      <c r="AW31" s="72" t="n">
        <f aca="false">IFERROR(AW20/(AW21*0.1467),0)</f>
        <v>0.321893365175163</v>
      </c>
      <c r="AX31" s="72" t="n">
        <f aca="false">IFERROR(AX20/(AX21*0.1467),0)</f>
        <v>0.321893365175163</v>
      </c>
      <c r="AY31" s="72" t="n">
        <f aca="false">IFERROR(AY20/(AY21*0.1467),0)</f>
        <v>0.321893365175163</v>
      </c>
      <c r="AZ31" s="72" t="n">
        <f aca="false">IFERROR(AZ20/(AZ21*0.1467),0)</f>
        <v>0.321893365175163</v>
      </c>
      <c r="BA31" s="72" t="n">
        <f aca="false">IFERROR(BA20/(BA21*0.1467),0)</f>
        <v>0.321893365175163</v>
      </c>
      <c r="BB31" s="72" t="n">
        <f aca="false">IFERROR(BB20/(BB21*0.1467),0)</f>
        <v>0.321893365175163</v>
      </c>
      <c r="BC31" s="72" t="n">
        <f aca="false">IFERROR(BC20/(BC21*0.1467),0)</f>
        <v>0.321893365175163</v>
      </c>
      <c r="BD31" s="72" t="n">
        <f aca="false">IFERROR(BD20/(BD21*0.1467),0)</f>
        <v>0.321893365175163</v>
      </c>
      <c r="BE31" s="72" t="n">
        <f aca="false">IFERROR(BE20/(BE21*0.1467),0)</f>
        <v>0.321893365175163</v>
      </c>
      <c r="BF31" s="72" t="n">
        <f aca="false">IFERROR(BF20/(BF21*0.1467),0)</f>
        <v>0.321893365175163</v>
      </c>
      <c r="BG31" s="72" t="n">
        <f aca="false">IFERROR(BG20/(BG21*0.1467),0)</f>
        <v>0.321893365175163</v>
      </c>
      <c r="BH31" s="72" t="n">
        <f aca="false">IFERROR(BH20/(BH21*0.1467),0)</f>
        <v>0.321893365175163</v>
      </c>
      <c r="BI31" s="72" t="n">
        <f aca="false">IFERROR(BI20/(BI21*0.1467),0)</f>
        <v>0.321893365175163</v>
      </c>
      <c r="BJ31" s="72" t="n">
        <f aca="false">IFERROR(BJ20/(BJ21*0.1467),0)</f>
        <v>0.321893365175163</v>
      </c>
      <c r="BK31" s="72" t="n">
        <f aca="false">IFERROR(BK20/(BK21*0.1467),0)</f>
        <v>0.321893365175163</v>
      </c>
      <c r="BL31" s="72" t="n">
        <f aca="false">IFERROR(BL20/(BL21*0.1467),0)</f>
        <v>0.321893365175163</v>
      </c>
      <c r="BM31" s="72" t="n">
        <f aca="false">IFERROR(BM20/(BM21*0.1467),0)</f>
        <v>0.321893365175163</v>
      </c>
      <c r="BN31" s="72" t="n">
        <f aca="false">IFERROR(BN20/(BN21*0.1467),0)</f>
        <v>0.321893365175163</v>
      </c>
      <c r="BO31" s="72" t="n">
        <f aca="false">IFERROR(BO20/(BO21*0.1467),0)</f>
        <v>0.321893365175163</v>
      </c>
      <c r="BP31" s="72" t="n">
        <f aca="false">IFERROR(BP20/(BP21*0.1467),0)</f>
        <v>0.321893365175163</v>
      </c>
      <c r="BQ31" s="72" t="n">
        <f aca="false">IFERROR(BQ20/(BQ21*0.1467),0)</f>
        <v>0.321893365175163</v>
      </c>
      <c r="BR31" s="72" t="n">
        <f aca="false">IFERROR(BR20/(BR21*0.1467),0)</f>
        <v>0.321893365175163</v>
      </c>
      <c r="BS31" s="72" t="n">
        <f aca="false">IFERROR(BS20/(BS21*0.1467),0)</f>
        <v>0.321893365175163</v>
      </c>
      <c r="BT31" s="72" t="n">
        <f aca="false">IFERROR(BT20/(BT21*0.1467),0)</f>
        <v>0.321893365175163</v>
      </c>
      <c r="BU31" s="72" t="n">
        <f aca="false">IFERROR(BU20/(BU21*0.1467),0)</f>
        <v>0.321893365175163</v>
      </c>
      <c r="BV31" s="72" t="n">
        <f aca="false">IFERROR(BV20/(BV21*0.1467),0)</f>
        <v>0.321893365175163</v>
      </c>
      <c r="BW31" s="72" t="n">
        <f aca="false">IFERROR(BW20/(BW21*0.1467),0)</f>
        <v>0.321893365175163</v>
      </c>
      <c r="BX31" s="72" t="n">
        <f aca="false">IFERROR(BX20/(BX21*0.1467),0)</f>
        <v>0.321893365175163</v>
      </c>
      <c r="BY31" s="72" t="n">
        <f aca="false">IFERROR(BY20/(BY21*0.1467),0)</f>
        <v>0.321893365175163</v>
      </c>
      <c r="BZ31" s="72" t="n">
        <f aca="false">IFERROR(BZ20/(BZ21*0.1467),0)</f>
        <v>0.321893365175163</v>
      </c>
      <c r="CA31" s="72" t="n">
        <f aca="false">IFERROR(CA20/(CA21*0.1467),0)</f>
        <v>0.321893365175163</v>
      </c>
      <c r="CB31" s="72" t="n">
        <f aca="false">IFERROR(CB20/(CB21*0.1467),0)</f>
        <v>0.321893365175163</v>
      </c>
      <c r="CC31" s="72" t="n">
        <f aca="false">IFERROR(CC20/(CC21*0.1467),0)</f>
        <v>0.321893365175163</v>
      </c>
      <c r="CD31" s="72" t="n">
        <f aca="false">IFERROR(CD20/(CD21*0.1467),0)</f>
        <v>0.321893365175163</v>
      </c>
      <c r="CE31" s="72" t="n">
        <f aca="false">IFERROR(CE20/(CE21*0.1467),0)</f>
        <v>0.321893365175163</v>
      </c>
      <c r="CF31" s="72" t="n">
        <f aca="false">IFERROR(CF20/(CF21*0.1467),0)</f>
        <v>0.321893365175163</v>
      </c>
      <c r="CG31" s="72" t="n">
        <f aca="false">IFERROR(CG20/(CG21*0.1467),0)</f>
        <v>0.321893365175163</v>
      </c>
      <c r="CH31" s="72" t="n">
        <f aca="false">IFERROR(CH20/(CH21*0.1467),0)</f>
        <v>0.321893365175163</v>
      </c>
      <c r="CI31" s="72" t="n">
        <f aca="false">IFERROR(CI20/(CI21*0.1467),0)</f>
        <v>0.321893365175163</v>
      </c>
      <c r="CJ31" s="72" t="n">
        <f aca="false">IFERROR(CJ20/(CJ21*0.1467),0)</f>
        <v>0.321893365175163</v>
      </c>
      <c r="CK31" s="72" t="n">
        <f aca="false">IFERROR(CK20/(CK21*0.1467),0)</f>
        <v>0.321893365175163</v>
      </c>
      <c r="CL31" s="72" t="n">
        <f aca="false">IFERROR(CL20/(CL21*0.1467),0)</f>
        <v>0.321893365175163</v>
      </c>
      <c r="CM31" s="72" t="n">
        <f aca="false">IFERROR(CM20/(CM21*0.1467),0)</f>
        <v>0.321893365175163</v>
      </c>
      <c r="CN31" s="72" t="n">
        <f aca="false">IFERROR(CN20/(CN21*0.1467),0)</f>
        <v>0.321893365175163</v>
      </c>
      <c r="CO31" s="72" t="n">
        <f aca="false">IFERROR(CO20/(CO21*0.1467),0)</f>
        <v>0.321893365175163</v>
      </c>
      <c r="CP31" s="72" t="n">
        <f aca="false">IFERROR(CP20/(CP21*0.1467),0)</f>
        <v>0.321893365175163</v>
      </c>
      <c r="CQ31" s="72" t="n">
        <f aca="false">IFERROR(CQ20/(CQ21*0.1467),0)</f>
        <v>0.321893365175163</v>
      </c>
      <c r="CR31" s="72" t="n">
        <f aca="false">IFERROR(CR20/(CR21*0.1467),0)</f>
        <v>0.321893365175163</v>
      </c>
      <c r="CS31" s="72" t="n">
        <f aca="false">IFERROR(CS20/(CS21*0.1467),0)</f>
        <v>0.321893365175163</v>
      </c>
      <c r="CT31" s="72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50" t="s">
        <v>547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548</v>
      </c>
    </row>
    <row r="3" customFormat="false" ht="15" hidden="false" customHeight="true" outlineLevel="0" collapsed="false">
      <c r="B3" s="4" t="s">
        <v>549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8" customFormat="false" ht="15" hidden="false" customHeight="true" outlineLevel="0" collapsed="false">
      <c r="B8" s="9" t="s">
        <v>550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551</v>
      </c>
      <c r="C9" s="73" t="n">
        <f aca="false">Supuestos!$C$42</f>
        <v>0.125</v>
      </c>
      <c r="D9" s="73" t="n">
        <f aca="false">Supuestos!$C$42</f>
        <v>0.125</v>
      </c>
      <c r="E9" s="73" t="n">
        <f aca="false">Supuestos!$C$42</f>
        <v>0.125</v>
      </c>
      <c r="F9" s="73" t="n">
        <f aca="false">Supuestos!$C$42</f>
        <v>0.125</v>
      </c>
      <c r="G9" s="73" t="n">
        <f aca="false">Supuestos!$C$42</f>
        <v>0.125</v>
      </c>
      <c r="H9" s="73" t="n">
        <f aca="false">Supuestos!$C$42</f>
        <v>0.125</v>
      </c>
      <c r="I9" s="73" t="n">
        <f aca="false">Supuestos!$C$42</f>
        <v>0.125</v>
      </c>
      <c r="J9" s="73" t="n">
        <f aca="false">Supuestos!$C$42</f>
        <v>0.125</v>
      </c>
      <c r="K9" s="73" t="n">
        <f aca="false">Supuestos!$C$42</f>
        <v>0.125</v>
      </c>
      <c r="L9" s="73" t="n">
        <f aca="false">Supuestos!$C$42</f>
        <v>0.125</v>
      </c>
      <c r="M9" s="73" t="n">
        <f aca="false">Supuestos!$C$42</f>
        <v>0.125</v>
      </c>
      <c r="N9" s="73" t="n">
        <f aca="false">Supuestos!$C$42</f>
        <v>0.125</v>
      </c>
      <c r="O9" s="73" t="n">
        <f aca="false">Supuestos!$C$43</f>
        <v>0.25</v>
      </c>
      <c r="P9" s="73" t="n">
        <f aca="false">Supuestos!$C$43</f>
        <v>0.25</v>
      </c>
      <c r="Q9" s="73" t="n">
        <f aca="false">Supuestos!$C$43</f>
        <v>0.25</v>
      </c>
      <c r="R9" s="73" t="n">
        <f aca="false">Supuestos!$C$43</f>
        <v>0.25</v>
      </c>
      <c r="S9" s="73" t="n">
        <f aca="false">Supuestos!$C$43</f>
        <v>0.25</v>
      </c>
      <c r="T9" s="73" t="n">
        <f aca="false">Supuestos!$C$43</f>
        <v>0.25</v>
      </c>
      <c r="U9" s="73" t="n">
        <f aca="false">Supuestos!$C$43</f>
        <v>0.25</v>
      </c>
      <c r="V9" s="73" t="n">
        <f aca="false">Supuestos!$C$43</f>
        <v>0.25</v>
      </c>
      <c r="W9" s="73" t="n">
        <f aca="false">Supuestos!$C$43</f>
        <v>0.25</v>
      </c>
      <c r="X9" s="73" t="n">
        <f aca="false">Supuestos!$C$43</f>
        <v>0.25</v>
      </c>
      <c r="Y9" s="73" t="n">
        <f aca="false">Supuestos!$C$43</f>
        <v>0.25</v>
      </c>
      <c r="Z9" s="73" t="n">
        <f aca="false">Supuestos!$C$43</f>
        <v>0.25</v>
      </c>
      <c r="AA9" s="73" t="n">
        <f aca="false">Supuestos!$C$44</f>
        <v>0.375</v>
      </c>
      <c r="AB9" s="73" t="n">
        <f aca="false">Supuestos!$C$44</f>
        <v>0.375</v>
      </c>
      <c r="AC9" s="73" t="n">
        <f aca="false">Supuestos!$C$44</f>
        <v>0.375</v>
      </c>
      <c r="AD9" s="73" t="n">
        <f aca="false">Supuestos!$C$44</f>
        <v>0.375</v>
      </c>
      <c r="AE9" s="73" t="n">
        <f aca="false">Supuestos!$C$44</f>
        <v>0.375</v>
      </c>
      <c r="AF9" s="73" t="n">
        <f aca="false">Supuestos!$C$44</f>
        <v>0.375</v>
      </c>
      <c r="AG9" s="73" t="n">
        <f aca="false">Supuestos!$C$44</f>
        <v>0.375</v>
      </c>
      <c r="AH9" s="73" t="n">
        <f aca="false">Supuestos!$C$44</f>
        <v>0.375</v>
      </c>
      <c r="AI9" s="73" t="n">
        <f aca="false">Supuestos!$C$44</f>
        <v>0.375</v>
      </c>
      <c r="AJ9" s="73" t="n">
        <f aca="false">Supuestos!$C$44</f>
        <v>0.375</v>
      </c>
      <c r="AK9" s="73" t="n">
        <f aca="false">Supuestos!$C$44</f>
        <v>0.375</v>
      </c>
      <c r="AL9" s="73" t="n">
        <f aca="false">Supuestos!$C$44</f>
        <v>0.375</v>
      </c>
      <c r="AM9" s="73" t="n">
        <f aca="false">Supuestos!$C$45</f>
        <v>0.5</v>
      </c>
      <c r="AN9" s="73" t="n">
        <f aca="false">Supuestos!$C$45</f>
        <v>0.5</v>
      </c>
      <c r="AO9" s="73" t="n">
        <f aca="false">Supuestos!$C$45</f>
        <v>0.5</v>
      </c>
      <c r="AP9" s="73" t="n">
        <f aca="false">Supuestos!$C$45</f>
        <v>0.5</v>
      </c>
      <c r="AQ9" s="73" t="n">
        <f aca="false">Supuestos!$C$45</f>
        <v>0.5</v>
      </c>
      <c r="AR9" s="73" t="n">
        <f aca="false">Supuestos!$C$45</f>
        <v>0.5</v>
      </c>
      <c r="AS9" s="73" t="n">
        <f aca="false">Supuestos!$C$45</f>
        <v>0.5</v>
      </c>
      <c r="AT9" s="73" t="n">
        <f aca="false">Supuestos!$C$45</f>
        <v>0.5</v>
      </c>
      <c r="AU9" s="73" t="n">
        <f aca="false">Supuestos!$C$45</f>
        <v>0.5</v>
      </c>
      <c r="AV9" s="73" t="n">
        <f aca="false">Supuestos!$C$45</f>
        <v>0.5</v>
      </c>
      <c r="AW9" s="73" t="n">
        <f aca="false">Supuestos!$C$45</f>
        <v>0.5</v>
      </c>
      <c r="AX9" s="73" t="n">
        <f aca="false">Supuestos!$C$45</f>
        <v>0.5</v>
      </c>
      <c r="AY9" s="73" t="n">
        <f aca="false">Supuestos!$C$46</f>
        <v>0.5</v>
      </c>
      <c r="AZ9" s="73" t="n">
        <f aca="false">Supuestos!$C$46</f>
        <v>0.5</v>
      </c>
      <c r="BA9" s="73" t="n">
        <f aca="false">Supuestos!$C$46</f>
        <v>0.5</v>
      </c>
      <c r="BB9" s="73" t="n">
        <f aca="false">Supuestos!$C$46</f>
        <v>0.5</v>
      </c>
      <c r="BC9" s="73" t="n">
        <f aca="false">Supuestos!$C$46</f>
        <v>0.5</v>
      </c>
      <c r="BD9" s="73" t="n">
        <f aca="false">Supuestos!$C$46</f>
        <v>0.5</v>
      </c>
      <c r="BE9" s="73" t="n">
        <f aca="false">Supuestos!$C$46</f>
        <v>0.5</v>
      </c>
      <c r="BF9" s="73" t="n">
        <f aca="false">Supuestos!$C$46</f>
        <v>0.5</v>
      </c>
      <c r="BG9" s="73" t="n">
        <f aca="false">Supuestos!$C$46</f>
        <v>0.5</v>
      </c>
      <c r="BH9" s="73" t="n">
        <f aca="false">Supuestos!$C$46</f>
        <v>0.5</v>
      </c>
      <c r="BI9" s="73" t="n">
        <f aca="false">Supuestos!$C$46</f>
        <v>0.5</v>
      </c>
      <c r="BJ9" s="73" t="n">
        <f aca="false">Supuestos!$C$46</f>
        <v>0.5</v>
      </c>
      <c r="BK9" s="73" t="n">
        <f aca="false">Supuestos!$C$46</f>
        <v>0.5</v>
      </c>
      <c r="BL9" s="73" t="n">
        <f aca="false">Supuestos!$C$46</f>
        <v>0.5</v>
      </c>
      <c r="BM9" s="73" t="n">
        <f aca="false">Supuestos!$C$46</f>
        <v>0.5</v>
      </c>
      <c r="BN9" s="73" t="n">
        <f aca="false">Supuestos!$C$46</f>
        <v>0.5</v>
      </c>
      <c r="BO9" s="73" t="n">
        <f aca="false">Supuestos!$C$46</f>
        <v>0.5</v>
      </c>
      <c r="BP9" s="73" t="n">
        <f aca="false">Supuestos!$C$46</f>
        <v>0.5</v>
      </c>
      <c r="BQ9" s="73" t="n">
        <f aca="false">Supuestos!$C$46</f>
        <v>0.5</v>
      </c>
      <c r="BR9" s="73" t="n">
        <f aca="false">Supuestos!$C$46</f>
        <v>0.5</v>
      </c>
      <c r="BS9" s="73" t="n">
        <f aca="false">Supuestos!$C$46</f>
        <v>0.5</v>
      </c>
      <c r="BT9" s="73" t="n">
        <f aca="false">Supuestos!$C$46</f>
        <v>0.5</v>
      </c>
      <c r="BU9" s="73" t="n">
        <f aca="false">Supuestos!$C$46</f>
        <v>0.5</v>
      </c>
      <c r="BV9" s="73" t="n">
        <f aca="false">Supuestos!$C$46</f>
        <v>0.5</v>
      </c>
      <c r="BW9" s="73" t="n">
        <f aca="false">Supuestos!$C$46</f>
        <v>0.5</v>
      </c>
      <c r="BX9" s="73" t="n">
        <f aca="false">Supuestos!$C$46</f>
        <v>0.5</v>
      </c>
      <c r="BY9" s="73" t="n">
        <f aca="false">Supuestos!$C$46</f>
        <v>0.5</v>
      </c>
      <c r="BZ9" s="73" t="n">
        <f aca="false">Supuestos!$C$46</f>
        <v>0.5</v>
      </c>
      <c r="CA9" s="73" t="n">
        <f aca="false">Supuestos!$C$46</f>
        <v>0.5</v>
      </c>
      <c r="CB9" s="73" t="n">
        <f aca="false">Supuestos!$C$46</f>
        <v>0.5</v>
      </c>
      <c r="CC9" s="73" t="n">
        <f aca="false">Supuestos!$C$46</f>
        <v>0.5</v>
      </c>
      <c r="CD9" s="73" t="n">
        <f aca="false">Supuestos!$C$46</f>
        <v>0.5</v>
      </c>
      <c r="CE9" s="73" t="n">
        <f aca="false">Supuestos!$C$46</f>
        <v>0.5</v>
      </c>
      <c r="CF9" s="73" t="n">
        <f aca="false">Supuestos!$C$46</f>
        <v>0.5</v>
      </c>
      <c r="CG9" s="73" t="n">
        <f aca="false">Supuestos!$C$46</f>
        <v>0.5</v>
      </c>
      <c r="CH9" s="73" t="n">
        <f aca="false">Supuestos!$C$46</f>
        <v>0.5</v>
      </c>
      <c r="CI9" s="73" t="n">
        <f aca="false">Supuestos!$C$46</f>
        <v>0.5</v>
      </c>
      <c r="CJ9" s="73" t="n">
        <f aca="false">Supuestos!$C$46</f>
        <v>0.5</v>
      </c>
      <c r="CK9" s="73" t="n">
        <f aca="false">Supuestos!$C$46</f>
        <v>0.5</v>
      </c>
      <c r="CL9" s="73" t="n">
        <f aca="false">Supuestos!$C$46</f>
        <v>0.5</v>
      </c>
      <c r="CM9" s="73" t="n">
        <f aca="false">Supuestos!$C$46</f>
        <v>0.5</v>
      </c>
      <c r="CN9" s="73" t="n">
        <f aca="false">Supuestos!$C$46</f>
        <v>0.5</v>
      </c>
      <c r="CO9" s="73" t="n">
        <f aca="false">Supuestos!$C$46</f>
        <v>0.5</v>
      </c>
      <c r="CP9" s="73" t="n">
        <f aca="false">Supuestos!$C$46</f>
        <v>0.5</v>
      </c>
      <c r="CQ9" s="73" t="n">
        <f aca="false">Supuestos!$C$46</f>
        <v>0.5</v>
      </c>
      <c r="CR9" s="73" t="n">
        <f aca="false">Supuestos!$C$46</f>
        <v>0.5</v>
      </c>
      <c r="CS9" s="73" t="n">
        <f aca="false">Supuestos!$C$46</f>
        <v>0.5</v>
      </c>
      <c r="CT9" s="73" t="n">
        <f aca="false">Supuestos!$C$46</f>
        <v>0.5</v>
      </c>
    </row>
    <row r="10" customFormat="false" ht="15" hidden="false" customHeight="true" outlineLevel="0" collapsed="false">
      <c r="B10" s="58" t="s">
        <v>552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553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554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555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4" t="s">
        <v>556</v>
      </c>
      <c r="C15" s="74" t="s">
        <v>557</v>
      </c>
      <c r="D15" s="74" t="s">
        <v>558</v>
      </c>
      <c r="E15" s="74" t="s">
        <v>559</v>
      </c>
      <c r="F15" s="74" t="s">
        <v>560</v>
      </c>
      <c r="G15" s="74" t="s">
        <v>561</v>
      </c>
      <c r="H15" s="74" t="s">
        <v>562</v>
      </c>
      <c r="I15" s="74" t="s">
        <v>563</v>
      </c>
      <c r="J15" s="74" t="s">
        <v>564</v>
      </c>
    </row>
    <row r="16" customFormat="false" ht="15" hidden="false" customHeight="true" outlineLevel="0" collapsed="false">
      <c r="B16" s="9" t="s">
        <v>565</v>
      </c>
      <c r="C16" s="75" t="n">
        <v>74832</v>
      </c>
      <c r="D16" s="33" t="n">
        <v>0.340009</v>
      </c>
      <c r="E16" s="33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566</v>
      </c>
      <c r="C17" s="75" t="n">
        <v>63719</v>
      </c>
      <c r="D17" s="33" t="n">
        <v>0.330401</v>
      </c>
      <c r="E17" s="33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567</v>
      </c>
      <c r="C18" s="75" t="n">
        <v>64978</v>
      </c>
      <c r="D18" s="33" t="n">
        <v>0.105423</v>
      </c>
      <c r="E18" s="33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568</v>
      </c>
      <c r="C19" s="75" t="n">
        <v>45872</v>
      </c>
      <c r="D19" s="33" t="n">
        <v>0.103026</v>
      </c>
      <c r="E19" s="33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569</v>
      </c>
      <c r="C20" s="75" t="n">
        <v>35542</v>
      </c>
      <c r="D20" s="33" t="n">
        <v>0.101194</v>
      </c>
      <c r="E20" s="33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570</v>
      </c>
      <c r="C21" s="75" t="n">
        <v>11035</v>
      </c>
      <c r="D21" s="33" t="n">
        <v>0.019947</v>
      </c>
      <c r="E21" s="33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412</v>
      </c>
      <c r="C22" s="76" t="n">
        <f aca="false">SUM(C16:C21)</f>
        <v>295978</v>
      </c>
      <c r="D22" s="77" t="n">
        <f aca="false">SUM(D16:D21)</f>
        <v>1</v>
      </c>
      <c r="E22" s="77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571</v>
      </c>
    </row>
    <row r="25" customFormat="false" ht="15" hidden="false" customHeight="true" outlineLevel="0" collapsed="false">
      <c r="B25" s="62" t="s">
        <v>572</v>
      </c>
    </row>
    <row r="27" customFormat="false" ht="15" hidden="false" customHeight="false" outlineLevel="0" collapsed="false">
      <c r="B27" s="78" t="s">
        <v>573</v>
      </c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B28" s="2" t="s">
        <v>574</v>
      </c>
      <c r="C28" s="47" t="n">
        <v>928</v>
      </c>
      <c r="D28" s="50" t="s">
        <v>575</v>
      </c>
      <c r="E28" s="2"/>
      <c r="F28" s="2"/>
      <c r="G28" s="2"/>
      <c r="H28" s="2"/>
    </row>
    <row r="29" customFormat="false" ht="15" hidden="false" customHeight="false" outlineLevel="0" collapsed="false">
      <c r="B29" s="51" t="s">
        <v>556</v>
      </c>
      <c r="C29" s="51" t="s">
        <v>576</v>
      </c>
      <c r="D29" s="51" t="s">
        <v>577</v>
      </c>
      <c r="E29" s="51" t="s">
        <v>578</v>
      </c>
      <c r="F29" s="51" t="s">
        <v>579</v>
      </c>
      <c r="G29" s="51" t="s">
        <v>580</v>
      </c>
      <c r="H29" s="2"/>
    </row>
    <row r="30" customFormat="false" ht="15" hidden="false" customHeight="false" outlineLevel="0" collapsed="false">
      <c r="B30" s="79" t="str">
        <f aca="false">B16</f>
        <v>Boulogne Sur Mer</v>
      </c>
      <c r="C30" s="80" t="n">
        <f aca="false">D16</f>
        <v>0.340009</v>
      </c>
      <c r="D30" s="81" t="n">
        <f aca="false">$C$28*C30</f>
        <v>315.528352</v>
      </c>
      <c r="E30" s="82" t="n">
        <f aca="false">INT(D30)</f>
        <v>315</v>
      </c>
      <c r="F30" s="81" t="n">
        <f aca="false">D30-E30</f>
        <v>0.528351999999984</v>
      </c>
      <c r="G30" s="83" t="n">
        <f aca="false">E30+IF(RANK(F30,$F$30:$F$35,0)&lt;=$C$28-SUM($E$30:$E$35),1,0)</f>
        <v>315</v>
      </c>
      <c r="H30" s="2"/>
    </row>
    <row r="31" customFormat="false" ht="15" hidden="false" customHeight="false" outlineLevel="0" collapsed="false">
      <c r="B31" s="79" t="str">
        <f aca="false">B17</f>
        <v>Béccar</v>
      </c>
      <c r="C31" s="80" t="n">
        <f aca="false">D17</f>
        <v>0.330401</v>
      </c>
      <c r="D31" s="81" t="n">
        <f aca="false">$C$28*C31</f>
        <v>306.612128</v>
      </c>
      <c r="E31" s="82" t="n">
        <f aca="false">INT(D31)</f>
        <v>306</v>
      </c>
      <c r="F31" s="81" t="n">
        <f aca="false">D31-E31</f>
        <v>0.612127999999984</v>
      </c>
      <c r="G31" s="83" t="n">
        <f aca="false">E31+IF(RANK(F31,$F$30:$F$35,0)&lt;=$C$28-SUM($E$30:$E$35),1,0)</f>
        <v>307</v>
      </c>
      <c r="H31" s="2"/>
    </row>
    <row r="32" customFormat="false" ht="15" hidden="false" customHeight="false" outlineLevel="0" collapsed="false">
      <c r="B32" s="79" t="str">
        <f aca="false">B18</f>
        <v>Martínez</v>
      </c>
      <c r="C32" s="80" t="n">
        <f aca="false">D18</f>
        <v>0.105423</v>
      </c>
      <c r="D32" s="81" t="n">
        <f aca="false">$C$28*C32</f>
        <v>97.832544</v>
      </c>
      <c r="E32" s="82" t="n">
        <f aca="false">INT(D32)</f>
        <v>97</v>
      </c>
      <c r="F32" s="81" t="n">
        <f aca="false">D32-E32</f>
        <v>0.832543999999999</v>
      </c>
      <c r="G32" s="83" t="n">
        <f aca="false">E32+IF(RANK(F32,$F$30:$F$35,0)&lt;=$C$28-SUM($E$30:$E$35),1,0)</f>
        <v>98</v>
      </c>
      <c r="H32" s="2"/>
    </row>
    <row r="33" customFormat="false" ht="15" hidden="false" customHeight="false" outlineLevel="0" collapsed="false">
      <c r="B33" s="79" t="str">
        <f aca="false">B19</f>
        <v>San Isidro</v>
      </c>
      <c r="C33" s="80" t="n">
        <f aca="false">D19</f>
        <v>0.103026</v>
      </c>
      <c r="D33" s="81" t="n">
        <f aca="false">$C$28*C33</f>
        <v>95.608128</v>
      </c>
      <c r="E33" s="82" t="n">
        <f aca="false">INT(D33)</f>
        <v>95</v>
      </c>
      <c r="F33" s="81" t="n">
        <f aca="false">D33-E33</f>
        <v>0.608128000000008</v>
      </c>
      <c r="G33" s="83" t="n">
        <f aca="false">E33+IF(RANK(F33,$F$30:$F$35,0)&lt;=$C$28-SUM($E$30:$E$35),1,0)</f>
        <v>96</v>
      </c>
      <c r="H33" s="2"/>
    </row>
    <row r="34" customFormat="false" ht="15" hidden="false" customHeight="false" outlineLevel="0" collapsed="false">
      <c r="B34" s="79" t="str">
        <f aca="false">B20</f>
        <v>Villa Adelina</v>
      </c>
      <c r="C34" s="80" t="n">
        <f aca="false">D20</f>
        <v>0.101194</v>
      </c>
      <c r="D34" s="81" t="n">
        <f aca="false">$C$28*C34</f>
        <v>93.908032</v>
      </c>
      <c r="E34" s="82" t="n">
        <f aca="false">INT(D34)</f>
        <v>93</v>
      </c>
      <c r="F34" s="81" t="n">
        <f aca="false">D34-E34</f>
        <v>0.908032000000006</v>
      </c>
      <c r="G34" s="83" t="n">
        <f aca="false">E34+IF(RANK(F34,$F$30:$F$35,0)&lt;=$C$28-SUM($E$30:$E$35),1,0)</f>
        <v>94</v>
      </c>
      <c r="H34" s="2"/>
    </row>
    <row r="35" customFormat="false" ht="15" hidden="false" customHeight="false" outlineLevel="0" collapsed="false">
      <c r="B35" s="79" t="str">
        <f aca="false">B21</f>
        <v>Acassuso</v>
      </c>
      <c r="C35" s="80" t="n">
        <f aca="false">D21</f>
        <v>0.019947</v>
      </c>
      <c r="D35" s="81" t="n">
        <f aca="false">$C$28*C35</f>
        <v>18.510816</v>
      </c>
      <c r="E35" s="82" t="n">
        <f aca="false">INT(D35)</f>
        <v>18</v>
      </c>
      <c r="F35" s="81" t="n">
        <f aca="false">D35-E35</f>
        <v>0.510815999999998</v>
      </c>
      <c r="G35" s="83" t="n">
        <f aca="false">E35+IF(RANK(F35,$F$30:$F$35,0)&lt;=$C$28-SUM($E$30:$E$35),1,0)</f>
        <v>18</v>
      </c>
      <c r="H35" s="2"/>
    </row>
    <row r="36" customFormat="false" ht="15" hidden="false" customHeight="false" outlineLevel="0" collapsed="false">
      <c r="B36" s="84" t="s">
        <v>412</v>
      </c>
      <c r="C36" s="85" t="n">
        <f aca="false">SUM(C30:C35)</f>
        <v>1</v>
      </c>
      <c r="D36" s="85" t="n">
        <f aca="false">SUM(D30:D35)</f>
        <v>928</v>
      </c>
      <c r="E36" s="86" t="n">
        <f aca="false">SUM(E30:E35)</f>
        <v>924</v>
      </c>
      <c r="F36" s="2"/>
      <c r="G36" s="86" t="n">
        <f aca="false">SUM(G30:G35)</f>
        <v>928</v>
      </c>
      <c r="H36" s="2"/>
    </row>
    <row r="37" customFormat="false" ht="15" hidden="false" customHeight="false" outlineLevel="0" collapsed="false">
      <c r="B37" s="50" t="s">
        <v>581</v>
      </c>
      <c r="C37" s="2"/>
      <c r="D37" s="2"/>
      <c r="E37" s="2"/>
      <c r="F37" s="2"/>
      <c r="G37" s="2"/>
      <c r="H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582</v>
      </c>
    </row>
    <row r="3" customFormat="false" ht="15" hidden="false" customHeight="true" outlineLevel="0" collapsed="false">
      <c r="B3" s="4" t="s">
        <v>583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7" customFormat="false" ht="15" hidden="false" customHeight="true" outlineLevel="0" collapsed="false">
      <c r="B7" s="9" t="s">
        <v>584</v>
      </c>
      <c r="C7" s="87" t="n">
        <f aca="false">MIN((0+1)/4,1)</f>
        <v>0.25</v>
      </c>
      <c r="D7" s="87" t="n">
        <f aca="false">MIN((0+1)/4,1)</f>
        <v>0.25</v>
      </c>
      <c r="E7" s="87" t="n">
        <f aca="false">MIN((0+1)/4,1)</f>
        <v>0.25</v>
      </c>
      <c r="F7" s="87" t="n">
        <f aca="false">MIN((0+1)/4,1)</f>
        <v>0.25</v>
      </c>
      <c r="G7" s="87" t="n">
        <f aca="false">MIN((0+1)/4,1)</f>
        <v>0.25</v>
      </c>
      <c r="H7" s="87" t="n">
        <f aca="false">MIN((0+1)/4,1)</f>
        <v>0.25</v>
      </c>
      <c r="I7" s="87" t="n">
        <f aca="false">MIN((0+1)/4,1)</f>
        <v>0.25</v>
      </c>
      <c r="J7" s="87" t="n">
        <f aca="false">MIN((0+1)/4,1)</f>
        <v>0.25</v>
      </c>
      <c r="K7" s="87" t="n">
        <f aca="false">MIN((0+1)/4,1)</f>
        <v>0.25</v>
      </c>
      <c r="L7" s="87" t="n">
        <f aca="false">MIN((0+1)/4,1)</f>
        <v>0.25</v>
      </c>
      <c r="M7" s="87" t="n">
        <f aca="false">MIN((0+1)/4,1)</f>
        <v>0.25</v>
      </c>
      <c r="N7" s="87" t="n">
        <f aca="false">MIN((0+1)/4,1)</f>
        <v>0.25</v>
      </c>
      <c r="O7" s="87" t="n">
        <f aca="false">MIN((1+1)/4,1)</f>
        <v>0.5</v>
      </c>
      <c r="P7" s="87" t="n">
        <f aca="false">MIN((1+1)/4,1)</f>
        <v>0.5</v>
      </c>
      <c r="Q7" s="87" t="n">
        <f aca="false">MIN((1+1)/4,1)</f>
        <v>0.5</v>
      </c>
      <c r="R7" s="87" t="n">
        <f aca="false">MIN((1+1)/4,1)</f>
        <v>0.5</v>
      </c>
      <c r="S7" s="87" t="n">
        <f aca="false">MIN((1+1)/4,1)</f>
        <v>0.5</v>
      </c>
      <c r="T7" s="87" t="n">
        <f aca="false">MIN((1+1)/4,1)</f>
        <v>0.5</v>
      </c>
      <c r="U7" s="87" t="n">
        <f aca="false">MIN((1+1)/4,1)</f>
        <v>0.5</v>
      </c>
      <c r="V7" s="87" t="n">
        <f aca="false">MIN((1+1)/4,1)</f>
        <v>0.5</v>
      </c>
      <c r="W7" s="87" t="n">
        <f aca="false">MIN((1+1)/4,1)</f>
        <v>0.5</v>
      </c>
      <c r="X7" s="87" t="n">
        <f aca="false">MIN((1+1)/4,1)</f>
        <v>0.5</v>
      </c>
      <c r="Y7" s="87" t="n">
        <f aca="false">MIN((1+1)/4,1)</f>
        <v>0.5</v>
      </c>
      <c r="Z7" s="87" t="n">
        <f aca="false">MIN((1+1)/4,1)</f>
        <v>0.5</v>
      </c>
      <c r="AA7" s="87" t="n">
        <f aca="false">MIN((2+1)/4,1)</f>
        <v>0.75</v>
      </c>
      <c r="AB7" s="87" t="n">
        <f aca="false">MIN((2+1)/4,1)</f>
        <v>0.75</v>
      </c>
      <c r="AC7" s="87" t="n">
        <f aca="false">MIN((2+1)/4,1)</f>
        <v>0.75</v>
      </c>
      <c r="AD7" s="87" t="n">
        <f aca="false">MIN((2+1)/4,1)</f>
        <v>0.75</v>
      </c>
      <c r="AE7" s="87" t="n">
        <f aca="false">MIN((2+1)/4,1)</f>
        <v>0.75</v>
      </c>
      <c r="AF7" s="87" t="n">
        <f aca="false">MIN((2+1)/4,1)</f>
        <v>0.75</v>
      </c>
      <c r="AG7" s="87" t="n">
        <f aca="false">MIN((2+1)/4,1)</f>
        <v>0.75</v>
      </c>
      <c r="AH7" s="87" t="n">
        <f aca="false">MIN((2+1)/4,1)</f>
        <v>0.75</v>
      </c>
      <c r="AI7" s="87" t="n">
        <f aca="false">MIN((2+1)/4,1)</f>
        <v>0.75</v>
      </c>
      <c r="AJ7" s="87" t="n">
        <f aca="false">MIN((2+1)/4,1)</f>
        <v>0.75</v>
      </c>
      <c r="AK7" s="87" t="n">
        <f aca="false">MIN((2+1)/4,1)</f>
        <v>0.75</v>
      </c>
      <c r="AL7" s="87" t="n">
        <f aca="false">MIN((2+1)/4,1)</f>
        <v>0.75</v>
      </c>
      <c r="AM7" s="87" t="n">
        <f aca="false">MIN((3+1)/4,1)</f>
        <v>1</v>
      </c>
      <c r="AN7" s="87" t="n">
        <f aca="false">MIN((3+1)/4,1)</f>
        <v>1</v>
      </c>
      <c r="AO7" s="87" t="n">
        <f aca="false">MIN((3+1)/4,1)</f>
        <v>1</v>
      </c>
      <c r="AP7" s="87" t="n">
        <f aca="false">MIN((3+1)/4,1)</f>
        <v>1</v>
      </c>
      <c r="AQ7" s="87" t="n">
        <f aca="false">MIN((3+1)/4,1)</f>
        <v>1</v>
      </c>
      <c r="AR7" s="87" t="n">
        <f aca="false">MIN((3+1)/4,1)</f>
        <v>1</v>
      </c>
      <c r="AS7" s="87" t="n">
        <f aca="false">MIN((3+1)/4,1)</f>
        <v>1</v>
      </c>
      <c r="AT7" s="87" t="n">
        <f aca="false">MIN((3+1)/4,1)</f>
        <v>1</v>
      </c>
      <c r="AU7" s="87" t="n">
        <f aca="false">MIN((3+1)/4,1)</f>
        <v>1</v>
      </c>
      <c r="AV7" s="87" t="n">
        <f aca="false">MIN((3+1)/4,1)</f>
        <v>1</v>
      </c>
      <c r="AW7" s="87" t="n">
        <f aca="false">MIN((3+1)/4,1)</f>
        <v>1</v>
      </c>
      <c r="AX7" s="87" t="n">
        <f aca="false">MIN((3+1)/4,1)</f>
        <v>1</v>
      </c>
      <c r="AY7" s="87" t="n">
        <f aca="false">MIN((4+1)/4,1)</f>
        <v>1</v>
      </c>
      <c r="AZ7" s="87" t="n">
        <f aca="false">MIN((4+1)/4,1)</f>
        <v>1</v>
      </c>
      <c r="BA7" s="87" t="n">
        <f aca="false">MIN((4+1)/4,1)</f>
        <v>1</v>
      </c>
      <c r="BB7" s="87" t="n">
        <f aca="false">MIN((4+1)/4,1)</f>
        <v>1</v>
      </c>
      <c r="BC7" s="87" t="n">
        <f aca="false">MIN((4+1)/4,1)</f>
        <v>1</v>
      </c>
      <c r="BD7" s="87" t="n">
        <f aca="false">MIN((4+1)/4,1)</f>
        <v>1</v>
      </c>
      <c r="BE7" s="87" t="n">
        <f aca="false">MIN((4+1)/4,1)</f>
        <v>1</v>
      </c>
      <c r="BF7" s="87" t="n">
        <f aca="false">MIN((4+1)/4,1)</f>
        <v>1</v>
      </c>
      <c r="BG7" s="87" t="n">
        <f aca="false">MIN((4+1)/4,1)</f>
        <v>1</v>
      </c>
      <c r="BH7" s="87" t="n">
        <f aca="false">MIN((4+1)/4,1)</f>
        <v>1</v>
      </c>
      <c r="BI7" s="87" t="n">
        <f aca="false">MIN((4+1)/4,1)</f>
        <v>1</v>
      </c>
      <c r="BJ7" s="87" t="n">
        <f aca="false">MIN((4+1)/4,1)</f>
        <v>1</v>
      </c>
      <c r="BK7" s="87" t="n">
        <f aca="false">MIN((5+1)/4,1)</f>
        <v>1</v>
      </c>
      <c r="BL7" s="87" t="n">
        <f aca="false">MIN((5+1)/4,1)</f>
        <v>1</v>
      </c>
      <c r="BM7" s="87" t="n">
        <f aca="false">MIN((5+1)/4,1)</f>
        <v>1</v>
      </c>
      <c r="BN7" s="87" t="n">
        <f aca="false">MIN((5+1)/4,1)</f>
        <v>1</v>
      </c>
      <c r="BO7" s="87" t="n">
        <f aca="false">MIN((5+1)/4,1)</f>
        <v>1</v>
      </c>
      <c r="BP7" s="87" t="n">
        <f aca="false">MIN((5+1)/4,1)</f>
        <v>1</v>
      </c>
      <c r="BQ7" s="87" t="n">
        <f aca="false">MIN((5+1)/4,1)</f>
        <v>1</v>
      </c>
      <c r="BR7" s="87" t="n">
        <f aca="false">MIN((5+1)/4,1)</f>
        <v>1</v>
      </c>
      <c r="BS7" s="87" t="n">
        <f aca="false">MIN((5+1)/4,1)</f>
        <v>1</v>
      </c>
      <c r="BT7" s="87" t="n">
        <f aca="false">MIN((5+1)/4,1)</f>
        <v>1</v>
      </c>
      <c r="BU7" s="87" t="n">
        <f aca="false">MIN((5+1)/4,1)</f>
        <v>1</v>
      </c>
      <c r="BV7" s="87" t="n">
        <f aca="false">MIN((5+1)/4,1)</f>
        <v>1</v>
      </c>
      <c r="BW7" s="87" t="n">
        <f aca="false">MIN((6+1)/4,1)</f>
        <v>1</v>
      </c>
      <c r="BX7" s="87" t="n">
        <f aca="false">MIN((6+1)/4,1)</f>
        <v>1</v>
      </c>
      <c r="BY7" s="87" t="n">
        <f aca="false">MIN((6+1)/4,1)</f>
        <v>1</v>
      </c>
      <c r="BZ7" s="87" t="n">
        <f aca="false">MIN((6+1)/4,1)</f>
        <v>1</v>
      </c>
      <c r="CA7" s="87" t="n">
        <f aca="false">MIN((6+1)/4,1)</f>
        <v>1</v>
      </c>
      <c r="CB7" s="87" t="n">
        <f aca="false">MIN((6+1)/4,1)</f>
        <v>1</v>
      </c>
      <c r="CC7" s="87" t="n">
        <f aca="false">MIN((6+1)/4,1)</f>
        <v>1</v>
      </c>
      <c r="CD7" s="87" t="n">
        <f aca="false">MIN((6+1)/4,1)</f>
        <v>1</v>
      </c>
      <c r="CE7" s="87" t="n">
        <f aca="false">MIN((6+1)/4,1)</f>
        <v>1</v>
      </c>
      <c r="CF7" s="87" t="n">
        <f aca="false">MIN((6+1)/4,1)</f>
        <v>1</v>
      </c>
      <c r="CG7" s="87" t="n">
        <f aca="false">MIN((6+1)/4,1)</f>
        <v>1</v>
      </c>
      <c r="CH7" s="87" t="n">
        <f aca="false">MIN((6+1)/4,1)</f>
        <v>1</v>
      </c>
      <c r="CI7" s="87" t="n">
        <f aca="false">MIN((7+1)/4,1)</f>
        <v>1</v>
      </c>
      <c r="CJ7" s="87" t="n">
        <f aca="false">MIN((7+1)/4,1)</f>
        <v>1</v>
      </c>
      <c r="CK7" s="87" t="n">
        <f aca="false">MIN((7+1)/4,1)</f>
        <v>1</v>
      </c>
      <c r="CL7" s="87" t="n">
        <f aca="false">MIN((7+1)/4,1)</f>
        <v>1</v>
      </c>
      <c r="CM7" s="87" t="n">
        <f aca="false">MIN((7+1)/4,1)</f>
        <v>1</v>
      </c>
      <c r="CN7" s="87" t="n">
        <f aca="false">MIN((7+1)/4,1)</f>
        <v>1</v>
      </c>
      <c r="CO7" s="87" t="n">
        <f aca="false">MIN((7+1)/4,1)</f>
        <v>1</v>
      </c>
      <c r="CP7" s="87" t="n">
        <f aca="false">MIN((7+1)/4,1)</f>
        <v>1</v>
      </c>
      <c r="CQ7" s="87" t="n">
        <f aca="false">MIN((7+1)/4,1)</f>
        <v>1</v>
      </c>
      <c r="CR7" s="87" t="n">
        <f aca="false">MIN((7+1)/4,1)</f>
        <v>1</v>
      </c>
      <c r="CS7" s="87" t="n">
        <f aca="false">MIN((7+1)/4,1)</f>
        <v>1</v>
      </c>
      <c r="CT7" s="87" t="n">
        <f aca="false">MIN((7+1)/4,1)</f>
        <v>1</v>
      </c>
    </row>
    <row r="8" customFormat="false" ht="15" hidden="false" customHeight="false" outlineLevel="0" collapsed="false">
      <c r="B8" s="2" t="s">
        <v>585</v>
      </c>
      <c r="C8" s="88" t="n">
        <v>1</v>
      </c>
      <c r="D8" s="88" t="n">
        <v>1</v>
      </c>
      <c r="E8" s="88" t="n">
        <v>1</v>
      </c>
      <c r="F8" s="88" t="n">
        <v>1</v>
      </c>
      <c r="G8" s="88" t="n">
        <v>1</v>
      </c>
      <c r="H8" s="88" t="n">
        <v>1</v>
      </c>
      <c r="I8" s="88" t="n">
        <v>1</v>
      </c>
      <c r="J8" s="88" t="n">
        <v>1</v>
      </c>
      <c r="K8" s="88" t="n">
        <v>1</v>
      </c>
      <c r="L8" s="88" t="n">
        <v>1</v>
      </c>
      <c r="M8" s="88" t="n">
        <v>1</v>
      </c>
      <c r="N8" s="88" t="n">
        <v>1</v>
      </c>
      <c r="O8" s="88" t="n">
        <v>2</v>
      </c>
      <c r="P8" s="88" t="n">
        <v>2</v>
      </c>
      <c r="Q8" s="88" t="n">
        <v>2</v>
      </c>
      <c r="R8" s="88" t="n">
        <v>2</v>
      </c>
      <c r="S8" s="88" t="n">
        <v>2</v>
      </c>
      <c r="T8" s="88" t="n">
        <v>2</v>
      </c>
      <c r="U8" s="88" t="n">
        <v>2</v>
      </c>
      <c r="V8" s="88" t="n">
        <v>2</v>
      </c>
      <c r="W8" s="88" t="n">
        <v>2</v>
      </c>
      <c r="X8" s="88" t="n">
        <v>2</v>
      </c>
      <c r="Y8" s="88" t="n">
        <v>2</v>
      </c>
      <c r="Z8" s="88" t="n">
        <v>2</v>
      </c>
      <c r="AA8" s="88" t="n">
        <v>3</v>
      </c>
      <c r="AB8" s="88" t="n">
        <v>3</v>
      </c>
      <c r="AC8" s="88" t="n">
        <v>3</v>
      </c>
      <c r="AD8" s="88" t="n">
        <v>3</v>
      </c>
      <c r="AE8" s="88" t="n">
        <v>3</v>
      </c>
      <c r="AF8" s="88" t="n">
        <v>3</v>
      </c>
      <c r="AG8" s="88" t="n">
        <v>3</v>
      </c>
      <c r="AH8" s="88" t="n">
        <v>3</v>
      </c>
      <c r="AI8" s="88" t="n">
        <v>3</v>
      </c>
      <c r="AJ8" s="88" t="n">
        <v>3</v>
      </c>
      <c r="AK8" s="88" t="n">
        <v>3</v>
      </c>
      <c r="AL8" s="88" t="n">
        <v>3</v>
      </c>
      <c r="AM8" s="88" t="n">
        <v>4</v>
      </c>
      <c r="AN8" s="88" t="n">
        <v>4</v>
      </c>
      <c r="AO8" s="88" t="n">
        <v>4</v>
      </c>
      <c r="AP8" s="88" t="n">
        <v>4</v>
      </c>
      <c r="AQ8" s="88" t="n">
        <v>4</v>
      </c>
      <c r="AR8" s="88" t="n">
        <v>4</v>
      </c>
      <c r="AS8" s="88" t="n">
        <v>4</v>
      </c>
      <c r="AT8" s="88" t="n">
        <v>4</v>
      </c>
      <c r="AU8" s="88" t="n">
        <v>4</v>
      </c>
      <c r="AV8" s="88" t="n">
        <v>4</v>
      </c>
      <c r="AW8" s="88" t="n">
        <v>4</v>
      </c>
      <c r="AX8" s="88" t="n">
        <v>4</v>
      </c>
      <c r="AY8" s="88" t="n">
        <v>5</v>
      </c>
      <c r="AZ8" s="88" t="n">
        <v>5</v>
      </c>
      <c r="BA8" s="88" t="n">
        <v>5</v>
      </c>
      <c r="BB8" s="88" t="n">
        <v>5</v>
      </c>
      <c r="BC8" s="88" t="n">
        <v>5</v>
      </c>
      <c r="BD8" s="88" t="n">
        <v>5</v>
      </c>
      <c r="BE8" s="88" t="n">
        <v>5</v>
      </c>
      <c r="BF8" s="88" t="n">
        <v>5</v>
      </c>
      <c r="BG8" s="88" t="n">
        <v>5</v>
      </c>
      <c r="BH8" s="88" t="n">
        <v>5</v>
      </c>
      <c r="BI8" s="88" t="n">
        <v>5</v>
      </c>
      <c r="BJ8" s="88" t="n">
        <v>5</v>
      </c>
      <c r="BK8" s="88" t="n">
        <v>6</v>
      </c>
      <c r="BL8" s="88" t="n">
        <v>6</v>
      </c>
      <c r="BM8" s="88" t="n">
        <v>6</v>
      </c>
      <c r="BN8" s="88" t="n">
        <v>6</v>
      </c>
      <c r="BO8" s="88" t="n">
        <v>6</v>
      </c>
      <c r="BP8" s="88" t="n">
        <v>6</v>
      </c>
      <c r="BQ8" s="88" t="n">
        <v>6</v>
      </c>
      <c r="BR8" s="88" t="n">
        <v>6</v>
      </c>
      <c r="BS8" s="88" t="n">
        <v>6</v>
      </c>
      <c r="BT8" s="88" t="n">
        <v>6</v>
      </c>
      <c r="BU8" s="88" t="n">
        <v>6</v>
      </c>
      <c r="BV8" s="88" t="n">
        <v>6</v>
      </c>
      <c r="BW8" s="88" t="n">
        <v>7</v>
      </c>
      <c r="BX8" s="88" t="n">
        <v>7</v>
      </c>
      <c r="BY8" s="88" t="n">
        <v>7</v>
      </c>
      <c r="BZ8" s="88" t="n">
        <v>7</v>
      </c>
      <c r="CA8" s="88" t="n">
        <v>7</v>
      </c>
      <c r="CB8" s="88" t="n">
        <v>7</v>
      </c>
      <c r="CC8" s="88" t="n">
        <v>7</v>
      </c>
      <c r="CD8" s="88" t="n">
        <v>7</v>
      </c>
      <c r="CE8" s="88" t="n">
        <v>7</v>
      </c>
      <c r="CF8" s="88" t="n">
        <v>7</v>
      </c>
      <c r="CG8" s="88" t="n">
        <v>7</v>
      </c>
      <c r="CH8" s="88" t="n">
        <v>7</v>
      </c>
      <c r="CI8" s="88" t="n">
        <v>8</v>
      </c>
      <c r="CJ8" s="88" t="n">
        <v>8</v>
      </c>
      <c r="CK8" s="88" t="n">
        <v>8</v>
      </c>
      <c r="CL8" s="88" t="n">
        <v>8</v>
      </c>
      <c r="CM8" s="88" t="n">
        <v>8</v>
      </c>
      <c r="CN8" s="88" t="n">
        <v>8</v>
      </c>
      <c r="CO8" s="88" t="n">
        <v>8</v>
      </c>
      <c r="CP8" s="88" t="n">
        <v>8</v>
      </c>
      <c r="CQ8" s="88" t="n">
        <v>8</v>
      </c>
      <c r="CR8" s="88" t="n">
        <v>8</v>
      </c>
      <c r="CS8" s="88" t="n">
        <v>8</v>
      </c>
      <c r="CT8" s="88" t="n">
        <v>8</v>
      </c>
    </row>
    <row r="9" customFormat="false" ht="15" hidden="false" customHeight="true" outlineLevel="0" collapsed="false">
      <c r="B9" s="9" t="s">
        <v>586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587</v>
      </c>
      <c r="C10" s="57" t="n">
        <f aca="false">(Supuestos!$C$52*Supuestos!$C$127-Supuestos!$C$51)*MIN(MAX((1-12)/24,0),1)/12+IF(1&lt;=12,Supuestos!$C$238/12,0)</f>
        <v>29166666.6666667</v>
      </c>
      <c r="D10" s="57" t="n">
        <f aca="false">(Supuestos!$C$52*Supuestos!$C$127-Supuestos!$C$51)*MIN(MAX((2-12)/24,0),1)/12+IF(2&lt;=12,Supuestos!$C$238/12,0)</f>
        <v>29166666.6666667</v>
      </c>
      <c r="E10" s="57" t="n">
        <f aca="false">(Supuestos!$C$52*Supuestos!$C$127-Supuestos!$C$51)*MIN(MAX((3-12)/24,0),1)/12+IF(3&lt;=12,Supuestos!$C$238/12,0)</f>
        <v>29166666.6666667</v>
      </c>
      <c r="F10" s="57" t="n">
        <f aca="false">(Supuestos!$C$52*Supuestos!$C$127-Supuestos!$C$51)*MIN(MAX((4-12)/24,0),1)/12+IF(4&lt;=12,Supuestos!$C$238/12,0)</f>
        <v>29166666.6666667</v>
      </c>
      <c r="G10" s="57" t="n">
        <f aca="false">(Supuestos!$C$52*Supuestos!$C$127-Supuestos!$C$51)*MIN(MAX((5-12)/24,0),1)/12+IF(5&lt;=12,Supuestos!$C$238/12,0)</f>
        <v>29166666.6666667</v>
      </c>
      <c r="H10" s="57" t="n">
        <f aca="false">(Supuestos!$C$52*Supuestos!$C$127-Supuestos!$C$51)*MIN(MAX((6-12)/24,0),1)/12+IF(6&lt;=12,Supuestos!$C$238/12,0)</f>
        <v>29166666.6666667</v>
      </c>
      <c r="I10" s="57" t="n">
        <f aca="false">(Supuestos!$C$52*Supuestos!$C$127-Supuestos!$C$51)*MIN(MAX((7-12)/24,0),1)/12+IF(7&lt;=12,Supuestos!$C$238/12,0)</f>
        <v>29166666.6666667</v>
      </c>
      <c r="J10" s="57" t="n">
        <f aca="false">(Supuestos!$C$52*Supuestos!$C$127-Supuestos!$C$51)*MIN(MAX((8-12)/24,0),1)/12+IF(8&lt;=12,Supuestos!$C$238/12,0)</f>
        <v>29166666.6666667</v>
      </c>
      <c r="K10" s="57" t="n">
        <f aca="false">(Supuestos!$C$52*Supuestos!$C$127-Supuestos!$C$51)*MIN(MAX((9-12)/24,0),1)/12+IF(9&lt;=12,Supuestos!$C$238/12,0)</f>
        <v>29166666.6666667</v>
      </c>
      <c r="L10" s="57" t="n">
        <f aca="false">(Supuestos!$C$52*Supuestos!$C$127-Supuestos!$C$51)*MIN(MAX((10-12)/24,0),1)/12+IF(10&lt;=12,Supuestos!$C$238/12,0)</f>
        <v>29166666.6666667</v>
      </c>
      <c r="M10" s="57" t="n">
        <f aca="false">(Supuestos!$C$52*Supuestos!$C$127-Supuestos!$C$51)*MIN(MAX((11-12)/24,0),1)/12+IF(11&lt;=12,Supuestos!$C$238/12,0)</f>
        <v>29166666.6666667</v>
      </c>
      <c r="N10" s="57" t="n">
        <f aca="false">(Supuestos!$C$52*Supuestos!$C$127-Supuestos!$C$51)*MIN(MAX((12-12)/24,0),1)/12+IF(12&lt;=12,Supuestos!$C$238/12,0)</f>
        <v>29166666.6666667</v>
      </c>
      <c r="O10" s="57" t="n">
        <f aca="false">(Supuestos!$C$52*Supuestos!$C$127-Supuestos!$C$51)*MIN(MAX((13-12)/24,0),1)/12+IF(13&lt;=12,Supuestos!$C$238/12,0)</f>
        <v>11994997.6773672</v>
      </c>
      <c r="P10" s="57" t="n">
        <f aca="false">(Supuestos!$C$52*Supuestos!$C$127-Supuestos!$C$51)*MIN(MAX((14-12)/24,0),1)/12+IF(14&lt;=12,Supuestos!$C$238/12,0)</f>
        <v>23989995.3547344</v>
      </c>
      <c r="Q10" s="57" t="n">
        <f aca="false">(Supuestos!$C$52*Supuestos!$C$127-Supuestos!$C$51)*MIN(MAX((15-12)/24,0),1)/12+IF(15&lt;=12,Supuestos!$C$238/12,0)</f>
        <v>35984993.0321016</v>
      </c>
      <c r="R10" s="57" t="n">
        <f aca="false">(Supuestos!$C$52*Supuestos!$C$127-Supuestos!$C$51)*MIN(MAX((16-12)/24,0),1)/12+IF(16&lt;=12,Supuestos!$C$238/12,0)</f>
        <v>47979990.7094687</v>
      </c>
      <c r="S10" s="57" t="n">
        <f aca="false">(Supuestos!$C$52*Supuestos!$C$127-Supuestos!$C$51)*MIN(MAX((17-12)/24,0),1)/12+IF(17&lt;=12,Supuestos!$C$238/12,0)</f>
        <v>59974988.3868359</v>
      </c>
      <c r="T10" s="57" t="n">
        <f aca="false">(Supuestos!$C$52*Supuestos!$C$127-Supuestos!$C$51)*MIN(MAX((18-12)/24,0),1)/12+IF(18&lt;=12,Supuestos!$C$238/12,0)</f>
        <v>71969986.0642031</v>
      </c>
      <c r="U10" s="57" t="n">
        <f aca="false">(Supuestos!$C$52*Supuestos!$C$127-Supuestos!$C$51)*MIN(MAX((19-12)/24,0),1)/12+IF(19&lt;=12,Supuestos!$C$238/12,0)</f>
        <v>83964983.7415703</v>
      </c>
      <c r="V10" s="57" t="n">
        <f aca="false">(Supuestos!$C$52*Supuestos!$C$127-Supuestos!$C$51)*MIN(MAX((20-12)/24,0),1)/12+IF(20&lt;=12,Supuestos!$C$238/12,0)</f>
        <v>95959981.4189375</v>
      </c>
      <c r="W10" s="57" t="n">
        <f aca="false">(Supuestos!$C$52*Supuestos!$C$127-Supuestos!$C$51)*MIN(MAX((21-12)/24,0),1)/12+IF(21&lt;=12,Supuestos!$C$238/12,0)</f>
        <v>107954979.096305</v>
      </c>
      <c r="X10" s="57" t="n">
        <f aca="false">(Supuestos!$C$52*Supuestos!$C$127-Supuestos!$C$51)*MIN(MAX((22-12)/24,0),1)/12+IF(22&lt;=12,Supuestos!$C$238/12,0)</f>
        <v>119949976.773672</v>
      </c>
      <c r="Y10" s="57" t="n">
        <f aca="false">(Supuestos!$C$52*Supuestos!$C$127-Supuestos!$C$51)*MIN(MAX((23-12)/24,0),1)/12+IF(23&lt;=12,Supuestos!$C$238/12,0)</f>
        <v>131944974.451039</v>
      </c>
      <c r="Z10" s="57" t="n">
        <f aca="false">(Supuestos!$C$52*Supuestos!$C$127-Supuestos!$C$51)*MIN(MAX((24-12)/24,0),1)/12+IF(24&lt;=12,Supuestos!$C$238/12,0)</f>
        <v>143939972.128406</v>
      </c>
      <c r="AA10" s="57" t="n">
        <f aca="false">(Supuestos!$C$52*Supuestos!$C$127-Supuestos!$C$51)*MIN(MAX((25-12)/24,0),1)/12+IF(25&lt;=12,Supuestos!$C$238/12,0)</f>
        <v>155934969.805773</v>
      </c>
      <c r="AB10" s="57" t="n">
        <f aca="false">(Supuestos!$C$52*Supuestos!$C$127-Supuestos!$C$51)*MIN(MAX((26-12)/24,0),1)/12+IF(26&lt;=12,Supuestos!$C$238/12,0)</f>
        <v>167929967.483141</v>
      </c>
      <c r="AC10" s="57" t="n">
        <f aca="false">(Supuestos!$C$52*Supuestos!$C$127-Supuestos!$C$51)*MIN(MAX((27-12)/24,0),1)/12+IF(27&lt;=12,Supuestos!$C$238/12,0)</f>
        <v>179924965.160508</v>
      </c>
      <c r="AD10" s="57" t="n">
        <f aca="false">(Supuestos!$C$52*Supuestos!$C$127-Supuestos!$C$51)*MIN(MAX((28-12)/24,0),1)/12+IF(28&lt;=12,Supuestos!$C$238/12,0)</f>
        <v>191919962.837875</v>
      </c>
      <c r="AE10" s="57" t="n">
        <f aca="false">(Supuestos!$C$52*Supuestos!$C$127-Supuestos!$C$51)*MIN(MAX((29-12)/24,0),1)/12+IF(29&lt;=12,Supuestos!$C$238/12,0)</f>
        <v>203914960.515242</v>
      </c>
      <c r="AF10" s="57" t="n">
        <f aca="false">(Supuestos!$C$52*Supuestos!$C$127-Supuestos!$C$51)*MIN(MAX((30-12)/24,0),1)/12+IF(30&lt;=12,Supuestos!$C$238/12,0)</f>
        <v>215909958.192609</v>
      </c>
      <c r="AG10" s="57" t="n">
        <f aca="false">(Supuestos!$C$52*Supuestos!$C$127-Supuestos!$C$51)*MIN(MAX((31-12)/24,0),1)/12+IF(31&lt;=12,Supuestos!$C$238/12,0)</f>
        <v>227904955.869977</v>
      </c>
      <c r="AH10" s="57" t="n">
        <f aca="false">(Supuestos!$C$52*Supuestos!$C$127-Supuestos!$C$51)*MIN(MAX((32-12)/24,0),1)/12+IF(32&lt;=12,Supuestos!$C$238/12,0)</f>
        <v>239899953.547344</v>
      </c>
      <c r="AI10" s="57" t="n">
        <f aca="false">(Supuestos!$C$52*Supuestos!$C$127-Supuestos!$C$51)*MIN(MAX((33-12)/24,0),1)/12+IF(33&lt;=12,Supuestos!$C$238/12,0)</f>
        <v>251894951.224711</v>
      </c>
      <c r="AJ10" s="57" t="n">
        <f aca="false">(Supuestos!$C$52*Supuestos!$C$127-Supuestos!$C$51)*MIN(MAX((34-12)/24,0),1)/12+IF(34&lt;=12,Supuestos!$C$238/12,0)</f>
        <v>263889948.902078</v>
      </c>
      <c r="AK10" s="57" t="n">
        <f aca="false">(Supuestos!$C$52*Supuestos!$C$127-Supuestos!$C$51)*MIN(MAX((35-12)/24,0),1)/12+IF(35&lt;=12,Supuestos!$C$238/12,0)</f>
        <v>275884946.579445</v>
      </c>
      <c r="AL10" s="57" t="n">
        <f aca="false">(Supuestos!$C$52*Supuestos!$C$127-Supuestos!$C$51)*MIN(MAX((36-12)/24,0),1)/12+IF(36&lt;=12,Supuestos!$C$238/12,0)</f>
        <v>287879944.256812</v>
      </c>
      <c r="AM10" s="57" t="n">
        <f aca="false">(Supuestos!$C$52*Supuestos!$C$127-Supuestos!$C$51)*MIN(MAX((37-12)/24,0),1)/12+IF(37&lt;=12,Supuestos!$C$238/12,0)</f>
        <v>287879944.256812</v>
      </c>
      <c r="AN10" s="57" t="n">
        <f aca="false">(Supuestos!$C$52*Supuestos!$C$127-Supuestos!$C$51)*MIN(MAX((38-12)/24,0),1)/12+IF(38&lt;=12,Supuestos!$C$238/12,0)</f>
        <v>287879944.256812</v>
      </c>
      <c r="AO10" s="57" t="n">
        <f aca="false">(Supuestos!$C$52*Supuestos!$C$127-Supuestos!$C$51)*MIN(MAX((39-12)/24,0),1)/12+IF(39&lt;=12,Supuestos!$C$238/12,0)</f>
        <v>287879944.256812</v>
      </c>
      <c r="AP10" s="57" t="n">
        <f aca="false">(Supuestos!$C$52*Supuestos!$C$127-Supuestos!$C$51)*MIN(MAX((40-12)/24,0),1)/12+IF(40&lt;=12,Supuestos!$C$238/12,0)</f>
        <v>287879944.256812</v>
      </c>
      <c r="AQ10" s="57" t="n">
        <f aca="false">(Supuestos!$C$52*Supuestos!$C$127-Supuestos!$C$51)*MIN(MAX((41-12)/24,0),1)/12+IF(41&lt;=12,Supuestos!$C$238/12,0)</f>
        <v>287879944.256812</v>
      </c>
      <c r="AR10" s="57" t="n">
        <f aca="false">(Supuestos!$C$52*Supuestos!$C$127-Supuestos!$C$51)*MIN(MAX((42-12)/24,0),1)/12+IF(42&lt;=12,Supuestos!$C$238/12,0)</f>
        <v>287879944.256812</v>
      </c>
      <c r="AS10" s="57" t="n">
        <f aca="false">(Supuestos!$C$52*Supuestos!$C$127-Supuestos!$C$51)*MIN(MAX((43-12)/24,0),1)/12+IF(43&lt;=12,Supuestos!$C$238/12,0)</f>
        <v>287879944.256812</v>
      </c>
      <c r="AT10" s="57" t="n">
        <f aca="false">(Supuestos!$C$52*Supuestos!$C$127-Supuestos!$C$51)*MIN(MAX((44-12)/24,0),1)/12+IF(44&lt;=12,Supuestos!$C$238/12,0)</f>
        <v>287879944.256812</v>
      </c>
      <c r="AU10" s="57" t="n">
        <f aca="false">(Supuestos!$C$52*Supuestos!$C$127-Supuestos!$C$51)*MIN(MAX((45-12)/24,0),1)/12+IF(45&lt;=12,Supuestos!$C$238/12,0)</f>
        <v>287879944.256812</v>
      </c>
      <c r="AV10" s="57" t="n">
        <f aca="false">(Supuestos!$C$52*Supuestos!$C$127-Supuestos!$C$51)*MIN(MAX((46-12)/24,0),1)/12+IF(46&lt;=12,Supuestos!$C$238/12,0)</f>
        <v>287879944.256812</v>
      </c>
      <c r="AW10" s="57" t="n">
        <f aca="false">(Supuestos!$C$52*Supuestos!$C$127-Supuestos!$C$51)*MIN(MAX((47-12)/24,0),1)/12+IF(47&lt;=12,Supuestos!$C$238/12,0)</f>
        <v>287879944.256812</v>
      </c>
      <c r="AX10" s="57" t="n">
        <f aca="false">(Supuestos!$C$52*Supuestos!$C$127-Supuestos!$C$51)*MIN(MAX((48-12)/24,0),1)/12+IF(48&lt;=12,Supuestos!$C$238/12,0)</f>
        <v>287879944.256812</v>
      </c>
      <c r="AY10" s="57" t="n">
        <f aca="false">(Supuestos!$C$52*Supuestos!$C$127-Supuestos!$C$51)*MIN(MAX((49-12)/24,0),1)/12+IF(49&lt;=12,Supuestos!$C$238/12,0)</f>
        <v>287879944.256812</v>
      </c>
      <c r="AZ10" s="57" t="n">
        <f aca="false">(Supuestos!$C$52*Supuestos!$C$127-Supuestos!$C$51)*MIN(MAX((50-12)/24,0),1)/12+IF(50&lt;=12,Supuestos!$C$238/12,0)</f>
        <v>287879944.256812</v>
      </c>
      <c r="BA10" s="57" t="n">
        <f aca="false">(Supuestos!$C$52*Supuestos!$C$127-Supuestos!$C$51)*MIN(MAX((51-12)/24,0),1)/12+IF(51&lt;=12,Supuestos!$C$238/12,0)</f>
        <v>287879944.256812</v>
      </c>
      <c r="BB10" s="57" t="n">
        <f aca="false">(Supuestos!$C$52*Supuestos!$C$127-Supuestos!$C$51)*MIN(MAX((52-12)/24,0),1)/12+IF(52&lt;=12,Supuestos!$C$238/12,0)</f>
        <v>287879944.256812</v>
      </c>
      <c r="BC10" s="57" t="n">
        <f aca="false">(Supuestos!$C$52*Supuestos!$C$127-Supuestos!$C$51)*MIN(MAX((53-12)/24,0),1)/12+IF(53&lt;=12,Supuestos!$C$238/12,0)</f>
        <v>287879944.256812</v>
      </c>
      <c r="BD10" s="57" t="n">
        <f aca="false">(Supuestos!$C$52*Supuestos!$C$127-Supuestos!$C$51)*MIN(MAX((54-12)/24,0),1)/12+IF(54&lt;=12,Supuestos!$C$238/12,0)</f>
        <v>287879944.256812</v>
      </c>
      <c r="BE10" s="57" t="n">
        <f aca="false">(Supuestos!$C$52*Supuestos!$C$127-Supuestos!$C$51)*MIN(MAX((55-12)/24,0),1)/12+IF(55&lt;=12,Supuestos!$C$238/12,0)</f>
        <v>287879944.256812</v>
      </c>
      <c r="BF10" s="57" t="n">
        <f aca="false">(Supuestos!$C$52*Supuestos!$C$127-Supuestos!$C$51)*MIN(MAX((56-12)/24,0),1)/12+IF(56&lt;=12,Supuestos!$C$238/12,0)</f>
        <v>287879944.256812</v>
      </c>
      <c r="BG10" s="57" t="n">
        <f aca="false">(Supuestos!$C$52*Supuestos!$C$127-Supuestos!$C$51)*MIN(MAX((57-12)/24,0),1)/12+IF(57&lt;=12,Supuestos!$C$238/12,0)</f>
        <v>287879944.256812</v>
      </c>
      <c r="BH10" s="57" t="n">
        <f aca="false">(Supuestos!$C$52*Supuestos!$C$127-Supuestos!$C$51)*MIN(MAX((58-12)/24,0),1)/12+IF(58&lt;=12,Supuestos!$C$238/12,0)</f>
        <v>287879944.256812</v>
      </c>
      <c r="BI10" s="57" t="n">
        <f aca="false">(Supuestos!$C$52*Supuestos!$C$127-Supuestos!$C$51)*MIN(MAX((59-12)/24,0),1)/12+IF(59&lt;=12,Supuestos!$C$238/12,0)</f>
        <v>287879944.256812</v>
      </c>
      <c r="BJ10" s="57" t="n">
        <f aca="false">(Supuestos!$C$52*Supuestos!$C$127-Supuestos!$C$51)*MIN(MAX((60-12)/24,0),1)/12+IF(60&lt;=12,Supuestos!$C$238/12,0)</f>
        <v>287879944.256812</v>
      </c>
      <c r="BK10" s="57" t="n">
        <f aca="false">(Supuestos!$C$52*Supuestos!$C$127-Supuestos!$C$51)*MIN(MAX((61-12)/24,0),1)/12+IF(61&lt;=12,Supuestos!$C$238/12,0)</f>
        <v>287879944.256812</v>
      </c>
      <c r="BL10" s="57" t="n">
        <f aca="false">(Supuestos!$C$52*Supuestos!$C$127-Supuestos!$C$51)*MIN(MAX((62-12)/24,0),1)/12+IF(62&lt;=12,Supuestos!$C$238/12,0)</f>
        <v>287879944.256812</v>
      </c>
      <c r="BM10" s="57" t="n">
        <f aca="false">(Supuestos!$C$52*Supuestos!$C$127-Supuestos!$C$51)*MIN(MAX((63-12)/24,0),1)/12+IF(63&lt;=12,Supuestos!$C$238/12,0)</f>
        <v>287879944.256812</v>
      </c>
      <c r="BN10" s="57" t="n">
        <f aca="false">(Supuestos!$C$52*Supuestos!$C$127-Supuestos!$C$51)*MIN(MAX((64-12)/24,0),1)/12+IF(64&lt;=12,Supuestos!$C$238/12,0)</f>
        <v>287879944.256812</v>
      </c>
      <c r="BO10" s="57" t="n">
        <f aca="false">(Supuestos!$C$52*Supuestos!$C$127-Supuestos!$C$51)*MIN(MAX((65-12)/24,0),1)/12+IF(65&lt;=12,Supuestos!$C$238/12,0)</f>
        <v>287879944.256812</v>
      </c>
      <c r="BP10" s="57" t="n">
        <f aca="false">(Supuestos!$C$52*Supuestos!$C$127-Supuestos!$C$51)*MIN(MAX((66-12)/24,0),1)/12+IF(66&lt;=12,Supuestos!$C$238/12,0)</f>
        <v>287879944.256812</v>
      </c>
      <c r="BQ10" s="57" t="n">
        <f aca="false">(Supuestos!$C$52*Supuestos!$C$127-Supuestos!$C$51)*MIN(MAX((67-12)/24,0),1)/12+IF(67&lt;=12,Supuestos!$C$238/12,0)</f>
        <v>287879944.256812</v>
      </c>
      <c r="BR10" s="57" t="n">
        <f aca="false">(Supuestos!$C$52*Supuestos!$C$127-Supuestos!$C$51)*MIN(MAX((68-12)/24,0),1)/12+IF(68&lt;=12,Supuestos!$C$238/12,0)</f>
        <v>287879944.256812</v>
      </c>
      <c r="BS10" s="57" t="n">
        <f aca="false">(Supuestos!$C$52*Supuestos!$C$127-Supuestos!$C$51)*MIN(MAX((69-12)/24,0),1)/12+IF(69&lt;=12,Supuestos!$C$238/12,0)</f>
        <v>287879944.256812</v>
      </c>
      <c r="BT10" s="57" t="n">
        <f aca="false">(Supuestos!$C$52*Supuestos!$C$127-Supuestos!$C$51)*MIN(MAX((70-12)/24,0),1)/12+IF(70&lt;=12,Supuestos!$C$238/12,0)</f>
        <v>287879944.256812</v>
      </c>
      <c r="BU10" s="57" t="n">
        <f aca="false">(Supuestos!$C$52*Supuestos!$C$127-Supuestos!$C$51)*MIN(MAX((71-12)/24,0),1)/12+IF(71&lt;=12,Supuestos!$C$238/12,0)</f>
        <v>287879944.256812</v>
      </c>
      <c r="BV10" s="57" t="n">
        <f aca="false">(Supuestos!$C$52*Supuestos!$C$127-Supuestos!$C$51)*MIN(MAX((72-12)/24,0),1)/12+IF(72&lt;=12,Supuestos!$C$238/12,0)</f>
        <v>287879944.256812</v>
      </c>
      <c r="BW10" s="57" t="n">
        <f aca="false">(Supuestos!$C$52*Supuestos!$C$127-Supuestos!$C$51)*MIN(MAX((73-12)/24,0),1)/12+IF(73&lt;=12,Supuestos!$C$238/12,0)</f>
        <v>287879944.256812</v>
      </c>
      <c r="BX10" s="57" t="n">
        <f aca="false">(Supuestos!$C$52*Supuestos!$C$127-Supuestos!$C$51)*MIN(MAX((74-12)/24,0),1)/12+IF(74&lt;=12,Supuestos!$C$238/12,0)</f>
        <v>287879944.256812</v>
      </c>
      <c r="BY10" s="57" t="n">
        <f aca="false">(Supuestos!$C$52*Supuestos!$C$127-Supuestos!$C$51)*MIN(MAX((75-12)/24,0),1)/12+IF(75&lt;=12,Supuestos!$C$238/12,0)</f>
        <v>287879944.256812</v>
      </c>
      <c r="BZ10" s="57" t="n">
        <f aca="false">(Supuestos!$C$52*Supuestos!$C$127-Supuestos!$C$51)*MIN(MAX((76-12)/24,0),1)/12+IF(76&lt;=12,Supuestos!$C$238/12,0)</f>
        <v>287879944.256812</v>
      </c>
      <c r="CA10" s="57" t="n">
        <f aca="false">(Supuestos!$C$52*Supuestos!$C$127-Supuestos!$C$51)*MIN(MAX((77-12)/24,0),1)/12+IF(77&lt;=12,Supuestos!$C$238/12,0)</f>
        <v>287879944.256812</v>
      </c>
      <c r="CB10" s="57" t="n">
        <f aca="false">(Supuestos!$C$52*Supuestos!$C$127-Supuestos!$C$51)*MIN(MAX((78-12)/24,0),1)/12+IF(78&lt;=12,Supuestos!$C$238/12,0)</f>
        <v>287879944.256812</v>
      </c>
      <c r="CC10" s="57" t="n">
        <f aca="false">(Supuestos!$C$52*Supuestos!$C$127-Supuestos!$C$51)*MIN(MAX((79-12)/24,0),1)/12+IF(79&lt;=12,Supuestos!$C$238/12,0)</f>
        <v>287879944.256812</v>
      </c>
      <c r="CD10" s="57" t="n">
        <f aca="false">(Supuestos!$C$52*Supuestos!$C$127-Supuestos!$C$51)*MIN(MAX((80-12)/24,0),1)/12+IF(80&lt;=12,Supuestos!$C$238/12,0)</f>
        <v>287879944.256812</v>
      </c>
      <c r="CE10" s="57" t="n">
        <f aca="false">(Supuestos!$C$52*Supuestos!$C$127-Supuestos!$C$51)*MIN(MAX((81-12)/24,0),1)/12+IF(81&lt;=12,Supuestos!$C$238/12,0)</f>
        <v>287879944.256812</v>
      </c>
      <c r="CF10" s="57" t="n">
        <f aca="false">(Supuestos!$C$52*Supuestos!$C$127-Supuestos!$C$51)*MIN(MAX((82-12)/24,0),1)/12+IF(82&lt;=12,Supuestos!$C$238/12,0)</f>
        <v>287879944.256812</v>
      </c>
      <c r="CG10" s="57" t="n">
        <f aca="false">(Supuestos!$C$52*Supuestos!$C$127-Supuestos!$C$51)*MIN(MAX((83-12)/24,0),1)/12+IF(83&lt;=12,Supuestos!$C$238/12,0)</f>
        <v>287879944.256812</v>
      </c>
      <c r="CH10" s="57" t="n">
        <f aca="false">(Supuestos!$C$52*Supuestos!$C$127-Supuestos!$C$51)*MIN(MAX((84-12)/24,0),1)/12+IF(84&lt;=12,Supuestos!$C$238/12,0)</f>
        <v>287879944.256812</v>
      </c>
      <c r="CI10" s="57" t="n">
        <f aca="false">(Supuestos!$C$52*Supuestos!$C$127-Supuestos!$C$51)*MIN(MAX((85-12)/24,0),1)/12+IF(85&lt;=12,Supuestos!$C$238/12,0)</f>
        <v>287879944.256812</v>
      </c>
      <c r="CJ10" s="57" t="n">
        <f aca="false">(Supuestos!$C$52*Supuestos!$C$127-Supuestos!$C$51)*MIN(MAX((86-12)/24,0),1)/12+IF(86&lt;=12,Supuestos!$C$238/12,0)</f>
        <v>287879944.256812</v>
      </c>
      <c r="CK10" s="57" t="n">
        <f aca="false">(Supuestos!$C$52*Supuestos!$C$127-Supuestos!$C$51)*MIN(MAX((87-12)/24,0),1)/12+IF(87&lt;=12,Supuestos!$C$238/12,0)</f>
        <v>287879944.256812</v>
      </c>
      <c r="CL10" s="57" t="n">
        <f aca="false">(Supuestos!$C$52*Supuestos!$C$127-Supuestos!$C$51)*MIN(MAX((88-12)/24,0),1)/12+IF(88&lt;=12,Supuestos!$C$238/12,0)</f>
        <v>287879944.256812</v>
      </c>
      <c r="CM10" s="57" t="n">
        <f aca="false">(Supuestos!$C$52*Supuestos!$C$127-Supuestos!$C$51)*MIN(MAX((89-12)/24,0),1)/12+IF(89&lt;=12,Supuestos!$C$238/12,0)</f>
        <v>287879944.256812</v>
      </c>
      <c r="CN10" s="57" t="n">
        <f aca="false">(Supuestos!$C$52*Supuestos!$C$127-Supuestos!$C$51)*MIN(MAX((90-12)/24,0),1)/12+IF(90&lt;=12,Supuestos!$C$238/12,0)</f>
        <v>287879944.256812</v>
      </c>
      <c r="CO10" s="57" t="n">
        <f aca="false">(Supuestos!$C$52*Supuestos!$C$127-Supuestos!$C$51)*MIN(MAX((91-12)/24,0),1)/12+IF(91&lt;=12,Supuestos!$C$238/12,0)</f>
        <v>287879944.256812</v>
      </c>
      <c r="CP10" s="57" t="n">
        <f aca="false">(Supuestos!$C$52*Supuestos!$C$127-Supuestos!$C$51)*MIN(MAX((92-12)/24,0),1)/12+IF(92&lt;=12,Supuestos!$C$238/12,0)</f>
        <v>287879944.256812</v>
      </c>
      <c r="CQ10" s="57" t="n">
        <f aca="false">(Supuestos!$C$52*Supuestos!$C$127-Supuestos!$C$51)*MIN(MAX((93-12)/24,0),1)/12+IF(93&lt;=12,Supuestos!$C$238/12,0)</f>
        <v>287879944.256812</v>
      </c>
      <c r="CR10" s="57" t="n">
        <f aca="false">(Supuestos!$C$52*Supuestos!$C$127-Supuestos!$C$51)*MIN(MAX((94-12)/24,0),1)/12+IF(94&lt;=12,Supuestos!$C$238/12,0)</f>
        <v>287879944.256812</v>
      </c>
      <c r="CS10" s="57" t="n">
        <f aca="false">(Supuestos!$C$52*Supuestos!$C$127-Supuestos!$C$51)*MIN(MAX((95-12)/24,0),1)/12+IF(95&lt;=12,Supuestos!$C$238/12,0)</f>
        <v>287879944.256812</v>
      </c>
      <c r="CT10" s="57" t="n">
        <f aca="false">(Supuestos!$C$52*Supuestos!$C$127-Supuestos!$C$51)*MIN(MAX((96-12)/24,0),1)/12+IF(96&lt;=12,Supuestos!$C$238/12,0)</f>
        <v>287879944.256812</v>
      </c>
    </row>
    <row r="11" customFormat="false" ht="15" hidden="false" customHeight="true" outlineLevel="0" collapsed="false">
      <c r="B11" s="9" t="s">
        <v>588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589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590</v>
      </c>
      <c r="C13" s="57" t="n">
        <f aca="false">Supuestos!$C$54*0.6/12+Supuestos!$C$54*Supuestos!$C$57*0/12</f>
        <v>60000000</v>
      </c>
      <c r="D13" s="57" t="n">
        <f aca="false">Supuestos!$C$54*0.6/12+Supuestos!$C$54*Supuestos!$C$57*0/12</f>
        <v>60000000</v>
      </c>
      <c r="E13" s="57" t="n">
        <f aca="false">Supuestos!$C$54*0.6/12+Supuestos!$C$54*Supuestos!$C$57*0/12</f>
        <v>60000000</v>
      </c>
      <c r="F13" s="57" t="n">
        <f aca="false">Supuestos!$C$54*0.6/12+Supuestos!$C$54*Supuestos!$C$57*0/12</f>
        <v>60000000</v>
      </c>
      <c r="G13" s="57" t="n">
        <f aca="false">Supuestos!$C$54*0.6/12+Supuestos!$C$54*Supuestos!$C$57*0/12</f>
        <v>60000000</v>
      </c>
      <c r="H13" s="57" t="n">
        <f aca="false">Supuestos!$C$54*0.6/12+Supuestos!$C$54*Supuestos!$C$57*0/12</f>
        <v>60000000</v>
      </c>
      <c r="I13" s="57" t="n">
        <f aca="false">Supuestos!$C$54*0.6/12+Supuestos!$C$54*Supuestos!$C$57*0/12</f>
        <v>60000000</v>
      </c>
      <c r="J13" s="57" t="n">
        <f aca="false">Supuestos!$C$54*0.6/12+Supuestos!$C$54*Supuestos!$C$57*0/12</f>
        <v>60000000</v>
      </c>
      <c r="K13" s="57" t="n">
        <f aca="false">Supuestos!$C$54*0.6/12+Supuestos!$C$54*Supuestos!$C$57*0/12</f>
        <v>60000000</v>
      </c>
      <c r="L13" s="57" t="n">
        <f aca="false">Supuestos!$C$54*0.6/12+Supuestos!$C$54*Supuestos!$C$57*0/12</f>
        <v>60000000</v>
      </c>
      <c r="M13" s="57" t="n">
        <f aca="false">Supuestos!$C$54*0.6/12+Supuestos!$C$54*Supuestos!$C$57*0/12</f>
        <v>60000000</v>
      </c>
      <c r="N13" s="57" t="n">
        <f aca="false">Supuestos!$C$54*0.6/12+Supuestos!$C$54*Supuestos!$C$57*0/12</f>
        <v>60000000</v>
      </c>
      <c r="O13" s="57" t="n">
        <f aca="false">Supuestos!$C$54*0.4/12+Supuestos!$C$54*Supuestos!$C$57*0.6/12</f>
        <v>53200000</v>
      </c>
      <c r="P13" s="57" t="n">
        <f aca="false">Supuestos!$C$54*0.4/12+Supuestos!$C$54*Supuestos!$C$57*0.6/12</f>
        <v>53200000</v>
      </c>
      <c r="Q13" s="57" t="n">
        <f aca="false">Supuestos!$C$54*0.4/12+Supuestos!$C$54*Supuestos!$C$57*0.6/12</f>
        <v>53200000</v>
      </c>
      <c r="R13" s="57" t="n">
        <f aca="false">Supuestos!$C$54*0.4/12+Supuestos!$C$54*Supuestos!$C$57*0.6/12</f>
        <v>53200000</v>
      </c>
      <c r="S13" s="57" t="n">
        <f aca="false">Supuestos!$C$54*0.4/12+Supuestos!$C$54*Supuestos!$C$57*0.6/12</f>
        <v>53200000</v>
      </c>
      <c r="T13" s="57" t="n">
        <f aca="false">Supuestos!$C$54*0.4/12+Supuestos!$C$54*Supuestos!$C$57*0.6/12</f>
        <v>53200000</v>
      </c>
      <c r="U13" s="57" t="n">
        <f aca="false">Supuestos!$C$54*0.4/12+Supuestos!$C$54*Supuestos!$C$57*0.6/12</f>
        <v>53200000</v>
      </c>
      <c r="V13" s="57" t="n">
        <f aca="false">Supuestos!$C$54*0.4/12+Supuestos!$C$54*Supuestos!$C$57*0.6/12</f>
        <v>53200000</v>
      </c>
      <c r="W13" s="57" t="n">
        <f aca="false">Supuestos!$C$54*0.4/12+Supuestos!$C$54*Supuestos!$C$57*0.6/12</f>
        <v>53200000</v>
      </c>
      <c r="X13" s="57" t="n">
        <f aca="false">Supuestos!$C$54*0.4/12+Supuestos!$C$54*Supuestos!$C$57*0.6/12</f>
        <v>53200000</v>
      </c>
      <c r="Y13" s="57" t="n">
        <f aca="false">Supuestos!$C$54*0.4/12+Supuestos!$C$54*Supuestos!$C$57*0.6/12</f>
        <v>53200000</v>
      </c>
      <c r="Z13" s="57" t="n">
        <f aca="false">Supuestos!$C$54*0.4/12+Supuestos!$C$54*Supuestos!$C$57*0.6/12</f>
        <v>53200000</v>
      </c>
      <c r="AA13" s="57" t="n">
        <f aca="false">Supuestos!$C$54*0/12+Supuestos!$C$54*Supuestos!$C$57*1/12</f>
        <v>22000000</v>
      </c>
      <c r="AB13" s="57" t="n">
        <f aca="false">Supuestos!$C$54*0/12+Supuestos!$C$54*Supuestos!$C$57*1/12</f>
        <v>22000000</v>
      </c>
      <c r="AC13" s="57" t="n">
        <f aca="false">Supuestos!$C$54*0/12+Supuestos!$C$54*Supuestos!$C$57*1/12</f>
        <v>22000000</v>
      </c>
      <c r="AD13" s="57" t="n">
        <f aca="false">Supuestos!$C$54*0/12+Supuestos!$C$54*Supuestos!$C$57*1/12</f>
        <v>22000000</v>
      </c>
      <c r="AE13" s="57" t="n">
        <f aca="false">Supuestos!$C$54*0/12+Supuestos!$C$54*Supuestos!$C$57*1/12</f>
        <v>22000000</v>
      </c>
      <c r="AF13" s="57" t="n">
        <f aca="false">Supuestos!$C$54*0/12+Supuestos!$C$54*Supuestos!$C$57*1/12</f>
        <v>22000000</v>
      </c>
      <c r="AG13" s="57" t="n">
        <f aca="false">Supuestos!$C$54*0/12+Supuestos!$C$54*Supuestos!$C$57*1/12</f>
        <v>22000000</v>
      </c>
      <c r="AH13" s="57" t="n">
        <f aca="false">Supuestos!$C$54*0/12+Supuestos!$C$54*Supuestos!$C$57*1/12</f>
        <v>22000000</v>
      </c>
      <c r="AI13" s="57" t="n">
        <f aca="false">Supuestos!$C$54*0/12+Supuestos!$C$54*Supuestos!$C$57*1/12</f>
        <v>22000000</v>
      </c>
      <c r="AJ13" s="57" t="n">
        <f aca="false">Supuestos!$C$54*0/12+Supuestos!$C$54*Supuestos!$C$57*1/12</f>
        <v>22000000</v>
      </c>
      <c r="AK13" s="57" t="n">
        <f aca="false">Supuestos!$C$54*0/12+Supuestos!$C$54*Supuestos!$C$57*1/12</f>
        <v>22000000</v>
      </c>
      <c r="AL13" s="57" t="n">
        <f aca="false">Supuestos!$C$54*0/12+Supuestos!$C$54*Supuestos!$C$57*1/12</f>
        <v>22000000</v>
      </c>
      <c r="AM13" s="57" t="n">
        <f aca="false">Supuestos!$C$54*0/12+Supuestos!$C$54*Supuestos!$C$57*1/12</f>
        <v>22000000</v>
      </c>
      <c r="AN13" s="57" t="n">
        <f aca="false">Supuestos!$C$54*0/12+Supuestos!$C$54*Supuestos!$C$57*1/12</f>
        <v>22000000</v>
      </c>
      <c r="AO13" s="57" t="n">
        <f aca="false">Supuestos!$C$54*0/12+Supuestos!$C$54*Supuestos!$C$57*1/12</f>
        <v>22000000</v>
      </c>
      <c r="AP13" s="57" t="n">
        <f aca="false">Supuestos!$C$54*0/12+Supuestos!$C$54*Supuestos!$C$57*1/12</f>
        <v>22000000</v>
      </c>
      <c r="AQ13" s="57" t="n">
        <f aca="false">Supuestos!$C$54*0/12+Supuestos!$C$54*Supuestos!$C$57*1/12</f>
        <v>22000000</v>
      </c>
      <c r="AR13" s="57" t="n">
        <f aca="false">Supuestos!$C$54*0/12+Supuestos!$C$54*Supuestos!$C$57*1/12</f>
        <v>22000000</v>
      </c>
      <c r="AS13" s="57" t="n">
        <f aca="false">Supuestos!$C$54*0/12+Supuestos!$C$54*Supuestos!$C$57*1/12</f>
        <v>22000000</v>
      </c>
      <c r="AT13" s="57" t="n">
        <f aca="false">Supuestos!$C$54*0/12+Supuestos!$C$54*Supuestos!$C$57*1/12</f>
        <v>22000000</v>
      </c>
      <c r="AU13" s="57" t="n">
        <f aca="false">Supuestos!$C$54*0/12+Supuestos!$C$54*Supuestos!$C$57*1/12</f>
        <v>22000000</v>
      </c>
      <c r="AV13" s="57" t="n">
        <f aca="false">Supuestos!$C$54*0/12+Supuestos!$C$54*Supuestos!$C$57*1/12</f>
        <v>22000000</v>
      </c>
      <c r="AW13" s="57" t="n">
        <f aca="false">Supuestos!$C$54*0/12+Supuestos!$C$54*Supuestos!$C$57*1/12</f>
        <v>22000000</v>
      </c>
      <c r="AX13" s="57" t="n">
        <f aca="false">Supuestos!$C$54*0/12+Supuestos!$C$54*Supuestos!$C$57*1/12</f>
        <v>22000000</v>
      </c>
      <c r="AY13" s="57" t="n">
        <f aca="false">Supuestos!$C$54*0/12+Supuestos!$C$54*Supuestos!$C$57*1/12</f>
        <v>22000000</v>
      </c>
      <c r="AZ13" s="57" t="n">
        <f aca="false">Supuestos!$C$54*0/12+Supuestos!$C$54*Supuestos!$C$57*1/12</f>
        <v>22000000</v>
      </c>
      <c r="BA13" s="57" t="n">
        <f aca="false">Supuestos!$C$54*0/12+Supuestos!$C$54*Supuestos!$C$57*1/12</f>
        <v>22000000</v>
      </c>
      <c r="BB13" s="57" t="n">
        <f aca="false">Supuestos!$C$54*0/12+Supuestos!$C$54*Supuestos!$C$57*1/12</f>
        <v>22000000</v>
      </c>
      <c r="BC13" s="57" t="n">
        <f aca="false">Supuestos!$C$54*0/12+Supuestos!$C$54*Supuestos!$C$57*1/12</f>
        <v>22000000</v>
      </c>
      <c r="BD13" s="57" t="n">
        <f aca="false">Supuestos!$C$54*0/12+Supuestos!$C$54*Supuestos!$C$57*1/12</f>
        <v>22000000</v>
      </c>
      <c r="BE13" s="57" t="n">
        <f aca="false">Supuestos!$C$54*0/12+Supuestos!$C$54*Supuestos!$C$57*1/12</f>
        <v>22000000</v>
      </c>
      <c r="BF13" s="57" t="n">
        <f aca="false">Supuestos!$C$54*0/12+Supuestos!$C$54*Supuestos!$C$57*1/12</f>
        <v>22000000</v>
      </c>
      <c r="BG13" s="57" t="n">
        <f aca="false">Supuestos!$C$54*0/12+Supuestos!$C$54*Supuestos!$C$57*1/12</f>
        <v>22000000</v>
      </c>
      <c r="BH13" s="57" t="n">
        <f aca="false">Supuestos!$C$54*0/12+Supuestos!$C$54*Supuestos!$C$57*1/12</f>
        <v>22000000</v>
      </c>
      <c r="BI13" s="57" t="n">
        <f aca="false">Supuestos!$C$54*0/12+Supuestos!$C$54*Supuestos!$C$57*1/12</f>
        <v>22000000</v>
      </c>
      <c r="BJ13" s="57" t="n">
        <f aca="false">Supuestos!$C$54*0/12+Supuestos!$C$54*Supuestos!$C$57*1/12</f>
        <v>22000000</v>
      </c>
      <c r="BK13" s="57" t="n">
        <f aca="false">Supuestos!$C$54*0/12+Supuestos!$C$54*Supuestos!$C$57*1/12</f>
        <v>22000000</v>
      </c>
      <c r="BL13" s="57" t="n">
        <f aca="false">Supuestos!$C$54*0/12+Supuestos!$C$54*Supuestos!$C$57*1/12</f>
        <v>22000000</v>
      </c>
      <c r="BM13" s="57" t="n">
        <f aca="false">Supuestos!$C$54*0/12+Supuestos!$C$54*Supuestos!$C$57*1/12</f>
        <v>22000000</v>
      </c>
      <c r="BN13" s="57" t="n">
        <f aca="false">Supuestos!$C$54*0/12+Supuestos!$C$54*Supuestos!$C$57*1/12</f>
        <v>22000000</v>
      </c>
      <c r="BO13" s="57" t="n">
        <f aca="false">Supuestos!$C$54*0/12+Supuestos!$C$54*Supuestos!$C$57*1/12</f>
        <v>22000000</v>
      </c>
      <c r="BP13" s="57" t="n">
        <f aca="false">Supuestos!$C$54*0/12+Supuestos!$C$54*Supuestos!$C$57*1/12</f>
        <v>22000000</v>
      </c>
      <c r="BQ13" s="57" t="n">
        <f aca="false">Supuestos!$C$54*0/12+Supuestos!$C$54*Supuestos!$C$57*1/12</f>
        <v>22000000</v>
      </c>
      <c r="BR13" s="57" t="n">
        <f aca="false">Supuestos!$C$54*0/12+Supuestos!$C$54*Supuestos!$C$57*1/12</f>
        <v>22000000</v>
      </c>
      <c r="BS13" s="57" t="n">
        <f aca="false">Supuestos!$C$54*0/12+Supuestos!$C$54*Supuestos!$C$57*1/12</f>
        <v>22000000</v>
      </c>
      <c r="BT13" s="57" t="n">
        <f aca="false">Supuestos!$C$54*0/12+Supuestos!$C$54*Supuestos!$C$57*1/12</f>
        <v>22000000</v>
      </c>
      <c r="BU13" s="57" t="n">
        <f aca="false">Supuestos!$C$54*0/12+Supuestos!$C$54*Supuestos!$C$57*1/12</f>
        <v>22000000</v>
      </c>
      <c r="BV13" s="57" t="n">
        <f aca="false">Supuestos!$C$54*0/12+Supuestos!$C$54*Supuestos!$C$57*1/12</f>
        <v>22000000</v>
      </c>
      <c r="BW13" s="57" t="n">
        <f aca="false">Supuestos!$C$54*0/12+Supuestos!$C$54*Supuestos!$C$57*1/12</f>
        <v>22000000</v>
      </c>
      <c r="BX13" s="57" t="n">
        <f aca="false">Supuestos!$C$54*0/12+Supuestos!$C$54*Supuestos!$C$57*1/12</f>
        <v>22000000</v>
      </c>
      <c r="BY13" s="57" t="n">
        <f aca="false">Supuestos!$C$54*0/12+Supuestos!$C$54*Supuestos!$C$57*1/12</f>
        <v>22000000</v>
      </c>
      <c r="BZ13" s="57" t="n">
        <f aca="false">Supuestos!$C$54*0/12+Supuestos!$C$54*Supuestos!$C$57*1/12</f>
        <v>22000000</v>
      </c>
      <c r="CA13" s="57" t="n">
        <f aca="false">Supuestos!$C$54*0/12+Supuestos!$C$54*Supuestos!$C$57*1/12</f>
        <v>22000000</v>
      </c>
      <c r="CB13" s="57" t="n">
        <f aca="false">Supuestos!$C$54*0/12+Supuestos!$C$54*Supuestos!$C$57*1/12</f>
        <v>22000000</v>
      </c>
      <c r="CC13" s="57" t="n">
        <f aca="false">Supuestos!$C$54*0/12+Supuestos!$C$54*Supuestos!$C$57*1/12</f>
        <v>22000000</v>
      </c>
      <c r="CD13" s="57" t="n">
        <f aca="false">Supuestos!$C$54*0/12+Supuestos!$C$54*Supuestos!$C$57*1/12</f>
        <v>22000000</v>
      </c>
      <c r="CE13" s="57" t="n">
        <f aca="false">Supuestos!$C$54*0/12+Supuestos!$C$54*Supuestos!$C$57*1/12</f>
        <v>22000000</v>
      </c>
      <c r="CF13" s="57" t="n">
        <f aca="false">Supuestos!$C$54*0/12+Supuestos!$C$54*Supuestos!$C$57*1/12</f>
        <v>22000000</v>
      </c>
      <c r="CG13" s="57" t="n">
        <f aca="false">Supuestos!$C$54*0/12+Supuestos!$C$54*Supuestos!$C$57*1/12</f>
        <v>22000000</v>
      </c>
      <c r="CH13" s="57" t="n">
        <f aca="false">Supuestos!$C$54*0/12+Supuestos!$C$54*Supuestos!$C$57*1/12</f>
        <v>22000000</v>
      </c>
      <c r="CI13" s="57" t="n">
        <f aca="false">Supuestos!$C$54*0/12+Supuestos!$C$54*Supuestos!$C$57*1/12</f>
        <v>22000000</v>
      </c>
      <c r="CJ13" s="57" t="n">
        <f aca="false">Supuestos!$C$54*0/12+Supuestos!$C$54*Supuestos!$C$57*1/12</f>
        <v>22000000</v>
      </c>
      <c r="CK13" s="57" t="n">
        <f aca="false">Supuestos!$C$54*0/12+Supuestos!$C$54*Supuestos!$C$57*1/12</f>
        <v>22000000</v>
      </c>
      <c r="CL13" s="57" t="n">
        <f aca="false">Supuestos!$C$54*0/12+Supuestos!$C$54*Supuestos!$C$57*1/12</f>
        <v>22000000</v>
      </c>
      <c r="CM13" s="57" t="n">
        <f aca="false">Supuestos!$C$54*0/12+Supuestos!$C$54*Supuestos!$C$57*1/12</f>
        <v>22000000</v>
      </c>
      <c r="CN13" s="57" t="n">
        <f aca="false">Supuestos!$C$54*0/12+Supuestos!$C$54*Supuestos!$C$57*1/12</f>
        <v>22000000</v>
      </c>
      <c r="CO13" s="57" t="n">
        <f aca="false">Supuestos!$C$54*0/12+Supuestos!$C$54*Supuestos!$C$57*1/12</f>
        <v>22000000</v>
      </c>
      <c r="CP13" s="57" t="n">
        <f aca="false">Supuestos!$C$54*0/12+Supuestos!$C$54*Supuestos!$C$57*1/12</f>
        <v>22000000</v>
      </c>
      <c r="CQ13" s="57" t="n">
        <f aca="false">Supuestos!$C$54*0/12+Supuestos!$C$54*Supuestos!$C$57*1/12</f>
        <v>22000000</v>
      </c>
      <c r="CR13" s="57" t="n">
        <f aca="false">Supuestos!$C$54*0/12+Supuestos!$C$54*Supuestos!$C$57*1/12</f>
        <v>22000000</v>
      </c>
      <c r="CS13" s="57" t="n">
        <f aca="false">Supuestos!$C$54*0/12+Supuestos!$C$54*Supuestos!$C$57*1/12</f>
        <v>22000000</v>
      </c>
      <c r="CT13" s="57" t="n">
        <f aca="false">Supuestos!$C$54*0/12+Supuestos!$C$54*Supuestos!$C$57*1/12</f>
        <v>22000000</v>
      </c>
    </row>
    <row r="14" customFormat="false" ht="15" hidden="false" customHeight="true" outlineLevel="0" collapsed="false">
      <c r="B14" s="9" t="s">
        <v>591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592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593</v>
      </c>
      <c r="C16" s="57" t="n">
        <f aca="false">-(C10+C11+C12+C13+C15)</f>
        <v>-165406670.763335</v>
      </c>
      <c r="D16" s="57" t="n">
        <f aca="false">-(D10+D11+D12+D13+D15)</f>
        <v>-165406670.763335</v>
      </c>
      <c r="E16" s="57" t="n">
        <f aca="false">-(E10+E11+E12+E13+E15)</f>
        <v>-165406670.763335</v>
      </c>
      <c r="F16" s="57" t="n">
        <f aca="false">-(F10+F11+F12+F13+F15)</f>
        <v>-165406670.763335</v>
      </c>
      <c r="G16" s="57" t="n">
        <f aca="false">-(G10+G11+G12+G13+G15)</f>
        <v>-165406670.763335</v>
      </c>
      <c r="H16" s="57" t="n">
        <f aca="false">-(H10+H11+H12+H13+H15)</f>
        <v>-165406670.763335</v>
      </c>
      <c r="I16" s="57" t="n">
        <f aca="false">-(I10+I11+I12+I13+I15)</f>
        <v>-165406670.763335</v>
      </c>
      <c r="J16" s="57" t="n">
        <f aca="false">-(J10+J11+J12+J13+J15)</f>
        <v>-165406670.763335</v>
      </c>
      <c r="K16" s="57" t="n">
        <f aca="false">-(K10+K11+K12+K13+K15)</f>
        <v>-165406670.763335</v>
      </c>
      <c r="L16" s="57" t="n">
        <f aca="false">-(L10+L11+L12+L13+L15)</f>
        <v>-165406670.763335</v>
      </c>
      <c r="M16" s="57" t="n">
        <f aca="false">-(M10+M11+M12+M13+M15)</f>
        <v>-165406670.763335</v>
      </c>
      <c r="N16" s="57" t="n">
        <f aca="false">-(N10+N11+N12+N13+N15)</f>
        <v>-337406670.763335</v>
      </c>
      <c r="O16" s="57" t="n">
        <f aca="false">-(O10+O11+O12+O13+O15)</f>
        <v>-379560972.071905</v>
      </c>
      <c r="P16" s="57" t="n">
        <f aca="false">-(P10+P11+P12+P13+P15)</f>
        <v>-391555969.749272</v>
      </c>
      <c r="Q16" s="57" t="n">
        <f aca="false">-(Q10+Q11+Q12+Q13+Q15)</f>
        <v>-403550967.426639</v>
      </c>
      <c r="R16" s="57" t="n">
        <f aca="false">-(R10+R11+R12+R13+R15)</f>
        <v>-415545965.104006</v>
      </c>
      <c r="S16" s="57" t="n">
        <f aca="false">-(S10+S11+S12+S13+S15)</f>
        <v>-427540962.781373</v>
      </c>
      <c r="T16" s="57" t="n">
        <f aca="false">-(T10+T11+T12+T13+T15)</f>
        <v>-439535960.458741</v>
      </c>
      <c r="U16" s="57" t="n">
        <f aca="false">-(U10+U11+U12+U13+U15)</f>
        <v>-451530958.136108</v>
      </c>
      <c r="V16" s="57" t="n">
        <f aca="false">-(V10+V11+V12+V13+V15)</f>
        <v>-463525955.813475</v>
      </c>
      <c r="W16" s="57" t="n">
        <f aca="false">-(W10+W11+W12+W13+W15)</f>
        <v>-475520953.490842</v>
      </c>
      <c r="X16" s="57" t="n">
        <f aca="false">-(X10+X11+X12+X13+X15)</f>
        <v>-487515951.168209</v>
      </c>
      <c r="Y16" s="57" t="n">
        <f aca="false">-(Y10+Y11+Y12+Y13+Y15)</f>
        <v>-499510948.845577</v>
      </c>
      <c r="Z16" s="57" t="n">
        <f aca="false">-(Z10+Z11+Z12+Z13+Z15)</f>
        <v>-511505946.522944</v>
      </c>
      <c r="AA16" s="57" t="n">
        <f aca="false">-(AA10+AA11+AA12+AA13+AA15)</f>
        <v>-439934969.805773</v>
      </c>
      <c r="AB16" s="57" t="n">
        <f aca="false">-(AB10+AB11+AB12+AB13+AB15)</f>
        <v>-451929967.483141</v>
      </c>
      <c r="AC16" s="57" t="n">
        <f aca="false">-(AC10+AC11+AC12+AC13+AC15)</f>
        <v>-463924965.160508</v>
      </c>
      <c r="AD16" s="57" t="n">
        <f aca="false">-(AD10+AD11+AD12+AD13+AD15)</f>
        <v>-475919962.837875</v>
      </c>
      <c r="AE16" s="57" t="n">
        <f aca="false">-(AE10+AE11+AE12+AE13+AE15)</f>
        <v>-487914960.515242</v>
      </c>
      <c r="AF16" s="57" t="n">
        <f aca="false">-(AF10+AF11+AF12+AF13+AF15)</f>
        <v>-499909958.192609</v>
      </c>
      <c r="AG16" s="57" t="n">
        <f aca="false">-(AG10+AG11+AG12+AG13+AG15)</f>
        <v>-511904955.869977</v>
      </c>
      <c r="AH16" s="57" t="n">
        <f aca="false">-(AH10+AH11+AH12+AH13+AH15)</f>
        <v>-523899953.547344</v>
      </c>
      <c r="AI16" s="57" t="n">
        <f aca="false">-(AI10+AI11+AI12+AI13+AI15)</f>
        <v>-535894951.224711</v>
      </c>
      <c r="AJ16" s="57" t="n">
        <f aca="false">-(AJ10+AJ11+AJ12+AJ13+AJ15)</f>
        <v>-547889948.902078</v>
      </c>
      <c r="AK16" s="57" t="n">
        <f aca="false">-(AK10+AK11+AK12+AK13+AK15)</f>
        <v>-559884946.579445</v>
      </c>
      <c r="AL16" s="57" t="n">
        <f aca="false">-(AL10+AL11+AL12+AL13+AL15)</f>
        <v>-571879944.256812</v>
      </c>
      <c r="AM16" s="57" t="n">
        <f aca="false">-(AM10+AM11+AM12+AM13+AM15)</f>
        <v>-571879944.256812</v>
      </c>
      <c r="AN16" s="57" t="n">
        <f aca="false">-(AN10+AN11+AN12+AN13+AN15)</f>
        <v>-571879944.256812</v>
      </c>
      <c r="AO16" s="57" t="n">
        <f aca="false">-(AO10+AO11+AO12+AO13+AO15)</f>
        <v>-571879944.256812</v>
      </c>
      <c r="AP16" s="57" t="n">
        <f aca="false">-(AP10+AP11+AP12+AP13+AP15)</f>
        <v>-571879944.256812</v>
      </c>
      <c r="AQ16" s="57" t="n">
        <f aca="false">-(AQ10+AQ11+AQ12+AQ13+AQ15)</f>
        <v>-571879944.256812</v>
      </c>
      <c r="AR16" s="57" t="n">
        <f aca="false">-(AR10+AR11+AR12+AR13+AR15)</f>
        <v>-571879944.256812</v>
      </c>
      <c r="AS16" s="57" t="n">
        <f aca="false">-(AS10+AS11+AS12+AS13+AS15)</f>
        <v>-571879944.256812</v>
      </c>
      <c r="AT16" s="57" t="n">
        <f aca="false">-(AT10+AT11+AT12+AT13+AT15)</f>
        <v>-571879944.256812</v>
      </c>
      <c r="AU16" s="57" t="n">
        <f aca="false">-(AU10+AU11+AU12+AU13+AU15)</f>
        <v>-571879944.256812</v>
      </c>
      <c r="AV16" s="57" t="n">
        <f aca="false">-(AV10+AV11+AV12+AV13+AV15)</f>
        <v>-571879944.256812</v>
      </c>
      <c r="AW16" s="57" t="n">
        <f aca="false">-(AW10+AW11+AW12+AW13+AW15)</f>
        <v>-571879944.256812</v>
      </c>
      <c r="AX16" s="57" t="n">
        <f aca="false">-(AX10+AX11+AX12+AX13+AX15)</f>
        <v>-571879944.256812</v>
      </c>
      <c r="AY16" s="57" t="n">
        <f aca="false">-(AY10+AY11+AY12+AY13+AY15)</f>
        <v>-571879944.256812</v>
      </c>
      <c r="AZ16" s="57" t="n">
        <f aca="false">-(AZ10+AZ11+AZ12+AZ13+AZ15)</f>
        <v>-571879944.256812</v>
      </c>
      <c r="BA16" s="57" t="n">
        <f aca="false">-(BA10+BA11+BA12+BA13+BA15)</f>
        <v>-571879944.256812</v>
      </c>
      <c r="BB16" s="57" t="n">
        <f aca="false">-(BB10+BB11+BB12+BB13+BB15)</f>
        <v>-571879944.256812</v>
      </c>
      <c r="BC16" s="57" t="n">
        <f aca="false">-(BC10+BC11+BC12+BC13+BC15)</f>
        <v>-571879944.256812</v>
      </c>
      <c r="BD16" s="57" t="n">
        <f aca="false">-(BD10+BD11+BD12+BD13+BD15)</f>
        <v>-571879944.256812</v>
      </c>
      <c r="BE16" s="57" t="n">
        <f aca="false">-(BE10+BE11+BE12+BE13+BE15)</f>
        <v>-571879944.256812</v>
      </c>
      <c r="BF16" s="57" t="n">
        <f aca="false">-(BF10+BF11+BF12+BF13+BF15)</f>
        <v>-571879944.256812</v>
      </c>
      <c r="BG16" s="57" t="n">
        <f aca="false">-(BG10+BG11+BG12+BG13+BG15)</f>
        <v>-571879944.256812</v>
      </c>
      <c r="BH16" s="57" t="n">
        <f aca="false">-(BH10+BH11+BH12+BH13+BH15)</f>
        <v>-571879944.256812</v>
      </c>
      <c r="BI16" s="57" t="n">
        <f aca="false">-(BI10+BI11+BI12+BI13+BI15)</f>
        <v>-571879944.256812</v>
      </c>
      <c r="BJ16" s="57" t="n">
        <f aca="false">-(BJ10+BJ11+BJ12+BJ13+BJ15)</f>
        <v>-571879944.256812</v>
      </c>
      <c r="BK16" s="57" t="n">
        <f aca="false">-(BK10+BK11+BK12+BK13+BK15)</f>
        <v>-571879944.256812</v>
      </c>
      <c r="BL16" s="57" t="n">
        <f aca="false">-(BL10+BL11+BL12+BL13+BL15)</f>
        <v>-571879944.256812</v>
      </c>
      <c r="BM16" s="57" t="n">
        <f aca="false">-(BM10+BM11+BM12+BM13+BM15)</f>
        <v>-571879944.256812</v>
      </c>
      <c r="BN16" s="57" t="n">
        <f aca="false">-(BN10+BN11+BN12+BN13+BN15)</f>
        <v>-571879944.256812</v>
      </c>
      <c r="BO16" s="57" t="n">
        <f aca="false">-(BO10+BO11+BO12+BO13+BO15)</f>
        <v>-571879944.256812</v>
      </c>
      <c r="BP16" s="57" t="n">
        <f aca="false">-(BP10+BP11+BP12+BP13+BP15)</f>
        <v>-571879944.256812</v>
      </c>
      <c r="BQ16" s="57" t="n">
        <f aca="false">-(BQ10+BQ11+BQ12+BQ13+BQ15)</f>
        <v>-571879944.256812</v>
      </c>
      <c r="BR16" s="57" t="n">
        <f aca="false">-(BR10+BR11+BR12+BR13+BR15)</f>
        <v>-571879944.256812</v>
      </c>
      <c r="BS16" s="57" t="n">
        <f aca="false">-(BS10+BS11+BS12+BS13+BS15)</f>
        <v>-571879944.256812</v>
      </c>
      <c r="BT16" s="57" t="n">
        <f aca="false">-(BT10+BT11+BT12+BT13+BT15)</f>
        <v>-571879944.256812</v>
      </c>
      <c r="BU16" s="57" t="n">
        <f aca="false">-(BU10+BU11+BU12+BU13+BU15)</f>
        <v>-571879944.256812</v>
      </c>
      <c r="BV16" s="57" t="n">
        <f aca="false">-(BV10+BV11+BV12+BV13+BV15)</f>
        <v>-571879944.256812</v>
      </c>
      <c r="BW16" s="57" t="n">
        <f aca="false">-(BW10+BW11+BW12+BW13+BW15)</f>
        <v>-571879944.256812</v>
      </c>
      <c r="BX16" s="57" t="n">
        <f aca="false">-(BX10+BX11+BX12+BX13+BX15)</f>
        <v>-571879944.256812</v>
      </c>
      <c r="BY16" s="57" t="n">
        <f aca="false">-(BY10+BY11+BY12+BY13+BY15)</f>
        <v>-571879944.256812</v>
      </c>
      <c r="BZ16" s="57" t="n">
        <f aca="false">-(BZ10+BZ11+BZ12+BZ13+BZ15)</f>
        <v>-571879944.256812</v>
      </c>
      <c r="CA16" s="57" t="n">
        <f aca="false">-(CA10+CA11+CA12+CA13+CA15)</f>
        <v>-571879944.256812</v>
      </c>
      <c r="CB16" s="57" t="n">
        <f aca="false">-(CB10+CB11+CB12+CB13+CB15)</f>
        <v>-571879944.256812</v>
      </c>
      <c r="CC16" s="57" t="n">
        <f aca="false">-(CC10+CC11+CC12+CC13+CC15)</f>
        <v>-571879944.256812</v>
      </c>
      <c r="CD16" s="57" t="n">
        <f aca="false">-(CD10+CD11+CD12+CD13+CD15)</f>
        <v>-571879944.256812</v>
      </c>
      <c r="CE16" s="57" t="n">
        <f aca="false">-(CE10+CE11+CE12+CE13+CE15)</f>
        <v>-571879944.256812</v>
      </c>
      <c r="CF16" s="57" t="n">
        <f aca="false">-(CF10+CF11+CF12+CF13+CF15)</f>
        <v>-571879944.256812</v>
      </c>
      <c r="CG16" s="57" t="n">
        <f aca="false">-(CG10+CG11+CG12+CG13+CG15)</f>
        <v>-571879944.256812</v>
      </c>
      <c r="CH16" s="57" t="n">
        <f aca="false">-(CH10+CH11+CH12+CH13+CH15)</f>
        <v>-571879944.256812</v>
      </c>
      <c r="CI16" s="57" t="n">
        <f aca="false">-(CI10+CI11+CI12+CI13+CI15)</f>
        <v>-571879944.256812</v>
      </c>
      <c r="CJ16" s="57" t="n">
        <f aca="false">-(CJ10+CJ11+CJ12+CJ13+CJ15)</f>
        <v>-571879944.256812</v>
      </c>
      <c r="CK16" s="57" t="n">
        <f aca="false">-(CK10+CK11+CK12+CK13+CK15)</f>
        <v>-571879944.256812</v>
      </c>
      <c r="CL16" s="57" t="n">
        <f aca="false">-(CL10+CL11+CL12+CL13+CL15)</f>
        <v>-571879944.256812</v>
      </c>
      <c r="CM16" s="57" t="n">
        <f aca="false">-(CM10+CM11+CM12+CM13+CM15)</f>
        <v>-571879944.256812</v>
      </c>
      <c r="CN16" s="57" t="n">
        <f aca="false">-(CN10+CN11+CN12+CN13+CN15)</f>
        <v>-571879944.256812</v>
      </c>
      <c r="CO16" s="57" t="n">
        <f aca="false">-(CO10+CO11+CO12+CO13+CO15)</f>
        <v>-571879944.256812</v>
      </c>
      <c r="CP16" s="57" t="n">
        <f aca="false">-(CP10+CP11+CP12+CP13+CP15)</f>
        <v>-571879944.256812</v>
      </c>
      <c r="CQ16" s="57" t="n">
        <f aca="false">-(CQ10+CQ11+CQ12+CQ13+CQ15)</f>
        <v>-571879944.256812</v>
      </c>
      <c r="CR16" s="57" t="n">
        <f aca="false">-(CR10+CR11+CR12+CR13+CR15)</f>
        <v>-571879944.256812</v>
      </c>
      <c r="CS16" s="57" t="n">
        <f aca="false">-(CS10+CS11+CS12+CS13+CS15)</f>
        <v>-571879944.256812</v>
      </c>
      <c r="CT16" s="57" t="n">
        <f aca="false">-(CT10+CT11+CT12+CT13+CT15)</f>
        <v>-571879944.256812</v>
      </c>
    </row>
    <row r="20" customFormat="false" ht="15" hidden="false" customHeight="true" outlineLevel="0" collapsed="false">
      <c r="B20" s="54" t="s">
        <v>594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595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596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78" t="s">
        <v>597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598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599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600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601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602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603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604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78" t="s">
        <v>605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606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607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8" t="s">
        <v>608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609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610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611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50" t="s">
        <v>612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613</v>
      </c>
    </row>
    <row r="3" customFormat="false" ht="15" hidden="false" customHeight="true" outlineLevel="0" collapsed="false">
      <c r="B3" s="4" t="s">
        <v>614</v>
      </c>
    </row>
    <row r="5" customFormat="false" ht="15" hidden="false" customHeight="true" outlineLevel="0" collapsed="false">
      <c r="B5" s="53" t="s">
        <v>436</v>
      </c>
      <c r="C5" s="53" t="s">
        <v>437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438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439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440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441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442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443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444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445</v>
      </c>
      <c r="C6" s="55" t="s">
        <v>400</v>
      </c>
      <c r="D6" s="55" t="s">
        <v>401</v>
      </c>
      <c r="E6" s="55" t="s">
        <v>402</v>
      </c>
      <c r="F6" s="55" t="s">
        <v>403</v>
      </c>
      <c r="G6" s="55" t="s">
        <v>404</v>
      </c>
      <c r="H6" s="55" t="s">
        <v>405</v>
      </c>
      <c r="I6" s="55" t="s">
        <v>406</v>
      </c>
      <c r="J6" s="55" t="s">
        <v>407</v>
      </c>
      <c r="K6" s="55" t="s">
        <v>408</v>
      </c>
      <c r="L6" s="55" t="s">
        <v>409</v>
      </c>
      <c r="M6" s="55" t="s">
        <v>410</v>
      </c>
      <c r="N6" s="55" t="s">
        <v>411</v>
      </c>
      <c r="O6" s="55" t="s">
        <v>400</v>
      </c>
      <c r="P6" s="55" t="s">
        <v>401</v>
      </c>
      <c r="Q6" s="55" t="s">
        <v>402</v>
      </c>
      <c r="R6" s="55" t="s">
        <v>403</v>
      </c>
      <c r="S6" s="55" t="s">
        <v>404</v>
      </c>
      <c r="T6" s="55" t="s">
        <v>405</v>
      </c>
      <c r="U6" s="55" t="s">
        <v>406</v>
      </c>
      <c r="V6" s="55" t="s">
        <v>407</v>
      </c>
      <c r="W6" s="55" t="s">
        <v>408</v>
      </c>
      <c r="X6" s="55" t="s">
        <v>409</v>
      </c>
      <c r="Y6" s="55" t="s">
        <v>410</v>
      </c>
      <c r="Z6" s="55" t="s">
        <v>411</v>
      </c>
      <c r="AA6" s="55" t="s">
        <v>400</v>
      </c>
      <c r="AB6" s="55" t="s">
        <v>401</v>
      </c>
      <c r="AC6" s="55" t="s">
        <v>402</v>
      </c>
      <c r="AD6" s="55" t="s">
        <v>403</v>
      </c>
      <c r="AE6" s="55" t="s">
        <v>404</v>
      </c>
      <c r="AF6" s="55" t="s">
        <v>405</v>
      </c>
      <c r="AG6" s="55" t="s">
        <v>406</v>
      </c>
      <c r="AH6" s="55" t="s">
        <v>407</v>
      </c>
      <c r="AI6" s="55" t="s">
        <v>408</v>
      </c>
      <c r="AJ6" s="55" t="s">
        <v>409</v>
      </c>
      <c r="AK6" s="55" t="s">
        <v>410</v>
      </c>
      <c r="AL6" s="55" t="s">
        <v>411</v>
      </c>
      <c r="AM6" s="55" t="s">
        <v>400</v>
      </c>
      <c r="AN6" s="55" t="s">
        <v>401</v>
      </c>
      <c r="AO6" s="55" t="s">
        <v>402</v>
      </c>
      <c r="AP6" s="55" t="s">
        <v>403</v>
      </c>
      <c r="AQ6" s="55" t="s">
        <v>404</v>
      </c>
      <c r="AR6" s="55" t="s">
        <v>405</v>
      </c>
      <c r="AS6" s="55" t="s">
        <v>406</v>
      </c>
      <c r="AT6" s="55" t="s">
        <v>407</v>
      </c>
      <c r="AU6" s="55" t="s">
        <v>408</v>
      </c>
      <c r="AV6" s="55" t="s">
        <v>409</v>
      </c>
      <c r="AW6" s="55" t="s">
        <v>410</v>
      </c>
      <c r="AX6" s="55" t="s">
        <v>411</v>
      </c>
      <c r="AY6" s="55" t="s">
        <v>400</v>
      </c>
      <c r="AZ6" s="55" t="s">
        <v>401</v>
      </c>
      <c r="BA6" s="55" t="s">
        <v>402</v>
      </c>
      <c r="BB6" s="55" t="s">
        <v>403</v>
      </c>
      <c r="BC6" s="55" t="s">
        <v>404</v>
      </c>
      <c r="BD6" s="55" t="s">
        <v>405</v>
      </c>
      <c r="BE6" s="55" t="s">
        <v>406</v>
      </c>
      <c r="BF6" s="55" t="s">
        <v>407</v>
      </c>
      <c r="BG6" s="55" t="s">
        <v>408</v>
      </c>
      <c r="BH6" s="55" t="s">
        <v>409</v>
      </c>
      <c r="BI6" s="55" t="s">
        <v>410</v>
      </c>
      <c r="BJ6" s="55" t="s">
        <v>411</v>
      </c>
      <c r="BK6" s="55" t="s">
        <v>400</v>
      </c>
      <c r="BL6" s="55" t="s">
        <v>401</v>
      </c>
      <c r="BM6" s="55" t="s">
        <v>402</v>
      </c>
      <c r="BN6" s="55" t="s">
        <v>403</v>
      </c>
      <c r="BO6" s="55" t="s">
        <v>404</v>
      </c>
      <c r="BP6" s="55" t="s">
        <v>405</v>
      </c>
      <c r="BQ6" s="55" t="s">
        <v>406</v>
      </c>
      <c r="BR6" s="55" t="s">
        <v>407</v>
      </c>
      <c r="BS6" s="55" t="s">
        <v>408</v>
      </c>
      <c r="BT6" s="55" t="s">
        <v>409</v>
      </c>
      <c r="BU6" s="55" t="s">
        <v>410</v>
      </c>
      <c r="BV6" s="55" t="s">
        <v>411</v>
      </c>
      <c r="BW6" s="55" t="s">
        <v>400</v>
      </c>
      <c r="BX6" s="55" t="s">
        <v>401</v>
      </c>
      <c r="BY6" s="55" t="s">
        <v>402</v>
      </c>
      <c r="BZ6" s="55" t="s">
        <v>403</v>
      </c>
      <c r="CA6" s="55" t="s">
        <v>404</v>
      </c>
      <c r="CB6" s="55" t="s">
        <v>405</v>
      </c>
      <c r="CC6" s="55" t="s">
        <v>406</v>
      </c>
      <c r="CD6" s="55" t="s">
        <v>407</v>
      </c>
      <c r="CE6" s="55" t="s">
        <v>408</v>
      </c>
      <c r="CF6" s="55" t="s">
        <v>409</v>
      </c>
      <c r="CG6" s="55" t="s">
        <v>410</v>
      </c>
      <c r="CH6" s="55" t="s">
        <v>411</v>
      </c>
      <c r="CI6" s="55" t="s">
        <v>400</v>
      </c>
      <c r="CJ6" s="55" t="s">
        <v>401</v>
      </c>
      <c r="CK6" s="55" t="s">
        <v>402</v>
      </c>
      <c r="CL6" s="55" t="s">
        <v>403</v>
      </c>
      <c r="CM6" s="55" t="s">
        <v>404</v>
      </c>
      <c r="CN6" s="55" t="s">
        <v>405</v>
      </c>
      <c r="CO6" s="55" t="s">
        <v>406</v>
      </c>
      <c r="CP6" s="55" t="s">
        <v>407</v>
      </c>
      <c r="CQ6" s="55" t="s">
        <v>408</v>
      </c>
      <c r="CR6" s="55" t="s">
        <v>409</v>
      </c>
      <c r="CS6" s="55" t="s">
        <v>410</v>
      </c>
      <c r="CT6" s="55" t="s">
        <v>411</v>
      </c>
    </row>
    <row r="8" customFormat="false" ht="15" hidden="false" customHeight="true" outlineLevel="0" collapsed="false">
      <c r="B8" s="9" t="s">
        <v>615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616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617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89" t="n">
        <v>0</v>
      </c>
      <c r="U10" s="89" t="n">
        <v>0</v>
      </c>
      <c r="V10" s="89" t="n">
        <v>0</v>
      </c>
      <c r="W10" s="89" t="n">
        <v>0</v>
      </c>
      <c r="X10" s="89" t="n">
        <v>0</v>
      </c>
      <c r="Y10" s="89" t="n">
        <v>0</v>
      </c>
      <c r="Z10" s="89" t="n">
        <v>0</v>
      </c>
      <c r="AA10" s="89" t="n">
        <v>0</v>
      </c>
      <c r="AB10" s="89" t="n">
        <v>0</v>
      </c>
      <c r="AC10" s="89" t="n">
        <v>0</v>
      </c>
      <c r="AD10" s="89" t="n">
        <v>0</v>
      </c>
      <c r="AE10" s="89" t="n">
        <v>0</v>
      </c>
      <c r="AF10" s="89" t="n">
        <v>0</v>
      </c>
      <c r="AG10" s="89" t="n">
        <v>0</v>
      </c>
      <c r="AH10" s="89" t="n">
        <v>0</v>
      </c>
      <c r="AI10" s="89" t="n">
        <v>0</v>
      </c>
      <c r="AJ10" s="89" t="n">
        <v>0</v>
      </c>
      <c r="AK10" s="89" t="n">
        <v>0</v>
      </c>
      <c r="AL10" s="89" t="n">
        <v>0</v>
      </c>
      <c r="AM10" s="89" t="n">
        <v>0</v>
      </c>
      <c r="AN10" s="89" t="n">
        <v>0</v>
      </c>
      <c r="AO10" s="89" t="n">
        <v>0</v>
      </c>
      <c r="AP10" s="89" t="n">
        <v>0</v>
      </c>
      <c r="AQ10" s="89" t="n">
        <v>0</v>
      </c>
      <c r="AR10" s="89" t="n">
        <v>0</v>
      </c>
      <c r="AS10" s="89" t="n">
        <v>0</v>
      </c>
      <c r="AT10" s="89" t="n">
        <v>0</v>
      </c>
      <c r="AU10" s="89" t="n">
        <v>0</v>
      </c>
      <c r="AV10" s="89" t="n">
        <v>0</v>
      </c>
      <c r="AW10" s="89" t="n">
        <v>0</v>
      </c>
      <c r="AX10" s="89" t="n">
        <v>0</v>
      </c>
      <c r="AY10" s="89" t="n">
        <v>0</v>
      </c>
      <c r="AZ10" s="89" t="n">
        <v>0</v>
      </c>
      <c r="BA10" s="89" t="n">
        <v>0</v>
      </c>
      <c r="BB10" s="89" t="n">
        <v>0</v>
      </c>
      <c r="BC10" s="89" t="n">
        <v>0</v>
      </c>
      <c r="BD10" s="89" t="n">
        <v>0</v>
      </c>
      <c r="BE10" s="89" t="n">
        <v>0</v>
      </c>
      <c r="BF10" s="89" t="n">
        <v>0</v>
      </c>
      <c r="BG10" s="89" t="n">
        <v>0</v>
      </c>
      <c r="BH10" s="89" t="n">
        <v>0</v>
      </c>
      <c r="BI10" s="89" t="n">
        <v>0</v>
      </c>
      <c r="BJ10" s="89" t="n">
        <v>0</v>
      </c>
      <c r="BK10" s="89" t="n">
        <v>0</v>
      </c>
      <c r="BL10" s="89" t="n">
        <v>0</v>
      </c>
      <c r="BM10" s="89" t="n">
        <v>0</v>
      </c>
      <c r="BN10" s="89" t="n">
        <v>0</v>
      </c>
      <c r="BO10" s="89" t="n">
        <v>0</v>
      </c>
      <c r="BP10" s="89" t="n">
        <v>0</v>
      </c>
      <c r="BQ10" s="89" t="n">
        <v>0</v>
      </c>
      <c r="BR10" s="89" t="n">
        <v>0</v>
      </c>
      <c r="BS10" s="89" t="n">
        <v>0</v>
      </c>
      <c r="BT10" s="89" t="n">
        <v>0</v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  <c r="BZ10" s="89" t="n">
        <v>0</v>
      </c>
      <c r="CA10" s="89" t="n">
        <v>0</v>
      </c>
      <c r="CB10" s="89" t="n">
        <v>0</v>
      </c>
      <c r="CC10" s="89" t="n">
        <v>0</v>
      </c>
      <c r="CD10" s="89" t="n">
        <v>0</v>
      </c>
      <c r="CE10" s="89" t="n">
        <v>0</v>
      </c>
      <c r="CF10" s="89" t="n">
        <v>0</v>
      </c>
      <c r="CG10" s="89" t="n">
        <v>0</v>
      </c>
      <c r="CH10" s="89" t="n">
        <v>0</v>
      </c>
      <c r="CI10" s="89" t="n">
        <v>0</v>
      </c>
      <c r="CJ10" s="89" t="n">
        <v>0</v>
      </c>
      <c r="CK10" s="89" t="n">
        <v>0</v>
      </c>
      <c r="CL10" s="89" t="n">
        <v>0</v>
      </c>
      <c r="CM10" s="89" t="n">
        <v>0</v>
      </c>
      <c r="CN10" s="89" t="n">
        <v>0</v>
      </c>
      <c r="CO10" s="89" t="n">
        <v>0</v>
      </c>
      <c r="CP10" s="89" t="n">
        <v>0</v>
      </c>
      <c r="CQ10" s="89" t="n">
        <v>0</v>
      </c>
      <c r="CR10" s="89" t="n">
        <v>0</v>
      </c>
      <c r="CS10" s="89" t="n">
        <v>0</v>
      </c>
      <c r="CT10" s="89" t="n">
        <v>0</v>
      </c>
    </row>
    <row r="11" customFormat="false" ht="15" hidden="false" customHeight="true" outlineLevel="0" collapsed="false">
      <c r="B11" s="58" t="s">
        <v>618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619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620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621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622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0.0538939634953487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0.0410323505925571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623</v>
      </c>
      <c r="C18" s="77" t="n">
        <f aca="false">Supuestos!$C$62-C17</f>
        <v>0.196106036504651</v>
      </c>
      <c r="O18" s="77" t="n">
        <f aca="false">Supuestos!$C$62-O17</f>
        <v>0.208967649407443</v>
      </c>
      <c r="AA18" s="77" t="n">
        <f aca="false">Supuestos!$C$62-AA17</f>
        <v>0.25</v>
      </c>
      <c r="AM18" s="77" t="n">
        <f aca="false">Supuestos!$C$62-AM17</f>
        <v>0.25</v>
      </c>
      <c r="AY18" s="77" t="n">
        <f aca="false">Supuestos!$C$62-AY17</f>
        <v>0.25</v>
      </c>
      <c r="BK18" s="77" t="n">
        <f aca="false">Supuestos!$C$62-BK17</f>
        <v>0.25</v>
      </c>
      <c r="BW18" s="77" t="n">
        <f aca="false">Supuestos!$C$62-BW17</f>
        <v>0.25</v>
      </c>
      <c r="CI18" s="77" t="n">
        <f aca="false">Supuestos!$C$62-CI17</f>
        <v>0.25</v>
      </c>
    </row>
    <row r="20" customFormat="false" ht="15" hidden="false" customHeight="true" outlineLevel="0" collapsed="false">
      <c r="B20" s="62" t="s">
        <v>624</v>
      </c>
    </row>
    <row r="22" customFormat="false" ht="39.75" hidden="false" customHeight="true" outlineLevel="0" collapsed="false">
      <c r="B22" s="21" t="s">
        <v>625</v>
      </c>
    </row>
    <row r="24" customFormat="false" ht="15" hidden="false" customHeight="false" outlineLevel="0" collapsed="false">
      <c r="A24" s="2"/>
      <c r="B24" s="78" t="s">
        <v>626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627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628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8" t="s">
        <v>629</v>
      </c>
      <c r="C27" s="90" t="n">
        <f aca="false">C25-C26</f>
        <v>3560006498.11111</v>
      </c>
      <c r="D27" s="90" t="n">
        <f aca="false">D25-D26</f>
        <v>3405223606.88889</v>
      </c>
      <c r="E27" s="90" t="n">
        <f aca="false">E25-E26</f>
        <v>3250440715.66667</v>
      </c>
      <c r="F27" s="90" t="n">
        <f aca="false">F25-F26</f>
        <v>3095657824.44444</v>
      </c>
      <c r="G27" s="90" t="n">
        <f aca="false">G25-G26</f>
        <v>2940874933.22222</v>
      </c>
      <c r="H27" s="90" t="n">
        <f aca="false">H25-H26</f>
        <v>2786092042</v>
      </c>
      <c r="I27" s="90" t="n">
        <f aca="false">I25-I26</f>
        <v>2631309150.77778</v>
      </c>
      <c r="J27" s="90" t="n">
        <f aca="false">J25-J26</f>
        <v>2476526259.55555</v>
      </c>
      <c r="K27" s="90" t="n">
        <f aca="false">K25-K26</f>
        <v>2321743368.33333</v>
      </c>
      <c r="L27" s="90" t="n">
        <f aca="false">L25-L26</f>
        <v>2166960477.11111</v>
      </c>
      <c r="M27" s="90" t="n">
        <f aca="false">M25-M26</f>
        <v>2012177585.88889</v>
      </c>
      <c r="N27" s="90" t="n">
        <f aca="false">N25-N26</f>
        <v>1857394694.66667</v>
      </c>
      <c r="O27" s="90" t="n">
        <f aca="false">O25-O26</f>
        <v>1702611803.44444</v>
      </c>
      <c r="P27" s="90" t="n">
        <f aca="false">P25-P26</f>
        <v>1547828912.22222</v>
      </c>
      <c r="Q27" s="90" t="n">
        <f aca="false">Q25-Q26</f>
        <v>1393046021</v>
      </c>
      <c r="R27" s="90" t="n">
        <f aca="false">R25-R26</f>
        <v>1238263129.77778</v>
      </c>
      <c r="S27" s="90" t="n">
        <f aca="false">S25-S26</f>
        <v>1083480238.55555</v>
      </c>
      <c r="T27" s="90" t="n">
        <f aca="false">T25-T26</f>
        <v>928697347.333331</v>
      </c>
      <c r="U27" s="90" t="n">
        <f aca="false">U25-U26</f>
        <v>773914456.111109</v>
      </c>
      <c r="V27" s="90" t="n">
        <f aca="false">V25-V26</f>
        <v>619131564.888887</v>
      </c>
      <c r="W27" s="90" t="n">
        <f aca="false">W25-W26</f>
        <v>464348673.666665</v>
      </c>
      <c r="X27" s="90" t="n">
        <f aca="false">X25-X26</f>
        <v>309565782.444442</v>
      </c>
      <c r="Y27" s="90" t="n">
        <f aca="false">Y25-Y26</f>
        <v>154782891.22222</v>
      </c>
      <c r="Z27" s="90" t="n">
        <f aca="false">Z25-Z26</f>
        <v>0</v>
      </c>
      <c r="AA27" s="90" t="n">
        <f aca="false">AA25-AA26</f>
        <v>0</v>
      </c>
      <c r="AB27" s="90" t="n">
        <f aca="false">AB25-AB26</f>
        <v>0</v>
      </c>
      <c r="AC27" s="90" t="n">
        <f aca="false">AC25-AC26</f>
        <v>0</v>
      </c>
      <c r="AD27" s="90" t="n">
        <f aca="false">AD25-AD26</f>
        <v>0</v>
      </c>
      <c r="AE27" s="90" t="n">
        <f aca="false">AE25-AE26</f>
        <v>0</v>
      </c>
      <c r="AF27" s="90" t="n">
        <f aca="false">AF25-AF26</f>
        <v>0</v>
      </c>
      <c r="AG27" s="90" t="n">
        <f aca="false">AG25-AG26</f>
        <v>0</v>
      </c>
      <c r="AH27" s="90" t="n">
        <f aca="false">AH25-AH26</f>
        <v>0</v>
      </c>
      <c r="AI27" s="90" t="n">
        <f aca="false">AI25-AI26</f>
        <v>0</v>
      </c>
      <c r="AJ27" s="90" t="n">
        <f aca="false">AJ25-AJ26</f>
        <v>0</v>
      </c>
      <c r="AK27" s="90" t="n">
        <f aca="false">AK25-AK26</f>
        <v>0</v>
      </c>
      <c r="AL27" s="90" t="n">
        <f aca="false">AL25-AL26</f>
        <v>0</v>
      </c>
      <c r="AM27" s="90" t="n">
        <f aca="false">AM25-AM26</f>
        <v>0</v>
      </c>
      <c r="AN27" s="90" t="n">
        <f aca="false">AN25-AN26</f>
        <v>0</v>
      </c>
      <c r="AO27" s="90" t="n">
        <f aca="false">AO25-AO26</f>
        <v>0</v>
      </c>
      <c r="AP27" s="90" t="n">
        <f aca="false">AP25-AP26</f>
        <v>0</v>
      </c>
      <c r="AQ27" s="90" t="n">
        <f aca="false">AQ25-AQ26</f>
        <v>0</v>
      </c>
      <c r="AR27" s="90" t="n">
        <f aca="false">AR25-AR26</f>
        <v>0</v>
      </c>
      <c r="AS27" s="90" t="n">
        <f aca="false">AS25-AS26</f>
        <v>0</v>
      </c>
      <c r="AT27" s="90" t="n">
        <f aca="false">AT25-AT26</f>
        <v>0</v>
      </c>
      <c r="AU27" s="90" t="n">
        <f aca="false">AU25-AU26</f>
        <v>0</v>
      </c>
      <c r="AV27" s="90" t="n">
        <f aca="false">AV25-AV26</f>
        <v>0</v>
      </c>
      <c r="AW27" s="90" t="n">
        <f aca="false">AW25-AW26</f>
        <v>0</v>
      </c>
      <c r="AX27" s="90" t="n">
        <f aca="false">AX25-AX26</f>
        <v>0</v>
      </c>
      <c r="AY27" s="90" t="n">
        <f aca="false">AY25-AY26</f>
        <v>0</v>
      </c>
      <c r="AZ27" s="90" t="n">
        <f aca="false">AZ25-AZ26</f>
        <v>0</v>
      </c>
      <c r="BA27" s="90" t="n">
        <f aca="false">BA25-BA26</f>
        <v>0</v>
      </c>
      <c r="BB27" s="90" t="n">
        <f aca="false">BB25-BB26</f>
        <v>0</v>
      </c>
      <c r="BC27" s="90" t="n">
        <f aca="false">BC25-BC26</f>
        <v>0</v>
      </c>
      <c r="BD27" s="90" t="n">
        <f aca="false">BD25-BD26</f>
        <v>0</v>
      </c>
      <c r="BE27" s="90" t="n">
        <f aca="false">BE25-BE26</f>
        <v>0</v>
      </c>
      <c r="BF27" s="90" t="n">
        <f aca="false">BF25-BF26</f>
        <v>0</v>
      </c>
      <c r="BG27" s="90" t="n">
        <f aca="false">BG25-BG26</f>
        <v>0</v>
      </c>
      <c r="BH27" s="90" t="n">
        <f aca="false">BH25-BH26</f>
        <v>0</v>
      </c>
      <c r="BI27" s="90" t="n">
        <f aca="false">BI25-BI26</f>
        <v>0</v>
      </c>
      <c r="BJ27" s="90" t="n">
        <f aca="false">BJ25-BJ26</f>
        <v>0</v>
      </c>
      <c r="BK27" s="90" t="n">
        <f aca="false">BK25-BK26</f>
        <v>0</v>
      </c>
      <c r="BL27" s="90" t="n">
        <f aca="false">BL25-BL26</f>
        <v>0</v>
      </c>
      <c r="BM27" s="90" t="n">
        <f aca="false">BM25-BM26</f>
        <v>0</v>
      </c>
      <c r="BN27" s="90" t="n">
        <f aca="false">BN25-BN26</f>
        <v>0</v>
      </c>
      <c r="BO27" s="90" t="n">
        <f aca="false">BO25-BO26</f>
        <v>0</v>
      </c>
      <c r="BP27" s="90" t="n">
        <f aca="false">BP25-BP26</f>
        <v>0</v>
      </c>
      <c r="BQ27" s="90" t="n">
        <f aca="false">BQ25-BQ26</f>
        <v>0</v>
      </c>
      <c r="BR27" s="90" t="n">
        <f aca="false">BR25-BR26</f>
        <v>0</v>
      </c>
      <c r="BS27" s="90" t="n">
        <f aca="false">BS25-BS26</f>
        <v>0</v>
      </c>
      <c r="BT27" s="90" t="n">
        <f aca="false">BT25-BT26</f>
        <v>0</v>
      </c>
      <c r="BU27" s="90" t="n">
        <f aca="false">BU25-BU26</f>
        <v>0</v>
      </c>
      <c r="BV27" s="90" t="n">
        <f aca="false">BV25-BV26</f>
        <v>0</v>
      </c>
      <c r="BW27" s="90" t="n">
        <f aca="false">BW25-BW26</f>
        <v>0</v>
      </c>
      <c r="BX27" s="90" t="n">
        <f aca="false">BX25-BX26</f>
        <v>0</v>
      </c>
      <c r="BY27" s="90" t="n">
        <f aca="false">BY25-BY26</f>
        <v>0</v>
      </c>
      <c r="BZ27" s="90" t="n">
        <f aca="false">BZ25-BZ26</f>
        <v>0</v>
      </c>
      <c r="CA27" s="90" t="n">
        <f aca="false">CA25-CA26</f>
        <v>0</v>
      </c>
      <c r="CB27" s="90" t="n">
        <f aca="false">CB25-CB26</f>
        <v>0</v>
      </c>
      <c r="CC27" s="90" t="n">
        <f aca="false">CC25-CC26</f>
        <v>0</v>
      </c>
      <c r="CD27" s="90" t="n">
        <f aca="false">CD25-CD26</f>
        <v>0</v>
      </c>
      <c r="CE27" s="90" t="n">
        <f aca="false">CE25-CE26</f>
        <v>0</v>
      </c>
      <c r="CF27" s="90" t="n">
        <f aca="false">CF25-CF26</f>
        <v>0</v>
      </c>
      <c r="CG27" s="90" t="n">
        <f aca="false">CG25-CG26</f>
        <v>0</v>
      </c>
      <c r="CH27" s="90" t="n">
        <f aca="false">CH25-CH26</f>
        <v>0</v>
      </c>
      <c r="CI27" s="90" t="n">
        <f aca="false">CI25-CI26</f>
        <v>0</v>
      </c>
      <c r="CJ27" s="90" t="n">
        <f aca="false">CJ25-CJ26</f>
        <v>0</v>
      </c>
      <c r="CK27" s="90" t="n">
        <f aca="false">CK25-CK26</f>
        <v>0</v>
      </c>
      <c r="CL27" s="90" t="n">
        <f aca="false">CL25-CL26</f>
        <v>0</v>
      </c>
      <c r="CM27" s="90" t="n">
        <f aca="false">CM25-CM26</f>
        <v>0</v>
      </c>
      <c r="CN27" s="90" t="n">
        <f aca="false">CN25-CN26</f>
        <v>0</v>
      </c>
      <c r="CO27" s="90" t="n">
        <f aca="false">CO25-CO26</f>
        <v>0</v>
      </c>
      <c r="CP27" s="90" t="n">
        <f aca="false">CP25-CP26</f>
        <v>0</v>
      </c>
      <c r="CQ27" s="90" t="n">
        <f aca="false">CQ25-CQ26</f>
        <v>0</v>
      </c>
      <c r="CR27" s="90" t="n">
        <f aca="false">CR25-CR26</f>
        <v>0</v>
      </c>
      <c r="CS27" s="90" t="n">
        <f aca="false">CS25-CS26</f>
        <v>0</v>
      </c>
      <c r="CT27" s="90" t="n">
        <f aca="false">CT25-CT26</f>
        <v>0</v>
      </c>
    </row>
    <row r="28" customFormat="false" ht="15" hidden="false" customHeight="false" outlineLevel="0" collapsed="false">
      <c r="A28" s="2"/>
      <c r="B28" s="2" t="s">
        <v>630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631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8" t="s">
        <v>632</v>
      </c>
      <c r="C30" s="90" t="n">
        <f aca="false">C28-C29</f>
        <v>26250000000</v>
      </c>
      <c r="D30" s="90" t="n">
        <f aca="false">D28-D29</f>
        <v>22500000000</v>
      </c>
      <c r="E30" s="90" t="n">
        <f aca="false">E28-E29</f>
        <v>22500000000</v>
      </c>
      <c r="F30" s="90" t="n">
        <f aca="false">F28-F29</f>
        <v>22500000000</v>
      </c>
      <c r="G30" s="90" t="n">
        <f aca="false">G28-G29</f>
        <v>18750000000</v>
      </c>
      <c r="H30" s="90" t="n">
        <f aca="false">H28-H29</f>
        <v>18750000000</v>
      </c>
      <c r="I30" s="90" t="n">
        <f aca="false">I28-I29</f>
        <v>18750000000</v>
      </c>
      <c r="J30" s="90" t="n">
        <f aca="false">J28-J29</f>
        <v>15000000000</v>
      </c>
      <c r="K30" s="90" t="n">
        <f aca="false">K28-K29</f>
        <v>15000000000</v>
      </c>
      <c r="L30" s="90" t="n">
        <f aca="false">L28-L29</f>
        <v>15000000000</v>
      </c>
      <c r="M30" s="90" t="n">
        <f aca="false">M28-M29</f>
        <v>11250000000</v>
      </c>
      <c r="N30" s="90" t="n">
        <f aca="false">N28-N29</f>
        <v>11250000000</v>
      </c>
      <c r="O30" s="90" t="n">
        <f aca="false">O28-O29</f>
        <v>11250000000</v>
      </c>
      <c r="P30" s="90" t="n">
        <f aca="false">P28-P29</f>
        <v>7500000000</v>
      </c>
      <c r="Q30" s="90" t="n">
        <f aca="false">Q28-Q29</f>
        <v>7500000000</v>
      </c>
      <c r="R30" s="90" t="n">
        <f aca="false">R28-R29</f>
        <v>7500000000</v>
      </c>
      <c r="S30" s="90" t="n">
        <f aca="false">S28-S29</f>
        <v>3750000000</v>
      </c>
      <c r="T30" s="90" t="n">
        <f aca="false">T28-T29</f>
        <v>3750000000</v>
      </c>
      <c r="U30" s="90" t="n">
        <f aca="false">U28-U29</f>
        <v>3750000000</v>
      </c>
      <c r="V30" s="90" t="n">
        <f aca="false">V28-V29</f>
        <v>0</v>
      </c>
      <c r="W30" s="90" t="n">
        <f aca="false">W28-W29</f>
        <v>0</v>
      </c>
      <c r="X30" s="90" t="n">
        <f aca="false">X28-X29</f>
        <v>0</v>
      </c>
      <c r="Y30" s="90" t="n">
        <f aca="false">Y28-Y29</f>
        <v>0</v>
      </c>
      <c r="Z30" s="90" t="n">
        <f aca="false">Z28-Z29</f>
        <v>0</v>
      </c>
      <c r="AA30" s="90" t="n">
        <f aca="false">AA28-AA29</f>
        <v>0</v>
      </c>
      <c r="AB30" s="90" t="n">
        <f aca="false">AB28-AB29</f>
        <v>0</v>
      </c>
      <c r="AC30" s="90" t="n">
        <f aca="false">AC28-AC29</f>
        <v>0</v>
      </c>
      <c r="AD30" s="90" t="n">
        <f aca="false">AD28-AD29</f>
        <v>0</v>
      </c>
      <c r="AE30" s="90" t="n">
        <f aca="false">AE28-AE29</f>
        <v>0</v>
      </c>
      <c r="AF30" s="90" t="n">
        <f aca="false">AF28-AF29</f>
        <v>0</v>
      </c>
      <c r="AG30" s="90" t="n">
        <f aca="false">AG28-AG29</f>
        <v>0</v>
      </c>
      <c r="AH30" s="90" t="n">
        <f aca="false">AH28-AH29</f>
        <v>0</v>
      </c>
      <c r="AI30" s="90" t="n">
        <f aca="false">AI28-AI29</f>
        <v>0</v>
      </c>
      <c r="AJ30" s="90" t="n">
        <f aca="false">AJ28-AJ29</f>
        <v>0</v>
      </c>
      <c r="AK30" s="90" t="n">
        <f aca="false">AK28-AK29</f>
        <v>0</v>
      </c>
      <c r="AL30" s="90" t="n">
        <f aca="false">AL28-AL29</f>
        <v>0</v>
      </c>
      <c r="AM30" s="90" t="n">
        <f aca="false">AM28-AM29</f>
        <v>0</v>
      </c>
      <c r="AN30" s="90" t="n">
        <f aca="false">AN28-AN29</f>
        <v>0</v>
      </c>
      <c r="AO30" s="90" t="n">
        <f aca="false">AO28-AO29</f>
        <v>0</v>
      </c>
      <c r="AP30" s="90" t="n">
        <f aca="false">AP28-AP29</f>
        <v>0</v>
      </c>
      <c r="AQ30" s="90" t="n">
        <f aca="false">AQ28-AQ29</f>
        <v>0</v>
      </c>
      <c r="AR30" s="90" t="n">
        <f aca="false">AR28-AR29</f>
        <v>0</v>
      </c>
      <c r="AS30" s="90" t="n">
        <f aca="false">AS28-AS29</f>
        <v>0</v>
      </c>
      <c r="AT30" s="90" t="n">
        <f aca="false">AT28-AT29</f>
        <v>0</v>
      </c>
      <c r="AU30" s="90" t="n">
        <f aca="false">AU28-AU29</f>
        <v>0</v>
      </c>
      <c r="AV30" s="90" t="n">
        <f aca="false">AV28-AV29</f>
        <v>0</v>
      </c>
      <c r="AW30" s="90" t="n">
        <f aca="false">AW28-AW29</f>
        <v>0</v>
      </c>
      <c r="AX30" s="90" t="n">
        <f aca="false">AX28-AX29</f>
        <v>0</v>
      </c>
      <c r="AY30" s="90" t="n">
        <f aca="false">AY28-AY29</f>
        <v>0</v>
      </c>
      <c r="AZ30" s="90" t="n">
        <f aca="false">AZ28-AZ29</f>
        <v>0</v>
      </c>
      <c r="BA30" s="90" t="n">
        <f aca="false">BA28-BA29</f>
        <v>0</v>
      </c>
      <c r="BB30" s="90" t="n">
        <f aca="false">BB28-BB29</f>
        <v>0</v>
      </c>
      <c r="BC30" s="90" t="n">
        <f aca="false">BC28-BC29</f>
        <v>0</v>
      </c>
      <c r="BD30" s="90" t="n">
        <f aca="false">BD28-BD29</f>
        <v>0</v>
      </c>
      <c r="BE30" s="90" t="n">
        <f aca="false">BE28-BE29</f>
        <v>0</v>
      </c>
      <c r="BF30" s="90" t="n">
        <f aca="false">BF28-BF29</f>
        <v>0</v>
      </c>
      <c r="BG30" s="90" t="n">
        <f aca="false">BG28-BG29</f>
        <v>0</v>
      </c>
      <c r="BH30" s="90" t="n">
        <f aca="false">BH28-BH29</f>
        <v>0</v>
      </c>
      <c r="BI30" s="90" t="n">
        <f aca="false">BI28-BI29</f>
        <v>0</v>
      </c>
      <c r="BJ30" s="90" t="n">
        <f aca="false">BJ28-BJ29</f>
        <v>0</v>
      </c>
      <c r="BK30" s="90" t="n">
        <f aca="false">BK28-BK29</f>
        <v>0</v>
      </c>
      <c r="BL30" s="90" t="n">
        <f aca="false">BL28-BL29</f>
        <v>0</v>
      </c>
      <c r="BM30" s="90" t="n">
        <f aca="false">BM28-BM29</f>
        <v>0</v>
      </c>
      <c r="BN30" s="90" t="n">
        <f aca="false">BN28-BN29</f>
        <v>0</v>
      </c>
      <c r="BO30" s="90" t="n">
        <f aca="false">BO28-BO29</f>
        <v>0</v>
      </c>
      <c r="BP30" s="90" t="n">
        <f aca="false">BP28-BP29</f>
        <v>0</v>
      </c>
      <c r="BQ30" s="90" t="n">
        <f aca="false">BQ28-BQ29</f>
        <v>0</v>
      </c>
      <c r="BR30" s="90" t="n">
        <f aca="false">BR28-BR29</f>
        <v>0</v>
      </c>
      <c r="BS30" s="90" t="n">
        <f aca="false">BS28-BS29</f>
        <v>0</v>
      </c>
      <c r="BT30" s="90" t="n">
        <f aca="false">BT28-BT29</f>
        <v>0</v>
      </c>
      <c r="BU30" s="90" t="n">
        <f aca="false">BU28-BU29</f>
        <v>0</v>
      </c>
      <c r="BV30" s="90" t="n">
        <f aca="false">BV28-BV29</f>
        <v>0</v>
      </c>
      <c r="BW30" s="90" t="n">
        <f aca="false">BW28-BW29</f>
        <v>0</v>
      </c>
      <c r="BX30" s="90" t="n">
        <f aca="false">BX28-BX29</f>
        <v>0</v>
      </c>
      <c r="BY30" s="90" t="n">
        <f aca="false">BY28-BY29</f>
        <v>0</v>
      </c>
      <c r="BZ30" s="90" t="n">
        <f aca="false">BZ28-BZ29</f>
        <v>0</v>
      </c>
      <c r="CA30" s="90" t="n">
        <f aca="false">CA28-CA29</f>
        <v>0</v>
      </c>
      <c r="CB30" s="90" t="n">
        <f aca="false">CB28-CB29</f>
        <v>0</v>
      </c>
      <c r="CC30" s="90" t="n">
        <f aca="false">CC28-CC29</f>
        <v>0</v>
      </c>
      <c r="CD30" s="90" t="n">
        <f aca="false">CD28-CD29</f>
        <v>0</v>
      </c>
      <c r="CE30" s="90" t="n">
        <f aca="false">CE28-CE29</f>
        <v>0</v>
      </c>
      <c r="CF30" s="90" t="n">
        <f aca="false">CF28-CF29</f>
        <v>0</v>
      </c>
      <c r="CG30" s="90" t="n">
        <f aca="false">CG28-CG29</f>
        <v>0</v>
      </c>
      <c r="CH30" s="90" t="n">
        <f aca="false">CH28-CH29</f>
        <v>0</v>
      </c>
      <c r="CI30" s="90" t="n">
        <f aca="false">CI28-CI29</f>
        <v>0</v>
      </c>
      <c r="CJ30" s="90" t="n">
        <f aca="false">CJ28-CJ29</f>
        <v>0</v>
      </c>
      <c r="CK30" s="90" t="n">
        <f aca="false">CK28-CK29</f>
        <v>0</v>
      </c>
      <c r="CL30" s="90" t="n">
        <f aca="false">CL28-CL29</f>
        <v>0</v>
      </c>
      <c r="CM30" s="90" t="n">
        <f aca="false">CM28-CM29</f>
        <v>0</v>
      </c>
      <c r="CN30" s="90" t="n">
        <f aca="false">CN28-CN29</f>
        <v>0</v>
      </c>
      <c r="CO30" s="90" t="n">
        <f aca="false">CO28-CO29</f>
        <v>0</v>
      </c>
      <c r="CP30" s="90" t="n">
        <f aca="false">CP28-CP29</f>
        <v>0</v>
      </c>
      <c r="CQ30" s="90" t="n">
        <f aca="false">CQ28-CQ29</f>
        <v>0</v>
      </c>
      <c r="CR30" s="90" t="n">
        <f aca="false">CR28-CR29</f>
        <v>0</v>
      </c>
      <c r="CS30" s="90" t="n">
        <f aca="false">CS28-CS29</f>
        <v>0</v>
      </c>
      <c r="CT30" s="90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633</v>
      </c>
    </row>
    <row r="3" customFormat="false" ht="15" hidden="false" customHeight="true" outlineLevel="0" collapsed="false">
      <c r="B3" s="4" t="s">
        <v>634</v>
      </c>
    </row>
    <row r="5" customFormat="false" ht="15" hidden="false" customHeight="true" outlineLevel="0" collapsed="false">
      <c r="B5" s="91"/>
      <c r="C5" s="51" t="s">
        <v>437</v>
      </c>
      <c r="D5" s="51" t="s">
        <v>438</v>
      </c>
      <c r="E5" s="51" t="s">
        <v>439</v>
      </c>
      <c r="F5" s="51" t="s">
        <v>440</v>
      </c>
      <c r="G5" s="51" t="s">
        <v>441</v>
      </c>
      <c r="H5" s="51" t="s">
        <v>442</v>
      </c>
      <c r="I5" s="51" t="s">
        <v>443</v>
      </c>
      <c r="J5" s="51" t="s">
        <v>444</v>
      </c>
    </row>
    <row r="6" customFormat="false" ht="15" hidden="false" customHeight="true" outlineLevel="0" collapsed="false">
      <c r="B6" s="92"/>
      <c r="C6" s="93" t="s">
        <v>635</v>
      </c>
      <c r="D6" s="93" t="s">
        <v>636</v>
      </c>
      <c r="E6" s="93" t="s">
        <v>637</v>
      </c>
      <c r="F6" s="93" t="s">
        <v>638</v>
      </c>
      <c r="G6" s="93" t="s">
        <v>639</v>
      </c>
      <c r="H6" s="93" t="s">
        <v>639</v>
      </c>
      <c r="I6" s="93" t="s">
        <v>639</v>
      </c>
      <c r="J6" s="93" t="s">
        <v>639</v>
      </c>
    </row>
    <row r="7" customFormat="false" ht="15" hidden="false" customHeight="true" outlineLevel="0" collapsed="false">
      <c r="A7" s="2"/>
      <c r="B7" s="56" t="s">
        <v>640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641</v>
      </c>
      <c r="C8" s="67" t="n">
        <f aca="false">SUM(Recursos!C8:N8)</f>
        <v>218222867429.225</v>
      </c>
      <c r="D8" s="67" t="n">
        <f aca="false">SUM(Recursos!O8:Z8)</f>
        <v>222478213344.095</v>
      </c>
      <c r="E8" s="67" t="n">
        <f aca="false">SUM(Recursos!AA8:AL8)</f>
        <v>226816538504.305</v>
      </c>
      <c r="F8" s="67" t="n">
        <f aca="false">SUM(Recursos!AM8:AX8)</f>
        <v>231239461005.138</v>
      </c>
      <c r="G8" s="67" t="n">
        <f aca="false">SUM(Recursos!AY8:BJ8)</f>
        <v>235748630494.739</v>
      </c>
      <c r="H8" s="67" t="n">
        <f aca="false">SUM(Recursos!BK8:BV8)</f>
        <v>240345728789.386</v>
      </c>
      <c r="I8" s="67" t="n">
        <f aca="false">SUM(Recursos!BW8:CH8)</f>
        <v>245032470500.779</v>
      </c>
      <c r="J8" s="67" t="n">
        <f aca="false">SUM(Recursos!CI8:CT8)</f>
        <v>249810603675.544</v>
      </c>
    </row>
    <row r="9" customFormat="false" ht="15" hidden="false" customHeight="true" outlineLevel="0" collapsed="false">
      <c r="A9" s="2"/>
      <c r="B9" s="9" t="s">
        <v>642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643</v>
      </c>
      <c r="C10" s="67" t="n">
        <f aca="false">SUM(Recursos!C10:N11)</f>
        <v>83037230550.0935</v>
      </c>
      <c r="D10" s="67" t="n">
        <f aca="false">SUM(Recursos!O10:Z11)</f>
        <v>81552666504.0257</v>
      </c>
      <c r="E10" s="67" t="n">
        <f aca="false">SUM(Recursos!AA10:AL11)</f>
        <v>80100703484.4096</v>
      </c>
      <c r="F10" s="67" t="n">
        <f aca="false">SUM(Recursos!AM10:AX11)</f>
        <v>78680625572.7043</v>
      </c>
      <c r="G10" s="67" t="n">
        <f aca="false">SUM(Recursos!AY10:BJ11)</f>
        <v>77291732571.94</v>
      </c>
      <c r="H10" s="67" t="n">
        <f aca="false">SUM(Recursos!BK10:BV11)</f>
        <v>75933339661.4724</v>
      </c>
      <c r="I10" s="67" t="n">
        <f aca="false">SUM(Recursos!BW10:CH11)</f>
        <v>74604777059.3188</v>
      </c>
      <c r="J10" s="67" t="n">
        <f aca="false">SUM(Recursos!CI10:CT11)</f>
        <v>73305389691.9084</v>
      </c>
    </row>
    <row r="11" customFormat="false" ht="15" hidden="false" customHeight="true" outlineLevel="0" collapsed="false">
      <c r="A11" s="2"/>
      <c r="B11" s="9" t="s">
        <v>644</v>
      </c>
      <c r="C11" s="67" t="n">
        <f aca="false">SUM(Recursos!C12:N12)</f>
        <v>7521748907.61</v>
      </c>
      <c r="D11" s="67" t="n">
        <f aca="false">SUM(Recursos!O12:Z12)</f>
        <v>7521748907.61</v>
      </c>
      <c r="E11" s="67" t="n">
        <f aca="false">SUM(Recursos!AA12:AL12)</f>
        <v>7521748907.61</v>
      </c>
      <c r="F11" s="67" t="n">
        <f aca="false">SUM(Recursos!AM12:AX12)</f>
        <v>7521748907.61</v>
      </c>
      <c r="G11" s="67" t="n">
        <f aca="false">SUM(Recursos!AY12:BJ12)</f>
        <v>7521748907.61</v>
      </c>
      <c r="H11" s="67" t="n">
        <f aca="false">SUM(Recursos!BK12:BV12)</f>
        <v>7521748907.61</v>
      </c>
      <c r="I11" s="67" t="n">
        <f aca="false">SUM(Recursos!BW12:CH12)</f>
        <v>7521748907.61</v>
      </c>
      <c r="J11" s="67" t="n">
        <f aca="false">SUM(Recursos!CI12:CT12)</f>
        <v>7521748907.61</v>
      </c>
    </row>
    <row r="12" customFormat="false" ht="15" hidden="false" customHeight="true" outlineLevel="0" collapsed="false">
      <c r="A12" s="2"/>
      <c r="B12" s="58" t="s">
        <v>645</v>
      </c>
      <c r="C12" s="59" t="n">
        <f aca="false">SUM(C8:C11)</f>
        <v>310758078088.928</v>
      </c>
      <c r="D12" s="59" t="n">
        <f aca="false">SUM(D8:D11)</f>
        <v>317410401766.73</v>
      </c>
      <c r="E12" s="59" t="n">
        <f aca="false">SUM(E8:E11)</f>
        <v>321607449783.324</v>
      </c>
      <c r="F12" s="59" t="n">
        <f aca="false">SUM(F8:F11)</f>
        <v>324667035485.453</v>
      </c>
      <c r="G12" s="59" t="n">
        <f aca="false">SUM(G8:G11)</f>
        <v>327787311974.289</v>
      </c>
      <c r="H12" s="59" t="n">
        <f aca="false">SUM(H8:H11)</f>
        <v>331026017358.469</v>
      </c>
      <c r="I12" s="59" t="n">
        <f aca="false">SUM(I8:I11)</f>
        <v>334384196467.708</v>
      </c>
      <c r="J12" s="59" t="n">
        <f aca="false">SUM(J8:J11)</f>
        <v>337862942275.063</v>
      </c>
    </row>
    <row r="13" customFormat="false" ht="15" hidden="false" customHeight="true" outlineLevel="0" collapsed="false">
      <c r="A13" s="2"/>
      <c r="B13" s="9" t="s">
        <v>228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646</v>
      </c>
      <c r="C14" s="61" t="n">
        <f aca="false">C12+C13</f>
        <v>312788178886.148</v>
      </c>
      <c r="D14" s="61" t="n">
        <f aca="false">D12+D13</f>
        <v>319440502563.95</v>
      </c>
      <c r="E14" s="61" t="n">
        <f aca="false">E12+E13</f>
        <v>323637550580.544</v>
      </c>
      <c r="F14" s="61" t="n">
        <f aca="false">F12+F13</f>
        <v>326697136282.673</v>
      </c>
      <c r="G14" s="61" t="n">
        <f aca="false">G12+G13</f>
        <v>329817412771.509</v>
      </c>
      <c r="H14" s="61" t="n">
        <f aca="false">H12+H13</f>
        <v>333056118155.689</v>
      </c>
      <c r="I14" s="61" t="n">
        <f aca="false">I12+I13</f>
        <v>336414297264.928</v>
      </c>
      <c r="J14" s="61" t="n">
        <f aca="false">J12+J13</f>
        <v>339893043072.283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647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648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426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428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649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650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651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652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653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654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655</v>
      </c>
      <c r="C27" s="94" t="n">
        <f aca="false">SUM(Programas!C31:N31)</f>
        <v>589412892.613375</v>
      </c>
      <c r="D27" s="94" t="n">
        <f aca="false">SUM(Programas!O31:Z31)</f>
        <v>1311932298.57075</v>
      </c>
      <c r="E27" s="94" t="n">
        <f aca="false">SUM(Programas!AA31:AL31)</f>
        <v>2034451704.52813</v>
      </c>
      <c r="F27" s="94" t="n">
        <f aca="false">SUM(Programas!AM31:AX31)</f>
        <v>2756971110.4855</v>
      </c>
      <c r="G27" s="94" t="n">
        <f aca="false">SUM(Programas!AY31:BJ31)</f>
        <v>2756971110.4855</v>
      </c>
      <c r="H27" s="94" t="n">
        <f aca="false">SUM(Programas!BK31:BV31)</f>
        <v>2756971110.4855</v>
      </c>
      <c r="I27" s="94" t="n">
        <f aca="false">SUM(Programas!BW31:CH31)</f>
        <v>2756971110.4855</v>
      </c>
      <c r="J27" s="94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656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657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658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530</v>
      </c>
      <c r="C32" s="59" t="n">
        <f aca="false">C12-C22</f>
        <v>58137600333.3582</v>
      </c>
      <c r="D32" s="59" t="n">
        <f aca="false">D12-D22</f>
        <v>63706144902.2242</v>
      </c>
      <c r="E32" s="59" t="n">
        <f aca="false">E12-E22</f>
        <v>66819413809.8819</v>
      </c>
      <c r="F32" s="59" t="n">
        <f aca="false">F12-F22</f>
        <v>68795220403.0745</v>
      </c>
      <c r="G32" s="59" t="n">
        <f aca="false">G12-G22</f>
        <v>71915496891.9104</v>
      </c>
      <c r="H32" s="59" t="n">
        <f aca="false">H12-H22</f>
        <v>75154202276.0903</v>
      </c>
      <c r="I32" s="59" t="n">
        <f aca="false">I12-I22</f>
        <v>78512381385.3298</v>
      </c>
      <c r="J32" s="59" t="n">
        <f aca="false">J12-J22</f>
        <v>81991127192.6845</v>
      </c>
    </row>
    <row r="33" customFormat="false" ht="15" hidden="false" customHeight="true" outlineLevel="0" collapsed="false">
      <c r="A33" s="2"/>
      <c r="B33" s="54" t="s">
        <v>232</v>
      </c>
      <c r="C33" s="61" t="n">
        <f aca="false">C14-C29</f>
        <v>1746050390.70477</v>
      </c>
      <c r="D33" s="61" t="n">
        <f aca="false">D14-D29</f>
        <v>6592075553.61346</v>
      </c>
      <c r="E33" s="61" t="n">
        <f aca="false">E14-E29</f>
        <v>8982825055.31378</v>
      </c>
      <c r="F33" s="61" t="n">
        <f aca="false">F14-F29</f>
        <v>10236112242.5489</v>
      </c>
      <c r="G33" s="61" t="n">
        <f aca="false">G14-G29</f>
        <v>13356388731.3848</v>
      </c>
      <c r="H33" s="61" t="n">
        <f aca="false">H14-H29</f>
        <v>16595094115.5647</v>
      </c>
      <c r="I33" s="61" t="n">
        <f aca="false">I14-I29</f>
        <v>19953273224.8042</v>
      </c>
      <c r="J33" s="61" t="n">
        <f aca="false">J14-J29</f>
        <v>23432019032.1589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78" t="s">
        <v>659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660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661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662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663</v>
      </c>
      <c r="C39" s="67" t="n">
        <f aca="false">SUM('Flujo mensual'!C46:N46)</f>
        <v>24078783579.4278</v>
      </c>
      <c r="D39" s="67" t="n">
        <f aca="false">SUM('Flujo mensual'!O46:Z46)</f>
        <v>26287813147.5277</v>
      </c>
      <c r="E39" s="67" t="n">
        <f aca="false">SUM('Flujo mensual'!AA46:AL46)</f>
        <v>42199284884.9695</v>
      </c>
      <c r="F39" s="67" t="n">
        <f aca="false">SUM('Flujo mensual'!AM46:AX46)</f>
        <v>43946095002.0272</v>
      </c>
      <c r="G39" s="67" t="n">
        <f aca="false">SUM('Flujo mensual'!AY46:BJ46)</f>
        <v>47370650554.8869</v>
      </c>
      <c r="H39" s="67" t="n">
        <f aca="false">SUM('Flujo mensual'!BK46:BV46)</f>
        <v>51100500285.3319</v>
      </c>
      <c r="I39" s="67" t="n">
        <f aca="false">SUM('Flujo mensual'!BW46:CH46)</f>
        <v>54987846052.8015</v>
      </c>
      <c r="J39" s="67" t="n">
        <f aca="false">SUM('Flujo mensual'!CI46:CT46)</f>
        <v>59035368205.4153</v>
      </c>
    </row>
    <row r="40" customFormat="false" ht="15" hidden="false" customHeight="true" outlineLevel="0" collapsed="false">
      <c r="A40" s="2"/>
      <c r="B40" s="9" t="s">
        <v>664</v>
      </c>
      <c r="C40" s="67" t="n">
        <f aca="false">'Flujo mensual'!N49</f>
        <v>30678783579.4278</v>
      </c>
      <c r="D40" s="67" t="n">
        <f aca="false">'Flujo mensual'!Z49</f>
        <v>56966596726.9555</v>
      </c>
      <c r="E40" s="67" t="n">
        <f aca="false">'Flujo mensual'!AL49</f>
        <v>99165881611.925</v>
      </c>
      <c r="F40" s="67" t="n">
        <f aca="false">'Flujo mensual'!AX49</f>
        <v>143111976613.952</v>
      </c>
      <c r="G40" s="67" t="n">
        <f aca="false">'Flujo mensual'!BJ49</f>
        <v>190482627168.839</v>
      </c>
      <c r="H40" s="67" t="n">
        <f aca="false">'Flujo mensual'!BV49</f>
        <v>241583127454.171</v>
      </c>
      <c r="I40" s="67" t="n">
        <f aca="false">'Flujo mensual'!CH49</f>
        <v>296570973506.972</v>
      </c>
      <c r="J40" s="67" t="n">
        <f aca="false">'Flujo mensual'!CT49</f>
        <v>355606341712.388</v>
      </c>
    </row>
    <row r="41" customFormat="false" ht="15" hidden="false" customHeight="true" outlineLevel="0" collapsed="false">
      <c r="A41" s="2"/>
      <c r="B41" s="9" t="s">
        <v>665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666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667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668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669</v>
      </c>
      <c r="C46" s="95" t="n">
        <f aca="false">SUM(Recursos!C13:N13)/(SUM(Recursos!C13:N13)+SUM(Recursos!C22:N22))</f>
        <v>0.893239579555475</v>
      </c>
      <c r="D46" s="95" t="n">
        <f aca="false">SUM(Recursos!O13:Z13)/(SUM(Recursos!O13:Z13)+SUM(Recursos!O22:Z22))</f>
        <v>0.893239579555475</v>
      </c>
      <c r="E46" s="95" t="n">
        <f aca="false">SUM(Recursos!AA13:AL13)/(SUM(Recursos!AA13:AL13)+SUM(Recursos!AA22:AL22))</f>
        <v>0.893239579555475</v>
      </c>
      <c r="F46" s="95" t="n">
        <f aca="false">SUM(Recursos!AM13:AX13)/(SUM(Recursos!AM13:AX13)+SUM(Recursos!AM22:AX22))</f>
        <v>0.893239579555475</v>
      </c>
      <c r="G46" s="95" t="n">
        <f aca="false">SUM(Recursos!AY13:BJ13)/(SUM(Recursos!AY13:BJ13)+SUM(Recursos!AY22:BJ22))</f>
        <v>0.893239579555475</v>
      </c>
      <c r="H46" s="95" t="n">
        <f aca="false">SUM(Recursos!BK13:BV13)/(SUM(Recursos!BK13:BV13)+SUM(Recursos!BK22:BV22))</f>
        <v>0.893239579555475</v>
      </c>
      <c r="I46" s="95" t="n">
        <f aca="false">SUM(Recursos!BW13:CH13)/(SUM(Recursos!BW13:CH13)+SUM(Recursos!BW22:CH22))</f>
        <v>0.893239579555475</v>
      </c>
      <c r="J46" s="95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670</v>
      </c>
      <c r="C47" s="46" t="n">
        <f aca="false">IFERROR(C25/C24,0)</f>
        <v>0.125</v>
      </c>
      <c r="D47" s="46" t="n">
        <f aca="false">IFERROR(D25/D24,0)</f>
        <v>0.25</v>
      </c>
      <c r="E47" s="46" t="n">
        <f aca="false">IFERROR(E25/E24,0)</f>
        <v>0.375</v>
      </c>
      <c r="F47" s="46" t="n">
        <f aca="false">IFERROR(F25/F24,0)</f>
        <v>0.5</v>
      </c>
      <c r="G47" s="46" t="n">
        <f aca="false">IFERROR(G25/G24,0)</f>
        <v>0.5</v>
      </c>
      <c r="H47" s="46" t="n">
        <f aca="false">IFERROR(H25/H24,0)</f>
        <v>0.5</v>
      </c>
      <c r="I47" s="46" t="n">
        <f aca="false">IFERROR(I25/I24,0)</f>
        <v>0.5</v>
      </c>
      <c r="J47" s="46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671</v>
      </c>
      <c r="C48" s="96" t="n">
        <f aca="false">IFERROR(C25/Supuestos!$C$127,0)</f>
        <v>0.0222845375405528</v>
      </c>
      <c r="D48" s="96" t="n">
        <f aca="false">IFERROR(D25/Supuestos!$C$127,0)</f>
        <v>0.0445690750811055</v>
      </c>
      <c r="E48" s="96" t="n">
        <f aca="false">IFERROR(E25/Supuestos!$C$127,0)</f>
        <v>0.0668536126216583</v>
      </c>
      <c r="F48" s="96" t="n">
        <f aca="false">IFERROR(F25/Supuestos!$C$127,0)</f>
        <v>0.0891381501622111</v>
      </c>
      <c r="G48" s="96" t="n">
        <f aca="false">IFERROR(G25/Supuestos!$C$127,0)</f>
        <v>0.0891381501622111</v>
      </c>
      <c r="H48" s="96" t="n">
        <f aca="false">IFERROR(H25/Supuestos!$C$127,0)</f>
        <v>0.0891381501622111</v>
      </c>
      <c r="I48" s="96" t="n">
        <f aca="false">IFERROR(I25/Supuestos!$C$127,0)</f>
        <v>0.0891381501622111</v>
      </c>
      <c r="J48" s="96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672</v>
      </c>
      <c r="C49" s="46" t="n">
        <f aca="false">IFERROR(C33/C14,0)</f>
        <v>0.00558221348684765</v>
      </c>
      <c r="D49" s="46" t="n">
        <f aca="false">IFERROR(D33/D14,0)</f>
        <v>0.0206363172506397</v>
      </c>
      <c r="E49" s="46" t="n">
        <f aca="false">IFERROR(E33/E14,0)</f>
        <v>0.0277558183195995</v>
      </c>
      <c r="F49" s="46" t="n">
        <f aca="false">IFERROR(F33/F14,0)</f>
        <v>0.0313321149950092</v>
      </c>
      <c r="G49" s="46" t="n">
        <f aca="false">IFERROR(G33/G14,0)</f>
        <v>0.0404963116384576</v>
      </c>
      <c r="H49" s="46" t="n">
        <f aca="false">IFERROR(H33/H14,0)</f>
        <v>0.0498267205162322</v>
      </c>
      <c r="I49" s="46" t="n">
        <f aca="false">IFERROR(I33/I14,0)</f>
        <v>0.0593116088912562</v>
      </c>
      <c r="J49" s="46" t="n">
        <f aca="false">IFERROR(J33/J14,0)</f>
        <v>0.0689393899338381</v>
      </c>
    </row>
    <row r="50" customFormat="false" ht="15" hidden="false" customHeight="false" outlineLevel="0" collapsed="false">
      <c r="A50" s="2"/>
      <c r="B50" s="2" t="s">
        <v>673</v>
      </c>
      <c r="C50" s="96" t="n">
        <f aca="false">'Gastos objeto'!H26</f>
        <v>0.725303816453851</v>
      </c>
      <c r="D50" s="96" t="n">
        <f aca="false">'Gastos objeto'!T26</f>
        <v>0.72177202421479</v>
      </c>
      <c r="E50" s="96" t="n">
        <f aca="false">'Gastos objeto'!AF26</f>
        <v>0.716863626737028</v>
      </c>
      <c r="F50" s="96" t="n">
        <f aca="false">'Gastos objeto'!AR26</f>
        <v>0.713389372098476</v>
      </c>
      <c r="G50" s="96" t="n">
        <f aca="false">'Gastos objeto'!BD26</f>
        <v>0.713389372098476</v>
      </c>
      <c r="H50" s="96" t="n">
        <f aca="false">'Gastos objeto'!BP26</f>
        <v>0.713389372098476</v>
      </c>
      <c r="I50" s="96" t="n">
        <f aca="false">'Gastos objeto'!CB26</f>
        <v>0.713389372098476</v>
      </c>
      <c r="J50" s="96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674</v>
      </c>
      <c r="C51" s="96" t="n">
        <f aca="false">'Gastos función'!H30</f>
        <v>0.25175770531599</v>
      </c>
      <c r="D51" s="96" t="n">
        <f aca="false">'Gastos función'!T30</f>
        <v>0.251690746664185</v>
      </c>
      <c r="E51" s="96" t="n">
        <f aca="false">'Gastos función'!AF30</f>
        <v>0.248614609035241</v>
      </c>
      <c r="F51" s="96" t="n">
        <f aca="false">'Gastos función'!AR30</f>
        <v>0.247206571896492</v>
      </c>
      <c r="G51" s="96" t="n">
        <f aca="false">'Gastos función'!BD30</f>
        <v>0.247206571896492</v>
      </c>
      <c r="H51" s="96" t="n">
        <f aca="false">'Gastos función'!BP30</f>
        <v>0.247206571896492</v>
      </c>
      <c r="I51" s="96" t="n">
        <f aca="false">'Gastos función'!CB30</f>
        <v>0.247206571896492</v>
      </c>
      <c r="J51" s="96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675</v>
      </c>
      <c r="C52" s="94" t="n">
        <f aca="false">SUM(Programas!C27:N27)</f>
        <v>2312000204.83344</v>
      </c>
      <c r="D52" s="94" t="n">
        <f aca="false">SUM(Programas!O27:Z27)</f>
        <v>4118298719.72688</v>
      </c>
      <c r="E52" s="94" t="n">
        <f aca="false">SUM(Programas!AA27:AL27)</f>
        <v>5924597234.62031</v>
      </c>
      <c r="F52" s="94" t="n">
        <f aca="false">SUM(Programas!AM27:AX27)</f>
        <v>7730895749.51375</v>
      </c>
      <c r="G52" s="94" t="n">
        <f aca="false">SUM(Programas!AY27:BJ27)</f>
        <v>7730895749.51375</v>
      </c>
      <c r="H52" s="94" t="n">
        <f aca="false">SUM(Programas!BK27:BV27)</f>
        <v>7730895749.51375</v>
      </c>
      <c r="I52" s="94" t="n">
        <f aca="false">SUM(Programas!BW27:CH27)</f>
        <v>7730895749.51375</v>
      </c>
      <c r="J52" s="94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676</v>
      </c>
      <c r="C53" s="94" t="n">
        <f aca="false">SUM(Programas!C9:N9)</f>
        <v>1806298514.89344</v>
      </c>
      <c r="D53" s="94" t="n">
        <f aca="false">SUM(Programas!O9:Z9)</f>
        <v>3612597029.78688</v>
      </c>
      <c r="E53" s="94" t="n">
        <f aca="false">SUM(Programas!AA9:AL9)</f>
        <v>5418895544.68031</v>
      </c>
      <c r="F53" s="94" t="n">
        <f aca="false">SUM(Programas!AM9:AX9)</f>
        <v>7225194059.57375</v>
      </c>
      <c r="G53" s="94" t="n">
        <f aca="false">SUM(Programas!AY9:BJ9)</f>
        <v>7225194059.57375</v>
      </c>
      <c r="H53" s="94" t="n">
        <f aca="false">SUM(Programas!BK9:BV9)</f>
        <v>7225194059.57375</v>
      </c>
      <c r="I53" s="94" t="n">
        <f aca="false">SUM(Programas!BW9:CH9)</f>
        <v>7225194059.57375</v>
      </c>
      <c r="J53" s="94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677</v>
      </c>
      <c r="C54" s="97" t="n">
        <f aca="false">SUM(Programas!C37:N37)</f>
        <v>0</v>
      </c>
      <c r="D54" s="97" t="n">
        <f aca="false">SUM(Programas!O37:Z37)</f>
        <v>0</v>
      </c>
      <c r="E54" s="97" t="n">
        <f aca="false">SUM(Programas!AA37:AL37)</f>
        <v>462</v>
      </c>
      <c r="F54" s="97" t="n">
        <f aca="false">SUM(Programas!AM37:AX37)</f>
        <v>824</v>
      </c>
      <c r="G54" s="97" t="n">
        <f aca="false">SUM(Programas!AY37:BJ37)</f>
        <v>711</v>
      </c>
      <c r="H54" s="97" t="n">
        <f aca="false">SUM(Programas!BK37:BV37)</f>
        <v>928</v>
      </c>
      <c r="I54" s="97" t="n">
        <f aca="false">SUM(Programas!BW37:CH37)</f>
        <v>928</v>
      </c>
      <c r="J54" s="97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78" t="s">
        <v>678</v>
      </c>
      <c r="C56" s="51" t="s">
        <v>679</v>
      </c>
      <c r="D56" s="51" t="s">
        <v>680</v>
      </c>
      <c r="E56" s="51" t="s">
        <v>681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682</v>
      </c>
      <c r="C57" s="94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8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683</v>
      </c>
      <c r="C58" s="94" t="n">
        <f aca="false">Supuestos!C121</f>
        <v>301154665135.71</v>
      </c>
      <c r="D58" s="71" t="n">
        <f aca="false">Supuestos!C7+Supuestos!C9+Supuestos!C10+Supuestos!C11</f>
        <v>301154665135.71</v>
      </c>
      <c r="E58" s="98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228</v>
      </c>
      <c r="C59" s="94" t="n">
        <f aca="false">Supuestos!C122</f>
        <v>2030100797.22</v>
      </c>
      <c r="D59" s="71" t="n">
        <f aca="false">Supuestos!C12*SUM(Estacionalidad!C9:N9)</f>
        <v>2030100797.22</v>
      </c>
      <c r="E59" s="98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684</v>
      </c>
      <c r="C60" s="94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8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231</v>
      </c>
      <c r="C61" s="94" t="n">
        <f aca="false">Supuestos!C124</f>
        <v>57832237847.26</v>
      </c>
      <c r="D61" s="71" t="n">
        <f aca="false">Supuestos!C21*SUM(Estacionalidad!C14:N14)+Supuestos!C126</f>
        <v>57832237847.26</v>
      </c>
      <c r="E61" s="98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685</v>
      </c>
      <c r="C62" s="94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8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686</v>
      </c>
      <c r="C63" s="94" t="n">
        <f aca="false">Supuestos!C123+Supuestos!C124</f>
        <v>309235829980.55</v>
      </c>
      <c r="D63" s="71" t="n">
        <f aca="false">Supuestos!C208-Supuestos!C207</f>
        <v>309235829980.55</v>
      </c>
      <c r="E63" s="98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232</v>
      </c>
      <c r="C64" s="94" t="n">
        <f aca="false">Supuestos!C125</f>
        <v>-6051064047.62</v>
      </c>
      <c r="D64" s="71" t="n">
        <f aca="false">D57+D59-D60-D61</f>
        <v>-6051064047.62008</v>
      </c>
      <c r="E64" s="98" t="n">
        <f aca="false">ROUND(D64-C64,2)</f>
        <v>-0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78" t="s">
        <v>687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688</v>
      </c>
      <c r="C67" s="99" t="n">
        <v>1576117703.6</v>
      </c>
      <c r="D67" s="99" t="n">
        <v>4346899572.4</v>
      </c>
      <c r="E67" s="99" t="n">
        <v>7233261712.99</v>
      </c>
      <c r="F67" s="99" t="n">
        <v>10236106302.12</v>
      </c>
      <c r="G67" s="99" t="n">
        <v>13356382790.96</v>
      </c>
      <c r="H67" s="99" t="n">
        <v>16595088175.14</v>
      </c>
      <c r="I67" s="99" t="n">
        <v>19953267284.38</v>
      </c>
      <c r="J67" s="99" t="n">
        <v>23432013091.73</v>
      </c>
    </row>
    <row r="68" customFormat="false" ht="15" hidden="false" customHeight="false" outlineLevel="0" collapsed="false">
      <c r="A68" s="2"/>
      <c r="B68" s="2" t="s">
        <v>689</v>
      </c>
      <c r="C68" s="71" t="n">
        <f aca="false">Escenarios!C6</f>
        <v>1576117703.59821</v>
      </c>
      <c r="D68" s="71" t="n">
        <f aca="false">Escenarios!D6</f>
        <v>4346899572.40034</v>
      </c>
      <c r="E68" s="71" t="n">
        <f aca="false">Escenarios!E6</f>
        <v>7233261712.99409</v>
      </c>
      <c r="F68" s="71" t="n">
        <f aca="false">Escenarios!F6</f>
        <v>10236106302.1226</v>
      </c>
      <c r="G68" s="71" t="n">
        <f aca="false">Escenarios!G6</f>
        <v>13356382790.9586</v>
      </c>
      <c r="H68" s="71" t="n">
        <f aca="false">Escenarios!H6</f>
        <v>16595088175.1384</v>
      </c>
      <c r="I68" s="71" t="n">
        <f aca="false">Escenarios!I6</f>
        <v>19953267284.378</v>
      </c>
      <c r="J68" s="71" t="n">
        <f aca="false">Escenarios!J6</f>
        <v>23432013091.7327</v>
      </c>
    </row>
    <row r="69" customFormat="false" ht="15" hidden="false" customHeight="false" outlineLevel="0" collapsed="false">
      <c r="A69" s="2"/>
      <c r="B69" s="48" t="s">
        <v>681</v>
      </c>
      <c r="C69" s="98" t="n">
        <f aca="false">ROUND(C68-C67,0)</f>
        <v>-0</v>
      </c>
      <c r="D69" s="98" t="n">
        <f aca="false">ROUND(D68-D67,0)</f>
        <v>0</v>
      </c>
      <c r="E69" s="98" t="n">
        <f aca="false">ROUND(E68-E67,0)</f>
        <v>0</v>
      </c>
      <c r="F69" s="98" t="n">
        <f aca="false">ROUND(F68-F67,0)</f>
        <v>0</v>
      </c>
      <c r="G69" s="98" t="n">
        <f aca="false">ROUND(G68-G67,0)</f>
        <v>-0</v>
      </c>
      <c r="H69" s="98" t="n">
        <f aca="false">ROUND(H68-H67,0)</f>
        <v>-0</v>
      </c>
      <c r="I69" s="98" t="n">
        <f aca="false">ROUND(I68-I67,0)</f>
        <v>-0</v>
      </c>
      <c r="J69" s="98" t="n">
        <f aca="false">ROUND(J68-J67,0)</f>
        <v>0</v>
      </c>
    </row>
    <row r="70" customFormat="false" ht="15" hidden="false" customHeight="false" outlineLevel="0" collapsed="false">
      <c r="A70" s="2"/>
      <c r="B70" s="2" t="s">
        <v>690</v>
      </c>
      <c r="C70" s="99" t="n">
        <v>1746050390.7</v>
      </c>
      <c r="D70" s="99" t="n">
        <v>6592075553.61</v>
      </c>
      <c r="E70" s="99" t="n">
        <v>8982825055.31</v>
      </c>
      <c r="F70" s="99" t="n">
        <v>10236112242.55</v>
      </c>
      <c r="G70" s="99" t="n">
        <v>13356388731.38</v>
      </c>
      <c r="H70" s="99" t="n">
        <v>16595094115.56</v>
      </c>
      <c r="I70" s="99" t="n">
        <v>19953273224.8</v>
      </c>
      <c r="J70" s="99" t="n">
        <v>23432019032.16</v>
      </c>
    </row>
    <row r="71" customFormat="false" ht="15" hidden="false" customHeight="false" outlineLevel="0" collapsed="false">
      <c r="A71" s="2"/>
      <c r="B71" s="2" t="s">
        <v>691</v>
      </c>
      <c r="C71" s="71" t="n">
        <f aca="false">C33</f>
        <v>1746050390.70477</v>
      </c>
      <c r="D71" s="71" t="n">
        <f aca="false">D33</f>
        <v>6592075553.61346</v>
      </c>
      <c r="E71" s="71" t="n">
        <f aca="false">E33</f>
        <v>8982825055.31378</v>
      </c>
      <c r="F71" s="71" t="n">
        <f aca="false">F33</f>
        <v>10236112242.5489</v>
      </c>
      <c r="G71" s="71" t="n">
        <f aca="false">G33</f>
        <v>13356388731.3848</v>
      </c>
      <c r="H71" s="71" t="n">
        <f aca="false">H33</f>
        <v>16595094115.5647</v>
      </c>
      <c r="I71" s="71" t="n">
        <f aca="false">I33</f>
        <v>19953273224.8042</v>
      </c>
      <c r="J71" s="71" t="n">
        <f aca="false">J33</f>
        <v>23432019032.1589</v>
      </c>
    </row>
    <row r="72" customFormat="false" ht="15" hidden="false" customHeight="false" outlineLevel="0" collapsed="false">
      <c r="A72" s="2"/>
      <c r="B72" s="48" t="s">
        <v>681</v>
      </c>
      <c r="C72" s="98" t="n">
        <f aca="false">ROUND(C71-C70,0)</f>
        <v>0</v>
      </c>
      <c r="D72" s="98" t="n">
        <f aca="false">ROUND(D71-D70,0)</f>
        <v>0</v>
      </c>
      <c r="E72" s="98" t="n">
        <f aca="false">ROUND(E71-E70,0)</f>
        <v>0</v>
      </c>
      <c r="F72" s="98" t="n">
        <f aca="false">ROUND(F71-F70,0)</f>
        <v>-0</v>
      </c>
      <c r="G72" s="98" t="n">
        <f aca="false">ROUND(G71-G70,0)</f>
        <v>0</v>
      </c>
      <c r="H72" s="98" t="n">
        <f aca="false">ROUND(H71-H70,0)</f>
        <v>0</v>
      </c>
      <c r="I72" s="98" t="n">
        <f aca="false">ROUND(I71-I70,0)</f>
        <v>0</v>
      </c>
      <c r="J72" s="98" t="n">
        <f aca="false">ROUND(J71-J70,0)</f>
        <v>-0</v>
      </c>
    </row>
    <row r="73" customFormat="false" ht="15" hidden="false" customHeight="false" outlineLevel="0" collapsed="false">
      <c r="A73" s="2"/>
      <c r="B73" s="2" t="s">
        <v>692</v>
      </c>
      <c r="C73" s="99" t="n">
        <v>311042128495.44</v>
      </c>
      <c r="D73" s="99" t="n">
        <v>312848427010.34</v>
      </c>
      <c r="E73" s="99" t="n">
        <v>314654725525.23</v>
      </c>
      <c r="F73" s="99" t="n">
        <v>316461024040.12</v>
      </c>
      <c r="G73" s="99" t="n">
        <v>316461024040.12</v>
      </c>
      <c r="H73" s="99" t="n">
        <v>316461024040.12</v>
      </c>
      <c r="I73" s="99" t="n">
        <v>316461024040.12</v>
      </c>
      <c r="J73" s="99" t="n">
        <v>316461024040.12</v>
      </c>
    </row>
    <row r="74" customFormat="false" ht="15" hidden="false" customHeight="false" outlineLevel="0" collapsed="false">
      <c r="A74" s="2"/>
      <c r="B74" s="2" t="s">
        <v>693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8" t="s">
        <v>681</v>
      </c>
      <c r="C75" s="98" t="n">
        <f aca="false">ROUND(C74-C73,0)</f>
        <v>0</v>
      </c>
      <c r="D75" s="98" t="n">
        <f aca="false">ROUND(D74-D73,0)</f>
        <v>-0</v>
      </c>
      <c r="E75" s="98" t="n">
        <f aca="false">ROUND(E74-E73,0)</f>
        <v>0</v>
      </c>
      <c r="F75" s="98" t="n">
        <f aca="false">ROUND(F74-F73,0)</f>
        <v>0</v>
      </c>
      <c r="G75" s="98" t="n">
        <f aca="false">ROUND(G74-G73,0)</f>
        <v>0</v>
      </c>
      <c r="H75" s="98" t="n">
        <f aca="false">ROUND(H74-H73,0)</f>
        <v>0</v>
      </c>
      <c r="I75" s="98" t="n">
        <f aca="false">ROUND(I74-I73,0)</f>
        <v>0</v>
      </c>
      <c r="J75" s="98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50" t="s">
        <v>694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50" t="s">
        <v>695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696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697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698</v>
      </c>
      <c r="C5" s="51" t="s">
        <v>437</v>
      </c>
      <c r="D5" s="51" t="s">
        <v>438</v>
      </c>
      <c r="E5" s="51" t="s">
        <v>439</v>
      </c>
      <c r="F5" s="51" t="s">
        <v>440</v>
      </c>
      <c r="G5" s="51" t="s">
        <v>441</v>
      </c>
      <c r="H5" s="51" t="s">
        <v>442</v>
      </c>
      <c r="I5" s="51" t="s">
        <v>443</v>
      </c>
      <c r="J5" s="51" t="s">
        <v>444</v>
      </c>
    </row>
    <row r="6" customFormat="false" ht="30" hidden="false" customHeight="true" outlineLevel="0" collapsed="false">
      <c r="A6" s="2"/>
      <c r="B6" s="58" t="s">
        <v>699</v>
      </c>
      <c r="C6" s="100" t="n">
        <f aca="false">'Resumen anual'!C33-('Resumen anual'!C9-'Resumen anual'!C53)</f>
        <v>1576117703.59821</v>
      </c>
      <c r="D6" s="100" t="n">
        <f aca="false">'Resumen anual'!D33-('Resumen anual'!D9-'Resumen anual'!D53)</f>
        <v>4346899572.40034</v>
      </c>
      <c r="E6" s="100" t="n">
        <f aca="false">'Resumen anual'!E33-('Resumen anual'!E9-'Resumen anual'!E53)</f>
        <v>7233261712.99409</v>
      </c>
      <c r="F6" s="101" t="n">
        <f aca="false">'Resumen anual'!F33-('Resumen anual'!F9-'Resumen anual'!F53)</f>
        <v>10236106302.1226</v>
      </c>
      <c r="G6" s="102" t="n">
        <f aca="false">'Resumen anual'!G33-('Resumen anual'!G9-'Resumen anual'!G53)</f>
        <v>13356382790.9586</v>
      </c>
      <c r="H6" s="102" t="n">
        <f aca="false">'Resumen anual'!H33-('Resumen anual'!H9-'Resumen anual'!H53)</f>
        <v>16595088175.1384</v>
      </c>
      <c r="I6" s="102" t="n">
        <f aca="false">'Resumen anual'!I33-('Resumen anual'!I9-'Resumen anual'!I53)</f>
        <v>19953267284.378</v>
      </c>
      <c r="J6" s="102" t="n">
        <f aca="false">'Resumen anual'!J33-('Resumen anual'!J9-'Resumen anual'!J53)</f>
        <v>23432013091.7327</v>
      </c>
    </row>
    <row r="7" customFormat="false" ht="30" hidden="false" customHeight="true" outlineLevel="0" collapsed="false">
      <c r="A7" s="2"/>
      <c r="B7" s="58" t="s">
        <v>700</v>
      </c>
      <c r="C7" s="100" t="n">
        <f aca="false">'Resumen anual'!C33</f>
        <v>1746050390.70477</v>
      </c>
      <c r="D7" s="100" t="n">
        <f aca="false">'Resumen anual'!D33</f>
        <v>6592075553.61346</v>
      </c>
      <c r="E7" s="100" t="n">
        <f aca="false">'Resumen anual'!E33</f>
        <v>8982825055.31378</v>
      </c>
      <c r="F7" s="101" t="n">
        <f aca="false">'Resumen anual'!F33</f>
        <v>10236112242.5489</v>
      </c>
      <c r="G7" s="102" t="n">
        <f aca="false">'Resumen anual'!G33</f>
        <v>13356388731.3848</v>
      </c>
      <c r="H7" s="102" t="n">
        <f aca="false">'Resumen anual'!H33</f>
        <v>16595094115.5647</v>
      </c>
      <c r="I7" s="102" t="n">
        <f aca="false">'Resumen anual'!I33</f>
        <v>19953273224.8042</v>
      </c>
      <c r="J7" s="102" t="n">
        <f aca="false">'Resumen anual'!J33</f>
        <v>23432019032.1589</v>
      </c>
    </row>
    <row r="8" customFormat="false" ht="30" hidden="false" customHeight="true" outlineLevel="0" collapsed="false">
      <c r="A8" s="2"/>
      <c r="B8" s="9" t="s">
        <v>681</v>
      </c>
      <c r="C8" s="103" t="n">
        <f aca="false">C7-C6</f>
        <v>169932687.106562</v>
      </c>
      <c r="D8" s="103" t="n">
        <f aca="false">D7-D6</f>
        <v>2245175981.21313</v>
      </c>
      <c r="E8" s="103" t="n">
        <f aca="false">E7-E6</f>
        <v>1749563342.31969</v>
      </c>
      <c r="F8" s="104" t="n">
        <f aca="false">F7-F6</f>
        <v>5940.42625045776</v>
      </c>
      <c r="G8" s="105" t="n">
        <f aca="false">G7-G6</f>
        <v>5940.42625045776</v>
      </c>
      <c r="H8" s="105" t="n">
        <f aca="false">H7-H6</f>
        <v>5940.42625045776</v>
      </c>
      <c r="I8" s="105" t="n">
        <f aca="false">I7-I6</f>
        <v>5940.42625045776</v>
      </c>
      <c r="J8" s="105" t="n">
        <f aca="false">J7-J6</f>
        <v>5940.42625045776</v>
      </c>
    </row>
    <row r="9" customFormat="false" ht="30" hidden="false" customHeight="true" outlineLevel="0" collapsed="false">
      <c r="A9" s="2"/>
      <c r="B9" s="9" t="s">
        <v>701</v>
      </c>
      <c r="C9" s="103" t="n">
        <f aca="false">Supuestos!$C$138*Recursos!C18-'Resumen anual'!C53</f>
        <v>140061811.106562</v>
      </c>
      <c r="D9" s="103" t="n">
        <f aca="false">Supuestos!$C$139*Recursos!O18-'Resumen anual'!D53</f>
        <v>2202120819.21312</v>
      </c>
      <c r="E9" s="103" t="n">
        <f aca="false">Supuestos!$C$140*Recursos!AA18-'Resumen anual'!E53</f>
        <v>1705072157.31969</v>
      </c>
      <c r="F9" s="104" t="n">
        <f aca="false">Supuestos!$C$141*Recursos!AM18-'Resumen anual'!F53</f>
        <v>-44510356.5737505</v>
      </c>
      <c r="G9" s="105" t="n">
        <f aca="false">Supuestos!$C$141*Recursos!AY18-'Resumen anual'!G53</f>
        <v>-44510356.5737505</v>
      </c>
      <c r="H9" s="105" t="n">
        <f aca="false">Supuestos!$C$141*Recursos!BK18-'Resumen anual'!H53</f>
        <v>-44510356.5737505</v>
      </c>
      <c r="I9" s="105" t="n">
        <f aca="false">Supuestos!$C$141*Recursos!BW18-'Resumen anual'!I53</f>
        <v>-44510356.5737505</v>
      </c>
      <c r="J9" s="105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50" t="s">
        <v>702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703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704</v>
      </c>
      <c r="C13" s="51" t="s">
        <v>705</v>
      </c>
      <c r="D13" s="51" t="s">
        <v>706</v>
      </c>
      <c r="E13" s="51" t="s">
        <v>707</v>
      </c>
      <c r="F13" s="51" t="s">
        <v>708</v>
      </c>
    </row>
    <row r="14" customFormat="false" ht="15" hidden="false" customHeight="true" outlineLevel="0" collapsed="false">
      <c r="A14" s="2"/>
      <c r="B14" s="58" t="s">
        <v>709</v>
      </c>
      <c r="C14" s="33" t="n">
        <v>0.0095</v>
      </c>
      <c r="D14" s="71" t="n">
        <f aca="false">$F$6+Supuestos!$C$114*((1+C14)^6-(1+Supuestos!$C$31)^6)</f>
        <v>-3043501163.89798</v>
      </c>
      <c r="E14" s="71" t="n">
        <f aca="false">D14-$F$6</f>
        <v>-13279607466.0206</v>
      </c>
      <c r="F14" s="21" t="s">
        <v>710</v>
      </c>
    </row>
    <row r="15" customFormat="false" ht="15" hidden="false" customHeight="true" outlineLevel="0" collapsed="false">
      <c r="A15" s="2"/>
      <c r="B15" s="9"/>
      <c r="C15" s="106" t="n">
        <f aca="false">Supuestos!C31</f>
        <v>0.0195</v>
      </c>
      <c r="D15" s="71" t="n">
        <f aca="false">$F$6</f>
        <v>10236106302.1226</v>
      </c>
      <c r="E15" s="71" t="n">
        <f aca="false">D15-$F$6</f>
        <v>0</v>
      </c>
      <c r="F15" s="21" t="s">
        <v>711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24183212623.2615</v>
      </c>
      <c r="E16" s="71" t="n">
        <f aca="false">D16-$F$6</f>
        <v>13947106321.1389</v>
      </c>
      <c r="F16" s="2"/>
    </row>
    <row r="17" customFormat="false" ht="15" hidden="false" customHeight="false" outlineLevel="0" collapsed="false">
      <c r="A17" s="2"/>
      <c r="B17" s="48" t="s">
        <v>712</v>
      </c>
      <c r="C17" s="44" t="n">
        <v>-0.015</v>
      </c>
      <c r="D17" s="71" t="n">
        <f aca="false">$F$6+Supuestos!$C$115*Supuestos!$C$118*((1+C17)^6-(1+Supuestos!$C$32)^6)</f>
        <v>12985083937.4048</v>
      </c>
      <c r="E17" s="71" t="n">
        <f aca="false">D17-$F$6</f>
        <v>2748977635.28212</v>
      </c>
      <c r="F17" s="21" t="s">
        <v>713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9065715755.38655</v>
      </c>
      <c r="E18" s="71" t="n">
        <f aca="false">D18-$F$6</f>
        <v>-1170390546.73609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5342269098.22579</v>
      </c>
      <c r="E19" s="71" t="n">
        <f aca="false">D19-$F$6</f>
        <v>-4893837203.89685</v>
      </c>
      <c r="F19" s="21" t="s">
        <v>714</v>
      </c>
    </row>
    <row r="20" customFormat="false" ht="15" hidden="false" customHeight="false" outlineLevel="0" collapsed="false">
      <c r="A20" s="2"/>
      <c r="B20" s="48" t="s">
        <v>715</v>
      </c>
      <c r="C20" s="44" t="n">
        <v>0.8632</v>
      </c>
      <c r="D20" s="71" t="n">
        <f aca="false">$F$6+('Resumen anual'!$F$12-'Resumen anual'!$F$9)*(C20/Supuestos!$C$34-1)</f>
        <v>-425845180.819147</v>
      </c>
      <c r="E20" s="71" t="n">
        <f aca="false">D20-$F$6</f>
        <v>-10661951482.9418</v>
      </c>
      <c r="F20" s="21" t="s">
        <v>716</v>
      </c>
    </row>
    <row r="21" customFormat="false" ht="15" hidden="false" customHeight="false" outlineLevel="0" collapsed="false">
      <c r="A21" s="2"/>
      <c r="B21" s="2"/>
      <c r="C21" s="95" t="n">
        <f aca="false">Supuestos!C34</f>
        <v>0.8932</v>
      </c>
      <c r="D21" s="71" t="n">
        <f aca="false">$F$6</f>
        <v>10236106302.1226</v>
      </c>
      <c r="E21" s="71" t="n">
        <f aca="false">D21-$F$6</f>
        <v>0</v>
      </c>
      <c r="F21" s="21" t="s">
        <v>717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20898057785.0644</v>
      </c>
      <c r="E22" s="71" t="n">
        <f aca="false">D22-$F$6</f>
        <v>10661951482.9418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50" t="s">
        <v>718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50" t="s">
        <v>719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720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721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7" t="s">
        <v>722</v>
      </c>
      <c r="C5" s="107" t="s">
        <v>723</v>
      </c>
      <c r="D5" s="107" t="s">
        <v>724</v>
      </c>
      <c r="E5" s="107" t="s">
        <v>725</v>
      </c>
      <c r="F5" s="107" t="s">
        <v>726</v>
      </c>
    </row>
    <row r="6" customFormat="false" ht="25.5" hidden="false" customHeight="true" outlineLevel="0" collapsed="false">
      <c r="A6" s="2"/>
      <c r="B6" s="15" t="s">
        <v>727</v>
      </c>
      <c r="C6" s="15" t="s">
        <v>728</v>
      </c>
      <c r="D6" s="108" t="s">
        <v>729</v>
      </c>
      <c r="E6" s="108" t="s">
        <v>730</v>
      </c>
      <c r="F6" s="21" t="s">
        <v>731</v>
      </c>
    </row>
    <row r="7" customFormat="false" ht="25.5" hidden="false" customHeight="true" outlineLevel="0" collapsed="false">
      <c r="A7" s="2"/>
      <c r="B7" s="15" t="s">
        <v>732</v>
      </c>
      <c r="C7" s="15" t="s">
        <v>733</v>
      </c>
      <c r="D7" s="109" t="n">
        <f aca="false">'Resumen anual'!F52</f>
        <v>7730895749.51375</v>
      </c>
      <c r="E7" s="109" t="n">
        <f aca="false">'Resumen anual'!J52</f>
        <v>7730895749.51375</v>
      </c>
      <c r="F7" s="21" t="s">
        <v>734</v>
      </c>
    </row>
    <row r="8" customFormat="false" ht="25.5" hidden="false" customHeight="true" outlineLevel="0" collapsed="false">
      <c r="A8" s="2"/>
      <c r="B8" s="15" t="s">
        <v>735</v>
      </c>
      <c r="C8" s="15" t="s">
        <v>736</v>
      </c>
      <c r="D8" s="110" t="n">
        <f aca="false">SUM('Gastos función'!AM23:AX23)/Supuestos!$C$127</f>
        <v>0.0150002112893749</v>
      </c>
      <c r="E8" s="110" t="n">
        <f aca="false">SUM('Gastos función'!CI23:CT23)/Supuestos!$C$127</f>
        <v>0.0150002112893749</v>
      </c>
      <c r="F8" s="21" t="s">
        <v>737</v>
      </c>
    </row>
    <row r="9" customFormat="false" ht="25.5" hidden="false" customHeight="true" outlineLevel="0" collapsed="false">
      <c r="A9" s="2"/>
      <c r="B9" s="15" t="s">
        <v>738</v>
      </c>
      <c r="C9" s="15" t="s">
        <v>739</v>
      </c>
      <c r="D9" s="110" t="n">
        <f aca="false">'Resumen anual'!F47</f>
        <v>0.5</v>
      </c>
      <c r="E9" s="110" t="n">
        <f aca="false">'Resumen anual'!J47</f>
        <v>0.5</v>
      </c>
      <c r="F9" s="21" t="s">
        <v>740</v>
      </c>
    </row>
    <row r="10" customFormat="false" ht="25.5" hidden="false" customHeight="true" outlineLevel="0" collapsed="false">
      <c r="A10" s="2"/>
      <c r="B10" s="15" t="s">
        <v>741</v>
      </c>
      <c r="C10" s="15" t="s">
        <v>742</v>
      </c>
      <c r="D10" s="108" t="s">
        <v>743</v>
      </c>
      <c r="E10" s="108" t="s">
        <v>743</v>
      </c>
      <c r="F10" s="21" t="s">
        <v>744</v>
      </c>
    </row>
    <row r="11" customFormat="false" ht="25.5" hidden="false" customHeight="true" outlineLevel="0" collapsed="false">
      <c r="A11" s="2"/>
      <c r="B11" s="15" t="s">
        <v>745</v>
      </c>
      <c r="C11" s="15" t="s">
        <v>746</v>
      </c>
      <c r="D11" s="108" t="s">
        <v>743</v>
      </c>
      <c r="E11" s="108" t="s">
        <v>743</v>
      </c>
      <c r="F11" s="21" t="s">
        <v>747</v>
      </c>
    </row>
    <row r="12" customFormat="false" ht="25.5" hidden="false" customHeight="true" outlineLevel="0" collapsed="false">
      <c r="A12" s="2"/>
      <c r="B12" s="15" t="s">
        <v>748</v>
      </c>
      <c r="C12" s="15" t="s">
        <v>749</v>
      </c>
      <c r="D12" s="108" t="s">
        <v>743</v>
      </c>
      <c r="E12" s="108" t="s">
        <v>743</v>
      </c>
      <c r="F12" s="21" t="s">
        <v>750</v>
      </c>
    </row>
    <row r="13" customFormat="false" ht="25.5" hidden="false" customHeight="true" outlineLevel="0" collapsed="false">
      <c r="A13" s="2"/>
      <c r="B13" s="15" t="s">
        <v>751</v>
      </c>
      <c r="C13" s="15" t="s">
        <v>752</v>
      </c>
      <c r="D13" s="108" t="s">
        <v>743</v>
      </c>
      <c r="E13" s="108" t="s">
        <v>743</v>
      </c>
      <c r="F13" s="21" t="s">
        <v>753</v>
      </c>
    </row>
    <row r="14" customFormat="false" ht="25.5" hidden="false" customHeight="true" outlineLevel="0" collapsed="false">
      <c r="A14" s="2"/>
      <c r="B14" s="15" t="s">
        <v>754</v>
      </c>
      <c r="C14" s="15" t="s">
        <v>755</v>
      </c>
      <c r="D14" s="108" t="s">
        <v>743</v>
      </c>
      <c r="E14" s="108" t="s">
        <v>743</v>
      </c>
      <c r="F14" s="21" t="s">
        <v>756</v>
      </c>
    </row>
    <row r="15" customFormat="false" ht="25.5" hidden="false" customHeight="true" outlineLevel="0" collapsed="false">
      <c r="A15" s="2"/>
      <c r="B15" s="15" t="s">
        <v>757</v>
      </c>
      <c r="C15" s="15" t="s">
        <v>758</v>
      </c>
      <c r="D15" s="108" t="s">
        <v>743</v>
      </c>
      <c r="E15" s="108" t="s">
        <v>743</v>
      </c>
      <c r="F15" s="21" t="s">
        <v>759</v>
      </c>
    </row>
    <row r="16" customFormat="false" ht="25.5" hidden="false" customHeight="true" outlineLevel="0" collapsed="false">
      <c r="A16" s="2"/>
      <c r="B16" s="15" t="s">
        <v>760</v>
      </c>
      <c r="C16" s="15" t="s">
        <v>761</v>
      </c>
      <c r="D16" s="108" t="s">
        <v>743</v>
      </c>
      <c r="E16" s="108" t="s">
        <v>743</v>
      </c>
      <c r="F16" s="21" t="s">
        <v>762</v>
      </c>
    </row>
    <row r="17" customFormat="false" ht="25.5" hidden="false" customHeight="true" outlineLevel="0" collapsed="false">
      <c r="A17" s="2"/>
      <c r="B17" s="15" t="s">
        <v>763</v>
      </c>
      <c r="C17" s="15" t="s">
        <v>764</v>
      </c>
      <c r="D17" s="111" t="n">
        <f aca="false">SUM(Programas!AM12:AX12)/Supuestos!$C$55</f>
        <v>6</v>
      </c>
      <c r="E17" s="111" t="n">
        <f aca="false">SUM(Programas!CI12:CT12)/Supuestos!$C$55</f>
        <v>6</v>
      </c>
      <c r="F17" s="21" t="s">
        <v>765</v>
      </c>
    </row>
    <row r="18" customFormat="false" ht="25.5" hidden="false" customHeight="true" outlineLevel="0" collapsed="false">
      <c r="A18" s="2"/>
      <c r="B18" s="15" t="s">
        <v>766</v>
      </c>
      <c r="C18" s="15" t="s">
        <v>767</v>
      </c>
      <c r="D18" s="112" t="n">
        <f aca="false">Programas!AX38</f>
        <v>1286</v>
      </c>
      <c r="E18" s="112" t="n">
        <f aca="false">SUM(Programas!CI37:CT37)</f>
        <v>928</v>
      </c>
      <c r="F18" s="21" t="s">
        <v>768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769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2026-10-01T07:27:15Z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