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<sst xmlns="http://schemas.openxmlformats.org/spreadsheetml/2006/main" count="1686" uniqueCount="865">
  <si>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</si>
  <si>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</si>
  <si>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</si>
  <si>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</si>
  <si>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</si>
  <si>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</si>
  <si>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</si>
  <si>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</si>
  <si>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</si>
  <si>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</si>
  <si>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</si>
  <si>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</si>
  <si>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</si>
  <si>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</si>
  <si>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</si>
  <si>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</si>
  <si>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</si>
  <si>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los datos y las grabaciones de las inspecciones —6.767 M en régimen—, la plataforma y el semillero —dentro de Ciencia y Técnica, 27,1%—,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</si>
  <si>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</si>
  <si>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</si>
  <si>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</si>
  <si>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</si>
  <si>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</si>
  <si>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</si>
  <si>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</si>
  <si>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</si>
  <si>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</si>
  <si>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</si>
  <si>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</si>
  <si>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</si>
  <si>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</si>
  <si>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</si>
  <si>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</si>
  <si>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</si>
  <si>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</si>
  <si>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</si>
  <si>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</si>
  <si>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</si>
  <si>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</si>
  <si>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</si>
  <si>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</si>
  <si>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</si>
  <si>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</si>
  <si>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</si>
  <si>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</si>
  <si>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</si>
  <si>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</si>
  <si>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</si>
  <si>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</si>
  <si>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</si>
  <si>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</si>
  <si>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</si>
  <si>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</si>
  <si>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veinte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</si>
  <si>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</si>
  <si>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</si>
  <si>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</si>
  <si>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</si>
  <si>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</si>
  <si>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</si>
  <si>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</si>
  <si>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</si>
  <si>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</si>
  <si>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</si>
  <si>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</si>
  <si>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</si>
  <si>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</si>
  <si>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</si>
  <si>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</si>
  <si>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</si>
  <si>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</si>
  <si>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</si>
  <si>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</si>
  <si>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</si>
  <si>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</si>
  <si>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</si>
  <si>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</si>
  <si>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</si>
  <si>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</si>
  <si>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</si>
  <si>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</si>
  <si>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</si>
  <si>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</si>
  <si>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</si>
  <si>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</si>
  <si>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</si>
  <si>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</si>
  <si>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</si>
  <si>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</si>
  <si>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</si>
  <si>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</si>
  <si>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</si>
  <si>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</si>
  <si>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</si>
  <si>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</si>
  <si>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</si>
  <si>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</si>
  <si>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</si>
  <si>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</si>
  <si>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</si>
  <si>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</si>
  <si>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</si>
  <si>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</si>
  <si>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</si>
  <si>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</si>
  <si>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</si>
  <si>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</si>
  <si>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</si>
  <si>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</si>
  <si>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</si>
  <si>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</si>
  <si>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</si>
  <si>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</si>
  <si>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</si>
  <si>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</si>
  <si>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</si>
  <si>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</si>
  <si>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</si>
  <si>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</si>
  <si>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</si>
  <si>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</si>
  <si>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</si>
  <si>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</si>
  <si>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</si>
  <si>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</si>
  <si>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34)</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</si>
  <si>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</si>
  <si>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</si>
  <si>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</si>
  <si>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</si>
  <si>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</si>
  <si>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</si>
  <si>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Inspecciones grabadas · soportes, baterías y dos bases de descarga, una vez (primera etapa)</t>
  </si>
  <si>
    <t xml:space="preserve">Informe 23 quáter: de 20,5 a 27,5 M para la primera etapa completa, 208 a 280 agentes (inspectores de comercio y de la Agencia de Control, los de Habilitaciones y de Obras Particulares que salen a inspeccionar, y agentes de tránsito), más 9,5 M por cada base de descarga (tránsito tiene 2); se toma el tope: 27,5 + 19. El teléfono es propio: se compra en 24 cuotas sin interés todo el año por convenio con el banco que paga los sueldos, sin dinero del Municipio (decisión del 07/10). La patrulla, en la segunda etapa (29,5 a 35,3 M una vez y 135,7 a 162,4 M por año), no está sumada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</si>
  <si>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</si>
  <si>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</si>
  <si>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</si>
  <si>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</si>
  <si>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Inspecciones grabadas · plan de datos, guarda de dos años, reposición y difuminado a pedido, por año (primera etapa)</t>
  </si>
  <si>
    <t xml:space="preserve">Informe 23 quáter: de 107,6 a 145,5 M por año en régimen para la primera etapa completa, y de 5 a 23 M por año para difuminar las caras cuando alguien pide ver una inspección, con revisión de una persona (unos $2.200 por pedido, de 1.000 a 10.000 pedidos); se toman los topes: 145,5 + 23. Las grabaciones se guardan dos años en una nube con servidores en Bélgica y se ven al instante todo ese tiempo. Salen los 264 M de mantenimiento de antes (el 22% de una lista de precios)</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</si>
  <si>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</si>
  <si>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</si>
  <si>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</si>
  <si>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</si>
  <si>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</si>
  <si>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</si>
  <si>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</si>
  <si>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</si>
  <si>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</si>
  <si>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</si>
  <si>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</si>
  <si>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</si>
  <si>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</si>
  <si>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</si>
  <si>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</si>
  <si>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</si>
  <si>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</si>
  <si>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</si>
  <si>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</si>
  <si>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</si>
  <si>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</si>
  <si>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</si>
  <si>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</si>
  <si>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</si>
  <si>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</si>
  <si>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</si>
  <si>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</si>
  <si>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</si>
  <si>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</si>
  <si>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</si>
  <si>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</si>
  <si>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</si>
  <si>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</si>
  <si>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</si>
  <si>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</si>
  <si>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</si>
  <si>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</si>
  <si>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</si>
  <si>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</si>
  <si>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</si>
  <si>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</si>
  <si>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</si>
  <si>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</si>
  <si>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</si>
  <si>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</si>
  <si>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</si>
  <si>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</si>
  <si>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</si>
  <si>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</si>
  <si>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</si>
  <si>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</si>
  <si>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</si>
  <si>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</si>
  <si>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</si>
  <si>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</si>
  <si>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</si>
  <si>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</si>
  <si>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</si>
  <si>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</si>
  <si>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</si>
  <si>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</si>
  <si>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</si>
  <si>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</si>
  <si>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</si>
  <si>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</si>
  <si>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</si>
  <si>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</si>
  <si>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</si>
  <si>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</si>
  <si>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</si>
  <si>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</si>
  <si>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</si>
  <si>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</si>
  <si>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</si>
  <si>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</si>
  <si>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</si>
  <si>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</si>
  <si>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</si>
  <si>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</si>
  <si>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</si>
  <si>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</si>
  <si>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</si>
  <si>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</si>
  <si>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</si>
  <si>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</si>
  <si>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</si>
  <si>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</si>
  <si>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</si>
  <si>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</si>
  <si>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</si>
  <si>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</si>
  <si>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</si>
  <si>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</si>
  <si>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</si>
  <si>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</si>
  <si>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</si>
  <si>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</si>
  <si>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</si>
  <si>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</si>
  <si>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</si>
  <si>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</si>
  <si>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</si>
  <si>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</si>
  <si>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</si>
  <si>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</si>
  <si>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</si>
  <si>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</si>
  <si>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</si>
  <si>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</si>
  <si>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</si>
  <si>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</si>
  <si>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</si>
  <si>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</si>
  <si>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</si>
  <si>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</si>
  <si>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</si>
  <si>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</si>
  <si>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</si>
  <si>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</si>
  <si>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</si>
  <si>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</si>
  <si>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</si>
  <si>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34)</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</si>
  <si>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</si>
  <si>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</si>
  <si>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</si>
  <si>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</si>
  <si>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</si>
  <si>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</si>
  <si>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</si>
  <si>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</si>
  <si>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</si>
  <si>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(notas del capítulo 5)</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</si>
  <si>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</si>
  <si>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</si>
  <si>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</si>
  <si>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</si>
  <si>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</si>
  <si>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</si>
  <si>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</si>
  <si>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</si>
  <si>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</si>
  <si>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</si>
  <si>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</si>
  <si>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</si>
  <si>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59 personas con cargas, infraestructura y licencias, y auditoría</t>
  </si>
  <si>
    <t xml:space="preserve">Cuadro 27, suma exacta de sus filas: equipo 1.621,8 M (las 49 personas de antes y 10 nuevas del informe 23: profesor digital, escucha y seguimiento, prueba sellada, aviso de multas y puente con los laboratorios); infraestructura y licencias 243,5 M (informe 23 con el dólar de diciembre de 2025, $1.447,84, y sin WhatsApp: lo que usan los vecinos, 78,3 M; con las herramientas del equipo, las 160 asociaciones inscriptas al 40% de su cupo, los alumnos y el semillero, 226,1 M; y las licencias de las 10 nuevas, 17,4 M; usadas enteras, las 160 asociaciones suman hasta 66 M más); auditoría externa 135,4 M, el 10% del sueldo del equipo de 59 personas (decisión del 07/10). Con los dispositivos, 2.091,7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</si>
  <si>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</si>
  <si>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</si>
  <si>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</si>
  <si>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</si>
  <si>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</si>
  <si>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27,1% del documento. Sin el semillero, 25,6%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</si>
  <si>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</si>
  <si>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</si>
  <si>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</si>
  <si>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</si>
  <si>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27: 15 de la plataforma y 2 de dispositivos, los 17 del cuadro 32</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</si>
  <si>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</si>
  <si>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</si>
  <si>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</si>
  <si>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</si>
  <si>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</si>
  <si>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</si>
  <si>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</si>
  <si>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</si>
  <si>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</si>
  <si>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</si>
  <si>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</si>
  <si>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</si>
  <si>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</si>
  <si>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</si>
  <si>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</si>
  <si>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los datos, la guarda y el difuminado de las grabaciones de las inspecciones: lo que ceden los tres programas del cuadro 15, 6.767 M. Los soportes y las bases van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</si>
  <si>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</si>
  <si>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</si>
  <si>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</si>
  <si>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</si>
  <si>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</si>
  <si>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</si>
  <si>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</si>
  <si>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validadores y mensajes de texto de las multas, espectáculos de Cultura y obra vecinal: el 53,3% del documento</t>
  </si>
  <si>
    <t xml:space="preserve">Gasto flexible libre</t>
  </si>
  <si>
    <t xml:space="preserve">El 46,7%</t>
  </si>
  <si>
    <t xml:space="preserve">Libre con la beca y el módulo de salud</t>
  </si>
  <si>
    <t xml:space="preserve">El 44,0%.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</si>
  <si>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</si>
  <si>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</si>
  <si>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</si>
  <si>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</si>
  <si>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</si>
  <si>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</si>
  <si>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</si>
  <si>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</si>
  <si>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</si>
  <si>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</si>
  <si>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</si>
  <si>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</si>
  <si>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</si>
  <si>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</si>
  <si>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</si>
  <si>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</si>
  <si>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</si>
  <si>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</si>
  <si>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</si>
  <si>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</si>
  <si>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</si>
  <si>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</si>
  <si>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</si>
  <si>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</si>
  <si>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</si>
  <si>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</si>
  <si>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</si>
  <si>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</si>
  <si>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</si>
  <si>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</si>
  <si>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</si>
  <si>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</si>
  <si>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</si>
  <si>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</si>
  <si>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27%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</si>
  <si>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</si>
  <si>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</si>
  <si>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</si>
  <si>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</si>
  <si>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</si>
  <si>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</si>
  <si>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</si>
  <si>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</si>
  <si>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</si>
  <si>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</si>
  <si>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</si>
  <si>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</si>
  <si>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</si>
  <si>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</si>
  <si>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</si>
  <si>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</si>
  <si>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</si>
  <si>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</si>
  <si>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</si>
  <si>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</si>
  <si>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</si>
  <si>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</si>
  <si>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</si>
  <si>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</si>
  <si>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</si>
  <si>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</si>
  <si>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</si>
  <si>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</si>
  <si>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</si>
  <si>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Inspecciones · cámaras corporales: salen</t>
  </si>
  <si>
    <t xml:space="preserve">El agente graba con su teléfono (filas 54 y 57): salen las 80 cámaras corporales (168,7 M) y su licencia (3,8 M por año)</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</si>
  <si>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</si>
  <si>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</si>
  <si>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</si>
  <si>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</si>
  <si>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8-22 M (veinte sensores de unos 25 dólares, unos 500 dólares en total, informe 16),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</si>
  <si>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</si>
  <si>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</si>
  <si>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</si>
  <si>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</si>
  <si>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</si>
  <si>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</si>
  <si>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</si>
  <si>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</si>
  <si>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</si>
  <si>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</si>
  <si>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</si>
  <si>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</si>
  <si>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</si>
  <si>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</si>
  <si>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</si>
  <si>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</si>
  <si>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</si>
  <si>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</si>
  <si>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</si>
  <si>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</si>
  <si>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</si>
  <si>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</si>
  <si>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</si>
  <si>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</si>
  <si>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</si>
  <si>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</si>
  <si>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</si>
  <si>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</si>
  <si>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</si>
  <si>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</si>
  <si>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(44,0%)</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</si>
  <si>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</si>
  <si>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</si>
  <si>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</si>
  <si>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</si>
  <si>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</si>
  <si>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</si>
  <si>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</si>
  <si>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</si>
  <si>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</si>
  <si>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</si>
  <si>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</si>
  <si>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</si>
  <si>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</si>
  <si>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</si>
  <si>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</si>
  <si>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</si>
  <si>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</si>
  <si>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</si>
  <si>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</si>
  <si>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(44,0%)</t>
  </si>
  <si>
    <t xml:space="preserve">Tránsito o Juzgado de Faltas · cuatro personas que validan las actas, por año</t>
  </si>
  <si>
    <t xml:space="preserve">Informe 23: 1 semi-senior y 3 juniors, con los sueldos del cuadro 27. Con el resto del presupuesto y no con el fondo de seguridad vial: pagar con las multas a quien multa invita a multar más. Entra en el gasto flexible ocupado</t>
  </si>
  <si>
    <t xml:space="preserve">Educación · cuatro docentes que revisan el profesor digital, por año</t>
  </si>
  <si>
    <t xml:space="preserve">Informe 23: a sueldo de junior. Dentro de la recomposición de Educación (fila 53): no suma</t>
  </si>
  <si>
    <t xml:space="preserve">Tránsito · mensajes de texto para avisar antes de multar, por año</t>
  </si>
  <si>
    <t xml:space="preserve">Informe 23 bis: de 0,8 a 5,9 M por año; se toma el tope. El aviso va por la inteligencia artificial del Municipio y, a quien dio su celular, por mensaje de texto (decisión del 07/10). Lo paga Tránsito: entra en el gasto flexible ocupado</t>
  </si>
  <si>
    <t xml:space="preserve">Z · EL FONDO DE SEGURIDAD VIAL NO MUEVE EL MARGEN (5.11 e informe 18)</t>
  </si>
  <si>
    <t xml:space="preserve">Multas cobradas en 2025: otras multas en vía pública, a pesos de diciembre de 2025</t>
  </si>
  <si>
    <t xml:space="preserve">Rubro 1.2.6.04, trimestre por trimestre con el IPC (informe 18, 1.8). El presupuesto no separa las de tránsito</t>
  </si>
  <si>
    <t xml:space="preserve">Con las multas por contravenciones</t>
  </si>
  <si>
    <t xml:space="preserve">Más el rubro 1.2.6.01: el techo de lo que puede ser de tránsito</t>
  </si>
  <si>
    <t xml:space="preserve">Gasto 2025 en semaforización y señalamiento vial y en la política de movilidad, a pesos de diciembre de 2025</t>
  </si>
  <si>
    <t xml:space="preserve">Programas 27 y 26 de 2025 (1.654,2 M y 4.687,6 M), por 1,1352: el promedio del IPC del año</t>
  </si>
  <si>
    <t xml:space="preserve">Lo que ya se gasta en seguridad vial menos lo que se cobra en multas</t>
  </si>
  <si>
    <t xml:space="preserve">Positivo: lo que se cobra ya se gasta en seguridad vial, como manda la Ley 24.449, art. 85. El fondo no mueve el margen</t>
  </si>
  <si>
    <t xml:space="preserve">AA · ESPECTÁCULOS AL AIRE LIBRE: LOS PAGA CULTURA (5.5 e informes 23 ter y 23 quáter)</t>
  </si>
  <si>
    <t xml:space="preserve">Cultura · 200 shows, tres equipos de producción, salas bajo techo y control contra robos, por año</t>
  </si>
  <si>
    <t xml:space="preserve">Informe 23 quáter: cachets de los 200 shows con las cancelaciones nuevas, 202,6 M; producción con equipo propio, 106,8 M (8 personas nuevas, 85,3 M con reemplazos); salas bajo techo, 13,8 M; control contra robos, 2,0 a 2,7 M: unos 326 M. Entra en el gasto flexible ocupado. Con las temporadas decididas el 07/10 (al aire libre del 20 de septiembre a mediados de abril), cuántos shows van bajo techo y lo que cuestan los convenios: informe 23 quinquies</t>
  </si>
  <si>
    <t xml:space="preserve">Cultura · compra de equipos, limitadores y control contra robos, una vez</t>
  </si>
  <si>
    <t xml:space="preserve">Informe 23 ter: 125,9 M de equipos (dos de sonido para bandas, de 29,5 M con tarima y toldo; dos para callejeros, de 4,9 M; camioneta) y 5,2 M de control. Informe 23 quáter: un limitador con bloqueo y clave y dos bafles chicos para el «modo plaza» en cada equipo de show, 7,7 M por los dos</t>
  </si>
  <si>
    <t xml:space="preserve">Cultura · el primer año, con la compra</t>
  </si>
  <si>
    <t xml:space="preserve">Unos 326 M por año más 138,8 M de compra</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</si>
  <si>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</si>
  <si>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</si>
  <si>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</si>
  <si>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</si>
  <si>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</si>
  <si>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</si>
  <si>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</si>
  <si>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</si>
  <si>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</si>
  <si>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</si>
  <si>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</si>
  <si>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</si>
  <si>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</si>
  <si>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</si>
  <si>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</si>
  <si>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</si>
  <si>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</si>
  <si>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</si>
  <si>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</si>
  <si>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</si>
  <si>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</si>
  <si>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</si>
  <si>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</si>
  <si>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</si>
  <si>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</si>
  <si>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</si>
  <si>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</si>
  <si>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</si>
  <si>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</si>
  <si>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</si>
  <si>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</si>
  <si>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</si>
  <si>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</si>
  <si>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</si>
  <si>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</si>
  <si>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</si>
  <si>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</si>
  <si>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</si>
  <si>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</si>
  <si>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</si>
  <si>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</si>
  <si>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</si>
  <si>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</si>
  <si>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</si>
  <si>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</si>
  <si>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</si>
  <si>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</si>
  <si>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</si>
  <si>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</si>
  <si>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</si>
  <si>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</si>
  <si>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</si>
  <si>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</si>
  <si>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</si>
  <si>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</si>
  <si>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</si>
  <si>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</si>
  <si>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</si>
  <si>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</si>
  <si>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</si>
  <si>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</si>
  <si>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</si>
  <si>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</si>
  <si>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</si>
  <si>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</si>
  <si>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</si>
  <si>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</si>
  <si>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</si>
  <si>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</si>
  <si>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</si>
  <si>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</si>
  <si>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</si>
  <si>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</si>
  <si>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</si>
  <si>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</si>
  <si>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</si>
  <si>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</si>
  <si>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</si>
  <si>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</si>
  <si>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</si>
  <si>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</si>
  <si>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</si>
  <si>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</si>
  <si>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</si>
  <si>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</si>
  <si>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</si>
  <si>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</si>
  <si>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</si>
  <si>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</si>
  <si>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</si>
  <si>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</si>
  <si>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</si>
  <si>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</si>
  <si>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</si>
  <si>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</si>
  <si>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</si>
  <si>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</si>
  <si>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</si>
  <si>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</si>
  <si>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</si>
  <si>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</si>
  <si>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</si>
  <si>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</si>
  <si>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</si>
  <si>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</si>
  <si>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</si>
  <si>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</si>
  <si>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</si>
  <si>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</si>
  <si>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</si>
  <si>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</si>
  <si>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</si>
  <si>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</si>
  <si>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</si>
  <si>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</si>
  <si>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</si>
  <si>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</si>
  <si>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</si>
  <si>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</si>
  <si>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</si>
  <si>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</si>
  <si>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</si>
  <si>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</si>
  <si>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</si>
  <si>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</si>
  <si>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</si>
  <si>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</si>
  <si>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</si>
  <si>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</si>
  <si>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</si>
  <si>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</si>
  <si>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</si>
  <si>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</si>
  <si>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</si>
  <si>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</si>
  <si>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</si>
  <si>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</si>
  <si>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</si>
  <si>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</si>
  <si>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</si>
  <si>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</si>
  <si>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</si>
  <si>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</si>
  <si>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</si>
  <si>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</si>
  <si>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</si>
  <si>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</si>
  <si>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</si>
  <si>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</si>
  <si>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</si>
  <si>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</si>
  <si>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</si>
  <si>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</si>
  <si>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</si>
  <si>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</si>
  <si>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</si>
  <si>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</si>
  <si>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</si>
  <si>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</si>
  <si>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</si>
  <si>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</si>
  <si>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</si>
  <si>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</si>
  <si>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</si>
  <si>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</si>
  <si>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</si>
  <si>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</si>
  <si>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</si>
  <si>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</si>
  <si>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</si>
  <si>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</si>
  <si>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</si>
  <si>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</si>
  <si>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</si>
  <si>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</si>
  <si>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</si>
  <si>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</si>
  <si>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</si>
  <si>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</si>
  <si>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</si>
  <si>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</si>
  <si>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</si>
  <si>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</si>
  <si>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</si>
  <si>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</si>
  <si>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</si>
  <si>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</si>
  <si>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</si>
  <si>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</si>
  <si>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</si>
  <si>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</si>
  <si>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</si>
  <si>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</si>
  <si>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Inspecciones grabadas: soportes, datos y grabaciones</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</si>
  <si>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</si>
  <si>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</si>
  <si>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</si>
  <si>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</si>
  <si>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</si>
  <si>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las inspecciones grabadas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</si>
  <si>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335 M para empezar la costa (5.5); educación se recompone desde el mes 12 (6.4). Apoyo escolar abre dos sedes por año; las inspecciones grabadas compran los soportes el año 1 y pagan datos y grabaciones desde el mes 9: son supuestos de este libro.</t>
  </si>
  <si>
    <t xml:space="preserve">EMPLEO Y VIVIENDA, ABIERTOS (cuadro 34)</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</si>
  <si>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</si>
  <si>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</si>
  <si>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</si>
  <si>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</si>
  <si>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</si>
  <si>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</si>
  <si>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</si>
  <si>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</si>
  <si>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</si>
  <si>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</si>
  <si>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</si>
  <si>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</si>
  <si>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</si>
  <si>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</si>
  <si>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</si>
  <si>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</si>
  <si>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</si>
  <si>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</si>
  <si>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</si>
  <si>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</si>
  <si>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</si>
  <si>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</si>
  <si>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</si>
  <si>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</si>
  <si>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</si>
  <si>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</si>
  <si>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</si>
  <si>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</si>
  <si>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</si>
  <si>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</si>
  <si>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</si>
  <si>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</si>
  <si>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</si>
  <si>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</si>
  <si>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</si>
  <si>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</si>
  <si>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</si>
  <si>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</si>
  <si>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</si>
  <si>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</si>
  <si>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</si>
  <si>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</si>
  <si>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</si>
  <si>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</si>
  <si>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</si>
  <si>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</si>
  <si>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</si>
  <si>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</si>
  <si>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</si>
  <si>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</si>
  <si>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</si>
  <si>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</si>
  <si>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</si>
  <si>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</si>
  <si>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</si>
  <si>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</si>
  <si>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</si>
  <si>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</si>
  <si>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</si>
  <si>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</si>
  <si>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</si>
  <si>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</si>
  <si>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</si>
  <si>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</si>
  <si>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</si>
  <si>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</si>
  <si>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</si>
  <si>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</si>
  <si>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</si>
  <si>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</si>
  <si>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</si>
  <si>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</si>
  <si>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</si>
  <si>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</si>
  <si>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</si>
  <si>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</si>
  <si>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</si>
  <si>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</si>
  <si>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</si>
  <si>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</si>
  <si>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</si>
  <si>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</si>
  <si>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</si>
  <si>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</si>
  <si>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</si>
  <si>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</si>
  <si>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</si>
  <si>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</si>
  <si>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</si>
  <si>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</si>
  <si>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</si>
  <si>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</si>
  <si>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</si>
  <si>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</si>
  <si>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</si>
  <si>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</si>
  <si>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</si>
  <si>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</si>
  <si>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</si>
  <si>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</si>
  <si>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</si>
  <si>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</si>
  <si>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</si>
  <si>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</si>
  <si>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</si>
  <si>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</si>
  <si>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</si>
  <si>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</si>
  <si>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</si>
  <si>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</si>
  <si>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</si>
  <si>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</si>
  <si>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</si>
  <si>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</si>
  <si>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</si>
  <si>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</si>
  <si>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</si>
  <si>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</si>
  <si>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</si>
  <si>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</si>
  <si>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</si>
  <si>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</si>
  <si>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VEINTE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</si>
  <si>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</si>
  <si>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</si>
  <si>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</si>
  <si>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</si>
  <si>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</si>
  <si>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</si>
  <si>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</si>
  <si>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</si>
  <si>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</si>
  <si>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</si>
  <si>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</si>
  <si>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</si>
  <si>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</si>
  <si>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</si>
  <si>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</si>
  <si>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</si>
  <si>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</si>
  <si>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</si>
  <si>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</si>
  <si>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</si>
  <si>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</si>
  <si>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</si>
  <si>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</si>
  <si>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</si>
  <si>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</si>
  <si>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</si>
  <si>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</si>
  <si>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 que la inteligencia artificial del Municipio saca en la charla, con recordatorio y lista de espera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</si>
  <si>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</si>
  <si>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</si>
  <si>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</si>
  <si>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</si>
  <si>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</si>
  <si>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</si>
  <si>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</si>
  <si>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</si>
  <si>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</si>
  <si>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</si>
  <si>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</si>
  <si>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 y la dirección atendiendo días fijos en cada zona, empezando por Boulogne y Béccar</t>
  </si>
  <si>
    <t xml:space="preserve">Género no tiene partida propia; discapacidad sí, y devengó 65,9 M en 2025. La dirección tiene una sola sede, en la ciudad de San Isidro</t>
  </si>
  <si>
    <t xml:space="preserve">Estado de ejecución por programa; los días y lugares de atención se le preguntan a la inteligencia artificial del Municipio</t>
  </si>
  <si>
    <t xml:space="preserve">Un centro de apoyo escolar gratuito en cada una de las seis localidades</t>
  </si>
  <si>
    <t xml:space="preserve">Cinco espacios chicos, sólo en Béccar y Boulogne, con un centenar de chicos; en las otras cuatro localidades, ninguno</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</si>
  <si>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</si>
  <si>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</si>
  <si>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</si>
  <si>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</si>
  <si>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El profesor digital, probado seis meses en los primeros centros de apoyo escolar, medido con pruebas sin inteligencia artificial y con el resultado publicado antes de extenderlo</t>
  </si>
  <si>
    <t xml:space="preserve">No existe: el Municipio no ofrece ningún tutor digital</t>
  </si>
  <si>
    <t xml:space="preserve">El resultado de la prueba se le pregunta a la inteligencia artificial del Municipio</t>
  </si>
  <si>
    <t xml:space="preserve">Que cada responsable conteste en plazo lo que junta la inteligencia artificial que escucha a los vecinos</t>
  </si>
  <si>
    <t xml:space="preserve">No hay forma pública de saber cuánto tarda el Municipio en responder un reclamo</t>
  </si>
  <si>
    <t xml:space="preserve">Se le pregunta a la inteligencia artificial del Municipio: tema por tema y zona por zona, el plazo y la respuesta</t>
  </si>
  <si>
    <t xml:space="preserve">Que cada denuncia de un comerciante por coimas, aprietes o amenazas tenga respuesta, y llegue a la fiscalía cuando hay delito</t>
  </si>
  <si>
    <t xml:space="preserve">No existe: el canal es nuevo (5.9)</t>
  </si>
  <si>
    <t xml:space="preserve">Se le pregunta a la inteligencia artificial del Municipio: cuántas denuncias hubo, en qué están y cuántas llegaron a la fiscalía</t>
  </si>
  <si>
    <t xml:space="preserve">Espectáculos al aire libre todas las semanas, de lunes a jueves, en los parques y plazas del partido</t>
  </si>
  <si>
    <t xml:space="preserve">En 2026, un solo espectáculo en un día hábil en la costa, según el Municipio</t>
  </si>
  <si>
    <t xml:space="preserve">La agenda, en la inteligencia artificial del Municipio; la gente, con las cámaras que cuentan cada acceso</t>
  </si>
  <si>
    <t xml:space="preserve">Medir el ruido de motos y colectivos con estaciones móviles, y que cualquiera pueda preguntar qué midieron en su zona</t>
  </si>
  <si>
    <t xml:space="preserve">No hay medición ni límites en decibeles para vehículos en circulación</t>
  </si>
  <si>
    <t xml:space="preserve">Se le pregunta a la inteligencia artificial del Municipio</t>
  </si>
  <si>
    <t xml:space="preserve">Cada asociación inscripta en el Municipio, con su espacio propio en la inteligencia artificial del Municipio</t>
  </si>
  <si>
    <t xml:space="preserve">No existe</t>
  </si>
  <si>
    <t xml:space="preserve">Cuántas asociaciones lo usan: se le pregunta a la inteligencia artificial del Municipio</t>
  </si>
  <si>
    <t xml:space="preserve">Que nadie cobre por multa, y que lo cobrado vaya a un fondo cerrado de seguridad vial</t>
  </si>
  <si>
    <t xml:space="preserve">Hasta 2025, las universidades que operaban las cámaras cobraban un porcentaje de lo recaudado</t>
  </si>
  <si>
    <t xml:space="preserve">Los contratos, en el Boletín Oficial; el fondo, en la ejecución presupuestaria</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</si>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</sst>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0"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46500000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37.3" hidden="false" customHeight="false" outlineLevel="0" collapsed="false">
      <c r="B57" s="2" t="s">
        <v>138</v>
      </c>
      <c r="C57" s="29" t="n">
        <v>168500000</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29" t="n">
        <v>207565454181.72</v>
      </c>
      <c r="D107" s="2"/>
      <c r="E107" s="20" t="s">
        <v>209</v>
      </c>
    </row>
    <row r="108" customFormat="false" ht="15" hidden="false" customHeight="false" outlineLevel="0" collapsed="false">
      <c r="B108" s="2" t="s">
        <v>210</v>
      </c>
      <c r="C108" s="29" t="n">
        <v>403631519.01</v>
      </c>
      <c r="D108" s="2"/>
      <c r="E108" s="2"/>
    </row>
    <row r="109" customFormat="false" ht="15" hidden="false" customHeight="false" outlineLevel="0" collapsed="false">
      <c r="B109" s="2" t="s">
        <v>211</v>
      </c>
      <c r="C109" s="29" t="n">
        <v>79683151665.59</v>
      </c>
      <c r="D109" s="2"/>
      <c r="E109" s="20" t="s">
        <v>212</v>
      </c>
    </row>
    <row r="110" customFormat="false" ht="15" hidden="false" customHeight="false" outlineLevel="0" collapsed="false">
      <c r="B110" s="2" t="s">
        <v>213</v>
      </c>
      <c r="C110" s="29" t="n">
        <v>8010779659</v>
      </c>
      <c r="D110" s="2"/>
      <c r="E110" s="2"/>
    </row>
    <row r="111" customFormat="false" ht="15" hidden="false" customHeight="false" outlineLevel="0" collapsed="false">
      <c r="B111" s="2" t="s">
        <v>214</v>
      </c>
      <c r="C111" s="29" t="n">
        <v>190050533.83</v>
      </c>
      <c r="D111" s="2"/>
      <c r="E111" s="2"/>
    </row>
    <row r="112" customFormat="false" ht="15" hidden="false" customHeight="false" outlineLevel="0" collapsed="false">
      <c r="B112" s="2" t="s">
        <v>215</v>
      </c>
      <c r="C112" s="29" t="n">
        <v>7331698373.78</v>
      </c>
      <c r="D112" s="2"/>
      <c r="E112" s="2"/>
    </row>
    <row r="113" customFormat="false" ht="15" hidden="false" customHeight="false" outlineLevel="0" collapsed="false">
      <c r="B113" s="2" t="s">
        <v>216</v>
      </c>
      <c r="C113" s="41" t="n">
        <f aca="false">(C107+C108)-(C9+C10+C12)</f>
        <v>0</v>
      </c>
      <c r="D113" s="2"/>
      <c r="E113" s="20" t="s">
        <v>217</v>
      </c>
    </row>
    <row r="114" customFormat="false" ht="15" hidden="false" customHeight="false" outlineLevel="0" collapsed="false">
      <c r="B114" s="2" t="s">
        <v>218</v>
      </c>
      <c r="C114" s="41" t="n">
        <f aca="false">C107+C108-C12</f>
        <v>205938984903.51</v>
      </c>
      <c r="D114" s="2"/>
      <c r="E114" s="20" t="s">
        <v>219</v>
      </c>
    </row>
    <row r="115" customFormat="false" ht="15" hidden="false" customHeight="false" outlineLevel="0" collapsed="false">
      <c r="B115" s="2" t="s">
        <v>220</v>
      </c>
      <c r="C115" s="41" t="n">
        <f aca="false">C109+C110</f>
        <v>87693931324.59</v>
      </c>
      <c r="D115" s="2"/>
      <c r="E115" s="2"/>
    </row>
    <row r="116" customFormat="false" ht="15" hidden="false" customHeight="false" outlineLevel="0" collapsed="false">
      <c r="B116" s="2" t="s">
        <v>221</v>
      </c>
      <c r="C116" s="41" t="n">
        <f aca="false">C111</f>
        <v>190050533.83</v>
      </c>
      <c r="D116" s="2"/>
      <c r="E116" s="2"/>
    </row>
    <row r="117" customFormat="false" ht="15" hidden="false" customHeight="false" outlineLevel="0" collapsed="false">
      <c r="B117" s="2" t="s">
        <v>222</v>
      </c>
      <c r="C117" s="41" t="n">
        <f aca="false">C112</f>
        <v>7331698373.78</v>
      </c>
      <c r="D117" s="2"/>
      <c r="E117" s="2"/>
    </row>
    <row r="118" customFormat="false" ht="15" hidden="false" customHeight="false" outlineLevel="0" collapsed="false">
      <c r="B118" s="2" t="s">
        <v>223</v>
      </c>
      <c r="C118" s="42"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29" t="n">
        <v>301154665135.71</v>
      </c>
      <c r="D121" s="2"/>
      <c r="E121" s="20" t="s">
        <v>227</v>
      </c>
    </row>
    <row r="122" customFormat="false" ht="15" hidden="false" customHeight="false" outlineLevel="0" collapsed="false">
      <c r="B122" s="2" t="s">
        <v>228</v>
      </c>
      <c r="C122" s="29" t="n">
        <v>2030100797.22</v>
      </c>
      <c r="D122" s="2"/>
      <c r="E122" s="2"/>
    </row>
    <row r="123" customFormat="false" ht="15" hidden="false" customHeight="false" outlineLevel="0" collapsed="false">
      <c r="B123" s="2" t="s">
        <v>229</v>
      </c>
      <c r="C123" s="29" t="n">
        <v>251403592133.29</v>
      </c>
      <c r="D123" s="2"/>
      <c r="E123" s="20" t="s">
        <v>230</v>
      </c>
    </row>
    <row r="124" customFormat="false" ht="15" hidden="false" customHeight="false" outlineLevel="0" collapsed="false">
      <c r="B124" s="2" t="s">
        <v>231</v>
      </c>
      <c r="C124" s="29" t="n">
        <v>57832237847.26</v>
      </c>
      <c r="D124" s="2"/>
      <c r="E124" s="2"/>
    </row>
    <row r="125" customFormat="false" ht="15" hidden="false" customHeight="false" outlineLevel="0" collapsed="false">
      <c r="B125" s="2" t="s">
        <v>232</v>
      </c>
      <c r="C125" s="29" t="n">
        <v>-6051064047.62</v>
      </c>
      <c r="D125" s="2"/>
      <c r="E125" s="20" t="s">
        <v>233</v>
      </c>
    </row>
    <row r="126" customFormat="false" ht="15" hidden="false" customHeight="false" outlineLevel="0" collapsed="false">
      <c r="B126" s="2" t="s">
        <v>234</v>
      </c>
      <c r="C126" s="41" t="n">
        <f aca="false">C124-C21</f>
        <v>16528497</v>
      </c>
      <c r="D126" s="2"/>
      <c r="E126" s="20" t="s">
        <v>235</v>
      </c>
    </row>
    <row r="127" customFormat="false" ht="15" hidden="false" customHeight="false" outlineLevel="0" collapsed="false">
      <c r="B127" s="2" t="s">
        <v>236</v>
      </c>
      <c r="C127" s="41" t="n">
        <f aca="false">C15+C17+C19+C21+C23+C25+C27</f>
        <v>324303955405.45</v>
      </c>
      <c r="D127" s="2"/>
      <c r="E127" s="20" t="s">
        <v>237</v>
      </c>
    </row>
    <row r="128" customFormat="false" ht="15" hidden="false" customHeight="false" outlineLevel="0" collapsed="false">
      <c r="B128" s="2" t="s">
        <v>238</v>
      </c>
      <c r="C128" s="41"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3" t="n">
        <v>0.1088</v>
      </c>
      <c r="D131" s="2"/>
      <c r="E131" s="20" t="s">
        <v>242</v>
      </c>
    </row>
    <row r="132" customFormat="false" ht="15" hidden="false" customHeight="false" outlineLevel="0" collapsed="false">
      <c r="B132" s="2" t="s">
        <v>243</v>
      </c>
      <c r="C132" s="44" t="n">
        <v>0.25</v>
      </c>
      <c r="D132" s="2"/>
      <c r="E132" s="20" t="s">
        <v>244</v>
      </c>
    </row>
    <row r="133" customFormat="false" ht="15" hidden="false" customHeight="false" outlineLevel="0" collapsed="false">
      <c r="B133" s="2" t="s">
        <v>245</v>
      </c>
      <c r="C133" s="29" t="n">
        <v>8089117779</v>
      </c>
      <c r="D133" s="2"/>
      <c r="E133" s="2"/>
    </row>
    <row r="134" customFormat="false" ht="15" hidden="false" customHeight="false" outlineLevel="0" collapsed="false">
      <c r="B134" s="2" t="s">
        <v>246</v>
      </c>
      <c r="C134" s="29" t="n">
        <v>1636527548</v>
      </c>
      <c r="D134" s="2"/>
      <c r="E134" s="20" t="s">
        <v>247</v>
      </c>
    </row>
    <row r="135" customFormat="false" ht="15" hidden="false" customHeight="false" outlineLevel="0" collapsed="false">
      <c r="B135" s="2" t="s">
        <v>248</v>
      </c>
      <c r="C135" s="29" t="n">
        <v>4850852925</v>
      </c>
      <c r="D135" s="2"/>
      <c r="E135" s="2"/>
    </row>
    <row r="136" customFormat="false" ht="15" hidden="false" customHeight="false" outlineLevel="0" collapsed="false">
      <c r="B136" s="2" t="s">
        <v>249</v>
      </c>
      <c r="C136" s="29" t="n">
        <v>5936238856</v>
      </c>
      <c r="D136" s="2"/>
      <c r="E136" s="2"/>
    </row>
    <row r="137" customFormat="false" ht="15" hidden="false" customHeight="false" outlineLevel="0" collapsed="false">
      <c r="B137" s="2" t="s">
        <v>250</v>
      </c>
      <c r="C137" s="29" t="n">
        <v>5983226473</v>
      </c>
      <c r="D137" s="2"/>
      <c r="E137" s="2"/>
    </row>
    <row r="138" customFormat="false" ht="15" hidden="false" customHeight="false" outlineLevel="0" collapsed="false">
      <c r="B138" s="2" t="s">
        <v>251</v>
      </c>
      <c r="C138" s="29" t="n">
        <v>1611791318</v>
      </c>
      <c r="D138" s="2"/>
      <c r="E138" s="20" t="s">
        <v>252</v>
      </c>
    </row>
    <row r="139" customFormat="false" ht="15" hidden="false" customHeight="false" outlineLevel="0" collapsed="false">
      <c r="B139" s="2" t="s">
        <v>253</v>
      </c>
      <c r="C139" s="29" t="n">
        <v>4815198717</v>
      </c>
      <c r="D139" s="2"/>
      <c r="E139" s="2"/>
    </row>
    <row r="140" customFormat="false" ht="15" hidden="false" customHeight="false" outlineLevel="0" collapsed="false">
      <c r="B140" s="2" t="s">
        <v>254</v>
      </c>
      <c r="C140" s="29" t="n">
        <v>5899395470</v>
      </c>
      <c r="D140" s="2"/>
      <c r="E140" s="2"/>
    </row>
    <row r="141" customFormat="false" ht="15" hidden="false" customHeight="false" outlineLevel="0" collapsed="false">
      <c r="B141" s="2" t="s">
        <v>255</v>
      </c>
      <c r="C141" s="29"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1"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29" t="n">
        <v>170314500.62</v>
      </c>
      <c r="D147" s="2"/>
      <c r="E147" s="2"/>
    </row>
    <row r="148" customFormat="false" ht="15" hidden="false" customHeight="false" outlineLevel="0" collapsed="false">
      <c r="B148" s="2" t="s">
        <v>264</v>
      </c>
      <c r="C148" s="29" t="n">
        <v>335387189.32</v>
      </c>
      <c r="D148" s="2"/>
      <c r="E148" s="2"/>
    </row>
    <row r="149" customFormat="false" ht="15" hidden="false" customHeight="false" outlineLevel="0" collapsed="false">
      <c r="B149" s="2" t="s">
        <v>265</v>
      </c>
      <c r="C149" s="42" t="n">
        <v>0.025</v>
      </c>
      <c r="D149" s="2"/>
      <c r="E149" s="20" t="s">
        <v>266</v>
      </c>
    </row>
    <row r="150" customFormat="false" ht="15" hidden="false" customHeight="false" outlineLevel="0" collapsed="false">
      <c r="B150" s="2" t="s">
        <v>267</v>
      </c>
      <c r="C150" s="44" t="n">
        <v>0.6</v>
      </c>
      <c r="D150" s="2"/>
      <c r="E150" s="20" t="s">
        <v>268</v>
      </c>
    </row>
    <row r="151" customFormat="false" ht="15" hidden="false" customHeight="false" outlineLevel="0" collapsed="false">
      <c r="B151" s="2" t="s">
        <v>269</v>
      </c>
      <c r="C151" s="44"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29"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1" t="n">
        <f aca="false">C199</f>
        <v>8155070001.31</v>
      </c>
      <c r="D160" s="2"/>
      <c r="E160" s="20" t="s">
        <v>284</v>
      </c>
    </row>
    <row r="161" customFormat="false" ht="55.2" hidden="false" customHeight="false" outlineLevel="0" collapsed="false">
      <c r="B161" s="2" t="s">
        <v>285</v>
      </c>
      <c r="C161" s="29" t="n">
        <v>2000700000</v>
      </c>
      <c r="D161" s="2"/>
      <c r="E161" s="20" t="s">
        <v>286</v>
      </c>
    </row>
    <row r="162" customFormat="false" ht="15" hidden="false" customHeight="false" outlineLevel="0" collapsed="false">
      <c r="B162" s="2" t="s">
        <v>287</v>
      </c>
      <c r="C162" s="29" t="n">
        <v>91000000</v>
      </c>
      <c r="D162" s="2"/>
      <c r="E162" s="20" t="s">
        <v>288</v>
      </c>
    </row>
    <row r="163" customFormat="false" ht="15" hidden="false" customHeight="false" outlineLevel="0" collapsed="false">
      <c r="B163" s="2" t="s">
        <v>289</v>
      </c>
      <c r="C163" s="29" t="n">
        <v>121000000</v>
      </c>
      <c r="D163" s="2"/>
      <c r="E163" s="20" t="s">
        <v>290</v>
      </c>
    </row>
    <row r="164" customFormat="false" ht="15" hidden="false" customHeight="false" outlineLevel="0" collapsed="false">
      <c r="B164" s="2" t="s">
        <v>291</v>
      </c>
      <c r="C164" s="46" t="n">
        <f aca="false">(C161+C162+C163)/C160</f>
        <v>0.271328143062483</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29" t="n">
        <v>3166250</v>
      </c>
      <c r="D169" s="2"/>
      <c r="E169" s="20" t="s">
        <v>299</v>
      </c>
    </row>
    <row r="170" customFormat="false" ht="15" hidden="false" customHeight="false" outlineLevel="0" collapsed="false">
      <c r="B170" s="2" t="s">
        <v>300</v>
      </c>
      <c r="C170" s="29" t="n">
        <v>240000</v>
      </c>
      <c r="D170" s="2"/>
      <c r="E170" s="20" t="s">
        <v>301</v>
      </c>
    </row>
    <row r="171" customFormat="false" ht="15" hidden="false" customHeight="false" outlineLevel="0" collapsed="false">
      <c r="B171" s="2" t="s">
        <v>302</v>
      </c>
      <c r="C171" s="29" t="n">
        <v>720000000</v>
      </c>
      <c r="D171" s="2"/>
      <c r="E171" s="20" t="s">
        <v>303</v>
      </c>
    </row>
    <row r="172" customFormat="false" ht="15" hidden="false" customHeight="false" outlineLevel="0" collapsed="false">
      <c r="B172" s="2" t="s">
        <v>304</v>
      </c>
      <c r="C172" s="41" t="n">
        <f aca="false">(C167-C168)*C169+C171</f>
        <v>2135313750</v>
      </c>
      <c r="D172" s="2"/>
      <c r="E172" s="20" t="s">
        <v>305</v>
      </c>
    </row>
    <row r="173" customFormat="false" ht="15" hidden="false" customHeight="false" outlineLevel="0" collapsed="false">
      <c r="B173" s="2" t="s">
        <v>306</v>
      </c>
      <c r="C173" s="41" t="n">
        <f aca="false">C167*C169</f>
        <v>1469140000</v>
      </c>
      <c r="D173" s="2"/>
      <c r="E173" s="20" t="s">
        <v>307</v>
      </c>
    </row>
    <row r="174" customFormat="false" ht="15" hidden="false" customHeight="false" outlineLevel="0" collapsed="false">
      <c r="B174" s="2" t="s">
        <v>308</v>
      </c>
      <c r="C174" s="41" t="n">
        <f aca="false">C167*C170*12</f>
        <v>1336320000</v>
      </c>
      <c r="D174" s="2"/>
      <c r="E174" s="20" t="s">
        <v>309</v>
      </c>
    </row>
    <row r="175" customFormat="false" ht="15" hidden="false" customHeight="false" outlineLevel="0" collapsed="false">
      <c r="B175" s="2" t="s">
        <v>310</v>
      </c>
      <c r="C175" s="41" t="n">
        <f aca="false">(C49+C143/2)*C150*(1-C151)</f>
        <v>988391692.73445</v>
      </c>
      <c r="D175" s="2"/>
      <c r="E175" s="20" t="s">
        <v>311</v>
      </c>
    </row>
    <row r="176" customFormat="false" ht="19.4" hidden="false" customHeight="false" outlineLevel="0" collapsed="false">
      <c r="B176" s="2" t="s">
        <v>312</v>
      </c>
      <c r="C176" s="41" t="n">
        <f aca="false">(C52*C127-C51)+C53+6*C55+C57</f>
        <v>6767059331.08175</v>
      </c>
      <c r="D176" s="2"/>
      <c r="E176" s="20" t="s">
        <v>313</v>
      </c>
    </row>
    <row r="177" customFormat="false" ht="15" hidden="false" customHeight="false" outlineLevel="0" collapsed="false">
      <c r="B177" s="2" t="s">
        <v>314</v>
      </c>
      <c r="C177" s="41"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9.4" hidden="false" customHeight="false" outlineLevel="0" collapsed="false">
      <c r="B180" s="2" t="s">
        <v>320</v>
      </c>
      <c r="C180" s="46" t="n">
        <f aca="false">(C143+C176+C172+C228+C177+C240+C260+C271+C273+C281)/C128</f>
        <v>0.533203891372956</v>
      </c>
      <c r="D180" s="2"/>
      <c r="E180" s="20" t="s">
        <v>321</v>
      </c>
    </row>
    <row r="181" customFormat="false" ht="15" hidden="false" customHeight="false" outlineLevel="0" collapsed="false">
      <c r="B181" s="2" t="s">
        <v>322</v>
      </c>
      <c r="C181" s="46" t="n">
        <f aca="false">1-C180</f>
        <v>0.466796108627044</v>
      </c>
      <c r="D181" s="2"/>
      <c r="E181" s="20" t="s">
        <v>323</v>
      </c>
    </row>
    <row r="182" customFormat="false" ht="15" hidden="false" customHeight="false" outlineLevel="0" collapsed="false">
      <c r="B182" s="2" t="s">
        <v>324</v>
      </c>
      <c r="C182" s="46" t="n">
        <f aca="false">C181-(C174+C175)/C128</f>
        <v>0.440174915201676</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2" t="n">
        <v>0.015</v>
      </c>
      <c r="D185" s="2"/>
      <c r="E185" s="20" t="s">
        <v>328</v>
      </c>
    </row>
    <row r="186" customFormat="false" ht="15" hidden="false" customHeight="false" outlineLevel="0" collapsed="false">
      <c r="B186" s="2" t="s">
        <v>329</v>
      </c>
      <c r="C186" s="29"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29" t="n">
        <v>4571068290.21</v>
      </c>
      <c r="D189" s="2"/>
      <c r="E189" s="20" t="s">
        <v>333</v>
      </c>
    </row>
    <row r="190" customFormat="false" ht="15" hidden="false" customHeight="false" outlineLevel="0" collapsed="false">
      <c r="B190" s="2" t="s">
        <v>334</v>
      </c>
      <c r="C190" s="29" t="n">
        <v>726703843.49</v>
      </c>
      <c r="D190" s="2"/>
      <c r="E190" s="2"/>
    </row>
    <row r="191" customFormat="false" ht="15" hidden="false" customHeight="false" outlineLevel="0" collapsed="false">
      <c r="B191" s="2" t="s">
        <v>335</v>
      </c>
      <c r="C191" s="29" t="n">
        <v>32551822739.17</v>
      </c>
      <c r="D191" s="2"/>
      <c r="E191" s="2"/>
    </row>
    <row r="192" customFormat="false" ht="15" hidden="false" customHeight="false" outlineLevel="0" collapsed="false">
      <c r="B192" s="2" t="s">
        <v>336</v>
      </c>
      <c r="C192" s="29" t="n">
        <v>4040041713.91</v>
      </c>
      <c r="D192" s="2"/>
      <c r="E192" s="2"/>
    </row>
    <row r="193" customFormat="false" ht="15" hidden="false" customHeight="false" outlineLevel="0" collapsed="false">
      <c r="B193" s="2" t="s">
        <v>337</v>
      </c>
      <c r="C193" s="29" t="n">
        <v>2241064072.7</v>
      </c>
      <c r="D193" s="2"/>
      <c r="E193" s="2"/>
    </row>
    <row r="194" customFormat="false" ht="15" hidden="false" customHeight="false" outlineLevel="0" collapsed="false">
      <c r="B194" s="2" t="s">
        <v>338</v>
      </c>
      <c r="C194" s="29" t="n">
        <v>267333862.93</v>
      </c>
      <c r="D194" s="2"/>
      <c r="E194" s="2"/>
    </row>
    <row r="195" customFormat="false" ht="15" hidden="false" customHeight="false" outlineLevel="0" collapsed="false">
      <c r="B195" s="2" t="s">
        <v>339</v>
      </c>
      <c r="C195" s="29" t="n">
        <v>32446010425.66</v>
      </c>
      <c r="D195" s="2"/>
      <c r="E195" s="2"/>
    </row>
    <row r="196" customFormat="false" ht="15" hidden="false" customHeight="false" outlineLevel="0" collapsed="false">
      <c r="B196" s="2" t="s">
        <v>340</v>
      </c>
      <c r="C196" s="29" t="n">
        <v>78217069372.33</v>
      </c>
      <c r="D196" s="2"/>
      <c r="E196" s="2"/>
    </row>
    <row r="197" customFormat="false" ht="15" hidden="false" customHeight="false" outlineLevel="0" collapsed="false">
      <c r="B197" s="2" t="s">
        <v>341</v>
      </c>
      <c r="C197" s="29" t="n">
        <v>5914489308.16</v>
      </c>
      <c r="D197" s="2"/>
      <c r="E197" s="2"/>
    </row>
    <row r="198" customFormat="false" ht="15" hidden="false" customHeight="false" outlineLevel="0" collapsed="false">
      <c r="B198" s="2" t="s">
        <v>342</v>
      </c>
      <c r="C198" s="29" t="n">
        <v>13986341015.32</v>
      </c>
      <c r="D198" s="2"/>
      <c r="E198" s="2"/>
    </row>
    <row r="199" customFormat="false" ht="15" hidden="false" customHeight="false" outlineLevel="0" collapsed="false">
      <c r="B199" s="2" t="s">
        <v>343</v>
      </c>
      <c r="C199" s="29" t="n">
        <v>8155070001.31</v>
      </c>
      <c r="D199" s="2"/>
      <c r="E199" s="2"/>
    </row>
    <row r="200" customFormat="false" ht="15" hidden="false" customHeight="false" outlineLevel="0" collapsed="false">
      <c r="B200" s="2" t="s">
        <v>344</v>
      </c>
      <c r="C200" s="29" t="n">
        <v>170314500.62</v>
      </c>
      <c r="D200" s="2"/>
      <c r="E200" s="2"/>
    </row>
    <row r="201" customFormat="false" ht="15" hidden="false" customHeight="false" outlineLevel="0" collapsed="false">
      <c r="B201" s="2" t="s">
        <v>345</v>
      </c>
      <c r="C201" s="29" t="n">
        <v>12335648700.58</v>
      </c>
      <c r="D201" s="2"/>
      <c r="E201" s="2"/>
    </row>
    <row r="202" customFormat="false" ht="15" hidden="false" customHeight="false" outlineLevel="0" collapsed="false">
      <c r="B202" s="2" t="s">
        <v>346</v>
      </c>
      <c r="C202" s="29" t="n">
        <v>3320175803.51</v>
      </c>
      <c r="D202" s="2"/>
      <c r="E202" s="2"/>
    </row>
    <row r="203" customFormat="false" ht="15" hidden="false" customHeight="false" outlineLevel="0" collapsed="false">
      <c r="B203" s="2" t="s">
        <v>347</v>
      </c>
      <c r="C203" s="29" t="n">
        <v>70310298420.88</v>
      </c>
      <c r="D203" s="2"/>
      <c r="E203" s="2"/>
    </row>
    <row r="204" customFormat="false" ht="15" hidden="false" customHeight="false" outlineLevel="0" collapsed="false">
      <c r="B204" s="2" t="s">
        <v>348</v>
      </c>
      <c r="C204" s="29" t="n">
        <v>36356305741.94</v>
      </c>
      <c r="D204" s="2"/>
      <c r="E204" s="2"/>
    </row>
    <row r="205" customFormat="false" ht="15" hidden="false" customHeight="false" outlineLevel="0" collapsed="false">
      <c r="B205" s="2" t="s">
        <v>349</v>
      </c>
      <c r="C205" s="29" t="n">
        <v>1410068521.98</v>
      </c>
      <c r="D205" s="2"/>
      <c r="E205" s="2"/>
    </row>
    <row r="206" customFormat="false" ht="15" hidden="false" customHeight="false" outlineLevel="0" collapsed="false">
      <c r="B206" s="2" t="s">
        <v>350</v>
      </c>
      <c r="C206" s="29" t="n">
        <v>2216003645.85</v>
      </c>
      <c r="D206" s="2"/>
      <c r="E206" s="2"/>
    </row>
    <row r="207" customFormat="false" ht="15" hidden="false" customHeight="false" outlineLevel="0" collapsed="false">
      <c r="B207" s="2" t="s">
        <v>351</v>
      </c>
      <c r="C207" s="29" t="n">
        <v>14898030035.79</v>
      </c>
      <c r="D207" s="2"/>
      <c r="E207" s="2"/>
    </row>
    <row r="208" customFormat="false" ht="15" hidden="false" customHeight="false" outlineLevel="0" collapsed="false">
      <c r="B208" s="48" t="s">
        <v>352</v>
      </c>
      <c r="C208" s="41"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29" t="n">
        <v>14654788589.44</v>
      </c>
      <c r="D211" s="2"/>
      <c r="E211" s="20" t="s">
        <v>356</v>
      </c>
    </row>
    <row r="212" customFormat="false" ht="15" hidden="false" customHeight="false" outlineLevel="0" collapsed="false">
      <c r="B212" s="2" t="s">
        <v>357</v>
      </c>
      <c r="C212" s="29" t="n">
        <v>2688842043.13</v>
      </c>
      <c r="D212" s="2"/>
      <c r="E212" s="2"/>
    </row>
    <row r="213" customFormat="false" ht="15" hidden="false" customHeight="false" outlineLevel="0" collapsed="false">
      <c r="B213" s="2" t="s">
        <v>358</v>
      </c>
      <c r="C213" s="29" t="n">
        <v>7406224850.59</v>
      </c>
      <c r="D213" s="2"/>
      <c r="E213" s="2"/>
    </row>
    <row r="214" customFormat="false" ht="15" hidden="false" customHeight="false" outlineLevel="0" collapsed="false">
      <c r="B214" s="2" t="s">
        <v>359</v>
      </c>
      <c r="C214" s="49" t="n">
        <f aca="false">C176/SUM(C211:C213)</f>
        <v>0.273418135135622</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2" t="n">
        <v>0.727366</v>
      </c>
      <c r="D217" s="2"/>
      <c r="E217" s="20" t="s">
        <v>363</v>
      </c>
    </row>
    <row r="218" customFormat="false" ht="15" hidden="false" customHeight="false" outlineLevel="0" collapsed="false">
      <c r="B218" s="2" t="s">
        <v>364</v>
      </c>
      <c r="C218" s="41" t="n">
        <f aca="false">C134*C217</f>
        <v>1190354496.47857</v>
      </c>
      <c r="D218" s="2"/>
      <c r="E218" s="20" t="s">
        <v>365</v>
      </c>
    </row>
    <row r="219" customFormat="false" ht="15" hidden="false" customHeight="false" outlineLevel="0" collapsed="false">
      <c r="B219" s="2" t="s">
        <v>366</v>
      </c>
      <c r="C219" s="41" t="n">
        <f aca="false">C143/4</f>
        <v>1806298514.89344</v>
      </c>
      <c r="D219" s="2"/>
      <c r="E219" s="20" t="s">
        <v>367</v>
      </c>
    </row>
    <row r="220" customFormat="false" ht="15" hidden="false" customHeight="false" outlineLevel="0" collapsed="false">
      <c r="B220" s="2" t="s">
        <v>368</v>
      </c>
      <c r="C220" s="41" t="n">
        <f aca="false">C218-C219</f>
        <v>-615944018.41487</v>
      </c>
      <c r="D220" s="2"/>
      <c r="E220" s="20" t="s">
        <v>369</v>
      </c>
    </row>
    <row r="221" customFormat="false" ht="15" hidden="false" customHeight="false" outlineLevel="0" collapsed="false">
      <c r="B221" s="2" t="s">
        <v>370</v>
      </c>
      <c r="C221" s="41" t="n">
        <f aca="false">'Resumen anual'!C33-MAX(0,C134-C219)+MAX(0,C218-C219)</f>
        <v>1576117703.59821</v>
      </c>
      <c r="D221" s="2"/>
      <c r="E221" s="20" t="s">
        <v>371</v>
      </c>
    </row>
    <row r="222" customFormat="false" ht="15" hidden="false" customHeight="false" outlineLevel="0" collapsed="false">
      <c r="B222" s="2" t="s">
        <v>372</v>
      </c>
      <c r="C222" s="41" t="n">
        <f aca="false">'Resumen anual'!C68</f>
        <v>1576117703.59821</v>
      </c>
      <c r="D222" s="2"/>
      <c r="E222" s="2"/>
    </row>
    <row r="223" customFormat="false" ht="15" hidden="false" customHeight="false" outlineLevel="0" collapsed="false">
      <c r="B223" s="2" t="s">
        <v>373</v>
      </c>
      <c r="C223" s="41"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29" t="n">
        <v>427806.54</v>
      </c>
      <c r="D226" s="2"/>
      <c r="E226" s="20" t="s">
        <v>379</v>
      </c>
    </row>
    <row r="227" customFormat="false" ht="15" hidden="false" customHeight="false" outlineLevel="0" collapsed="false">
      <c r="B227" s="2" t="s">
        <v>380</v>
      </c>
      <c r="C227" s="43" t="n">
        <v>0.20075</v>
      </c>
      <c r="D227" s="2"/>
      <c r="E227" s="20" t="s">
        <v>381</v>
      </c>
    </row>
    <row r="228" customFormat="false" ht="15" hidden="false" customHeight="false" outlineLevel="0" collapsed="false">
      <c r="B228" s="2" t="s">
        <v>382</v>
      </c>
      <c r="C228" s="41" t="n">
        <f aca="false">C225*C226*(1+C227)*13</f>
        <v>667795313.7765</v>
      </c>
      <c r="D228" s="2"/>
      <c r="E228" s="20" t="s">
        <v>383</v>
      </c>
    </row>
    <row r="230" customFormat="false" ht="15" hidden="false" customHeight="false" outlineLevel="0" collapsed="false">
      <c r="B230" s="2" t="s">
        <v>384</v>
      </c>
      <c r="C230" s="29" t="n">
        <v>313491221</v>
      </c>
      <c r="D230" s="2"/>
      <c r="E230" s="20" t="s">
        <v>385</v>
      </c>
    </row>
    <row r="231" customFormat="false" ht="15" hidden="false" customHeight="false" outlineLevel="0" collapsed="false">
      <c r="B231" s="2" t="s">
        <v>386</v>
      </c>
      <c r="C231" s="29" t="n">
        <v>137091891</v>
      </c>
      <c r="D231" s="2"/>
      <c r="E231" s="20" t="s">
        <v>387</v>
      </c>
    </row>
    <row r="232" customFormat="false" ht="15" hidden="false" customHeight="false" outlineLevel="0" collapsed="false">
      <c r="B232" s="2" t="s">
        <v>388</v>
      </c>
      <c r="C232" s="29" t="n">
        <v>39502616</v>
      </c>
      <c r="D232" s="2"/>
      <c r="E232" s="20" t="s">
        <v>389</v>
      </c>
    </row>
    <row r="233" customFormat="false" ht="15" hidden="false" customHeight="false" outlineLevel="0" collapsed="false">
      <c r="B233" s="2" t="s">
        <v>390</v>
      </c>
      <c r="C233" s="29" t="n">
        <v>0</v>
      </c>
      <c r="D233" s="2"/>
      <c r="E233" s="20" t="s">
        <v>391</v>
      </c>
    </row>
    <row r="234" customFormat="false" ht="15" hidden="false" customHeight="false" outlineLevel="0" collapsed="false">
      <c r="B234" s="2"/>
      <c r="C234" s="2"/>
      <c r="D234" s="2"/>
      <c r="E234" s="2"/>
    </row>
    <row r="235" customFormat="false" ht="15" hidden="false" customHeight="false" outlineLevel="0" collapsed="false">
      <c r="B235" s="2" t="s">
        <v>392</v>
      </c>
      <c r="C235" s="29" t="n">
        <v>8318978</v>
      </c>
      <c r="D235" s="2"/>
      <c r="E235" s="20" t="s">
        <v>393</v>
      </c>
    </row>
    <row r="236" customFormat="false" ht="15" hidden="false" customHeight="false" outlineLevel="0" collapsed="false">
      <c r="B236" s="50" t="s">
        <v>394</v>
      </c>
    </row>
    <row r="238" customFormat="false" ht="28.35" hidden="false" customHeight="false" outlineLevel="0" collapsed="false">
      <c r="B238" s="2" t="s">
        <v>395</v>
      </c>
      <c r="C238" s="29" t="n">
        <v>335000000</v>
      </c>
      <c r="D238" s="2"/>
      <c r="E238" s="20" t="s">
        <v>396</v>
      </c>
    </row>
    <row r="240" customFormat="false" ht="19.4" hidden="false" customHeight="false" outlineLevel="0" collapsed="false">
      <c r="B240" s="2" t="s">
        <v>397</v>
      </c>
      <c r="C240" s="29" t="n">
        <v>395416610</v>
      </c>
      <c r="D240" s="2"/>
      <c r="E240" s="20" t="s">
        <v>398</v>
      </c>
    </row>
    <row r="241" customFormat="false" ht="19.4" hidden="false" customHeight="false" outlineLevel="0" collapsed="false">
      <c r="B241" s="2" t="s">
        <v>399</v>
      </c>
      <c r="C241" s="41" t="n">
        <f aca="false">C243+C245+C247</f>
        <v>717052200</v>
      </c>
      <c r="D241" s="2"/>
      <c r="E241" s="20" t="s">
        <v>400</v>
      </c>
    </row>
    <row r="243" customFormat="false" ht="15" hidden="false" customHeight="false" outlineLevel="0" collapsed="false">
      <c r="B243" s="2" t="s">
        <v>401</v>
      </c>
      <c r="C243" s="29" t="n">
        <v>267777400</v>
      </c>
      <c r="D243" s="2"/>
      <c r="E243" s="20" t="s">
        <v>402</v>
      </c>
    </row>
    <row r="244" customFormat="false" ht="15" hidden="false" customHeight="false" outlineLevel="0" collapsed="false">
      <c r="B244" s="2" t="s">
        <v>403</v>
      </c>
      <c r="C244" s="29" t="n">
        <v>136118870</v>
      </c>
      <c r="D244" s="2"/>
      <c r="E244" s="20" t="s">
        <v>404</v>
      </c>
    </row>
    <row r="245" customFormat="false" ht="15" hidden="false" customHeight="false" outlineLevel="0" collapsed="false">
      <c r="B245" s="2" t="s">
        <v>405</v>
      </c>
      <c r="C245" s="29" t="n">
        <v>224637400</v>
      </c>
      <c r="D245" s="2"/>
      <c r="E245" s="20" t="s">
        <v>406</v>
      </c>
    </row>
    <row r="246" customFormat="false" ht="15" hidden="false" customHeight="false" outlineLevel="0" collapsed="false">
      <c r="B246" s="2" t="s">
        <v>407</v>
      </c>
      <c r="C246" s="29" t="n">
        <v>265767740</v>
      </c>
      <c r="D246" s="2"/>
      <c r="E246" s="20" t="s">
        <v>408</v>
      </c>
    </row>
    <row r="247" customFormat="false" ht="15" hidden="false" customHeight="false" outlineLevel="0" collapsed="false">
      <c r="B247" s="2" t="s">
        <v>409</v>
      </c>
      <c r="C247" s="29" t="n">
        <v>224637400</v>
      </c>
      <c r="D247" s="2"/>
      <c r="E247" s="20" t="s">
        <v>410</v>
      </c>
    </row>
    <row r="249" customFormat="false" ht="15" hidden="false" customHeight="false" outlineLevel="0" collapsed="false">
      <c r="B249" s="39" t="s">
        <v>411</v>
      </c>
      <c r="C249" s="40"/>
      <c r="D249" s="40"/>
      <c r="E249" s="40"/>
    </row>
    <row r="250" customFormat="false" ht="15" hidden="false" customHeight="false" outlineLevel="0" collapsed="false">
      <c r="B250" s="2" t="s">
        <v>412</v>
      </c>
      <c r="C250" s="29" t="n">
        <v>112987300000</v>
      </c>
      <c r="D250" s="2"/>
      <c r="E250" s="20" t="s">
        <v>413</v>
      </c>
    </row>
    <row r="251" customFormat="false" ht="15" hidden="false" customHeight="false" outlineLevel="0" collapsed="false">
      <c r="B251" s="2" t="s">
        <v>414</v>
      </c>
      <c r="C251" s="29" t="n">
        <v>83572600000</v>
      </c>
      <c r="D251" s="2"/>
      <c r="E251" s="20" t="s">
        <v>415</v>
      </c>
    </row>
    <row r="252" customFormat="false" ht="19.4" hidden="false" customHeight="false" outlineLevel="0" collapsed="false">
      <c r="B252" s="2" t="s">
        <v>416</v>
      </c>
      <c r="C252" s="51" t="n">
        <f aca="false">C251/C250</f>
        <v>0.739663661314148</v>
      </c>
      <c r="D252" s="2"/>
      <c r="E252" s="20" t="s">
        <v>417</v>
      </c>
    </row>
    <row r="253" customFormat="false" ht="15" hidden="false" customHeight="false" outlineLevel="0" collapsed="false">
      <c r="B253" s="2" t="s">
        <v>418</v>
      </c>
      <c r="C253" s="41" t="n">
        <f aca="false">MAX(0,C143*1/4-IF(C142=1,C138,C134))</f>
        <v>169770966.893438</v>
      </c>
      <c r="D253" s="2"/>
      <c r="E253" s="20" t="s">
        <v>419</v>
      </c>
    </row>
    <row r="254" customFormat="false" ht="15" hidden="false" customHeight="false" outlineLevel="0" collapsed="false">
      <c r="B254" s="2" t="s">
        <v>420</v>
      </c>
      <c r="C254" s="41" t="n">
        <f aca="false">MAX(0,C143*2/4-IF(C142=1,C139,C135))</f>
        <v>0</v>
      </c>
      <c r="D254" s="2"/>
      <c r="E254" s="20" t="s">
        <v>421</v>
      </c>
    </row>
    <row r="255" customFormat="false" ht="15" hidden="false" customHeight="false" outlineLevel="0" collapsed="false">
      <c r="B255" s="2" t="s">
        <v>422</v>
      </c>
      <c r="C255" s="41" t="n">
        <f aca="false">MAX(0,C143*3/4-IF(C142=1,C140,C136))</f>
        <v>0</v>
      </c>
      <c r="D255" s="2"/>
      <c r="E255" s="20" t="s">
        <v>423</v>
      </c>
    </row>
    <row r="256" customFormat="false" ht="15" hidden="false" customHeight="false" outlineLevel="0" collapsed="false">
      <c r="B256" s="2" t="s">
        <v>424</v>
      </c>
      <c r="C256" s="41" t="n">
        <f aca="false">MAX(0,C143-IF(C142=1,C141,C137))</f>
        <v>1241967586.57375</v>
      </c>
      <c r="D256" s="2"/>
      <c r="E256" s="20" t="s">
        <v>425</v>
      </c>
    </row>
    <row r="257" customFormat="false" ht="15" hidden="false" customHeight="false" outlineLevel="0" collapsed="false">
      <c r="B257" s="2" t="s">
        <v>426</v>
      </c>
      <c r="C257" s="46" t="n">
        <f aca="false">C256/C128</f>
        <v>0.014222262250218</v>
      </c>
      <c r="D257" s="2"/>
      <c r="E257" s="20" t="s">
        <v>427</v>
      </c>
    </row>
    <row r="259" customFormat="false" ht="15" hidden="false" customHeight="false" outlineLevel="0" collapsed="false">
      <c r="B259" s="39" t="s">
        <v>428</v>
      </c>
      <c r="C259" s="40"/>
      <c r="D259" s="40"/>
      <c r="E259" s="40"/>
    </row>
    <row r="260" customFormat="false" ht="19.4" hidden="false" customHeight="false" outlineLevel="0" collapsed="false">
      <c r="B260" s="2" t="s">
        <v>429</v>
      </c>
      <c r="C260" s="29" t="n">
        <v>23536080</v>
      </c>
      <c r="D260" s="2"/>
      <c r="E260" s="20" t="s">
        <v>430</v>
      </c>
    </row>
    <row r="261" customFormat="false" ht="19.4" hidden="false" customHeight="false" outlineLevel="0" collapsed="false">
      <c r="B261" s="2" t="s">
        <v>431</v>
      </c>
      <c r="C261" s="29" t="n">
        <v>354000000</v>
      </c>
      <c r="D261" s="2"/>
      <c r="E261" s="20" t="s">
        <v>432</v>
      </c>
    </row>
    <row r="262" customFormat="false" ht="15" hidden="false" customHeight="false" outlineLevel="0" collapsed="false">
      <c r="B262" s="2" t="s">
        <v>433</v>
      </c>
      <c r="C262" s="29" t="n">
        <v>31700000</v>
      </c>
      <c r="D262" s="2"/>
      <c r="E262" s="20" t="s">
        <v>434</v>
      </c>
    </row>
    <row r="263" customFormat="false" ht="19.4" hidden="false" customHeight="false" outlineLevel="0" collapsed="false">
      <c r="B263" s="2" t="s">
        <v>435</v>
      </c>
      <c r="C263" s="29" t="n">
        <v>791000000</v>
      </c>
      <c r="D263" s="2"/>
      <c r="E263" s="20" t="s">
        <v>436</v>
      </c>
    </row>
    <row r="264" customFormat="false" ht="15" hidden="false" customHeight="false" outlineLevel="0" collapsed="false">
      <c r="B264" s="2" t="s">
        <v>437</v>
      </c>
      <c r="C264" s="29" t="n">
        <v>454000000</v>
      </c>
      <c r="D264" s="2"/>
      <c r="E264" s="20" t="s">
        <v>438</v>
      </c>
    </row>
    <row r="265" customFormat="false" ht="15" hidden="false" customHeight="false" outlineLevel="0" collapsed="false">
      <c r="B265" s="2" t="s">
        <v>439</v>
      </c>
      <c r="C265" s="42" t="n">
        <v>0.37</v>
      </c>
      <c r="D265" s="2"/>
      <c r="E265" s="20" t="s">
        <v>440</v>
      </c>
    </row>
    <row r="266" customFormat="false" ht="19.4" hidden="false" customHeight="false" outlineLevel="0" collapsed="false">
      <c r="B266" s="2" t="s">
        <v>441</v>
      </c>
      <c r="C266" s="29" t="n">
        <v>201350</v>
      </c>
      <c r="D266" s="2"/>
      <c r="E266" s="20" t="s">
        <v>442</v>
      </c>
    </row>
    <row r="268" customFormat="false" ht="15" hidden="false" customHeight="false" outlineLevel="0" collapsed="false">
      <c r="B268" s="39" t="s">
        <v>443</v>
      </c>
      <c r="C268" s="40"/>
      <c r="D268" s="40"/>
      <c r="E268" s="40"/>
    </row>
    <row r="269" customFormat="false" ht="19.4" hidden="false" customHeight="false" outlineLevel="0" collapsed="false">
      <c r="B269" s="2" t="s">
        <v>444</v>
      </c>
      <c r="C269" s="29" t="n">
        <v>323000000</v>
      </c>
      <c r="D269" s="2"/>
      <c r="E269" s="20" t="s">
        <v>445</v>
      </c>
    </row>
    <row r="270" customFormat="false" ht="15" hidden="false" customHeight="false" outlineLevel="0" collapsed="false">
      <c r="B270" s="2" t="s">
        <v>446</v>
      </c>
      <c r="C270" s="46" t="n">
        <f aca="false">C269/C128</f>
        <v>0.00369880080324273</v>
      </c>
      <c r="D270" s="2"/>
      <c r="E270" s="20" t="s">
        <v>447</v>
      </c>
    </row>
    <row r="271" customFormat="false" ht="19.4" hidden="false" customHeight="false" outlineLevel="0" collapsed="false">
      <c r="B271" s="2" t="s">
        <v>448</v>
      </c>
      <c r="C271" s="29" t="n">
        <v>108280000</v>
      </c>
      <c r="D271" s="2"/>
      <c r="E271" s="20" t="s">
        <v>449</v>
      </c>
    </row>
    <row r="272" customFormat="false" ht="15" hidden="false" customHeight="false" outlineLevel="0" collapsed="false">
      <c r="B272" s="2" t="s">
        <v>450</v>
      </c>
      <c r="C272" s="29" t="n">
        <v>93760000</v>
      </c>
      <c r="D272" s="2"/>
      <c r="E272" s="20" t="s">
        <v>451</v>
      </c>
    </row>
    <row r="273" customFormat="false" ht="19.4" hidden="false" customHeight="false" outlineLevel="0" collapsed="false">
      <c r="B273" s="2" t="s">
        <v>452</v>
      </c>
      <c r="C273" s="29" t="n">
        <v>5900000</v>
      </c>
      <c r="D273" s="2"/>
      <c r="E273" s="20" t="s">
        <v>453</v>
      </c>
    </row>
    <row r="274" customFormat="false" ht="15" hidden="false" customHeight="false" outlineLevel="0" collapsed="false">
      <c r="B274" s="39" t="s">
        <v>454</v>
      </c>
      <c r="C274" s="40"/>
      <c r="D274" s="40"/>
      <c r="E274" s="40"/>
    </row>
    <row r="275" customFormat="false" ht="15" hidden="false" customHeight="false" outlineLevel="0" collapsed="false">
      <c r="B275" s="2" t="s">
        <v>455</v>
      </c>
      <c r="C275" s="29" t="n">
        <v>3818583182</v>
      </c>
      <c r="D275" s="2"/>
      <c r="E275" s="20" t="s">
        <v>456</v>
      </c>
    </row>
    <row r="276" customFormat="false" ht="15" hidden="false" customHeight="false" outlineLevel="0" collapsed="false">
      <c r="B276" s="2" t="s">
        <v>457</v>
      </c>
      <c r="C276" s="29" t="n">
        <v>4420261601</v>
      </c>
      <c r="D276" s="2"/>
      <c r="E276" s="20" t="s">
        <v>458</v>
      </c>
    </row>
    <row r="277" customFormat="false" ht="15" hidden="false" customHeight="false" outlineLevel="0" collapsed="false">
      <c r="B277" s="2" t="s">
        <v>459</v>
      </c>
      <c r="C277" s="29" t="n">
        <v>7199058415</v>
      </c>
      <c r="D277" s="2"/>
      <c r="E277" s="20" t="s">
        <v>460</v>
      </c>
    </row>
    <row r="278" customFormat="false" ht="15" hidden="false" customHeight="false" outlineLevel="0" collapsed="false">
      <c r="B278" s="2" t="s">
        <v>461</v>
      </c>
      <c r="C278" s="41" t="n">
        <f aca="false">C277-C276</f>
        <v>2778796814</v>
      </c>
      <c r="D278" s="2"/>
      <c r="E278" s="20" t="s">
        <v>462</v>
      </c>
    </row>
    <row r="280" customFormat="false" ht="15" hidden="false" customHeight="false" outlineLevel="0" collapsed="false">
      <c r="B280" s="39" t="s">
        <v>463</v>
      </c>
      <c r="C280" s="40"/>
      <c r="D280" s="40"/>
      <c r="E280" s="40"/>
    </row>
    <row r="281" customFormat="false" ht="37.3" hidden="false" customHeight="false" outlineLevel="0" collapsed="false">
      <c r="B281" s="2" t="s">
        <v>464</v>
      </c>
      <c r="C281" s="29" t="n">
        <v>326000000</v>
      </c>
      <c r="D281" s="2"/>
      <c r="E281" s="20" t="s">
        <v>465</v>
      </c>
    </row>
    <row r="282" customFormat="false" ht="19.4" hidden="false" customHeight="false" outlineLevel="0" collapsed="false">
      <c r="B282" s="2" t="s">
        <v>466</v>
      </c>
      <c r="C282" s="29" t="n">
        <v>138800000</v>
      </c>
      <c r="D282" s="2"/>
      <c r="E282" s="20" t="s">
        <v>467</v>
      </c>
    </row>
    <row r="283" customFormat="false" ht="15" hidden="false" customHeight="false" outlineLevel="0" collapsed="false">
      <c r="B283" s="2" t="s">
        <v>468</v>
      </c>
      <c r="C283" s="29" t="n">
        <v>464800000</v>
      </c>
      <c r="D283" s="2"/>
      <c r="E283" s="20"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470</v>
      </c>
    </row>
    <row r="3" customFormat="false" ht="15" hidden="false" customHeight="true" outlineLevel="0" collapsed="false">
      <c r="B3" s="4" t="s">
        <v>471</v>
      </c>
    </row>
    <row r="5" customFormat="false" ht="15" hidden="false" customHeight="true" outlineLevel="0" collapsed="false">
      <c r="B5" s="52" t="s">
        <v>472</v>
      </c>
      <c r="C5" s="52" t="s">
        <v>473</v>
      </c>
      <c r="D5" s="52" t="s">
        <v>474</v>
      </c>
      <c r="E5" s="52" t="s">
        <v>475</v>
      </c>
      <c r="F5" s="52" t="s">
        <v>476</v>
      </c>
      <c r="G5" s="52" t="s">
        <v>477</v>
      </c>
      <c r="H5" s="52" t="s">
        <v>478</v>
      </c>
      <c r="I5" s="52" t="s">
        <v>479</v>
      </c>
      <c r="J5" s="52" t="s">
        <v>480</v>
      </c>
      <c r="K5" s="52" t="s">
        <v>481</v>
      </c>
      <c r="L5" s="52" t="s">
        <v>482</v>
      </c>
      <c r="M5" s="52" t="s">
        <v>483</v>
      </c>
      <c r="N5" s="52" t="s">
        <v>484</v>
      </c>
      <c r="O5" s="52" t="s">
        <v>485</v>
      </c>
      <c r="P5" s="52" t="s">
        <v>486</v>
      </c>
    </row>
    <row r="6" customFormat="false" ht="15" hidden="false" customHeight="true" outlineLevel="0" collapsed="false">
      <c r="B6" s="9" t="s">
        <v>487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488</v>
      </c>
    </row>
    <row r="7" customFormat="false" ht="15" hidden="false" customHeight="true" outlineLevel="0" collapsed="false">
      <c r="B7" s="9" t="s">
        <v>489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490</v>
      </c>
    </row>
    <row r="8" customFormat="false" ht="15" hidden="false" customHeight="true" outlineLevel="0" collapsed="false">
      <c r="B8" s="9" t="s">
        <v>491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492</v>
      </c>
    </row>
    <row r="9" customFormat="false" ht="15" hidden="false" customHeight="true" outlineLevel="0" collapsed="false">
      <c r="B9" s="9" t="s">
        <v>493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494</v>
      </c>
    </row>
    <row r="10" customFormat="false" ht="15" hidden="false" customHeight="true" outlineLevel="0" collapsed="false">
      <c r="B10" s="9" t="s">
        <v>495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496</v>
      </c>
    </row>
    <row r="11" customFormat="false" ht="15" hidden="false" customHeight="true" outlineLevel="0" collapsed="false">
      <c r="B11" s="9" t="s">
        <v>497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498</v>
      </c>
    </row>
    <row r="12" customFormat="false" ht="15" hidden="false" customHeight="true" outlineLevel="0" collapsed="false">
      <c r="B12" s="9" t="s">
        <v>499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500</v>
      </c>
    </row>
    <row r="13" customFormat="false" ht="15" hidden="false" customHeight="true" outlineLevel="0" collapsed="false">
      <c r="B13" s="9" t="s">
        <v>501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502</v>
      </c>
    </row>
    <row r="14" customFormat="false" ht="15" hidden="false" customHeight="true" outlineLevel="0" collapsed="false">
      <c r="B14" s="9" t="s">
        <v>503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504</v>
      </c>
    </row>
    <row r="15" customFormat="false" ht="15" hidden="false" customHeight="true" outlineLevel="0" collapsed="false">
      <c r="B15" s="9" t="s">
        <v>505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507</v>
      </c>
    </row>
    <row r="3" customFormat="false" ht="15" hidden="false" customHeight="true" outlineLevel="0" collapsed="false">
      <c r="B3" s="4" t="s">
        <v>508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A7" s="2"/>
      <c r="B7" s="57" t="s">
        <v>519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520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521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522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523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524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525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526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493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527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528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529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530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531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532</v>
      </c>
    </row>
    <row r="3" customFormat="false" ht="15" hidden="false" customHeight="true" outlineLevel="0" collapsed="false">
      <c r="B3" s="4" t="s">
        <v>533</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534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536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537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538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539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540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541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542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543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544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545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546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547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548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549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550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2999459127.6131</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551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553</v>
      </c>
    </row>
    <row r="3" customFormat="false" ht="15" hidden="false" customHeight="true" outlineLevel="0" collapsed="false">
      <c r="B3" s="4" t="s">
        <v>554</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555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556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557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558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559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560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561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562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563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564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565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566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567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568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569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570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571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572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573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574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575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576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577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578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579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580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581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582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583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584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585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586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587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588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589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590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591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592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593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594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595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596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597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598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599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600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601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602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603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604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605</v>
      </c>
    </row>
    <row r="66" customFormat="false" ht="24" hidden="false" customHeight="true" outlineLevel="0" collapsed="false">
      <c r="B66" s="21" t="s">
        <v>606</v>
      </c>
    </row>
    <row r="67" customFormat="false" ht="24" hidden="false" customHeight="true" outlineLevel="0" collapsed="false">
      <c r="B67" s="21" t="s">
        <v>607</v>
      </c>
    </row>
    <row r="68" customFormat="false" ht="24" hidden="false" customHeight="true" outlineLevel="0" collapsed="false">
      <c r="B68" s="21" t="s">
        <v>608</v>
      </c>
    </row>
    <row r="70" customFormat="false" ht="24" hidden="false" customHeight="true" outlineLevel="0" collapsed="false">
      <c r="B70" s="21" t="s">
        <v>609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610</v>
      </c>
    </row>
    <row r="3" customFormat="false" ht="15" hidden="false" customHeight="true" outlineLevel="0" collapsed="false">
      <c r="B3" s="4" t="s">
        <v>611</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612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613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142132216.947047</v>
      </c>
      <c r="D23" s="58" t="n">
        <f aca="false">(Supuestos!$C$205)*(1+Supuestos!$C$36)^3*Estacionalidad!D$13+Programas!D$10</f>
        <v>143542285.469027</v>
      </c>
      <c r="E23" s="58" t="n">
        <f aca="false">(Supuestos!$C$205)*(1+Supuestos!$C$36)^3*Estacionalidad!E$13+Programas!E$10</f>
        <v>146362422.512987</v>
      </c>
      <c r="F23" s="58" t="n">
        <f aca="false">(Supuestos!$C$205)*(1+Supuestos!$C$36)^3*Estacionalidad!F$13+Programas!F$10</f>
        <v>146362422.512987</v>
      </c>
      <c r="G23" s="58" t="n">
        <f aca="false">(Supuestos!$C$205)*(1+Supuestos!$C$36)^3*Estacionalidad!G$13+Programas!G$10</f>
        <v>146362422.512987</v>
      </c>
      <c r="H23" s="58" t="n">
        <f aca="false">(Supuestos!$C$205)*(1+Supuestos!$C$36)^3*Estacionalidad!H$13+Programas!H$10</f>
        <v>146362422.512987</v>
      </c>
      <c r="I23" s="58" t="n">
        <f aca="false">(Supuestos!$C$205)*(1+Supuestos!$C$36)^3*Estacionalidad!I$13+Programas!I$10</f>
        <v>146362422.512987</v>
      </c>
      <c r="J23" s="58" t="n">
        <f aca="false">(Supuestos!$C$205)*(1+Supuestos!$C$36)^3*Estacionalidad!J$13+Programas!J$10</f>
        <v>146362422.512987</v>
      </c>
      <c r="K23" s="58" t="n">
        <f aca="false">(Supuestos!$C$205)*(1+Supuestos!$C$36)^3*Estacionalidad!K$13+Programas!K$10</f>
        <v>146362422.512987</v>
      </c>
      <c r="L23" s="58" t="n">
        <f aca="false">(Supuestos!$C$205)*(1+Supuestos!$C$36)^3*Estacionalidad!L$13+Programas!L$10</f>
        <v>146362422.512987</v>
      </c>
      <c r="M23" s="58" t="n">
        <f aca="false">(Supuestos!$C$205)*(1+Supuestos!$C$36)^3*Estacionalidad!M$13+Programas!M$10</f>
        <v>146362422.512987</v>
      </c>
      <c r="N23" s="58" t="n">
        <f aca="false">(Supuestos!$C$205)*(1+Supuestos!$C$36)^3*Estacionalidad!N$13+Programas!N$10</f>
        <v>142132216.947047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614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615</v>
      </c>
      <c r="C26" s="58" t="n">
        <f aca="false">Programas!C$13</f>
        <v>3875000</v>
      </c>
      <c r="D26" s="58" t="n">
        <f aca="false">Programas!D$13</f>
        <v>3875000</v>
      </c>
      <c r="E26" s="58" t="n">
        <f aca="false">Programas!E$13</f>
        <v>3875000</v>
      </c>
      <c r="F26" s="58" t="n">
        <f aca="false">Programas!F$13</f>
        <v>3875000</v>
      </c>
      <c r="G26" s="58" t="n">
        <f aca="false">Programas!G$13</f>
        <v>3875000</v>
      </c>
      <c r="H26" s="58" t="n">
        <f aca="false">Programas!H$13</f>
        <v>3875000</v>
      </c>
      <c r="I26" s="58" t="n">
        <f aca="false">Programas!I$13</f>
        <v>3875000</v>
      </c>
      <c r="J26" s="58" t="n">
        <f aca="false">Programas!J$13</f>
        <v>3875000</v>
      </c>
      <c r="K26" s="58" t="n">
        <f aca="false">Programas!K$13</f>
        <v>17916666.6666667</v>
      </c>
      <c r="L26" s="58" t="n">
        <f aca="false">Programas!L$13</f>
        <v>17916666.6666667</v>
      </c>
      <c r="M26" s="58" t="n">
        <f aca="false">Programas!M$13</f>
        <v>17916666.6666667</v>
      </c>
      <c r="N26" s="58" t="n">
        <f aca="false">Programas!N$13</f>
        <v>17916666.6666667</v>
      </c>
      <c r="O26" s="58" t="n">
        <f aca="false">Programas!O$13</f>
        <v>14041666.6666667</v>
      </c>
      <c r="P26" s="58" t="n">
        <f aca="false">Programas!P$13</f>
        <v>14041666.6666667</v>
      </c>
      <c r="Q26" s="58" t="n">
        <f aca="false">Programas!Q$13</f>
        <v>14041666.6666667</v>
      </c>
      <c r="R26" s="58" t="n">
        <f aca="false">Programas!R$13</f>
        <v>14041666.6666667</v>
      </c>
      <c r="S26" s="58" t="n">
        <f aca="false">Programas!S$13</f>
        <v>14041666.6666667</v>
      </c>
      <c r="T26" s="58" t="n">
        <f aca="false">Programas!T$13</f>
        <v>14041666.6666667</v>
      </c>
      <c r="U26" s="58" t="n">
        <f aca="false">Programas!U$13</f>
        <v>14041666.6666667</v>
      </c>
      <c r="V26" s="58" t="n">
        <f aca="false">Programas!V$13</f>
        <v>14041666.6666667</v>
      </c>
      <c r="W26" s="58" t="n">
        <f aca="false">Programas!W$13</f>
        <v>14041666.6666667</v>
      </c>
      <c r="X26" s="58" t="n">
        <f aca="false">Programas!X$13</f>
        <v>14041666.6666667</v>
      </c>
      <c r="Y26" s="58" t="n">
        <f aca="false">Programas!Y$13</f>
        <v>14041666.6666667</v>
      </c>
      <c r="Z26" s="58" t="n">
        <f aca="false">Programas!Z$13</f>
        <v>14041666.6666667</v>
      </c>
      <c r="AA26" s="58" t="n">
        <f aca="false">Programas!AA$13</f>
        <v>14041666.6666667</v>
      </c>
      <c r="AB26" s="58" t="n">
        <f aca="false">Programas!AB$13</f>
        <v>14041666.6666667</v>
      </c>
      <c r="AC26" s="58" t="n">
        <f aca="false">Programas!AC$13</f>
        <v>14041666.6666667</v>
      </c>
      <c r="AD26" s="58" t="n">
        <f aca="false">Programas!AD$13</f>
        <v>14041666.6666667</v>
      </c>
      <c r="AE26" s="58" t="n">
        <f aca="false">Programas!AE$13</f>
        <v>14041666.6666667</v>
      </c>
      <c r="AF26" s="58" t="n">
        <f aca="false">Programas!AF$13</f>
        <v>14041666.6666667</v>
      </c>
      <c r="AG26" s="58" t="n">
        <f aca="false">Programas!AG$13</f>
        <v>14041666.6666667</v>
      </c>
      <c r="AH26" s="58" t="n">
        <f aca="false">Programas!AH$13</f>
        <v>14041666.6666667</v>
      </c>
      <c r="AI26" s="58" t="n">
        <f aca="false">Programas!AI$13</f>
        <v>14041666.6666667</v>
      </c>
      <c r="AJ26" s="58" t="n">
        <f aca="false">Programas!AJ$13</f>
        <v>14041666.6666667</v>
      </c>
      <c r="AK26" s="58" t="n">
        <f aca="false">Programas!AK$13</f>
        <v>14041666.6666667</v>
      </c>
      <c r="AL26" s="58" t="n">
        <f aca="false">Programas!AL$13</f>
        <v>14041666.6666667</v>
      </c>
      <c r="AM26" s="58" t="n">
        <f aca="false">Programas!AM$13</f>
        <v>14041666.6666667</v>
      </c>
      <c r="AN26" s="58" t="n">
        <f aca="false">Programas!AN$13</f>
        <v>14041666.6666667</v>
      </c>
      <c r="AO26" s="58" t="n">
        <f aca="false">Programas!AO$13</f>
        <v>14041666.6666667</v>
      </c>
      <c r="AP26" s="58" t="n">
        <f aca="false">Programas!AP$13</f>
        <v>14041666.6666667</v>
      </c>
      <c r="AQ26" s="58" t="n">
        <f aca="false">Programas!AQ$13</f>
        <v>14041666.6666667</v>
      </c>
      <c r="AR26" s="58" t="n">
        <f aca="false">Programas!AR$13</f>
        <v>14041666.6666667</v>
      </c>
      <c r="AS26" s="58" t="n">
        <f aca="false">Programas!AS$13</f>
        <v>14041666.6666667</v>
      </c>
      <c r="AT26" s="58" t="n">
        <f aca="false">Programas!AT$13</f>
        <v>14041666.6666667</v>
      </c>
      <c r="AU26" s="58" t="n">
        <f aca="false">Programas!AU$13</f>
        <v>14041666.6666667</v>
      </c>
      <c r="AV26" s="58" t="n">
        <f aca="false">Programas!AV$13</f>
        <v>14041666.6666667</v>
      </c>
      <c r="AW26" s="58" t="n">
        <f aca="false">Programas!AW$13</f>
        <v>14041666.6666667</v>
      </c>
      <c r="AX26" s="58" t="n">
        <f aca="false">Programas!AX$13</f>
        <v>14041666.6666667</v>
      </c>
      <c r="AY26" s="58" t="n">
        <f aca="false">Programas!AY$13</f>
        <v>14041666.6666667</v>
      </c>
      <c r="AZ26" s="58" t="n">
        <f aca="false">Programas!AZ$13</f>
        <v>14041666.6666667</v>
      </c>
      <c r="BA26" s="58" t="n">
        <f aca="false">Programas!BA$13</f>
        <v>14041666.6666667</v>
      </c>
      <c r="BB26" s="58" t="n">
        <f aca="false">Programas!BB$13</f>
        <v>14041666.6666667</v>
      </c>
      <c r="BC26" s="58" t="n">
        <f aca="false">Programas!BC$13</f>
        <v>14041666.6666667</v>
      </c>
      <c r="BD26" s="58" t="n">
        <f aca="false">Programas!BD$13</f>
        <v>14041666.6666667</v>
      </c>
      <c r="BE26" s="58" t="n">
        <f aca="false">Programas!BE$13</f>
        <v>14041666.6666667</v>
      </c>
      <c r="BF26" s="58" t="n">
        <f aca="false">Programas!BF$13</f>
        <v>14041666.6666667</v>
      </c>
      <c r="BG26" s="58" t="n">
        <f aca="false">Programas!BG$13</f>
        <v>14041666.6666667</v>
      </c>
      <c r="BH26" s="58" t="n">
        <f aca="false">Programas!BH$13</f>
        <v>14041666.6666667</v>
      </c>
      <c r="BI26" s="58" t="n">
        <f aca="false">Programas!BI$13</f>
        <v>14041666.6666667</v>
      </c>
      <c r="BJ26" s="58" t="n">
        <f aca="false">Programas!BJ$13</f>
        <v>14041666.6666667</v>
      </c>
      <c r="BK26" s="58" t="n">
        <f aca="false">Programas!BK$13</f>
        <v>14041666.6666667</v>
      </c>
      <c r="BL26" s="58" t="n">
        <f aca="false">Programas!BL$13</f>
        <v>14041666.6666667</v>
      </c>
      <c r="BM26" s="58" t="n">
        <f aca="false">Programas!BM$13</f>
        <v>14041666.6666667</v>
      </c>
      <c r="BN26" s="58" t="n">
        <f aca="false">Programas!BN$13</f>
        <v>14041666.6666667</v>
      </c>
      <c r="BO26" s="58" t="n">
        <f aca="false">Programas!BO$13</f>
        <v>14041666.6666667</v>
      </c>
      <c r="BP26" s="58" t="n">
        <f aca="false">Programas!BP$13</f>
        <v>14041666.6666667</v>
      </c>
      <c r="BQ26" s="58" t="n">
        <f aca="false">Programas!BQ$13</f>
        <v>14041666.6666667</v>
      </c>
      <c r="BR26" s="58" t="n">
        <f aca="false">Programas!BR$13</f>
        <v>14041666.6666667</v>
      </c>
      <c r="BS26" s="58" t="n">
        <f aca="false">Programas!BS$13</f>
        <v>14041666.6666667</v>
      </c>
      <c r="BT26" s="58" t="n">
        <f aca="false">Programas!BT$13</f>
        <v>14041666.6666667</v>
      </c>
      <c r="BU26" s="58" t="n">
        <f aca="false">Programas!BU$13</f>
        <v>14041666.6666667</v>
      </c>
      <c r="BV26" s="58" t="n">
        <f aca="false">Programas!BV$13</f>
        <v>14041666.6666667</v>
      </c>
      <c r="BW26" s="58" t="n">
        <f aca="false">Programas!BW$13</f>
        <v>14041666.6666667</v>
      </c>
      <c r="BX26" s="58" t="n">
        <f aca="false">Programas!BX$13</f>
        <v>14041666.6666667</v>
      </c>
      <c r="BY26" s="58" t="n">
        <f aca="false">Programas!BY$13</f>
        <v>14041666.6666667</v>
      </c>
      <c r="BZ26" s="58" t="n">
        <f aca="false">Programas!BZ$13</f>
        <v>14041666.6666667</v>
      </c>
      <c r="CA26" s="58" t="n">
        <f aca="false">Programas!CA$13</f>
        <v>14041666.6666667</v>
      </c>
      <c r="CB26" s="58" t="n">
        <f aca="false">Programas!CB$13</f>
        <v>14041666.6666667</v>
      </c>
      <c r="CC26" s="58" t="n">
        <f aca="false">Programas!CC$13</f>
        <v>14041666.6666667</v>
      </c>
      <c r="CD26" s="58" t="n">
        <f aca="false">Programas!CD$13</f>
        <v>14041666.6666667</v>
      </c>
      <c r="CE26" s="58" t="n">
        <f aca="false">Programas!CE$13</f>
        <v>14041666.6666667</v>
      </c>
      <c r="CF26" s="58" t="n">
        <f aca="false">Programas!CF$13</f>
        <v>14041666.6666667</v>
      </c>
      <c r="CG26" s="58" t="n">
        <f aca="false">Programas!CG$13</f>
        <v>14041666.6666667</v>
      </c>
      <c r="CH26" s="58" t="n">
        <f aca="false">Programas!CH$13</f>
        <v>14041666.6666667</v>
      </c>
      <c r="CI26" s="58" t="n">
        <f aca="false">Programas!CI$13</f>
        <v>14041666.6666667</v>
      </c>
      <c r="CJ26" s="58" t="n">
        <f aca="false">Programas!CJ$13</f>
        <v>14041666.6666667</v>
      </c>
      <c r="CK26" s="58" t="n">
        <f aca="false">Programas!CK$13</f>
        <v>14041666.6666667</v>
      </c>
      <c r="CL26" s="58" t="n">
        <f aca="false">Programas!CL$13</f>
        <v>14041666.6666667</v>
      </c>
      <c r="CM26" s="58" t="n">
        <f aca="false">Programas!CM$13</f>
        <v>14041666.6666667</v>
      </c>
      <c r="CN26" s="58" t="n">
        <f aca="false">Programas!CN$13</f>
        <v>14041666.6666667</v>
      </c>
      <c r="CO26" s="58" t="n">
        <f aca="false">Programas!CO$13</f>
        <v>14041666.6666667</v>
      </c>
      <c r="CP26" s="58" t="n">
        <f aca="false">Programas!CP$13</f>
        <v>14041666.6666667</v>
      </c>
      <c r="CQ26" s="58" t="n">
        <f aca="false">Programas!CQ$13</f>
        <v>14041666.6666667</v>
      </c>
      <c r="CR26" s="58" t="n">
        <f aca="false">Programas!CR$13</f>
        <v>14041666.6666667</v>
      </c>
      <c r="CS26" s="58" t="n">
        <f aca="false">Programas!CS$13</f>
        <v>14041666.6666667</v>
      </c>
      <c r="CT26" s="58" t="n">
        <f aca="false">Programas!CT$13</f>
        <v>14041666.6666667</v>
      </c>
    </row>
    <row r="27" customFormat="false" ht="15" hidden="false" customHeight="false" outlineLevel="0" collapsed="false">
      <c r="A27" s="2"/>
      <c r="B27" s="2" t="s">
        <v>616</v>
      </c>
      <c r="C27" s="72" t="n">
        <f aca="false">Programas!C$16</f>
        <v>-108031670.763335</v>
      </c>
      <c r="D27" s="72" t="n">
        <f aca="false">Programas!D$16</f>
        <v>-108031670.763335</v>
      </c>
      <c r="E27" s="72" t="n">
        <f aca="false">Programas!E$16</f>
        <v>-108031670.763335</v>
      </c>
      <c r="F27" s="72" t="n">
        <f aca="false">Programas!F$16</f>
        <v>-108031670.763335</v>
      </c>
      <c r="G27" s="72" t="n">
        <f aca="false">Programas!G$16</f>
        <v>-108031670.763335</v>
      </c>
      <c r="H27" s="72" t="n">
        <f aca="false">Programas!H$16</f>
        <v>-108031670.763335</v>
      </c>
      <c r="I27" s="72" t="n">
        <f aca="false">Programas!I$16</f>
        <v>-108031670.763335</v>
      </c>
      <c r="J27" s="72" t="n">
        <f aca="false">Programas!J$16</f>
        <v>-108031670.763335</v>
      </c>
      <c r="K27" s="72" t="n">
        <f aca="false">Programas!K$16</f>
        <v>-122073337.430002</v>
      </c>
      <c r="L27" s="72" t="n">
        <f aca="false">Programas!L$16</f>
        <v>-122073337.430002</v>
      </c>
      <c r="M27" s="72" t="n">
        <f aca="false">Programas!M$16</f>
        <v>-122073337.430002</v>
      </c>
      <c r="N27" s="72" t="n">
        <f aca="false">Programas!N$16</f>
        <v>-294073337.430002</v>
      </c>
      <c r="O27" s="72" t="n">
        <f aca="false">Programas!O$16</f>
        <v>-340402638.738571</v>
      </c>
      <c r="P27" s="72" t="n">
        <f aca="false">Programas!P$16</f>
        <v>-352397636.415939</v>
      </c>
      <c r="Q27" s="72" t="n">
        <f aca="false">Programas!Q$16</f>
        <v>-364392634.093306</v>
      </c>
      <c r="R27" s="72" t="n">
        <f aca="false">Programas!R$16</f>
        <v>-376387631.770673</v>
      </c>
      <c r="S27" s="72" t="n">
        <f aca="false">Programas!S$16</f>
        <v>-388382629.44804</v>
      </c>
      <c r="T27" s="72" t="n">
        <f aca="false">Programas!T$16</f>
        <v>-400377627.125407</v>
      </c>
      <c r="U27" s="72" t="n">
        <f aca="false">Programas!U$16</f>
        <v>-412372624.802775</v>
      </c>
      <c r="V27" s="72" t="n">
        <f aca="false">Programas!V$16</f>
        <v>-424367622.480142</v>
      </c>
      <c r="W27" s="72" t="n">
        <f aca="false">Programas!W$16</f>
        <v>-436362620.157509</v>
      </c>
      <c r="X27" s="72" t="n">
        <f aca="false">Programas!X$16</f>
        <v>-448357617.834876</v>
      </c>
      <c r="Y27" s="72" t="n">
        <f aca="false">Programas!Y$16</f>
        <v>-460352615.512243</v>
      </c>
      <c r="Z27" s="72" t="n">
        <f aca="false">Programas!Z$16</f>
        <v>-472347613.18961</v>
      </c>
      <c r="AA27" s="72" t="n">
        <f aca="false">Programas!AA$16</f>
        <v>-431976636.47244</v>
      </c>
      <c r="AB27" s="72" t="n">
        <f aca="false">Programas!AB$16</f>
        <v>-443971634.149807</v>
      </c>
      <c r="AC27" s="72" t="n">
        <f aca="false">Programas!AC$16</f>
        <v>-455966631.827175</v>
      </c>
      <c r="AD27" s="72" t="n">
        <f aca="false">Programas!AD$16</f>
        <v>-467961629.504542</v>
      </c>
      <c r="AE27" s="72" t="n">
        <f aca="false">Programas!AE$16</f>
        <v>-479956627.181909</v>
      </c>
      <c r="AF27" s="72" t="n">
        <f aca="false">Programas!AF$16</f>
        <v>-491951624.859276</v>
      </c>
      <c r="AG27" s="72" t="n">
        <f aca="false">Programas!AG$16</f>
        <v>-503946622.536643</v>
      </c>
      <c r="AH27" s="72" t="n">
        <f aca="false">Programas!AH$16</f>
        <v>-515941620.21401</v>
      </c>
      <c r="AI27" s="72" t="n">
        <f aca="false">Programas!AI$16</f>
        <v>-527936617.891378</v>
      </c>
      <c r="AJ27" s="72" t="n">
        <f aca="false">Programas!AJ$16</f>
        <v>-539931615.568745</v>
      </c>
      <c r="AK27" s="72" t="n">
        <f aca="false">Programas!AK$16</f>
        <v>-551926613.246112</v>
      </c>
      <c r="AL27" s="72" t="n">
        <f aca="false">Programas!AL$16</f>
        <v>-563921610.923479</v>
      </c>
      <c r="AM27" s="72" t="n">
        <f aca="false">Programas!AM$16</f>
        <v>-563921610.923479</v>
      </c>
      <c r="AN27" s="72" t="n">
        <f aca="false">Programas!AN$16</f>
        <v>-563921610.923479</v>
      </c>
      <c r="AO27" s="72" t="n">
        <f aca="false">Programas!AO$16</f>
        <v>-563921610.923479</v>
      </c>
      <c r="AP27" s="72" t="n">
        <f aca="false">Programas!AP$16</f>
        <v>-563921610.923479</v>
      </c>
      <c r="AQ27" s="72" t="n">
        <f aca="false">Programas!AQ$16</f>
        <v>-563921610.923479</v>
      </c>
      <c r="AR27" s="72" t="n">
        <f aca="false">Programas!AR$16</f>
        <v>-563921610.923479</v>
      </c>
      <c r="AS27" s="72" t="n">
        <f aca="false">Programas!AS$16</f>
        <v>-563921610.923479</v>
      </c>
      <c r="AT27" s="72" t="n">
        <f aca="false">Programas!AT$16</f>
        <v>-563921610.923479</v>
      </c>
      <c r="AU27" s="72" t="n">
        <f aca="false">Programas!AU$16</f>
        <v>-563921610.923479</v>
      </c>
      <c r="AV27" s="72" t="n">
        <f aca="false">Programas!AV$16</f>
        <v>-563921610.923479</v>
      </c>
      <c r="AW27" s="72" t="n">
        <f aca="false">Programas!AW$16</f>
        <v>-563921610.923479</v>
      </c>
      <c r="AX27" s="72" t="n">
        <f aca="false">Programas!AX$16</f>
        <v>-563921610.923479</v>
      </c>
      <c r="AY27" s="72" t="n">
        <f aca="false">Programas!AY$16</f>
        <v>-563921610.923479</v>
      </c>
      <c r="AZ27" s="72" t="n">
        <f aca="false">Programas!AZ$16</f>
        <v>-563921610.923479</v>
      </c>
      <c r="BA27" s="72" t="n">
        <f aca="false">Programas!BA$16</f>
        <v>-563921610.923479</v>
      </c>
      <c r="BB27" s="72" t="n">
        <f aca="false">Programas!BB$16</f>
        <v>-563921610.923479</v>
      </c>
      <c r="BC27" s="72" t="n">
        <f aca="false">Programas!BC$16</f>
        <v>-563921610.923479</v>
      </c>
      <c r="BD27" s="72" t="n">
        <f aca="false">Programas!BD$16</f>
        <v>-563921610.923479</v>
      </c>
      <c r="BE27" s="72" t="n">
        <f aca="false">Programas!BE$16</f>
        <v>-563921610.923479</v>
      </c>
      <c r="BF27" s="72" t="n">
        <f aca="false">Programas!BF$16</f>
        <v>-563921610.923479</v>
      </c>
      <c r="BG27" s="72" t="n">
        <f aca="false">Programas!BG$16</f>
        <v>-563921610.923479</v>
      </c>
      <c r="BH27" s="72" t="n">
        <f aca="false">Programas!BH$16</f>
        <v>-563921610.923479</v>
      </c>
      <c r="BI27" s="72" t="n">
        <f aca="false">Programas!BI$16</f>
        <v>-563921610.923479</v>
      </c>
      <c r="BJ27" s="72" t="n">
        <f aca="false">Programas!BJ$16</f>
        <v>-563921610.923479</v>
      </c>
      <c r="BK27" s="72" t="n">
        <f aca="false">Programas!BK$16</f>
        <v>-563921610.923479</v>
      </c>
      <c r="BL27" s="72" t="n">
        <f aca="false">Programas!BL$16</f>
        <v>-563921610.923479</v>
      </c>
      <c r="BM27" s="72" t="n">
        <f aca="false">Programas!BM$16</f>
        <v>-563921610.923479</v>
      </c>
      <c r="BN27" s="72" t="n">
        <f aca="false">Programas!BN$16</f>
        <v>-563921610.923479</v>
      </c>
      <c r="BO27" s="72" t="n">
        <f aca="false">Programas!BO$16</f>
        <v>-563921610.923479</v>
      </c>
      <c r="BP27" s="72" t="n">
        <f aca="false">Programas!BP$16</f>
        <v>-563921610.923479</v>
      </c>
      <c r="BQ27" s="72" t="n">
        <f aca="false">Programas!BQ$16</f>
        <v>-563921610.923479</v>
      </c>
      <c r="BR27" s="72" t="n">
        <f aca="false">Programas!BR$16</f>
        <v>-563921610.923479</v>
      </c>
      <c r="BS27" s="72" t="n">
        <f aca="false">Programas!BS$16</f>
        <v>-563921610.923479</v>
      </c>
      <c r="BT27" s="72" t="n">
        <f aca="false">Programas!BT$16</f>
        <v>-563921610.923479</v>
      </c>
      <c r="BU27" s="72" t="n">
        <f aca="false">Programas!BU$16</f>
        <v>-563921610.923479</v>
      </c>
      <c r="BV27" s="72" t="n">
        <f aca="false">Programas!BV$16</f>
        <v>-563921610.923479</v>
      </c>
      <c r="BW27" s="72" t="n">
        <f aca="false">Programas!BW$16</f>
        <v>-563921610.923479</v>
      </c>
      <c r="BX27" s="72" t="n">
        <f aca="false">Programas!BX$16</f>
        <v>-563921610.923479</v>
      </c>
      <c r="BY27" s="72" t="n">
        <f aca="false">Programas!BY$16</f>
        <v>-563921610.923479</v>
      </c>
      <c r="BZ27" s="72" t="n">
        <f aca="false">Programas!BZ$16</f>
        <v>-563921610.923479</v>
      </c>
      <c r="CA27" s="72" t="n">
        <f aca="false">Programas!CA$16</f>
        <v>-563921610.923479</v>
      </c>
      <c r="CB27" s="72" t="n">
        <f aca="false">Programas!CB$16</f>
        <v>-563921610.923479</v>
      </c>
      <c r="CC27" s="72" t="n">
        <f aca="false">Programas!CC$16</f>
        <v>-563921610.923479</v>
      </c>
      <c r="CD27" s="72" t="n">
        <f aca="false">Programas!CD$16</f>
        <v>-563921610.923479</v>
      </c>
      <c r="CE27" s="72" t="n">
        <f aca="false">Programas!CE$16</f>
        <v>-563921610.923479</v>
      </c>
      <c r="CF27" s="72" t="n">
        <f aca="false">Programas!CF$16</f>
        <v>-563921610.923479</v>
      </c>
      <c r="CG27" s="72" t="n">
        <f aca="false">Programas!CG$16</f>
        <v>-563921610.923479</v>
      </c>
      <c r="CH27" s="72" t="n">
        <f aca="false">Programas!CH$16</f>
        <v>-563921610.923479</v>
      </c>
      <c r="CI27" s="72" t="n">
        <f aca="false">Programas!CI$16</f>
        <v>-563921610.923479</v>
      </c>
      <c r="CJ27" s="72" t="n">
        <f aca="false">Programas!CJ$16</f>
        <v>-563921610.923479</v>
      </c>
      <c r="CK27" s="72" t="n">
        <f aca="false">Programas!CK$16</f>
        <v>-563921610.923479</v>
      </c>
      <c r="CL27" s="72" t="n">
        <f aca="false">Programas!CL$16</f>
        <v>-563921610.923479</v>
      </c>
      <c r="CM27" s="72" t="n">
        <f aca="false">Programas!CM$16</f>
        <v>-563921610.923479</v>
      </c>
      <c r="CN27" s="72" t="n">
        <f aca="false">Programas!CN$16</f>
        <v>-563921610.923479</v>
      </c>
      <c r="CO27" s="72" t="n">
        <f aca="false">Programas!CO$16</f>
        <v>-563921610.923479</v>
      </c>
      <c r="CP27" s="72" t="n">
        <f aca="false">Programas!CP$16</f>
        <v>-563921610.923479</v>
      </c>
      <c r="CQ27" s="72" t="n">
        <f aca="false">Programas!CQ$16</f>
        <v>-563921610.923479</v>
      </c>
      <c r="CR27" s="72" t="n">
        <f aca="false">Programas!CR$16</f>
        <v>-563921610.923479</v>
      </c>
      <c r="CS27" s="72" t="n">
        <f aca="false">Programas!CS$16</f>
        <v>-563921610.923479</v>
      </c>
      <c r="CT27" s="72" t="n">
        <f aca="false">Programas!CT$16</f>
        <v>-563921610.923479</v>
      </c>
    </row>
    <row r="28" customFormat="false" ht="15" hidden="false" customHeight="true" outlineLevel="0" collapsed="false">
      <c r="A28" s="2"/>
      <c r="B28" s="55" t="s">
        <v>617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618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619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620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621</v>
      </c>
    </row>
    <row r="3" customFormat="false" ht="15" hidden="false" customHeight="true" outlineLevel="0" collapsed="false">
      <c r="B3" s="4" t="s">
        <v>622</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623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624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625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626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627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628</v>
      </c>
      <c r="C14" s="66"/>
      <c r="D14" s="66"/>
      <c r="E14" s="66"/>
      <c r="F14" s="66"/>
      <c r="G14" s="66"/>
      <c r="H14" s="66"/>
      <c r="I14" s="66"/>
      <c r="J14" s="66"/>
      <c r="K14" s="66"/>
    </row>
    <row r="15" customFormat="false" ht="18.75" hidden="false" customHeight="true" outlineLevel="0" collapsed="false">
      <c r="B15" s="75" t="s">
        <v>629</v>
      </c>
      <c r="C15" s="75" t="s">
        <v>630</v>
      </c>
      <c r="D15" s="75" t="s">
        <v>631</v>
      </c>
      <c r="E15" s="75" t="s">
        <v>632</v>
      </c>
      <c r="F15" s="75" t="s">
        <v>633</v>
      </c>
      <c r="G15" s="75" t="s">
        <v>634</v>
      </c>
      <c r="H15" s="75" t="s">
        <v>635</v>
      </c>
      <c r="I15" s="75" t="s">
        <v>636</v>
      </c>
      <c r="J15" s="75" t="s">
        <v>637</v>
      </c>
    </row>
    <row r="16" customFormat="false" ht="15" hidden="false" customHeight="true" outlineLevel="0" collapsed="false">
      <c r="B16" s="9" t="s">
        <v>638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639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640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641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642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643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485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644</v>
      </c>
    </row>
    <row r="25" customFormat="false" ht="15" hidden="false" customHeight="true" outlineLevel="0" collapsed="false">
      <c r="B25" s="63" t="s">
        <v>645</v>
      </c>
    </row>
    <row r="27" customFormat="false" ht="15" hidden="false" customHeight="false" outlineLevel="0" collapsed="false">
      <c r="B27" s="79" t="s">
        <v>646</v>
      </c>
      <c r="C27" s="2"/>
      <c r="D27" s="2"/>
      <c r="E27" s="2"/>
      <c r="F27" s="2"/>
      <c r="G27" s="2"/>
      <c r="H27" s="2"/>
    </row>
    <row r="28" customFormat="false" ht="15" hidden="false" customHeight="false" outlineLevel="0" collapsed="false">
      <c r="B28" s="2" t="s">
        <v>647</v>
      </c>
      <c r="C28" s="47" t="n">
        <v>928</v>
      </c>
      <c r="D28" s="50" t="s">
        <v>648</v>
      </c>
      <c r="E28" s="2"/>
      <c r="F28" s="2"/>
      <c r="G28" s="2"/>
      <c r="H28" s="2"/>
    </row>
    <row r="29" customFormat="false" ht="15" hidden="false" customHeight="false" outlineLevel="0" collapsed="false">
      <c r="B29" s="52" t="s">
        <v>629</v>
      </c>
      <c r="C29" s="52" t="s">
        <v>649</v>
      </c>
      <c r="D29" s="52" t="s">
        <v>650</v>
      </c>
      <c r="E29" s="52" t="s">
        <v>651</v>
      </c>
      <c r="F29" s="52" t="s">
        <v>652</v>
      </c>
      <c r="G29" s="52" t="s">
        <v>653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485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654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655</v>
      </c>
    </row>
    <row r="3" customFormat="false" ht="15" hidden="false" customHeight="true" outlineLevel="0" collapsed="false">
      <c r="B3" s="4" t="s">
        <v>656</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9" t="s">
        <v>657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658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659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660</v>
      </c>
      <c r="C10" s="58" t="n">
        <f aca="false">(Supuestos!$C$52*Supuestos!$C$127-Supuestos!$C$51)*MIN(MAX((1-12)/24,0),1)/12+IF(1&lt;=12,Supuestos!$C$238/12,0)</f>
        <v>27916666.6666667</v>
      </c>
      <c r="D10" s="58" t="n">
        <f aca="false">(Supuestos!$C$52*Supuestos!$C$127-Supuestos!$C$51)*MIN(MAX((2-12)/24,0),1)/12+IF(2&lt;=12,Supuestos!$C$238/12,0)</f>
        <v>27916666.6666667</v>
      </c>
      <c r="E10" s="58" t="n">
        <f aca="false">(Supuestos!$C$52*Supuestos!$C$127-Supuestos!$C$51)*MIN(MAX((3-12)/24,0),1)/12+IF(3&lt;=12,Supuestos!$C$238/12,0)</f>
        <v>27916666.6666667</v>
      </c>
      <c r="F10" s="58" t="n">
        <f aca="false">(Supuestos!$C$52*Supuestos!$C$127-Supuestos!$C$51)*MIN(MAX((4-12)/24,0),1)/12+IF(4&lt;=12,Supuestos!$C$238/12,0)</f>
        <v>27916666.6666667</v>
      </c>
      <c r="G10" s="58" t="n">
        <f aca="false">(Supuestos!$C$52*Supuestos!$C$127-Supuestos!$C$51)*MIN(MAX((5-12)/24,0),1)/12+IF(5&lt;=12,Supuestos!$C$238/12,0)</f>
        <v>27916666.6666667</v>
      </c>
      <c r="H10" s="58" t="n">
        <f aca="false">(Supuestos!$C$52*Supuestos!$C$127-Supuestos!$C$51)*MIN(MAX((6-12)/24,0),1)/12+IF(6&lt;=12,Supuestos!$C$238/12,0)</f>
        <v>27916666.6666667</v>
      </c>
      <c r="I10" s="58" t="n">
        <f aca="false">(Supuestos!$C$52*Supuestos!$C$127-Supuestos!$C$51)*MIN(MAX((7-12)/24,0),1)/12+IF(7&lt;=12,Supuestos!$C$238/12,0)</f>
        <v>27916666.6666667</v>
      </c>
      <c r="J10" s="58" t="n">
        <f aca="false">(Supuestos!$C$52*Supuestos!$C$127-Supuestos!$C$51)*MIN(MAX((8-12)/24,0),1)/12+IF(8&lt;=12,Supuestos!$C$238/12,0)</f>
        <v>27916666.6666667</v>
      </c>
      <c r="K10" s="58" t="n">
        <f aca="false">(Supuestos!$C$52*Supuestos!$C$127-Supuestos!$C$51)*MIN(MAX((9-12)/24,0),1)/12+IF(9&lt;=12,Supuestos!$C$238/12,0)</f>
        <v>27916666.6666667</v>
      </c>
      <c r="L10" s="58" t="n">
        <f aca="false">(Supuestos!$C$52*Supuestos!$C$127-Supuestos!$C$51)*MIN(MAX((10-12)/24,0),1)/12+IF(10&lt;=12,Supuestos!$C$238/12,0)</f>
        <v>27916666.6666667</v>
      </c>
      <c r="M10" s="58" t="n">
        <f aca="false">(Supuestos!$C$52*Supuestos!$C$127-Supuestos!$C$51)*MIN(MAX((11-12)/24,0),1)/12+IF(11&lt;=12,Supuestos!$C$238/12,0)</f>
        <v>27916666.6666667</v>
      </c>
      <c r="N10" s="58" t="n">
        <f aca="false">(Supuestos!$C$52*Supuestos!$C$127-Supuestos!$C$51)*MIN(MAX((12-12)/24,0),1)/12+IF(12&lt;=12,Supuestos!$C$238/12,0)</f>
        <v>27916666.6666667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661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662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663</v>
      </c>
      <c r="C13" s="58" t="n">
        <f aca="false">Supuestos!$C$54*1/12+IF(1&gt;=9,Supuestos!$C$57,0)/12</f>
        <v>3875000</v>
      </c>
      <c r="D13" s="58" t="n">
        <f aca="false">Supuestos!$C$54*1/12+IF(2&gt;=9,Supuestos!$C$57,0)/12</f>
        <v>3875000</v>
      </c>
      <c r="E13" s="58" t="n">
        <f aca="false">Supuestos!$C$54*1/12+IF(3&gt;=9,Supuestos!$C$57,0)/12</f>
        <v>3875000</v>
      </c>
      <c r="F13" s="58" t="n">
        <f aca="false">Supuestos!$C$54*1/12+IF(4&gt;=9,Supuestos!$C$57,0)/12</f>
        <v>3875000</v>
      </c>
      <c r="G13" s="58" t="n">
        <f aca="false">Supuestos!$C$54*1/12+IF(5&gt;=9,Supuestos!$C$57,0)/12</f>
        <v>3875000</v>
      </c>
      <c r="H13" s="58" t="n">
        <f aca="false">Supuestos!$C$54*1/12+IF(6&gt;=9,Supuestos!$C$57,0)/12</f>
        <v>3875000</v>
      </c>
      <c r="I13" s="58" t="n">
        <f aca="false">Supuestos!$C$54*1/12+IF(7&gt;=9,Supuestos!$C$57,0)/12</f>
        <v>3875000</v>
      </c>
      <c r="J13" s="58" t="n">
        <f aca="false">Supuestos!$C$54*1/12+IF(8&gt;=9,Supuestos!$C$57,0)/12</f>
        <v>3875000</v>
      </c>
      <c r="K13" s="58" t="n">
        <f aca="false">Supuestos!$C$54*1/12+IF(9&gt;=9,Supuestos!$C$57,0)/12</f>
        <v>17916666.6666667</v>
      </c>
      <c r="L13" s="58" t="n">
        <f aca="false">Supuestos!$C$54*1/12+IF(10&gt;=9,Supuestos!$C$57,0)/12</f>
        <v>17916666.6666667</v>
      </c>
      <c r="M13" s="58" t="n">
        <f aca="false">Supuestos!$C$54*1/12+IF(11&gt;=9,Supuestos!$C$57,0)/12</f>
        <v>17916666.6666667</v>
      </c>
      <c r="N13" s="58" t="n">
        <f aca="false">Supuestos!$C$54*1/12+IF(12&gt;=9,Supuestos!$C$57,0)/12</f>
        <v>17916666.6666667</v>
      </c>
      <c r="O13" s="58" t="n">
        <f aca="false">Supuestos!$C$54*0/12+IF(13&gt;=9,Supuestos!$C$57,0)/12</f>
        <v>14041666.6666667</v>
      </c>
      <c r="P13" s="58" t="n">
        <f aca="false">Supuestos!$C$54*0/12+IF(14&gt;=9,Supuestos!$C$57,0)/12</f>
        <v>14041666.6666667</v>
      </c>
      <c r="Q13" s="58" t="n">
        <f aca="false">Supuestos!$C$54*0/12+IF(15&gt;=9,Supuestos!$C$57,0)/12</f>
        <v>14041666.6666667</v>
      </c>
      <c r="R13" s="58" t="n">
        <f aca="false">Supuestos!$C$54*0/12+IF(16&gt;=9,Supuestos!$C$57,0)/12</f>
        <v>14041666.6666667</v>
      </c>
      <c r="S13" s="58" t="n">
        <f aca="false">Supuestos!$C$54*0/12+IF(17&gt;=9,Supuestos!$C$57,0)/12</f>
        <v>14041666.6666667</v>
      </c>
      <c r="T13" s="58" t="n">
        <f aca="false">Supuestos!$C$54*0/12+IF(18&gt;=9,Supuestos!$C$57,0)/12</f>
        <v>14041666.6666667</v>
      </c>
      <c r="U13" s="58" t="n">
        <f aca="false">Supuestos!$C$54*0/12+IF(19&gt;=9,Supuestos!$C$57,0)/12</f>
        <v>14041666.6666667</v>
      </c>
      <c r="V13" s="58" t="n">
        <f aca="false">Supuestos!$C$54*0/12+IF(20&gt;=9,Supuestos!$C$57,0)/12</f>
        <v>14041666.6666667</v>
      </c>
      <c r="W13" s="58" t="n">
        <f aca="false">Supuestos!$C$54*0/12+IF(21&gt;=9,Supuestos!$C$57,0)/12</f>
        <v>14041666.6666667</v>
      </c>
      <c r="X13" s="58" t="n">
        <f aca="false">Supuestos!$C$54*0/12+IF(22&gt;=9,Supuestos!$C$57,0)/12</f>
        <v>14041666.6666667</v>
      </c>
      <c r="Y13" s="58" t="n">
        <f aca="false">Supuestos!$C$54*0/12+IF(23&gt;=9,Supuestos!$C$57,0)/12</f>
        <v>14041666.6666667</v>
      </c>
      <c r="Z13" s="58" t="n">
        <f aca="false">Supuestos!$C$54*0/12+IF(24&gt;=9,Supuestos!$C$57,0)/12</f>
        <v>14041666.6666667</v>
      </c>
      <c r="AA13" s="58" t="n">
        <f aca="false">Supuestos!$C$54*0/12+IF(25&gt;=9,Supuestos!$C$57,0)/12</f>
        <v>14041666.6666667</v>
      </c>
      <c r="AB13" s="58" t="n">
        <f aca="false">Supuestos!$C$54*0/12+IF(26&gt;=9,Supuestos!$C$57,0)/12</f>
        <v>14041666.6666667</v>
      </c>
      <c r="AC13" s="58" t="n">
        <f aca="false">Supuestos!$C$54*0/12+IF(27&gt;=9,Supuestos!$C$57,0)/12</f>
        <v>14041666.6666667</v>
      </c>
      <c r="AD13" s="58" t="n">
        <f aca="false">Supuestos!$C$54*0/12+IF(28&gt;=9,Supuestos!$C$57,0)/12</f>
        <v>14041666.6666667</v>
      </c>
      <c r="AE13" s="58" t="n">
        <f aca="false">Supuestos!$C$54*0/12+IF(29&gt;=9,Supuestos!$C$57,0)/12</f>
        <v>14041666.6666667</v>
      </c>
      <c r="AF13" s="58" t="n">
        <f aca="false">Supuestos!$C$54*0/12+IF(30&gt;=9,Supuestos!$C$57,0)/12</f>
        <v>14041666.6666667</v>
      </c>
      <c r="AG13" s="58" t="n">
        <f aca="false">Supuestos!$C$54*0/12+IF(31&gt;=9,Supuestos!$C$57,0)/12</f>
        <v>14041666.6666667</v>
      </c>
      <c r="AH13" s="58" t="n">
        <f aca="false">Supuestos!$C$54*0/12+IF(32&gt;=9,Supuestos!$C$57,0)/12</f>
        <v>14041666.6666667</v>
      </c>
      <c r="AI13" s="58" t="n">
        <f aca="false">Supuestos!$C$54*0/12+IF(33&gt;=9,Supuestos!$C$57,0)/12</f>
        <v>14041666.6666667</v>
      </c>
      <c r="AJ13" s="58" t="n">
        <f aca="false">Supuestos!$C$54*0/12+IF(34&gt;=9,Supuestos!$C$57,0)/12</f>
        <v>14041666.6666667</v>
      </c>
      <c r="AK13" s="58" t="n">
        <f aca="false">Supuestos!$C$54*0/12+IF(35&gt;=9,Supuestos!$C$57,0)/12</f>
        <v>14041666.6666667</v>
      </c>
      <c r="AL13" s="58" t="n">
        <f aca="false">Supuestos!$C$54*0/12+IF(36&gt;=9,Supuestos!$C$57,0)/12</f>
        <v>14041666.6666667</v>
      </c>
      <c r="AM13" s="58" t="n">
        <f aca="false">Supuestos!$C$54*0/12+IF(37&gt;=9,Supuestos!$C$57,0)/12</f>
        <v>14041666.6666667</v>
      </c>
      <c r="AN13" s="58" t="n">
        <f aca="false">Supuestos!$C$54*0/12+IF(38&gt;=9,Supuestos!$C$57,0)/12</f>
        <v>14041666.6666667</v>
      </c>
      <c r="AO13" s="58" t="n">
        <f aca="false">Supuestos!$C$54*0/12+IF(39&gt;=9,Supuestos!$C$57,0)/12</f>
        <v>14041666.6666667</v>
      </c>
      <c r="AP13" s="58" t="n">
        <f aca="false">Supuestos!$C$54*0/12+IF(40&gt;=9,Supuestos!$C$57,0)/12</f>
        <v>14041666.6666667</v>
      </c>
      <c r="AQ13" s="58" t="n">
        <f aca="false">Supuestos!$C$54*0/12+IF(41&gt;=9,Supuestos!$C$57,0)/12</f>
        <v>14041666.6666667</v>
      </c>
      <c r="AR13" s="58" t="n">
        <f aca="false">Supuestos!$C$54*0/12+IF(42&gt;=9,Supuestos!$C$57,0)/12</f>
        <v>14041666.6666667</v>
      </c>
      <c r="AS13" s="58" t="n">
        <f aca="false">Supuestos!$C$54*0/12+IF(43&gt;=9,Supuestos!$C$57,0)/12</f>
        <v>14041666.6666667</v>
      </c>
      <c r="AT13" s="58" t="n">
        <f aca="false">Supuestos!$C$54*0/12+IF(44&gt;=9,Supuestos!$C$57,0)/12</f>
        <v>14041666.6666667</v>
      </c>
      <c r="AU13" s="58" t="n">
        <f aca="false">Supuestos!$C$54*0/12+IF(45&gt;=9,Supuestos!$C$57,0)/12</f>
        <v>14041666.6666667</v>
      </c>
      <c r="AV13" s="58" t="n">
        <f aca="false">Supuestos!$C$54*0/12+IF(46&gt;=9,Supuestos!$C$57,0)/12</f>
        <v>14041666.6666667</v>
      </c>
      <c r="AW13" s="58" t="n">
        <f aca="false">Supuestos!$C$54*0/12+IF(47&gt;=9,Supuestos!$C$57,0)/12</f>
        <v>14041666.6666667</v>
      </c>
      <c r="AX13" s="58" t="n">
        <f aca="false">Supuestos!$C$54*0/12+IF(48&gt;=9,Supuestos!$C$57,0)/12</f>
        <v>14041666.6666667</v>
      </c>
      <c r="AY13" s="58" t="n">
        <f aca="false">Supuestos!$C$54*0/12+IF(49&gt;=9,Supuestos!$C$57,0)/12</f>
        <v>14041666.6666667</v>
      </c>
      <c r="AZ13" s="58" t="n">
        <f aca="false">Supuestos!$C$54*0/12+IF(50&gt;=9,Supuestos!$C$57,0)/12</f>
        <v>14041666.6666667</v>
      </c>
      <c r="BA13" s="58" t="n">
        <f aca="false">Supuestos!$C$54*0/12+IF(51&gt;=9,Supuestos!$C$57,0)/12</f>
        <v>14041666.6666667</v>
      </c>
      <c r="BB13" s="58" t="n">
        <f aca="false">Supuestos!$C$54*0/12+IF(52&gt;=9,Supuestos!$C$57,0)/12</f>
        <v>14041666.6666667</v>
      </c>
      <c r="BC13" s="58" t="n">
        <f aca="false">Supuestos!$C$54*0/12+IF(53&gt;=9,Supuestos!$C$57,0)/12</f>
        <v>14041666.6666667</v>
      </c>
      <c r="BD13" s="58" t="n">
        <f aca="false">Supuestos!$C$54*0/12+IF(54&gt;=9,Supuestos!$C$57,0)/12</f>
        <v>14041666.6666667</v>
      </c>
      <c r="BE13" s="58" t="n">
        <f aca="false">Supuestos!$C$54*0/12+IF(55&gt;=9,Supuestos!$C$57,0)/12</f>
        <v>14041666.6666667</v>
      </c>
      <c r="BF13" s="58" t="n">
        <f aca="false">Supuestos!$C$54*0/12+IF(56&gt;=9,Supuestos!$C$57,0)/12</f>
        <v>14041666.6666667</v>
      </c>
      <c r="BG13" s="58" t="n">
        <f aca="false">Supuestos!$C$54*0/12+IF(57&gt;=9,Supuestos!$C$57,0)/12</f>
        <v>14041666.6666667</v>
      </c>
      <c r="BH13" s="58" t="n">
        <f aca="false">Supuestos!$C$54*0/12+IF(58&gt;=9,Supuestos!$C$57,0)/12</f>
        <v>14041666.6666667</v>
      </c>
      <c r="BI13" s="58" t="n">
        <f aca="false">Supuestos!$C$54*0/12+IF(59&gt;=9,Supuestos!$C$57,0)/12</f>
        <v>14041666.6666667</v>
      </c>
      <c r="BJ13" s="58" t="n">
        <f aca="false">Supuestos!$C$54*0/12+IF(60&gt;=9,Supuestos!$C$57,0)/12</f>
        <v>14041666.6666667</v>
      </c>
      <c r="BK13" s="58" t="n">
        <f aca="false">Supuestos!$C$54*0/12+IF(61&gt;=9,Supuestos!$C$57,0)/12</f>
        <v>14041666.6666667</v>
      </c>
      <c r="BL13" s="58" t="n">
        <f aca="false">Supuestos!$C$54*0/12+IF(62&gt;=9,Supuestos!$C$57,0)/12</f>
        <v>14041666.6666667</v>
      </c>
      <c r="BM13" s="58" t="n">
        <f aca="false">Supuestos!$C$54*0/12+IF(63&gt;=9,Supuestos!$C$57,0)/12</f>
        <v>14041666.6666667</v>
      </c>
      <c r="BN13" s="58" t="n">
        <f aca="false">Supuestos!$C$54*0/12+IF(64&gt;=9,Supuestos!$C$57,0)/12</f>
        <v>14041666.6666667</v>
      </c>
      <c r="BO13" s="58" t="n">
        <f aca="false">Supuestos!$C$54*0/12+IF(65&gt;=9,Supuestos!$C$57,0)/12</f>
        <v>14041666.6666667</v>
      </c>
      <c r="BP13" s="58" t="n">
        <f aca="false">Supuestos!$C$54*0/12+IF(66&gt;=9,Supuestos!$C$57,0)/12</f>
        <v>14041666.6666667</v>
      </c>
      <c r="BQ13" s="58" t="n">
        <f aca="false">Supuestos!$C$54*0/12+IF(67&gt;=9,Supuestos!$C$57,0)/12</f>
        <v>14041666.6666667</v>
      </c>
      <c r="BR13" s="58" t="n">
        <f aca="false">Supuestos!$C$54*0/12+IF(68&gt;=9,Supuestos!$C$57,0)/12</f>
        <v>14041666.6666667</v>
      </c>
      <c r="BS13" s="58" t="n">
        <f aca="false">Supuestos!$C$54*0/12+IF(69&gt;=9,Supuestos!$C$57,0)/12</f>
        <v>14041666.6666667</v>
      </c>
      <c r="BT13" s="58" t="n">
        <f aca="false">Supuestos!$C$54*0/12+IF(70&gt;=9,Supuestos!$C$57,0)/12</f>
        <v>14041666.6666667</v>
      </c>
      <c r="BU13" s="58" t="n">
        <f aca="false">Supuestos!$C$54*0/12+IF(71&gt;=9,Supuestos!$C$57,0)/12</f>
        <v>14041666.6666667</v>
      </c>
      <c r="BV13" s="58" t="n">
        <f aca="false">Supuestos!$C$54*0/12+IF(72&gt;=9,Supuestos!$C$57,0)/12</f>
        <v>14041666.6666667</v>
      </c>
      <c r="BW13" s="58" t="n">
        <f aca="false">Supuestos!$C$54*0/12+IF(73&gt;=9,Supuestos!$C$57,0)/12</f>
        <v>14041666.6666667</v>
      </c>
      <c r="BX13" s="58" t="n">
        <f aca="false">Supuestos!$C$54*0/12+IF(74&gt;=9,Supuestos!$C$57,0)/12</f>
        <v>14041666.6666667</v>
      </c>
      <c r="BY13" s="58" t="n">
        <f aca="false">Supuestos!$C$54*0/12+IF(75&gt;=9,Supuestos!$C$57,0)/12</f>
        <v>14041666.6666667</v>
      </c>
      <c r="BZ13" s="58" t="n">
        <f aca="false">Supuestos!$C$54*0/12+IF(76&gt;=9,Supuestos!$C$57,0)/12</f>
        <v>14041666.6666667</v>
      </c>
      <c r="CA13" s="58" t="n">
        <f aca="false">Supuestos!$C$54*0/12+IF(77&gt;=9,Supuestos!$C$57,0)/12</f>
        <v>14041666.6666667</v>
      </c>
      <c r="CB13" s="58" t="n">
        <f aca="false">Supuestos!$C$54*0/12+IF(78&gt;=9,Supuestos!$C$57,0)/12</f>
        <v>14041666.6666667</v>
      </c>
      <c r="CC13" s="58" t="n">
        <f aca="false">Supuestos!$C$54*0/12+IF(79&gt;=9,Supuestos!$C$57,0)/12</f>
        <v>14041666.6666667</v>
      </c>
      <c r="CD13" s="58" t="n">
        <f aca="false">Supuestos!$C$54*0/12+IF(80&gt;=9,Supuestos!$C$57,0)/12</f>
        <v>14041666.6666667</v>
      </c>
      <c r="CE13" s="58" t="n">
        <f aca="false">Supuestos!$C$54*0/12+IF(81&gt;=9,Supuestos!$C$57,0)/12</f>
        <v>14041666.6666667</v>
      </c>
      <c r="CF13" s="58" t="n">
        <f aca="false">Supuestos!$C$54*0/12+IF(82&gt;=9,Supuestos!$C$57,0)/12</f>
        <v>14041666.6666667</v>
      </c>
      <c r="CG13" s="58" t="n">
        <f aca="false">Supuestos!$C$54*0/12+IF(83&gt;=9,Supuestos!$C$57,0)/12</f>
        <v>14041666.6666667</v>
      </c>
      <c r="CH13" s="58" t="n">
        <f aca="false">Supuestos!$C$54*0/12+IF(84&gt;=9,Supuestos!$C$57,0)/12</f>
        <v>14041666.6666667</v>
      </c>
      <c r="CI13" s="58" t="n">
        <f aca="false">Supuestos!$C$54*0/12+IF(85&gt;=9,Supuestos!$C$57,0)/12</f>
        <v>14041666.6666667</v>
      </c>
      <c r="CJ13" s="58" t="n">
        <f aca="false">Supuestos!$C$54*0/12+IF(86&gt;=9,Supuestos!$C$57,0)/12</f>
        <v>14041666.6666667</v>
      </c>
      <c r="CK13" s="58" t="n">
        <f aca="false">Supuestos!$C$54*0/12+IF(87&gt;=9,Supuestos!$C$57,0)/12</f>
        <v>14041666.6666667</v>
      </c>
      <c r="CL13" s="58" t="n">
        <f aca="false">Supuestos!$C$54*0/12+IF(88&gt;=9,Supuestos!$C$57,0)/12</f>
        <v>14041666.6666667</v>
      </c>
      <c r="CM13" s="58" t="n">
        <f aca="false">Supuestos!$C$54*0/12+IF(89&gt;=9,Supuestos!$C$57,0)/12</f>
        <v>14041666.6666667</v>
      </c>
      <c r="CN13" s="58" t="n">
        <f aca="false">Supuestos!$C$54*0/12+IF(90&gt;=9,Supuestos!$C$57,0)/12</f>
        <v>14041666.6666667</v>
      </c>
      <c r="CO13" s="58" t="n">
        <f aca="false">Supuestos!$C$54*0/12+IF(91&gt;=9,Supuestos!$C$57,0)/12</f>
        <v>14041666.6666667</v>
      </c>
      <c r="CP13" s="58" t="n">
        <f aca="false">Supuestos!$C$54*0/12+IF(92&gt;=9,Supuestos!$C$57,0)/12</f>
        <v>14041666.6666667</v>
      </c>
      <c r="CQ13" s="58" t="n">
        <f aca="false">Supuestos!$C$54*0/12+IF(93&gt;=9,Supuestos!$C$57,0)/12</f>
        <v>14041666.6666667</v>
      </c>
      <c r="CR13" s="58" t="n">
        <f aca="false">Supuestos!$C$54*0/12+IF(94&gt;=9,Supuestos!$C$57,0)/12</f>
        <v>14041666.6666667</v>
      </c>
      <c r="CS13" s="58" t="n">
        <f aca="false">Supuestos!$C$54*0/12+IF(95&gt;=9,Supuestos!$C$57,0)/12</f>
        <v>14041666.6666667</v>
      </c>
      <c r="CT13" s="58" t="n">
        <f aca="false">Supuestos!$C$54*0/12+IF(96&gt;=9,Supuestos!$C$57,0)/12</f>
        <v>14041666.6666667</v>
      </c>
    </row>
    <row r="14" customFormat="false" ht="15" hidden="false" customHeight="true" outlineLevel="0" collapsed="false">
      <c r="B14" s="9" t="s">
        <v>664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665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666</v>
      </c>
      <c r="C16" s="58" t="n">
        <f aca="false">-(C10+C11+C12+C13+C15)</f>
        <v>-108031670.763335</v>
      </c>
      <c r="D16" s="58" t="n">
        <f aca="false">-(D10+D11+D12+D13+D15)</f>
        <v>-108031670.763335</v>
      </c>
      <c r="E16" s="58" t="n">
        <f aca="false">-(E10+E11+E12+E13+E15)</f>
        <v>-108031670.763335</v>
      </c>
      <c r="F16" s="58" t="n">
        <f aca="false">-(F10+F11+F12+F13+F15)</f>
        <v>-108031670.763335</v>
      </c>
      <c r="G16" s="58" t="n">
        <f aca="false">-(G10+G11+G12+G13+G15)</f>
        <v>-108031670.763335</v>
      </c>
      <c r="H16" s="58" t="n">
        <f aca="false">-(H10+H11+H12+H13+H15)</f>
        <v>-108031670.763335</v>
      </c>
      <c r="I16" s="58" t="n">
        <f aca="false">-(I10+I11+I12+I13+I15)</f>
        <v>-108031670.763335</v>
      </c>
      <c r="J16" s="58" t="n">
        <f aca="false">-(J10+J11+J12+J13+J15)</f>
        <v>-108031670.763335</v>
      </c>
      <c r="K16" s="58" t="n">
        <f aca="false">-(K10+K11+K12+K13+K15)</f>
        <v>-122073337.430002</v>
      </c>
      <c r="L16" s="58" t="n">
        <f aca="false">-(L10+L11+L12+L13+L15)</f>
        <v>-122073337.430002</v>
      </c>
      <c r="M16" s="58" t="n">
        <f aca="false">-(M10+M11+M12+M13+M15)</f>
        <v>-122073337.430002</v>
      </c>
      <c r="N16" s="58" t="n">
        <f aca="false">-(N10+N11+N12+N13+N15)</f>
        <v>-294073337.430002</v>
      </c>
      <c r="O16" s="58" t="n">
        <f aca="false">-(O10+O11+O12+O13+O15)</f>
        <v>-340402638.738571</v>
      </c>
      <c r="P16" s="58" t="n">
        <f aca="false">-(P10+P11+P12+P13+P15)</f>
        <v>-352397636.415939</v>
      </c>
      <c r="Q16" s="58" t="n">
        <f aca="false">-(Q10+Q11+Q12+Q13+Q15)</f>
        <v>-364392634.093306</v>
      </c>
      <c r="R16" s="58" t="n">
        <f aca="false">-(R10+R11+R12+R13+R15)</f>
        <v>-376387631.770673</v>
      </c>
      <c r="S16" s="58" t="n">
        <f aca="false">-(S10+S11+S12+S13+S15)</f>
        <v>-388382629.44804</v>
      </c>
      <c r="T16" s="58" t="n">
        <f aca="false">-(T10+T11+T12+T13+T15)</f>
        <v>-400377627.125407</v>
      </c>
      <c r="U16" s="58" t="n">
        <f aca="false">-(U10+U11+U12+U13+U15)</f>
        <v>-412372624.802775</v>
      </c>
      <c r="V16" s="58" t="n">
        <f aca="false">-(V10+V11+V12+V13+V15)</f>
        <v>-424367622.480142</v>
      </c>
      <c r="W16" s="58" t="n">
        <f aca="false">-(W10+W11+W12+W13+W15)</f>
        <v>-436362620.157509</v>
      </c>
      <c r="X16" s="58" t="n">
        <f aca="false">-(X10+X11+X12+X13+X15)</f>
        <v>-448357617.834876</v>
      </c>
      <c r="Y16" s="58" t="n">
        <f aca="false">-(Y10+Y11+Y12+Y13+Y15)</f>
        <v>-460352615.512243</v>
      </c>
      <c r="Z16" s="58" t="n">
        <f aca="false">-(Z10+Z11+Z12+Z13+Z15)</f>
        <v>-472347613.18961</v>
      </c>
      <c r="AA16" s="58" t="n">
        <f aca="false">-(AA10+AA11+AA12+AA13+AA15)</f>
        <v>-431976636.47244</v>
      </c>
      <c r="AB16" s="58" t="n">
        <f aca="false">-(AB10+AB11+AB12+AB13+AB15)</f>
        <v>-443971634.149807</v>
      </c>
      <c r="AC16" s="58" t="n">
        <f aca="false">-(AC10+AC11+AC12+AC13+AC15)</f>
        <v>-455966631.827175</v>
      </c>
      <c r="AD16" s="58" t="n">
        <f aca="false">-(AD10+AD11+AD12+AD13+AD15)</f>
        <v>-467961629.504542</v>
      </c>
      <c r="AE16" s="58" t="n">
        <f aca="false">-(AE10+AE11+AE12+AE13+AE15)</f>
        <v>-479956627.181909</v>
      </c>
      <c r="AF16" s="58" t="n">
        <f aca="false">-(AF10+AF11+AF12+AF13+AF15)</f>
        <v>-491951624.859276</v>
      </c>
      <c r="AG16" s="58" t="n">
        <f aca="false">-(AG10+AG11+AG12+AG13+AG15)</f>
        <v>-503946622.536643</v>
      </c>
      <c r="AH16" s="58" t="n">
        <f aca="false">-(AH10+AH11+AH12+AH13+AH15)</f>
        <v>-515941620.21401</v>
      </c>
      <c r="AI16" s="58" t="n">
        <f aca="false">-(AI10+AI11+AI12+AI13+AI15)</f>
        <v>-527936617.891378</v>
      </c>
      <c r="AJ16" s="58" t="n">
        <f aca="false">-(AJ10+AJ11+AJ12+AJ13+AJ15)</f>
        <v>-539931615.568745</v>
      </c>
      <c r="AK16" s="58" t="n">
        <f aca="false">-(AK10+AK11+AK12+AK13+AK15)</f>
        <v>-551926613.246112</v>
      </c>
      <c r="AL16" s="58" t="n">
        <f aca="false">-(AL10+AL11+AL12+AL13+AL15)</f>
        <v>-563921610.923479</v>
      </c>
      <c r="AM16" s="58" t="n">
        <f aca="false">-(AM10+AM11+AM12+AM13+AM15)</f>
        <v>-563921610.923479</v>
      </c>
      <c r="AN16" s="58" t="n">
        <f aca="false">-(AN10+AN11+AN12+AN13+AN15)</f>
        <v>-563921610.923479</v>
      </c>
      <c r="AO16" s="58" t="n">
        <f aca="false">-(AO10+AO11+AO12+AO13+AO15)</f>
        <v>-563921610.923479</v>
      </c>
      <c r="AP16" s="58" t="n">
        <f aca="false">-(AP10+AP11+AP12+AP13+AP15)</f>
        <v>-563921610.923479</v>
      </c>
      <c r="AQ16" s="58" t="n">
        <f aca="false">-(AQ10+AQ11+AQ12+AQ13+AQ15)</f>
        <v>-563921610.923479</v>
      </c>
      <c r="AR16" s="58" t="n">
        <f aca="false">-(AR10+AR11+AR12+AR13+AR15)</f>
        <v>-563921610.923479</v>
      </c>
      <c r="AS16" s="58" t="n">
        <f aca="false">-(AS10+AS11+AS12+AS13+AS15)</f>
        <v>-563921610.923479</v>
      </c>
      <c r="AT16" s="58" t="n">
        <f aca="false">-(AT10+AT11+AT12+AT13+AT15)</f>
        <v>-563921610.923479</v>
      </c>
      <c r="AU16" s="58" t="n">
        <f aca="false">-(AU10+AU11+AU12+AU13+AU15)</f>
        <v>-563921610.923479</v>
      </c>
      <c r="AV16" s="58" t="n">
        <f aca="false">-(AV10+AV11+AV12+AV13+AV15)</f>
        <v>-563921610.923479</v>
      </c>
      <c r="AW16" s="58" t="n">
        <f aca="false">-(AW10+AW11+AW12+AW13+AW15)</f>
        <v>-563921610.923479</v>
      </c>
      <c r="AX16" s="58" t="n">
        <f aca="false">-(AX10+AX11+AX12+AX13+AX15)</f>
        <v>-563921610.923479</v>
      </c>
      <c r="AY16" s="58" t="n">
        <f aca="false">-(AY10+AY11+AY12+AY13+AY15)</f>
        <v>-563921610.923479</v>
      </c>
      <c r="AZ16" s="58" t="n">
        <f aca="false">-(AZ10+AZ11+AZ12+AZ13+AZ15)</f>
        <v>-563921610.923479</v>
      </c>
      <c r="BA16" s="58" t="n">
        <f aca="false">-(BA10+BA11+BA12+BA13+BA15)</f>
        <v>-563921610.923479</v>
      </c>
      <c r="BB16" s="58" t="n">
        <f aca="false">-(BB10+BB11+BB12+BB13+BB15)</f>
        <v>-563921610.923479</v>
      </c>
      <c r="BC16" s="58" t="n">
        <f aca="false">-(BC10+BC11+BC12+BC13+BC15)</f>
        <v>-563921610.923479</v>
      </c>
      <c r="BD16" s="58" t="n">
        <f aca="false">-(BD10+BD11+BD12+BD13+BD15)</f>
        <v>-563921610.923479</v>
      </c>
      <c r="BE16" s="58" t="n">
        <f aca="false">-(BE10+BE11+BE12+BE13+BE15)</f>
        <v>-563921610.923479</v>
      </c>
      <c r="BF16" s="58" t="n">
        <f aca="false">-(BF10+BF11+BF12+BF13+BF15)</f>
        <v>-563921610.923479</v>
      </c>
      <c r="BG16" s="58" t="n">
        <f aca="false">-(BG10+BG11+BG12+BG13+BG15)</f>
        <v>-563921610.923479</v>
      </c>
      <c r="BH16" s="58" t="n">
        <f aca="false">-(BH10+BH11+BH12+BH13+BH15)</f>
        <v>-563921610.923479</v>
      </c>
      <c r="BI16" s="58" t="n">
        <f aca="false">-(BI10+BI11+BI12+BI13+BI15)</f>
        <v>-563921610.923479</v>
      </c>
      <c r="BJ16" s="58" t="n">
        <f aca="false">-(BJ10+BJ11+BJ12+BJ13+BJ15)</f>
        <v>-563921610.923479</v>
      </c>
      <c r="BK16" s="58" t="n">
        <f aca="false">-(BK10+BK11+BK12+BK13+BK15)</f>
        <v>-563921610.923479</v>
      </c>
      <c r="BL16" s="58" t="n">
        <f aca="false">-(BL10+BL11+BL12+BL13+BL15)</f>
        <v>-563921610.923479</v>
      </c>
      <c r="BM16" s="58" t="n">
        <f aca="false">-(BM10+BM11+BM12+BM13+BM15)</f>
        <v>-563921610.923479</v>
      </c>
      <c r="BN16" s="58" t="n">
        <f aca="false">-(BN10+BN11+BN12+BN13+BN15)</f>
        <v>-563921610.923479</v>
      </c>
      <c r="BO16" s="58" t="n">
        <f aca="false">-(BO10+BO11+BO12+BO13+BO15)</f>
        <v>-563921610.923479</v>
      </c>
      <c r="BP16" s="58" t="n">
        <f aca="false">-(BP10+BP11+BP12+BP13+BP15)</f>
        <v>-563921610.923479</v>
      </c>
      <c r="BQ16" s="58" t="n">
        <f aca="false">-(BQ10+BQ11+BQ12+BQ13+BQ15)</f>
        <v>-563921610.923479</v>
      </c>
      <c r="BR16" s="58" t="n">
        <f aca="false">-(BR10+BR11+BR12+BR13+BR15)</f>
        <v>-563921610.923479</v>
      </c>
      <c r="BS16" s="58" t="n">
        <f aca="false">-(BS10+BS11+BS12+BS13+BS15)</f>
        <v>-563921610.923479</v>
      </c>
      <c r="BT16" s="58" t="n">
        <f aca="false">-(BT10+BT11+BT12+BT13+BT15)</f>
        <v>-563921610.923479</v>
      </c>
      <c r="BU16" s="58" t="n">
        <f aca="false">-(BU10+BU11+BU12+BU13+BU15)</f>
        <v>-563921610.923479</v>
      </c>
      <c r="BV16" s="58" t="n">
        <f aca="false">-(BV10+BV11+BV12+BV13+BV15)</f>
        <v>-563921610.923479</v>
      </c>
      <c r="BW16" s="58" t="n">
        <f aca="false">-(BW10+BW11+BW12+BW13+BW15)</f>
        <v>-563921610.923479</v>
      </c>
      <c r="BX16" s="58" t="n">
        <f aca="false">-(BX10+BX11+BX12+BX13+BX15)</f>
        <v>-563921610.923479</v>
      </c>
      <c r="BY16" s="58" t="n">
        <f aca="false">-(BY10+BY11+BY12+BY13+BY15)</f>
        <v>-563921610.923479</v>
      </c>
      <c r="BZ16" s="58" t="n">
        <f aca="false">-(BZ10+BZ11+BZ12+BZ13+BZ15)</f>
        <v>-563921610.923479</v>
      </c>
      <c r="CA16" s="58" t="n">
        <f aca="false">-(CA10+CA11+CA12+CA13+CA15)</f>
        <v>-563921610.923479</v>
      </c>
      <c r="CB16" s="58" t="n">
        <f aca="false">-(CB10+CB11+CB12+CB13+CB15)</f>
        <v>-563921610.923479</v>
      </c>
      <c r="CC16" s="58" t="n">
        <f aca="false">-(CC10+CC11+CC12+CC13+CC15)</f>
        <v>-563921610.923479</v>
      </c>
      <c r="CD16" s="58" t="n">
        <f aca="false">-(CD10+CD11+CD12+CD13+CD15)</f>
        <v>-563921610.923479</v>
      </c>
      <c r="CE16" s="58" t="n">
        <f aca="false">-(CE10+CE11+CE12+CE13+CE15)</f>
        <v>-563921610.923479</v>
      </c>
      <c r="CF16" s="58" t="n">
        <f aca="false">-(CF10+CF11+CF12+CF13+CF15)</f>
        <v>-563921610.923479</v>
      </c>
      <c r="CG16" s="58" t="n">
        <f aca="false">-(CG10+CG11+CG12+CG13+CG15)</f>
        <v>-563921610.923479</v>
      </c>
      <c r="CH16" s="58" t="n">
        <f aca="false">-(CH10+CH11+CH12+CH13+CH15)</f>
        <v>-563921610.923479</v>
      </c>
      <c r="CI16" s="58" t="n">
        <f aca="false">-(CI10+CI11+CI12+CI13+CI15)</f>
        <v>-563921610.923479</v>
      </c>
      <c r="CJ16" s="58" t="n">
        <f aca="false">-(CJ10+CJ11+CJ12+CJ13+CJ15)</f>
        <v>-563921610.923479</v>
      </c>
      <c r="CK16" s="58" t="n">
        <f aca="false">-(CK10+CK11+CK12+CK13+CK15)</f>
        <v>-563921610.923479</v>
      </c>
      <c r="CL16" s="58" t="n">
        <f aca="false">-(CL10+CL11+CL12+CL13+CL15)</f>
        <v>-563921610.923479</v>
      </c>
      <c r="CM16" s="58" t="n">
        <f aca="false">-(CM10+CM11+CM12+CM13+CM15)</f>
        <v>-563921610.923479</v>
      </c>
      <c r="CN16" s="58" t="n">
        <f aca="false">-(CN10+CN11+CN12+CN13+CN15)</f>
        <v>-563921610.923479</v>
      </c>
      <c r="CO16" s="58" t="n">
        <f aca="false">-(CO10+CO11+CO12+CO13+CO15)</f>
        <v>-563921610.923479</v>
      </c>
      <c r="CP16" s="58" t="n">
        <f aca="false">-(CP10+CP11+CP12+CP13+CP15)</f>
        <v>-563921610.923479</v>
      </c>
      <c r="CQ16" s="58" t="n">
        <f aca="false">-(CQ10+CQ11+CQ12+CQ13+CQ15)</f>
        <v>-563921610.923479</v>
      </c>
      <c r="CR16" s="58" t="n">
        <f aca="false">-(CR10+CR11+CR12+CR13+CR15)</f>
        <v>-563921610.923479</v>
      </c>
      <c r="CS16" s="58" t="n">
        <f aca="false">-(CS10+CS11+CS12+CS13+CS15)</f>
        <v>-563921610.923479</v>
      </c>
      <c r="CT16" s="58" t="n">
        <f aca="false">-(CT10+CT11+CT12+CT13+CT15)</f>
        <v>-563921610.923479</v>
      </c>
    </row>
    <row r="17" customFormat="false" ht="15" hidden="false" customHeight="false" outlineLevel="0" collapsed="false">
      <c r="B17" s="2" t="s">
        <v>667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668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669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670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671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672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673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674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675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676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677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678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679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680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681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682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683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684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685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686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689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690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691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692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693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3164131584.42868</v>
      </c>
      <c r="S13" s="58" t="n">
        <f aca="false">R15</f>
        <v>4898602864.93648</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606093021.396839</v>
      </c>
      <c r="AC13" s="58" t="n">
        <f aca="false">AB15</f>
        <v>315197333.056694</v>
      </c>
      <c r="AD13" s="58" t="n">
        <f aca="false">AC15</f>
        <v>3314656460.66979</v>
      </c>
      <c r="AE13" s="58" t="n">
        <f aca="false">AD15</f>
        <v>5049127741.17759</v>
      </c>
      <c r="AF13" s="58" t="n">
        <f aca="false">AE15</f>
        <v>5916363381.43149</v>
      </c>
      <c r="AG13" s="58" t="n">
        <f aca="false">AF15</f>
        <v>6205441928.18279</v>
      </c>
      <c r="AH13" s="58" t="n">
        <f aca="false">AG15</f>
        <v>6205441928.18279</v>
      </c>
      <c r="AI13" s="58" t="n">
        <f aca="false">AH15</f>
        <v>6205441928.18279</v>
      </c>
      <c r="AJ13" s="58" t="n">
        <f aca="false">AI15</f>
        <v>6205441928.18279</v>
      </c>
      <c r="AK13" s="58" t="n">
        <f aca="false">AJ15</f>
        <v>6249634579.05117</v>
      </c>
      <c r="AL13" s="58" t="n">
        <f aca="false">AK15</f>
        <v>5671477485.54856</v>
      </c>
      <c r="AM13" s="58" t="n">
        <f aca="false">AL15</f>
        <v>3585263790.64658</v>
      </c>
      <c r="AN13" s="58" t="n">
        <f aca="false">AM15</f>
        <v>653120598.75679</v>
      </c>
      <c r="AO13" s="58" t="n">
        <f aca="false">AN15</f>
        <v>362224910.416645</v>
      </c>
      <c r="AP13" s="58" t="n">
        <f aca="false">AO15</f>
        <v>3361684038.02974</v>
      </c>
      <c r="AQ13" s="58" t="n">
        <f aca="false">AP15</f>
        <v>5096155318.53754</v>
      </c>
      <c r="AR13" s="58" t="n">
        <f aca="false">AQ15</f>
        <v>5963390958.79144</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5718505062.90851</v>
      </c>
      <c r="AY13" s="58" t="n">
        <f aca="false">AX15</f>
        <v>3632291368.00653</v>
      </c>
      <c r="AZ13" s="58" t="n">
        <f aca="false">AY15</f>
        <v>653120598.756764</v>
      </c>
      <c r="BA13" s="58" t="n">
        <f aca="false">AZ15</f>
        <v>362224910.416618</v>
      </c>
      <c r="BB13" s="58" t="n">
        <f aca="false">BA15</f>
        <v>3361684038.02972</v>
      </c>
      <c r="BC13" s="58" t="n">
        <f aca="false">BB15</f>
        <v>5096155318.53751</v>
      </c>
      <c r="BD13" s="58" t="n">
        <f aca="false">BC15</f>
        <v>5963390958.79141</v>
      </c>
      <c r="BE13" s="58" t="n">
        <f aca="false">BD15</f>
        <v>6252469505.54271</v>
      </c>
      <c r="BF13" s="58" t="n">
        <f aca="false">BE15</f>
        <v>6252469505.54271</v>
      </c>
      <c r="BG13" s="58" t="n">
        <f aca="false">BF15</f>
        <v>6252469505.54271</v>
      </c>
      <c r="BH13" s="58" t="n">
        <f aca="false">BG15</f>
        <v>6252469505.54271</v>
      </c>
      <c r="BI13" s="58" t="n">
        <f aca="false">BH15</f>
        <v>6296662156.41108</v>
      </c>
      <c r="BJ13" s="58" t="n">
        <f aca="false">BI15</f>
        <v>5718505062.90848</v>
      </c>
      <c r="BK13" s="58" t="n">
        <f aca="false">BJ15</f>
        <v>3632291368.0065</v>
      </c>
      <c r="BL13" s="58" t="n">
        <f aca="false">BK15</f>
        <v>653120598.756737</v>
      </c>
      <c r="BM13" s="58" t="n">
        <f aca="false">BL15</f>
        <v>362224910.416592</v>
      </c>
      <c r="BN13" s="58" t="n">
        <f aca="false">BM15</f>
        <v>3361684038.02969</v>
      </c>
      <c r="BO13" s="58" t="n">
        <f aca="false">BN15</f>
        <v>5096155318.53749</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6296662156.41106</v>
      </c>
      <c r="BV13" s="58" t="n">
        <f aca="false">BU15</f>
        <v>5718505062.90846</v>
      </c>
      <c r="BW13" s="58" t="n">
        <f aca="false">BV15</f>
        <v>3632291368.00647</v>
      </c>
      <c r="BX13" s="58" t="n">
        <f aca="false">BW15</f>
        <v>653120598.75671</v>
      </c>
      <c r="BY13" s="58" t="n">
        <f aca="false">BX15</f>
        <v>362224910.416565</v>
      </c>
      <c r="BZ13" s="58" t="n">
        <f aca="false">BY15</f>
        <v>3361684038.02966</v>
      </c>
      <c r="CA13" s="58" t="n">
        <f aca="false">BZ15</f>
        <v>5096155318.53746</v>
      </c>
      <c r="CB13" s="58" t="n">
        <f aca="false">CA15</f>
        <v>5963390958.79136</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5718505062.90843</v>
      </c>
      <c r="CI13" s="58" t="n">
        <f aca="false">CH15</f>
        <v>3632291368.00645</v>
      </c>
      <c r="CJ13" s="58" t="n">
        <f aca="false">CI15</f>
        <v>653120598.756683</v>
      </c>
      <c r="CK13" s="58" t="n">
        <f aca="false">CJ15</f>
        <v>362224910.416538</v>
      </c>
      <c r="CL13" s="58" t="n">
        <f aca="false">CK15</f>
        <v>3361684038.02964</v>
      </c>
      <c r="CM13" s="58" t="n">
        <f aca="false">CL15</f>
        <v>5096155318.53743</v>
      </c>
      <c r="CN13" s="58" t="n">
        <f aca="false">CM15</f>
        <v>5963390958.79133</v>
      </c>
      <c r="CO13" s="58" t="n">
        <f aca="false">CN15</f>
        <v>6252469505.54263</v>
      </c>
      <c r="CP13" s="58" t="n">
        <f aca="false">CO15</f>
        <v>6252469505.54263</v>
      </c>
      <c r="CQ13" s="58" t="n">
        <f aca="false">CP15</f>
        <v>6252469505.54263</v>
      </c>
      <c r="CR13" s="58" t="n">
        <f aca="false">CQ15</f>
        <v>6252469505.54263</v>
      </c>
      <c r="CS13" s="58" t="n">
        <f aca="false">CR15</f>
        <v>6296662156.411</v>
      </c>
      <c r="CT13" s="58" t="n">
        <f aca="false">CS15</f>
        <v>5718505062.9084</v>
      </c>
    </row>
    <row r="14" customFormat="false" ht="15" hidden="false" customHeight="true" outlineLevel="0" collapsed="false">
      <c r="B14" s="67" t="s">
        <v>694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2999459127.6131</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695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3164131584.42868</v>
      </c>
      <c r="R15" s="60" t="n">
        <f aca="false">MAX(R13+R14,0)</f>
        <v>4898602864.93648</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606093021.396839</v>
      </c>
      <c r="AB15" s="60" t="n">
        <f aca="false">MAX(AB13+AB14,0)</f>
        <v>315197333.056694</v>
      </c>
      <c r="AC15" s="60" t="n">
        <f aca="false">MAX(AC13+AC14,0)</f>
        <v>3314656460.66979</v>
      </c>
      <c r="AD15" s="60" t="n">
        <f aca="false">MAX(AD13+AD14,0)</f>
        <v>5049127741.17759</v>
      </c>
      <c r="AE15" s="60" t="n">
        <f aca="false">MAX(AE13+AE14,0)</f>
        <v>5916363381.43149</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6249634579.05117</v>
      </c>
      <c r="AK15" s="60" t="n">
        <f aca="false">MAX(AK13+AK14,0)</f>
        <v>5671477485.54856</v>
      </c>
      <c r="AL15" s="60" t="n">
        <f aca="false">MAX(AL13+AL14,0)</f>
        <v>3585263790.64658</v>
      </c>
      <c r="AM15" s="60" t="n">
        <f aca="false">MAX(AM13+AM14,0)</f>
        <v>653120598.75679</v>
      </c>
      <c r="AN15" s="60" t="n">
        <f aca="false">MAX(AN13+AN14,0)</f>
        <v>362224910.416645</v>
      </c>
      <c r="AO15" s="60" t="n">
        <f aca="false">MAX(AO13+AO14,0)</f>
        <v>3361684038.02974</v>
      </c>
      <c r="AP15" s="60" t="n">
        <f aca="false">MAX(AP13+AP14,0)</f>
        <v>5096155318.53754</v>
      </c>
      <c r="AQ15" s="60" t="n">
        <f aca="false">MAX(AQ13+AQ14,0)</f>
        <v>5963390958.79144</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5718505062.90851</v>
      </c>
      <c r="AX15" s="60" t="n">
        <f aca="false">MAX(AX13+AX14,0)</f>
        <v>3632291368.00653</v>
      </c>
      <c r="AY15" s="60" t="n">
        <f aca="false">MAX(AY13+AY14,0)</f>
        <v>653120598.756764</v>
      </c>
      <c r="AZ15" s="60" t="n">
        <f aca="false">MAX(AZ13+AZ14,0)</f>
        <v>362224910.416618</v>
      </c>
      <c r="BA15" s="60" t="n">
        <f aca="false">MAX(BA13+BA14,0)</f>
        <v>3361684038.02972</v>
      </c>
      <c r="BB15" s="60" t="n">
        <f aca="false">MAX(BB13+BB14,0)</f>
        <v>5096155318.53751</v>
      </c>
      <c r="BC15" s="60" t="n">
        <f aca="false">MAX(BC13+BC14,0)</f>
        <v>5963390958.79141</v>
      </c>
      <c r="BD15" s="60" t="n">
        <f aca="false">MAX(BD13+BD14,0)</f>
        <v>6252469505.54271</v>
      </c>
      <c r="BE15" s="60" t="n">
        <f aca="false">MAX(BE13+BE14,0)</f>
        <v>6252469505.54271</v>
      </c>
      <c r="BF15" s="60" t="n">
        <f aca="false">MAX(BF13+BF14,0)</f>
        <v>6252469505.54271</v>
      </c>
      <c r="BG15" s="60" t="n">
        <f aca="false">MAX(BG13+BG14,0)</f>
        <v>6252469505.54271</v>
      </c>
      <c r="BH15" s="60" t="n">
        <f aca="false">MAX(BH13+BH14,0)</f>
        <v>6296662156.41108</v>
      </c>
      <c r="BI15" s="60" t="n">
        <f aca="false">MAX(BI13+BI14,0)</f>
        <v>5718505062.90848</v>
      </c>
      <c r="BJ15" s="60" t="n">
        <f aca="false">MAX(BJ13+BJ14,0)</f>
        <v>3632291368.0065</v>
      </c>
      <c r="BK15" s="60" t="n">
        <f aca="false">MAX(BK13+BK14,0)</f>
        <v>653120598.756737</v>
      </c>
      <c r="BL15" s="60" t="n">
        <f aca="false">MAX(BL13+BL14,0)</f>
        <v>362224910.416592</v>
      </c>
      <c r="BM15" s="60" t="n">
        <f aca="false">MAX(BM13+BM14,0)</f>
        <v>3361684038.02969</v>
      </c>
      <c r="BN15" s="60" t="n">
        <f aca="false">MAX(BN13+BN14,0)</f>
        <v>5096155318.53749</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6296662156.41106</v>
      </c>
      <c r="BU15" s="60" t="n">
        <f aca="false">MAX(BU13+BU14,0)</f>
        <v>5718505062.90846</v>
      </c>
      <c r="BV15" s="60" t="n">
        <f aca="false">MAX(BV13+BV14,0)</f>
        <v>3632291368.00647</v>
      </c>
      <c r="BW15" s="60" t="n">
        <f aca="false">MAX(BW13+BW14,0)</f>
        <v>653120598.75671</v>
      </c>
      <c r="BX15" s="60" t="n">
        <f aca="false">MAX(BX13+BX14,0)</f>
        <v>362224910.416565</v>
      </c>
      <c r="BY15" s="60" t="n">
        <f aca="false">MAX(BY13+BY14,0)</f>
        <v>3361684038.02966</v>
      </c>
      <c r="BZ15" s="60" t="n">
        <f aca="false">MAX(BZ13+BZ14,0)</f>
        <v>5096155318.53746</v>
      </c>
      <c r="CA15" s="60" t="n">
        <f aca="false">MAX(CA13+CA14,0)</f>
        <v>5963390958.79136</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5718505062.90843</v>
      </c>
      <c r="CH15" s="60" t="n">
        <f aca="false">MAX(CH13+CH14,0)</f>
        <v>3632291368.00645</v>
      </c>
      <c r="CI15" s="60" t="n">
        <f aca="false">MAX(CI13+CI14,0)</f>
        <v>653120598.756683</v>
      </c>
      <c r="CJ15" s="60" t="n">
        <f aca="false">MAX(CJ13+CJ14,0)</f>
        <v>362224910.416538</v>
      </c>
      <c r="CK15" s="60" t="n">
        <f aca="false">MAX(CK13+CK14,0)</f>
        <v>3361684038.02964</v>
      </c>
      <c r="CL15" s="60" t="n">
        <f aca="false">MAX(CL13+CL14,0)</f>
        <v>5096155318.53743</v>
      </c>
      <c r="CM15" s="60" t="n">
        <f aca="false">MAX(CM13+CM14,0)</f>
        <v>5963390958.79133</v>
      </c>
      <c r="CN15" s="60" t="n">
        <f aca="false">MAX(CN13+CN14,0)</f>
        <v>6252469505.54263</v>
      </c>
      <c r="CO15" s="60" t="n">
        <f aca="false">MAX(CO13+CO14,0)</f>
        <v>6252469505.54263</v>
      </c>
      <c r="CP15" s="60" t="n">
        <f aca="false">MAX(CP13+CP14,0)</f>
        <v>6252469505.54263</v>
      </c>
      <c r="CQ15" s="60" t="n">
        <f aca="false">MAX(CQ13+CQ14,0)</f>
        <v>6252469505.54263</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696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697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698</v>
      </c>
    </row>
    <row r="22" customFormat="false" ht="39.75" hidden="false" customHeight="true" outlineLevel="0" collapsed="false">
      <c r="B22" s="21" t="s">
        <v>699</v>
      </c>
    </row>
    <row r="24" customFormat="false" ht="15" hidden="false" customHeight="false" outlineLevel="0" collapsed="false">
      <c r="A24" s="2"/>
      <c r="B24" s="79" t="s">
        <v>700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701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702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703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704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705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706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707</v>
      </c>
    </row>
    <row r="3" customFormat="false" ht="15" hidden="false" customHeight="true" outlineLevel="0" collapsed="false">
      <c r="B3" s="4" t="s">
        <v>708</v>
      </c>
    </row>
    <row r="5" customFormat="false" ht="15" hidden="false" customHeight="true" outlineLevel="0" collapsed="false">
      <c r="B5" s="92"/>
      <c r="C5" s="52" t="s">
        <v>510</v>
      </c>
      <c r="D5" s="52" t="s">
        <v>511</v>
      </c>
      <c r="E5" s="52" t="s">
        <v>512</v>
      </c>
      <c r="F5" s="52" t="s">
        <v>513</v>
      </c>
      <c r="G5" s="52" t="s">
        <v>514</v>
      </c>
      <c r="H5" s="52" t="s">
        <v>515</v>
      </c>
      <c r="I5" s="52" t="s">
        <v>516</v>
      </c>
      <c r="J5" s="52" t="s">
        <v>517</v>
      </c>
    </row>
    <row r="6" customFormat="false" ht="15" hidden="false" customHeight="true" outlineLevel="0" collapsed="false">
      <c r="B6" s="93"/>
      <c r="C6" s="94" t="s">
        <v>709</v>
      </c>
      <c r="D6" s="94" t="s">
        <v>710</v>
      </c>
      <c r="E6" s="94" t="s">
        <v>711</v>
      </c>
      <c r="F6" s="94" t="s">
        <v>712</v>
      </c>
      <c r="G6" s="94" t="s">
        <v>713</v>
      </c>
      <c r="H6" s="94" t="s">
        <v>713</v>
      </c>
      <c r="I6" s="94" t="s">
        <v>713</v>
      </c>
      <c r="J6" s="94" t="s">
        <v>713</v>
      </c>
    </row>
    <row r="7" customFormat="false" ht="15" hidden="false" customHeight="true" outlineLevel="0" collapsed="false">
      <c r="A7" s="2"/>
      <c r="B7" s="57" t="s">
        <v>714</v>
      </c>
      <c r="C7" s="9"/>
      <c r="D7" s="9"/>
      <c r="E7" s="9"/>
      <c r="F7" s="9"/>
      <c r="G7" s="9"/>
      <c r="H7" s="9"/>
      <c r="I7" s="9"/>
      <c r="J7" s="9"/>
    </row>
    <row r="8" customFormat="false" ht="15" hidden="false" customHeight="true" outlineLevel="0" collapsed="false">
      <c r="A8" s="2"/>
      <c r="B8" s="9" t="s">
        <v>715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716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717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718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719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720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721</v>
      </c>
      <c r="C16" s="9"/>
      <c r="D16" s="9"/>
      <c r="E16" s="9"/>
      <c r="F16" s="9"/>
      <c r="G16" s="9"/>
      <c r="H16" s="9"/>
      <c r="I16" s="9"/>
      <c r="J16" s="9"/>
    </row>
    <row r="17" customFormat="false" ht="15" hidden="false" customHeight="true" outlineLevel="0" collapsed="false">
      <c r="A17" s="2"/>
      <c r="B17" s="9" t="s">
        <v>722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499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501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723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724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725</v>
      </c>
      <c r="C23" s="9"/>
      <c r="D23" s="9"/>
      <c r="E23" s="9"/>
      <c r="F23" s="9"/>
      <c r="G23" s="9"/>
      <c r="H23" s="9"/>
      <c r="I23" s="9"/>
      <c r="J23" s="9"/>
    </row>
    <row r="24" customFormat="false" ht="15" hidden="false" customHeight="true" outlineLevel="0" collapsed="false">
      <c r="A24" s="2"/>
      <c r="B24" s="9" t="s">
        <v>726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727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728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729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730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731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732</v>
      </c>
      <c r="C31" s="9"/>
      <c r="D31" s="9"/>
      <c r="E31" s="9"/>
      <c r="F31" s="9"/>
      <c r="G31" s="9"/>
      <c r="H31" s="9"/>
      <c r="I31" s="9"/>
      <c r="J31" s="9"/>
    </row>
    <row r="32" customFormat="false" ht="15" hidden="false" customHeight="true" outlineLevel="0" collapsed="false">
      <c r="A32" s="2"/>
      <c r="B32" s="59" t="s">
        <v>603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733</v>
      </c>
      <c r="C35" s="2"/>
      <c r="D35" s="2"/>
      <c r="E35" s="2"/>
      <c r="F35" s="2"/>
      <c r="G35" s="2"/>
      <c r="H35" s="2"/>
      <c r="I35" s="2"/>
      <c r="J35" s="2"/>
    </row>
    <row r="36" customFormat="false" ht="15" hidden="false" customHeight="true" outlineLevel="0" collapsed="false">
      <c r="A36" s="2"/>
      <c r="B36" s="9" t="s">
        <v>734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735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736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737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738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739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740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741</v>
      </c>
      <c r="C43" s="68" t="n">
        <f aca="false">Deuda!N15</f>
        <v>3270066457.58991</v>
      </c>
      <c r="D43" s="68" t="n">
        <f aca="false">Deuda!Z15</f>
        <v>3434738914.40548</v>
      </c>
      <c r="E43" s="68" t="n">
        <f aca="false">Deuda!AL15</f>
        <v>3585263790.64658</v>
      </c>
      <c r="F43" s="68" t="n">
        <f aca="false">Deuda!AX15</f>
        <v>3632291368.00653</v>
      </c>
      <c r="G43" s="68" t="n">
        <f aca="false">Deuda!BJ15</f>
        <v>3632291368.0065</v>
      </c>
      <c r="H43" s="68" t="n">
        <f aca="false">Deuda!BV15</f>
        <v>3632291368.00647</v>
      </c>
      <c r="I43" s="68" t="n">
        <f aca="false">Deuda!CH15</f>
        <v>3632291368.00645</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742</v>
      </c>
      <c r="C45" s="2"/>
      <c r="D45" s="2"/>
      <c r="E45" s="2"/>
      <c r="F45" s="2"/>
      <c r="G45" s="2"/>
      <c r="H45" s="2"/>
      <c r="I45" s="2"/>
      <c r="J45" s="2"/>
    </row>
    <row r="46" customFormat="false" ht="15" hidden="false" customHeight="false" outlineLevel="0" collapsed="false">
      <c r="A46" s="2"/>
      <c r="B46" s="2" t="s">
        <v>743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744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745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746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747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748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749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750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751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752</v>
      </c>
      <c r="C56" s="52" t="s">
        <v>753</v>
      </c>
      <c r="D56" s="52" t="s">
        <v>754</v>
      </c>
      <c r="E56" s="52" t="s">
        <v>755</v>
      </c>
      <c r="F56" s="2"/>
      <c r="G56" s="2"/>
      <c r="H56" s="2"/>
      <c r="I56" s="2"/>
      <c r="J56" s="2"/>
    </row>
    <row r="57" customFormat="false" ht="15" hidden="false" customHeight="false" outlineLevel="0" collapsed="false">
      <c r="A57" s="2"/>
      <c r="B57" s="2" t="s">
        <v>756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757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758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759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760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761</v>
      </c>
      <c r="C66" s="2"/>
      <c r="D66" s="2"/>
      <c r="E66" s="2"/>
      <c r="F66" s="2"/>
      <c r="G66" s="2"/>
      <c r="H66" s="2"/>
      <c r="I66" s="2"/>
      <c r="J66" s="2"/>
    </row>
    <row r="67" customFormat="false" ht="15" hidden="false" customHeight="false" outlineLevel="0" collapsed="false">
      <c r="A67" s="2"/>
      <c r="B67" s="2" t="s">
        <v>762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763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755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764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765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755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766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767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755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768</v>
      </c>
      <c r="C77" s="2"/>
      <c r="D77" s="2"/>
      <c r="E77" s="2"/>
      <c r="F77" s="2"/>
      <c r="G77" s="2"/>
      <c r="H77" s="2"/>
      <c r="I77" s="2"/>
      <c r="J77" s="2"/>
    </row>
    <row r="78" customFormat="false" ht="15" hidden="false" customHeight="false" outlineLevel="0" collapsed="false">
      <c r="A78" s="2"/>
      <c r="B78" s="50" t="s">
        <v>769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770</v>
      </c>
      <c r="C2" s="2"/>
      <c r="D2" s="2"/>
      <c r="E2" s="2"/>
      <c r="F2" s="2"/>
    </row>
    <row r="3" customFormat="false" ht="15" hidden="false" customHeight="true" outlineLevel="0" collapsed="false">
      <c r="A3" s="2"/>
      <c r="B3" s="4" t="s">
        <v>771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772</v>
      </c>
      <c r="C5" s="52" t="s">
        <v>510</v>
      </c>
      <c r="D5" s="52" t="s">
        <v>511</v>
      </c>
      <c r="E5" s="52" t="s">
        <v>512</v>
      </c>
      <c r="F5" s="52" t="s">
        <v>513</v>
      </c>
      <c r="G5" s="52" t="s">
        <v>514</v>
      </c>
      <c r="H5" s="52" t="s">
        <v>515</v>
      </c>
      <c r="I5" s="52" t="s">
        <v>516</v>
      </c>
      <c r="J5" s="52" t="s">
        <v>517</v>
      </c>
    </row>
    <row r="6" customFormat="false" ht="30" hidden="false" customHeight="true" outlineLevel="0" collapsed="false">
      <c r="A6" s="2"/>
      <c r="B6" s="59" t="s">
        <v>773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774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755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775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776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777</v>
      </c>
      <c r="C12" s="9"/>
      <c r="D12" s="2"/>
      <c r="E12" s="2"/>
      <c r="F12" s="2"/>
    </row>
    <row r="13" customFormat="false" ht="15" hidden="false" customHeight="true" outlineLevel="0" collapsed="false">
      <c r="A13" s="2"/>
      <c r="B13" s="52" t="s">
        <v>778</v>
      </c>
      <c r="C13" s="52" t="s">
        <v>779</v>
      </c>
      <c r="D13" s="52" t="s">
        <v>780</v>
      </c>
      <c r="E13" s="52" t="s">
        <v>781</v>
      </c>
      <c r="F13" s="52" t="s">
        <v>782</v>
      </c>
    </row>
    <row r="14" customFormat="false" ht="15" hidden="false" customHeight="true" outlineLevel="0" collapsed="false">
      <c r="A14" s="2"/>
      <c r="B14" s="59" t="s">
        <v>783</v>
      </c>
      <c r="C14" s="33" t="n">
        <v>0.0095</v>
      </c>
      <c r="D14" s="72" t="n">
        <f aca="false">$F$6+Supuestos!$C$114*((1+C14)^6-(1+Supuestos!$C$31)^6)</f>
        <v>-3043501163.89794</v>
      </c>
      <c r="E14" s="72" t="n">
        <f aca="false">D14-$F$6</f>
        <v>-13279607466.0206</v>
      </c>
      <c r="F14" s="21" t="s">
        <v>784</v>
      </c>
    </row>
    <row r="15" customFormat="false" ht="15" hidden="false" customHeight="true" outlineLevel="0" collapsed="false">
      <c r="A15" s="2"/>
      <c r="B15" s="9"/>
      <c r="C15" s="107" t="n">
        <f aca="false">Supuestos!C31</f>
        <v>0.0195</v>
      </c>
      <c r="D15" s="72" t="n">
        <f aca="false">$F$6</f>
        <v>10236106302.1227</v>
      </c>
      <c r="E15" s="72" t="n">
        <f aca="false">D15-$F$6</f>
        <v>0</v>
      </c>
      <c r="F15" s="21" t="s">
        <v>785</v>
      </c>
    </row>
    <row r="16" customFormat="false" ht="15" hidden="false" customHeight="false" outlineLevel="0" collapsed="false">
      <c r="A16" s="2"/>
      <c r="B16" s="2"/>
      <c r="C16" s="43" t="n">
        <v>0.0295</v>
      </c>
      <c r="D16" s="72" t="n">
        <f aca="false">$F$6+Supuestos!$C$114*((1+C16)^6-(1+Supuestos!$C$31)^6)</f>
        <v>24183212623.2616</v>
      </c>
      <c r="E16" s="72" t="n">
        <f aca="false">D16-$F$6</f>
        <v>13947106321.1389</v>
      </c>
      <c r="F16" s="2"/>
    </row>
    <row r="17" customFormat="false" ht="15" hidden="false" customHeight="false" outlineLevel="0" collapsed="false">
      <c r="A17" s="2"/>
      <c r="B17" s="48" t="s">
        <v>786</v>
      </c>
      <c r="C17" s="43" t="n">
        <v>-0.015</v>
      </c>
      <c r="D17" s="72" t="n">
        <f aca="false">$F$6+Supuestos!$C$115*Supuestos!$C$118*((1+C17)^6-(1+Supuestos!$C$32)^6)</f>
        <v>12985083937.4048</v>
      </c>
      <c r="E17" s="72" t="n">
        <f aca="false">D17-$F$6</f>
        <v>2748977635.28212</v>
      </c>
      <c r="F17" s="21" t="s">
        <v>787</v>
      </c>
    </row>
    <row r="18" customFormat="false" ht="15" hidden="false" customHeight="true" outlineLevel="0" collapsed="false">
      <c r="A18" s="2"/>
      <c r="B18" s="9"/>
      <c r="C18" s="43"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3" t="n">
        <v>-0.035</v>
      </c>
      <c r="D19" s="72" t="n">
        <f aca="false">$F$6+Supuestos!$C$115*Supuestos!$C$118*((1+C19)^6-(1+Supuestos!$C$32)^6)</f>
        <v>5342269098.22583</v>
      </c>
      <c r="E19" s="72" t="n">
        <f aca="false">D19-$F$6</f>
        <v>-4893837203.89685</v>
      </c>
      <c r="F19" s="21" t="s">
        <v>788</v>
      </c>
    </row>
    <row r="20" customFormat="false" ht="15" hidden="false" customHeight="false" outlineLevel="0" collapsed="false">
      <c r="A20" s="2"/>
      <c r="B20" s="48" t="s">
        <v>789</v>
      </c>
      <c r="C20" s="43" t="n">
        <v>0.8632</v>
      </c>
      <c r="D20" s="72" t="n">
        <f aca="false">$F$6+('Resumen anual'!$F$12-'Resumen anual'!$F$9)*(C20/Supuestos!$C$34-1)</f>
        <v>-425845180.819105</v>
      </c>
      <c r="E20" s="72" t="n">
        <f aca="false">D20-$F$6</f>
        <v>-10661951482.9418</v>
      </c>
      <c r="F20" s="21" t="s">
        <v>790</v>
      </c>
    </row>
    <row r="21" customFormat="false" ht="15" hidden="false" customHeight="false" outlineLevel="0" collapsed="false">
      <c r="A21" s="2"/>
      <c r="B21" s="2"/>
      <c r="C21" s="96" t="n">
        <f aca="false">Supuestos!C34</f>
        <v>0.8932</v>
      </c>
      <c r="D21" s="72" t="n">
        <f aca="false">$F$6</f>
        <v>10236106302.1227</v>
      </c>
      <c r="E21" s="72" t="n">
        <f aca="false">D21-$F$6</f>
        <v>0</v>
      </c>
      <c r="F21" s="21" t="s">
        <v>791</v>
      </c>
    </row>
    <row r="22" customFormat="false" ht="15" hidden="false" customHeight="false" outlineLevel="0" collapsed="false">
      <c r="A22" s="2"/>
      <c r="B22" s="2"/>
      <c r="C22" s="43"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792</v>
      </c>
      <c r="C24" s="2"/>
      <c r="D24" s="2"/>
      <c r="E24" s="2"/>
      <c r="F24" s="2"/>
    </row>
    <row r="25" customFormat="false" ht="15" hidden="false" customHeight="false" outlineLevel="0" collapsed="false">
      <c r="A25" s="2"/>
      <c r="B25" s="50" t="s">
        <v>793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794</v>
      </c>
      <c r="C2" s="2"/>
      <c r="D2" s="2"/>
      <c r="E2" s="2"/>
      <c r="F2" s="2"/>
    </row>
    <row r="3" customFormat="false" ht="15" hidden="false" customHeight="true" outlineLevel="0" collapsed="false">
      <c r="A3" s="2"/>
      <c r="B3" s="4" t="s">
        <v>795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796</v>
      </c>
      <c r="C5" s="108" t="s">
        <v>797</v>
      </c>
      <c r="D5" s="108" t="s">
        <v>798</v>
      </c>
      <c r="E5" s="108" t="s">
        <v>799</v>
      </c>
      <c r="F5" s="108" t="s">
        <v>800</v>
      </c>
    </row>
    <row r="6" customFormat="false" ht="25.5" hidden="false" customHeight="true" outlineLevel="0" collapsed="false">
      <c r="A6" s="2"/>
      <c r="B6" s="15" t="s">
        <v>801</v>
      </c>
      <c r="C6" s="15" t="s">
        <v>802</v>
      </c>
      <c r="D6" s="109" t="s">
        <v>803</v>
      </c>
      <c r="E6" s="109" t="s">
        <v>804</v>
      </c>
      <c r="F6" s="21" t="s">
        <v>805</v>
      </c>
    </row>
    <row r="7" customFormat="false" ht="25.5" hidden="false" customHeight="true" outlineLevel="0" collapsed="false">
      <c r="A7" s="2"/>
      <c r="B7" s="15" t="s">
        <v>806</v>
      </c>
      <c r="C7" s="15" t="s">
        <v>807</v>
      </c>
      <c r="D7" s="110" t="n">
        <f aca="false">'Resumen anual'!F52</f>
        <v>7730895749.51375</v>
      </c>
      <c r="E7" s="110" t="n">
        <f aca="false">'Resumen anual'!J52</f>
        <v>7730895749.51375</v>
      </c>
      <c r="F7" s="21" t="s">
        <v>808</v>
      </c>
    </row>
    <row r="8" customFormat="false" ht="25.5" hidden="false" customHeight="true" outlineLevel="0" collapsed="false">
      <c r="A8" s="2"/>
      <c r="B8" s="15" t="s">
        <v>809</v>
      </c>
      <c r="C8" s="15" t="s">
        <v>810</v>
      </c>
      <c r="D8" s="111" t="n">
        <f aca="false">SUM('Gastos función'!AM23:AX23)/Supuestos!$C$127</f>
        <v>0.0150002112893749</v>
      </c>
      <c r="E8" s="111" t="n">
        <f aca="false">SUM('Gastos función'!CI23:CT23)/Supuestos!$C$127</f>
        <v>0.0150002112893749</v>
      </c>
      <c r="F8" s="21" t="s">
        <v>811</v>
      </c>
    </row>
    <row r="9" customFormat="false" ht="25.5" hidden="false" customHeight="true" outlineLevel="0" collapsed="false">
      <c r="A9" s="2"/>
      <c r="B9" s="15" t="s">
        <v>812</v>
      </c>
      <c r="C9" s="15" t="s">
        <v>813</v>
      </c>
      <c r="D9" s="111" t="n">
        <f aca="false">'Resumen anual'!F47</f>
        <v>0.5</v>
      </c>
      <c r="E9" s="111" t="n">
        <f aca="false">'Resumen anual'!J47</f>
        <v>0.5</v>
      </c>
      <c r="F9" s="21" t="s">
        <v>814</v>
      </c>
    </row>
    <row r="10" customFormat="false" ht="25.5" hidden="false" customHeight="true" outlineLevel="0" collapsed="false">
      <c r="A10" s="2"/>
      <c r="B10" s="15" t="s">
        <v>815</v>
      </c>
      <c r="C10" s="15" t="s">
        <v>816</v>
      </c>
      <c r="D10" s="109" t="s">
        <v>817</v>
      </c>
      <c r="E10" s="109" t="s">
        <v>817</v>
      </c>
      <c r="F10" s="21" t="s">
        <v>818</v>
      </c>
    </row>
    <row r="11" customFormat="false" ht="25.5" hidden="false" customHeight="true" outlineLevel="0" collapsed="false">
      <c r="A11" s="2"/>
      <c r="B11" s="15" t="s">
        <v>819</v>
      </c>
      <c r="C11" s="15" t="s">
        <v>820</v>
      </c>
      <c r="D11" s="109" t="s">
        <v>817</v>
      </c>
      <c r="E11" s="109" t="s">
        <v>817</v>
      </c>
      <c r="F11" s="21" t="s">
        <v>821</v>
      </c>
    </row>
    <row r="12" customFormat="false" ht="25.5" hidden="false" customHeight="true" outlineLevel="0" collapsed="false">
      <c r="A12" s="2"/>
      <c r="B12" s="15" t="s">
        <v>822</v>
      </c>
      <c r="C12" s="15" t="s">
        <v>823</v>
      </c>
      <c r="D12" s="109" t="s">
        <v>817</v>
      </c>
      <c r="E12" s="109" t="s">
        <v>817</v>
      </c>
      <c r="F12" s="21" t="s">
        <v>824</v>
      </c>
    </row>
    <row r="13" customFormat="false" ht="25.5" hidden="false" customHeight="true" outlineLevel="0" collapsed="false">
      <c r="A13" s="2"/>
      <c r="B13" s="15" t="s">
        <v>825</v>
      </c>
      <c r="C13" s="15" t="s">
        <v>826</v>
      </c>
      <c r="D13" s="109" t="s">
        <v>817</v>
      </c>
      <c r="E13" s="109" t="s">
        <v>817</v>
      </c>
      <c r="F13" s="21" t="s">
        <v>827</v>
      </c>
    </row>
    <row r="14" customFormat="false" ht="25.5" hidden="false" customHeight="true" outlineLevel="0" collapsed="false">
      <c r="A14" s="2"/>
      <c r="B14" s="15" t="s">
        <v>828</v>
      </c>
      <c r="C14" s="15" t="s">
        <v>829</v>
      </c>
      <c r="D14" s="109" t="s">
        <v>817</v>
      </c>
      <c r="E14" s="109" t="s">
        <v>817</v>
      </c>
      <c r="F14" s="21" t="s">
        <v>830</v>
      </c>
    </row>
    <row r="15" customFormat="false" ht="25.5" hidden="false" customHeight="true" outlineLevel="0" collapsed="false">
      <c r="A15" s="2"/>
      <c r="B15" s="15" t="s">
        <v>831</v>
      </c>
      <c r="C15" s="15" t="s">
        <v>832</v>
      </c>
      <c r="D15" s="109" t="s">
        <v>817</v>
      </c>
      <c r="E15" s="109" t="s">
        <v>817</v>
      </c>
      <c r="F15" s="21" t="s">
        <v>833</v>
      </c>
    </row>
    <row r="16" customFormat="false" ht="25.5" hidden="false" customHeight="true" outlineLevel="0" collapsed="false">
      <c r="A16" s="2"/>
      <c r="B16" s="15" t="s">
        <v>834</v>
      </c>
      <c r="C16" s="15" t="s">
        <v>835</v>
      </c>
      <c r="D16" s="109" t="s">
        <v>817</v>
      </c>
      <c r="E16" s="109" t="s">
        <v>817</v>
      </c>
      <c r="F16" s="21" t="s">
        <v>836</v>
      </c>
    </row>
    <row r="17" customFormat="false" ht="25.5" hidden="false" customHeight="true" outlineLevel="0" collapsed="false">
      <c r="A17" s="2"/>
      <c r="B17" s="15" t="s">
        <v>837</v>
      </c>
      <c r="C17" s="15" t="s">
        <v>838</v>
      </c>
      <c r="D17" s="112" t="n">
        <f aca="false">SUM(Programas!AM12:AX12)/Supuestos!$C$55</f>
        <v>6</v>
      </c>
      <c r="E17" s="112" t="n">
        <f aca="false">SUM(Programas!CI12:CT12)/Supuestos!$C$55</f>
        <v>6</v>
      </c>
      <c r="F17" s="21" t="s">
        <v>839</v>
      </c>
    </row>
    <row r="18" customFormat="false" ht="25.5" hidden="false" customHeight="true" outlineLevel="0" collapsed="false">
      <c r="A18" s="2"/>
      <c r="B18" s="15" t="s">
        <v>840</v>
      </c>
      <c r="C18" s="15" t="s">
        <v>841</v>
      </c>
      <c r="D18" s="113" t="n">
        <f aca="false">Programas!AX38</f>
        <v>1286</v>
      </c>
      <c r="E18" s="113" t="n">
        <f aca="false">SUM(Programas!CI37:CT37)</f>
        <v>928</v>
      </c>
      <c r="F18" s="21" t="s">
        <v>842</v>
      </c>
    </row>
    <row r="19" customFormat="false" ht="22.35" hidden="false" customHeight="false" outlineLevel="0" collapsed="false">
      <c r="A19" s="2"/>
      <c r="B19" s="15" t="s">
        <v>843</v>
      </c>
      <c r="C19" s="15" t="s">
        <v>844</v>
      </c>
      <c r="D19" s="109" t="s">
        <v>817</v>
      </c>
      <c r="E19" s="109" t="s">
        <v>817</v>
      </c>
      <c r="F19" s="21" t="s">
        <v>845</v>
      </c>
    </row>
    <row r="20" customFormat="false" ht="15" hidden="false" customHeight="true" outlineLevel="0" collapsed="false">
      <c r="A20" s="2"/>
      <c r="B20" s="15" t="s">
        <v>846</v>
      </c>
      <c r="C20" s="15" t="s">
        <v>847</v>
      </c>
      <c r="D20" s="109" t="s">
        <v>817</v>
      </c>
      <c r="E20" s="109" t="s">
        <v>817</v>
      </c>
      <c r="F20" s="21" t="s">
        <v>848</v>
      </c>
    </row>
    <row r="21" customFormat="false" ht="22.35" hidden="false" customHeight="false" outlineLevel="0" collapsed="false">
      <c r="A21" s="2"/>
      <c r="B21" s="15" t="s">
        <v>849</v>
      </c>
      <c r="C21" s="15" t="s">
        <v>850</v>
      </c>
      <c r="D21" s="109" t="s">
        <v>817</v>
      </c>
      <c r="E21" s="109" t="s">
        <v>817</v>
      </c>
      <c r="F21" s="21" t="s">
        <v>851</v>
      </c>
    </row>
    <row r="22" customFormat="false" ht="22.35" hidden="false" customHeight="false" outlineLevel="0" collapsed="false">
      <c r="A22" s="2"/>
      <c r="B22" s="15" t="s">
        <v>852</v>
      </c>
      <c r="C22" s="15" t="s">
        <v>853</v>
      </c>
      <c r="D22" s="109" t="s">
        <v>817</v>
      </c>
      <c r="E22" s="109" t="s">
        <v>817</v>
      </c>
      <c r="F22" s="21" t="s">
        <v>854</v>
      </c>
    </row>
    <row r="23" customFormat="false" ht="22.35" hidden="false" customHeight="false" outlineLevel="0" collapsed="false">
      <c r="A23" s="2"/>
      <c r="B23" s="15" t="s">
        <v>855</v>
      </c>
      <c r="C23" s="15" t="s">
        <v>856</v>
      </c>
      <c r="D23" s="109" t="s">
        <v>817</v>
      </c>
      <c r="E23" s="109" t="s">
        <v>817</v>
      </c>
      <c r="F23" s="21" t="s">
        <v>857</v>
      </c>
    </row>
    <row r="24" customFormat="false" ht="22.35" hidden="false" customHeight="false" outlineLevel="0" collapsed="false">
      <c r="A24" s="2"/>
      <c r="B24" s="15" t="s">
        <v>858</v>
      </c>
      <c r="C24" s="15" t="s">
        <v>859</v>
      </c>
      <c r="D24" s="109" t="s">
        <v>817</v>
      </c>
      <c r="E24" s="109" t="s">
        <v>817</v>
      </c>
      <c r="F24" s="21" t="s">
        <v>860</v>
      </c>
    </row>
    <row r="25" customFormat="false" ht="32.8" hidden="false" customHeight="false" outlineLevel="0" collapsed="false">
      <c r="A25" s="2"/>
      <c r="B25" s="15" t="s">
        <v>861</v>
      </c>
      <c r="C25" s="15" t="s">
        <v>862</v>
      </c>
      <c r="D25" s="109" t="s">
        <v>817</v>
      </c>
      <c r="E25" s="109" t="s">
        <v>817</v>
      </c>
      <c r="F25" s="21" t="s">
        <v>863</v>
      </c>
    </row>
    <row r="26" customFormat="false" ht="15" hidden="false" customHeight="false" outlineLevel="0" collapsed="false">
      <c r="A26" s="2"/>
      <c r="B26" s="2"/>
      <c r="C26" s="2"/>
      <c r="D26" s="2"/>
      <c r="E26" s="2"/>
      <c r="F26" s="2"/>
    </row>
    <row r="27" customFormat="false" ht="15" hidden="false" customHeight="false" outlineLevel="0" collapsed="false">
      <c r="A27" s="2"/>
      <c r="B27" s="50" t="s">
        <v>864</v>
      </c>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2026-10-07T07:57:56Z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