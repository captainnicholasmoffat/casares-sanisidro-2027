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Guía" sheetId="1" state="visible" r:id="rId3"/>
    <sheet name="Supuestos" sheetId="2" state="visible" r:id="rId4"/>
    <sheet name="Estacionalidad" sheetId="3" state="visible" r:id="rId5"/>
    <sheet name="Recursos" sheetId="4" state="visible" r:id="rId6"/>
    <sheet name="Gastos objeto" sheetId="5" state="visible" r:id="rId7"/>
    <sheet name="Flujo mensual" sheetId="6" state="visible" r:id="rId8"/>
    <sheet name="Gastos función" sheetId="7" state="visible" r:id="rId9"/>
    <sheet name="Vecinal" sheetId="8" state="visible" r:id="rId10"/>
    <sheet name="Programas" sheetId="9" state="visible" r:id="rId11"/>
    <sheet name="Deuda" sheetId="10" state="visible" r:id="rId12"/>
    <sheet name="Resumen anual" sheetId="11" state="visible" r:id="rId13"/>
    <sheet name="Escenarios" sheetId="12" state="visible" r:id="rId14"/>
    <sheet name="Metas"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<sst xmlns="http://schemas.openxmlformats.org/spreadsheetml/2006/main" count="1298" uniqueCount="519">
  <si>
    <t xml:space="preserve">MODELO FISCAL · MUNICIPIO DE SAN ISIDRO</t>
  </si>
  <si>
    <t xml:space="preserve">Proyección mensual 2028–2035 · ocho ejercicios · estructura RAFAM</t>
  </si>
  <si>
    <t xml:space="preserve">QUÉ ES</t>
  </si>
  <si>
    <t xml:space="preserve">Proyección mes a mes del flujo de caja municipal para los cuatro años del mandato (2028–2031) y los cuatro siguientes, para ver qué queda instalado.</t>
  </si>
  <si>
    <t xml:space="preserve">ESTRUCTURA</t>
  </si>
  <si>
    <t xml:space="preserve">Sigue el clasificador RAFAM de la Provincia de Buenos Aires, Decreto 2.980/2000: recursos por rubro y por procedencia, gastos por objeto y por finalidad y función.</t>
  </si>
  <si>
    <t xml:space="preserve">UNIDAD</t>
  </si>
  <si>
    <t xml:space="preserve">Pesos constantes de diciembre de 2025. Sin supuesto de inflación: todo crecimiento que aparece es real.</t>
  </si>
  <si>
    <t xml:space="preserve">AÑO BASE</t>
  </si>
  <si>
    <t xml:space="preserve">2025 es ejecución real, no estimación. Fuente: estados de ejecución presupuestaria del Municipio, acumulado anual.</t>
  </si>
  <si>
    <t xml:space="preserve">DEVENGADO Y PERCIBIDO</t>
  </si>
  <si>
    <t xml:space="preserve">Los recursos se proyectan devengados y se convierten a percibidos con la tasa de cobranza. Los gastos se devengan y se pagan con rezago: la diferencia es la deuda flotante.</t>
  </si>
  <si>
    <t xml:space="preserve">COLORES</t>
  </si>
  <si>
    <t xml:space="preserve">Azul: dato de entrada o palanca de escenario. Las únicas celdas editables.</t>
  </si>
  <si>
    <t xml:space="preserve">Negro: fórmula dentro de la misma hoja.</t>
  </si>
  <si>
    <t xml:space="preserve">Verde: vínculo a otra hoja.</t>
  </si>
  <si>
    <t xml:space="preserve">Fondo amarillo: supuesto clave.</t>
  </si>
  <si>
    <t xml:space="preserve">HOJAS</t>
  </si>
  <si>
    <t xml:space="preserve">Supuestos</t>
  </si>
  <si>
    <t xml:space="preserve">Todos los parámetros, con fuente y nota. Única hoja donde se escribe.</t>
  </si>
  <si>
    <t xml:space="preserve">Estacionalidad</t>
  </si>
  <si>
    <t xml:space="preserve">Perfil mensual de cada rubro y cada objeto del gasto.</t>
  </si>
  <si>
    <t xml:space="preserve">Recursos</t>
  </si>
  <si>
    <t xml:space="preserve">96 meses por rubro RAFAM, con devengado y percibido separados.</t>
  </si>
  <si>
    <t xml:space="preserve">Gastos objeto</t>
  </si>
  <si>
    <t xml:space="preserve">96 meses por objeto del gasto: personal, bienes de consumo, servicios, bienes de uso, transferencias, deuda.</t>
  </si>
  <si>
    <t xml:space="preserve">Gastos función</t>
  </si>
  <si>
    <t xml:space="preserve">Los mismos gastos abiertos por finalidad y función: salud, seguridad, urbanismo, educación y el resto.</t>
  </si>
  <si>
    <t xml:space="preserve">Flujo mensual</t>
  </si>
  <si>
    <t xml:space="preserve">Caja mes a mes con rezago de pago, deuda flotante y alerta de mínimo.</t>
  </si>
  <si>
    <t xml:space="preserve">Vecinal</t>
  </si>
  <si>
    <t xml:space="preserve">La rampa del 12,5% al 50% y el reparto entre las seis zonas.</t>
  </si>
  <si>
    <t xml:space="preserve">Programas</t>
  </si>
  <si>
    <t xml:space="preserve">Los programas del capítulo 5 con su curva de implementación.</t>
  </si>
  <si>
    <t xml:space="preserve">Deuda</t>
  </si>
  <si>
    <t xml:space="preserve">Stock, servicio y margen contra el tope del artículo 49 bis.</t>
  </si>
  <si>
    <t xml:space="preserve">Resumen anual</t>
  </si>
  <si>
    <t xml:space="preserve">Los ocho ejercicios en una página, con la cuenta Ahorro-Inversión completa.</t>
  </si>
  <si>
    <t xml:space="preserve">Escenarios</t>
  </si>
  <si>
    <t xml:space="preserve">Base, adverso y favorable, con las cuatro palancas.</t>
  </si>
  <si>
    <t xml:space="preserve">Metas</t>
  </si>
  <si>
    <t xml:space="preserve">Las doce metas del capítulo 6 con su valor proyectado.</t>
  </si>
  <si>
    <t xml:space="preserve">Este modelo proyecta el marco fiscal, no el resultado de las políticas. Que haya fondos para una obra no significa que la obra se haga bien ni a tiempo.</t>
  </si>
  <si>
    <t xml:space="preserve">POR QUÉ ESTE MODELO NO DA LO MISMO QUE EL CUADRO 17 DEL PROGRAMA</t>
  </si>
  <si>
    <t xml:space="preserve">El programa impreso proyecta el resultado financiero en su cuadro 17 con un modelo anterior y más simple: congela el gasto en el valor de 2025 y no incorpora la mejora de cobranza hasta el escenario reformista. Da +3.166 millones para 2028.</t>
  </si>
  <si>
    <t xml:space="preserve">Este modelo reconstruye el gasto por objeto sobre la base declarada de 324.304 millones, proyecta sólo la amortización programada de la deuda en lugar del servicio no recurrente de 2025, y aplica la mejora de cobranza desde el primer año. Da +13.517 millones para 2028.</t>
  </si>
  <si>
    <t xml:space="preserve">Las dos cifras son internamente consistentes y ninguna es un error. Miden cosas distintas: la del programa es deliberadamente conservadora y sirve para mostrar que el déficit se cierra aun sin hacer nada; la de este modelo es la proyección detallada del mandato con la propuesta aplicada.</t>
  </si>
  <si>
    <t xml:space="preserve">Si hay que publicar una sola cifra, usar la del programa impreso: es la más baja de las dos y por lo tanto la más difícil de discutir.</t>
  </si>
  <si>
    <t xml:space="preserve">SUPUESTOS DEL MODELO</t>
  </si>
  <si>
    <t xml:space="preserve">Pesos constantes de diciembre de 2025. Las celdas azules son las únicas editables.</t>
  </si>
  <si>
    <t xml:space="preserve">A · RECURSOS 2025 POR RUBRO RAFAM · DEVENGADO Y PERCIBIDO (ejecución real)</t>
  </si>
  <si>
    <t xml:space="preserve">Ingresos tributarios · devengado</t>
  </si>
  <si>
    <t xml:space="preserve">Rubro 1.1. Tasa de Servicios Generales y demás tributos</t>
  </si>
  <si>
    <t xml:space="preserve">Ingresos tributarios · percibido</t>
  </si>
  <si>
    <t xml:space="preserve">Rubro 1.1. Se percibió el 100% de lo devengado</t>
  </si>
  <si>
    <t xml:space="preserve">Ingresos no tributarios · devengado</t>
  </si>
  <si>
    <t xml:space="preserve">Rubro 1.2. Seguridad e Higiene, derechos, concesiones y coparticipación</t>
  </si>
  <si>
    <t xml:space="preserve">Ingresos no tributarios · percibido</t>
  </si>
  <si>
    <t xml:space="preserve">Rubro 1.2. Quedaron sin cobrar 35.994 millones: el 15,6% de lo devengado</t>
  </si>
  <si>
    <t xml:space="preserve">Rentas de la propiedad</t>
  </si>
  <si>
    <t xml:space="preserve">Rubro 1.6. Intereses de colocaciones y alquileres</t>
  </si>
  <si>
    <t xml:space="preserve">Transferencias corrientes</t>
  </si>
  <si>
    <t xml:space="preserve">Rubro 1.7. Transferencias de Provincia y Nación no coparticipadas</t>
  </si>
  <si>
    <t xml:space="preserve">Recursos propios de capital</t>
  </si>
  <si>
    <t xml:space="preserve">Rubro 2.1. Venta de activos</t>
  </si>
  <si>
    <t xml:space="preserve">B · GASTOS 2025 POR OBJETO · DEVENGADO Y PAGADO (ejecución real)</t>
  </si>
  <si>
    <t xml:space="preserve">Gastos en personal · devengado</t>
  </si>
  <si>
    <t xml:space="preserve">Objeto 1. El 34,4% del gasto total: el vigésimo municipio con menor peso salarial de 106</t>
  </si>
  <si>
    <t xml:space="preserve">Gastos en personal · pagado</t>
  </si>
  <si>
    <t xml:space="preserve">Pagado 2025. La diferencia con el devengado alimenta la deuda flotante</t>
  </si>
  <si>
    <t xml:space="preserve">Bienes de consumo · devengado</t>
  </si>
  <si>
    <t xml:space="preserve">Objeto 2. Insumos, incluidos los de los tres hospitales</t>
  </si>
  <si>
    <t xml:space="preserve">Bienes de consumo · pagado</t>
  </si>
  <si>
    <t xml:space="preserve">Servicios no personales · devengado</t>
  </si>
  <si>
    <t xml:space="preserve">Objeto 3. Contratos: recolección, seguridad, mantenimiento</t>
  </si>
  <si>
    <t xml:space="preserve">Servicios no personales · pagado</t>
  </si>
  <si>
    <t xml:space="preserve">Bienes de uso · devengado</t>
  </si>
  <si>
    <t xml:space="preserve">Objeto 4. La obra pública. El 17,8% del gasto: cuarto de 106 municipios</t>
  </si>
  <si>
    <t xml:space="preserve">Bienes de uso · pagado</t>
  </si>
  <si>
    <t xml:space="preserve">Transferencias · devengado</t>
  </si>
  <si>
    <t xml:space="preserve">Objeto 5. Subsidios y aportes a terceros</t>
  </si>
  <si>
    <t xml:space="preserve">Transferencias · pagado</t>
  </si>
  <si>
    <t xml:space="preserve">Activos financieros · devengado</t>
  </si>
  <si>
    <t xml:space="preserve">Objeto 6</t>
  </si>
  <si>
    <t xml:space="preserve">Activos financieros · pagado</t>
  </si>
  <si>
    <t xml:space="preserve">Servicio de la deuda · devengado</t>
  </si>
  <si>
    <t xml:space="preserve">Objeto 7. Amortización e intereses</t>
  </si>
  <si>
    <t xml:space="preserve">Servicio de la deuda · pagado</t>
  </si>
  <si>
    <t xml:space="preserve">C · PARÁMETROS DE PROYECCIÓN</t>
  </si>
  <si>
    <t xml:space="preserve">Crecimiento real anual de recursos propios</t>
  </si>
  <si>
    <t xml:space="preserve">Serie 2010–2025 en pesos constantes, punta a punta, 7 años con dato. La media de los seis tramos da 3,49% con desvío de 8,14 puntos</t>
  </si>
  <si>
    <t xml:space="preserve">Caída real anual de la coparticipación</t>
  </si>
  <si>
    <t xml:space="preserve">Participación de San Isidro en el total transferido a los 135 municipios, 2021–2025: de 1,9378% a 1,7731%</t>
  </si>
  <si>
    <t xml:space="preserve">Cobrabilidad de no tributarios · base</t>
  </si>
  <si>
    <t xml:space="preserve">195.410 percibido sobre 231.404 devengado, ejercicio 2025</t>
  </si>
  <si>
    <t xml:space="preserve">Cobrabilidad de no tributarios · meta año 4</t>
  </si>
  <si>
    <t xml:space="preserve">Equivale a llevar la percepción de recursos corrientes del 89,32% al 92% del capítulo 6</t>
  </si>
  <si>
    <t xml:space="preserve">Crecimiento real del gasto en personal</t>
  </si>
  <si>
    <t xml:space="preserve">Supuesto conservador. Palanca de escenario</t>
  </si>
  <si>
    <t xml:space="preserve">Crecimiento real del resto del gasto corriente</t>
  </si>
  <si>
    <t xml:space="preserve">Rezago de pago · bienes y servicios (meses)</t>
  </si>
  <si>
    <t xml:space="preserve">Diferencia observada entre devengado y pagado 2025, expresada en meses</t>
  </si>
  <si>
    <t xml:space="preserve">Rezago de pago · obra pública (meses)</t>
  </si>
  <si>
    <t xml:space="preserve">La certificación de obra se paga con más demora que una factura corriente</t>
  </si>
  <si>
    <t xml:space="preserve">Saldo de caja mínimo · meses de gasto</t>
  </si>
  <si>
    <t xml:space="preserve">Convención prudencial: medio mes de gasto total como piso operativo</t>
  </si>
  <si>
    <t xml:space="preserve">D · LA PARTIDA VECINAL</t>
  </si>
  <si>
    <t xml:space="preserve">Año 1 · % de la obra a comisiones vecinales</t>
  </si>
  <si>
    <t xml:space="preserve">Rampa del capítulo 4. Al año 4 son 28.908 millones: el 8,9% del gasto devengado de 2025</t>
  </si>
  <si>
    <t xml:space="preserve">Año 2 · %</t>
  </si>
  <si>
    <t xml:space="preserve">Año 3 · %</t>
  </si>
  <si>
    <t xml:space="preserve">Año 4 · %</t>
  </si>
  <si>
    <t xml:space="preserve">Años 5 a 8 · %</t>
  </si>
  <si>
    <t xml:space="preserve">E · PROGRAMAS DEL CAPÍTULO 5</t>
  </si>
  <si>
    <t xml:space="preserve">Empleo y vivienda · base 2025</t>
  </si>
  <si>
    <t xml:space="preserve">170,3 M de empleo más 335,4 M de vivienda, devengado 2025</t>
  </si>
  <si>
    <t xml:space="preserve">Empleo y vivienda · objetivo anual</t>
  </si>
  <si>
    <t xml:space="preserve">Meta del capítulo 6. Es 15,3 veces la base</t>
  </si>
  <si>
    <t xml:space="preserve">Ambiente · base 2025</t>
  </si>
  <si>
    <t xml:space="preserve">Función 4.4, Ecología y Medio Ambiente, sobre el gasto total</t>
  </si>
  <si>
    <t xml:space="preserve">Ambiente · objetivo</t>
  </si>
  <si>
    <t xml:space="preserve">Meta del capítulo 6</t>
  </si>
  <si>
    <t xml:space="preserve">Educación · recomposición anual</t>
  </si>
  <si>
    <t xml:space="preserve">Devolver la función educativa al nivel real de 2024, que cayó 11,5%</t>
  </si>
  <si>
    <t xml:space="preserve">Digitalización · inversión inicial</t>
  </si>
  <si>
    <t xml:space="preserve">ESTIMACIÓN PROPIA, NO VERIFICADA. Debe licitarse antes de comprometerse</t>
  </si>
  <si>
    <t xml:space="preserve">Apoyo escolar · costo anual por sede</t>
  </si>
  <si>
    <t xml:space="preserve">ESTIMACIÓN PROPIA, NO VERIFICADA. Debe presupuestarse</t>
  </si>
  <si>
    <t xml:space="preserve">Salud · adhesión al sistema provincial</t>
  </si>
  <si>
    <t xml:space="preserve">Mi Salud Digital no tiene costo de licencia para el municipio que adhiere</t>
  </si>
  <si>
    <t xml:space="preserve">F · DEUDA Y LÍMITES LEGALES</t>
  </si>
  <si>
    <t xml:space="preserve">Stock de deuda al 30/12/2025</t>
  </si>
  <si>
    <t xml:space="preserve">Formulario Ley 12.462, cuarto trimestre 2025</t>
  </si>
  <si>
    <t xml:space="preserve">Deuda flotante al 30/12/2025</t>
  </si>
  <si>
    <t xml:space="preserve">Deuda de corto plazo con proveedores, según el propio formulario</t>
  </si>
  <si>
    <t xml:space="preserve">Amortización anual del stock</t>
  </si>
  <si>
    <t xml:space="preserve">Formulario Ley 12.462. El stock se extingue durante el tercer año</t>
  </si>
  <si>
    <t xml:space="preserve">Tope de servicio sobre recursos corrientes</t>
  </si>
  <si>
    <t xml:space="preserve">Artículo 49 bis de la Ley Orgánica de las Municipalidades</t>
  </si>
  <si>
    <t xml:space="preserve">Adhesión vecinal exigida</t>
  </si>
  <si>
    <t xml:space="preserve">Artículo 132 de la LOM: 60% de los beneficiarios por escrito</t>
  </si>
  <si>
    <t xml:space="preserve">Las líneas marcadas ESTIMACIÓN PROPIA, NO VERIFICADA no provienen de una fuente oficial. Son del equipo de este programa y deben licitarse o presupuestarse antes de comprometerse.</t>
  </si>
  <si>
    <t xml:space="preserve">NOTA SOBRE LA RECONSTRUCCIÓN DEL AÑO BASE</t>
  </si>
  <si>
    <t xml:space="preserve">El gasto devengado de 2025 fue 324.304 millones, de los cuales 14.966 fueron servicio de la deuda. El modelo proyecta sólo la amortización programada del stock —3.388 millones anuales hasta extinguirlo— porque el resto correspondió a cancelaciones no recurrentes. Por eso el gasto del año 1 arranca por debajo del de 2025, y la diferencia no es un ajuste sino un servicio de deuda que no se repite.</t>
  </si>
  <si>
    <t xml:space="preserve">Los recursos del año 1 arrancan por encima de 2025 porque el modelo aplica tres años de crecimiento real acumulado entre el año base y el primer ejercicio del mandato.</t>
  </si>
  <si>
    <t xml:space="preserve">Los dos primeros meses del modelo se pagan sin rezago: no hay historia previa y aplicarlo inventaría deuda flotante inexistente.</t>
  </si>
  <si>
    <t xml:space="preserve">G · AFECTACIÓN DE LOS RECURSOS (códigos de origen y procedencia RAFAM)</t>
  </si>
  <si>
    <t xml:space="preserve">Origen municipal · % de libre disponibilidad</t>
  </si>
  <si>
    <t xml:space="preserve">Código 11. Proporción observada en municipios comparables: la mayor parte de las tasas no tiene destino específico</t>
  </si>
  <si>
    <t xml:space="preserve">Origen provincial · % de libre disponibilidad</t>
  </si>
  <si>
    <t xml:space="preserve">Código 21. La coparticipación Ley 10.559 es de libre disponibilidad; el Fondo Educativo y los fondos sanitarios son afectados</t>
  </si>
  <si>
    <t xml:space="preserve">Origen nacional y otros · % de libre disponibilidad</t>
  </si>
  <si>
    <t xml:space="preserve">Códigos 31 y 41. Prácticamente todo lo nacional llega afectado a un destino</t>
  </si>
  <si>
    <t xml:space="preserve">Saldo inicial · cuenta de libre disponibilidad</t>
  </si>
  <si>
    <t xml:space="preserve">ESTIMACIÓN. El Municipio no publica la composición de sus disponibilidades al cierre; debe reemplazarse por el saldo real al asumir</t>
  </si>
  <si>
    <t xml:space="preserve">Saldo inicial · cuenta 111220000 de afectados</t>
  </si>
  <si>
    <t xml:space="preserve">ESTIMACIÓN. Ídem anterior. Los fondos con afectación específica van en cuenta separada y no pueden usarse para otro destino</t>
  </si>
  <si>
    <t xml:space="preserve">H · RETENCIONES Y FONDOS DE TERCEROS</t>
  </si>
  <si>
    <t xml:space="preserve">Retenciones sobre sueldos · % de la masa salarial</t>
  </si>
  <si>
    <t xml:space="preserve">IPS, IOMA, sindicatos, seguros y embargos. Se retienen al liquidar y se depositan al mes siguiente</t>
  </si>
  <si>
    <t xml:space="preserve">Retenciones a proveedores · % de pagos de bienes y servicios</t>
  </si>
  <si>
    <t xml:space="preserve">Ingresos Brutos, SUSS y ganancias. Se retienen al pagar y se depositan al mes siguiente</t>
  </si>
  <si>
    <t xml:space="preserve">Garantías y depósitos en garantía · % de la obra</t>
  </si>
  <si>
    <t xml:space="preserve">Fondo de reparo de obra pública: se retiene del certificado y se devuelve a la recepción definitiva</t>
  </si>
  <si>
    <t xml:space="preserve">Rezago de depósito de retenciones (meses)</t>
  </si>
  <si>
    <t xml:space="preserve">Las retenciones del mes se depositan al mes siguiente. Es financiamiento gratuito de corto plazo, y por eso hay que verlo</t>
  </si>
  <si>
    <t xml:space="preserve">I · DEUDA POR ACREEDOR (planilla C, evolución del pasivo)</t>
  </si>
  <si>
    <t xml:space="preserve">Tesoro Provincial · saldo</t>
  </si>
  <si>
    <t xml:space="preserve">ESTIMACIÓN de la composición. El stock total de 8.960 millones sí es dato oficial del formulario Ley 12.462</t>
  </si>
  <si>
    <t xml:space="preserve">Banco de la Provincia · saldo</t>
  </si>
  <si>
    <t xml:space="preserve">ESTIMACIÓN de la composición. Incluye el préstamo de 1.000 millones tomado en el segundo trimestre de 2026</t>
  </si>
  <si>
    <t xml:space="preserve">Otros organismos · saldo</t>
  </si>
  <si>
    <t xml:space="preserve">ESTIMACIÓN de la composición</t>
  </si>
  <si>
    <t xml:space="preserve">Tasa de interés real anual de la deuda</t>
  </si>
  <si>
    <t xml:space="preserve">En pesos constantes, la deuda provincial de desendeudamiento no devenga interés real relevante</t>
  </si>
  <si>
    <t xml:space="preserve">Plazo remanente promedio (meses)</t>
  </si>
  <si>
    <t xml:space="preserve">Resulta de dividir el stock por la amortización anual del formulario Ley 12.462</t>
  </si>
  <si>
    <t xml:space="preserve">J · OTROS MOVIMIENTOS FINANCIEROS</t>
  </si>
  <si>
    <t xml:space="preserve">Rendimiento real anual de las colocaciones</t>
  </si>
  <si>
    <t xml:space="preserve">Interés sobre los saldos ociosos de tesorería. El RAFAM autoriza invertir excedentes transitorios</t>
  </si>
  <si>
    <t xml:space="preserve">Cheques diferidos · % de pagos de bienes y servicios</t>
  </si>
  <si>
    <t xml:space="preserve">Palanca. En cero el Municipio no usa cheques diferidos; subirlo muestra cuánta caja libera y a costa de qué</t>
  </si>
  <si>
    <t xml:space="preserve">Plazo del cheque diferido (meses)</t>
  </si>
  <si>
    <t xml:space="preserve">Plazo habitual de un cheque de pago diferido municipal</t>
  </si>
  <si>
    <t xml:space="preserve">Cancelación de la deuda flotante heredada · años</t>
  </si>
  <si>
    <t xml:space="preserve">En cuántos años se cancela el arrastre de 8.231 millones. Es una decisión, no un dato</t>
  </si>
  <si>
    <t xml:space="preserve">K · BONO DE INFRAESTRUCTURA 2026</t>
  </si>
  <si>
    <t xml:space="preserve">Bono · capital colocado</t>
  </si>
  <si>
    <t xml:space="preserve">Colocado el 13/08/2026. Ofertas por 38.576 M, 1,29 veces el monto. Autorizado por Nación, Provincia y Concejo</t>
  </si>
  <si>
    <t xml:space="preserve">Bono · tasa nominal anual al momento</t>
  </si>
  <si>
    <t xml:space="preserve">TAMAR más 7%. Es tasa variable: este valor es el vigente a la colocación, no una proyección</t>
  </si>
  <si>
    <t xml:space="preserve">Bono · cuotas de capital</t>
  </si>
  <si>
    <t xml:space="preserve">Ocho cuotas trimestrales del 12,5%, amortización alemana</t>
  </si>
  <si>
    <t xml:space="preserve">Bono · primera cuota, mes desde la emisión</t>
  </si>
  <si>
    <t xml:space="preserve">Mes 15 contado desde agosto de 2026: noviembre de 2027</t>
  </si>
  <si>
    <t xml:space="preserve">Bono · capital pendiente al 1/1/2028</t>
  </si>
  <si>
    <t xml:space="preserve">Quedan siete de las ocho cuotas: el 87,5% del capital lo paga el mandato que arranca en 2028</t>
  </si>
  <si>
    <t xml:space="preserve">PERFIL MENSUAL POR RUBRO Y POR OBJETO</t>
  </si>
  <si>
    <t xml:space="preserve">Un municipio no cobra ni gasta doce doceavos parejos. Cada fila suma 100%.</t>
  </si>
  <si>
    <t xml:space="preserve">CONCEPTO</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</si>
  <si>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</si>
  <si>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</si>
  <si>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</si>
  <si>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</si>
  <si>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</si>
  <si>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</si>
  <si>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</si>
  <si>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</si>
  <si>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</si>
  <si>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</si>
  <si>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</si>
  <si>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</si>
  <si>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t>
  </si>
  <si>
    <t xml:space="preserve">NOTA</t>
  </si>
  <si>
    <t xml:space="preserve">Ingresos tributarios</t>
  </si>
  <si>
    <t xml:space="preserve">Pico en enero por el pago anual anticipado con descuento; el resto, cuota bimestral</t>
  </si>
  <si>
    <t xml:space="preserve">Ingresos no tributarios</t>
  </si>
  <si>
    <t xml:space="preserve">Seguridad e Higiene es mensual y la coparticipación es continua</t>
  </si>
  <si>
    <t xml:space="preserve">Rentas y transferencias</t>
  </si>
  <si>
    <t xml:space="preserve">Sin estacionalidad relevante</t>
  </si>
  <si>
    <t xml:space="preserve">Recursos de capital</t>
  </si>
  <si>
    <t xml:space="preserve">Sigue el avance de obra</t>
  </si>
  <si>
    <t xml:space="preserve">Personal (sin aguinaldo)</t>
  </si>
  <si>
    <t xml:space="preserve">Doce sueldos parejos</t>
  </si>
  <si>
    <t xml:space="preserve">Aguinaldo</t>
  </si>
  <si>
    <t xml:space="preserve">Medio en junio, medio en diciembre</t>
  </si>
  <si>
    <t xml:space="preserve">Bienes de consumo</t>
  </si>
  <si>
    <t xml:space="preserve">Compras con receso en enero y diciembre</t>
  </si>
  <si>
    <t xml:space="preserve">Servicios no personales</t>
  </si>
  <si>
    <t xml:space="preserve">Contratos mensuales, casi parejos</t>
  </si>
  <si>
    <t xml:space="preserve">Bienes de uso (obra)</t>
  </si>
  <si>
    <t xml:space="preserve">Curva de obra: arranque lento en verano, pico marzo a noviembre</t>
  </si>
  <si>
    <t xml:space="preserve">Transferencias</t>
  </si>
  <si>
    <t xml:space="preserve">Aportes periódicos</t>
  </si>
  <si>
    <t xml:space="preserve">RECURSOS MENSUALES POR RUBRO RAFAM · 2028–2035</t>
  </si>
  <si>
    <t xml:space="preserve">Devengado y percibido separados. La diferencia es lo que el Municipio factura y no cobra.</t>
  </si>
  <si>
    <t xml:space="preserve">AÑO</t>
  </si>
  <si>
    <t xml:space="preserve">2028</t>
  </si>
  <si>
    <t xml:space="preserve">2029</t>
  </si>
  <si>
    <t xml:space="preserve">2030</t>
  </si>
  <si>
    <t xml:space="preserve">2031</t>
  </si>
  <si>
    <t xml:space="preserve">2032</t>
  </si>
  <si>
    <t xml:space="preserve">2033</t>
  </si>
  <si>
    <t xml:space="preserve">2034</t>
  </si>
  <si>
    <t xml:space="preserve">2035</t>
  </si>
  <si>
    <t xml:space="preserve">MES</t>
  </si>
  <si>
    <t xml:space="preserve">DEVENGADO</t>
  </si>
  <si>
    <t xml:space="preserve">Total devengado</t>
  </si>
  <si>
    <t xml:space="preserve">COBRABILIDAD Y PERCIBIDO</t>
  </si>
  <si>
    <t xml:space="preserve">Cobrabilidad de no tributarios</t>
  </si>
  <si>
    <t xml:space="preserve">Tributarios percibidos</t>
  </si>
  <si>
    <t xml:space="preserve">No tributarios percibidos</t>
  </si>
  <si>
    <t xml:space="preserve">Resto percibido</t>
  </si>
  <si>
    <t xml:space="preserve">TOTAL PERCIBIDO</t>
  </si>
  <si>
    <t xml:space="preserve">Memo · facturado y no cobrado en el mes</t>
  </si>
  <si>
    <t xml:space="preserve">Memo · percepción sobre devengado</t>
  </si>
  <si>
    <t xml:space="preserve">GASTOS MENSUALES POR OBJETO · 2028–2035</t>
  </si>
  <si>
    <t xml:space="preserve">Clasificador RAFAM. Devengado, con el pagado calculado aparte por el rezago de cada objeto.</t>
  </si>
  <si>
    <t xml:space="preserve">DEVENGADO POR OBJETO</t>
  </si>
  <si>
    <t xml:space="preserve">1 · Personal (sin aguinaldo)</t>
  </si>
  <si>
    <t xml:space="preserve">1 · Aguinaldo</t>
  </si>
  <si>
    <t xml:space="preserve">2 · Bienes de consumo</t>
  </si>
  <si>
    <t xml:space="preserve">3 · Servicios no personales</t>
  </si>
  <si>
    <t xml:space="preserve">4 · Bienes de uso (obra pública)</t>
  </si>
  <si>
    <t xml:space="preserve">5 · Transferencias</t>
  </si>
  <si>
    <t xml:space="preserve">6 · Activos financieros</t>
  </si>
  <si>
    <t xml:space="preserve">7 · Servicio de la deuda</t>
  </si>
  <si>
    <t xml:space="preserve">Programas nuevos del capítulo 5</t>
  </si>
  <si>
    <t xml:space="preserve">TOTAL DEVENGADO</t>
  </si>
  <si>
    <t xml:space="preserve">PAGADO · DEVENGADO CON REZAGO</t>
  </si>
  <si>
    <t xml:space="preserve">Personal y deuda (sin rezago)</t>
  </si>
  <si>
    <t xml:space="preserve">Bienes y servicios pagados</t>
  </si>
  <si>
    <t xml:space="preserve">Obra pública pagada</t>
  </si>
  <si>
    <t xml:space="preserve">TOTAL PAGADO</t>
  </si>
  <si>
    <t xml:space="preserve">Memo · devengado y no pagado en el mes (deuda flotante del período)</t>
  </si>
  <si>
    <t xml:space="preserve">Memo · rigidez del mes (personal, servicios y deuda sobre el total)</t>
  </si>
  <si>
    <t xml:space="preserve">Los dos primeros meses del modelo se pagan sin rezago porque no hay historia previa: de otro modo el modelo inventaría deuda flotante que no existe.</t>
  </si>
  <si>
    <t xml:space="preserve">FLUJO DE FONDOS MUNICIPAL · 2028–2035</t>
  </si>
  <si>
    <t xml:space="preserve">Estructura del Flujo de Fondos que los municipios bonaerenses presentan a la Provincia: disponibilidades abiertas en libre y afectada, retenciones de terceros y movimientos financieros.</t>
  </si>
  <si>
    <t xml:space="preserve">I · SALDO INICIAL DE DISPONIBILIDADES</t>
  </si>
  <si>
    <t xml:space="preserve">      Caja y bancos · libre disponibilidad</t>
  </si>
  <si>
    <t xml:space="preserve">      Cuenta 111220000 · fondos con afectación específica</t>
  </si>
  <si>
    <t xml:space="preserve">      Fondos de terceros en poder del Municipio</t>
  </si>
  <si>
    <t xml:space="preserve">Total disponibilidades al inicio</t>
  </si>
  <si>
    <t xml:space="preserve">II · RECURSOS PERCIBIDOS, POR ORIGEN Y PROCEDENCIA</t>
  </si>
  <si>
    <t xml:space="preserve">      11 · Origen municipal — libre disponibilidad</t>
  </si>
  <si>
    <t xml:space="preserve">      11 · Origen municipal — afectados</t>
  </si>
  <si>
    <t xml:space="preserve">      21 · Origen provincial — libre disponibilidad</t>
  </si>
  <si>
    <t xml:space="preserve">      21 · Origen provincial — afectados</t>
  </si>
  <si>
    <t xml:space="preserve">      31 y 41 · Nacional y otros — afectados</t>
  </si>
  <si>
    <t xml:space="preserve">Total recursos percibidos</t>
  </si>
  <si>
    <t xml:space="preserve">III · EROGACIONES PAGADAS</t>
  </si>
  <si>
    <t xml:space="preserve">      Personal, neto de retenciones</t>
  </si>
  <si>
    <t xml:space="preserve">      Bienes y servicios, neto de retenciones</t>
  </si>
  <si>
    <t xml:space="preserve">      Obra pública, neto del fondo de reparo</t>
  </si>
  <si>
    <t xml:space="preserve">      Servicio de la deuda consolidada</t>
  </si>
  <si>
    <t xml:space="preserve">      Cancelación de la deuda flotante heredada</t>
  </si>
  <si>
    <t xml:space="preserve">Total erogaciones pagadas</t>
  </si>
  <si>
    <t xml:space="preserve">IV · RETENCIONES Y FONDOS DE TERCEROS</t>
  </si>
  <si>
    <t xml:space="preserve">      Retenciones practicadas sobre sueldos</t>
  </si>
  <si>
    <t xml:space="preserve">      Retenciones practicadas a proveedores</t>
  </si>
  <si>
    <t xml:space="preserve">      Fondo de reparo retenido de la obra</t>
  </si>
  <si>
    <t xml:space="preserve">Total retenido en el mes</t>
  </si>
  <si>
    <t xml:space="preserve">      Depósito de retenciones del mes anterior</t>
  </si>
  <si>
    <t xml:space="preserve">Variación neta de fondos de terceros</t>
  </si>
  <si>
    <t xml:space="preserve">Fondos de terceros al cierre</t>
  </si>
  <si>
    <t xml:space="preserve">V · MOVIMIENTOS FINANCIEROS</t>
  </si>
  <si>
    <t xml:space="preserve">      Intereses ganados sobre disponibilidades</t>
  </si>
  <si>
    <t xml:space="preserve">      Emisión de cheques diferidos</t>
  </si>
  <si>
    <t xml:space="preserve">      Pago de cheques diferidos vencidos</t>
  </si>
  <si>
    <t xml:space="preserve">      Nuevo endeudamiento</t>
  </si>
  <si>
    <t xml:space="preserve">Total movimientos financieros</t>
  </si>
  <si>
    <t xml:space="preserve">VI · RESULTADO Y SALDO FINAL</t>
  </si>
  <si>
    <t xml:space="preserve">Flujo neto del mes</t>
  </si>
  <si>
    <t xml:space="preserve">      Disponibilidades libres al cierre</t>
  </si>
  <si>
    <t xml:space="preserve">      Disponibilidades afectadas al cierre (remanente de giro)</t>
  </si>
  <si>
    <t xml:space="preserve">TOTAL DISPONIBILIDADES AL CIERRE</t>
  </si>
  <si>
    <t xml:space="preserve">VII · CONTROLES DE TESORERÍA</t>
  </si>
  <si>
    <t xml:space="preserve">      Caja mínima exigida</t>
  </si>
  <si>
    <t xml:space="preserve">      Alerta de caja</t>
  </si>
  <si>
    <t xml:space="preserve">      Stock de uso de afectados</t>
  </si>
  <si>
    <t xml:space="preserve">      Alerta de uso de afectados</t>
  </si>
  <si>
    <t xml:space="preserve">      Cheques diferidos en circulación</t>
  </si>
  <si>
    <t xml:space="preserve">      Cobertura: disponibilidades sobre un mes de gasto</t>
  </si>
  <si>
    <t xml:space="preserve">VIII · MEMO · CUENTA AHORRO-INVERSIÓN DEVENGADA</t>
  </si>
  <si>
    <t xml:space="preserve">      Ingresos corrientes percibidos</t>
  </si>
  <si>
    <t xml:space="preserve">      Gastos corrientes devengados</t>
  </si>
  <si>
    <t xml:space="preserve">III · Ahorro corriente</t>
  </si>
  <si>
    <t xml:space="preserve">VIII · Resultado financiero</t>
  </si>
  <si>
    <t xml:space="preserve">Los recursos afectados —Fondo Educativo, fondos sanitarios, tasas con destino específico— van en cuenta separada y sólo pueden aplicarse a su destino. El «stock de uso de afectados» mide cuánto se estaría usando de esa cuenta para gastos corrientes: si aparece, el Municipio se está financiando con plata que no le corresponde.</t>
  </si>
  <si>
    <t xml:space="preserve">Las retenciones son fondos de terceros: se practican al liquidar y se depositan al mes siguiente. No son ingreso ni gasto, pero pasan por la caja y financian el mes. Por eso van en su propio bloque.</t>
  </si>
  <si>
    <t xml:space="preserve">El fondo de reparo se retiene del certificado de obra y se devuelve a la recepción definitiva. Los cheques diferidos están en cero en el escenario base: subir esa palanca muestra cuánta caja liberan y con qué costo.</t>
  </si>
  <si>
    <t xml:space="preserve">Los saldos iniciales de disponibilidades son ESTIMACIONES: el Municipio no publica la composición de sus cuentas al cierre. Deben reemplazarse por el saldo real al asumir.</t>
  </si>
  <si>
    <t xml:space="preserve">Los fondos afectados se aplican a su destino dentro del mes: la cuenta 111220000 sólo retiene un remanente de giro equivalente a medio mes de recaudación afectada. Si el modelo mostrara acumulación creciente ahí, estaría suponiendo que el Municipio cobra fondos con destino y no los ejecuta.</t>
  </si>
  <si>
    <t xml:space="preserve">GASTOS MENSUALES POR FINALIDAD Y FUNCIÓN · 2028–2035</t>
  </si>
  <si>
    <t xml:space="preserve">Los mismos gastos, vistos por destino. Es la apertura que usa el capítulo 1 del programa.</t>
  </si>
  <si>
    <t xml:space="preserve">DEVENGADO POR FUNCIÓN</t>
  </si>
  <si>
    <t xml:space="preserve">1.1 · Legislativa</t>
  </si>
  <si>
    <t xml:space="preserve">1.3 · Dirección superior ejecutiva</t>
  </si>
  <si>
    <t xml:space="preserve">1.5 · Relaciones con la comunidad</t>
  </si>
  <si>
    <t xml:space="preserve">1.6 · Administración fiscal</t>
  </si>
  <si>
    <t xml:space="preserve">1.2 y 1.7 · Judicial y control de gestión</t>
  </si>
  <si>
    <t xml:space="preserve">2.1 · Seguridad interna</t>
  </si>
  <si>
    <t xml:space="preserve">3.1 · Salud</t>
  </si>
  <si>
    <t xml:space="preserve">3.2 · Promoción y asistencia social</t>
  </si>
  <si>
    <t xml:space="preserve">3.4 · Educación y cultura</t>
  </si>
  <si>
    <t xml:space="preserve">3.5 · Ciencia y técnica</t>
  </si>
  <si>
    <t xml:space="preserve">3.6 · Trabajo</t>
  </si>
  <si>
    <t xml:space="preserve">3.7 · Vivienda y urbanismo</t>
  </si>
  <si>
    <t xml:space="preserve">3.8 · Agua potable y alcantarillado</t>
  </si>
  <si>
    <t xml:space="preserve">3.9 · Urbanismo</t>
  </si>
  <si>
    <t xml:space="preserve">4.3 · Transporte</t>
  </si>
  <si>
    <t xml:space="preserve">4.4 · Ecología y medio ambiente</t>
  </si>
  <si>
    <t xml:space="preserve">4.7 · Comercio, turismo y otros</t>
  </si>
  <si>
    <t xml:space="preserve">5.1 · Servicios de la deuda pública</t>
  </si>
  <si>
    <t xml:space="preserve">TOTAL POR FUNCIÓN</t>
  </si>
  <si>
    <t xml:space="preserve">Memo · salud como % del gasto por función</t>
  </si>
  <si>
    <t xml:space="preserve">Memo · agua y cloaca contra alumbrado (dentro de urbanismo)</t>
  </si>
  <si>
    <t xml:space="preserve">La apertura por función usa la ejecución 2025 de cada una como base y le suma el incremental de los programas del capítulo 5 en la función que corresponde. El alumbrado es el 14,67% de Urbanismo según la ejecución 2025: 10.313 sobre 70.310 millones.</t>
  </si>
  <si>
    <t xml:space="preserve">LA PARTIDA VECINAL · RAMPA Y REPARTO</t>
  </si>
  <si>
    <t xml:space="preserve">La mitad de la obra pública decidida por los vecinos al cuarto año. Sale de bienes de uso, no de fondos nuevos.</t>
  </si>
  <si>
    <t xml:space="preserve">Obra pública total</t>
  </si>
  <si>
    <t xml:space="preserve">% a comisiones vecinales</t>
  </si>
  <si>
    <t xml:space="preserve">Obra decidida por vecinos</t>
  </si>
  <si>
    <t xml:space="preserve">Obra decidida por el Ejecutivo</t>
  </si>
  <si>
    <t xml:space="preserve">REPARTO ENTRE LAS SEIS ZONAS · acumulado</t>
  </si>
  <si>
    <t xml:space="preserve">ZONA</t>
  </si>
  <si>
    <t xml:space="preserve">POBLACIÓN</t>
  </si>
  <si>
    <t xml:space="preserve">ÍNDICE DE NECESIDAD</t>
  </si>
  <si>
    <t xml:space="preserve">PESO</t>
  </si>
  <si>
    <t xml:space="preserve">AÑO 1</t>
  </si>
  <si>
    <t xml:space="preserve">AÑO 2</t>
  </si>
  <si>
    <t xml:space="preserve">AÑO 3</t>
  </si>
  <si>
    <t xml:space="preserve">AÑO 4</t>
  </si>
  <si>
    <t xml:space="preserve">ACUM. 8 AÑOS</t>
  </si>
  <si>
    <t xml:space="preserve">Boulogne Sur Mer</t>
  </si>
  <si>
    <t xml:space="preserve">Béccar</t>
  </si>
  <si>
    <t xml:space="preserve">Martínez</t>
  </si>
  <si>
    <t xml:space="preserve">San Isidro</t>
  </si>
  <si>
    <t xml:space="preserve">Villa Adelina</t>
  </si>
  <si>
    <t xml:space="preserve">Acassuso</t>
  </si>
  <si>
    <t xml:space="preserve">Peso = 50% población + 50% índice de necesidad. El índice mide necesidad en HOGARES: para cada uno de los cuatro indicadores —NBI, sin cloaca, sin gas de red, hacinamiento— toma la parte del partido que está en la zona, y promedia.</t>
  </si>
  <si>
    <t xml:space="preserve">Fuente: Censo 2022 del INDEC por radio censal, agregado por localidad. Población en viviendas particulares: 295.978 personas.</t>
  </si>
  <si>
    <t xml:space="preserve">PROGRAMAS DEL CAPÍTULO 5 · CURVA DE IMPLEMENTACIÓN</t>
  </si>
  <si>
    <t xml:space="preserve">Fondos nuevos o reasignados por encima de la base 2025. La obra vecinal no está acá: no es gasto adicional.</t>
  </si>
  <si>
    <t xml:space="preserve">Curva de implementación</t>
  </si>
  <si>
    <t xml:space="preserve">Empleo y vivienda · incremental</t>
  </si>
  <si>
    <t xml:space="preserve">Ambiente · incremental</t>
  </si>
  <si>
    <t xml:space="preserve">Educación · recomposición</t>
  </si>
  <si>
    <t xml:space="preserve">Apoyo escolar · seis sedes</t>
  </si>
  <si>
    <t xml:space="preserve">Digitalización</t>
  </si>
  <si>
    <t xml:space="preserve">Salud · turno digital</t>
  </si>
  <si>
    <t xml:space="preserve">Contrapartida · reasignación desde el gasto flexible</t>
  </si>
  <si>
    <t xml:space="preserve">TOTAL PROGRAMAS</t>
  </si>
  <si>
    <t xml:space="preserve">El incremental de empleo y vivienda se financia con fondos nuevos; ambiente y educación, por reasignación dentro del gasto flexible.</t>
  </si>
  <si>
    <t xml:space="preserve">Digitalización y apoyo escolar son estimaciones propias no verificadas: deben presupuestarse antes de comprometerse.</t>
  </si>
  <si>
    <t xml:space="preserve">Sólo empleo y vivienda son fondos nuevos. Ambiente, educación, apoyo escolar y digitalización se financian moviendo partidas dentro del gasto flexible: entran en su función de destino y salen de la de origen, de modo que el gasto total no cambia. La fila 16 es esa contrapartida.</t>
  </si>
  <si>
    <t xml:space="preserve">DEUDA CONSOLIDADA Y FLOTANTE</t>
  </si>
  <si>
    <t xml:space="preserve">Sin nuevo endeudamiento en el escenario base. El programa se financia con recursos propios y reasignación.</t>
  </si>
  <si>
    <t xml:space="preserve">Stock consolidado al inicio (incluye el bono 2026)</t>
  </si>
  <si>
    <t xml:space="preserve">Servicio del mes</t>
  </si>
  <si>
    <t xml:space="preserve">Nuevo endeudamiento</t>
  </si>
  <si>
    <t xml:space="preserve">Stock consolidado al cierre</t>
  </si>
  <si>
    <t xml:space="preserve">Deuda flotante al inicio</t>
  </si>
  <si>
    <t xml:space="preserve">Variación del mes</t>
  </si>
  <si>
    <t xml:space="preserve">Deuda flotante al cierre</t>
  </si>
  <si>
    <t xml:space="preserve">Servicio anual sobre recursos corrientes</t>
  </si>
  <si>
    <t xml:space="preserve">Margen contra el tope del artículo 49 bis</t>
  </si>
  <si>
    <t xml:space="preserve">El stock consolidado se extingue durante el tercer año del mandato. La deuda flotante es la diferencia entre lo devengado y lo pagado: sube cuando el Municipio devenga más rápido de lo que paga.</t>
  </si>
  <si>
    <t xml:space="preserve">El bono de infraestructura colocado en agosto de 2026 entra al stock inicial con su capital pendiente. Sus siete cuotas restantes del 12,5% caen dentro de este mandato, entre 2028 y 2029. La tasa es variable (TAMAR + 7%) y el modelo usa el valor vigente a la colocación; en pesos constantes el componente real del interés es incierto y por eso no se proyecta como gasto separado.</t>
  </si>
  <si>
    <t xml:space="preserve">RESUMEN ANUAL · CUENTA AHORRO-INVERSIÓN</t>
  </si>
  <si>
    <t xml:space="preserve">Los cuatro años del mandato y los cuatro siguientes. Pesos constantes de diciembre de 2025.</t>
  </si>
  <si>
    <t xml:space="preserve">Mandato · año 1</t>
  </si>
  <si>
    <t xml:space="preserve">Mandato · año 2</t>
  </si>
  <si>
    <t xml:space="preserve">Mandato · año 3</t>
  </si>
  <si>
    <t xml:space="preserve">Mandato · año 4</t>
  </si>
  <si>
    <t xml:space="preserve">Proyección</t>
  </si>
  <si>
    <t xml:space="preserve">I · INGRESOS CORRIENTES</t>
  </si>
  <si>
    <t xml:space="preserve">Ingresos no tributarios percibidos</t>
  </si>
  <si>
    <t xml:space="preserve">Total ingresos corrientes</t>
  </si>
  <si>
    <t xml:space="preserve">IV · Recursos de capital</t>
  </si>
  <si>
    <t xml:space="preserve">VI · INGRESOS TOTALES</t>
  </si>
  <si>
    <t xml:space="preserve">II · GASTOS</t>
  </si>
  <si>
    <t xml:space="preserve">Personal y aguinaldo</t>
  </si>
  <si>
    <t xml:space="preserve">Transferencias y activos financieros</t>
  </si>
  <si>
    <t xml:space="preserve">Servicio de la deuda</t>
  </si>
  <si>
    <t xml:space="preserve">Total gastos corrientes</t>
  </si>
  <si>
    <t xml:space="preserve">V · Bienes de uso (obra pública)</t>
  </si>
  <si>
    <t xml:space="preserve">  de la cual, decidida por vecinos</t>
  </si>
  <si>
    <t xml:space="preserve">VII · GASTOS TOTALES</t>
  </si>
  <si>
    <t xml:space="preserve">RESULTADO</t>
  </si>
  <si>
    <t xml:space="preserve">Flujo de caja del ejercicio</t>
  </si>
  <si>
    <t xml:space="preserve">Saldo de caja al cierre</t>
  </si>
  <si>
    <t xml:space="preserve">Deuda consolidada al cierre</t>
  </si>
  <si>
    <t xml:space="preserve">INDICADORES</t>
  </si>
  <si>
    <t xml:space="preserve">Percepción sobre devengado</t>
  </si>
  <si>
    <t xml:space="preserve">Obra vecinal / obra total</t>
  </si>
  <si>
    <t xml:space="preserve">Obra vecinal / gasto devengado 2025</t>
  </si>
  <si>
    <t xml:space="preserve">Resultado financiero / ingresos</t>
  </si>
  <si>
    <t xml:space="preserve">Rigidez del gasto</t>
  </si>
  <si>
    <t xml:space="preserve">Salud / gasto por función</t>
  </si>
  <si>
    <t xml:space="preserve">Empleo y vivienda, total anual</t>
  </si>
  <si>
    <t xml:space="preserve">El programa impreso dice que la obra vecinal del año 4 es el 8,9% del gasto: es el cociente contra el gasto devengado de 2025, la única base conocida al escribirlo. Acá está esa fila y también el cociente contra la obra total de cada año.</t>
  </si>
  <si>
    <t xml:space="preserve">ESCENARIOS · LAS CUATRO PALANCAS</t>
  </si>
  <si>
    <t xml:space="preserve">Para usar uno, copiar el valor de la columna elegida a la celda azul de la hoja Supuestos.</t>
  </si>
  <si>
    <t xml:space="preserve">PARÁMETRO</t>
  </si>
  <si>
    <t xml:space="preserve">ADVERSO</t>
  </si>
  <si>
    <t xml:space="preserve">BASE</t>
  </si>
  <si>
    <t xml:space="preserve">FAVORABLE</t>
  </si>
  <si>
    <t xml:space="preserve">FUNDAMENTO</t>
  </si>
  <si>
    <t xml:space="preserve">Crecimiento real de recursos propios</t>
  </si>
  <si>
    <t xml:space="preserve">1,95% es la tasa punta a punta 2010–2025. La media de los seis tramos da 3,49% con desvío de 8,14 puntos: el favorable usa esa media</t>
  </si>
  <si>
    <t xml:space="preserve">Caída real de la coparticipación</t>
  </si>
  <si>
    <t xml:space="preserve">−2,196% es la tendencia 2021–2025. El adverso la duplica; el favorable supone que se detiene</t>
  </si>
  <si>
    <t xml:space="preserve">Cobrabilidad al año 4</t>
  </si>
  <si>
    <t xml:space="preserve">El base equivale a la meta del 92% de percepción. El favorable es el máximo histórico del propio Municipio</t>
  </si>
  <si>
    <t xml:space="preserve">Crecimiento real del gasto corriente</t>
  </si>
  <si>
    <t xml:space="preserve">El base supone gasto corriente constante en términos reales. El adverso supone presión salarial y de contratos</t>
  </si>
  <si>
    <t xml:space="preserve">EFECTO SOBRE EL ESCENARIO CARGADO</t>
  </si>
  <si>
    <t xml:space="preserve">Resultado financiero acumulado, ocho años</t>
  </si>
  <si>
    <t xml:space="preserve">Saldo de caja al cierre de 2035</t>
  </si>
  <si>
    <t xml:space="preserve">Obra vecinal acumulada, ocho años</t>
  </si>
  <si>
    <t xml:space="preserve">Deuda flotante al cierre de 2035</t>
  </si>
  <si>
    <t xml:space="preserve">Los cuatro indicadores se recalculan solos al cambiar un parámetro en Supuestos.</t>
  </si>
  <si>
    <t xml:space="preserve">LAS DOCE METAS DEL CAPÍTULO 6</t>
  </si>
  <si>
    <t xml:space="preserve">Línea de base fijada hoy, valor proyectado y fuente de verificación pública.</t>
  </si>
  <si>
    <t xml:space="preserve">META</t>
  </si>
  <si>
    <t xml:space="preserve">LÍNEA DE BASE</t>
  </si>
  <si>
    <t xml:space="preserve">AÑO 8</t>
  </si>
  <si>
    <t xml:space="preserve">FUENTE DE VERIFICACIÓN</t>
  </si>
  <si>
    <t xml:space="preserve">Reducir a la mitad los hogares sin cloacas en Boulogne y Béccar</t>
  </si>
  <si>
    <t xml:space="preserve">4.616 hogares</t>
  </si>
  <si>
    <t xml:space="preserve">Depende de ejecución</t>
  </si>
  <si>
    <t xml:space="preserve">—</t>
  </si>
  <si>
    <t xml:space="preserve">Registro de conexiones y próximo censo</t>
  </si>
  <si>
    <t xml:space="preserve">Llevar el gasto en empleo y vivienda a 7.730,9 M anuales</t>
  </si>
  <si>
    <t xml:space="preserve">505,7 M (2025)</t>
  </si>
  <si>
    <t xml:space="preserve">Ejecución presupuestaria por programa</t>
  </si>
  <si>
    <t xml:space="preserve">Llevar la percepción de recursos corrientes al 92%</t>
  </si>
  <si>
    <t xml:space="preserve">89,32% (2025)</t>
  </si>
  <si>
    <t xml:space="preserve">Estado de ejecución acumulado anual</t>
  </si>
  <si>
    <t xml:space="preserve">Llevar la función ambiental al 1,5% del presupuesto</t>
  </si>
  <si>
    <t xml:space="preserve">0,4% (2025)</t>
  </si>
  <si>
    <t xml:space="preserve">1,5%</t>
  </si>
  <si>
    <t xml:space="preserve">Gastos por finalidad y función</t>
  </si>
  <si>
    <t xml:space="preserve">50% de la obra pública decidida por comisiones vecinales</t>
  </si>
  <si>
    <t xml:space="preserve">0%</t>
  </si>
  <si>
    <t xml:space="preserve">Ordenanza y ejecución presupuestaria</t>
  </si>
  <si>
    <t xml:space="preserve">Obra vecinal anual</t>
  </si>
  <si>
    <t xml:space="preserve">0</t>
  </si>
  <si>
    <t xml:space="preserve">Ejecución presupuestaria por zona</t>
  </si>
  <si>
    <t xml:space="preserve">Las siete medidas de transparencia, resueltas</t>
  </si>
  <si>
    <t xml:space="preserve">1 de 7 (sept. 2026)</t>
  </si>
  <si>
    <t xml:space="preserve">7 de 7</t>
  </si>
  <si>
    <t xml:space="preserve">El portal municipal y el Boletín Oficial</t>
  </si>
  <si>
    <t xml:space="preserve">Publicar la ejecución presupuestaria desagregada por zona</t>
  </si>
  <si>
    <t xml:space="preserve">No existe en el conurbano norte</t>
  </si>
  <si>
    <t xml:space="preserve">Publicada</t>
  </si>
  <si>
    <t xml:space="preserve">El portal municipal</t>
  </si>
  <si>
    <t xml:space="preserve">Publicar el empleo por intermediación municipal</t>
  </si>
  <si>
    <t xml:space="preserve">No existe el dato</t>
  </si>
  <si>
    <t xml:space="preserve">Publicado</t>
  </si>
  <si>
    <t xml:space="preserve">Informe trimestral de inserción laboral</t>
  </si>
  <si>
    <t xml:space="preserve">Extender el CFL 404 a las seis zonas</t>
  </si>
  <si>
    <t xml:space="preserve">Una sede</t>
  </si>
  <si>
    <t xml:space="preserve">Seis sedes</t>
  </si>
  <si>
    <t xml:space="preserve">Ejecución por programa y matrícula</t>
  </si>
  <si>
    <t xml:space="preserve">Adherir los hospitales y CAPS al turno digital provincial</t>
  </si>
  <si>
    <t xml:space="preserve">Cero efectores</t>
  </si>
  <si>
    <t xml:space="preserve">Todos</t>
  </si>
  <si>
    <t xml:space="preserve">El propio sistema provincial</t>
  </si>
  <si>
    <t xml:space="preserve">Publicar el precio unitario de cada compra de insumos</t>
  </si>
  <si>
    <t xml:space="preserve">Cero</t>
  </si>
  <si>
    <t xml:space="preserve">Todas las compras</t>
  </si>
  <si>
    <t xml:space="preserve">Todas</t>
  </si>
  <si>
    <t xml:space="preserve">Boletín Oficial municipal</t>
  </si>
  <si>
    <t xml:space="preserve">Un centro de apoyo escolar en cada localidad</t>
  </si>
  <si>
    <t xml:space="preserve">Seis</t>
  </si>
  <si>
    <t xml:space="preserve">Las metas que dicen «depende de ejecución» no las proyecta este modelo: el modelo dice que hay fondos, no que la obra se haga.</t>
  </si>
</sst>
</file>

<file path=xl/styles.xml><?xml version="1.0" encoding="utf-8"?>
<styleSheet xmlns="http://schemas.openxmlformats.org/spreadsheetml/2006/main">
  <numFmts count="12">
    <numFmt numFmtId="164" formatCode="General"/>
    <numFmt numFmtId="165" formatCode="\$#,##0;&quot;($&quot;#,##0\);\-"/>
    <numFmt numFmtId="166" formatCode="0.00%"/>
    <numFmt numFmtId="167" formatCode="0.0"/>
    <numFmt numFmtId="168" formatCode="0.00"/>
    <numFmt numFmtId="169" formatCode="0.0%"/>
    <numFmt numFmtId="170" formatCode="\$#,##0;&quot;($&quot;#,##0\);\-"/>
    <numFmt numFmtId="171" formatCode="0"/>
    <numFmt numFmtId="172" formatCode="\$#,##0,,&quot;  M&quot;;&quot;($&quot;#,##0,,&quot;) M&quot;;\-"/>
    <numFmt numFmtId="173" formatCode="0.00\x"/>
    <numFmt numFmtId="174" formatCode="#,##0"/>
    <numFmt numFmtId="175" formatCode="0%"/>
  </numFmts>
  <fonts count="25">
    <font>
      <sz val="11"/>
      <color theme="1"/>
      <name val="Calibri"/>
      <family val="2"/>
      <charset val="1"/>
    </font>
    <font>
      <sz val="10"/>
      <name val="Arial"/>
      <family val="0"/>
    </font>
    <font>
      <sz val="10"/>
      <name val="Arial"/>
      <family val="0"/>
    </font>
    <font>
      <sz val="10"/>
      <name val="Arial"/>
      <family val="0"/>
    </font>
    <font>
      <b val="true"/>
      <sz val="15"/>
      <color rgb="FF7C2E23"/>
      <name val="Arial"/>
      <family val="0"/>
      <charset val="1"/>
    </font>
    <font>
      <i val="true"/>
      <sz val="9"/>
      <color rgb="FF6E625A"/>
      <name val="Arial"/>
      <family val="0"/>
      <charset val="1"/>
    </font>
    <font>
      <b val="true"/>
      <sz val="10"/>
      <name val="Arial"/>
      <family val="0"/>
      <charset val="1"/>
    </font>
    <font>
      <sz val="10"/>
      <name val="Arial"/>
      <family val="0"/>
      <charset val="1"/>
    </font>
    <font>
      <sz val="10"/>
      <color rgb="FF0000FF"/>
      <name val="Arial"/>
      <family val="0"/>
      <charset val="1"/>
    </font>
    <font>
      <sz val="10"/>
      <color rgb="FF000000"/>
      <name val="Arial"/>
      <family val="0"/>
      <charset val="1"/>
    </font>
    <font>
      <sz val="10"/>
      <color rgb="FF008000"/>
      <name val="Arial"/>
      <family val="0"/>
      <charset val="1"/>
    </font>
    <font>
      <i val="true"/>
      <sz val="9"/>
      <color rgb="FF7C2E23"/>
      <name val="Arial"/>
      <family val="0"/>
      <charset val="1"/>
    </font>
    <font>
      <b val="true"/>
      <sz val="11"/>
      <color rgb="FF7C2E23"/>
      <name val="Arial"/>
      <family val="0"/>
      <charset val="1"/>
    </font>
    <font>
      <b val="true"/>
      <sz val="13"/>
      <color rgb="FF7C2E23"/>
      <name val="Arial"/>
      <family val="0"/>
      <charset val="1"/>
    </font>
    <font>
      <b val="true"/>
      <sz val="9"/>
      <color rgb="FFFFFFFF"/>
      <name val="Arial"/>
      <family val="0"/>
      <charset val="1"/>
    </font>
    <font>
      <sz val="9"/>
      <name val="Arial"/>
      <family val="0"/>
      <charset val="1"/>
    </font>
    <font>
      <sz val="9"/>
      <color rgb="FF0000FF"/>
      <name val="Arial"/>
      <family val="0"/>
      <charset val="1"/>
    </font>
    <font>
      <i val="true"/>
      <sz val="8"/>
      <color rgb="FF6E625A"/>
      <name val="Arial"/>
      <family val="0"/>
      <charset val="1"/>
    </font>
    <font>
      <b val="true"/>
      <sz val="10"/>
      <color rgb="FF7C2E23"/>
      <name val="Arial"/>
      <family val="0"/>
      <charset val="1"/>
    </font>
    <font>
      <b val="true"/>
      <sz val="8"/>
      <color rgb="FFFFFFFF"/>
      <name val="Arial"/>
      <family val="0"/>
      <charset val="1"/>
    </font>
    <font>
      <b val="true"/>
      <sz val="9"/>
      <name val="Arial"/>
      <family val="0"/>
      <charset val="1"/>
    </font>
    <font>
      <b val="true"/>
      <sz val="8"/>
      <name val="Arial"/>
      <family val="0"/>
      <charset val="1"/>
    </font>
    <font>
      <sz val="9"/>
      <color rgb="FF008000"/>
      <name val="Arial"/>
      <family val="0"/>
      <charset val="1"/>
    </font>
    <font>
      <b val="true"/>
      <sz val="8"/>
      <color rgb="FF7C2E23"/>
      <name val="Arial"/>
      <family val="0"/>
      <charset val="1"/>
    </font>
    <font>
      <i val="true"/>
      <sz val="8"/>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7C2E23"/>
        <bgColor rgb="FF993366"/>
      </patternFill>
    </fill>
    <fill>
      <patternFill patternType="solid">
        <fgColor rgb="FFEAE0CF"/>
        <bgColor rgb="FFEFE7DA"/>
      </patternFill>
    </fill>
    <fill>
      <patternFill patternType="solid">
        <fgColor rgb="FFEFE7DA"/>
        <bgColor rgb="FFEAE0C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3"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6" fontId="16" fillId="2" borderId="0" xfId="0" applyFont="true" applyBorder="false" applyAlignment="true" applyProtection="false">
      <alignment horizontal="general" vertical="bottom" textRotation="0" wrapText="false" indent="0" shrinkToFit="false"/>
      <protection locked="true" hidden="false"/>
    </xf>
    <xf numFmtId="167" fontId="16" fillId="2" borderId="0" xfId="0" applyFont="true" applyBorder="false" applyAlignment="true" applyProtection="false">
      <alignment horizontal="general" vertical="bottom" textRotation="0" wrapText="false" indent="0" shrinkToFit="false"/>
      <protection locked="true" hidden="false"/>
    </xf>
    <xf numFmtId="168" fontId="16" fillId="2" borderId="0" xfId="0" applyFont="true" applyBorder="false" applyAlignment="true" applyProtection="false">
      <alignment horizontal="general" vertical="bottom" textRotation="0" wrapText="false" indent="0" shrinkToFit="false"/>
      <protection locked="true" hidden="false"/>
    </xf>
    <xf numFmtId="169" fontId="16" fillId="2" borderId="0" xfId="0" applyFont="true" applyBorder="false" applyAlignment="true" applyProtection="false">
      <alignment horizontal="general" vertical="bottom" textRotation="0" wrapText="false" indent="0" shrinkToFit="false"/>
      <protection locked="true" hidden="false"/>
    </xf>
    <xf numFmtId="165" fontId="16" fillId="2" borderId="0" xfId="0" applyFont="true" applyBorder="false" applyAlignment="true" applyProtection="false">
      <alignment horizontal="general" vertical="bottom" textRotation="0" wrapText="false" indent="0" shrinkToFit="false"/>
      <protection locked="true" hidden="false"/>
    </xf>
    <xf numFmtId="169" fontId="16"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70" fontId="8" fillId="2"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71" fontId="8" fillId="2" borderId="0" xfId="0" applyFont="true" applyBorder="false" applyAlignment="false" applyProtection="false">
      <alignment horizontal="general" vertical="bottom" textRotation="0" wrapText="false" indent="0" shrinkToFit="false"/>
      <protection locked="true" hidden="false"/>
    </xf>
    <xf numFmtId="164" fontId="19" fillId="3" borderId="0" xfId="0" applyFont="true" applyBorder="false" applyAlignment="true" applyProtection="false">
      <alignment horizontal="center" vertical="bottom" textRotation="0" wrapText="false" indent="0" shrinkToFit="false"/>
      <protection locked="true" hidden="false"/>
    </xf>
    <xf numFmtId="169" fontId="20" fillId="0" borderId="0" xfId="0" applyFont="true" applyBorder="false" applyAlignment="true" applyProtection="false">
      <alignment horizontal="general" vertical="bottom" textRotation="0" wrapText="false" indent="0" shrinkToFit="false"/>
      <protection locked="true" hidden="false"/>
    </xf>
    <xf numFmtId="164" fontId="19" fillId="3" borderId="0" xfId="0" applyFont="true" applyBorder="false" applyAlignment="true" applyProtection="false">
      <alignment horizontal="general" vertical="bottom" textRotation="0" wrapText="false" indent="0" shrinkToFit="false"/>
      <protection locked="true" hidden="false"/>
    </xf>
    <xf numFmtId="164" fontId="20" fillId="4" borderId="0" xfId="0" applyFont="true" applyBorder="false" applyAlignment="true" applyProtection="false">
      <alignment horizontal="general" vertical="bottom" textRotation="0" wrapText="false" indent="0" shrinkToFit="false"/>
      <protection locked="true" hidden="false"/>
    </xf>
    <xf numFmtId="164" fontId="21" fillId="4" borderId="0" xfId="0" applyFont="true" applyBorder="false" applyAlignment="true" applyProtection="false">
      <alignment horizontal="center" vertical="bottom" textRotation="0" wrapText="false" indent="0" shrinkToFit="false"/>
      <protection locked="true" hidden="false"/>
    </xf>
    <xf numFmtId="164" fontId="20" fillId="5" borderId="0" xfId="0" applyFont="tru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72" fontId="15"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72" fontId="20" fillId="0" borderId="0" xfId="0" applyFont="true" applyBorder="false" applyAlignment="true" applyProtection="false">
      <alignment horizontal="general" vertical="bottom" textRotation="0" wrapText="false" indent="0" shrinkToFit="false"/>
      <protection locked="true" hidden="false"/>
    </xf>
    <xf numFmtId="166" fontId="15" fillId="0" borderId="0" xfId="0" applyFont="true" applyBorder="false" applyAlignment="true" applyProtection="false">
      <alignment horizontal="general" vertical="bottom" textRotation="0" wrapText="false" indent="0" shrinkToFit="false"/>
      <protection locked="true" hidden="false"/>
    </xf>
    <xf numFmtId="172" fontId="20" fillId="4"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72" fontId="17" fillId="0" borderId="0" xfId="0" applyFont="true" applyBorder="false" applyAlignment="true" applyProtection="false">
      <alignment horizontal="general" vertical="bottom" textRotation="0" wrapText="false" indent="0" shrinkToFit="false"/>
      <protection locked="true" hidden="false"/>
    </xf>
    <xf numFmtId="166" fontId="17"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72" fontId="22" fillId="0" borderId="0" xfId="0" applyFont="true" applyBorder="false" applyAlignment="true" applyProtection="false">
      <alignment horizontal="general" vertical="bottom" textRotation="0" wrapText="false" indent="0" shrinkToFit="false"/>
      <protection locked="true" hidden="false"/>
    </xf>
    <xf numFmtId="169" fontId="17"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73" fontId="15" fillId="0" borderId="0" xfId="0" applyFont="true" applyBorder="false" applyAlignment="true" applyProtection="false">
      <alignment horizontal="general" vertical="bottom" textRotation="0" wrapText="false" indent="0" shrinkToFit="false"/>
      <protection locked="true" hidden="false"/>
    </xf>
    <xf numFmtId="173" fontId="17" fillId="0" borderId="0" xfId="0" applyFont="true" applyBorder="false" applyAlignment="true" applyProtection="false">
      <alignment horizontal="general" vertical="bottom" textRotation="0" wrapText="false" indent="0" shrinkToFit="false"/>
      <protection locked="true" hidden="false"/>
    </xf>
    <xf numFmtId="169" fontId="15" fillId="0" borderId="0" xfId="0" applyFont="true" applyBorder="false" applyAlignment="true" applyProtection="false">
      <alignment horizontal="general" vertical="bottom" textRotation="0" wrapText="false" indent="0" shrinkToFit="false"/>
      <protection locked="true" hidden="false"/>
    </xf>
    <xf numFmtId="164" fontId="19" fillId="3" borderId="0" xfId="0" applyFont="true" applyBorder="false" applyAlignment="true" applyProtection="false">
      <alignment horizontal="center" vertical="bottom" textRotation="0" wrapText="true" indent="0" shrinkToFit="false"/>
      <protection locked="true" hidden="false"/>
    </xf>
    <xf numFmtId="174" fontId="16" fillId="0" borderId="0" xfId="0" applyFont="true" applyBorder="false" applyAlignment="true" applyProtection="false">
      <alignment horizontal="general" vertical="bottom" textRotation="0" wrapText="false" indent="0" shrinkToFit="false"/>
      <protection locked="true" hidden="false"/>
    </xf>
    <xf numFmtId="166" fontId="16" fillId="0" borderId="0" xfId="0" applyFont="true" applyBorder="false" applyAlignment="true" applyProtection="false">
      <alignment horizontal="general" vertical="bottom" textRotation="0" wrapText="false" indent="0" shrinkToFit="false"/>
      <protection locked="true" hidden="false"/>
    </xf>
    <xf numFmtId="174" fontId="20" fillId="0" borderId="0" xfId="0" applyFont="true" applyBorder="false" applyAlignment="true" applyProtection="false">
      <alignment horizontal="general" vertical="bottom" textRotation="0" wrapText="false" indent="0" shrinkToFit="false"/>
      <protection locked="true" hidden="false"/>
    </xf>
    <xf numFmtId="166" fontId="20" fillId="0" borderId="0" xfId="0" applyFont="true" applyBorder="false" applyAlignment="true" applyProtection="false">
      <alignment horizontal="general" vertical="bottom" textRotation="0" wrapText="false" indent="0" shrinkToFit="false"/>
      <protection locked="true" hidden="false"/>
    </xf>
    <xf numFmtId="175" fontId="15" fillId="0" borderId="0" xfId="0" applyFont="true" applyBorder="false" applyAlignment="true" applyProtection="false">
      <alignment horizontal="general" vertical="bottom" textRotation="0" wrapText="false" indent="0" shrinkToFit="false"/>
      <protection locked="true" hidden="false"/>
    </xf>
    <xf numFmtId="172" fontId="16" fillId="0"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64" fontId="24" fillId="4" borderId="0" xfId="0" applyFont="true" applyBorder="false" applyAlignment="true" applyProtection="false">
      <alignment horizontal="center" vertical="bottom" textRotation="0" wrapText="false" indent="0" shrinkToFit="false"/>
      <protection locked="true" hidden="false"/>
    </xf>
    <xf numFmtId="166" fontId="22" fillId="0" borderId="0" xfId="0" applyFont="true" applyBorder="false" applyAlignment="true" applyProtection="false">
      <alignment horizontal="general" vertical="bottom" textRotation="0" wrapText="false" indent="0" shrinkToFit="false"/>
      <protection locked="true" hidden="false"/>
    </xf>
    <xf numFmtId="169" fontId="22"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center" vertical="bottom" textRotation="0" wrapText="false" indent="0" shrinkToFit="false"/>
      <protection locked="true" hidden="false"/>
    </xf>
    <xf numFmtId="172" fontId="22" fillId="0" borderId="0" xfId="0" applyFont="true" applyBorder="false" applyAlignment="true" applyProtection="false">
      <alignment horizontal="center" vertical="bottom" textRotation="0" wrapText="false" indent="0" shrinkToFit="false"/>
      <protection locked="true" hidden="false"/>
    </xf>
    <xf numFmtId="166" fontId="22" fillId="0" borderId="0" xfId="0" applyFont="true" applyBorder="false" applyAlignment="true" applyProtection="false">
      <alignment horizontal="center" vertical="bottom" textRotation="0" wrapText="false" indent="0" shrinkToFit="false"/>
      <protection locked="true" hidden="false"/>
    </xf>
    <xf numFmtId="169" fontId="22"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4C7C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4863A"/>
      <rgbColor rgb="FF800080"/>
      <rgbColor rgb="FF008080"/>
      <rgbColor rgb="FFC0C0C0"/>
      <rgbColor rgb="FF5F7057"/>
      <rgbColor rgb="FF9999FF"/>
      <rgbColor rgb="FF993366"/>
      <rgbColor rgb="FFEFE7DA"/>
      <rgbColor rgb="FFCCFFFF"/>
      <rgbColor rgb="FF660066"/>
      <rgbColor rgb="FFDB6B4B"/>
      <rgbColor rgb="FF0066CC"/>
      <rgbColor rgb="FFEAE0C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7C3"/>
      <rgbColor rgb="FF3366FF"/>
      <rgbColor rgb="FF33CCCC"/>
      <rgbColor rgb="FF99CC00"/>
      <rgbColor rgb="FFFFCC00"/>
      <rgbColor rgb="FFFF9900"/>
      <rgbColor rgb="FFFF6600"/>
      <rgbColor rgb="FF6E625A"/>
      <rgbColor rgb="FF969696"/>
      <rgbColor rgb="FF003366"/>
      <rgbColor rgb="FF339966"/>
      <rgbColor rgb="FF003300"/>
      <rgbColor rgb="FF333300"/>
      <rgbColor rgb="FF7C2E23"/>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C2E23"/>
    <pageSetUpPr fitToPage="false"/>
  </sheetPr>
  <dimension ref="B2:C3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3" min="3" style="1" width="96"/>
  </cols>
  <sheetData>
    <row r="2" customFormat="false" ht="18" hidden="false" customHeight="true" outlineLevel="0" collapsed="false">
      <c r="B2" s="2" t="s">
        <v>0</v>
      </c>
    </row>
    <row r="3" customFormat="false" ht="15" hidden="false" customHeight="true" outlineLevel="0" collapsed="false">
      <c r="B3" s="3" t="s">
        <v>1</v>
      </c>
    </row>
    <row r="5" customFormat="false" ht="27.75" hidden="false" customHeight="true" outlineLevel="0" collapsed="false">
      <c r="B5" s="4" t="s">
        <v>2</v>
      </c>
      <c r="C5" s="5" t="s">
        <v>3</v>
      </c>
    </row>
    <row r="6" customFormat="false" ht="27.75" hidden="false" customHeight="true" outlineLevel="0" collapsed="false">
      <c r="B6" s="4" t="s">
        <v>4</v>
      </c>
      <c r="C6" s="5" t="s">
        <v>5</v>
      </c>
    </row>
    <row r="7" customFormat="false" ht="15" hidden="false" customHeight="true" outlineLevel="0" collapsed="false">
      <c r="B7" s="4" t="s">
        <v>6</v>
      </c>
      <c r="C7" s="5" t="s">
        <v>7</v>
      </c>
    </row>
    <row r="8" customFormat="false" ht="15" hidden="false" customHeight="true" outlineLevel="0" collapsed="false">
      <c r="B8" s="4" t="s">
        <v>8</v>
      </c>
      <c r="C8" s="5" t="s">
        <v>9</v>
      </c>
    </row>
    <row r="9" customFormat="false" ht="27.75" hidden="false" customHeight="true" outlineLevel="0" collapsed="false">
      <c r="B9" s="4" t="s">
        <v>10</v>
      </c>
      <c r="C9" s="5" t="s">
        <v>11</v>
      </c>
    </row>
    <row r="11" customFormat="false" ht="15" hidden="false" customHeight="true" outlineLevel="0" collapsed="false">
      <c r="B11" s="4" t="s">
        <v>12</v>
      </c>
    </row>
    <row r="12" customFormat="false" ht="15" hidden="false" customHeight="true" outlineLevel="0" collapsed="false">
      <c r="C12" s="6" t="s">
        <v>13</v>
      </c>
    </row>
    <row r="13" customFormat="false" ht="15" hidden="false" customHeight="true" outlineLevel="0" collapsed="false">
      <c r="C13" s="7" t="s">
        <v>14</v>
      </c>
    </row>
    <row r="14" customFormat="false" ht="15" hidden="false" customHeight="true" outlineLevel="0" collapsed="false">
      <c r="C14" s="8" t="s">
        <v>15</v>
      </c>
    </row>
    <row r="15" customFormat="false" ht="15" hidden="false" customHeight="true" outlineLevel="0" collapsed="false">
      <c r="C15" s="9" t="s">
        <v>16</v>
      </c>
    </row>
    <row r="17" customFormat="false" ht="15" hidden="false" customHeight="true" outlineLevel="0" collapsed="false">
      <c r="B17" s="4" t="s">
        <v>17</v>
      </c>
    </row>
    <row r="18" customFormat="false" ht="15" hidden="false" customHeight="true" outlineLevel="0" collapsed="false">
      <c r="B18" s="4" t="s">
        <v>18</v>
      </c>
      <c r="C18" s="10" t="s">
        <v>19</v>
      </c>
    </row>
    <row r="19" customFormat="false" ht="15" hidden="false" customHeight="true" outlineLevel="0" collapsed="false">
      <c r="B19" s="4" t="s">
        <v>20</v>
      </c>
      <c r="C19" s="10" t="s">
        <v>21</v>
      </c>
    </row>
    <row r="20" customFormat="false" ht="15" hidden="false" customHeight="true" outlineLevel="0" collapsed="false">
      <c r="B20" s="4" t="s">
        <v>22</v>
      </c>
      <c r="C20" s="10" t="s">
        <v>23</v>
      </c>
    </row>
    <row r="21" customFormat="false" ht="15" hidden="false" customHeight="true" outlineLevel="0" collapsed="false">
      <c r="B21" s="4" t="s">
        <v>24</v>
      </c>
      <c r="C21" s="10" t="s">
        <v>25</v>
      </c>
    </row>
    <row r="22" customFormat="false" ht="15" hidden="false" customHeight="true" outlineLevel="0" collapsed="false">
      <c r="B22" s="4" t="s">
        <v>26</v>
      </c>
      <c r="C22" s="10" t="s">
        <v>27</v>
      </c>
    </row>
    <row r="23" customFormat="false" ht="15" hidden="false" customHeight="true" outlineLevel="0" collapsed="false">
      <c r="B23" s="4" t="s">
        <v>28</v>
      </c>
      <c r="C23" s="10" t="s">
        <v>29</v>
      </c>
    </row>
    <row r="24" customFormat="false" ht="15" hidden="false" customHeight="true" outlineLevel="0" collapsed="false">
      <c r="B24" s="4" t="s">
        <v>30</v>
      </c>
      <c r="C24" s="10" t="s">
        <v>31</v>
      </c>
    </row>
    <row r="25" customFormat="false" ht="15" hidden="false" customHeight="true" outlineLevel="0" collapsed="false">
      <c r="B25" s="4" t="s">
        <v>32</v>
      </c>
      <c r="C25" s="10" t="s">
        <v>33</v>
      </c>
    </row>
    <row r="26" customFormat="false" ht="15" hidden="false" customHeight="true" outlineLevel="0" collapsed="false">
      <c r="B26" s="4" t="s">
        <v>34</v>
      </c>
      <c r="C26" s="10" t="s">
        <v>35</v>
      </c>
    </row>
    <row r="27" customFormat="false" ht="15" hidden="false" customHeight="true" outlineLevel="0" collapsed="false">
      <c r="B27" s="4" t="s">
        <v>36</v>
      </c>
      <c r="C27" s="10" t="s">
        <v>37</v>
      </c>
    </row>
    <row r="28" customFormat="false" ht="15" hidden="false" customHeight="true" outlineLevel="0" collapsed="false">
      <c r="B28" s="4" t="s">
        <v>38</v>
      </c>
      <c r="C28" s="10" t="s">
        <v>39</v>
      </c>
    </row>
    <row r="29" customFormat="false" ht="15" hidden="false" customHeight="true" outlineLevel="0" collapsed="false">
      <c r="B29" s="4" t="s">
        <v>40</v>
      </c>
      <c r="C29" s="10" t="s">
        <v>41</v>
      </c>
    </row>
    <row r="31" customFormat="false" ht="21.75" hidden="false" customHeight="true" outlineLevel="0" collapsed="false">
      <c r="C31" s="11" t="s">
        <v>42</v>
      </c>
    </row>
    <row r="33" customFormat="false" ht="15" hidden="false" customHeight="true" outlineLevel="0" collapsed="false">
      <c r="B33" s="12" t="s">
        <v>43</v>
      </c>
    </row>
    <row r="34" customFormat="false" ht="30" hidden="false" customHeight="true" outlineLevel="0" collapsed="false">
      <c r="C34" s="5" t="s">
        <v>44</v>
      </c>
    </row>
    <row r="35" customFormat="false" ht="30" hidden="false" customHeight="true" outlineLevel="0" collapsed="false">
      <c r="C35" s="5" t="s">
        <v>45</v>
      </c>
    </row>
    <row r="36" customFormat="false" ht="30" hidden="false" customHeight="true" outlineLevel="0" collapsed="false">
      <c r="C36" s="5" t="s">
        <v>46</v>
      </c>
    </row>
    <row r="37" customFormat="false" ht="30" hidden="false" customHeight="true" outlineLevel="0" collapsed="false">
      <c r="C37" s="5" t="s">
        <v>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4863A"/>
    <pageSetUpPr fitToPage="false"/>
  </sheetPr>
  <dimension ref="B2:E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54"/>
    <col collapsed="false" customWidth="true" hidden="false" outlineLevel="0" max="3" min="3" style="1" width="18"/>
    <col collapsed="false" customWidth="true" hidden="false" outlineLevel="0" max="4" min="4" style="1" width="10"/>
    <col collapsed="false" customWidth="true" hidden="false" outlineLevel="0" max="5" min="5" style="1" width="80"/>
  </cols>
  <sheetData>
    <row r="2" customFormat="false" ht="15.75" hidden="false" customHeight="true" outlineLevel="0" collapsed="false">
      <c r="B2" s="13" t="s">
        <v>48</v>
      </c>
    </row>
    <row r="3" customFormat="false" ht="15" hidden="false" customHeight="true" outlineLevel="0" collapsed="false">
      <c r="B3" s="3" t="s">
        <v>49</v>
      </c>
    </row>
    <row r="5" customFormat="false" ht="15" hidden="false" customHeight="true" outlineLevel="0" collapsed="false">
      <c r="B5" s="14" t="s">
        <v>50</v>
      </c>
      <c r="C5" s="14"/>
      <c r="D5" s="14"/>
      <c r="E5" s="14"/>
    </row>
    <row r="6" customFormat="false" ht="15" hidden="false" customHeight="true" outlineLevel="0" collapsed="false">
      <c r="B6" s="15" t="s">
        <v>51</v>
      </c>
      <c r="C6" s="16" t="n">
        <v>85448215986.6</v>
      </c>
      <c r="E6" s="17" t="s">
        <v>52</v>
      </c>
    </row>
    <row r="7" customFormat="false" ht="15" hidden="false" customHeight="true" outlineLevel="0" collapsed="false">
      <c r="B7" s="15" t="s">
        <v>53</v>
      </c>
      <c r="C7" s="16" t="n">
        <v>85448215986.6</v>
      </c>
      <c r="E7" s="17" t="s">
        <v>54</v>
      </c>
    </row>
    <row r="8" customFormat="false" ht="15" hidden="false" customHeight="true" outlineLevel="0" collapsed="false">
      <c r="B8" s="15" t="s">
        <v>55</v>
      </c>
      <c r="C8" s="16" t="n">
        <v>231404378458.03</v>
      </c>
      <c r="E8" s="17" t="s">
        <v>56</v>
      </c>
    </row>
    <row r="9" customFormat="false" ht="15" hidden="false" customHeight="true" outlineLevel="0" collapsed="false">
      <c r="B9" s="15" t="s">
        <v>57</v>
      </c>
      <c r="C9" s="16" t="n">
        <v>195410228596.03</v>
      </c>
      <c r="E9" s="17" t="s">
        <v>58</v>
      </c>
    </row>
    <row r="10" customFormat="false" ht="15" hidden="false" customHeight="true" outlineLevel="0" collapsed="false">
      <c r="B10" s="15" t="s">
        <v>59</v>
      </c>
      <c r="C10" s="16" t="n">
        <v>10586456313.27</v>
      </c>
      <c r="E10" s="17" t="s">
        <v>60</v>
      </c>
    </row>
    <row r="11" customFormat="false" ht="15" hidden="false" customHeight="true" outlineLevel="0" collapsed="false">
      <c r="B11" s="15" t="s">
        <v>61</v>
      </c>
      <c r="C11" s="16" t="n">
        <v>9764601837.13</v>
      </c>
      <c r="E11" s="17" t="s">
        <v>62</v>
      </c>
    </row>
    <row r="12" customFormat="false" ht="15" hidden="false" customHeight="true" outlineLevel="0" collapsed="false">
      <c r="B12" s="15" t="s">
        <v>63</v>
      </c>
      <c r="C12" s="16" t="n">
        <v>2030100797.22</v>
      </c>
      <c r="E12" s="17" t="s">
        <v>64</v>
      </c>
    </row>
    <row r="14" customFormat="false" ht="15" hidden="false" customHeight="true" outlineLevel="0" collapsed="false">
      <c r="B14" s="14" t="s">
        <v>65</v>
      </c>
      <c r="C14" s="14"/>
      <c r="D14" s="14"/>
      <c r="E14" s="14"/>
    </row>
    <row r="15" customFormat="false" ht="15" hidden="false" customHeight="true" outlineLevel="0" collapsed="false">
      <c r="B15" s="15" t="s">
        <v>66</v>
      </c>
      <c r="C15" s="16" t="n">
        <v>111589864610.75</v>
      </c>
      <c r="E15" s="17" t="s">
        <v>67</v>
      </c>
    </row>
    <row r="16" customFormat="false" ht="15" hidden="false" customHeight="true" outlineLevel="0" collapsed="false">
      <c r="B16" s="15" t="s">
        <v>68</v>
      </c>
      <c r="C16" s="16" t="n">
        <v>111589364610.75</v>
      </c>
      <c r="E16" s="17" t="s">
        <v>69</v>
      </c>
    </row>
    <row r="17" customFormat="false" ht="15" hidden="false" customHeight="true" outlineLevel="0" collapsed="false">
      <c r="B17" s="15" t="s">
        <v>70</v>
      </c>
      <c r="C17" s="16" t="n">
        <v>22077881373.51</v>
      </c>
      <c r="E17" s="17" t="s">
        <v>71</v>
      </c>
    </row>
    <row r="18" customFormat="false" ht="15" hidden="false" customHeight="true" outlineLevel="0" collapsed="false">
      <c r="B18" s="15" t="s">
        <v>72</v>
      </c>
      <c r="C18" s="16" t="n">
        <v>21237775108.39</v>
      </c>
      <c r="E18" s="17" t="s">
        <v>69</v>
      </c>
    </row>
    <row r="19" customFormat="false" ht="15" hidden="false" customHeight="true" outlineLevel="0" collapsed="false">
      <c r="B19" s="15" t="s">
        <v>73</v>
      </c>
      <c r="C19" s="16" t="n">
        <v>110452929430.39</v>
      </c>
      <c r="E19" s="17" t="s">
        <v>74</v>
      </c>
    </row>
    <row r="20" customFormat="false" ht="15" hidden="false" customHeight="true" outlineLevel="0" collapsed="false">
      <c r="B20" s="15" t="s">
        <v>75</v>
      </c>
      <c r="C20" s="16" t="n">
        <v>108524374690.05</v>
      </c>
      <c r="E20" s="17" t="s">
        <v>69</v>
      </c>
    </row>
    <row r="21" customFormat="false" ht="15" hidden="false" customHeight="true" outlineLevel="0" collapsed="false">
      <c r="B21" s="15" t="s">
        <v>76</v>
      </c>
      <c r="C21" s="16" t="n">
        <v>57815709350.26</v>
      </c>
      <c r="E21" s="17" t="s">
        <v>77</v>
      </c>
    </row>
    <row r="22" customFormat="false" ht="15" hidden="false" customHeight="true" outlineLevel="0" collapsed="false">
      <c r="B22" s="15" t="s">
        <v>78</v>
      </c>
      <c r="C22" s="16" t="n">
        <v>56983230093.26</v>
      </c>
      <c r="E22" s="17" t="s">
        <v>69</v>
      </c>
    </row>
    <row r="23" customFormat="false" ht="15" hidden="false" customHeight="true" outlineLevel="0" collapsed="false">
      <c r="B23" s="15" t="s">
        <v>79</v>
      </c>
      <c r="C23" s="16" t="n">
        <v>7197431540.53</v>
      </c>
      <c r="E23" s="17" t="s">
        <v>80</v>
      </c>
    </row>
    <row r="24" customFormat="false" ht="15" hidden="false" customHeight="true" outlineLevel="0" collapsed="false">
      <c r="B24" s="15" t="s">
        <v>81</v>
      </c>
      <c r="C24" s="16" t="n">
        <v>6955370091.21</v>
      </c>
      <c r="E24" s="17" t="s">
        <v>69</v>
      </c>
    </row>
    <row r="25" customFormat="false" ht="15" hidden="false" customHeight="true" outlineLevel="0" collapsed="false">
      <c r="B25" s="15" t="s">
        <v>82</v>
      </c>
      <c r="C25" s="16" t="n">
        <v>204523685.11</v>
      </c>
      <c r="E25" s="17" t="s">
        <v>83</v>
      </c>
    </row>
    <row r="26" customFormat="false" ht="15" hidden="false" customHeight="true" outlineLevel="0" collapsed="false">
      <c r="B26" s="15" t="s">
        <v>84</v>
      </c>
      <c r="C26" s="16" t="n">
        <v>204523685.11</v>
      </c>
      <c r="E26" s="17" t="s">
        <v>69</v>
      </c>
    </row>
    <row r="27" customFormat="false" ht="15" hidden="false" customHeight="true" outlineLevel="0" collapsed="false">
      <c r="B27" s="15" t="s">
        <v>85</v>
      </c>
      <c r="C27" s="16" t="n">
        <v>14965615424.9</v>
      </c>
      <c r="E27" s="17" t="s">
        <v>86</v>
      </c>
    </row>
    <row r="28" customFormat="false" ht="15" hidden="false" customHeight="true" outlineLevel="0" collapsed="false">
      <c r="B28" s="15" t="s">
        <v>87</v>
      </c>
      <c r="C28" s="16" t="n">
        <v>14965615424.9</v>
      </c>
      <c r="E28" s="17" t="s">
        <v>69</v>
      </c>
    </row>
    <row r="30" customFormat="false" ht="15" hidden="false" customHeight="true" outlineLevel="0" collapsed="false">
      <c r="B30" s="14" t="s">
        <v>88</v>
      </c>
      <c r="C30" s="14"/>
      <c r="D30" s="14"/>
      <c r="E30" s="14"/>
    </row>
    <row r="31" customFormat="false" ht="21.75" hidden="false" customHeight="true" outlineLevel="0" collapsed="false">
      <c r="B31" s="15" t="s">
        <v>89</v>
      </c>
      <c r="C31" s="18" t="n">
        <v>0.0195</v>
      </c>
      <c r="E31" s="17" t="s">
        <v>90</v>
      </c>
    </row>
    <row r="32" customFormat="false" ht="21.75" hidden="false" customHeight="true" outlineLevel="0" collapsed="false">
      <c r="B32" s="15" t="s">
        <v>91</v>
      </c>
      <c r="C32" s="18" t="n">
        <v>-0.02196</v>
      </c>
      <c r="E32" s="17" t="s">
        <v>92</v>
      </c>
    </row>
    <row r="33" customFormat="false" ht="15" hidden="false" customHeight="true" outlineLevel="0" collapsed="false">
      <c r="B33" s="15" t="s">
        <v>93</v>
      </c>
      <c r="C33" s="18" t="n">
        <v>0.8444</v>
      </c>
      <c r="E33" s="17" t="s">
        <v>94</v>
      </c>
    </row>
    <row r="34" customFormat="false" ht="15" hidden="false" customHeight="true" outlineLevel="0" collapsed="false">
      <c r="B34" s="15" t="s">
        <v>95</v>
      </c>
      <c r="C34" s="18" t="n">
        <v>0.89</v>
      </c>
      <c r="E34" s="17" t="s">
        <v>96</v>
      </c>
    </row>
    <row r="35" customFormat="false" ht="15" hidden="false" customHeight="true" outlineLevel="0" collapsed="false">
      <c r="B35" s="15" t="s">
        <v>97</v>
      </c>
      <c r="C35" s="18" t="n">
        <v>0</v>
      </c>
      <c r="E35" s="17" t="s">
        <v>98</v>
      </c>
    </row>
    <row r="36" customFormat="false" ht="15" hidden="false" customHeight="true" outlineLevel="0" collapsed="false">
      <c r="B36" s="15" t="s">
        <v>99</v>
      </c>
      <c r="C36" s="18" t="n">
        <v>0</v>
      </c>
      <c r="E36" s="17" t="s">
        <v>98</v>
      </c>
    </row>
    <row r="37" customFormat="false" ht="15" hidden="false" customHeight="true" outlineLevel="0" collapsed="false">
      <c r="B37" s="15" t="s">
        <v>100</v>
      </c>
      <c r="C37" s="19" t="n">
        <v>1</v>
      </c>
      <c r="E37" s="17" t="s">
        <v>101</v>
      </c>
    </row>
    <row r="38" customFormat="false" ht="15" hidden="false" customHeight="true" outlineLevel="0" collapsed="false">
      <c r="B38" s="15" t="s">
        <v>102</v>
      </c>
      <c r="C38" s="19" t="n">
        <v>1.5</v>
      </c>
      <c r="E38" s="17" t="s">
        <v>103</v>
      </c>
    </row>
    <row r="39" customFormat="false" ht="15" hidden="false" customHeight="true" outlineLevel="0" collapsed="false">
      <c r="B39" s="15" t="s">
        <v>104</v>
      </c>
      <c r="C39" s="20" t="n">
        <v>0.5</v>
      </c>
      <c r="E39" s="17" t="s">
        <v>105</v>
      </c>
    </row>
    <row r="41" customFormat="false" ht="15" hidden="false" customHeight="true" outlineLevel="0" collapsed="false">
      <c r="B41" s="14" t="s">
        <v>106</v>
      </c>
      <c r="C41" s="14"/>
      <c r="D41" s="14"/>
      <c r="E41" s="14"/>
    </row>
    <row r="42" customFormat="false" ht="15" hidden="false" customHeight="true" outlineLevel="0" collapsed="false">
      <c r="B42" s="15" t="s">
        <v>107</v>
      </c>
      <c r="C42" s="21" t="n">
        <v>0.125</v>
      </c>
      <c r="E42" s="17" t="s">
        <v>108</v>
      </c>
    </row>
    <row r="43" customFormat="false" ht="15" hidden="false" customHeight="true" outlineLevel="0" collapsed="false">
      <c r="B43" s="15" t="s">
        <v>109</v>
      </c>
      <c r="C43" s="21" t="n">
        <v>0.25</v>
      </c>
      <c r="E43" s="17" t="s">
        <v>108</v>
      </c>
    </row>
    <row r="44" customFormat="false" ht="15" hidden="false" customHeight="true" outlineLevel="0" collapsed="false">
      <c r="B44" s="15" t="s">
        <v>110</v>
      </c>
      <c r="C44" s="21" t="n">
        <v>0.375</v>
      </c>
      <c r="E44" s="17" t="s">
        <v>108</v>
      </c>
    </row>
    <row r="45" customFormat="false" ht="15" hidden="false" customHeight="true" outlineLevel="0" collapsed="false">
      <c r="B45" s="15" t="s">
        <v>111</v>
      </c>
      <c r="C45" s="21" t="n">
        <v>0.5</v>
      </c>
      <c r="E45" s="17" t="s">
        <v>108</v>
      </c>
    </row>
    <row r="46" customFormat="false" ht="15" hidden="false" customHeight="true" outlineLevel="0" collapsed="false">
      <c r="B46" s="15" t="s">
        <v>112</v>
      </c>
      <c r="C46" s="21" t="n">
        <v>0.5</v>
      </c>
      <c r="E46" s="17" t="s">
        <v>108</v>
      </c>
    </row>
    <row r="48" customFormat="false" ht="15" hidden="false" customHeight="true" outlineLevel="0" collapsed="false">
      <c r="B48" s="14" t="s">
        <v>113</v>
      </c>
      <c r="C48" s="14"/>
      <c r="D48" s="14"/>
      <c r="E48" s="14"/>
    </row>
    <row r="49" customFormat="false" ht="15" hidden="false" customHeight="true" outlineLevel="0" collapsed="false">
      <c r="B49" s="15" t="s">
        <v>114</v>
      </c>
      <c r="C49" s="22" t="n">
        <v>505701689.94</v>
      </c>
      <c r="E49" s="17" t="s">
        <v>115</v>
      </c>
    </row>
    <row r="50" customFormat="false" ht="15" hidden="false" customHeight="true" outlineLevel="0" collapsed="false">
      <c r="B50" s="15" t="s">
        <v>116</v>
      </c>
      <c r="C50" s="22" t="n">
        <v>7730900000</v>
      </c>
      <c r="E50" s="17" t="s">
        <v>117</v>
      </c>
    </row>
    <row r="51" customFormat="false" ht="15" hidden="false" customHeight="true" outlineLevel="0" collapsed="false">
      <c r="B51" s="15" t="s">
        <v>118</v>
      </c>
      <c r="C51" s="18" t="n">
        <v>0.004</v>
      </c>
      <c r="E51" s="17" t="s">
        <v>119</v>
      </c>
    </row>
    <row r="52" customFormat="false" ht="15" hidden="false" customHeight="true" outlineLevel="0" collapsed="false">
      <c r="B52" s="15" t="s">
        <v>120</v>
      </c>
      <c r="C52" s="18" t="n">
        <v>0.015</v>
      </c>
      <c r="E52" s="17" t="s">
        <v>121</v>
      </c>
    </row>
    <row r="53" customFormat="false" ht="15" hidden="false" customHeight="true" outlineLevel="0" collapsed="false">
      <c r="B53" s="15" t="s">
        <v>122</v>
      </c>
      <c r="C53" s="22" t="n">
        <v>2059000000</v>
      </c>
      <c r="E53" s="17" t="s">
        <v>123</v>
      </c>
    </row>
    <row r="54" customFormat="false" ht="15" hidden="false" customHeight="true" outlineLevel="0" collapsed="false">
      <c r="B54" s="15" t="s">
        <v>124</v>
      </c>
      <c r="C54" s="22" t="n">
        <v>1200000000</v>
      </c>
      <c r="E54" s="17" t="s">
        <v>125</v>
      </c>
    </row>
    <row r="55" customFormat="false" ht="15" hidden="false" customHeight="true" outlineLevel="0" collapsed="false">
      <c r="B55" s="15" t="s">
        <v>126</v>
      </c>
      <c r="C55" s="22" t="n">
        <v>180000000</v>
      </c>
      <c r="E55" s="17" t="s">
        <v>127</v>
      </c>
    </row>
    <row r="56" customFormat="false" ht="15" hidden="false" customHeight="true" outlineLevel="0" collapsed="false">
      <c r="B56" s="15" t="s">
        <v>128</v>
      </c>
      <c r="C56" s="22" t="n">
        <v>0</v>
      </c>
      <c r="E56" s="17" t="s">
        <v>129</v>
      </c>
    </row>
    <row r="58" customFormat="false" ht="15" hidden="false" customHeight="true" outlineLevel="0" collapsed="false">
      <c r="B58" s="14" t="s">
        <v>130</v>
      </c>
      <c r="C58" s="14"/>
      <c r="D58" s="14"/>
      <c r="E58" s="14"/>
    </row>
    <row r="59" customFormat="false" ht="15" hidden="false" customHeight="true" outlineLevel="0" collapsed="false">
      <c r="B59" s="15" t="s">
        <v>131</v>
      </c>
      <c r="C59" s="16" t="n">
        <v>8960328499</v>
      </c>
      <c r="E59" s="17" t="s">
        <v>132</v>
      </c>
    </row>
    <row r="60" customFormat="false" ht="15" hidden="false" customHeight="true" outlineLevel="0" collapsed="false">
      <c r="B60" s="15" t="s">
        <v>133</v>
      </c>
      <c r="C60" s="16" t="n">
        <v>8231000000</v>
      </c>
      <c r="E60" s="17" t="s">
        <v>134</v>
      </c>
    </row>
    <row r="61" customFormat="false" ht="15" hidden="false" customHeight="true" outlineLevel="0" collapsed="false">
      <c r="B61" s="15" t="s">
        <v>135</v>
      </c>
      <c r="C61" s="16" t="n">
        <v>3388144415</v>
      </c>
      <c r="E61" s="17" t="s">
        <v>136</v>
      </c>
    </row>
    <row r="62" customFormat="false" ht="15" hidden="false" customHeight="true" outlineLevel="0" collapsed="false">
      <c r="B62" s="15" t="s">
        <v>137</v>
      </c>
      <c r="C62" s="23" t="n">
        <v>0.25</v>
      </c>
      <c r="E62" s="17" t="s">
        <v>138</v>
      </c>
    </row>
    <row r="63" customFormat="false" ht="15" hidden="false" customHeight="true" outlineLevel="0" collapsed="false">
      <c r="B63" s="15" t="s">
        <v>139</v>
      </c>
      <c r="C63" s="23" t="n">
        <v>0.6</v>
      </c>
      <c r="E63" s="17" t="s">
        <v>140</v>
      </c>
    </row>
    <row r="66" customFormat="false" ht="32.25" hidden="false" customHeight="true" outlineLevel="0" collapsed="false">
      <c r="B66" s="11" t="s">
        <v>141</v>
      </c>
    </row>
    <row r="68" customFormat="false" ht="15" hidden="false" customHeight="true" outlineLevel="0" collapsed="false">
      <c r="B68" s="24" t="s">
        <v>142</v>
      </c>
    </row>
    <row r="69" customFormat="false" ht="25.5" hidden="false" customHeight="true" outlineLevel="0" collapsed="false">
      <c r="B69" s="17" t="s">
        <v>143</v>
      </c>
    </row>
    <row r="70" customFormat="false" ht="25.5" hidden="false" customHeight="true" outlineLevel="0" collapsed="false">
      <c r="B70" s="17" t="s">
        <v>144</v>
      </c>
    </row>
    <row r="71" customFormat="false" ht="25.5" hidden="false" customHeight="true" outlineLevel="0" collapsed="false">
      <c r="B71" s="17" t="s">
        <v>145</v>
      </c>
    </row>
    <row r="73" customFormat="false" ht="15" hidden="false" customHeight="true" outlineLevel="0" collapsed="false">
      <c r="B73" s="14" t="s">
        <v>146</v>
      </c>
      <c r="C73" s="14"/>
      <c r="D73" s="14"/>
      <c r="E73" s="14"/>
    </row>
    <row r="74" customFormat="false" ht="21.75" hidden="false" customHeight="true" outlineLevel="0" collapsed="false">
      <c r="B74" s="15" t="s">
        <v>147</v>
      </c>
      <c r="C74" s="18" t="n">
        <v>0.7446</v>
      </c>
      <c r="E74" s="17" t="s">
        <v>148</v>
      </c>
    </row>
    <row r="75" customFormat="false" ht="21.75" hidden="false" customHeight="true" outlineLevel="0" collapsed="false">
      <c r="B75" s="15" t="s">
        <v>149</v>
      </c>
      <c r="C75" s="18" t="n">
        <v>0.7452</v>
      </c>
      <c r="E75" s="17" t="s">
        <v>150</v>
      </c>
    </row>
    <row r="76" customFormat="false" ht="15" hidden="false" customHeight="true" outlineLevel="0" collapsed="false">
      <c r="B76" s="15" t="s">
        <v>151</v>
      </c>
      <c r="C76" s="18" t="n">
        <v>0</v>
      </c>
      <c r="E76" s="17" t="s">
        <v>152</v>
      </c>
    </row>
    <row r="77" customFormat="false" ht="21.75" hidden="false" customHeight="true" outlineLevel="0" collapsed="false">
      <c r="B77" s="15" t="s">
        <v>153</v>
      </c>
      <c r="C77" s="22" t="n">
        <v>4500000000</v>
      </c>
      <c r="E77" s="17" t="s">
        <v>154</v>
      </c>
    </row>
    <row r="78" customFormat="false" ht="21.75" hidden="false" customHeight="true" outlineLevel="0" collapsed="false">
      <c r="B78" s="15" t="s">
        <v>155</v>
      </c>
      <c r="C78" s="22" t="n">
        <v>2100000000</v>
      </c>
      <c r="E78" s="17" t="s">
        <v>156</v>
      </c>
    </row>
    <row r="80" customFormat="false" ht="15" hidden="false" customHeight="true" outlineLevel="0" collapsed="false">
      <c r="B80" s="14" t="s">
        <v>157</v>
      </c>
      <c r="C80" s="14"/>
      <c r="D80" s="14"/>
      <c r="E80" s="14"/>
    </row>
    <row r="81" customFormat="false" ht="21.75" hidden="false" customHeight="true" outlineLevel="0" collapsed="false">
      <c r="B81" s="15" t="s">
        <v>158</v>
      </c>
      <c r="C81" s="18" t="n">
        <v>0.24</v>
      </c>
      <c r="E81" s="17" t="s">
        <v>159</v>
      </c>
    </row>
    <row r="82" customFormat="false" ht="15" hidden="false" customHeight="true" outlineLevel="0" collapsed="false">
      <c r="B82" s="15" t="s">
        <v>160</v>
      </c>
      <c r="C82" s="18" t="n">
        <v>0.035</v>
      </c>
      <c r="E82" s="17" t="s">
        <v>161</v>
      </c>
    </row>
    <row r="83" customFormat="false" ht="21.75" hidden="false" customHeight="true" outlineLevel="0" collapsed="false">
      <c r="B83" s="15" t="s">
        <v>162</v>
      </c>
      <c r="C83" s="18" t="n">
        <v>0.01</v>
      </c>
      <c r="E83" s="17" t="s">
        <v>163</v>
      </c>
    </row>
    <row r="84" customFormat="false" ht="21.75" hidden="false" customHeight="true" outlineLevel="0" collapsed="false">
      <c r="B84" s="15" t="s">
        <v>164</v>
      </c>
      <c r="C84" s="19" t="n">
        <v>1</v>
      </c>
      <c r="E84" s="17" t="s">
        <v>165</v>
      </c>
    </row>
    <row r="86" customFormat="false" ht="15" hidden="false" customHeight="true" outlineLevel="0" collapsed="false">
      <c r="B86" s="14" t="s">
        <v>166</v>
      </c>
      <c r="C86" s="14"/>
      <c r="D86" s="14"/>
      <c r="E86" s="14"/>
    </row>
    <row r="87" customFormat="false" ht="21.75" hidden="false" customHeight="true" outlineLevel="0" collapsed="false">
      <c r="B87" s="15" t="s">
        <v>167</v>
      </c>
      <c r="C87" s="22" t="n">
        <v>3100000000</v>
      </c>
      <c r="E87" s="17" t="s">
        <v>168</v>
      </c>
    </row>
    <row r="88" customFormat="false" ht="21.75" hidden="false" customHeight="true" outlineLevel="0" collapsed="false">
      <c r="B88" s="15" t="s">
        <v>169</v>
      </c>
      <c r="C88" s="22" t="n">
        <v>4860328499</v>
      </c>
      <c r="E88" s="17" t="s">
        <v>170</v>
      </c>
    </row>
    <row r="89" customFormat="false" ht="15" hidden="false" customHeight="true" outlineLevel="0" collapsed="false">
      <c r="B89" s="15" t="s">
        <v>171</v>
      </c>
      <c r="C89" s="22" t="n">
        <v>1000000000</v>
      </c>
      <c r="E89" s="17" t="s">
        <v>172</v>
      </c>
    </row>
    <row r="90" customFormat="false" ht="15" hidden="false" customHeight="true" outlineLevel="0" collapsed="false">
      <c r="B90" s="15" t="s">
        <v>173</v>
      </c>
      <c r="C90" s="18" t="n">
        <v>0</v>
      </c>
      <c r="E90" s="17" t="s">
        <v>174</v>
      </c>
    </row>
    <row r="91" customFormat="false" ht="15" hidden="false" customHeight="true" outlineLevel="0" collapsed="false">
      <c r="B91" s="15" t="s">
        <v>175</v>
      </c>
      <c r="C91" s="18" t="n">
        <v>32</v>
      </c>
      <c r="E91" s="17" t="s">
        <v>176</v>
      </c>
    </row>
    <row r="93" customFormat="false" ht="15" hidden="false" customHeight="true" outlineLevel="0" collapsed="false">
      <c r="B93" s="14" t="s">
        <v>177</v>
      </c>
      <c r="C93" s="14"/>
      <c r="D93" s="14"/>
      <c r="E93" s="14"/>
    </row>
    <row r="94" customFormat="false" ht="21.75" hidden="false" customHeight="true" outlineLevel="0" collapsed="false">
      <c r="B94" s="15" t="s">
        <v>178</v>
      </c>
      <c r="C94" s="18" t="n">
        <v>0.01</v>
      </c>
      <c r="E94" s="17" t="s">
        <v>179</v>
      </c>
    </row>
    <row r="95" customFormat="false" ht="21.75" hidden="false" customHeight="true" outlineLevel="0" collapsed="false">
      <c r="B95" s="15" t="s">
        <v>180</v>
      </c>
      <c r="C95" s="18" t="n">
        <v>0</v>
      </c>
      <c r="E95" s="17" t="s">
        <v>181</v>
      </c>
    </row>
    <row r="96" customFormat="false" ht="15" hidden="false" customHeight="true" outlineLevel="0" collapsed="false">
      <c r="B96" s="15" t="s">
        <v>182</v>
      </c>
      <c r="C96" s="19" t="n">
        <v>2</v>
      </c>
      <c r="E96" s="17" t="s">
        <v>183</v>
      </c>
    </row>
    <row r="97" customFormat="false" ht="15" hidden="false" customHeight="true" outlineLevel="0" collapsed="false">
      <c r="B97" s="15" t="s">
        <v>184</v>
      </c>
      <c r="C97" s="19" t="n">
        <v>4</v>
      </c>
      <c r="E97" s="17" t="s">
        <v>185</v>
      </c>
    </row>
    <row r="99" customFormat="false" ht="15" hidden="false" customHeight="false" outlineLevel="0" collapsed="false">
      <c r="B99" s="25" t="s">
        <v>186</v>
      </c>
      <c r="C99" s="25"/>
      <c r="D99" s="25"/>
      <c r="E99" s="25"/>
    </row>
    <row r="100" customFormat="false" ht="15" hidden="false" customHeight="false" outlineLevel="0" collapsed="false">
      <c r="B100" s="26" t="s">
        <v>187</v>
      </c>
      <c r="C100" s="27" t="n">
        <v>30000000000</v>
      </c>
      <c r="E100" s="17" t="s">
        <v>188</v>
      </c>
    </row>
    <row r="101" customFormat="false" ht="15" hidden="false" customHeight="false" outlineLevel="0" collapsed="false">
      <c r="B101" s="26" t="s">
        <v>189</v>
      </c>
      <c r="C101" s="28" t="n">
        <v>0.3088</v>
      </c>
      <c r="E101" s="17" t="s">
        <v>190</v>
      </c>
    </row>
    <row r="102" customFormat="false" ht="15" hidden="false" customHeight="false" outlineLevel="0" collapsed="false">
      <c r="B102" s="26" t="s">
        <v>191</v>
      </c>
      <c r="C102" s="29" t="n">
        <v>8</v>
      </c>
      <c r="E102" s="17" t="s">
        <v>192</v>
      </c>
    </row>
    <row r="103" customFormat="false" ht="15" hidden="false" customHeight="false" outlineLevel="0" collapsed="false">
      <c r="B103" s="26" t="s">
        <v>193</v>
      </c>
      <c r="C103" s="29" t="n">
        <v>15</v>
      </c>
      <c r="E103" s="17" t="s">
        <v>194</v>
      </c>
    </row>
    <row r="104" customFormat="false" ht="15" hidden="false" customHeight="false" outlineLevel="0" collapsed="false">
      <c r="B104" s="26" t="s">
        <v>195</v>
      </c>
      <c r="C104" s="27" t="n">
        <v>26250000000</v>
      </c>
      <c r="E104" s="17" t="s">
        <v>196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P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2"/>
    <col collapsed="false" customWidth="true" hidden="false" outlineLevel="0" max="14" min="3" style="1" width="9"/>
    <col collapsed="false" customWidth="true" hidden="false" outlineLevel="0" max="15" min="15" style="1" width="10"/>
    <col collapsed="false" customWidth="true" hidden="false" outlineLevel="0" max="16" min="16" style="1" width="78"/>
  </cols>
  <sheetData>
    <row r="2" customFormat="false" ht="15.75" hidden="false" customHeight="true" outlineLevel="0" collapsed="false">
      <c r="B2" s="13" t="s">
        <v>197</v>
      </c>
    </row>
    <row r="3" customFormat="false" ht="15" hidden="false" customHeight="true" outlineLevel="0" collapsed="false">
      <c r="B3" s="3" t="s">
        <v>198</v>
      </c>
    </row>
    <row r="5" customFormat="false" ht="15" hidden="false" customHeight="true" outlineLevel="0" collapsed="false">
      <c r="B5" s="30" t="s">
        <v>199</v>
      </c>
      <c r="C5" s="30" t="s">
        <v>200</v>
      </c>
      <c r="D5" s="30" t="s">
        <v>201</v>
      </c>
      <c r="E5" s="30" t="s">
        <v>202</v>
      </c>
      <c r="F5" s="30" t="s">
        <v>203</v>
      </c>
      <c r="G5" s="30" t="s">
        <v>204</v>
      </c>
      <c r="H5" s="30" t="s">
        <v>205</v>
      </c>
      <c r="I5" s="30" t="s">
        <v>206</v>
      </c>
      <c r="J5" s="30" t="s">
        <v>207</v>
      </c>
      <c r="K5" s="30" t="s">
        <v>208</v>
      </c>
      <c r="L5" s="30" t="s">
        <v>209</v>
      </c>
      <c r="M5" s="30" t="s">
        <v>210</v>
      </c>
      <c r="N5" s="30" t="s">
        <v>211</v>
      </c>
      <c r="O5" s="30" t="s">
        <v>212</v>
      </c>
      <c r="P5" s="30" t="s">
        <v>213</v>
      </c>
    </row>
    <row r="6" customFormat="false" ht="15" hidden="false" customHeight="true" outlineLevel="0" collapsed="false">
      <c r="B6" s="15" t="s">
        <v>214</v>
      </c>
      <c r="C6" s="23" t="n">
        <v>0.098</v>
      </c>
      <c r="D6" s="23" t="n">
        <v>0.08</v>
      </c>
      <c r="E6" s="23" t="n">
        <v>0.084</v>
      </c>
      <c r="F6" s="23" t="n">
        <v>0.082</v>
      </c>
      <c r="G6" s="23" t="n">
        <v>0.08</v>
      </c>
      <c r="H6" s="23" t="n">
        <v>0.082</v>
      </c>
      <c r="I6" s="23" t="n">
        <v>0.084</v>
      </c>
      <c r="J6" s="23" t="n">
        <v>0.082</v>
      </c>
      <c r="K6" s="23" t="n">
        <v>0.08</v>
      </c>
      <c r="L6" s="23" t="n">
        <v>0.082</v>
      </c>
      <c r="M6" s="23" t="n">
        <v>0.08</v>
      </c>
      <c r="N6" s="23" t="n">
        <v>0.086</v>
      </c>
      <c r="O6" s="31" t="n">
        <f aca="false">SUM(C6:N6)</f>
        <v>1</v>
      </c>
      <c r="P6" s="17" t="s">
        <v>215</v>
      </c>
    </row>
    <row r="7" customFormat="false" ht="15" hidden="false" customHeight="true" outlineLevel="0" collapsed="false">
      <c r="B7" s="15" t="s">
        <v>216</v>
      </c>
      <c r="C7" s="23" t="n">
        <v>0.083</v>
      </c>
      <c r="D7" s="23" t="n">
        <v>0.081</v>
      </c>
      <c r="E7" s="23" t="n">
        <v>0.085</v>
      </c>
      <c r="F7" s="23" t="n">
        <v>0.084</v>
      </c>
      <c r="G7" s="23" t="n">
        <v>0.083</v>
      </c>
      <c r="H7" s="23" t="n">
        <v>0.084</v>
      </c>
      <c r="I7" s="23" t="n">
        <v>0.085</v>
      </c>
      <c r="J7" s="23" t="n">
        <v>0.084</v>
      </c>
      <c r="K7" s="23" t="n">
        <v>0.083</v>
      </c>
      <c r="L7" s="23" t="n">
        <v>0.084</v>
      </c>
      <c r="M7" s="23" t="n">
        <v>0.083</v>
      </c>
      <c r="N7" s="23" t="n">
        <v>0.081</v>
      </c>
      <c r="O7" s="31" t="n">
        <f aca="false">SUM(C7:N7)</f>
        <v>1</v>
      </c>
      <c r="P7" s="17" t="s">
        <v>217</v>
      </c>
    </row>
    <row r="8" customFormat="false" ht="15" hidden="false" customHeight="true" outlineLevel="0" collapsed="false">
      <c r="B8" s="15" t="s">
        <v>218</v>
      </c>
      <c r="C8" s="23" t="n">
        <v>0.0833</v>
      </c>
      <c r="D8" s="23" t="n">
        <v>0.0833</v>
      </c>
      <c r="E8" s="23" t="n">
        <v>0.0833</v>
      </c>
      <c r="F8" s="23" t="n">
        <v>0.0833</v>
      </c>
      <c r="G8" s="23" t="n">
        <v>0.0833</v>
      </c>
      <c r="H8" s="23" t="n">
        <v>0.0833</v>
      </c>
      <c r="I8" s="23" t="n">
        <v>0.0833</v>
      </c>
      <c r="J8" s="23" t="n">
        <v>0.0833</v>
      </c>
      <c r="K8" s="23" t="n">
        <v>0.0833</v>
      </c>
      <c r="L8" s="23" t="n">
        <v>0.0833</v>
      </c>
      <c r="M8" s="23" t="n">
        <v>0.0833</v>
      </c>
      <c r="N8" s="23" t="n">
        <v>0.0833</v>
      </c>
      <c r="O8" s="31" t="n">
        <f aca="false">SUM(C8:N8)</f>
        <v>0.9996</v>
      </c>
      <c r="P8" s="17" t="s">
        <v>219</v>
      </c>
    </row>
    <row r="9" customFormat="false" ht="15" hidden="false" customHeight="true" outlineLevel="0" collapsed="false">
      <c r="B9" s="15" t="s">
        <v>220</v>
      </c>
      <c r="C9" s="23" t="n">
        <v>0.05</v>
      </c>
      <c r="D9" s="23" t="n">
        <v>0.05</v>
      </c>
      <c r="E9" s="23" t="n">
        <v>0.08</v>
      </c>
      <c r="F9" s="23" t="n">
        <v>0.08</v>
      </c>
      <c r="G9" s="23" t="n">
        <v>0.09</v>
      </c>
      <c r="H9" s="23" t="n">
        <v>0.1</v>
      </c>
      <c r="I9" s="23" t="n">
        <v>0.09</v>
      </c>
      <c r="J9" s="23" t="n">
        <v>0.09</v>
      </c>
      <c r="K9" s="23" t="n">
        <v>0.09</v>
      </c>
      <c r="L9" s="23" t="n">
        <v>0.1</v>
      </c>
      <c r="M9" s="23" t="n">
        <v>0.1</v>
      </c>
      <c r="N9" s="23" t="n">
        <v>0.08</v>
      </c>
      <c r="O9" s="31" t="n">
        <f aca="false">SUM(C9:N9)</f>
        <v>1</v>
      </c>
      <c r="P9" s="17" t="s">
        <v>221</v>
      </c>
    </row>
    <row r="10" customFormat="false" ht="15" hidden="false" customHeight="true" outlineLevel="0" collapsed="false">
      <c r="B10" s="15" t="s">
        <v>222</v>
      </c>
      <c r="C10" s="23" t="n">
        <v>0.0769</v>
      </c>
      <c r="D10" s="23" t="n">
        <v>0.0769</v>
      </c>
      <c r="E10" s="23" t="n">
        <v>0.0769</v>
      </c>
      <c r="F10" s="23" t="n">
        <v>0.0769</v>
      </c>
      <c r="G10" s="23" t="n">
        <v>0.0769</v>
      </c>
      <c r="H10" s="23" t="n">
        <v>0.0769</v>
      </c>
      <c r="I10" s="23" t="n">
        <v>0.0769</v>
      </c>
      <c r="J10" s="23" t="n">
        <v>0.0769</v>
      </c>
      <c r="K10" s="23" t="n">
        <v>0.0769</v>
      </c>
      <c r="L10" s="23" t="n">
        <v>0.0769</v>
      </c>
      <c r="M10" s="23" t="n">
        <v>0.0769</v>
      </c>
      <c r="N10" s="23" t="n">
        <v>0.0769</v>
      </c>
      <c r="O10" s="31" t="n">
        <f aca="false">SUM(C10:N10)</f>
        <v>0.9228</v>
      </c>
      <c r="P10" s="17" t="s">
        <v>223</v>
      </c>
    </row>
    <row r="11" customFormat="false" ht="15" hidden="false" customHeight="true" outlineLevel="0" collapsed="false">
      <c r="B11" s="15" t="s">
        <v>224</v>
      </c>
      <c r="C11" s="23" t="n">
        <v>0</v>
      </c>
      <c r="D11" s="23" t="n">
        <v>0</v>
      </c>
      <c r="E11" s="23" t="n">
        <v>0</v>
      </c>
      <c r="F11" s="23" t="n">
        <v>0</v>
      </c>
      <c r="G11" s="23" t="n">
        <v>0</v>
      </c>
      <c r="H11" s="23" t="n">
        <v>0.5</v>
      </c>
      <c r="I11" s="23" t="n">
        <v>0</v>
      </c>
      <c r="J11" s="23" t="n">
        <v>0</v>
      </c>
      <c r="K11" s="23" t="n">
        <v>0</v>
      </c>
      <c r="L11" s="23" t="n">
        <v>0</v>
      </c>
      <c r="M11" s="23" t="n">
        <v>0</v>
      </c>
      <c r="N11" s="23" t="n">
        <v>0.5</v>
      </c>
      <c r="O11" s="31" t="n">
        <f aca="false">SUM(C11:N11)</f>
        <v>1</v>
      </c>
      <c r="P11" s="17" t="s">
        <v>225</v>
      </c>
    </row>
    <row r="12" customFormat="false" ht="15" hidden="false" customHeight="true" outlineLevel="0" collapsed="false">
      <c r="B12" s="15" t="s">
        <v>226</v>
      </c>
      <c r="C12" s="23" t="n">
        <v>0.07</v>
      </c>
      <c r="D12" s="23" t="n">
        <v>0.078</v>
      </c>
      <c r="E12" s="23" t="n">
        <v>0.086</v>
      </c>
      <c r="F12" s="23" t="n">
        <v>0.086</v>
      </c>
      <c r="G12" s="23" t="n">
        <v>0.086</v>
      </c>
      <c r="H12" s="23" t="n">
        <v>0.086</v>
      </c>
      <c r="I12" s="23" t="n">
        <v>0.086</v>
      </c>
      <c r="J12" s="23" t="n">
        <v>0.086</v>
      </c>
      <c r="K12" s="23" t="n">
        <v>0.086</v>
      </c>
      <c r="L12" s="23" t="n">
        <v>0.088</v>
      </c>
      <c r="M12" s="23" t="n">
        <v>0.088</v>
      </c>
      <c r="N12" s="23" t="n">
        <v>0.074</v>
      </c>
      <c r="O12" s="31" t="n">
        <f aca="false">SUM(C12:N12)</f>
        <v>1</v>
      </c>
      <c r="P12" s="17" t="s">
        <v>227</v>
      </c>
    </row>
    <row r="13" customFormat="false" ht="15" hidden="false" customHeight="true" outlineLevel="0" collapsed="false">
      <c r="B13" s="15" t="s">
        <v>228</v>
      </c>
      <c r="C13" s="23" t="n">
        <v>0.081</v>
      </c>
      <c r="D13" s="23" t="n">
        <v>0.082</v>
      </c>
      <c r="E13" s="23" t="n">
        <v>0.084</v>
      </c>
      <c r="F13" s="23" t="n">
        <v>0.084</v>
      </c>
      <c r="G13" s="23" t="n">
        <v>0.084</v>
      </c>
      <c r="H13" s="23" t="n">
        <v>0.084</v>
      </c>
      <c r="I13" s="23" t="n">
        <v>0.084</v>
      </c>
      <c r="J13" s="23" t="n">
        <v>0.084</v>
      </c>
      <c r="K13" s="23" t="n">
        <v>0.084</v>
      </c>
      <c r="L13" s="23" t="n">
        <v>0.084</v>
      </c>
      <c r="M13" s="23" t="n">
        <v>0.084</v>
      </c>
      <c r="N13" s="23" t="n">
        <v>0.081</v>
      </c>
      <c r="O13" s="31" t="n">
        <f aca="false">SUM(C13:N13)</f>
        <v>1</v>
      </c>
      <c r="P13" s="17" t="s">
        <v>229</v>
      </c>
    </row>
    <row r="14" customFormat="false" ht="15" hidden="false" customHeight="true" outlineLevel="0" collapsed="false">
      <c r="B14" s="15" t="s">
        <v>230</v>
      </c>
      <c r="C14" s="23" t="n">
        <v>0.03</v>
      </c>
      <c r="D14" s="23" t="n">
        <v>0.04</v>
      </c>
      <c r="E14" s="23" t="n">
        <v>0.08</v>
      </c>
      <c r="F14" s="23" t="n">
        <v>0.09</v>
      </c>
      <c r="G14" s="23" t="n">
        <v>0.1</v>
      </c>
      <c r="H14" s="23" t="n">
        <v>0.1</v>
      </c>
      <c r="I14" s="23" t="n">
        <v>0.1</v>
      </c>
      <c r="J14" s="23" t="n">
        <v>0.1</v>
      </c>
      <c r="K14" s="23" t="n">
        <v>0.1</v>
      </c>
      <c r="L14" s="23" t="n">
        <v>0.1</v>
      </c>
      <c r="M14" s="23" t="n">
        <v>0.09</v>
      </c>
      <c r="N14" s="23" t="n">
        <v>0.07</v>
      </c>
      <c r="O14" s="31" t="n">
        <f aca="false">SUM(C14:N14)</f>
        <v>1</v>
      </c>
      <c r="P14" s="17" t="s">
        <v>231</v>
      </c>
    </row>
    <row r="15" customFormat="false" ht="15" hidden="false" customHeight="true" outlineLevel="0" collapsed="false">
      <c r="B15" s="15" t="s">
        <v>232</v>
      </c>
      <c r="C15" s="23" t="n">
        <v>0.0833</v>
      </c>
      <c r="D15" s="23" t="n">
        <v>0.0833</v>
      </c>
      <c r="E15" s="23" t="n">
        <v>0.0833</v>
      </c>
      <c r="F15" s="23" t="n">
        <v>0.0833</v>
      </c>
      <c r="G15" s="23" t="n">
        <v>0.0833</v>
      </c>
      <c r="H15" s="23" t="n">
        <v>0.0833</v>
      </c>
      <c r="I15" s="23" t="n">
        <v>0.0833</v>
      </c>
      <c r="J15" s="23" t="n">
        <v>0.0833</v>
      </c>
      <c r="K15" s="23" t="n">
        <v>0.0833</v>
      </c>
      <c r="L15" s="23" t="n">
        <v>0.0833</v>
      </c>
      <c r="M15" s="23" t="n">
        <v>0.0833</v>
      </c>
      <c r="N15" s="23" t="n">
        <v>0.0833</v>
      </c>
      <c r="O15" s="31" t="n">
        <f aca="false">SUM(C15:N15)</f>
        <v>0.9996</v>
      </c>
      <c r="P15" s="17" t="s">
        <v>233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T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3" t="s">
        <v>234</v>
      </c>
    </row>
    <row r="3" customFormat="false" ht="15" hidden="false" customHeight="true" outlineLevel="0" collapsed="false">
      <c r="B3" s="3" t="s">
        <v>235</v>
      </c>
    </row>
    <row r="5" customFormat="false" ht="15" hidden="false" customHeight="true" outlineLevel="0" collapsed="false">
      <c r="B5" s="32" t="s">
        <v>236</v>
      </c>
      <c r="C5" s="32" t="s">
        <v>237</v>
      </c>
      <c r="D5" s="32"/>
      <c r="E5" s="32"/>
      <c r="F5" s="32"/>
      <c r="G5" s="32"/>
      <c r="H5" s="32"/>
      <c r="I5" s="32"/>
      <c r="J5" s="32"/>
      <c r="K5" s="32"/>
      <c r="L5" s="32"/>
      <c r="M5" s="32"/>
      <c r="N5" s="32"/>
      <c r="O5" s="32" t="s">
        <v>238</v>
      </c>
      <c r="P5" s="32"/>
      <c r="Q5" s="32"/>
      <c r="R5" s="32"/>
      <c r="S5" s="32"/>
      <c r="T5" s="32"/>
      <c r="U5" s="32"/>
      <c r="V5" s="32"/>
      <c r="W5" s="32"/>
      <c r="X5" s="32"/>
      <c r="Y5" s="32"/>
      <c r="Z5" s="32"/>
      <c r="AA5" s="32" t="s">
        <v>239</v>
      </c>
      <c r="AB5" s="32"/>
      <c r="AC5" s="32"/>
      <c r="AD5" s="32"/>
      <c r="AE5" s="32"/>
      <c r="AF5" s="32"/>
      <c r="AG5" s="32"/>
      <c r="AH5" s="32"/>
      <c r="AI5" s="32"/>
      <c r="AJ5" s="32"/>
      <c r="AK5" s="32"/>
      <c r="AL5" s="32"/>
      <c r="AM5" s="32" t="s">
        <v>240</v>
      </c>
      <c r="AN5" s="32"/>
      <c r="AO5" s="32"/>
      <c r="AP5" s="32"/>
      <c r="AQ5" s="32"/>
      <c r="AR5" s="32"/>
      <c r="AS5" s="32"/>
      <c r="AT5" s="32"/>
      <c r="AU5" s="32"/>
      <c r="AV5" s="32"/>
      <c r="AW5" s="32"/>
      <c r="AX5" s="32"/>
      <c r="AY5" s="32" t="s">
        <v>241</v>
      </c>
      <c r="AZ5" s="32"/>
      <c r="BA5" s="32"/>
      <c r="BB5" s="32"/>
      <c r="BC5" s="32"/>
      <c r="BD5" s="32"/>
      <c r="BE5" s="32"/>
      <c r="BF5" s="32"/>
      <c r="BG5" s="32"/>
      <c r="BH5" s="32"/>
      <c r="BI5" s="32"/>
      <c r="BJ5" s="32"/>
      <c r="BK5" s="32" t="s">
        <v>242</v>
      </c>
      <c r="BL5" s="32"/>
      <c r="BM5" s="32"/>
      <c r="BN5" s="32"/>
      <c r="BO5" s="32"/>
      <c r="BP5" s="32"/>
      <c r="BQ5" s="32"/>
      <c r="BR5" s="32"/>
      <c r="BS5" s="32"/>
      <c r="BT5" s="32"/>
      <c r="BU5" s="32"/>
      <c r="BV5" s="32"/>
      <c r="BW5" s="32" t="s">
        <v>243</v>
      </c>
      <c r="BX5" s="32"/>
      <c r="BY5" s="32"/>
      <c r="BZ5" s="32"/>
      <c r="CA5" s="32"/>
      <c r="CB5" s="32"/>
      <c r="CC5" s="32"/>
      <c r="CD5" s="32"/>
      <c r="CE5" s="32"/>
      <c r="CF5" s="32"/>
      <c r="CG5" s="32"/>
      <c r="CH5" s="32"/>
      <c r="CI5" s="32" t="s">
        <v>244</v>
      </c>
      <c r="CJ5" s="32"/>
      <c r="CK5" s="32"/>
      <c r="CL5" s="32"/>
      <c r="CM5" s="32"/>
      <c r="CN5" s="32"/>
      <c r="CO5" s="32"/>
      <c r="CP5" s="32"/>
      <c r="CQ5" s="32"/>
      <c r="CR5" s="32"/>
      <c r="CS5" s="32"/>
      <c r="CT5" s="32"/>
    </row>
    <row r="6" customFormat="false" ht="15" hidden="false" customHeight="true" outlineLevel="0" collapsed="false">
      <c r="B6" s="33" t="s">
        <v>245</v>
      </c>
      <c r="C6" s="34" t="s">
        <v>200</v>
      </c>
      <c r="D6" s="34" t="s">
        <v>201</v>
      </c>
      <c r="E6" s="34" t="s">
        <v>202</v>
      </c>
      <c r="F6" s="34" t="s">
        <v>203</v>
      </c>
      <c r="G6" s="34" t="s">
        <v>204</v>
      </c>
      <c r="H6" s="34" t="s">
        <v>205</v>
      </c>
      <c r="I6" s="34" t="s">
        <v>206</v>
      </c>
      <c r="J6" s="34" t="s">
        <v>207</v>
      </c>
      <c r="K6" s="34" t="s">
        <v>208</v>
      </c>
      <c r="L6" s="34" t="s">
        <v>209</v>
      </c>
      <c r="M6" s="34" t="s">
        <v>210</v>
      </c>
      <c r="N6" s="34" t="s">
        <v>211</v>
      </c>
      <c r="O6" s="34" t="s">
        <v>200</v>
      </c>
      <c r="P6" s="34" t="s">
        <v>201</v>
      </c>
      <c r="Q6" s="34" t="s">
        <v>202</v>
      </c>
      <c r="R6" s="34" t="s">
        <v>203</v>
      </c>
      <c r="S6" s="34" t="s">
        <v>204</v>
      </c>
      <c r="T6" s="34" t="s">
        <v>205</v>
      </c>
      <c r="U6" s="34" t="s">
        <v>206</v>
      </c>
      <c r="V6" s="34" t="s">
        <v>207</v>
      </c>
      <c r="W6" s="34" t="s">
        <v>208</v>
      </c>
      <c r="X6" s="34" t="s">
        <v>209</v>
      </c>
      <c r="Y6" s="34" t="s">
        <v>210</v>
      </c>
      <c r="Z6" s="34" t="s">
        <v>211</v>
      </c>
      <c r="AA6" s="34" t="s">
        <v>200</v>
      </c>
      <c r="AB6" s="34" t="s">
        <v>201</v>
      </c>
      <c r="AC6" s="34" t="s">
        <v>202</v>
      </c>
      <c r="AD6" s="34" t="s">
        <v>203</v>
      </c>
      <c r="AE6" s="34" t="s">
        <v>204</v>
      </c>
      <c r="AF6" s="34" t="s">
        <v>205</v>
      </c>
      <c r="AG6" s="34" t="s">
        <v>206</v>
      </c>
      <c r="AH6" s="34" t="s">
        <v>207</v>
      </c>
      <c r="AI6" s="34" t="s">
        <v>208</v>
      </c>
      <c r="AJ6" s="34" t="s">
        <v>209</v>
      </c>
      <c r="AK6" s="34" t="s">
        <v>210</v>
      </c>
      <c r="AL6" s="34" t="s">
        <v>211</v>
      </c>
      <c r="AM6" s="34" t="s">
        <v>200</v>
      </c>
      <c r="AN6" s="34" t="s">
        <v>201</v>
      </c>
      <c r="AO6" s="34" t="s">
        <v>202</v>
      </c>
      <c r="AP6" s="34" t="s">
        <v>203</v>
      </c>
      <c r="AQ6" s="34" t="s">
        <v>204</v>
      </c>
      <c r="AR6" s="34" t="s">
        <v>205</v>
      </c>
      <c r="AS6" s="34" t="s">
        <v>206</v>
      </c>
      <c r="AT6" s="34" t="s">
        <v>207</v>
      </c>
      <c r="AU6" s="34" t="s">
        <v>208</v>
      </c>
      <c r="AV6" s="34" t="s">
        <v>209</v>
      </c>
      <c r="AW6" s="34" t="s">
        <v>210</v>
      </c>
      <c r="AX6" s="34" t="s">
        <v>211</v>
      </c>
      <c r="AY6" s="34" t="s">
        <v>200</v>
      </c>
      <c r="AZ6" s="34" t="s">
        <v>201</v>
      </c>
      <c r="BA6" s="34" t="s">
        <v>202</v>
      </c>
      <c r="BB6" s="34" t="s">
        <v>203</v>
      </c>
      <c r="BC6" s="34" t="s">
        <v>204</v>
      </c>
      <c r="BD6" s="34" t="s">
        <v>205</v>
      </c>
      <c r="BE6" s="34" t="s">
        <v>206</v>
      </c>
      <c r="BF6" s="34" t="s">
        <v>207</v>
      </c>
      <c r="BG6" s="34" t="s">
        <v>208</v>
      </c>
      <c r="BH6" s="34" t="s">
        <v>209</v>
      </c>
      <c r="BI6" s="34" t="s">
        <v>210</v>
      </c>
      <c r="BJ6" s="34" t="s">
        <v>211</v>
      </c>
      <c r="BK6" s="34" t="s">
        <v>200</v>
      </c>
      <c r="BL6" s="34" t="s">
        <v>201</v>
      </c>
      <c r="BM6" s="34" t="s">
        <v>202</v>
      </c>
      <c r="BN6" s="34" t="s">
        <v>203</v>
      </c>
      <c r="BO6" s="34" t="s">
        <v>204</v>
      </c>
      <c r="BP6" s="34" t="s">
        <v>205</v>
      </c>
      <c r="BQ6" s="34" t="s">
        <v>206</v>
      </c>
      <c r="BR6" s="34" t="s">
        <v>207</v>
      </c>
      <c r="BS6" s="34" t="s">
        <v>208</v>
      </c>
      <c r="BT6" s="34" t="s">
        <v>209</v>
      </c>
      <c r="BU6" s="34" t="s">
        <v>210</v>
      </c>
      <c r="BV6" s="34" t="s">
        <v>211</v>
      </c>
      <c r="BW6" s="34" t="s">
        <v>200</v>
      </c>
      <c r="BX6" s="34" t="s">
        <v>201</v>
      </c>
      <c r="BY6" s="34" t="s">
        <v>202</v>
      </c>
      <c r="BZ6" s="34" t="s">
        <v>203</v>
      </c>
      <c r="CA6" s="34" t="s">
        <v>204</v>
      </c>
      <c r="CB6" s="34" t="s">
        <v>205</v>
      </c>
      <c r="CC6" s="34" t="s">
        <v>206</v>
      </c>
      <c r="CD6" s="34" t="s">
        <v>207</v>
      </c>
      <c r="CE6" s="34" t="s">
        <v>208</v>
      </c>
      <c r="CF6" s="34" t="s">
        <v>209</v>
      </c>
      <c r="CG6" s="34" t="s">
        <v>210</v>
      </c>
      <c r="CH6" s="34" t="s">
        <v>211</v>
      </c>
      <c r="CI6" s="34" t="s">
        <v>200</v>
      </c>
      <c r="CJ6" s="34" t="s">
        <v>201</v>
      </c>
      <c r="CK6" s="34" t="s">
        <v>202</v>
      </c>
      <c r="CL6" s="34" t="s">
        <v>203</v>
      </c>
      <c r="CM6" s="34" t="s">
        <v>204</v>
      </c>
      <c r="CN6" s="34" t="s">
        <v>205</v>
      </c>
      <c r="CO6" s="34" t="s">
        <v>206</v>
      </c>
      <c r="CP6" s="34" t="s">
        <v>207</v>
      </c>
      <c r="CQ6" s="34" t="s">
        <v>208</v>
      </c>
      <c r="CR6" s="34" t="s">
        <v>209</v>
      </c>
      <c r="CS6" s="34" t="s">
        <v>210</v>
      </c>
      <c r="CT6" s="34" t="s">
        <v>211</v>
      </c>
    </row>
    <row r="7" customFormat="false" ht="15" hidden="false" customHeight="true" outlineLevel="0" collapsed="false">
      <c r="B7" s="35" t="s">
        <v>246</v>
      </c>
      <c r="C7" s="36"/>
      <c r="D7" s="36"/>
      <c r="E7" s="36"/>
      <c r="F7" s="36"/>
      <c r="G7" s="36"/>
      <c r="H7" s="36"/>
      <c r="I7" s="36"/>
      <c r="J7" s="36"/>
      <c r="K7" s="36"/>
      <c r="L7" s="36"/>
      <c r="M7" s="36"/>
      <c r="N7" s="36"/>
      <c r="O7" s="36"/>
      <c r="P7" s="36"/>
      <c r="Q7" s="36"/>
      <c r="R7" s="36"/>
      <c r="S7" s="36"/>
      <c r="T7" s="36"/>
      <c r="U7" s="36"/>
      <c r="V7" s="36"/>
      <c r="W7" s="36"/>
      <c r="X7" s="36"/>
      <c r="Y7" s="36"/>
      <c r="Z7" s="36"/>
      <c r="AA7" s="36"/>
      <c r="AB7" s="36"/>
      <c r="AC7" s="36"/>
      <c r="AD7" s="36"/>
      <c r="AE7" s="36"/>
      <c r="AF7" s="36"/>
      <c r="AG7" s="36"/>
      <c r="AH7" s="36"/>
      <c r="AI7" s="36"/>
      <c r="AJ7" s="36"/>
      <c r="AK7" s="36"/>
      <c r="AL7" s="36"/>
      <c r="AM7" s="36"/>
      <c r="AN7" s="36"/>
      <c r="AO7" s="36"/>
      <c r="AP7" s="36"/>
      <c r="AQ7" s="36"/>
      <c r="AR7" s="36"/>
      <c r="AS7" s="36"/>
      <c r="AT7" s="36"/>
      <c r="AU7" s="36"/>
      <c r="AV7" s="36"/>
      <c r="AW7" s="36"/>
      <c r="AX7" s="36"/>
      <c r="AY7" s="36"/>
      <c r="AZ7" s="36"/>
      <c r="BA7" s="36"/>
      <c r="BB7" s="36"/>
      <c r="BC7" s="36"/>
      <c r="BD7" s="36"/>
      <c r="BE7" s="36"/>
      <c r="BF7" s="36"/>
      <c r="BG7" s="36"/>
      <c r="BH7" s="36"/>
      <c r="BI7" s="36"/>
      <c r="BJ7" s="36"/>
      <c r="BK7" s="36"/>
      <c r="BL7" s="36"/>
      <c r="BM7" s="36"/>
      <c r="BN7" s="36"/>
      <c r="BO7" s="36"/>
      <c r="BP7" s="36"/>
      <c r="BQ7" s="36"/>
      <c r="BR7" s="36"/>
      <c r="BS7" s="36"/>
      <c r="BT7" s="36"/>
      <c r="BU7" s="36"/>
      <c r="BV7" s="36"/>
      <c r="BW7" s="36"/>
      <c r="BX7" s="36"/>
      <c r="BY7" s="36"/>
      <c r="BZ7" s="36"/>
      <c r="CA7" s="36"/>
      <c r="CB7" s="36"/>
      <c r="CC7" s="36"/>
      <c r="CD7" s="36"/>
      <c r="CE7" s="36"/>
      <c r="CF7" s="36"/>
      <c r="CG7" s="36"/>
      <c r="CH7" s="36"/>
      <c r="CI7" s="36"/>
      <c r="CJ7" s="36"/>
      <c r="CK7" s="36"/>
      <c r="CL7" s="36"/>
      <c r="CM7" s="36"/>
      <c r="CN7" s="36"/>
      <c r="CO7" s="36"/>
      <c r="CP7" s="36"/>
      <c r="CQ7" s="36"/>
      <c r="CR7" s="36"/>
      <c r="CS7" s="36"/>
      <c r="CT7" s="36"/>
    </row>
    <row r="8" customFormat="false" ht="15" hidden="false" customHeight="true" outlineLevel="0" collapsed="false">
      <c r="B8" s="15" t="s">
        <v>214</v>
      </c>
      <c r="C8" s="37" t="n">
        <f aca="false">Supuestos!$C$6*(1+Supuestos!$C$31)^3*Estacionalidad!C$6</f>
        <v>8873414435.68025</v>
      </c>
      <c r="D8" s="37" t="n">
        <f aca="false">Supuestos!$C$6*(1+Supuestos!$C$31)^3*Estacionalidad!D$6</f>
        <v>7243603620.96347</v>
      </c>
      <c r="E8" s="37" t="n">
        <f aca="false">Supuestos!$C$6*(1+Supuestos!$C$31)^3*Estacionalidad!E$6</f>
        <v>7605783802.01164</v>
      </c>
      <c r="F8" s="37" t="n">
        <f aca="false">Supuestos!$C$6*(1+Supuestos!$C$31)^3*Estacionalidad!F$6</f>
        <v>7424693711.48756</v>
      </c>
      <c r="G8" s="37" t="n">
        <f aca="false">Supuestos!$C$6*(1+Supuestos!$C$31)^3*Estacionalidad!G$6</f>
        <v>7243603620.96347</v>
      </c>
      <c r="H8" s="37" t="n">
        <f aca="false">Supuestos!$C$6*(1+Supuestos!$C$31)^3*Estacionalidad!H$6</f>
        <v>7424693711.48756</v>
      </c>
      <c r="I8" s="37" t="n">
        <f aca="false">Supuestos!$C$6*(1+Supuestos!$C$31)^3*Estacionalidad!I$6</f>
        <v>7605783802.01164</v>
      </c>
      <c r="J8" s="37" t="n">
        <f aca="false">Supuestos!$C$6*(1+Supuestos!$C$31)^3*Estacionalidad!J$6</f>
        <v>7424693711.48756</v>
      </c>
      <c r="K8" s="37" t="n">
        <f aca="false">Supuestos!$C$6*(1+Supuestos!$C$31)^3*Estacionalidad!K$6</f>
        <v>7243603620.96347</v>
      </c>
      <c r="L8" s="37" t="n">
        <f aca="false">Supuestos!$C$6*(1+Supuestos!$C$31)^3*Estacionalidad!L$6</f>
        <v>7424693711.48756</v>
      </c>
      <c r="M8" s="37" t="n">
        <f aca="false">Supuestos!$C$6*(1+Supuestos!$C$31)^3*Estacionalidad!M$6</f>
        <v>7243603620.96347</v>
      </c>
      <c r="N8" s="37" t="n">
        <f aca="false">Supuestos!$C$6*(1+Supuestos!$C$31)^3*Estacionalidad!N$6</f>
        <v>7786873892.53573</v>
      </c>
      <c r="O8" s="37" t="n">
        <f aca="false">Supuestos!$C$6*(1+Supuestos!$C$31)^4*Estacionalidad!C$6</f>
        <v>9046446017.17601</v>
      </c>
      <c r="P8" s="37" t="n">
        <f aca="false">Supuestos!$C$6*(1+Supuestos!$C$31)^4*Estacionalidad!D$6</f>
        <v>7384853891.57226</v>
      </c>
      <c r="Q8" s="37" t="n">
        <f aca="false">Supuestos!$C$6*(1+Supuestos!$C$31)^4*Estacionalidad!E$6</f>
        <v>7754096586.15087</v>
      </c>
      <c r="R8" s="37" t="n">
        <f aca="false">Supuestos!$C$6*(1+Supuestos!$C$31)^4*Estacionalidad!F$6</f>
        <v>7569475238.86156</v>
      </c>
      <c r="S8" s="37" t="n">
        <f aca="false">Supuestos!$C$6*(1+Supuestos!$C$31)^4*Estacionalidad!G$6</f>
        <v>7384853891.57226</v>
      </c>
      <c r="T8" s="37" t="n">
        <f aca="false">Supuestos!$C$6*(1+Supuestos!$C$31)^4*Estacionalidad!H$6</f>
        <v>7569475238.86156</v>
      </c>
      <c r="U8" s="37" t="n">
        <f aca="false">Supuestos!$C$6*(1+Supuestos!$C$31)^4*Estacionalidad!I$6</f>
        <v>7754096586.15087</v>
      </c>
      <c r="V8" s="37" t="n">
        <f aca="false">Supuestos!$C$6*(1+Supuestos!$C$31)^4*Estacionalidad!J$6</f>
        <v>7569475238.86156</v>
      </c>
      <c r="W8" s="37" t="n">
        <f aca="false">Supuestos!$C$6*(1+Supuestos!$C$31)^4*Estacionalidad!K$6</f>
        <v>7384853891.57226</v>
      </c>
      <c r="X8" s="37" t="n">
        <f aca="false">Supuestos!$C$6*(1+Supuestos!$C$31)^4*Estacionalidad!L$6</f>
        <v>7569475238.86156</v>
      </c>
      <c r="Y8" s="37" t="n">
        <f aca="false">Supuestos!$C$6*(1+Supuestos!$C$31)^4*Estacionalidad!M$6</f>
        <v>7384853891.57226</v>
      </c>
      <c r="Z8" s="37" t="n">
        <f aca="false">Supuestos!$C$6*(1+Supuestos!$C$31)^4*Estacionalidad!N$6</f>
        <v>7938717933.44017</v>
      </c>
      <c r="AA8" s="37" t="n">
        <f aca="false">Supuestos!$C$6*(1+Supuestos!$C$31)^5*Estacionalidad!C$6</f>
        <v>9222851714.51095</v>
      </c>
      <c r="AB8" s="37" t="n">
        <f aca="false">Supuestos!$C$6*(1+Supuestos!$C$31)^5*Estacionalidad!D$6</f>
        <v>7528858542.45792</v>
      </c>
      <c r="AC8" s="37" t="n">
        <f aca="false">Supuestos!$C$6*(1+Supuestos!$C$31)^5*Estacionalidad!E$6</f>
        <v>7905301469.58081</v>
      </c>
      <c r="AD8" s="37" t="n">
        <f aca="false">Supuestos!$C$6*(1+Supuestos!$C$31)^5*Estacionalidad!F$6</f>
        <v>7717080006.01936</v>
      </c>
      <c r="AE8" s="37" t="n">
        <f aca="false">Supuestos!$C$6*(1+Supuestos!$C$31)^5*Estacionalidad!G$6</f>
        <v>7528858542.45792</v>
      </c>
      <c r="AF8" s="37" t="n">
        <f aca="false">Supuestos!$C$6*(1+Supuestos!$C$31)^5*Estacionalidad!H$6</f>
        <v>7717080006.01936</v>
      </c>
      <c r="AG8" s="37" t="n">
        <f aca="false">Supuestos!$C$6*(1+Supuestos!$C$31)^5*Estacionalidad!I$6</f>
        <v>7905301469.58081</v>
      </c>
      <c r="AH8" s="37" t="n">
        <f aca="false">Supuestos!$C$6*(1+Supuestos!$C$31)^5*Estacionalidad!J$6</f>
        <v>7717080006.01936</v>
      </c>
      <c r="AI8" s="37" t="n">
        <f aca="false">Supuestos!$C$6*(1+Supuestos!$C$31)^5*Estacionalidad!K$6</f>
        <v>7528858542.45792</v>
      </c>
      <c r="AJ8" s="37" t="n">
        <f aca="false">Supuestos!$C$6*(1+Supuestos!$C$31)^5*Estacionalidad!L$6</f>
        <v>7717080006.01936</v>
      </c>
      <c r="AK8" s="37" t="n">
        <f aca="false">Supuestos!$C$6*(1+Supuestos!$C$31)^5*Estacionalidad!M$6</f>
        <v>7528858542.45792</v>
      </c>
      <c r="AL8" s="37" t="n">
        <f aca="false">Supuestos!$C$6*(1+Supuestos!$C$31)^5*Estacionalidad!N$6</f>
        <v>8093522933.14226</v>
      </c>
      <c r="AM8" s="37" t="n">
        <f aca="false">Supuestos!$C$6*(1+Supuestos!$C$31)^6*Estacionalidad!C$6</f>
        <v>9402697322.94391</v>
      </c>
      <c r="AN8" s="37" t="n">
        <f aca="false">Supuestos!$C$6*(1+Supuestos!$C$31)^6*Estacionalidad!D$6</f>
        <v>7675671284.03585</v>
      </c>
      <c r="AO8" s="37" t="n">
        <f aca="false">Supuestos!$C$6*(1+Supuestos!$C$31)^6*Estacionalidad!E$6</f>
        <v>8059454848.23764</v>
      </c>
      <c r="AP8" s="37" t="n">
        <f aca="false">Supuestos!$C$6*(1+Supuestos!$C$31)^6*Estacionalidad!F$6</f>
        <v>7867563066.13674</v>
      </c>
      <c r="AQ8" s="37" t="n">
        <f aca="false">Supuestos!$C$6*(1+Supuestos!$C$31)^6*Estacionalidad!G$6</f>
        <v>7675671284.03585</v>
      </c>
      <c r="AR8" s="37" t="n">
        <f aca="false">Supuestos!$C$6*(1+Supuestos!$C$31)^6*Estacionalidad!H$6</f>
        <v>7867563066.13674</v>
      </c>
      <c r="AS8" s="37" t="n">
        <f aca="false">Supuestos!$C$6*(1+Supuestos!$C$31)^6*Estacionalidad!I$6</f>
        <v>8059454848.23764</v>
      </c>
      <c r="AT8" s="37" t="n">
        <f aca="false">Supuestos!$C$6*(1+Supuestos!$C$31)^6*Estacionalidad!J$6</f>
        <v>7867563066.13674</v>
      </c>
      <c r="AU8" s="37" t="n">
        <f aca="false">Supuestos!$C$6*(1+Supuestos!$C$31)^6*Estacionalidad!K$6</f>
        <v>7675671284.03585</v>
      </c>
      <c r="AV8" s="37" t="n">
        <f aca="false">Supuestos!$C$6*(1+Supuestos!$C$31)^6*Estacionalidad!L$6</f>
        <v>7867563066.13674</v>
      </c>
      <c r="AW8" s="37" t="n">
        <f aca="false">Supuestos!$C$6*(1+Supuestos!$C$31)^6*Estacionalidad!M$6</f>
        <v>7675671284.03585</v>
      </c>
      <c r="AX8" s="37" t="n">
        <f aca="false">Supuestos!$C$6*(1+Supuestos!$C$31)^6*Estacionalidad!N$6</f>
        <v>8251346630.33853</v>
      </c>
      <c r="AY8" s="37" t="n">
        <f aca="false">Supuestos!$C$6*(1+Supuestos!$C$31)^7*Estacionalidad!C$6</f>
        <v>9586049920.74132</v>
      </c>
      <c r="AZ8" s="37" t="n">
        <f aca="false">Supuestos!$C$6*(1+Supuestos!$C$31)^7*Estacionalidad!D$6</f>
        <v>7825346874.07455</v>
      </c>
      <c r="BA8" s="37" t="n">
        <f aca="false">Supuestos!$C$6*(1+Supuestos!$C$31)^7*Estacionalidad!E$6</f>
        <v>8216614217.77827</v>
      </c>
      <c r="BB8" s="37" t="n">
        <f aca="false">Supuestos!$C$6*(1+Supuestos!$C$31)^7*Estacionalidad!F$6</f>
        <v>8020980545.92641</v>
      </c>
      <c r="BC8" s="37" t="n">
        <f aca="false">Supuestos!$C$6*(1+Supuestos!$C$31)^7*Estacionalidad!G$6</f>
        <v>7825346874.07455</v>
      </c>
      <c r="BD8" s="37" t="n">
        <f aca="false">Supuestos!$C$6*(1+Supuestos!$C$31)^7*Estacionalidad!H$6</f>
        <v>8020980545.92641</v>
      </c>
      <c r="BE8" s="37" t="n">
        <f aca="false">Supuestos!$C$6*(1+Supuestos!$C$31)^7*Estacionalidad!I$6</f>
        <v>8216614217.77827</v>
      </c>
      <c r="BF8" s="37" t="n">
        <f aca="false">Supuestos!$C$6*(1+Supuestos!$C$31)^7*Estacionalidad!J$6</f>
        <v>8020980545.92641</v>
      </c>
      <c r="BG8" s="37" t="n">
        <f aca="false">Supuestos!$C$6*(1+Supuestos!$C$31)^7*Estacionalidad!K$6</f>
        <v>7825346874.07455</v>
      </c>
      <c r="BH8" s="37" t="n">
        <f aca="false">Supuestos!$C$6*(1+Supuestos!$C$31)^7*Estacionalidad!L$6</f>
        <v>8020980545.92641</v>
      </c>
      <c r="BI8" s="37" t="n">
        <f aca="false">Supuestos!$C$6*(1+Supuestos!$C$31)^7*Estacionalidad!M$6</f>
        <v>7825346874.07455</v>
      </c>
      <c r="BJ8" s="37" t="n">
        <f aca="false">Supuestos!$C$6*(1+Supuestos!$C$31)^7*Estacionalidad!N$6</f>
        <v>8412247889.63014</v>
      </c>
      <c r="BK8" s="37" t="n">
        <f aca="false">Supuestos!$C$6*(1+Supuestos!$C$31)^8*Estacionalidad!C$6</f>
        <v>9772977894.19578</v>
      </c>
      <c r="BL8" s="37" t="n">
        <f aca="false">Supuestos!$C$6*(1+Supuestos!$C$31)^8*Estacionalidad!D$6</f>
        <v>7977941138.119</v>
      </c>
      <c r="BM8" s="37" t="n">
        <f aca="false">Supuestos!$C$6*(1+Supuestos!$C$31)^8*Estacionalidad!E$6</f>
        <v>8376838195.02495</v>
      </c>
      <c r="BN8" s="37" t="n">
        <f aca="false">Supuestos!$C$6*(1+Supuestos!$C$31)^8*Estacionalidad!F$6</f>
        <v>8177389666.57198</v>
      </c>
      <c r="BO8" s="37" t="n">
        <f aca="false">Supuestos!$C$6*(1+Supuestos!$C$31)^8*Estacionalidad!G$6</f>
        <v>7977941138.119</v>
      </c>
      <c r="BP8" s="37" t="n">
        <f aca="false">Supuestos!$C$6*(1+Supuestos!$C$31)^8*Estacionalidad!H$6</f>
        <v>8177389666.57198</v>
      </c>
      <c r="BQ8" s="37" t="n">
        <f aca="false">Supuestos!$C$6*(1+Supuestos!$C$31)^8*Estacionalidad!I$6</f>
        <v>8376838195.02495</v>
      </c>
      <c r="BR8" s="37" t="n">
        <f aca="false">Supuestos!$C$6*(1+Supuestos!$C$31)^8*Estacionalidad!J$6</f>
        <v>8177389666.57198</v>
      </c>
      <c r="BS8" s="37" t="n">
        <f aca="false">Supuestos!$C$6*(1+Supuestos!$C$31)^8*Estacionalidad!K$6</f>
        <v>7977941138.119</v>
      </c>
      <c r="BT8" s="37" t="n">
        <f aca="false">Supuestos!$C$6*(1+Supuestos!$C$31)^8*Estacionalidad!L$6</f>
        <v>8177389666.57198</v>
      </c>
      <c r="BU8" s="37" t="n">
        <f aca="false">Supuestos!$C$6*(1+Supuestos!$C$31)^8*Estacionalidad!M$6</f>
        <v>7977941138.119</v>
      </c>
      <c r="BV8" s="37" t="n">
        <f aca="false">Supuestos!$C$6*(1+Supuestos!$C$31)^8*Estacionalidad!N$6</f>
        <v>8576286723.47792</v>
      </c>
      <c r="BW8" s="37" t="n">
        <f aca="false">Supuestos!$C$6*(1+Supuestos!$C$31)^9*Estacionalidad!C$6</f>
        <v>9963550963.13259</v>
      </c>
      <c r="BX8" s="37" t="n">
        <f aca="false">Supuestos!$C$6*(1+Supuestos!$C$31)^9*Estacionalidad!D$6</f>
        <v>8133510990.31232</v>
      </c>
      <c r="BY8" s="37" t="n">
        <f aca="false">Supuestos!$C$6*(1+Supuestos!$C$31)^9*Estacionalidad!E$6</f>
        <v>8540186539.82794</v>
      </c>
      <c r="BZ8" s="37" t="n">
        <f aca="false">Supuestos!$C$6*(1+Supuestos!$C$31)^9*Estacionalidad!F$6</f>
        <v>8336848765.07013</v>
      </c>
      <c r="CA8" s="37" t="n">
        <f aca="false">Supuestos!$C$6*(1+Supuestos!$C$31)^9*Estacionalidad!G$6</f>
        <v>8133510990.31232</v>
      </c>
      <c r="CB8" s="37" t="n">
        <f aca="false">Supuestos!$C$6*(1+Supuestos!$C$31)^9*Estacionalidad!H$6</f>
        <v>8336848765.07013</v>
      </c>
      <c r="CC8" s="37" t="n">
        <f aca="false">Supuestos!$C$6*(1+Supuestos!$C$31)^9*Estacionalidad!I$6</f>
        <v>8540186539.82794</v>
      </c>
      <c r="CD8" s="37" t="n">
        <f aca="false">Supuestos!$C$6*(1+Supuestos!$C$31)^9*Estacionalidad!J$6</f>
        <v>8336848765.07013</v>
      </c>
      <c r="CE8" s="37" t="n">
        <f aca="false">Supuestos!$C$6*(1+Supuestos!$C$31)^9*Estacionalidad!K$6</f>
        <v>8133510990.31232</v>
      </c>
      <c r="CF8" s="37" t="n">
        <f aca="false">Supuestos!$C$6*(1+Supuestos!$C$31)^9*Estacionalidad!L$6</f>
        <v>8336848765.07013</v>
      </c>
      <c r="CG8" s="37" t="n">
        <f aca="false">Supuestos!$C$6*(1+Supuestos!$C$31)^9*Estacionalidad!M$6</f>
        <v>8133510990.31232</v>
      </c>
      <c r="CH8" s="37" t="n">
        <f aca="false">Supuestos!$C$6*(1+Supuestos!$C$31)^9*Estacionalidad!N$6</f>
        <v>8743524314.58574</v>
      </c>
      <c r="CI8" s="37" t="n">
        <f aca="false">Supuestos!$C$6*(1+Supuestos!$C$31)^10*Estacionalidad!C$6</f>
        <v>10157840206.9137</v>
      </c>
      <c r="CJ8" s="37" t="n">
        <f aca="false">Supuestos!$C$6*(1+Supuestos!$C$31)^10*Estacionalidad!D$6</f>
        <v>8292114454.62341</v>
      </c>
      <c r="CK8" s="37" t="n">
        <f aca="false">Supuestos!$C$6*(1+Supuestos!$C$31)^10*Estacionalidad!E$6</f>
        <v>8706720177.35458</v>
      </c>
      <c r="CL8" s="37" t="n">
        <f aca="false">Supuestos!$C$6*(1+Supuestos!$C$31)^10*Estacionalidad!F$6</f>
        <v>8499417315.989</v>
      </c>
      <c r="CM8" s="37" t="n">
        <f aca="false">Supuestos!$C$6*(1+Supuestos!$C$31)^10*Estacionalidad!G$6</f>
        <v>8292114454.62341</v>
      </c>
      <c r="CN8" s="37" t="n">
        <f aca="false">Supuestos!$C$6*(1+Supuestos!$C$31)^10*Estacionalidad!H$6</f>
        <v>8499417315.989</v>
      </c>
      <c r="CO8" s="37" t="n">
        <f aca="false">Supuestos!$C$6*(1+Supuestos!$C$31)^10*Estacionalidad!I$6</f>
        <v>8706720177.35458</v>
      </c>
      <c r="CP8" s="37" t="n">
        <f aca="false">Supuestos!$C$6*(1+Supuestos!$C$31)^10*Estacionalidad!J$6</f>
        <v>8499417315.989</v>
      </c>
      <c r="CQ8" s="37" t="n">
        <f aca="false">Supuestos!$C$6*(1+Supuestos!$C$31)^10*Estacionalidad!K$6</f>
        <v>8292114454.62341</v>
      </c>
      <c r="CR8" s="37" t="n">
        <f aca="false">Supuestos!$C$6*(1+Supuestos!$C$31)^10*Estacionalidad!L$6</f>
        <v>8499417315.989</v>
      </c>
      <c r="CS8" s="37" t="n">
        <f aca="false">Supuestos!$C$6*(1+Supuestos!$C$31)^10*Estacionalidad!M$6</f>
        <v>8292114454.62341</v>
      </c>
      <c r="CT8" s="37" t="n">
        <f aca="false">Supuestos!$C$6*(1+Supuestos!$C$31)^10*Estacionalidad!N$6</f>
        <v>8914023038.72017</v>
      </c>
    </row>
    <row r="9" customFormat="false" ht="15" hidden="false" customHeight="true" outlineLevel="0" collapsed="false">
      <c r="B9" s="15" t="s">
        <v>216</v>
      </c>
      <c r="C9" s="37" t="n">
        <f aca="false">Supuestos!$C$8*(1+Supuestos!$C$31)^3*Estacionalidad!C$7</f>
        <v>20352199673.0986</v>
      </c>
      <c r="D9" s="37" t="n">
        <f aca="false">Supuestos!$C$8*(1+Supuestos!$C$31)^3*Estacionalidad!D$7</f>
        <v>19861785223.1444</v>
      </c>
      <c r="E9" s="37" t="n">
        <f aca="false">Supuestos!$C$8*(1+Supuestos!$C$31)^3*Estacionalidad!E$7</f>
        <v>20842614123.0528</v>
      </c>
      <c r="F9" s="37" t="n">
        <f aca="false">Supuestos!$C$8*(1+Supuestos!$C$31)^3*Estacionalidad!F$7</f>
        <v>20597406898.0757</v>
      </c>
      <c r="G9" s="37" t="n">
        <f aca="false">Supuestos!$C$8*(1+Supuestos!$C$31)^3*Estacionalidad!G$7</f>
        <v>20352199673.0986</v>
      </c>
      <c r="H9" s="37" t="n">
        <f aca="false">Supuestos!$C$8*(1+Supuestos!$C$31)^3*Estacionalidad!H$7</f>
        <v>20597406898.0757</v>
      </c>
      <c r="I9" s="37" t="n">
        <f aca="false">Supuestos!$C$8*(1+Supuestos!$C$31)^3*Estacionalidad!I$7</f>
        <v>20842614123.0528</v>
      </c>
      <c r="J9" s="37" t="n">
        <f aca="false">Supuestos!$C$8*(1+Supuestos!$C$31)^3*Estacionalidad!J$7</f>
        <v>20597406898.0757</v>
      </c>
      <c r="K9" s="37" t="n">
        <f aca="false">Supuestos!$C$8*(1+Supuestos!$C$31)^3*Estacionalidad!K$7</f>
        <v>20352199673.0986</v>
      </c>
      <c r="L9" s="37" t="n">
        <f aca="false">Supuestos!$C$8*(1+Supuestos!$C$31)^3*Estacionalidad!L$7</f>
        <v>20597406898.0757</v>
      </c>
      <c r="M9" s="37" t="n">
        <f aca="false">Supuestos!$C$8*(1+Supuestos!$C$31)^3*Estacionalidad!M$7</f>
        <v>20352199673.0986</v>
      </c>
      <c r="N9" s="37" t="n">
        <f aca="false">Supuestos!$C$8*(1+Supuestos!$C$31)^3*Estacionalidad!N$7</f>
        <v>19861785223.1444</v>
      </c>
      <c r="O9" s="37" t="n">
        <f aca="false">Supuestos!$C$8*(1+Supuestos!$C$31)^4*Estacionalidad!C$7</f>
        <v>20749067566.724</v>
      </c>
      <c r="P9" s="37" t="n">
        <f aca="false">Supuestos!$C$8*(1+Supuestos!$C$31)^4*Estacionalidad!D$7</f>
        <v>20249090034.9957</v>
      </c>
      <c r="Q9" s="37" t="n">
        <f aca="false">Supuestos!$C$8*(1+Supuestos!$C$31)^4*Estacionalidad!E$7</f>
        <v>21249045098.4523</v>
      </c>
      <c r="R9" s="37" t="n">
        <f aca="false">Supuestos!$C$8*(1+Supuestos!$C$31)^4*Estacionalidad!F$7</f>
        <v>20999056332.5882</v>
      </c>
      <c r="S9" s="37" t="n">
        <f aca="false">Supuestos!$C$8*(1+Supuestos!$C$31)^4*Estacionalidad!G$7</f>
        <v>20749067566.724</v>
      </c>
      <c r="T9" s="37" t="n">
        <f aca="false">Supuestos!$C$8*(1+Supuestos!$C$31)^4*Estacionalidad!H$7</f>
        <v>20999056332.5882</v>
      </c>
      <c r="U9" s="37" t="n">
        <f aca="false">Supuestos!$C$8*(1+Supuestos!$C$31)^4*Estacionalidad!I$7</f>
        <v>21249045098.4523</v>
      </c>
      <c r="V9" s="37" t="n">
        <f aca="false">Supuestos!$C$8*(1+Supuestos!$C$31)^4*Estacionalidad!J$7</f>
        <v>20999056332.5882</v>
      </c>
      <c r="W9" s="37" t="n">
        <f aca="false">Supuestos!$C$8*(1+Supuestos!$C$31)^4*Estacionalidad!K$7</f>
        <v>20749067566.724</v>
      </c>
      <c r="X9" s="37" t="n">
        <f aca="false">Supuestos!$C$8*(1+Supuestos!$C$31)^4*Estacionalidad!L$7</f>
        <v>20999056332.5882</v>
      </c>
      <c r="Y9" s="37" t="n">
        <f aca="false">Supuestos!$C$8*(1+Supuestos!$C$31)^4*Estacionalidad!M$7</f>
        <v>20749067566.724</v>
      </c>
      <c r="Z9" s="37" t="n">
        <f aca="false">Supuestos!$C$8*(1+Supuestos!$C$31)^4*Estacionalidad!N$7</f>
        <v>20249090034.9957</v>
      </c>
      <c r="AA9" s="37" t="n">
        <f aca="false">Supuestos!$C$8*(1+Supuestos!$C$31)^5*Estacionalidad!C$7</f>
        <v>21153674384.2751</v>
      </c>
      <c r="AB9" s="37" t="n">
        <f aca="false">Supuestos!$C$8*(1+Supuestos!$C$31)^5*Estacionalidad!D$7</f>
        <v>20643947290.6782</v>
      </c>
      <c r="AC9" s="37" t="n">
        <f aca="false">Supuestos!$C$8*(1+Supuestos!$C$31)^5*Estacionalidad!E$7</f>
        <v>21663401477.8721</v>
      </c>
      <c r="AD9" s="37" t="n">
        <f aca="false">Supuestos!$C$8*(1+Supuestos!$C$31)^5*Estacionalidad!F$7</f>
        <v>21408537931.0736</v>
      </c>
      <c r="AE9" s="37" t="n">
        <f aca="false">Supuestos!$C$8*(1+Supuestos!$C$31)^5*Estacionalidad!G$7</f>
        <v>21153674384.2751</v>
      </c>
      <c r="AF9" s="37" t="n">
        <f aca="false">Supuestos!$C$8*(1+Supuestos!$C$31)^5*Estacionalidad!H$7</f>
        <v>21408537931.0736</v>
      </c>
      <c r="AG9" s="37" t="n">
        <f aca="false">Supuestos!$C$8*(1+Supuestos!$C$31)^5*Estacionalidad!I$7</f>
        <v>21663401477.8721</v>
      </c>
      <c r="AH9" s="37" t="n">
        <f aca="false">Supuestos!$C$8*(1+Supuestos!$C$31)^5*Estacionalidad!J$7</f>
        <v>21408537931.0736</v>
      </c>
      <c r="AI9" s="37" t="n">
        <f aca="false">Supuestos!$C$8*(1+Supuestos!$C$31)^5*Estacionalidad!K$7</f>
        <v>21153674384.2751</v>
      </c>
      <c r="AJ9" s="37" t="n">
        <f aca="false">Supuestos!$C$8*(1+Supuestos!$C$31)^5*Estacionalidad!L$7</f>
        <v>21408537931.0736</v>
      </c>
      <c r="AK9" s="37" t="n">
        <f aca="false">Supuestos!$C$8*(1+Supuestos!$C$31)^5*Estacionalidad!M$7</f>
        <v>21153674384.2751</v>
      </c>
      <c r="AL9" s="37" t="n">
        <f aca="false">Supuestos!$C$8*(1+Supuestos!$C$31)^5*Estacionalidad!N$7</f>
        <v>20643947290.6782</v>
      </c>
      <c r="AM9" s="37" t="n">
        <f aca="false">Supuestos!$C$8*(1+Supuestos!$C$31)^6*Estacionalidad!C$7</f>
        <v>21566171034.7685</v>
      </c>
      <c r="AN9" s="37" t="n">
        <f aca="false">Supuestos!$C$8*(1+Supuestos!$C$31)^6*Estacionalidad!D$7</f>
        <v>21046504262.8464</v>
      </c>
      <c r="AO9" s="37" t="n">
        <f aca="false">Supuestos!$C$8*(1+Supuestos!$C$31)^6*Estacionalidad!E$7</f>
        <v>22085837806.6906</v>
      </c>
      <c r="AP9" s="37" t="n">
        <f aca="false">Supuestos!$C$8*(1+Supuestos!$C$31)^6*Estacionalidad!F$7</f>
        <v>21826004420.7296</v>
      </c>
      <c r="AQ9" s="37" t="n">
        <f aca="false">Supuestos!$C$8*(1+Supuestos!$C$31)^6*Estacionalidad!G$7</f>
        <v>21566171034.7685</v>
      </c>
      <c r="AR9" s="37" t="n">
        <f aca="false">Supuestos!$C$8*(1+Supuestos!$C$31)^6*Estacionalidad!H$7</f>
        <v>21826004420.7296</v>
      </c>
      <c r="AS9" s="37" t="n">
        <f aca="false">Supuestos!$C$8*(1+Supuestos!$C$31)^6*Estacionalidad!I$7</f>
        <v>22085837806.6906</v>
      </c>
      <c r="AT9" s="37" t="n">
        <f aca="false">Supuestos!$C$8*(1+Supuestos!$C$31)^6*Estacionalidad!J$7</f>
        <v>21826004420.7296</v>
      </c>
      <c r="AU9" s="37" t="n">
        <f aca="false">Supuestos!$C$8*(1+Supuestos!$C$31)^6*Estacionalidad!K$7</f>
        <v>21566171034.7685</v>
      </c>
      <c r="AV9" s="37" t="n">
        <f aca="false">Supuestos!$C$8*(1+Supuestos!$C$31)^6*Estacionalidad!L$7</f>
        <v>21826004420.7296</v>
      </c>
      <c r="AW9" s="37" t="n">
        <f aca="false">Supuestos!$C$8*(1+Supuestos!$C$31)^6*Estacionalidad!M$7</f>
        <v>21566171034.7685</v>
      </c>
      <c r="AX9" s="37" t="n">
        <f aca="false">Supuestos!$C$8*(1+Supuestos!$C$31)^6*Estacionalidad!N$7</f>
        <v>21046504262.8464</v>
      </c>
      <c r="AY9" s="37" t="n">
        <f aca="false">Supuestos!$C$8*(1+Supuestos!$C$31)^7*Estacionalidad!C$7</f>
        <v>21986711369.9465</v>
      </c>
      <c r="AZ9" s="37" t="n">
        <f aca="false">Supuestos!$C$8*(1+Supuestos!$C$31)^7*Estacionalidad!D$7</f>
        <v>21456911095.9719</v>
      </c>
      <c r="BA9" s="37" t="n">
        <f aca="false">Supuestos!$C$8*(1+Supuestos!$C$31)^7*Estacionalidad!E$7</f>
        <v>22516511643.9211</v>
      </c>
      <c r="BB9" s="37" t="n">
        <f aca="false">Supuestos!$C$8*(1+Supuestos!$C$31)^7*Estacionalidad!F$7</f>
        <v>22251611506.9338</v>
      </c>
      <c r="BC9" s="37" t="n">
        <f aca="false">Supuestos!$C$8*(1+Supuestos!$C$31)^7*Estacionalidad!G$7</f>
        <v>21986711369.9465</v>
      </c>
      <c r="BD9" s="37" t="n">
        <f aca="false">Supuestos!$C$8*(1+Supuestos!$C$31)^7*Estacionalidad!H$7</f>
        <v>22251611506.9338</v>
      </c>
      <c r="BE9" s="37" t="n">
        <f aca="false">Supuestos!$C$8*(1+Supuestos!$C$31)^7*Estacionalidad!I$7</f>
        <v>22516511643.9211</v>
      </c>
      <c r="BF9" s="37" t="n">
        <f aca="false">Supuestos!$C$8*(1+Supuestos!$C$31)^7*Estacionalidad!J$7</f>
        <v>22251611506.9338</v>
      </c>
      <c r="BG9" s="37" t="n">
        <f aca="false">Supuestos!$C$8*(1+Supuestos!$C$31)^7*Estacionalidad!K$7</f>
        <v>21986711369.9465</v>
      </c>
      <c r="BH9" s="37" t="n">
        <f aca="false">Supuestos!$C$8*(1+Supuestos!$C$31)^7*Estacionalidad!L$7</f>
        <v>22251611506.9338</v>
      </c>
      <c r="BI9" s="37" t="n">
        <f aca="false">Supuestos!$C$8*(1+Supuestos!$C$31)^7*Estacionalidad!M$7</f>
        <v>21986711369.9465</v>
      </c>
      <c r="BJ9" s="37" t="n">
        <f aca="false">Supuestos!$C$8*(1+Supuestos!$C$31)^7*Estacionalidad!N$7</f>
        <v>21456911095.9719</v>
      </c>
      <c r="BK9" s="37" t="n">
        <f aca="false">Supuestos!$C$8*(1+Supuestos!$C$31)^8*Estacionalidad!C$7</f>
        <v>22415452241.6605</v>
      </c>
      <c r="BL9" s="37" t="n">
        <f aca="false">Supuestos!$C$8*(1+Supuestos!$C$31)^8*Estacionalidad!D$7</f>
        <v>21875320862.3433</v>
      </c>
      <c r="BM9" s="37" t="n">
        <f aca="false">Supuestos!$C$8*(1+Supuestos!$C$31)^8*Estacionalidad!E$7</f>
        <v>22955583620.9776</v>
      </c>
      <c r="BN9" s="37" t="n">
        <f aca="false">Supuestos!$C$8*(1+Supuestos!$C$31)^8*Estacionalidad!F$7</f>
        <v>22685517931.319</v>
      </c>
      <c r="BO9" s="37" t="n">
        <f aca="false">Supuestos!$C$8*(1+Supuestos!$C$31)^8*Estacionalidad!G$7</f>
        <v>22415452241.6605</v>
      </c>
      <c r="BP9" s="37" t="n">
        <f aca="false">Supuestos!$C$8*(1+Supuestos!$C$31)^8*Estacionalidad!H$7</f>
        <v>22685517931.319</v>
      </c>
      <c r="BQ9" s="37" t="n">
        <f aca="false">Supuestos!$C$8*(1+Supuestos!$C$31)^8*Estacionalidad!I$7</f>
        <v>22955583620.9776</v>
      </c>
      <c r="BR9" s="37" t="n">
        <f aca="false">Supuestos!$C$8*(1+Supuestos!$C$31)^8*Estacionalidad!J$7</f>
        <v>22685517931.319</v>
      </c>
      <c r="BS9" s="37" t="n">
        <f aca="false">Supuestos!$C$8*(1+Supuestos!$C$31)^8*Estacionalidad!K$7</f>
        <v>22415452241.6605</v>
      </c>
      <c r="BT9" s="37" t="n">
        <f aca="false">Supuestos!$C$8*(1+Supuestos!$C$31)^8*Estacionalidad!L$7</f>
        <v>22685517931.319</v>
      </c>
      <c r="BU9" s="37" t="n">
        <f aca="false">Supuestos!$C$8*(1+Supuestos!$C$31)^8*Estacionalidad!M$7</f>
        <v>22415452241.6605</v>
      </c>
      <c r="BV9" s="37" t="n">
        <f aca="false">Supuestos!$C$8*(1+Supuestos!$C$31)^8*Estacionalidad!N$7</f>
        <v>21875320862.3433</v>
      </c>
      <c r="BW9" s="37" t="n">
        <f aca="false">Supuestos!$C$8*(1+Supuestos!$C$31)^9*Estacionalidad!C$7</f>
        <v>22852553560.3728</v>
      </c>
      <c r="BX9" s="37" t="n">
        <f aca="false">Supuestos!$C$8*(1+Supuestos!$C$31)^9*Estacionalidad!D$7</f>
        <v>22301889619.159</v>
      </c>
      <c r="BY9" s="37" t="n">
        <f aca="false">Supuestos!$C$8*(1+Supuestos!$C$31)^9*Estacionalidad!E$7</f>
        <v>23403217501.5866</v>
      </c>
      <c r="BZ9" s="37" t="n">
        <f aca="false">Supuestos!$C$8*(1+Supuestos!$C$31)^9*Estacionalidad!F$7</f>
        <v>23127885530.9797</v>
      </c>
      <c r="CA9" s="37" t="n">
        <f aca="false">Supuestos!$C$8*(1+Supuestos!$C$31)^9*Estacionalidad!G$7</f>
        <v>22852553560.3728</v>
      </c>
      <c r="CB9" s="37" t="n">
        <f aca="false">Supuestos!$C$8*(1+Supuestos!$C$31)^9*Estacionalidad!H$7</f>
        <v>23127885530.9797</v>
      </c>
      <c r="CC9" s="37" t="n">
        <f aca="false">Supuestos!$C$8*(1+Supuestos!$C$31)^9*Estacionalidad!I$7</f>
        <v>23403217501.5866</v>
      </c>
      <c r="CD9" s="37" t="n">
        <f aca="false">Supuestos!$C$8*(1+Supuestos!$C$31)^9*Estacionalidad!J$7</f>
        <v>23127885530.9797</v>
      </c>
      <c r="CE9" s="37" t="n">
        <f aca="false">Supuestos!$C$8*(1+Supuestos!$C$31)^9*Estacionalidad!K$7</f>
        <v>22852553560.3728</v>
      </c>
      <c r="CF9" s="37" t="n">
        <f aca="false">Supuestos!$C$8*(1+Supuestos!$C$31)^9*Estacionalidad!L$7</f>
        <v>23127885530.9797</v>
      </c>
      <c r="CG9" s="37" t="n">
        <f aca="false">Supuestos!$C$8*(1+Supuestos!$C$31)^9*Estacionalidad!M$7</f>
        <v>22852553560.3728</v>
      </c>
      <c r="CH9" s="37" t="n">
        <f aca="false">Supuestos!$C$8*(1+Supuestos!$C$31)^9*Estacionalidad!N$7</f>
        <v>22301889619.159</v>
      </c>
      <c r="CI9" s="37" t="n">
        <f aca="false">Supuestos!$C$8*(1+Supuestos!$C$31)^10*Estacionalidad!C$7</f>
        <v>23298178354.8001</v>
      </c>
      <c r="CJ9" s="37" t="n">
        <f aca="false">Supuestos!$C$8*(1+Supuestos!$C$31)^10*Estacionalidad!D$7</f>
        <v>22736776466.7326</v>
      </c>
      <c r="CK9" s="37" t="n">
        <f aca="false">Supuestos!$C$8*(1+Supuestos!$C$31)^10*Estacionalidad!E$7</f>
        <v>23859580242.8676</v>
      </c>
      <c r="CL9" s="37" t="n">
        <f aca="false">Supuestos!$C$8*(1+Supuestos!$C$31)^10*Estacionalidad!F$7</f>
        <v>23578879298.8338</v>
      </c>
      <c r="CM9" s="37" t="n">
        <f aca="false">Supuestos!$C$8*(1+Supuestos!$C$31)^10*Estacionalidad!G$7</f>
        <v>23298178354.8001</v>
      </c>
      <c r="CN9" s="37" t="n">
        <f aca="false">Supuestos!$C$8*(1+Supuestos!$C$31)^10*Estacionalidad!H$7</f>
        <v>23578879298.8338</v>
      </c>
      <c r="CO9" s="37" t="n">
        <f aca="false">Supuestos!$C$8*(1+Supuestos!$C$31)^10*Estacionalidad!I$7</f>
        <v>23859580242.8676</v>
      </c>
      <c r="CP9" s="37" t="n">
        <f aca="false">Supuestos!$C$8*(1+Supuestos!$C$31)^10*Estacionalidad!J$7</f>
        <v>23578879298.8338</v>
      </c>
      <c r="CQ9" s="37" t="n">
        <f aca="false">Supuestos!$C$8*(1+Supuestos!$C$31)^10*Estacionalidad!K$7</f>
        <v>23298178354.8001</v>
      </c>
      <c r="CR9" s="37" t="n">
        <f aca="false">Supuestos!$C$8*(1+Supuestos!$C$31)^10*Estacionalidad!L$7</f>
        <v>23578879298.8338</v>
      </c>
      <c r="CS9" s="37" t="n">
        <f aca="false">Supuestos!$C$8*(1+Supuestos!$C$31)^10*Estacionalidad!M$7</f>
        <v>23298178354.8001</v>
      </c>
      <c r="CT9" s="37" t="n">
        <f aca="false">Supuestos!$C$8*(1+Supuestos!$C$31)^10*Estacionalidad!N$7</f>
        <v>22736776466.7326</v>
      </c>
    </row>
    <row r="10" customFormat="false" ht="15" hidden="false" customHeight="true" outlineLevel="0" collapsed="false">
      <c r="B10" s="15" t="s">
        <v>59</v>
      </c>
      <c r="C10" s="37" t="n">
        <f aca="false">Supuestos!$C$10*(1+Supuestos!$C$31)^3*Estacionalidad!C$8</f>
        <v>934452653.106997</v>
      </c>
      <c r="D10" s="37" t="n">
        <f aca="false">Supuestos!$C$10*(1+Supuestos!$C$31)^3*Estacionalidad!D$8</f>
        <v>934452653.106997</v>
      </c>
      <c r="E10" s="37" t="n">
        <f aca="false">Supuestos!$C$10*(1+Supuestos!$C$31)^3*Estacionalidad!E$8</f>
        <v>934452653.106997</v>
      </c>
      <c r="F10" s="37" t="n">
        <f aca="false">Supuestos!$C$10*(1+Supuestos!$C$31)^3*Estacionalidad!F$8</f>
        <v>934452653.106997</v>
      </c>
      <c r="G10" s="37" t="n">
        <f aca="false">Supuestos!$C$10*(1+Supuestos!$C$31)^3*Estacionalidad!G$8</f>
        <v>934452653.106997</v>
      </c>
      <c r="H10" s="37" t="n">
        <f aca="false">Supuestos!$C$10*(1+Supuestos!$C$31)^3*Estacionalidad!H$8</f>
        <v>934452653.106997</v>
      </c>
      <c r="I10" s="37" t="n">
        <f aca="false">Supuestos!$C$10*(1+Supuestos!$C$31)^3*Estacionalidad!I$8</f>
        <v>934452653.106997</v>
      </c>
      <c r="J10" s="37" t="n">
        <f aca="false">Supuestos!$C$10*(1+Supuestos!$C$31)^3*Estacionalidad!J$8</f>
        <v>934452653.106997</v>
      </c>
      <c r="K10" s="37" t="n">
        <f aca="false">Supuestos!$C$10*(1+Supuestos!$C$31)^3*Estacionalidad!K$8</f>
        <v>934452653.106997</v>
      </c>
      <c r="L10" s="37" t="n">
        <f aca="false">Supuestos!$C$10*(1+Supuestos!$C$31)^3*Estacionalidad!L$8</f>
        <v>934452653.106997</v>
      </c>
      <c r="M10" s="37" t="n">
        <f aca="false">Supuestos!$C$10*(1+Supuestos!$C$31)^3*Estacionalidad!M$8</f>
        <v>934452653.106997</v>
      </c>
      <c r="N10" s="37" t="n">
        <f aca="false">Supuestos!$C$10*(1+Supuestos!$C$31)^3*Estacionalidad!N$8</f>
        <v>934452653.106997</v>
      </c>
      <c r="O10" s="37" t="n">
        <f aca="false">Supuestos!$C$10*(1+Supuestos!$C$31)^4*Estacionalidad!C$8</f>
        <v>952674479.842583</v>
      </c>
      <c r="P10" s="37" t="n">
        <f aca="false">Supuestos!$C$10*(1+Supuestos!$C$31)^4*Estacionalidad!D$8</f>
        <v>952674479.842583</v>
      </c>
      <c r="Q10" s="37" t="n">
        <f aca="false">Supuestos!$C$10*(1+Supuestos!$C$31)^4*Estacionalidad!E$8</f>
        <v>952674479.842583</v>
      </c>
      <c r="R10" s="37" t="n">
        <f aca="false">Supuestos!$C$10*(1+Supuestos!$C$31)^4*Estacionalidad!F$8</f>
        <v>952674479.842583</v>
      </c>
      <c r="S10" s="37" t="n">
        <f aca="false">Supuestos!$C$10*(1+Supuestos!$C$31)^4*Estacionalidad!G$8</f>
        <v>952674479.842583</v>
      </c>
      <c r="T10" s="37" t="n">
        <f aca="false">Supuestos!$C$10*(1+Supuestos!$C$31)^4*Estacionalidad!H$8</f>
        <v>952674479.842583</v>
      </c>
      <c r="U10" s="37" t="n">
        <f aca="false">Supuestos!$C$10*(1+Supuestos!$C$31)^4*Estacionalidad!I$8</f>
        <v>952674479.842583</v>
      </c>
      <c r="V10" s="37" t="n">
        <f aca="false">Supuestos!$C$10*(1+Supuestos!$C$31)^4*Estacionalidad!J$8</f>
        <v>952674479.842583</v>
      </c>
      <c r="W10" s="37" t="n">
        <f aca="false">Supuestos!$C$10*(1+Supuestos!$C$31)^4*Estacionalidad!K$8</f>
        <v>952674479.842583</v>
      </c>
      <c r="X10" s="37" t="n">
        <f aca="false">Supuestos!$C$10*(1+Supuestos!$C$31)^4*Estacionalidad!L$8</f>
        <v>952674479.842583</v>
      </c>
      <c r="Y10" s="37" t="n">
        <f aca="false">Supuestos!$C$10*(1+Supuestos!$C$31)^4*Estacionalidad!M$8</f>
        <v>952674479.842583</v>
      </c>
      <c r="Z10" s="37" t="n">
        <f aca="false">Supuestos!$C$10*(1+Supuestos!$C$31)^4*Estacionalidad!N$8</f>
        <v>952674479.842583</v>
      </c>
      <c r="AA10" s="37" t="n">
        <f aca="false">Supuestos!$C$10*(1+Supuestos!$C$31)^5*Estacionalidad!C$8</f>
        <v>971251632.199514</v>
      </c>
      <c r="AB10" s="37" t="n">
        <f aca="false">Supuestos!$C$10*(1+Supuestos!$C$31)^5*Estacionalidad!D$8</f>
        <v>971251632.199514</v>
      </c>
      <c r="AC10" s="37" t="n">
        <f aca="false">Supuestos!$C$10*(1+Supuestos!$C$31)^5*Estacionalidad!E$8</f>
        <v>971251632.199514</v>
      </c>
      <c r="AD10" s="37" t="n">
        <f aca="false">Supuestos!$C$10*(1+Supuestos!$C$31)^5*Estacionalidad!F$8</f>
        <v>971251632.199514</v>
      </c>
      <c r="AE10" s="37" t="n">
        <f aca="false">Supuestos!$C$10*(1+Supuestos!$C$31)^5*Estacionalidad!G$8</f>
        <v>971251632.199514</v>
      </c>
      <c r="AF10" s="37" t="n">
        <f aca="false">Supuestos!$C$10*(1+Supuestos!$C$31)^5*Estacionalidad!H$8</f>
        <v>971251632.199514</v>
      </c>
      <c r="AG10" s="37" t="n">
        <f aca="false">Supuestos!$C$10*(1+Supuestos!$C$31)^5*Estacionalidad!I$8</f>
        <v>971251632.199514</v>
      </c>
      <c r="AH10" s="37" t="n">
        <f aca="false">Supuestos!$C$10*(1+Supuestos!$C$31)^5*Estacionalidad!J$8</f>
        <v>971251632.199514</v>
      </c>
      <c r="AI10" s="37" t="n">
        <f aca="false">Supuestos!$C$10*(1+Supuestos!$C$31)^5*Estacionalidad!K$8</f>
        <v>971251632.199514</v>
      </c>
      <c r="AJ10" s="37" t="n">
        <f aca="false">Supuestos!$C$10*(1+Supuestos!$C$31)^5*Estacionalidad!L$8</f>
        <v>971251632.199514</v>
      </c>
      <c r="AK10" s="37" t="n">
        <f aca="false">Supuestos!$C$10*(1+Supuestos!$C$31)^5*Estacionalidad!M$8</f>
        <v>971251632.199514</v>
      </c>
      <c r="AL10" s="37" t="n">
        <f aca="false">Supuestos!$C$10*(1+Supuestos!$C$31)^5*Estacionalidad!N$8</f>
        <v>971251632.199514</v>
      </c>
      <c r="AM10" s="37" t="n">
        <f aca="false">Supuestos!$C$10*(1+Supuestos!$C$31)^6*Estacionalidad!C$8</f>
        <v>990191039.027404</v>
      </c>
      <c r="AN10" s="37" t="n">
        <f aca="false">Supuestos!$C$10*(1+Supuestos!$C$31)^6*Estacionalidad!D$8</f>
        <v>990191039.027404</v>
      </c>
      <c r="AO10" s="37" t="n">
        <f aca="false">Supuestos!$C$10*(1+Supuestos!$C$31)^6*Estacionalidad!E$8</f>
        <v>990191039.027404</v>
      </c>
      <c r="AP10" s="37" t="n">
        <f aca="false">Supuestos!$C$10*(1+Supuestos!$C$31)^6*Estacionalidad!F$8</f>
        <v>990191039.027404</v>
      </c>
      <c r="AQ10" s="37" t="n">
        <f aca="false">Supuestos!$C$10*(1+Supuestos!$C$31)^6*Estacionalidad!G$8</f>
        <v>990191039.027404</v>
      </c>
      <c r="AR10" s="37" t="n">
        <f aca="false">Supuestos!$C$10*(1+Supuestos!$C$31)^6*Estacionalidad!H$8</f>
        <v>990191039.027404</v>
      </c>
      <c r="AS10" s="37" t="n">
        <f aca="false">Supuestos!$C$10*(1+Supuestos!$C$31)^6*Estacionalidad!I$8</f>
        <v>990191039.027404</v>
      </c>
      <c r="AT10" s="37" t="n">
        <f aca="false">Supuestos!$C$10*(1+Supuestos!$C$31)^6*Estacionalidad!J$8</f>
        <v>990191039.027404</v>
      </c>
      <c r="AU10" s="37" t="n">
        <f aca="false">Supuestos!$C$10*(1+Supuestos!$C$31)^6*Estacionalidad!K$8</f>
        <v>990191039.027404</v>
      </c>
      <c r="AV10" s="37" t="n">
        <f aca="false">Supuestos!$C$10*(1+Supuestos!$C$31)^6*Estacionalidad!L$8</f>
        <v>990191039.027404</v>
      </c>
      <c r="AW10" s="37" t="n">
        <f aca="false">Supuestos!$C$10*(1+Supuestos!$C$31)^6*Estacionalidad!M$8</f>
        <v>990191039.027404</v>
      </c>
      <c r="AX10" s="37" t="n">
        <f aca="false">Supuestos!$C$10*(1+Supuestos!$C$31)^6*Estacionalidad!N$8</f>
        <v>990191039.027404</v>
      </c>
      <c r="AY10" s="37" t="n">
        <f aca="false">Supuestos!$C$10*(1+Supuestos!$C$31)^7*Estacionalidad!C$8</f>
        <v>1009499764.28844</v>
      </c>
      <c r="AZ10" s="37" t="n">
        <f aca="false">Supuestos!$C$10*(1+Supuestos!$C$31)^7*Estacionalidad!D$8</f>
        <v>1009499764.28844</v>
      </c>
      <c r="BA10" s="37" t="n">
        <f aca="false">Supuestos!$C$10*(1+Supuestos!$C$31)^7*Estacionalidad!E$8</f>
        <v>1009499764.28844</v>
      </c>
      <c r="BB10" s="37" t="n">
        <f aca="false">Supuestos!$C$10*(1+Supuestos!$C$31)^7*Estacionalidad!F$8</f>
        <v>1009499764.28844</v>
      </c>
      <c r="BC10" s="37" t="n">
        <f aca="false">Supuestos!$C$10*(1+Supuestos!$C$31)^7*Estacionalidad!G$8</f>
        <v>1009499764.28844</v>
      </c>
      <c r="BD10" s="37" t="n">
        <f aca="false">Supuestos!$C$10*(1+Supuestos!$C$31)^7*Estacionalidad!H$8</f>
        <v>1009499764.28844</v>
      </c>
      <c r="BE10" s="37" t="n">
        <f aca="false">Supuestos!$C$10*(1+Supuestos!$C$31)^7*Estacionalidad!I$8</f>
        <v>1009499764.28844</v>
      </c>
      <c r="BF10" s="37" t="n">
        <f aca="false">Supuestos!$C$10*(1+Supuestos!$C$31)^7*Estacionalidad!J$8</f>
        <v>1009499764.28844</v>
      </c>
      <c r="BG10" s="37" t="n">
        <f aca="false">Supuestos!$C$10*(1+Supuestos!$C$31)^7*Estacionalidad!K$8</f>
        <v>1009499764.28844</v>
      </c>
      <c r="BH10" s="37" t="n">
        <f aca="false">Supuestos!$C$10*(1+Supuestos!$C$31)^7*Estacionalidad!L$8</f>
        <v>1009499764.28844</v>
      </c>
      <c r="BI10" s="37" t="n">
        <f aca="false">Supuestos!$C$10*(1+Supuestos!$C$31)^7*Estacionalidad!M$8</f>
        <v>1009499764.28844</v>
      </c>
      <c r="BJ10" s="37" t="n">
        <f aca="false">Supuestos!$C$10*(1+Supuestos!$C$31)^7*Estacionalidad!N$8</f>
        <v>1009499764.28844</v>
      </c>
      <c r="BK10" s="37" t="n">
        <f aca="false">Supuestos!$C$10*(1+Supuestos!$C$31)^8*Estacionalidad!C$8</f>
        <v>1029185009.69206</v>
      </c>
      <c r="BL10" s="37" t="n">
        <f aca="false">Supuestos!$C$10*(1+Supuestos!$C$31)^8*Estacionalidad!D$8</f>
        <v>1029185009.69206</v>
      </c>
      <c r="BM10" s="37" t="n">
        <f aca="false">Supuestos!$C$10*(1+Supuestos!$C$31)^8*Estacionalidad!E$8</f>
        <v>1029185009.69206</v>
      </c>
      <c r="BN10" s="37" t="n">
        <f aca="false">Supuestos!$C$10*(1+Supuestos!$C$31)^8*Estacionalidad!F$8</f>
        <v>1029185009.69206</v>
      </c>
      <c r="BO10" s="37" t="n">
        <f aca="false">Supuestos!$C$10*(1+Supuestos!$C$31)^8*Estacionalidad!G$8</f>
        <v>1029185009.69206</v>
      </c>
      <c r="BP10" s="37" t="n">
        <f aca="false">Supuestos!$C$10*(1+Supuestos!$C$31)^8*Estacionalidad!H$8</f>
        <v>1029185009.69206</v>
      </c>
      <c r="BQ10" s="37" t="n">
        <f aca="false">Supuestos!$C$10*(1+Supuestos!$C$31)^8*Estacionalidad!I$8</f>
        <v>1029185009.69206</v>
      </c>
      <c r="BR10" s="37" t="n">
        <f aca="false">Supuestos!$C$10*(1+Supuestos!$C$31)^8*Estacionalidad!J$8</f>
        <v>1029185009.69206</v>
      </c>
      <c r="BS10" s="37" t="n">
        <f aca="false">Supuestos!$C$10*(1+Supuestos!$C$31)^8*Estacionalidad!K$8</f>
        <v>1029185009.69206</v>
      </c>
      <c r="BT10" s="37" t="n">
        <f aca="false">Supuestos!$C$10*(1+Supuestos!$C$31)^8*Estacionalidad!L$8</f>
        <v>1029185009.69206</v>
      </c>
      <c r="BU10" s="37" t="n">
        <f aca="false">Supuestos!$C$10*(1+Supuestos!$C$31)^8*Estacionalidad!M$8</f>
        <v>1029185009.69206</v>
      </c>
      <c r="BV10" s="37" t="n">
        <f aca="false">Supuestos!$C$10*(1+Supuestos!$C$31)^8*Estacionalidad!N$8</f>
        <v>1029185009.69206</v>
      </c>
      <c r="BW10" s="37" t="n">
        <f aca="false">Supuestos!$C$10*(1+Supuestos!$C$31)^9*Estacionalidad!C$8</f>
        <v>1049254117.38106</v>
      </c>
      <c r="BX10" s="37" t="n">
        <f aca="false">Supuestos!$C$10*(1+Supuestos!$C$31)^9*Estacionalidad!D$8</f>
        <v>1049254117.38106</v>
      </c>
      <c r="BY10" s="37" t="n">
        <f aca="false">Supuestos!$C$10*(1+Supuestos!$C$31)^9*Estacionalidad!E$8</f>
        <v>1049254117.38106</v>
      </c>
      <c r="BZ10" s="37" t="n">
        <f aca="false">Supuestos!$C$10*(1+Supuestos!$C$31)^9*Estacionalidad!F$8</f>
        <v>1049254117.38106</v>
      </c>
      <c r="CA10" s="37" t="n">
        <f aca="false">Supuestos!$C$10*(1+Supuestos!$C$31)^9*Estacionalidad!G$8</f>
        <v>1049254117.38106</v>
      </c>
      <c r="CB10" s="37" t="n">
        <f aca="false">Supuestos!$C$10*(1+Supuestos!$C$31)^9*Estacionalidad!H$8</f>
        <v>1049254117.38106</v>
      </c>
      <c r="CC10" s="37" t="n">
        <f aca="false">Supuestos!$C$10*(1+Supuestos!$C$31)^9*Estacionalidad!I$8</f>
        <v>1049254117.38106</v>
      </c>
      <c r="CD10" s="37" t="n">
        <f aca="false">Supuestos!$C$10*(1+Supuestos!$C$31)^9*Estacionalidad!J$8</f>
        <v>1049254117.38106</v>
      </c>
      <c r="CE10" s="37" t="n">
        <f aca="false">Supuestos!$C$10*(1+Supuestos!$C$31)^9*Estacionalidad!K$8</f>
        <v>1049254117.38106</v>
      </c>
      <c r="CF10" s="37" t="n">
        <f aca="false">Supuestos!$C$10*(1+Supuestos!$C$31)^9*Estacionalidad!L$8</f>
        <v>1049254117.38106</v>
      </c>
      <c r="CG10" s="37" t="n">
        <f aca="false">Supuestos!$C$10*(1+Supuestos!$C$31)^9*Estacionalidad!M$8</f>
        <v>1049254117.38106</v>
      </c>
      <c r="CH10" s="37" t="n">
        <f aca="false">Supuestos!$C$10*(1+Supuestos!$C$31)^9*Estacionalidad!N$8</f>
        <v>1049254117.38106</v>
      </c>
      <c r="CI10" s="37" t="n">
        <f aca="false">Supuestos!$C$10*(1+Supuestos!$C$31)^10*Estacionalidad!C$8</f>
        <v>1069714572.66999</v>
      </c>
      <c r="CJ10" s="37" t="n">
        <f aca="false">Supuestos!$C$10*(1+Supuestos!$C$31)^10*Estacionalidad!D$8</f>
        <v>1069714572.66999</v>
      </c>
      <c r="CK10" s="37" t="n">
        <f aca="false">Supuestos!$C$10*(1+Supuestos!$C$31)^10*Estacionalidad!E$8</f>
        <v>1069714572.66999</v>
      </c>
      <c r="CL10" s="37" t="n">
        <f aca="false">Supuestos!$C$10*(1+Supuestos!$C$31)^10*Estacionalidad!F$8</f>
        <v>1069714572.66999</v>
      </c>
      <c r="CM10" s="37" t="n">
        <f aca="false">Supuestos!$C$10*(1+Supuestos!$C$31)^10*Estacionalidad!G$8</f>
        <v>1069714572.66999</v>
      </c>
      <c r="CN10" s="37" t="n">
        <f aca="false">Supuestos!$C$10*(1+Supuestos!$C$31)^10*Estacionalidad!H$8</f>
        <v>1069714572.66999</v>
      </c>
      <c r="CO10" s="37" t="n">
        <f aca="false">Supuestos!$C$10*(1+Supuestos!$C$31)^10*Estacionalidad!I$8</f>
        <v>1069714572.66999</v>
      </c>
      <c r="CP10" s="37" t="n">
        <f aca="false">Supuestos!$C$10*(1+Supuestos!$C$31)^10*Estacionalidad!J$8</f>
        <v>1069714572.66999</v>
      </c>
      <c r="CQ10" s="37" t="n">
        <f aca="false">Supuestos!$C$10*(1+Supuestos!$C$31)^10*Estacionalidad!K$8</f>
        <v>1069714572.66999</v>
      </c>
      <c r="CR10" s="37" t="n">
        <f aca="false">Supuestos!$C$10*(1+Supuestos!$C$31)^10*Estacionalidad!L$8</f>
        <v>1069714572.66999</v>
      </c>
      <c r="CS10" s="37" t="n">
        <f aca="false">Supuestos!$C$10*(1+Supuestos!$C$31)^10*Estacionalidad!M$8</f>
        <v>1069714572.66999</v>
      </c>
      <c r="CT10" s="37" t="n">
        <f aca="false">Supuestos!$C$10*(1+Supuestos!$C$31)^10*Estacionalidad!N$8</f>
        <v>1069714572.66999</v>
      </c>
    </row>
    <row r="11" customFormat="false" ht="15" hidden="false" customHeight="true" outlineLevel="0" collapsed="false">
      <c r="B11" s="15" t="s">
        <v>61</v>
      </c>
      <c r="C11" s="37" t="n">
        <f aca="false">Supuestos!$C$11*(1+Supuestos!$C$32)^3*Estacionalidad!C$8</f>
        <v>760973251.591336</v>
      </c>
      <c r="D11" s="37" t="n">
        <f aca="false">Supuestos!$C$11*(1+Supuestos!$C$32)^3*Estacionalidad!D$8</f>
        <v>760973251.591336</v>
      </c>
      <c r="E11" s="37" t="n">
        <f aca="false">Supuestos!$C$11*(1+Supuestos!$C$32)^3*Estacionalidad!E$8</f>
        <v>760973251.591336</v>
      </c>
      <c r="F11" s="37" t="n">
        <f aca="false">Supuestos!$C$11*(1+Supuestos!$C$32)^3*Estacionalidad!F$8</f>
        <v>760973251.591336</v>
      </c>
      <c r="G11" s="37" t="n">
        <f aca="false">Supuestos!$C$11*(1+Supuestos!$C$32)^3*Estacionalidad!G$8</f>
        <v>760973251.591336</v>
      </c>
      <c r="H11" s="37" t="n">
        <f aca="false">Supuestos!$C$11*(1+Supuestos!$C$32)^3*Estacionalidad!H$8</f>
        <v>760973251.591336</v>
      </c>
      <c r="I11" s="37" t="n">
        <f aca="false">Supuestos!$C$11*(1+Supuestos!$C$32)^3*Estacionalidad!I$8</f>
        <v>760973251.591336</v>
      </c>
      <c r="J11" s="37" t="n">
        <f aca="false">Supuestos!$C$11*(1+Supuestos!$C$32)^3*Estacionalidad!J$8</f>
        <v>760973251.591336</v>
      </c>
      <c r="K11" s="37" t="n">
        <f aca="false">Supuestos!$C$11*(1+Supuestos!$C$32)^3*Estacionalidad!K$8</f>
        <v>760973251.591336</v>
      </c>
      <c r="L11" s="37" t="n">
        <f aca="false">Supuestos!$C$11*(1+Supuestos!$C$32)^3*Estacionalidad!L$8</f>
        <v>760973251.591336</v>
      </c>
      <c r="M11" s="37" t="n">
        <f aca="false">Supuestos!$C$11*(1+Supuestos!$C$32)^3*Estacionalidad!M$8</f>
        <v>760973251.591336</v>
      </c>
      <c r="N11" s="37" t="n">
        <f aca="false">Supuestos!$C$11*(1+Supuestos!$C$32)^3*Estacionalidad!N$8</f>
        <v>760973251.591336</v>
      </c>
      <c r="O11" s="37" t="n">
        <f aca="false">Supuestos!$C$11*(1+Supuestos!$C$32)^4*Estacionalidad!C$8</f>
        <v>744262278.98639</v>
      </c>
      <c r="P11" s="37" t="n">
        <f aca="false">Supuestos!$C$11*(1+Supuestos!$C$32)^4*Estacionalidad!D$8</f>
        <v>744262278.98639</v>
      </c>
      <c r="Q11" s="37" t="n">
        <f aca="false">Supuestos!$C$11*(1+Supuestos!$C$32)^4*Estacionalidad!E$8</f>
        <v>744262278.98639</v>
      </c>
      <c r="R11" s="37" t="n">
        <f aca="false">Supuestos!$C$11*(1+Supuestos!$C$32)^4*Estacionalidad!F$8</f>
        <v>744262278.98639</v>
      </c>
      <c r="S11" s="37" t="n">
        <f aca="false">Supuestos!$C$11*(1+Supuestos!$C$32)^4*Estacionalidad!G$8</f>
        <v>744262278.98639</v>
      </c>
      <c r="T11" s="37" t="n">
        <f aca="false">Supuestos!$C$11*(1+Supuestos!$C$32)^4*Estacionalidad!H$8</f>
        <v>744262278.98639</v>
      </c>
      <c r="U11" s="37" t="n">
        <f aca="false">Supuestos!$C$11*(1+Supuestos!$C$32)^4*Estacionalidad!I$8</f>
        <v>744262278.98639</v>
      </c>
      <c r="V11" s="37" t="n">
        <f aca="false">Supuestos!$C$11*(1+Supuestos!$C$32)^4*Estacionalidad!J$8</f>
        <v>744262278.98639</v>
      </c>
      <c r="W11" s="37" t="n">
        <f aca="false">Supuestos!$C$11*(1+Supuestos!$C$32)^4*Estacionalidad!K$8</f>
        <v>744262278.98639</v>
      </c>
      <c r="X11" s="37" t="n">
        <f aca="false">Supuestos!$C$11*(1+Supuestos!$C$32)^4*Estacionalidad!L$8</f>
        <v>744262278.98639</v>
      </c>
      <c r="Y11" s="37" t="n">
        <f aca="false">Supuestos!$C$11*(1+Supuestos!$C$32)^4*Estacionalidad!M$8</f>
        <v>744262278.98639</v>
      </c>
      <c r="Z11" s="37" t="n">
        <f aca="false">Supuestos!$C$11*(1+Supuestos!$C$32)^4*Estacionalidad!N$8</f>
        <v>744262278.98639</v>
      </c>
      <c r="AA11" s="37" t="n">
        <f aca="false">Supuestos!$C$11*(1+Supuestos!$C$32)^5*Estacionalidad!C$8</f>
        <v>727918279.339849</v>
      </c>
      <c r="AB11" s="37" t="n">
        <f aca="false">Supuestos!$C$11*(1+Supuestos!$C$32)^5*Estacionalidad!D$8</f>
        <v>727918279.339849</v>
      </c>
      <c r="AC11" s="37" t="n">
        <f aca="false">Supuestos!$C$11*(1+Supuestos!$C$32)^5*Estacionalidad!E$8</f>
        <v>727918279.339849</v>
      </c>
      <c r="AD11" s="37" t="n">
        <f aca="false">Supuestos!$C$11*(1+Supuestos!$C$32)^5*Estacionalidad!F$8</f>
        <v>727918279.339849</v>
      </c>
      <c r="AE11" s="37" t="n">
        <f aca="false">Supuestos!$C$11*(1+Supuestos!$C$32)^5*Estacionalidad!G$8</f>
        <v>727918279.339849</v>
      </c>
      <c r="AF11" s="37" t="n">
        <f aca="false">Supuestos!$C$11*(1+Supuestos!$C$32)^5*Estacionalidad!H$8</f>
        <v>727918279.339849</v>
      </c>
      <c r="AG11" s="37" t="n">
        <f aca="false">Supuestos!$C$11*(1+Supuestos!$C$32)^5*Estacionalidad!I$8</f>
        <v>727918279.339849</v>
      </c>
      <c r="AH11" s="37" t="n">
        <f aca="false">Supuestos!$C$11*(1+Supuestos!$C$32)^5*Estacionalidad!J$8</f>
        <v>727918279.339849</v>
      </c>
      <c r="AI11" s="37" t="n">
        <f aca="false">Supuestos!$C$11*(1+Supuestos!$C$32)^5*Estacionalidad!K$8</f>
        <v>727918279.339849</v>
      </c>
      <c r="AJ11" s="37" t="n">
        <f aca="false">Supuestos!$C$11*(1+Supuestos!$C$32)^5*Estacionalidad!L$8</f>
        <v>727918279.339849</v>
      </c>
      <c r="AK11" s="37" t="n">
        <f aca="false">Supuestos!$C$11*(1+Supuestos!$C$32)^5*Estacionalidad!M$8</f>
        <v>727918279.339849</v>
      </c>
      <c r="AL11" s="37" t="n">
        <f aca="false">Supuestos!$C$11*(1+Supuestos!$C$32)^5*Estacionalidad!N$8</f>
        <v>727918279.339849</v>
      </c>
      <c r="AM11" s="37" t="n">
        <f aca="false">Supuestos!$C$11*(1+Supuestos!$C$32)^6*Estacionalidad!C$8</f>
        <v>711933193.925546</v>
      </c>
      <c r="AN11" s="37" t="n">
        <f aca="false">Supuestos!$C$11*(1+Supuestos!$C$32)^6*Estacionalidad!D$8</f>
        <v>711933193.925546</v>
      </c>
      <c r="AO11" s="37" t="n">
        <f aca="false">Supuestos!$C$11*(1+Supuestos!$C$32)^6*Estacionalidad!E$8</f>
        <v>711933193.925546</v>
      </c>
      <c r="AP11" s="37" t="n">
        <f aca="false">Supuestos!$C$11*(1+Supuestos!$C$32)^6*Estacionalidad!F$8</f>
        <v>711933193.925546</v>
      </c>
      <c r="AQ11" s="37" t="n">
        <f aca="false">Supuestos!$C$11*(1+Supuestos!$C$32)^6*Estacionalidad!G$8</f>
        <v>711933193.925546</v>
      </c>
      <c r="AR11" s="37" t="n">
        <f aca="false">Supuestos!$C$11*(1+Supuestos!$C$32)^6*Estacionalidad!H$8</f>
        <v>711933193.925546</v>
      </c>
      <c r="AS11" s="37" t="n">
        <f aca="false">Supuestos!$C$11*(1+Supuestos!$C$32)^6*Estacionalidad!I$8</f>
        <v>711933193.925546</v>
      </c>
      <c r="AT11" s="37" t="n">
        <f aca="false">Supuestos!$C$11*(1+Supuestos!$C$32)^6*Estacionalidad!J$8</f>
        <v>711933193.925546</v>
      </c>
      <c r="AU11" s="37" t="n">
        <f aca="false">Supuestos!$C$11*(1+Supuestos!$C$32)^6*Estacionalidad!K$8</f>
        <v>711933193.925546</v>
      </c>
      <c r="AV11" s="37" t="n">
        <f aca="false">Supuestos!$C$11*(1+Supuestos!$C$32)^6*Estacionalidad!L$8</f>
        <v>711933193.925546</v>
      </c>
      <c r="AW11" s="37" t="n">
        <f aca="false">Supuestos!$C$11*(1+Supuestos!$C$32)^6*Estacionalidad!M$8</f>
        <v>711933193.925546</v>
      </c>
      <c r="AX11" s="37" t="n">
        <f aca="false">Supuestos!$C$11*(1+Supuestos!$C$32)^6*Estacionalidad!N$8</f>
        <v>711933193.925546</v>
      </c>
      <c r="AY11" s="37" t="n">
        <f aca="false">Supuestos!$C$11*(1+Supuestos!$C$32)^7*Estacionalidad!C$8</f>
        <v>696299140.986941</v>
      </c>
      <c r="AZ11" s="37" t="n">
        <f aca="false">Supuestos!$C$11*(1+Supuestos!$C$32)^7*Estacionalidad!D$8</f>
        <v>696299140.986941</v>
      </c>
      <c r="BA11" s="37" t="n">
        <f aca="false">Supuestos!$C$11*(1+Supuestos!$C$32)^7*Estacionalidad!E$8</f>
        <v>696299140.986941</v>
      </c>
      <c r="BB11" s="37" t="n">
        <f aca="false">Supuestos!$C$11*(1+Supuestos!$C$32)^7*Estacionalidad!F$8</f>
        <v>696299140.986941</v>
      </c>
      <c r="BC11" s="37" t="n">
        <f aca="false">Supuestos!$C$11*(1+Supuestos!$C$32)^7*Estacionalidad!G$8</f>
        <v>696299140.986941</v>
      </c>
      <c r="BD11" s="37" t="n">
        <f aca="false">Supuestos!$C$11*(1+Supuestos!$C$32)^7*Estacionalidad!H$8</f>
        <v>696299140.986941</v>
      </c>
      <c r="BE11" s="37" t="n">
        <f aca="false">Supuestos!$C$11*(1+Supuestos!$C$32)^7*Estacionalidad!I$8</f>
        <v>696299140.986941</v>
      </c>
      <c r="BF11" s="37" t="n">
        <f aca="false">Supuestos!$C$11*(1+Supuestos!$C$32)^7*Estacionalidad!J$8</f>
        <v>696299140.986941</v>
      </c>
      <c r="BG11" s="37" t="n">
        <f aca="false">Supuestos!$C$11*(1+Supuestos!$C$32)^7*Estacionalidad!K$8</f>
        <v>696299140.986941</v>
      </c>
      <c r="BH11" s="37" t="n">
        <f aca="false">Supuestos!$C$11*(1+Supuestos!$C$32)^7*Estacionalidad!L$8</f>
        <v>696299140.986941</v>
      </c>
      <c r="BI11" s="37" t="n">
        <f aca="false">Supuestos!$C$11*(1+Supuestos!$C$32)^7*Estacionalidad!M$8</f>
        <v>696299140.986941</v>
      </c>
      <c r="BJ11" s="37" t="n">
        <f aca="false">Supuestos!$C$11*(1+Supuestos!$C$32)^7*Estacionalidad!N$8</f>
        <v>696299140.986941</v>
      </c>
      <c r="BK11" s="37" t="n">
        <f aca="false">Supuestos!$C$11*(1+Supuestos!$C$32)^8*Estacionalidad!C$8</f>
        <v>681008411.850868</v>
      </c>
      <c r="BL11" s="37" t="n">
        <f aca="false">Supuestos!$C$11*(1+Supuestos!$C$32)^8*Estacionalidad!D$8</f>
        <v>681008411.850868</v>
      </c>
      <c r="BM11" s="37" t="n">
        <f aca="false">Supuestos!$C$11*(1+Supuestos!$C$32)^8*Estacionalidad!E$8</f>
        <v>681008411.850868</v>
      </c>
      <c r="BN11" s="37" t="n">
        <f aca="false">Supuestos!$C$11*(1+Supuestos!$C$32)^8*Estacionalidad!F$8</f>
        <v>681008411.850868</v>
      </c>
      <c r="BO11" s="37" t="n">
        <f aca="false">Supuestos!$C$11*(1+Supuestos!$C$32)^8*Estacionalidad!G$8</f>
        <v>681008411.850868</v>
      </c>
      <c r="BP11" s="37" t="n">
        <f aca="false">Supuestos!$C$11*(1+Supuestos!$C$32)^8*Estacionalidad!H$8</f>
        <v>681008411.850868</v>
      </c>
      <c r="BQ11" s="37" t="n">
        <f aca="false">Supuestos!$C$11*(1+Supuestos!$C$32)^8*Estacionalidad!I$8</f>
        <v>681008411.850868</v>
      </c>
      <c r="BR11" s="37" t="n">
        <f aca="false">Supuestos!$C$11*(1+Supuestos!$C$32)^8*Estacionalidad!J$8</f>
        <v>681008411.850868</v>
      </c>
      <c r="BS11" s="37" t="n">
        <f aca="false">Supuestos!$C$11*(1+Supuestos!$C$32)^8*Estacionalidad!K$8</f>
        <v>681008411.850868</v>
      </c>
      <c r="BT11" s="37" t="n">
        <f aca="false">Supuestos!$C$11*(1+Supuestos!$C$32)^8*Estacionalidad!L$8</f>
        <v>681008411.850868</v>
      </c>
      <c r="BU11" s="37" t="n">
        <f aca="false">Supuestos!$C$11*(1+Supuestos!$C$32)^8*Estacionalidad!M$8</f>
        <v>681008411.850868</v>
      </c>
      <c r="BV11" s="37" t="n">
        <f aca="false">Supuestos!$C$11*(1+Supuestos!$C$32)^8*Estacionalidad!N$8</f>
        <v>681008411.850868</v>
      </c>
      <c r="BW11" s="37" t="n">
        <f aca="false">Supuestos!$C$11*(1+Supuestos!$C$32)^9*Estacionalidad!C$8</f>
        <v>666053467.126623</v>
      </c>
      <c r="BX11" s="37" t="n">
        <f aca="false">Supuestos!$C$11*(1+Supuestos!$C$32)^9*Estacionalidad!D$8</f>
        <v>666053467.126623</v>
      </c>
      <c r="BY11" s="37" t="n">
        <f aca="false">Supuestos!$C$11*(1+Supuestos!$C$32)^9*Estacionalidad!E$8</f>
        <v>666053467.126623</v>
      </c>
      <c r="BZ11" s="37" t="n">
        <f aca="false">Supuestos!$C$11*(1+Supuestos!$C$32)^9*Estacionalidad!F$8</f>
        <v>666053467.126623</v>
      </c>
      <c r="CA11" s="37" t="n">
        <f aca="false">Supuestos!$C$11*(1+Supuestos!$C$32)^9*Estacionalidad!G$8</f>
        <v>666053467.126623</v>
      </c>
      <c r="CB11" s="37" t="n">
        <f aca="false">Supuestos!$C$11*(1+Supuestos!$C$32)^9*Estacionalidad!H$8</f>
        <v>666053467.126623</v>
      </c>
      <c r="CC11" s="37" t="n">
        <f aca="false">Supuestos!$C$11*(1+Supuestos!$C$32)^9*Estacionalidad!I$8</f>
        <v>666053467.126623</v>
      </c>
      <c r="CD11" s="37" t="n">
        <f aca="false">Supuestos!$C$11*(1+Supuestos!$C$32)^9*Estacionalidad!J$8</f>
        <v>666053467.126623</v>
      </c>
      <c r="CE11" s="37" t="n">
        <f aca="false">Supuestos!$C$11*(1+Supuestos!$C$32)^9*Estacionalidad!K$8</f>
        <v>666053467.126623</v>
      </c>
      <c r="CF11" s="37" t="n">
        <f aca="false">Supuestos!$C$11*(1+Supuestos!$C$32)^9*Estacionalidad!L$8</f>
        <v>666053467.126623</v>
      </c>
      <c r="CG11" s="37" t="n">
        <f aca="false">Supuestos!$C$11*(1+Supuestos!$C$32)^9*Estacionalidad!M$8</f>
        <v>666053467.126623</v>
      </c>
      <c r="CH11" s="37" t="n">
        <f aca="false">Supuestos!$C$11*(1+Supuestos!$C$32)^9*Estacionalidad!N$8</f>
        <v>666053467.126623</v>
      </c>
      <c r="CI11" s="37" t="n">
        <f aca="false">Supuestos!$C$11*(1+Supuestos!$C$32)^10*Estacionalidad!C$8</f>
        <v>651426932.988522</v>
      </c>
      <c r="CJ11" s="37" t="n">
        <f aca="false">Supuestos!$C$11*(1+Supuestos!$C$32)^10*Estacionalidad!D$8</f>
        <v>651426932.988522</v>
      </c>
      <c r="CK11" s="37" t="n">
        <f aca="false">Supuestos!$C$11*(1+Supuestos!$C$32)^10*Estacionalidad!E$8</f>
        <v>651426932.988522</v>
      </c>
      <c r="CL11" s="37" t="n">
        <f aca="false">Supuestos!$C$11*(1+Supuestos!$C$32)^10*Estacionalidad!F$8</f>
        <v>651426932.988522</v>
      </c>
      <c r="CM11" s="37" t="n">
        <f aca="false">Supuestos!$C$11*(1+Supuestos!$C$32)^10*Estacionalidad!G$8</f>
        <v>651426932.988522</v>
      </c>
      <c r="CN11" s="37" t="n">
        <f aca="false">Supuestos!$C$11*(1+Supuestos!$C$32)^10*Estacionalidad!H$8</f>
        <v>651426932.988522</v>
      </c>
      <c r="CO11" s="37" t="n">
        <f aca="false">Supuestos!$C$11*(1+Supuestos!$C$32)^10*Estacionalidad!I$8</f>
        <v>651426932.988522</v>
      </c>
      <c r="CP11" s="37" t="n">
        <f aca="false">Supuestos!$C$11*(1+Supuestos!$C$32)^10*Estacionalidad!J$8</f>
        <v>651426932.988522</v>
      </c>
      <c r="CQ11" s="37" t="n">
        <f aca="false">Supuestos!$C$11*(1+Supuestos!$C$32)^10*Estacionalidad!K$8</f>
        <v>651426932.988522</v>
      </c>
      <c r="CR11" s="37" t="n">
        <f aca="false">Supuestos!$C$11*(1+Supuestos!$C$32)^10*Estacionalidad!L$8</f>
        <v>651426932.988522</v>
      </c>
      <c r="CS11" s="37" t="n">
        <f aca="false">Supuestos!$C$11*(1+Supuestos!$C$32)^10*Estacionalidad!M$8</f>
        <v>651426932.988522</v>
      </c>
      <c r="CT11" s="37" t="n">
        <f aca="false">Supuestos!$C$11*(1+Supuestos!$C$32)^10*Estacionalidad!N$8</f>
        <v>651426932.988522</v>
      </c>
    </row>
    <row r="12" customFormat="false" ht="15" hidden="false" customHeight="true" outlineLevel="0" collapsed="false">
      <c r="B12" s="15" t="s">
        <v>63</v>
      </c>
      <c r="C12" s="37" t="n">
        <f aca="false">Supuestos!$C$12*(1+Supuestos!$C$31)^3*Estacionalidad!C$9</f>
        <v>107559629.214272</v>
      </c>
      <c r="D12" s="37" t="n">
        <f aca="false">Supuestos!$C$12*(1+Supuestos!$C$31)^3*Estacionalidad!D$9</f>
        <v>107559629.214272</v>
      </c>
      <c r="E12" s="37" t="n">
        <f aca="false">Supuestos!$C$12*(1+Supuestos!$C$31)^3*Estacionalidad!E$9</f>
        <v>172095406.742836</v>
      </c>
      <c r="F12" s="37" t="n">
        <f aca="false">Supuestos!$C$12*(1+Supuestos!$C$31)^3*Estacionalidad!F$9</f>
        <v>172095406.742836</v>
      </c>
      <c r="G12" s="37" t="n">
        <f aca="false">Supuestos!$C$12*(1+Supuestos!$C$31)^3*Estacionalidad!G$9</f>
        <v>193607332.58569</v>
      </c>
      <c r="H12" s="37" t="n">
        <f aca="false">Supuestos!$C$12*(1+Supuestos!$C$31)^3*Estacionalidad!H$9</f>
        <v>215119258.428545</v>
      </c>
      <c r="I12" s="37" t="n">
        <f aca="false">Supuestos!$C$12*(1+Supuestos!$C$31)^3*Estacionalidad!I$9</f>
        <v>193607332.58569</v>
      </c>
      <c r="J12" s="37" t="n">
        <f aca="false">Supuestos!$C$12*(1+Supuestos!$C$31)^3*Estacionalidad!J$9</f>
        <v>193607332.58569</v>
      </c>
      <c r="K12" s="37" t="n">
        <f aca="false">Supuestos!$C$12*(1+Supuestos!$C$31)^3*Estacionalidad!K$9</f>
        <v>193607332.58569</v>
      </c>
      <c r="L12" s="37" t="n">
        <f aca="false">Supuestos!$C$12*(1+Supuestos!$C$31)^3*Estacionalidad!L$9</f>
        <v>215119258.428545</v>
      </c>
      <c r="M12" s="37" t="n">
        <f aca="false">Supuestos!$C$12*(1+Supuestos!$C$31)^3*Estacionalidad!M$9</f>
        <v>215119258.428545</v>
      </c>
      <c r="N12" s="37" t="n">
        <f aca="false">Supuestos!$C$12*(1+Supuestos!$C$31)^3*Estacionalidad!N$9</f>
        <v>172095406.742836</v>
      </c>
      <c r="O12" s="37" t="n">
        <f aca="false">Supuestos!$C$12*(1+Supuestos!$C$31)^4*Estacionalidad!C$9</f>
        <v>109657041.983951</v>
      </c>
      <c r="P12" s="37" t="n">
        <f aca="false">Supuestos!$C$12*(1+Supuestos!$C$31)^4*Estacionalidad!D$9</f>
        <v>109657041.983951</v>
      </c>
      <c r="Q12" s="37" t="n">
        <f aca="false">Supuestos!$C$12*(1+Supuestos!$C$31)^4*Estacionalidad!E$9</f>
        <v>175451267.174321</v>
      </c>
      <c r="R12" s="37" t="n">
        <f aca="false">Supuestos!$C$12*(1+Supuestos!$C$31)^4*Estacionalidad!F$9</f>
        <v>175451267.174321</v>
      </c>
      <c r="S12" s="37" t="n">
        <f aca="false">Supuestos!$C$12*(1+Supuestos!$C$31)^4*Estacionalidad!G$9</f>
        <v>197382675.571111</v>
      </c>
      <c r="T12" s="37" t="n">
        <f aca="false">Supuestos!$C$12*(1+Supuestos!$C$31)^4*Estacionalidad!H$9</f>
        <v>219314083.967901</v>
      </c>
      <c r="U12" s="37" t="n">
        <f aca="false">Supuestos!$C$12*(1+Supuestos!$C$31)^4*Estacionalidad!I$9</f>
        <v>197382675.571111</v>
      </c>
      <c r="V12" s="37" t="n">
        <f aca="false">Supuestos!$C$12*(1+Supuestos!$C$31)^4*Estacionalidad!J$9</f>
        <v>197382675.571111</v>
      </c>
      <c r="W12" s="37" t="n">
        <f aca="false">Supuestos!$C$12*(1+Supuestos!$C$31)^4*Estacionalidad!K$9</f>
        <v>197382675.571111</v>
      </c>
      <c r="X12" s="37" t="n">
        <f aca="false">Supuestos!$C$12*(1+Supuestos!$C$31)^4*Estacionalidad!L$9</f>
        <v>219314083.967901</v>
      </c>
      <c r="Y12" s="37" t="n">
        <f aca="false">Supuestos!$C$12*(1+Supuestos!$C$31)^4*Estacionalidad!M$9</f>
        <v>219314083.967901</v>
      </c>
      <c r="Z12" s="37" t="n">
        <f aca="false">Supuestos!$C$12*(1+Supuestos!$C$31)^4*Estacionalidad!N$9</f>
        <v>175451267.174321</v>
      </c>
      <c r="AA12" s="37" t="n">
        <f aca="false">Supuestos!$C$12*(1+Supuestos!$C$31)^5*Estacionalidad!C$9</f>
        <v>111795354.302638</v>
      </c>
      <c r="AB12" s="37" t="n">
        <f aca="false">Supuestos!$C$12*(1+Supuestos!$C$31)^5*Estacionalidad!D$9</f>
        <v>111795354.302638</v>
      </c>
      <c r="AC12" s="37" t="n">
        <f aca="false">Supuestos!$C$12*(1+Supuestos!$C$31)^5*Estacionalidad!E$9</f>
        <v>178872566.88422</v>
      </c>
      <c r="AD12" s="37" t="n">
        <f aca="false">Supuestos!$C$12*(1+Supuestos!$C$31)^5*Estacionalidad!F$9</f>
        <v>178872566.88422</v>
      </c>
      <c r="AE12" s="37" t="n">
        <f aca="false">Supuestos!$C$12*(1+Supuestos!$C$31)^5*Estacionalidad!G$9</f>
        <v>201231637.744748</v>
      </c>
      <c r="AF12" s="37" t="n">
        <f aca="false">Supuestos!$C$12*(1+Supuestos!$C$31)^5*Estacionalidad!H$9</f>
        <v>223590708.605276</v>
      </c>
      <c r="AG12" s="37" t="n">
        <f aca="false">Supuestos!$C$12*(1+Supuestos!$C$31)^5*Estacionalidad!I$9</f>
        <v>201231637.744748</v>
      </c>
      <c r="AH12" s="37" t="n">
        <f aca="false">Supuestos!$C$12*(1+Supuestos!$C$31)^5*Estacionalidad!J$9</f>
        <v>201231637.744748</v>
      </c>
      <c r="AI12" s="37" t="n">
        <f aca="false">Supuestos!$C$12*(1+Supuestos!$C$31)^5*Estacionalidad!K$9</f>
        <v>201231637.744748</v>
      </c>
      <c r="AJ12" s="37" t="n">
        <f aca="false">Supuestos!$C$12*(1+Supuestos!$C$31)^5*Estacionalidad!L$9</f>
        <v>223590708.605276</v>
      </c>
      <c r="AK12" s="37" t="n">
        <f aca="false">Supuestos!$C$12*(1+Supuestos!$C$31)^5*Estacionalidad!M$9</f>
        <v>223590708.605276</v>
      </c>
      <c r="AL12" s="37" t="n">
        <f aca="false">Supuestos!$C$12*(1+Supuestos!$C$31)^5*Estacionalidad!N$9</f>
        <v>178872566.88422</v>
      </c>
      <c r="AM12" s="37" t="n">
        <f aca="false">Supuestos!$C$12*(1+Supuestos!$C$31)^6*Estacionalidad!C$9</f>
        <v>113975363.711539</v>
      </c>
      <c r="AN12" s="37" t="n">
        <f aca="false">Supuestos!$C$12*(1+Supuestos!$C$31)^6*Estacionalidad!D$9</f>
        <v>113975363.711539</v>
      </c>
      <c r="AO12" s="37" t="n">
        <f aca="false">Supuestos!$C$12*(1+Supuestos!$C$31)^6*Estacionalidad!E$9</f>
        <v>182360581.938463</v>
      </c>
      <c r="AP12" s="37" t="n">
        <f aca="false">Supuestos!$C$12*(1+Supuestos!$C$31)^6*Estacionalidad!F$9</f>
        <v>182360581.938463</v>
      </c>
      <c r="AQ12" s="37" t="n">
        <f aca="false">Supuestos!$C$12*(1+Supuestos!$C$31)^6*Estacionalidad!G$9</f>
        <v>205155654.680771</v>
      </c>
      <c r="AR12" s="37" t="n">
        <f aca="false">Supuestos!$C$12*(1+Supuestos!$C$31)^6*Estacionalidad!H$9</f>
        <v>227950727.423078</v>
      </c>
      <c r="AS12" s="37" t="n">
        <f aca="false">Supuestos!$C$12*(1+Supuestos!$C$31)^6*Estacionalidad!I$9</f>
        <v>205155654.680771</v>
      </c>
      <c r="AT12" s="37" t="n">
        <f aca="false">Supuestos!$C$12*(1+Supuestos!$C$31)^6*Estacionalidad!J$9</f>
        <v>205155654.680771</v>
      </c>
      <c r="AU12" s="37" t="n">
        <f aca="false">Supuestos!$C$12*(1+Supuestos!$C$31)^6*Estacionalidad!K$9</f>
        <v>205155654.680771</v>
      </c>
      <c r="AV12" s="37" t="n">
        <f aca="false">Supuestos!$C$12*(1+Supuestos!$C$31)^6*Estacionalidad!L$9</f>
        <v>227950727.423078</v>
      </c>
      <c r="AW12" s="37" t="n">
        <f aca="false">Supuestos!$C$12*(1+Supuestos!$C$31)^6*Estacionalidad!M$9</f>
        <v>227950727.423078</v>
      </c>
      <c r="AX12" s="37" t="n">
        <f aca="false">Supuestos!$C$12*(1+Supuestos!$C$31)^6*Estacionalidad!N$9</f>
        <v>182360581.938463</v>
      </c>
      <c r="AY12" s="37" t="n">
        <f aca="false">Supuestos!$C$12*(1+Supuestos!$C$31)^7*Estacionalidad!C$9</f>
        <v>116197883.303914</v>
      </c>
      <c r="AZ12" s="37" t="n">
        <f aca="false">Supuestos!$C$12*(1+Supuestos!$C$31)^7*Estacionalidad!D$9</f>
        <v>116197883.303914</v>
      </c>
      <c r="BA12" s="37" t="n">
        <f aca="false">Supuestos!$C$12*(1+Supuestos!$C$31)^7*Estacionalidad!E$9</f>
        <v>185916613.286263</v>
      </c>
      <c r="BB12" s="37" t="n">
        <f aca="false">Supuestos!$C$12*(1+Supuestos!$C$31)^7*Estacionalidad!F$9</f>
        <v>185916613.286263</v>
      </c>
      <c r="BC12" s="37" t="n">
        <f aca="false">Supuestos!$C$12*(1+Supuestos!$C$31)^7*Estacionalidad!G$9</f>
        <v>209156189.947046</v>
      </c>
      <c r="BD12" s="37" t="n">
        <f aca="false">Supuestos!$C$12*(1+Supuestos!$C$31)^7*Estacionalidad!H$9</f>
        <v>232395766.607829</v>
      </c>
      <c r="BE12" s="37" t="n">
        <f aca="false">Supuestos!$C$12*(1+Supuestos!$C$31)^7*Estacionalidad!I$9</f>
        <v>209156189.947046</v>
      </c>
      <c r="BF12" s="37" t="n">
        <f aca="false">Supuestos!$C$12*(1+Supuestos!$C$31)^7*Estacionalidad!J$9</f>
        <v>209156189.947046</v>
      </c>
      <c r="BG12" s="37" t="n">
        <f aca="false">Supuestos!$C$12*(1+Supuestos!$C$31)^7*Estacionalidad!K$9</f>
        <v>209156189.947046</v>
      </c>
      <c r="BH12" s="37" t="n">
        <f aca="false">Supuestos!$C$12*(1+Supuestos!$C$31)^7*Estacionalidad!L$9</f>
        <v>232395766.607829</v>
      </c>
      <c r="BI12" s="37" t="n">
        <f aca="false">Supuestos!$C$12*(1+Supuestos!$C$31)^7*Estacionalidad!M$9</f>
        <v>232395766.607829</v>
      </c>
      <c r="BJ12" s="37" t="n">
        <f aca="false">Supuestos!$C$12*(1+Supuestos!$C$31)^7*Estacionalidad!N$9</f>
        <v>185916613.286263</v>
      </c>
      <c r="BK12" s="37" t="n">
        <f aca="false">Supuestos!$C$12*(1+Supuestos!$C$31)^8*Estacionalidad!C$9</f>
        <v>118463742.028341</v>
      </c>
      <c r="BL12" s="37" t="n">
        <f aca="false">Supuestos!$C$12*(1+Supuestos!$C$31)^8*Estacionalidad!D$9</f>
        <v>118463742.028341</v>
      </c>
      <c r="BM12" s="37" t="n">
        <f aca="false">Supuestos!$C$12*(1+Supuestos!$C$31)^8*Estacionalidad!E$9</f>
        <v>189541987.245345</v>
      </c>
      <c r="BN12" s="37" t="n">
        <f aca="false">Supuestos!$C$12*(1+Supuestos!$C$31)^8*Estacionalidad!F$9</f>
        <v>189541987.245345</v>
      </c>
      <c r="BO12" s="37" t="n">
        <f aca="false">Supuestos!$C$12*(1+Supuestos!$C$31)^8*Estacionalidad!G$9</f>
        <v>213234735.651013</v>
      </c>
      <c r="BP12" s="37" t="n">
        <f aca="false">Supuestos!$C$12*(1+Supuestos!$C$31)^8*Estacionalidad!H$9</f>
        <v>236927484.056681</v>
      </c>
      <c r="BQ12" s="37" t="n">
        <f aca="false">Supuestos!$C$12*(1+Supuestos!$C$31)^8*Estacionalidad!I$9</f>
        <v>213234735.651013</v>
      </c>
      <c r="BR12" s="37" t="n">
        <f aca="false">Supuestos!$C$12*(1+Supuestos!$C$31)^8*Estacionalidad!J$9</f>
        <v>213234735.651013</v>
      </c>
      <c r="BS12" s="37" t="n">
        <f aca="false">Supuestos!$C$12*(1+Supuestos!$C$31)^8*Estacionalidad!K$9</f>
        <v>213234735.651013</v>
      </c>
      <c r="BT12" s="37" t="n">
        <f aca="false">Supuestos!$C$12*(1+Supuestos!$C$31)^8*Estacionalidad!L$9</f>
        <v>236927484.056681</v>
      </c>
      <c r="BU12" s="37" t="n">
        <f aca="false">Supuestos!$C$12*(1+Supuestos!$C$31)^8*Estacionalidad!M$9</f>
        <v>236927484.056681</v>
      </c>
      <c r="BV12" s="37" t="n">
        <f aca="false">Supuestos!$C$12*(1+Supuestos!$C$31)^8*Estacionalidad!N$9</f>
        <v>189541987.245345</v>
      </c>
      <c r="BW12" s="37" t="n">
        <f aca="false">Supuestos!$C$12*(1+Supuestos!$C$31)^9*Estacionalidad!C$9</f>
        <v>120773784.997893</v>
      </c>
      <c r="BX12" s="37" t="n">
        <f aca="false">Supuestos!$C$12*(1+Supuestos!$C$31)^9*Estacionalidad!D$9</f>
        <v>120773784.997893</v>
      </c>
      <c r="BY12" s="37" t="n">
        <f aca="false">Supuestos!$C$12*(1+Supuestos!$C$31)^9*Estacionalidad!E$9</f>
        <v>193238055.996629</v>
      </c>
      <c r="BZ12" s="37" t="n">
        <f aca="false">Supuestos!$C$12*(1+Supuestos!$C$31)^9*Estacionalidad!F$9</f>
        <v>193238055.996629</v>
      </c>
      <c r="CA12" s="37" t="n">
        <f aca="false">Supuestos!$C$12*(1+Supuestos!$C$31)^9*Estacionalidad!G$9</f>
        <v>217392812.996208</v>
      </c>
      <c r="CB12" s="37" t="n">
        <f aca="false">Supuestos!$C$12*(1+Supuestos!$C$31)^9*Estacionalidad!H$9</f>
        <v>241547569.995786</v>
      </c>
      <c r="CC12" s="37" t="n">
        <f aca="false">Supuestos!$C$12*(1+Supuestos!$C$31)^9*Estacionalidad!I$9</f>
        <v>217392812.996208</v>
      </c>
      <c r="CD12" s="37" t="n">
        <f aca="false">Supuestos!$C$12*(1+Supuestos!$C$31)^9*Estacionalidad!J$9</f>
        <v>217392812.996208</v>
      </c>
      <c r="CE12" s="37" t="n">
        <f aca="false">Supuestos!$C$12*(1+Supuestos!$C$31)^9*Estacionalidad!K$9</f>
        <v>217392812.996208</v>
      </c>
      <c r="CF12" s="37" t="n">
        <f aca="false">Supuestos!$C$12*(1+Supuestos!$C$31)^9*Estacionalidad!L$9</f>
        <v>241547569.995786</v>
      </c>
      <c r="CG12" s="37" t="n">
        <f aca="false">Supuestos!$C$12*(1+Supuestos!$C$31)^9*Estacionalidad!M$9</f>
        <v>241547569.995786</v>
      </c>
      <c r="CH12" s="37" t="n">
        <f aca="false">Supuestos!$C$12*(1+Supuestos!$C$31)^9*Estacionalidad!N$9</f>
        <v>193238055.996629</v>
      </c>
      <c r="CI12" s="37" t="n">
        <f aca="false">Supuestos!$C$12*(1+Supuestos!$C$31)^10*Estacionalidad!C$9</f>
        <v>123128873.805352</v>
      </c>
      <c r="CJ12" s="37" t="n">
        <f aca="false">Supuestos!$C$12*(1+Supuestos!$C$31)^10*Estacionalidad!D$9</f>
        <v>123128873.805352</v>
      </c>
      <c r="CK12" s="37" t="n">
        <f aca="false">Supuestos!$C$12*(1+Supuestos!$C$31)^10*Estacionalidad!E$9</f>
        <v>197006198.088563</v>
      </c>
      <c r="CL12" s="37" t="n">
        <f aca="false">Supuestos!$C$12*(1+Supuestos!$C$31)^10*Estacionalidad!F$9</f>
        <v>197006198.088563</v>
      </c>
      <c r="CM12" s="37" t="n">
        <f aca="false">Supuestos!$C$12*(1+Supuestos!$C$31)^10*Estacionalidad!G$9</f>
        <v>221631972.849634</v>
      </c>
      <c r="CN12" s="37" t="n">
        <f aca="false">Supuestos!$C$12*(1+Supuestos!$C$31)^10*Estacionalidad!H$9</f>
        <v>246257747.610704</v>
      </c>
      <c r="CO12" s="37" t="n">
        <f aca="false">Supuestos!$C$12*(1+Supuestos!$C$31)^10*Estacionalidad!I$9</f>
        <v>221631972.849634</v>
      </c>
      <c r="CP12" s="37" t="n">
        <f aca="false">Supuestos!$C$12*(1+Supuestos!$C$31)^10*Estacionalidad!J$9</f>
        <v>221631972.849634</v>
      </c>
      <c r="CQ12" s="37" t="n">
        <f aca="false">Supuestos!$C$12*(1+Supuestos!$C$31)^10*Estacionalidad!K$9</f>
        <v>221631972.849634</v>
      </c>
      <c r="CR12" s="37" t="n">
        <f aca="false">Supuestos!$C$12*(1+Supuestos!$C$31)^10*Estacionalidad!L$9</f>
        <v>246257747.610704</v>
      </c>
      <c r="CS12" s="37" t="n">
        <f aca="false">Supuestos!$C$12*(1+Supuestos!$C$31)^10*Estacionalidad!M$9</f>
        <v>246257747.610704</v>
      </c>
      <c r="CT12" s="37" t="n">
        <f aca="false">Supuestos!$C$12*(1+Supuestos!$C$31)^10*Estacionalidad!N$9</f>
        <v>197006198.088563</v>
      </c>
    </row>
    <row r="13" customFormat="false" ht="15" hidden="false" customHeight="true" outlineLevel="0" collapsed="false">
      <c r="B13" s="38" t="s">
        <v>247</v>
      </c>
      <c r="C13" s="39" t="n">
        <f aca="false">SUM(C8:C12)</f>
        <v>31028599642.6915</v>
      </c>
      <c r="D13" s="39" t="n">
        <f aca="false">SUM(D8:D12)</f>
        <v>28908374378.0205</v>
      </c>
      <c r="E13" s="39" t="n">
        <f aca="false">SUM(E8:E12)</f>
        <v>30315919236.5056</v>
      </c>
      <c r="F13" s="39" t="n">
        <f aca="false">SUM(F8:F12)</f>
        <v>29889621921.0044</v>
      </c>
      <c r="G13" s="39" t="n">
        <f aca="false">SUM(G8:G12)</f>
        <v>29484836531.3461</v>
      </c>
      <c r="H13" s="39" t="n">
        <f aca="false">SUM(H8:H12)</f>
        <v>29932645772.6901</v>
      </c>
      <c r="I13" s="39" t="n">
        <f aca="false">SUM(I8:I12)</f>
        <v>30337431162.3484</v>
      </c>
      <c r="J13" s="39" t="n">
        <f aca="false">SUM(J8:J12)</f>
        <v>29911133846.8473</v>
      </c>
      <c r="K13" s="39" t="n">
        <f aca="false">SUM(K8:K12)</f>
        <v>29484836531.3461</v>
      </c>
      <c r="L13" s="39" t="n">
        <f aca="false">SUM(L8:L12)</f>
        <v>29932645772.6901</v>
      </c>
      <c r="M13" s="39" t="n">
        <f aca="false">SUM(M8:M12)</f>
        <v>29506348457.1889</v>
      </c>
      <c r="N13" s="39" t="n">
        <f aca="false">SUM(N8:N12)</f>
        <v>29516180427.1213</v>
      </c>
      <c r="O13" s="39" t="n">
        <f aca="false">SUM(O8:O12)</f>
        <v>31602107384.713</v>
      </c>
      <c r="P13" s="39" t="n">
        <f aca="false">SUM(P8:P12)</f>
        <v>29440537727.3809</v>
      </c>
      <c r="Q13" s="39" t="n">
        <f aca="false">SUM(Q8:Q12)</f>
        <v>30875529710.6065</v>
      </c>
      <c r="R13" s="39" t="n">
        <f aca="false">SUM(R8:R12)</f>
        <v>30440919597.453</v>
      </c>
      <c r="S13" s="39" t="n">
        <f aca="false">SUM(S8:S12)</f>
        <v>30028240892.6964</v>
      </c>
      <c r="T13" s="39" t="n">
        <f aca="false">SUM(T8:T12)</f>
        <v>30484782414.2466</v>
      </c>
      <c r="U13" s="39" t="n">
        <f aca="false">SUM(U8:U12)</f>
        <v>30897461119.0033</v>
      </c>
      <c r="V13" s="39" t="n">
        <f aca="false">SUM(V8:V12)</f>
        <v>30462851005.8498</v>
      </c>
      <c r="W13" s="39" t="n">
        <f aca="false">SUM(W8:W12)</f>
        <v>30028240892.6964</v>
      </c>
      <c r="X13" s="39" t="n">
        <f aca="false">SUM(X8:X12)</f>
        <v>30484782414.2466</v>
      </c>
      <c r="Y13" s="39" t="n">
        <f aca="false">SUM(Y8:Y12)</f>
        <v>30050172301.0932</v>
      </c>
      <c r="Z13" s="39" t="n">
        <f aca="false">SUM(Z8:Z12)</f>
        <v>30060195994.4392</v>
      </c>
      <c r="AA13" s="39" t="n">
        <f aca="false">SUM(AA8:AA12)</f>
        <v>32187491364.6281</v>
      </c>
      <c r="AB13" s="39" t="n">
        <f aca="false">SUM(AB8:AB12)</f>
        <v>29983771098.9781</v>
      </c>
      <c r="AC13" s="39" t="n">
        <f aca="false">SUM(AC8:AC12)</f>
        <v>31446745425.8765</v>
      </c>
      <c r="AD13" s="39" t="n">
        <f aca="false">SUM(AD8:AD12)</f>
        <v>31003660415.5166</v>
      </c>
      <c r="AE13" s="39" t="n">
        <f aca="false">SUM(AE8:AE12)</f>
        <v>30582934476.0172</v>
      </c>
      <c r="AF13" s="39" t="n">
        <f aca="false">SUM(AF8:AF12)</f>
        <v>31048378557.2376</v>
      </c>
      <c r="AG13" s="39" t="n">
        <f aca="false">SUM(AG8:AG12)</f>
        <v>31469104496.7371</v>
      </c>
      <c r="AH13" s="39" t="n">
        <f aca="false">SUM(AH8:AH12)</f>
        <v>31026019486.3771</v>
      </c>
      <c r="AI13" s="39" t="n">
        <f aca="false">SUM(AI8:AI12)</f>
        <v>30582934476.0172</v>
      </c>
      <c r="AJ13" s="39" t="n">
        <f aca="false">SUM(AJ8:AJ12)</f>
        <v>31048378557.2376</v>
      </c>
      <c r="AK13" s="39" t="n">
        <f aca="false">SUM(AK8:AK12)</f>
        <v>30605293546.8777</v>
      </c>
      <c r="AL13" s="39" t="n">
        <f aca="false">SUM(AL8:AL12)</f>
        <v>30615512702.244</v>
      </c>
      <c r="AM13" s="39" t="n">
        <f aca="false">SUM(AM8:AM12)</f>
        <v>32784967954.3769</v>
      </c>
      <c r="AN13" s="39" t="n">
        <f aca="false">SUM(AN8:AN12)</f>
        <v>30538275143.5467</v>
      </c>
      <c r="AO13" s="39" t="n">
        <f aca="false">SUM(AO8:AO12)</f>
        <v>32029777469.8197</v>
      </c>
      <c r="AP13" s="39" t="n">
        <f aca="false">SUM(AP8:AP12)</f>
        <v>31578052301.7577</v>
      </c>
      <c r="AQ13" s="39" t="n">
        <f aca="false">SUM(AQ8:AQ12)</f>
        <v>31149122206.4381</v>
      </c>
      <c r="AR13" s="39" t="n">
        <f aca="false">SUM(AR8:AR12)</f>
        <v>31623642447.2423</v>
      </c>
      <c r="AS13" s="39" t="n">
        <f aca="false">SUM(AS8:AS12)</f>
        <v>32052572542.562</v>
      </c>
      <c r="AT13" s="39" t="n">
        <f aca="false">SUM(AT8:AT12)</f>
        <v>31600847374.5</v>
      </c>
      <c r="AU13" s="39" t="n">
        <f aca="false">SUM(AU8:AU12)</f>
        <v>31149122206.4381</v>
      </c>
      <c r="AV13" s="39" t="n">
        <f aca="false">SUM(AV8:AV12)</f>
        <v>31623642447.2423</v>
      </c>
      <c r="AW13" s="39" t="n">
        <f aca="false">SUM(AW8:AW12)</f>
        <v>31171917279.1804</v>
      </c>
      <c r="AX13" s="39" t="n">
        <f aca="false">SUM(AX8:AX12)</f>
        <v>31182335708.0763</v>
      </c>
      <c r="AY13" s="39" t="n">
        <f aca="false">SUM(AY8:AY12)</f>
        <v>33394758079.2671</v>
      </c>
      <c r="AZ13" s="39" t="n">
        <f aca="false">SUM(AZ8:AZ12)</f>
        <v>31104254758.6257</v>
      </c>
      <c r="BA13" s="39" t="n">
        <f aca="false">SUM(BA8:BA12)</f>
        <v>32624841380.261</v>
      </c>
      <c r="BB13" s="39" t="n">
        <f aca="false">SUM(BB8:BB12)</f>
        <v>32164307571.4219</v>
      </c>
      <c r="BC13" s="39" t="n">
        <f aca="false">SUM(BC8:BC12)</f>
        <v>31727013339.2435</v>
      </c>
      <c r="BD13" s="39" t="n">
        <f aca="false">SUM(BD8:BD12)</f>
        <v>32210786724.7434</v>
      </c>
      <c r="BE13" s="39" t="n">
        <f aca="false">SUM(BE8:BE12)</f>
        <v>32648080956.9218</v>
      </c>
      <c r="BF13" s="39" t="n">
        <f aca="false">SUM(BF8:BF12)</f>
        <v>32187547148.0826</v>
      </c>
      <c r="BG13" s="39" t="n">
        <f aca="false">SUM(BG8:BG12)</f>
        <v>31727013339.2435</v>
      </c>
      <c r="BH13" s="39" t="n">
        <f aca="false">SUM(BH8:BH12)</f>
        <v>32210786724.7434</v>
      </c>
      <c r="BI13" s="39" t="n">
        <f aca="false">SUM(BI8:BI12)</f>
        <v>31750252915.9043</v>
      </c>
      <c r="BJ13" s="39" t="n">
        <f aca="false">SUM(BJ8:BJ12)</f>
        <v>31760874504.1637</v>
      </c>
      <c r="BK13" s="39" t="n">
        <f aca="false">SUM(BK8:BK12)</f>
        <v>34017087299.4275</v>
      </c>
      <c r="BL13" s="39" t="n">
        <f aca="false">SUM(BL8:BL12)</f>
        <v>31681919164.0336</v>
      </c>
      <c r="BM13" s="39" t="n">
        <f aca="false">SUM(BM8:BM12)</f>
        <v>33232157224.7908</v>
      </c>
      <c r="BN13" s="39" t="n">
        <f aca="false">SUM(BN8:BN12)</f>
        <v>32762643006.6793</v>
      </c>
      <c r="BO13" s="39" t="n">
        <f aca="false">SUM(BO8:BO12)</f>
        <v>32316821536.9734</v>
      </c>
      <c r="BP13" s="39" t="n">
        <f aca="false">SUM(BP8:BP12)</f>
        <v>32810028503.4906</v>
      </c>
      <c r="BQ13" s="39" t="n">
        <f aca="false">SUM(BQ8:BQ12)</f>
        <v>33255849973.1965</v>
      </c>
      <c r="BR13" s="39" t="n">
        <f aca="false">SUM(BR8:BR12)</f>
        <v>32786335755.0849</v>
      </c>
      <c r="BS13" s="39" t="n">
        <f aca="false">SUM(BS8:BS12)</f>
        <v>32316821536.9734</v>
      </c>
      <c r="BT13" s="39" t="n">
        <f aca="false">SUM(BT8:BT12)</f>
        <v>32810028503.4906</v>
      </c>
      <c r="BU13" s="39" t="n">
        <f aca="false">SUM(BU8:BU12)</f>
        <v>32340514285.3791</v>
      </c>
      <c r="BV13" s="39" t="n">
        <f aca="false">SUM(BV8:BV12)</f>
        <v>32351342994.6095</v>
      </c>
      <c r="BW13" s="39" t="n">
        <f aca="false">SUM(BW8:BW12)</f>
        <v>34652185893.011</v>
      </c>
      <c r="BX13" s="39" t="n">
        <f aca="false">SUM(BX8:BX12)</f>
        <v>32271481978.9769</v>
      </c>
      <c r="BY13" s="39" t="n">
        <f aca="false">SUM(BY8:BY12)</f>
        <v>33851949681.9189</v>
      </c>
      <c r="BZ13" s="39" t="n">
        <f aca="false">SUM(BZ8:BZ12)</f>
        <v>33373279936.5542</v>
      </c>
      <c r="CA13" s="39" t="n">
        <f aca="false">SUM(CA8:CA12)</f>
        <v>32918764948.189</v>
      </c>
      <c r="CB13" s="39" t="n">
        <f aca="false">SUM(CB8:CB12)</f>
        <v>33421589450.5533</v>
      </c>
      <c r="CC13" s="39" t="n">
        <f aca="false">SUM(CC8:CC12)</f>
        <v>33876104438.9185</v>
      </c>
      <c r="CD13" s="39" t="n">
        <f aca="false">SUM(CD8:CD12)</f>
        <v>33397434693.5538</v>
      </c>
      <c r="CE13" s="39" t="n">
        <f aca="false">SUM(CE8:CE12)</f>
        <v>32918764948.189</v>
      </c>
      <c r="CF13" s="39" t="n">
        <f aca="false">SUM(CF8:CF12)</f>
        <v>33421589450.5533</v>
      </c>
      <c r="CG13" s="39" t="n">
        <f aca="false">SUM(CG8:CG12)</f>
        <v>32942919705.1886</v>
      </c>
      <c r="CH13" s="39" t="n">
        <f aca="false">SUM(CH8:CH12)</f>
        <v>32953959574.2491</v>
      </c>
      <c r="CI13" s="39" t="n">
        <f aca="false">SUM(CI8:CI12)</f>
        <v>35300288941.1777</v>
      </c>
      <c r="CJ13" s="39" t="n">
        <f aca="false">SUM(CJ8:CJ12)</f>
        <v>32873161300.8199</v>
      </c>
      <c r="CK13" s="39" t="n">
        <f aca="false">SUM(CK8:CK12)</f>
        <v>34484448123.9692</v>
      </c>
      <c r="CL13" s="39" t="n">
        <f aca="false">SUM(CL8:CL12)</f>
        <v>33996444318.5699</v>
      </c>
      <c r="CM13" s="39" t="n">
        <f aca="false">SUM(CM8:CM12)</f>
        <v>33533066287.9317</v>
      </c>
      <c r="CN13" s="39" t="n">
        <f aca="false">SUM(CN8:CN12)</f>
        <v>34045695868.0921</v>
      </c>
      <c r="CO13" s="39" t="n">
        <f aca="false">SUM(CO8:CO12)</f>
        <v>34509073898.7303</v>
      </c>
      <c r="CP13" s="39" t="n">
        <f aca="false">SUM(CP8:CP12)</f>
        <v>34021070093.331</v>
      </c>
      <c r="CQ13" s="39" t="n">
        <f aca="false">SUM(CQ8:CQ12)</f>
        <v>33533066287.9317</v>
      </c>
      <c r="CR13" s="39" t="n">
        <f aca="false">SUM(CR8:CR12)</f>
        <v>34045695868.0921</v>
      </c>
      <c r="CS13" s="39" t="n">
        <f aca="false">SUM(CS8:CS12)</f>
        <v>33557692062.6927</v>
      </c>
      <c r="CT13" s="39" t="n">
        <f aca="false">SUM(CT8:CT12)</f>
        <v>33568947209.1999</v>
      </c>
    </row>
    <row r="15" customFormat="false" ht="15" hidden="false" customHeight="true" outlineLevel="0" collapsed="false">
      <c r="B15" s="35" t="s">
        <v>248</v>
      </c>
      <c r="C15" s="36"/>
      <c r="D15" s="36"/>
      <c r="E15" s="36"/>
      <c r="F15" s="36"/>
      <c r="G15" s="36"/>
      <c r="H15" s="36"/>
      <c r="I15" s="36"/>
      <c r="J15" s="36"/>
      <c r="K15" s="36"/>
      <c r="L15" s="36"/>
      <c r="M15" s="3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row>
    <row r="16" customFormat="false" ht="15" hidden="false" customHeight="true" outlineLevel="0" collapsed="false">
      <c r="B16" s="15" t="s">
        <v>249</v>
      </c>
      <c r="C16" s="40" t="n">
        <f aca="false">Supuestos!$C$33+MIN(0,3)/3*(Supuestos!$C$34-Supuestos!$C$33)</f>
        <v>0.8444</v>
      </c>
      <c r="D16" s="40" t="n">
        <f aca="false">Supuestos!$C$33+MIN(0,3)/3*(Supuestos!$C$34-Supuestos!$C$33)</f>
        <v>0.8444</v>
      </c>
      <c r="E16" s="40" t="n">
        <f aca="false">Supuestos!$C$33+MIN(0,3)/3*(Supuestos!$C$34-Supuestos!$C$33)</f>
        <v>0.8444</v>
      </c>
      <c r="F16" s="40" t="n">
        <f aca="false">Supuestos!$C$33+MIN(0,3)/3*(Supuestos!$C$34-Supuestos!$C$33)</f>
        <v>0.8444</v>
      </c>
      <c r="G16" s="40" t="n">
        <f aca="false">Supuestos!$C$33+MIN(0,3)/3*(Supuestos!$C$34-Supuestos!$C$33)</f>
        <v>0.8444</v>
      </c>
      <c r="H16" s="40" t="n">
        <f aca="false">Supuestos!$C$33+MIN(0,3)/3*(Supuestos!$C$34-Supuestos!$C$33)</f>
        <v>0.8444</v>
      </c>
      <c r="I16" s="40" t="n">
        <f aca="false">Supuestos!$C$33+MIN(0,3)/3*(Supuestos!$C$34-Supuestos!$C$33)</f>
        <v>0.8444</v>
      </c>
      <c r="J16" s="40" t="n">
        <f aca="false">Supuestos!$C$33+MIN(0,3)/3*(Supuestos!$C$34-Supuestos!$C$33)</f>
        <v>0.8444</v>
      </c>
      <c r="K16" s="40" t="n">
        <f aca="false">Supuestos!$C$33+MIN(0,3)/3*(Supuestos!$C$34-Supuestos!$C$33)</f>
        <v>0.8444</v>
      </c>
      <c r="L16" s="40" t="n">
        <f aca="false">Supuestos!$C$33+MIN(0,3)/3*(Supuestos!$C$34-Supuestos!$C$33)</f>
        <v>0.8444</v>
      </c>
      <c r="M16" s="40" t="n">
        <f aca="false">Supuestos!$C$33+MIN(0,3)/3*(Supuestos!$C$34-Supuestos!$C$33)</f>
        <v>0.8444</v>
      </c>
      <c r="N16" s="40" t="n">
        <f aca="false">Supuestos!$C$33+MIN(0,3)/3*(Supuestos!$C$34-Supuestos!$C$33)</f>
        <v>0.8444</v>
      </c>
      <c r="O16" s="40" t="n">
        <f aca="false">Supuestos!$C$33+MIN(1,3)/3*(Supuestos!$C$34-Supuestos!$C$33)</f>
        <v>0.8596</v>
      </c>
      <c r="P16" s="40" t="n">
        <f aca="false">Supuestos!$C$33+MIN(1,3)/3*(Supuestos!$C$34-Supuestos!$C$33)</f>
        <v>0.8596</v>
      </c>
      <c r="Q16" s="40" t="n">
        <f aca="false">Supuestos!$C$33+MIN(1,3)/3*(Supuestos!$C$34-Supuestos!$C$33)</f>
        <v>0.8596</v>
      </c>
      <c r="R16" s="40" t="n">
        <f aca="false">Supuestos!$C$33+MIN(1,3)/3*(Supuestos!$C$34-Supuestos!$C$33)</f>
        <v>0.8596</v>
      </c>
      <c r="S16" s="40" t="n">
        <f aca="false">Supuestos!$C$33+MIN(1,3)/3*(Supuestos!$C$34-Supuestos!$C$33)</f>
        <v>0.8596</v>
      </c>
      <c r="T16" s="40" t="n">
        <f aca="false">Supuestos!$C$33+MIN(1,3)/3*(Supuestos!$C$34-Supuestos!$C$33)</f>
        <v>0.8596</v>
      </c>
      <c r="U16" s="40" t="n">
        <f aca="false">Supuestos!$C$33+MIN(1,3)/3*(Supuestos!$C$34-Supuestos!$C$33)</f>
        <v>0.8596</v>
      </c>
      <c r="V16" s="40" t="n">
        <f aca="false">Supuestos!$C$33+MIN(1,3)/3*(Supuestos!$C$34-Supuestos!$C$33)</f>
        <v>0.8596</v>
      </c>
      <c r="W16" s="40" t="n">
        <f aca="false">Supuestos!$C$33+MIN(1,3)/3*(Supuestos!$C$34-Supuestos!$C$33)</f>
        <v>0.8596</v>
      </c>
      <c r="X16" s="40" t="n">
        <f aca="false">Supuestos!$C$33+MIN(1,3)/3*(Supuestos!$C$34-Supuestos!$C$33)</f>
        <v>0.8596</v>
      </c>
      <c r="Y16" s="40" t="n">
        <f aca="false">Supuestos!$C$33+MIN(1,3)/3*(Supuestos!$C$34-Supuestos!$C$33)</f>
        <v>0.8596</v>
      </c>
      <c r="Z16" s="40" t="n">
        <f aca="false">Supuestos!$C$33+MIN(1,3)/3*(Supuestos!$C$34-Supuestos!$C$33)</f>
        <v>0.8596</v>
      </c>
      <c r="AA16" s="40" t="n">
        <f aca="false">Supuestos!$C$33+MIN(2,3)/3*(Supuestos!$C$34-Supuestos!$C$33)</f>
        <v>0.8748</v>
      </c>
      <c r="AB16" s="40" t="n">
        <f aca="false">Supuestos!$C$33+MIN(2,3)/3*(Supuestos!$C$34-Supuestos!$C$33)</f>
        <v>0.8748</v>
      </c>
      <c r="AC16" s="40" t="n">
        <f aca="false">Supuestos!$C$33+MIN(2,3)/3*(Supuestos!$C$34-Supuestos!$C$33)</f>
        <v>0.8748</v>
      </c>
      <c r="AD16" s="40" t="n">
        <f aca="false">Supuestos!$C$33+MIN(2,3)/3*(Supuestos!$C$34-Supuestos!$C$33)</f>
        <v>0.8748</v>
      </c>
      <c r="AE16" s="40" t="n">
        <f aca="false">Supuestos!$C$33+MIN(2,3)/3*(Supuestos!$C$34-Supuestos!$C$33)</f>
        <v>0.8748</v>
      </c>
      <c r="AF16" s="40" t="n">
        <f aca="false">Supuestos!$C$33+MIN(2,3)/3*(Supuestos!$C$34-Supuestos!$C$33)</f>
        <v>0.8748</v>
      </c>
      <c r="AG16" s="40" t="n">
        <f aca="false">Supuestos!$C$33+MIN(2,3)/3*(Supuestos!$C$34-Supuestos!$C$33)</f>
        <v>0.8748</v>
      </c>
      <c r="AH16" s="40" t="n">
        <f aca="false">Supuestos!$C$33+MIN(2,3)/3*(Supuestos!$C$34-Supuestos!$C$33)</f>
        <v>0.8748</v>
      </c>
      <c r="AI16" s="40" t="n">
        <f aca="false">Supuestos!$C$33+MIN(2,3)/3*(Supuestos!$C$34-Supuestos!$C$33)</f>
        <v>0.8748</v>
      </c>
      <c r="AJ16" s="40" t="n">
        <f aca="false">Supuestos!$C$33+MIN(2,3)/3*(Supuestos!$C$34-Supuestos!$C$33)</f>
        <v>0.8748</v>
      </c>
      <c r="AK16" s="40" t="n">
        <f aca="false">Supuestos!$C$33+MIN(2,3)/3*(Supuestos!$C$34-Supuestos!$C$33)</f>
        <v>0.8748</v>
      </c>
      <c r="AL16" s="40" t="n">
        <f aca="false">Supuestos!$C$33+MIN(2,3)/3*(Supuestos!$C$34-Supuestos!$C$33)</f>
        <v>0.8748</v>
      </c>
      <c r="AM16" s="40" t="n">
        <f aca="false">Supuestos!$C$33+MIN(3,3)/3*(Supuestos!$C$34-Supuestos!$C$33)</f>
        <v>0.89</v>
      </c>
      <c r="AN16" s="40" t="n">
        <f aca="false">Supuestos!$C$33+MIN(3,3)/3*(Supuestos!$C$34-Supuestos!$C$33)</f>
        <v>0.89</v>
      </c>
      <c r="AO16" s="40" t="n">
        <f aca="false">Supuestos!$C$33+MIN(3,3)/3*(Supuestos!$C$34-Supuestos!$C$33)</f>
        <v>0.89</v>
      </c>
      <c r="AP16" s="40" t="n">
        <f aca="false">Supuestos!$C$33+MIN(3,3)/3*(Supuestos!$C$34-Supuestos!$C$33)</f>
        <v>0.89</v>
      </c>
      <c r="AQ16" s="40" t="n">
        <f aca="false">Supuestos!$C$33+MIN(3,3)/3*(Supuestos!$C$34-Supuestos!$C$33)</f>
        <v>0.89</v>
      </c>
      <c r="AR16" s="40" t="n">
        <f aca="false">Supuestos!$C$33+MIN(3,3)/3*(Supuestos!$C$34-Supuestos!$C$33)</f>
        <v>0.89</v>
      </c>
      <c r="AS16" s="40" t="n">
        <f aca="false">Supuestos!$C$33+MIN(3,3)/3*(Supuestos!$C$34-Supuestos!$C$33)</f>
        <v>0.89</v>
      </c>
      <c r="AT16" s="40" t="n">
        <f aca="false">Supuestos!$C$33+MIN(3,3)/3*(Supuestos!$C$34-Supuestos!$C$33)</f>
        <v>0.89</v>
      </c>
      <c r="AU16" s="40" t="n">
        <f aca="false">Supuestos!$C$33+MIN(3,3)/3*(Supuestos!$C$34-Supuestos!$C$33)</f>
        <v>0.89</v>
      </c>
      <c r="AV16" s="40" t="n">
        <f aca="false">Supuestos!$C$33+MIN(3,3)/3*(Supuestos!$C$34-Supuestos!$C$33)</f>
        <v>0.89</v>
      </c>
      <c r="AW16" s="40" t="n">
        <f aca="false">Supuestos!$C$33+MIN(3,3)/3*(Supuestos!$C$34-Supuestos!$C$33)</f>
        <v>0.89</v>
      </c>
      <c r="AX16" s="40" t="n">
        <f aca="false">Supuestos!$C$33+MIN(3,3)/3*(Supuestos!$C$34-Supuestos!$C$33)</f>
        <v>0.89</v>
      </c>
      <c r="AY16" s="40" t="n">
        <f aca="false">Supuestos!$C$33+MIN(4,3)/3*(Supuestos!$C$34-Supuestos!$C$33)</f>
        <v>0.89</v>
      </c>
      <c r="AZ16" s="40" t="n">
        <f aca="false">Supuestos!$C$33+MIN(4,3)/3*(Supuestos!$C$34-Supuestos!$C$33)</f>
        <v>0.89</v>
      </c>
      <c r="BA16" s="40" t="n">
        <f aca="false">Supuestos!$C$33+MIN(4,3)/3*(Supuestos!$C$34-Supuestos!$C$33)</f>
        <v>0.89</v>
      </c>
      <c r="BB16" s="40" t="n">
        <f aca="false">Supuestos!$C$33+MIN(4,3)/3*(Supuestos!$C$34-Supuestos!$C$33)</f>
        <v>0.89</v>
      </c>
      <c r="BC16" s="40" t="n">
        <f aca="false">Supuestos!$C$33+MIN(4,3)/3*(Supuestos!$C$34-Supuestos!$C$33)</f>
        <v>0.89</v>
      </c>
      <c r="BD16" s="40" t="n">
        <f aca="false">Supuestos!$C$33+MIN(4,3)/3*(Supuestos!$C$34-Supuestos!$C$33)</f>
        <v>0.89</v>
      </c>
      <c r="BE16" s="40" t="n">
        <f aca="false">Supuestos!$C$33+MIN(4,3)/3*(Supuestos!$C$34-Supuestos!$C$33)</f>
        <v>0.89</v>
      </c>
      <c r="BF16" s="40" t="n">
        <f aca="false">Supuestos!$C$33+MIN(4,3)/3*(Supuestos!$C$34-Supuestos!$C$33)</f>
        <v>0.89</v>
      </c>
      <c r="BG16" s="40" t="n">
        <f aca="false">Supuestos!$C$33+MIN(4,3)/3*(Supuestos!$C$34-Supuestos!$C$33)</f>
        <v>0.89</v>
      </c>
      <c r="BH16" s="40" t="n">
        <f aca="false">Supuestos!$C$33+MIN(4,3)/3*(Supuestos!$C$34-Supuestos!$C$33)</f>
        <v>0.89</v>
      </c>
      <c r="BI16" s="40" t="n">
        <f aca="false">Supuestos!$C$33+MIN(4,3)/3*(Supuestos!$C$34-Supuestos!$C$33)</f>
        <v>0.89</v>
      </c>
      <c r="BJ16" s="40" t="n">
        <f aca="false">Supuestos!$C$33+MIN(4,3)/3*(Supuestos!$C$34-Supuestos!$C$33)</f>
        <v>0.89</v>
      </c>
      <c r="BK16" s="40" t="n">
        <f aca="false">Supuestos!$C$33+MIN(5,3)/3*(Supuestos!$C$34-Supuestos!$C$33)</f>
        <v>0.89</v>
      </c>
      <c r="BL16" s="40" t="n">
        <f aca="false">Supuestos!$C$33+MIN(5,3)/3*(Supuestos!$C$34-Supuestos!$C$33)</f>
        <v>0.89</v>
      </c>
      <c r="BM16" s="40" t="n">
        <f aca="false">Supuestos!$C$33+MIN(5,3)/3*(Supuestos!$C$34-Supuestos!$C$33)</f>
        <v>0.89</v>
      </c>
      <c r="BN16" s="40" t="n">
        <f aca="false">Supuestos!$C$33+MIN(5,3)/3*(Supuestos!$C$34-Supuestos!$C$33)</f>
        <v>0.89</v>
      </c>
      <c r="BO16" s="40" t="n">
        <f aca="false">Supuestos!$C$33+MIN(5,3)/3*(Supuestos!$C$34-Supuestos!$C$33)</f>
        <v>0.89</v>
      </c>
      <c r="BP16" s="40" t="n">
        <f aca="false">Supuestos!$C$33+MIN(5,3)/3*(Supuestos!$C$34-Supuestos!$C$33)</f>
        <v>0.89</v>
      </c>
      <c r="BQ16" s="40" t="n">
        <f aca="false">Supuestos!$C$33+MIN(5,3)/3*(Supuestos!$C$34-Supuestos!$C$33)</f>
        <v>0.89</v>
      </c>
      <c r="BR16" s="40" t="n">
        <f aca="false">Supuestos!$C$33+MIN(5,3)/3*(Supuestos!$C$34-Supuestos!$C$33)</f>
        <v>0.89</v>
      </c>
      <c r="BS16" s="40" t="n">
        <f aca="false">Supuestos!$C$33+MIN(5,3)/3*(Supuestos!$C$34-Supuestos!$C$33)</f>
        <v>0.89</v>
      </c>
      <c r="BT16" s="40" t="n">
        <f aca="false">Supuestos!$C$33+MIN(5,3)/3*(Supuestos!$C$34-Supuestos!$C$33)</f>
        <v>0.89</v>
      </c>
      <c r="BU16" s="40" t="n">
        <f aca="false">Supuestos!$C$33+MIN(5,3)/3*(Supuestos!$C$34-Supuestos!$C$33)</f>
        <v>0.89</v>
      </c>
      <c r="BV16" s="40" t="n">
        <f aca="false">Supuestos!$C$33+MIN(5,3)/3*(Supuestos!$C$34-Supuestos!$C$33)</f>
        <v>0.89</v>
      </c>
      <c r="BW16" s="40" t="n">
        <f aca="false">Supuestos!$C$33+MIN(6,3)/3*(Supuestos!$C$34-Supuestos!$C$33)</f>
        <v>0.89</v>
      </c>
      <c r="BX16" s="40" t="n">
        <f aca="false">Supuestos!$C$33+MIN(6,3)/3*(Supuestos!$C$34-Supuestos!$C$33)</f>
        <v>0.89</v>
      </c>
      <c r="BY16" s="40" t="n">
        <f aca="false">Supuestos!$C$33+MIN(6,3)/3*(Supuestos!$C$34-Supuestos!$C$33)</f>
        <v>0.89</v>
      </c>
      <c r="BZ16" s="40" t="n">
        <f aca="false">Supuestos!$C$33+MIN(6,3)/3*(Supuestos!$C$34-Supuestos!$C$33)</f>
        <v>0.89</v>
      </c>
      <c r="CA16" s="40" t="n">
        <f aca="false">Supuestos!$C$33+MIN(6,3)/3*(Supuestos!$C$34-Supuestos!$C$33)</f>
        <v>0.89</v>
      </c>
      <c r="CB16" s="40" t="n">
        <f aca="false">Supuestos!$C$33+MIN(6,3)/3*(Supuestos!$C$34-Supuestos!$C$33)</f>
        <v>0.89</v>
      </c>
      <c r="CC16" s="40" t="n">
        <f aca="false">Supuestos!$C$33+MIN(6,3)/3*(Supuestos!$C$34-Supuestos!$C$33)</f>
        <v>0.89</v>
      </c>
      <c r="CD16" s="40" t="n">
        <f aca="false">Supuestos!$C$33+MIN(6,3)/3*(Supuestos!$C$34-Supuestos!$C$33)</f>
        <v>0.89</v>
      </c>
      <c r="CE16" s="40" t="n">
        <f aca="false">Supuestos!$C$33+MIN(6,3)/3*(Supuestos!$C$34-Supuestos!$C$33)</f>
        <v>0.89</v>
      </c>
      <c r="CF16" s="40" t="n">
        <f aca="false">Supuestos!$C$33+MIN(6,3)/3*(Supuestos!$C$34-Supuestos!$C$33)</f>
        <v>0.89</v>
      </c>
      <c r="CG16" s="40" t="n">
        <f aca="false">Supuestos!$C$33+MIN(6,3)/3*(Supuestos!$C$34-Supuestos!$C$33)</f>
        <v>0.89</v>
      </c>
      <c r="CH16" s="40" t="n">
        <f aca="false">Supuestos!$C$33+MIN(6,3)/3*(Supuestos!$C$34-Supuestos!$C$33)</f>
        <v>0.89</v>
      </c>
      <c r="CI16" s="40" t="n">
        <f aca="false">Supuestos!$C$33+MIN(7,3)/3*(Supuestos!$C$34-Supuestos!$C$33)</f>
        <v>0.89</v>
      </c>
      <c r="CJ16" s="40" t="n">
        <f aca="false">Supuestos!$C$33+MIN(7,3)/3*(Supuestos!$C$34-Supuestos!$C$33)</f>
        <v>0.89</v>
      </c>
      <c r="CK16" s="40" t="n">
        <f aca="false">Supuestos!$C$33+MIN(7,3)/3*(Supuestos!$C$34-Supuestos!$C$33)</f>
        <v>0.89</v>
      </c>
      <c r="CL16" s="40" t="n">
        <f aca="false">Supuestos!$C$33+MIN(7,3)/3*(Supuestos!$C$34-Supuestos!$C$33)</f>
        <v>0.89</v>
      </c>
      <c r="CM16" s="40" t="n">
        <f aca="false">Supuestos!$C$33+MIN(7,3)/3*(Supuestos!$C$34-Supuestos!$C$33)</f>
        <v>0.89</v>
      </c>
      <c r="CN16" s="40" t="n">
        <f aca="false">Supuestos!$C$33+MIN(7,3)/3*(Supuestos!$C$34-Supuestos!$C$33)</f>
        <v>0.89</v>
      </c>
      <c r="CO16" s="40" t="n">
        <f aca="false">Supuestos!$C$33+MIN(7,3)/3*(Supuestos!$C$34-Supuestos!$C$33)</f>
        <v>0.89</v>
      </c>
      <c r="CP16" s="40" t="n">
        <f aca="false">Supuestos!$C$33+MIN(7,3)/3*(Supuestos!$C$34-Supuestos!$C$33)</f>
        <v>0.89</v>
      </c>
      <c r="CQ16" s="40" t="n">
        <f aca="false">Supuestos!$C$33+MIN(7,3)/3*(Supuestos!$C$34-Supuestos!$C$33)</f>
        <v>0.89</v>
      </c>
      <c r="CR16" s="40" t="n">
        <f aca="false">Supuestos!$C$33+MIN(7,3)/3*(Supuestos!$C$34-Supuestos!$C$33)</f>
        <v>0.89</v>
      </c>
      <c r="CS16" s="40" t="n">
        <f aca="false">Supuestos!$C$33+MIN(7,3)/3*(Supuestos!$C$34-Supuestos!$C$33)</f>
        <v>0.89</v>
      </c>
      <c r="CT16" s="40" t="n">
        <f aca="false">Supuestos!$C$33+MIN(7,3)/3*(Supuestos!$C$34-Supuestos!$C$33)</f>
        <v>0.89</v>
      </c>
    </row>
    <row r="17" customFormat="false" ht="15" hidden="false" customHeight="true" outlineLevel="0" collapsed="false">
      <c r="B17" s="15" t="s">
        <v>250</v>
      </c>
      <c r="C17" s="37" t="n">
        <f aca="false">C8</f>
        <v>8873414435.68025</v>
      </c>
      <c r="D17" s="37" t="n">
        <f aca="false">D8</f>
        <v>7243603620.96347</v>
      </c>
      <c r="E17" s="37" t="n">
        <f aca="false">E8</f>
        <v>7605783802.01164</v>
      </c>
      <c r="F17" s="37" t="n">
        <f aca="false">F8</f>
        <v>7424693711.48756</v>
      </c>
      <c r="G17" s="37" t="n">
        <f aca="false">G8</f>
        <v>7243603620.96347</v>
      </c>
      <c r="H17" s="37" t="n">
        <f aca="false">H8</f>
        <v>7424693711.48756</v>
      </c>
      <c r="I17" s="37" t="n">
        <f aca="false">I8</f>
        <v>7605783802.01164</v>
      </c>
      <c r="J17" s="37" t="n">
        <f aca="false">J8</f>
        <v>7424693711.48756</v>
      </c>
      <c r="K17" s="37" t="n">
        <f aca="false">K8</f>
        <v>7243603620.96347</v>
      </c>
      <c r="L17" s="37" t="n">
        <f aca="false">L8</f>
        <v>7424693711.48756</v>
      </c>
      <c r="M17" s="37" t="n">
        <f aca="false">M8</f>
        <v>7243603620.96347</v>
      </c>
      <c r="N17" s="37" t="n">
        <f aca="false">N8</f>
        <v>7786873892.53573</v>
      </c>
      <c r="O17" s="37" t="n">
        <f aca="false">O8</f>
        <v>9046446017.17601</v>
      </c>
      <c r="P17" s="37" t="n">
        <f aca="false">P8</f>
        <v>7384853891.57226</v>
      </c>
      <c r="Q17" s="37" t="n">
        <f aca="false">Q8</f>
        <v>7754096586.15087</v>
      </c>
      <c r="R17" s="37" t="n">
        <f aca="false">R8</f>
        <v>7569475238.86156</v>
      </c>
      <c r="S17" s="37" t="n">
        <f aca="false">S8</f>
        <v>7384853891.57226</v>
      </c>
      <c r="T17" s="37" t="n">
        <f aca="false">T8</f>
        <v>7569475238.86156</v>
      </c>
      <c r="U17" s="37" t="n">
        <f aca="false">U8</f>
        <v>7754096586.15087</v>
      </c>
      <c r="V17" s="37" t="n">
        <f aca="false">V8</f>
        <v>7569475238.86156</v>
      </c>
      <c r="W17" s="37" t="n">
        <f aca="false">W8</f>
        <v>7384853891.57226</v>
      </c>
      <c r="X17" s="37" t="n">
        <f aca="false">X8</f>
        <v>7569475238.86156</v>
      </c>
      <c r="Y17" s="37" t="n">
        <f aca="false">Y8</f>
        <v>7384853891.57226</v>
      </c>
      <c r="Z17" s="37" t="n">
        <f aca="false">Z8</f>
        <v>7938717933.44017</v>
      </c>
      <c r="AA17" s="37" t="n">
        <f aca="false">AA8</f>
        <v>9222851714.51095</v>
      </c>
      <c r="AB17" s="37" t="n">
        <f aca="false">AB8</f>
        <v>7528858542.45792</v>
      </c>
      <c r="AC17" s="37" t="n">
        <f aca="false">AC8</f>
        <v>7905301469.58081</v>
      </c>
      <c r="AD17" s="37" t="n">
        <f aca="false">AD8</f>
        <v>7717080006.01936</v>
      </c>
      <c r="AE17" s="37" t="n">
        <f aca="false">AE8</f>
        <v>7528858542.45792</v>
      </c>
      <c r="AF17" s="37" t="n">
        <f aca="false">AF8</f>
        <v>7717080006.01936</v>
      </c>
      <c r="AG17" s="37" t="n">
        <f aca="false">AG8</f>
        <v>7905301469.58081</v>
      </c>
      <c r="AH17" s="37" t="n">
        <f aca="false">AH8</f>
        <v>7717080006.01936</v>
      </c>
      <c r="AI17" s="37" t="n">
        <f aca="false">AI8</f>
        <v>7528858542.45792</v>
      </c>
      <c r="AJ17" s="37" t="n">
        <f aca="false">AJ8</f>
        <v>7717080006.01936</v>
      </c>
      <c r="AK17" s="37" t="n">
        <f aca="false">AK8</f>
        <v>7528858542.45792</v>
      </c>
      <c r="AL17" s="37" t="n">
        <f aca="false">AL8</f>
        <v>8093522933.14226</v>
      </c>
      <c r="AM17" s="37" t="n">
        <f aca="false">AM8</f>
        <v>9402697322.94391</v>
      </c>
      <c r="AN17" s="37" t="n">
        <f aca="false">AN8</f>
        <v>7675671284.03585</v>
      </c>
      <c r="AO17" s="37" t="n">
        <f aca="false">AO8</f>
        <v>8059454848.23764</v>
      </c>
      <c r="AP17" s="37" t="n">
        <f aca="false">AP8</f>
        <v>7867563066.13674</v>
      </c>
      <c r="AQ17" s="37" t="n">
        <f aca="false">AQ8</f>
        <v>7675671284.03585</v>
      </c>
      <c r="AR17" s="37" t="n">
        <f aca="false">AR8</f>
        <v>7867563066.13674</v>
      </c>
      <c r="AS17" s="37" t="n">
        <f aca="false">AS8</f>
        <v>8059454848.23764</v>
      </c>
      <c r="AT17" s="37" t="n">
        <f aca="false">AT8</f>
        <v>7867563066.13674</v>
      </c>
      <c r="AU17" s="37" t="n">
        <f aca="false">AU8</f>
        <v>7675671284.03585</v>
      </c>
      <c r="AV17" s="37" t="n">
        <f aca="false">AV8</f>
        <v>7867563066.13674</v>
      </c>
      <c r="AW17" s="37" t="n">
        <f aca="false">AW8</f>
        <v>7675671284.03585</v>
      </c>
      <c r="AX17" s="37" t="n">
        <f aca="false">AX8</f>
        <v>8251346630.33853</v>
      </c>
      <c r="AY17" s="37" t="n">
        <f aca="false">AY8</f>
        <v>9586049920.74132</v>
      </c>
      <c r="AZ17" s="37" t="n">
        <f aca="false">AZ8</f>
        <v>7825346874.07455</v>
      </c>
      <c r="BA17" s="37" t="n">
        <f aca="false">BA8</f>
        <v>8216614217.77827</v>
      </c>
      <c r="BB17" s="37" t="n">
        <f aca="false">BB8</f>
        <v>8020980545.92641</v>
      </c>
      <c r="BC17" s="37" t="n">
        <f aca="false">BC8</f>
        <v>7825346874.07455</v>
      </c>
      <c r="BD17" s="37" t="n">
        <f aca="false">BD8</f>
        <v>8020980545.92641</v>
      </c>
      <c r="BE17" s="37" t="n">
        <f aca="false">BE8</f>
        <v>8216614217.77827</v>
      </c>
      <c r="BF17" s="37" t="n">
        <f aca="false">BF8</f>
        <v>8020980545.92641</v>
      </c>
      <c r="BG17" s="37" t="n">
        <f aca="false">BG8</f>
        <v>7825346874.07455</v>
      </c>
      <c r="BH17" s="37" t="n">
        <f aca="false">BH8</f>
        <v>8020980545.92641</v>
      </c>
      <c r="BI17" s="37" t="n">
        <f aca="false">BI8</f>
        <v>7825346874.07455</v>
      </c>
      <c r="BJ17" s="37" t="n">
        <f aca="false">BJ8</f>
        <v>8412247889.63014</v>
      </c>
      <c r="BK17" s="37" t="n">
        <f aca="false">BK8</f>
        <v>9772977894.19578</v>
      </c>
      <c r="BL17" s="37" t="n">
        <f aca="false">BL8</f>
        <v>7977941138.119</v>
      </c>
      <c r="BM17" s="37" t="n">
        <f aca="false">BM8</f>
        <v>8376838195.02495</v>
      </c>
      <c r="BN17" s="37" t="n">
        <f aca="false">BN8</f>
        <v>8177389666.57198</v>
      </c>
      <c r="BO17" s="37" t="n">
        <f aca="false">BO8</f>
        <v>7977941138.119</v>
      </c>
      <c r="BP17" s="37" t="n">
        <f aca="false">BP8</f>
        <v>8177389666.57198</v>
      </c>
      <c r="BQ17" s="37" t="n">
        <f aca="false">BQ8</f>
        <v>8376838195.02495</v>
      </c>
      <c r="BR17" s="37" t="n">
        <f aca="false">BR8</f>
        <v>8177389666.57198</v>
      </c>
      <c r="BS17" s="37" t="n">
        <f aca="false">BS8</f>
        <v>7977941138.119</v>
      </c>
      <c r="BT17" s="37" t="n">
        <f aca="false">BT8</f>
        <v>8177389666.57198</v>
      </c>
      <c r="BU17" s="37" t="n">
        <f aca="false">BU8</f>
        <v>7977941138.119</v>
      </c>
      <c r="BV17" s="37" t="n">
        <f aca="false">BV8</f>
        <v>8576286723.47792</v>
      </c>
      <c r="BW17" s="37" t="n">
        <f aca="false">BW8</f>
        <v>9963550963.13259</v>
      </c>
      <c r="BX17" s="37" t="n">
        <f aca="false">BX8</f>
        <v>8133510990.31232</v>
      </c>
      <c r="BY17" s="37" t="n">
        <f aca="false">BY8</f>
        <v>8540186539.82794</v>
      </c>
      <c r="BZ17" s="37" t="n">
        <f aca="false">BZ8</f>
        <v>8336848765.07013</v>
      </c>
      <c r="CA17" s="37" t="n">
        <f aca="false">CA8</f>
        <v>8133510990.31232</v>
      </c>
      <c r="CB17" s="37" t="n">
        <f aca="false">CB8</f>
        <v>8336848765.07013</v>
      </c>
      <c r="CC17" s="37" t="n">
        <f aca="false">CC8</f>
        <v>8540186539.82794</v>
      </c>
      <c r="CD17" s="37" t="n">
        <f aca="false">CD8</f>
        <v>8336848765.07013</v>
      </c>
      <c r="CE17" s="37" t="n">
        <f aca="false">CE8</f>
        <v>8133510990.31232</v>
      </c>
      <c r="CF17" s="37" t="n">
        <f aca="false">CF8</f>
        <v>8336848765.07013</v>
      </c>
      <c r="CG17" s="37" t="n">
        <f aca="false">CG8</f>
        <v>8133510990.31232</v>
      </c>
      <c r="CH17" s="37" t="n">
        <f aca="false">CH8</f>
        <v>8743524314.58574</v>
      </c>
      <c r="CI17" s="37" t="n">
        <f aca="false">CI8</f>
        <v>10157840206.9137</v>
      </c>
      <c r="CJ17" s="37" t="n">
        <f aca="false">CJ8</f>
        <v>8292114454.62341</v>
      </c>
      <c r="CK17" s="37" t="n">
        <f aca="false">CK8</f>
        <v>8706720177.35458</v>
      </c>
      <c r="CL17" s="37" t="n">
        <f aca="false">CL8</f>
        <v>8499417315.989</v>
      </c>
      <c r="CM17" s="37" t="n">
        <f aca="false">CM8</f>
        <v>8292114454.62341</v>
      </c>
      <c r="CN17" s="37" t="n">
        <f aca="false">CN8</f>
        <v>8499417315.989</v>
      </c>
      <c r="CO17" s="37" t="n">
        <f aca="false">CO8</f>
        <v>8706720177.35458</v>
      </c>
      <c r="CP17" s="37" t="n">
        <f aca="false">CP8</f>
        <v>8499417315.989</v>
      </c>
      <c r="CQ17" s="37" t="n">
        <f aca="false">CQ8</f>
        <v>8292114454.62341</v>
      </c>
      <c r="CR17" s="37" t="n">
        <f aca="false">CR8</f>
        <v>8499417315.989</v>
      </c>
      <c r="CS17" s="37" t="n">
        <f aca="false">CS8</f>
        <v>8292114454.62341</v>
      </c>
      <c r="CT17" s="37" t="n">
        <f aca="false">CT8</f>
        <v>8914023038.72017</v>
      </c>
    </row>
    <row r="18" customFormat="false" ht="15" hidden="false" customHeight="true" outlineLevel="0" collapsed="false">
      <c r="B18" s="15" t="s">
        <v>251</v>
      </c>
      <c r="C18" s="37" t="n">
        <f aca="false">C9*C16</f>
        <v>17185397403.9645</v>
      </c>
      <c r="D18" s="37" t="n">
        <f aca="false">D9*D16</f>
        <v>16771291442.4231</v>
      </c>
      <c r="E18" s="37" t="n">
        <f aca="false">E9*E16</f>
        <v>17599503365.5058</v>
      </c>
      <c r="F18" s="37" t="n">
        <f aca="false">F9*F16</f>
        <v>17392450384.7351</v>
      </c>
      <c r="G18" s="37" t="n">
        <f aca="false">G9*G16</f>
        <v>17185397403.9645</v>
      </c>
      <c r="H18" s="37" t="n">
        <f aca="false">H9*H16</f>
        <v>17392450384.7351</v>
      </c>
      <c r="I18" s="37" t="n">
        <f aca="false">I9*I16</f>
        <v>17599503365.5058</v>
      </c>
      <c r="J18" s="37" t="n">
        <f aca="false">J9*J16</f>
        <v>17392450384.7351</v>
      </c>
      <c r="K18" s="37" t="n">
        <f aca="false">K9*K16</f>
        <v>17185397403.9645</v>
      </c>
      <c r="L18" s="37" t="n">
        <f aca="false">L9*L16</f>
        <v>17392450384.7351</v>
      </c>
      <c r="M18" s="37" t="n">
        <f aca="false">M9*M16</f>
        <v>17185397403.9645</v>
      </c>
      <c r="N18" s="37" t="n">
        <f aca="false">N9*N16</f>
        <v>16771291442.4231</v>
      </c>
      <c r="O18" s="37" t="n">
        <f aca="false">O9*O16</f>
        <v>17835898480.356</v>
      </c>
      <c r="P18" s="37" t="n">
        <f aca="false">P9*P16</f>
        <v>17406117794.0823</v>
      </c>
      <c r="Q18" s="37" t="n">
        <f aca="false">Q9*Q16</f>
        <v>18265679166.6296</v>
      </c>
      <c r="R18" s="37" t="n">
        <f aca="false">R9*R16</f>
        <v>18050788823.4928</v>
      </c>
      <c r="S18" s="37" t="n">
        <f aca="false">S9*S16</f>
        <v>17835898480.356</v>
      </c>
      <c r="T18" s="37" t="n">
        <f aca="false">T9*T16</f>
        <v>18050788823.4928</v>
      </c>
      <c r="U18" s="37" t="n">
        <f aca="false">U9*U16</f>
        <v>18265679166.6296</v>
      </c>
      <c r="V18" s="37" t="n">
        <f aca="false">V9*V16</f>
        <v>18050788823.4928</v>
      </c>
      <c r="W18" s="37" t="n">
        <f aca="false">W9*W16</f>
        <v>17835898480.356</v>
      </c>
      <c r="X18" s="37" t="n">
        <f aca="false">X9*X16</f>
        <v>18050788823.4928</v>
      </c>
      <c r="Y18" s="37" t="n">
        <f aca="false">Y9*Y16</f>
        <v>17835898480.356</v>
      </c>
      <c r="Z18" s="37" t="n">
        <f aca="false">Z9*Z16</f>
        <v>17406117794.0823</v>
      </c>
      <c r="AA18" s="37" t="n">
        <f aca="false">AA9*AA16</f>
        <v>18505234351.3639</v>
      </c>
      <c r="AB18" s="37" t="n">
        <f aca="false">AB9*AB16</f>
        <v>18059325089.8853</v>
      </c>
      <c r="AC18" s="37" t="n">
        <f aca="false">AC9*AC16</f>
        <v>18951143612.8425</v>
      </c>
      <c r="AD18" s="37" t="n">
        <f aca="false">AD9*AD16</f>
        <v>18728188982.1032</v>
      </c>
      <c r="AE18" s="37" t="n">
        <f aca="false">AE9*AE16</f>
        <v>18505234351.3639</v>
      </c>
      <c r="AF18" s="37" t="n">
        <f aca="false">AF9*AF16</f>
        <v>18728188982.1032</v>
      </c>
      <c r="AG18" s="37" t="n">
        <f aca="false">AG9*AG16</f>
        <v>18951143612.8425</v>
      </c>
      <c r="AH18" s="37" t="n">
        <f aca="false">AH9*AH16</f>
        <v>18728188982.1032</v>
      </c>
      <c r="AI18" s="37" t="n">
        <f aca="false">AI9*AI16</f>
        <v>18505234351.3639</v>
      </c>
      <c r="AJ18" s="37" t="n">
        <f aca="false">AJ9*AJ16</f>
        <v>18728188982.1032</v>
      </c>
      <c r="AK18" s="37" t="n">
        <f aca="false">AK9*AK16</f>
        <v>18505234351.3639</v>
      </c>
      <c r="AL18" s="37" t="n">
        <f aca="false">AL9*AL16</f>
        <v>18059325089.8853</v>
      </c>
      <c r="AM18" s="37" t="n">
        <f aca="false">AM9*AM16</f>
        <v>19193892220.944</v>
      </c>
      <c r="AN18" s="37" t="n">
        <f aca="false">AN9*AN16</f>
        <v>18731388793.9333</v>
      </c>
      <c r="AO18" s="37" t="n">
        <f aca="false">AO9*AO16</f>
        <v>19656395647.9547</v>
      </c>
      <c r="AP18" s="37" t="n">
        <f aca="false">AP9*AP16</f>
        <v>19425143934.4493</v>
      </c>
      <c r="AQ18" s="37" t="n">
        <f aca="false">AQ9*AQ16</f>
        <v>19193892220.944</v>
      </c>
      <c r="AR18" s="37" t="n">
        <f aca="false">AR9*AR16</f>
        <v>19425143934.4493</v>
      </c>
      <c r="AS18" s="37" t="n">
        <f aca="false">AS9*AS16</f>
        <v>19656395647.9547</v>
      </c>
      <c r="AT18" s="37" t="n">
        <f aca="false">AT9*AT16</f>
        <v>19425143934.4493</v>
      </c>
      <c r="AU18" s="37" t="n">
        <f aca="false">AU9*AU16</f>
        <v>19193892220.944</v>
      </c>
      <c r="AV18" s="37" t="n">
        <f aca="false">AV9*AV16</f>
        <v>19425143934.4493</v>
      </c>
      <c r="AW18" s="37" t="n">
        <f aca="false">AW9*AW16</f>
        <v>19193892220.944</v>
      </c>
      <c r="AX18" s="37" t="n">
        <f aca="false">AX9*AX16</f>
        <v>18731388793.9333</v>
      </c>
      <c r="AY18" s="37" t="n">
        <f aca="false">AY9*AY16</f>
        <v>19568173119.2524</v>
      </c>
      <c r="AZ18" s="37" t="n">
        <f aca="false">AZ9*AZ16</f>
        <v>19096650875.415</v>
      </c>
      <c r="BA18" s="37" t="n">
        <f aca="false">BA9*BA16</f>
        <v>20039695363.0898</v>
      </c>
      <c r="BB18" s="37" t="n">
        <f aca="false">BB9*BB16</f>
        <v>19803934241.1711</v>
      </c>
      <c r="BC18" s="37" t="n">
        <f aca="false">BC9*BC16</f>
        <v>19568173119.2524</v>
      </c>
      <c r="BD18" s="37" t="n">
        <f aca="false">BD9*BD16</f>
        <v>19803934241.1711</v>
      </c>
      <c r="BE18" s="37" t="n">
        <f aca="false">BE9*BE16</f>
        <v>20039695363.0898</v>
      </c>
      <c r="BF18" s="37" t="n">
        <f aca="false">BF9*BF16</f>
        <v>19803934241.1711</v>
      </c>
      <c r="BG18" s="37" t="n">
        <f aca="false">BG9*BG16</f>
        <v>19568173119.2524</v>
      </c>
      <c r="BH18" s="37" t="n">
        <f aca="false">BH9*BH16</f>
        <v>19803934241.1711</v>
      </c>
      <c r="BI18" s="37" t="n">
        <f aca="false">BI9*BI16</f>
        <v>19568173119.2524</v>
      </c>
      <c r="BJ18" s="37" t="n">
        <f aca="false">BJ9*BJ16</f>
        <v>19096650875.415</v>
      </c>
      <c r="BK18" s="37" t="n">
        <f aca="false">BK9*BK16</f>
        <v>19949752495.0778</v>
      </c>
      <c r="BL18" s="37" t="n">
        <f aca="false">BL9*BL16</f>
        <v>19469035567.4856</v>
      </c>
      <c r="BM18" s="37" t="n">
        <f aca="false">BM9*BM16</f>
        <v>20430469422.67</v>
      </c>
      <c r="BN18" s="37" t="n">
        <f aca="false">BN9*BN16</f>
        <v>20190110958.8739</v>
      </c>
      <c r="BO18" s="37" t="n">
        <f aca="false">BO9*BO16</f>
        <v>19949752495.0778</v>
      </c>
      <c r="BP18" s="37" t="n">
        <f aca="false">BP9*BP16</f>
        <v>20190110958.8739</v>
      </c>
      <c r="BQ18" s="37" t="n">
        <f aca="false">BQ9*BQ16</f>
        <v>20430469422.67</v>
      </c>
      <c r="BR18" s="37" t="n">
        <f aca="false">BR9*BR16</f>
        <v>20190110958.8739</v>
      </c>
      <c r="BS18" s="37" t="n">
        <f aca="false">BS9*BS16</f>
        <v>19949752495.0778</v>
      </c>
      <c r="BT18" s="37" t="n">
        <f aca="false">BT9*BT16</f>
        <v>20190110958.8739</v>
      </c>
      <c r="BU18" s="37" t="n">
        <f aca="false">BU9*BU16</f>
        <v>19949752495.0778</v>
      </c>
      <c r="BV18" s="37" t="n">
        <f aca="false">BV9*BV16</f>
        <v>19469035567.4856</v>
      </c>
      <c r="BW18" s="37" t="n">
        <f aca="false">BW9*BW16</f>
        <v>20338772668.7318</v>
      </c>
      <c r="BX18" s="37" t="n">
        <f aca="false">BX9*BX16</f>
        <v>19848681761.0515</v>
      </c>
      <c r="BY18" s="37" t="n">
        <f aca="false">BY9*BY16</f>
        <v>20828863576.4121</v>
      </c>
      <c r="BZ18" s="37" t="n">
        <f aca="false">BZ9*BZ16</f>
        <v>20583818122.572</v>
      </c>
      <c r="CA18" s="37" t="n">
        <f aca="false">CA9*CA16</f>
        <v>20338772668.7318</v>
      </c>
      <c r="CB18" s="37" t="n">
        <f aca="false">CB9*CB16</f>
        <v>20583818122.572</v>
      </c>
      <c r="CC18" s="37" t="n">
        <f aca="false">CC9*CC16</f>
        <v>20828863576.4121</v>
      </c>
      <c r="CD18" s="37" t="n">
        <f aca="false">CD9*CD16</f>
        <v>20583818122.572</v>
      </c>
      <c r="CE18" s="37" t="n">
        <f aca="false">CE9*CE16</f>
        <v>20338772668.7318</v>
      </c>
      <c r="CF18" s="37" t="n">
        <f aca="false">CF9*CF16</f>
        <v>20583818122.572</v>
      </c>
      <c r="CG18" s="37" t="n">
        <f aca="false">CG9*CG16</f>
        <v>20338772668.7318</v>
      </c>
      <c r="CH18" s="37" t="n">
        <f aca="false">CH9*CH16</f>
        <v>19848681761.0515</v>
      </c>
      <c r="CI18" s="37" t="n">
        <f aca="false">CI9*CI16</f>
        <v>20735378735.7721</v>
      </c>
      <c r="CJ18" s="37" t="n">
        <f aca="false">CJ9*CJ16</f>
        <v>20235731055.392</v>
      </c>
      <c r="CK18" s="37" t="n">
        <f aca="false">CK9*CK16</f>
        <v>21235026416.1521</v>
      </c>
      <c r="CL18" s="37" t="n">
        <f aca="false">CL9*CL16</f>
        <v>20985202575.9621</v>
      </c>
      <c r="CM18" s="37" t="n">
        <f aca="false">CM9*CM16</f>
        <v>20735378735.7721</v>
      </c>
      <c r="CN18" s="37" t="n">
        <f aca="false">CN9*CN16</f>
        <v>20985202575.9621</v>
      </c>
      <c r="CO18" s="37" t="n">
        <f aca="false">CO9*CO16</f>
        <v>21235026416.1521</v>
      </c>
      <c r="CP18" s="37" t="n">
        <f aca="false">CP9*CP16</f>
        <v>20985202575.9621</v>
      </c>
      <c r="CQ18" s="37" t="n">
        <f aca="false">CQ9*CQ16</f>
        <v>20735378735.7721</v>
      </c>
      <c r="CR18" s="37" t="n">
        <f aca="false">CR9*CR16</f>
        <v>20985202575.9621</v>
      </c>
      <c r="CS18" s="37" t="n">
        <f aca="false">CS9*CS16</f>
        <v>20735378735.7721</v>
      </c>
      <c r="CT18" s="37" t="n">
        <f aca="false">CT9*CT16</f>
        <v>20235731055.392</v>
      </c>
    </row>
    <row r="19" customFormat="false" ht="15" hidden="false" customHeight="true" outlineLevel="0" collapsed="false">
      <c r="B19" s="15" t="s">
        <v>252</v>
      </c>
      <c r="C19" s="37" t="n">
        <f aca="false">C10+C11+C12</f>
        <v>1802985533.91261</v>
      </c>
      <c r="D19" s="37" t="n">
        <f aca="false">D10+D11+D12</f>
        <v>1802985533.91261</v>
      </c>
      <c r="E19" s="37" t="n">
        <f aca="false">E10+E11+E12</f>
        <v>1867521311.44117</v>
      </c>
      <c r="F19" s="37" t="n">
        <f aca="false">F10+F11+F12</f>
        <v>1867521311.44117</v>
      </c>
      <c r="G19" s="37" t="n">
        <f aca="false">G10+G11+G12</f>
        <v>1889033237.28402</v>
      </c>
      <c r="H19" s="37" t="n">
        <f aca="false">H10+H11+H12</f>
        <v>1910545163.12688</v>
      </c>
      <c r="I19" s="37" t="n">
        <f aca="false">I10+I11+I12</f>
        <v>1889033237.28402</v>
      </c>
      <c r="J19" s="37" t="n">
        <f aca="false">J10+J11+J12</f>
        <v>1889033237.28402</v>
      </c>
      <c r="K19" s="37" t="n">
        <f aca="false">K10+K11+K12</f>
        <v>1889033237.28402</v>
      </c>
      <c r="L19" s="37" t="n">
        <f aca="false">L10+L11+L12</f>
        <v>1910545163.12688</v>
      </c>
      <c r="M19" s="37" t="n">
        <f aca="false">M10+M11+M12</f>
        <v>1910545163.12688</v>
      </c>
      <c r="N19" s="37" t="n">
        <f aca="false">N10+N11+N12</f>
        <v>1867521311.44117</v>
      </c>
      <c r="O19" s="37" t="n">
        <f aca="false">O10+O11+O12</f>
        <v>1806593800.81292</v>
      </c>
      <c r="P19" s="37" t="n">
        <f aca="false">P10+P11+P12</f>
        <v>1806593800.81292</v>
      </c>
      <c r="Q19" s="37" t="n">
        <f aca="false">Q10+Q11+Q12</f>
        <v>1872388026.00329</v>
      </c>
      <c r="R19" s="37" t="n">
        <f aca="false">R10+R11+R12</f>
        <v>1872388026.00329</v>
      </c>
      <c r="S19" s="37" t="n">
        <f aca="false">S10+S11+S12</f>
        <v>1894319434.40008</v>
      </c>
      <c r="T19" s="37" t="n">
        <f aca="false">T10+T11+T12</f>
        <v>1916250842.79687</v>
      </c>
      <c r="U19" s="37" t="n">
        <f aca="false">U10+U11+U12</f>
        <v>1894319434.40008</v>
      </c>
      <c r="V19" s="37" t="n">
        <f aca="false">V10+V11+V12</f>
        <v>1894319434.40008</v>
      </c>
      <c r="W19" s="37" t="n">
        <f aca="false">W10+W11+W12</f>
        <v>1894319434.40008</v>
      </c>
      <c r="X19" s="37" t="n">
        <f aca="false">X10+X11+X12</f>
        <v>1916250842.79687</v>
      </c>
      <c r="Y19" s="37" t="n">
        <f aca="false">Y10+Y11+Y12</f>
        <v>1916250842.79687</v>
      </c>
      <c r="Z19" s="37" t="n">
        <f aca="false">Z10+Z11+Z12</f>
        <v>1872388026.00329</v>
      </c>
      <c r="AA19" s="37" t="n">
        <f aca="false">AA10+AA11+AA12</f>
        <v>1810965265.842</v>
      </c>
      <c r="AB19" s="37" t="n">
        <f aca="false">AB10+AB11+AB12</f>
        <v>1810965265.842</v>
      </c>
      <c r="AC19" s="37" t="n">
        <f aca="false">AC10+AC11+AC12</f>
        <v>1878042478.42358</v>
      </c>
      <c r="AD19" s="37" t="n">
        <f aca="false">AD10+AD11+AD12</f>
        <v>1878042478.42358</v>
      </c>
      <c r="AE19" s="37" t="n">
        <f aca="false">AE10+AE11+AE12</f>
        <v>1900401549.28411</v>
      </c>
      <c r="AF19" s="37" t="n">
        <f aca="false">AF10+AF11+AF12</f>
        <v>1922760620.14464</v>
      </c>
      <c r="AG19" s="37" t="n">
        <f aca="false">AG10+AG11+AG12</f>
        <v>1900401549.28411</v>
      </c>
      <c r="AH19" s="37" t="n">
        <f aca="false">AH10+AH11+AH12</f>
        <v>1900401549.28411</v>
      </c>
      <c r="AI19" s="37" t="n">
        <f aca="false">AI10+AI11+AI12</f>
        <v>1900401549.28411</v>
      </c>
      <c r="AJ19" s="37" t="n">
        <f aca="false">AJ10+AJ11+AJ12</f>
        <v>1922760620.14464</v>
      </c>
      <c r="AK19" s="37" t="n">
        <f aca="false">AK10+AK11+AK12</f>
        <v>1922760620.14464</v>
      </c>
      <c r="AL19" s="37" t="n">
        <f aca="false">AL10+AL11+AL12</f>
        <v>1878042478.42358</v>
      </c>
      <c r="AM19" s="37" t="n">
        <f aca="false">AM10+AM11+AM12</f>
        <v>1816099596.66449</v>
      </c>
      <c r="AN19" s="37" t="n">
        <f aca="false">AN10+AN11+AN12</f>
        <v>1816099596.66449</v>
      </c>
      <c r="AO19" s="37" t="n">
        <f aca="false">AO10+AO11+AO12</f>
        <v>1884484814.89141</v>
      </c>
      <c r="AP19" s="37" t="n">
        <f aca="false">AP10+AP11+AP12</f>
        <v>1884484814.89141</v>
      </c>
      <c r="AQ19" s="37" t="n">
        <f aca="false">AQ10+AQ11+AQ12</f>
        <v>1907279887.63372</v>
      </c>
      <c r="AR19" s="37" t="n">
        <f aca="false">AR10+AR11+AR12</f>
        <v>1930074960.37603</v>
      </c>
      <c r="AS19" s="37" t="n">
        <f aca="false">AS10+AS11+AS12</f>
        <v>1907279887.63372</v>
      </c>
      <c r="AT19" s="37" t="n">
        <f aca="false">AT10+AT11+AT12</f>
        <v>1907279887.63372</v>
      </c>
      <c r="AU19" s="37" t="n">
        <f aca="false">AU10+AU11+AU12</f>
        <v>1907279887.63372</v>
      </c>
      <c r="AV19" s="37" t="n">
        <f aca="false">AV10+AV11+AV12</f>
        <v>1930074960.37603</v>
      </c>
      <c r="AW19" s="37" t="n">
        <f aca="false">AW10+AW11+AW12</f>
        <v>1930074960.37603</v>
      </c>
      <c r="AX19" s="37" t="n">
        <f aca="false">AX10+AX11+AX12</f>
        <v>1884484814.89141</v>
      </c>
      <c r="AY19" s="37" t="n">
        <f aca="false">AY10+AY11+AY12</f>
        <v>1821996788.57929</v>
      </c>
      <c r="AZ19" s="37" t="n">
        <f aca="false">AZ10+AZ11+AZ12</f>
        <v>1821996788.57929</v>
      </c>
      <c r="BA19" s="37" t="n">
        <f aca="false">BA10+BA11+BA12</f>
        <v>1891715518.56164</v>
      </c>
      <c r="BB19" s="37" t="n">
        <f aca="false">BB10+BB11+BB12</f>
        <v>1891715518.56164</v>
      </c>
      <c r="BC19" s="37" t="n">
        <f aca="false">BC10+BC11+BC12</f>
        <v>1914955095.22243</v>
      </c>
      <c r="BD19" s="37" t="n">
        <f aca="false">BD10+BD11+BD12</f>
        <v>1938194671.88321</v>
      </c>
      <c r="BE19" s="37" t="n">
        <f aca="false">BE10+BE11+BE12</f>
        <v>1914955095.22243</v>
      </c>
      <c r="BF19" s="37" t="n">
        <f aca="false">BF10+BF11+BF12</f>
        <v>1914955095.22243</v>
      </c>
      <c r="BG19" s="37" t="n">
        <f aca="false">BG10+BG11+BG12</f>
        <v>1914955095.22243</v>
      </c>
      <c r="BH19" s="37" t="n">
        <f aca="false">BH10+BH11+BH12</f>
        <v>1938194671.88321</v>
      </c>
      <c r="BI19" s="37" t="n">
        <f aca="false">BI10+BI11+BI12</f>
        <v>1938194671.88321</v>
      </c>
      <c r="BJ19" s="37" t="n">
        <f aca="false">BJ10+BJ11+BJ12</f>
        <v>1891715518.56164</v>
      </c>
      <c r="BK19" s="37" t="n">
        <f aca="false">BK10+BK11+BK12</f>
        <v>1828657163.57127</v>
      </c>
      <c r="BL19" s="37" t="n">
        <f aca="false">BL10+BL11+BL12</f>
        <v>1828657163.57127</v>
      </c>
      <c r="BM19" s="37" t="n">
        <f aca="false">BM10+BM11+BM12</f>
        <v>1899735408.78828</v>
      </c>
      <c r="BN19" s="37" t="n">
        <f aca="false">BN10+BN11+BN12</f>
        <v>1899735408.78828</v>
      </c>
      <c r="BO19" s="37" t="n">
        <f aca="false">BO10+BO11+BO12</f>
        <v>1923428157.19394</v>
      </c>
      <c r="BP19" s="37" t="n">
        <f aca="false">BP10+BP11+BP12</f>
        <v>1947120905.59961</v>
      </c>
      <c r="BQ19" s="37" t="n">
        <f aca="false">BQ10+BQ11+BQ12</f>
        <v>1923428157.19394</v>
      </c>
      <c r="BR19" s="37" t="n">
        <f aca="false">BR10+BR11+BR12</f>
        <v>1923428157.19394</v>
      </c>
      <c r="BS19" s="37" t="n">
        <f aca="false">BS10+BS11+BS12</f>
        <v>1923428157.19394</v>
      </c>
      <c r="BT19" s="37" t="n">
        <f aca="false">BT10+BT11+BT12</f>
        <v>1947120905.59961</v>
      </c>
      <c r="BU19" s="37" t="n">
        <f aca="false">BU10+BU11+BU12</f>
        <v>1947120905.59961</v>
      </c>
      <c r="BV19" s="37" t="n">
        <f aca="false">BV10+BV11+BV12</f>
        <v>1899735408.78828</v>
      </c>
      <c r="BW19" s="37" t="n">
        <f aca="false">BW10+BW11+BW12</f>
        <v>1836081369.50557</v>
      </c>
      <c r="BX19" s="37" t="n">
        <f aca="false">BX10+BX11+BX12</f>
        <v>1836081369.50557</v>
      </c>
      <c r="BY19" s="37" t="n">
        <f aca="false">BY10+BY11+BY12</f>
        <v>1908545640.50431</v>
      </c>
      <c r="BZ19" s="37" t="n">
        <f aca="false">BZ10+BZ11+BZ12</f>
        <v>1908545640.50431</v>
      </c>
      <c r="CA19" s="37" t="n">
        <f aca="false">CA10+CA11+CA12</f>
        <v>1932700397.50389</v>
      </c>
      <c r="CB19" s="37" t="n">
        <f aca="false">CB10+CB11+CB12</f>
        <v>1956855154.50347</v>
      </c>
      <c r="CC19" s="37" t="n">
        <f aca="false">CC10+CC11+CC12</f>
        <v>1932700397.50389</v>
      </c>
      <c r="CD19" s="37" t="n">
        <f aca="false">CD10+CD11+CD12</f>
        <v>1932700397.50389</v>
      </c>
      <c r="CE19" s="37" t="n">
        <f aca="false">CE10+CE11+CE12</f>
        <v>1932700397.50389</v>
      </c>
      <c r="CF19" s="37" t="n">
        <f aca="false">CF10+CF11+CF12</f>
        <v>1956855154.50347</v>
      </c>
      <c r="CG19" s="37" t="n">
        <f aca="false">CG10+CG11+CG12</f>
        <v>1956855154.50347</v>
      </c>
      <c r="CH19" s="37" t="n">
        <f aca="false">CH10+CH11+CH12</f>
        <v>1908545640.50431</v>
      </c>
      <c r="CI19" s="37" t="n">
        <f aca="false">CI10+CI11+CI12</f>
        <v>1844270379.46386</v>
      </c>
      <c r="CJ19" s="37" t="n">
        <f aca="false">CJ10+CJ11+CJ12</f>
        <v>1844270379.46386</v>
      </c>
      <c r="CK19" s="37" t="n">
        <f aca="false">CK10+CK11+CK12</f>
        <v>1918147703.74708</v>
      </c>
      <c r="CL19" s="37" t="n">
        <f aca="false">CL10+CL11+CL12</f>
        <v>1918147703.74708</v>
      </c>
      <c r="CM19" s="37" t="n">
        <f aca="false">CM10+CM11+CM12</f>
        <v>1942773478.50815</v>
      </c>
      <c r="CN19" s="37" t="n">
        <f aca="false">CN10+CN11+CN12</f>
        <v>1967399253.26922</v>
      </c>
      <c r="CO19" s="37" t="n">
        <f aca="false">CO10+CO11+CO12</f>
        <v>1942773478.50815</v>
      </c>
      <c r="CP19" s="37" t="n">
        <f aca="false">CP10+CP11+CP12</f>
        <v>1942773478.50815</v>
      </c>
      <c r="CQ19" s="37" t="n">
        <f aca="false">CQ10+CQ11+CQ12</f>
        <v>1942773478.50815</v>
      </c>
      <c r="CR19" s="37" t="n">
        <f aca="false">CR10+CR11+CR12</f>
        <v>1967399253.26922</v>
      </c>
      <c r="CS19" s="37" t="n">
        <f aca="false">CS10+CS11+CS12</f>
        <v>1967399253.26922</v>
      </c>
      <c r="CT19" s="37" t="n">
        <f aca="false">CT10+CT11+CT12</f>
        <v>1918147703.74708</v>
      </c>
    </row>
    <row r="20" customFormat="false" ht="15" hidden="false" customHeight="true" outlineLevel="0" collapsed="false">
      <c r="B20" s="33" t="s">
        <v>253</v>
      </c>
      <c r="C20" s="41" t="n">
        <f aca="false">SUM(C17:C19)</f>
        <v>27861797373.5573</v>
      </c>
      <c r="D20" s="41" t="n">
        <f aca="false">SUM(D17:D19)</f>
        <v>25817880597.2992</v>
      </c>
      <c r="E20" s="41" t="n">
        <f aca="false">SUM(E17:E19)</f>
        <v>27072808478.9586</v>
      </c>
      <c r="F20" s="41" t="n">
        <f aca="false">SUM(F17:F19)</f>
        <v>26684665407.6638</v>
      </c>
      <c r="G20" s="41" t="n">
        <f aca="false">SUM(G17:G19)</f>
        <v>26318034262.212</v>
      </c>
      <c r="H20" s="41" t="n">
        <f aca="false">SUM(H17:H19)</f>
        <v>26727689259.3495</v>
      </c>
      <c r="I20" s="41" t="n">
        <f aca="false">SUM(I17:I19)</f>
        <v>27094320404.8014</v>
      </c>
      <c r="J20" s="41" t="n">
        <f aca="false">SUM(J17:J19)</f>
        <v>26706177333.5067</v>
      </c>
      <c r="K20" s="41" t="n">
        <f aca="false">SUM(K17:K19)</f>
        <v>26318034262.212</v>
      </c>
      <c r="L20" s="41" t="n">
        <f aca="false">SUM(L17:L19)</f>
        <v>26727689259.3495</v>
      </c>
      <c r="M20" s="41" t="n">
        <f aca="false">SUM(M17:M19)</f>
        <v>26339546188.0548</v>
      </c>
      <c r="N20" s="41" t="n">
        <f aca="false">SUM(N17:N19)</f>
        <v>26425686646.4</v>
      </c>
      <c r="O20" s="41" t="n">
        <f aca="false">SUM(O17:O19)</f>
        <v>28688938298.3449</v>
      </c>
      <c r="P20" s="41" t="n">
        <f aca="false">SUM(P17:P19)</f>
        <v>26597565486.4675</v>
      </c>
      <c r="Q20" s="41" t="n">
        <f aca="false">SUM(Q17:Q19)</f>
        <v>27892163778.7838</v>
      </c>
      <c r="R20" s="41" t="n">
        <f aca="false">SUM(R17:R19)</f>
        <v>27492652088.3576</v>
      </c>
      <c r="S20" s="41" t="n">
        <f aca="false">SUM(S17:S19)</f>
        <v>27115071806.3283</v>
      </c>
      <c r="T20" s="41" t="n">
        <f aca="false">SUM(T17:T19)</f>
        <v>27536514905.1512</v>
      </c>
      <c r="U20" s="41" t="n">
        <f aca="false">SUM(U17:U19)</f>
        <v>27914095187.1806</v>
      </c>
      <c r="V20" s="41" t="n">
        <f aca="false">SUM(V17:V19)</f>
        <v>27514583496.7544</v>
      </c>
      <c r="W20" s="41" t="n">
        <f aca="false">SUM(W17:W19)</f>
        <v>27115071806.3283</v>
      </c>
      <c r="X20" s="41" t="n">
        <f aca="false">SUM(X17:X19)</f>
        <v>27536514905.1512</v>
      </c>
      <c r="Y20" s="41" t="n">
        <f aca="false">SUM(Y17:Y19)</f>
        <v>27137003214.7251</v>
      </c>
      <c r="Z20" s="41" t="n">
        <f aca="false">SUM(Z17:Z19)</f>
        <v>27217223753.5258</v>
      </c>
      <c r="AA20" s="41" t="n">
        <f aca="false">SUM(AA17:AA19)</f>
        <v>29539051331.7168</v>
      </c>
      <c r="AB20" s="41" t="n">
        <f aca="false">SUM(AB17:AB19)</f>
        <v>27399148898.1852</v>
      </c>
      <c r="AC20" s="41" t="n">
        <f aca="false">SUM(AC17:AC19)</f>
        <v>28734487560.8469</v>
      </c>
      <c r="AD20" s="41" t="n">
        <f aca="false">SUM(AD17:AD19)</f>
        <v>28323311466.5462</v>
      </c>
      <c r="AE20" s="41" t="n">
        <f aca="false">SUM(AE17:AE19)</f>
        <v>27934494443.1059</v>
      </c>
      <c r="AF20" s="41" t="n">
        <f aca="false">SUM(AF17:AF19)</f>
        <v>28368029608.2672</v>
      </c>
      <c r="AG20" s="41" t="n">
        <f aca="false">SUM(AG17:AG19)</f>
        <v>28756846631.7075</v>
      </c>
      <c r="AH20" s="41" t="n">
        <f aca="false">SUM(AH17:AH19)</f>
        <v>28345670537.4067</v>
      </c>
      <c r="AI20" s="41" t="n">
        <f aca="false">SUM(AI17:AI19)</f>
        <v>27934494443.1059</v>
      </c>
      <c r="AJ20" s="41" t="n">
        <f aca="false">SUM(AJ17:AJ19)</f>
        <v>28368029608.2672</v>
      </c>
      <c r="AK20" s="41" t="n">
        <f aca="false">SUM(AK17:AK19)</f>
        <v>27956853513.9665</v>
      </c>
      <c r="AL20" s="41" t="n">
        <f aca="false">SUM(AL17:AL19)</f>
        <v>28030890501.4511</v>
      </c>
      <c r="AM20" s="41" t="n">
        <f aca="false">SUM(AM17:AM19)</f>
        <v>30412689140.5524</v>
      </c>
      <c r="AN20" s="41" t="n">
        <f aca="false">SUM(AN17:AN19)</f>
        <v>28223159674.6336</v>
      </c>
      <c r="AO20" s="41" t="n">
        <f aca="false">SUM(AO17:AO19)</f>
        <v>29600335311.0837</v>
      </c>
      <c r="AP20" s="41" t="n">
        <f aca="false">SUM(AP17:AP19)</f>
        <v>29177191815.4775</v>
      </c>
      <c r="AQ20" s="41" t="n">
        <f aca="false">SUM(AQ17:AQ19)</f>
        <v>28776843392.6135</v>
      </c>
      <c r="AR20" s="41" t="n">
        <f aca="false">SUM(AR17:AR19)</f>
        <v>29222781960.9621</v>
      </c>
      <c r="AS20" s="41" t="n">
        <f aca="false">SUM(AS17:AS19)</f>
        <v>29623130383.826</v>
      </c>
      <c r="AT20" s="41" t="n">
        <f aca="false">SUM(AT17:AT19)</f>
        <v>29199986888.2198</v>
      </c>
      <c r="AU20" s="41" t="n">
        <f aca="false">SUM(AU17:AU19)</f>
        <v>28776843392.6135</v>
      </c>
      <c r="AV20" s="41" t="n">
        <f aca="false">SUM(AV17:AV19)</f>
        <v>29222781960.9621</v>
      </c>
      <c r="AW20" s="41" t="n">
        <f aca="false">SUM(AW17:AW19)</f>
        <v>28799638465.3559</v>
      </c>
      <c r="AX20" s="41" t="n">
        <f aca="false">SUM(AX17:AX19)</f>
        <v>28867220239.1632</v>
      </c>
      <c r="AY20" s="41" t="n">
        <f aca="false">SUM(AY17:AY19)</f>
        <v>30976219828.573</v>
      </c>
      <c r="AZ20" s="41" t="n">
        <f aca="false">SUM(AZ17:AZ19)</f>
        <v>28743994538.0688</v>
      </c>
      <c r="BA20" s="41" t="n">
        <f aca="false">SUM(BA17:BA19)</f>
        <v>30148025099.4297</v>
      </c>
      <c r="BB20" s="41" t="n">
        <f aca="false">SUM(BB17:BB19)</f>
        <v>29716630305.6591</v>
      </c>
      <c r="BC20" s="41" t="n">
        <f aca="false">SUM(BC17:BC19)</f>
        <v>29308475088.5494</v>
      </c>
      <c r="BD20" s="41" t="n">
        <f aca="false">SUM(BD17:BD19)</f>
        <v>29763109458.9807</v>
      </c>
      <c r="BE20" s="41" t="n">
        <f aca="false">SUM(BE17:BE19)</f>
        <v>30171264676.0905</v>
      </c>
      <c r="BF20" s="41" t="n">
        <f aca="false">SUM(BF17:BF19)</f>
        <v>29739869882.3199</v>
      </c>
      <c r="BG20" s="41" t="n">
        <f aca="false">SUM(BG17:BG19)</f>
        <v>29308475088.5494</v>
      </c>
      <c r="BH20" s="41" t="n">
        <f aca="false">SUM(BH17:BH19)</f>
        <v>29763109458.9807</v>
      </c>
      <c r="BI20" s="41" t="n">
        <f aca="false">SUM(BI17:BI19)</f>
        <v>29331714665.2101</v>
      </c>
      <c r="BJ20" s="41" t="n">
        <f aca="false">SUM(BJ17:BJ19)</f>
        <v>29400614283.6068</v>
      </c>
      <c r="BK20" s="41" t="n">
        <f aca="false">SUM(BK17:BK19)</f>
        <v>31551387552.8449</v>
      </c>
      <c r="BL20" s="41" t="n">
        <f aca="false">SUM(BL17:BL19)</f>
        <v>29275633869.1758</v>
      </c>
      <c r="BM20" s="41" t="n">
        <f aca="false">SUM(BM17:BM19)</f>
        <v>30707043026.4833</v>
      </c>
      <c r="BN20" s="41" t="n">
        <f aca="false">SUM(BN17:BN19)</f>
        <v>30267236034.2342</v>
      </c>
      <c r="BO20" s="41" t="n">
        <f aca="false">SUM(BO17:BO19)</f>
        <v>29851121790.3907</v>
      </c>
      <c r="BP20" s="41" t="n">
        <f aca="false">SUM(BP17:BP19)</f>
        <v>30314621531.0455</v>
      </c>
      <c r="BQ20" s="41" t="n">
        <f aca="false">SUM(BQ17:BQ19)</f>
        <v>30730735774.8889</v>
      </c>
      <c r="BR20" s="41" t="n">
        <f aca="false">SUM(BR17:BR19)</f>
        <v>30290928782.6398</v>
      </c>
      <c r="BS20" s="41" t="n">
        <f aca="false">SUM(BS17:BS19)</f>
        <v>29851121790.3907</v>
      </c>
      <c r="BT20" s="41" t="n">
        <f aca="false">SUM(BT17:BT19)</f>
        <v>30314621531.0455</v>
      </c>
      <c r="BU20" s="41" t="n">
        <f aca="false">SUM(BU17:BU19)</f>
        <v>29874814538.7964</v>
      </c>
      <c r="BV20" s="41" t="n">
        <f aca="false">SUM(BV17:BV19)</f>
        <v>29945057699.7518</v>
      </c>
      <c r="BW20" s="41" t="n">
        <f aca="false">SUM(BW17:BW19)</f>
        <v>32138405001.37</v>
      </c>
      <c r="BX20" s="41" t="n">
        <f aca="false">SUM(BX17:BX19)</f>
        <v>29818274120.8694</v>
      </c>
      <c r="BY20" s="41" t="n">
        <f aca="false">SUM(BY17:BY19)</f>
        <v>31277595756.7444</v>
      </c>
      <c r="BZ20" s="41" t="n">
        <f aca="false">SUM(BZ17:BZ19)</f>
        <v>30829212528.1464</v>
      </c>
      <c r="CA20" s="41" t="n">
        <f aca="false">SUM(CA17:CA19)</f>
        <v>30404984056.548</v>
      </c>
      <c r="CB20" s="41" t="n">
        <f aca="false">SUM(CB17:CB19)</f>
        <v>30877522042.1456</v>
      </c>
      <c r="CC20" s="41" t="n">
        <f aca="false">SUM(CC17:CC19)</f>
        <v>31301750513.7439</v>
      </c>
      <c r="CD20" s="41" t="n">
        <f aca="false">SUM(CD17:CD19)</f>
        <v>30853367285.146</v>
      </c>
      <c r="CE20" s="41" t="n">
        <f aca="false">SUM(CE17:CE19)</f>
        <v>30404984056.548</v>
      </c>
      <c r="CF20" s="41" t="n">
        <f aca="false">SUM(CF17:CF19)</f>
        <v>30877522042.1456</v>
      </c>
      <c r="CG20" s="41" t="n">
        <f aca="false">SUM(CG17:CG19)</f>
        <v>30429138813.5476</v>
      </c>
      <c r="CH20" s="41" t="n">
        <f aca="false">SUM(CH17:CH19)</f>
        <v>30500751716.1416</v>
      </c>
      <c r="CI20" s="41" t="n">
        <f aca="false">SUM(CI17:CI19)</f>
        <v>32737489322.1496</v>
      </c>
      <c r="CJ20" s="41" t="n">
        <f aca="false">SUM(CJ17:CJ19)</f>
        <v>30372115889.4793</v>
      </c>
      <c r="CK20" s="41" t="n">
        <f aca="false">SUM(CK17:CK19)</f>
        <v>31859894297.2538</v>
      </c>
      <c r="CL20" s="41" t="n">
        <f aca="false">SUM(CL17:CL19)</f>
        <v>31402767595.6982</v>
      </c>
      <c r="CM20" s="41" t="n">
        <f aca="false">SUM(CM17:CM19)</f>
        <v>30970266668.9037</v>
      </c>
      <c r="CN20" s="41" t="n">
        <f aca="false">SUM(CN17:CN19)</f>
        <v>31452019145.2203</v>
      </c>
      <c r="CO20" s="41" t="n">
        <f aca="false">SUM(CO17:CO19)</f>
        <v>31884520072.0149</v>
      </c>
      <c r="CP20" s="41" t="n">
        <f aca="false">SUM(CP17:CP19)</f>
        <v>31427393370.4593</v>
      </c>
      <c r="CQ20" s="41" t="n">
        <f aca="false">SUM(CQ17:CQ19)</f>
        <v>30970266668.9037</v>
      </c>
      <c r="CR20" s="41" t="n">
        <f aca="false">SUM(CR17:CR19)</f>
        <v>31452019145.2203</v>
      </c>
      <c r="CS20" s="41" t="n">
        <f aca="false">SUM(CS17:CS19)</f>
        <v>30994892443.6647</v>
      </c>
      <c r="CT20" s="41" t="n">
        <f aca="false">SUM(CT17:CT19)</f>
        <v>31067901797.8593</v>
      </c>
    </row>
    <row r="22" customFormat="false" ht="15" hidden="false" customHeight="true" outlineLevel="0" collapsed="false">
      <c r="B22" s="42" t="s">
        <v>254</v>
      </c>
      <c r="C22" s="43" t="n">
        <f aca="false">C13-C20</f>
        <v>3166802269.13414</v>
      </c>
      <c r="D22" s="43" t="n">
        <f aca="false">D13-D20</f>
        <v>3090493780.72127</v>
      </c>
      <c r="E22" s="43" t="n">
        <f aca="false">E13-E20</f>
        <v>3243110757.54701</v>
      </c>
      <c r="F22" s="43" t="n">
        <f aca="false">F13-F20</f>
        <v>3204956513.34057</v>
      </c>
      <c r="G22" s="43" t="n">
        <f aca="false">G13-G20</f>
        <v>3166802269.13414</v>
      </c>
      <c r="H22" s="43" t="n">
        <f aca="false">H13-H20</f>
        <v>3204956513.34057</v>
      </c>
      <c r="I22" s="43" t="n">
        <f aca="false">I13-I20</f>
        <v>3243110757.54701</v>
      </c>
      <c r="J22" s="43" t="n">
        <f aca="false">J13-J20</f>
        <v>3204956513.34057</v>
      </c>
      <c r="K22" s="43" t="n">
        <f aca="false">K13-K20</f>
        <v>3166802269.13414</v>
      </c>
      <c r="L22" s="43" t="n">
        <f aca="false">L13-L20</f>
        <v>3204956513.34057</v>
      </c>
      <c r="M22" s="43" t="n">
        <f aca="false">M13-M20</f>
        <v>3166802269.13414</v>
      </c>
      <c r="N22" s="43" t="n">
        <f aca="false">N13-N20</f>
        <v>3090493780.72127</v>
      </c>
      <c r="O22" s="43" t="n">
        <f aca="false">O13-O20</f>
        <v>2913169086.36805</v>
      </c>
      <c r="P22" s="43" t="n">
        <f aca="false">P13-P20</f>
        <v>2842972240.9134</v>
      </c>
      <c r="Q22" s="43" t="n">
        <f aca="false">Q13-Q20</f>
        <v>2983365931.8227</v>
      </c>
      <c r="R22" s="43" t="n">
        <f aca="false">R13-R20</f>
        <v>2948267509.09538</v>
      </c>
      <c r="S22" s="43" t="n">
        <f aca="false">S13-S20</f>
        <v>2913169086.36805</v>
      </c>
      <c r="T22" s="43" t="n">
        <f aca="false">T13-T20</f>
        <v>2948267509.09538</v>
      </c>
      <c r="U22" s="43" t="n">
        <f aca="false">U13-U20</f>
        <v>2983365931.8227</v>
      </c>
      <c r="V22" s="43" t="n">
        <f aca="false">V13-V20</f>
        <v>2948267509.09538</v>
      </c>
      <c r="W22" s="43" t="n">
        <f aca="false">W13-W20</f>
        <v>2913169086.36805</v>
      </c>
      <c r="X22" s="43" t="n">
        <f aca="false">X13-X20</f>
        <v>2948267509.09538</v>
      </c>
      <c r="Y22" s="43" t="n">
        <f aca="false">Y13-Y20</f>
        <v>2913169086.36805</v>
      </c>
      <c r="Z22" s="43" t="n">
        <f aca="false">Z13-Z20</f>
        <v>2842972240.9134</v>
      </c>
      <c r="AA22" s="43" t="n">
        <f aca="false">AA13-AA20</f>
        <v>2648440032.91125</v>
      </c>
      <c r="AB22" s="43" t="n">
        <f aca="false">AB13-AB20</f>
        <v>2584622200.79291</v>
      </c>
      <c r="AC22" s="43" t="n">
        <f aca="false">AC13-AC20</f>
        <v>2712257865.02959</v>
      </c>
      <c r="AD22" s="43" t="n">
        <f aca="false">AD13-AD20</f>
        <v>2680348948.97042</v>
      </c>
      <c r="AE22" s="43" t="n">
        <f aca="false">AE13-AE20</f>
        <v>2648440032.91125</v>
      </c>
      <c r="AF22" s="43" t="n">
        <f aca="false">AF13-AF20</f>
        <v>2680348948.97042</v>
      </c>
      <c r="AG22" s="43" t="n">
        <f aca="false">AG13-AG20</f>
        <v>2712257865.02959</v>
      </c>
      <c r="AH22" s="43" t="n">
        <f aca="false">AH13-AH20</f>
        <v>2680348948.97042</v>
      </c>
      <c r="AI22" s="43" t="n">
        <f aca="false">AI13-AI20</f>
        <v>2648440032.91125</v>
      </c>
      <c r="AJ22" s="43" t="n">
        <f aca="false">AJ13-AJ20</f>
        <v>2680348948.97042</v>
      </c>
      <c r="AK22" s="43" t="n">
        <f aca="false">AK13-AK20</f>
        <v>2648440032.91125</v>
      </c>
      <c r="AL22" s="43" t="n">
        <f aca="false">AL13-AL20</f>
        <v>2584622200.7929</v>
      </c>
      <c r="AM22" s="43" t="n">
        <f aca="false">AM13-AM20</f>
        <v>2372278813.82454</v>
      </c>
      <c r="AN22" s="43" t="n">
        <f aca="false">AN13-AN20</f>
        <v>2315115468.9131</v>
      </c>
      <c r="AO22" s="43" t="n">
        <f aca="false">AO13-AO20</f>
        <v>2429442158.73597</v>
      </c>
      <c r="AP22" s="43" t="n">
        <f aca="false">AP13-AP20</f>
        <v>2400860486.28025</v>
      </c>
      <c r="AQ22" s="43" t="n">
        <f aca="false">AQ13-AQ20</f>
        <v>2372278813.82454</v>
      </c>
      <c r="AR22" s="43" t="n">
        <f aca="false">AR13-AR20</f>
        <v>2400860486.28025</v>
      </c>
      <c r="AS22" s="43" t="n">
        <f aca="false">AS13-AS20</f>
        <v>2429442158.73597</v>
      </c>
      <c r="AT22" s="43" t="n">
        <f aca="false">AT13-AT20</f>
        <v>2400860486.28025</v>
      </c>
      <c r="AU22" s="43" t="n">
        <f aca="false">AU13-AU20</f>
        <v>2372278813.82454</v>
      </c>
      <c r="AV22" s="43" t="n">
        <f aca="false">AV13-AV20</f>
        <v>2400860486.28025</v>
      </c>
      <c r="AW22" s="43" t="n">
        <f aca="false">AW13-AW20</f>
        <v>2372278813.82453</v>
      </c>
      <c r="AX22" s="43" t="n">
        <f aca="false">AX13-AX20</f>
        <v>2315115468.9131</v>
      </c>
      <c r="AY22" s="43" t="n">
        <f aca="false">AY13-AY20</f>
        <v>2418538250.69412</v>
      </c>
      <c r="AZ22" s="43" t="n">
        <f aca="false">AZ13-AZ20</f>
        <v>2360260220.55691</v>
      </c>
      <c r="BA22" s="43" t="n">
        <f aca="false">BA13-BA20</f>
        <v>2476816280.83132</v>
      </c>
      <c r="BB22" s="43" t="n">
        <f aca="false">BB13-BB20</f>
        <v>2447677265.76272</v>
      </c>
      <c r="BC22" s="43" t="n">
        <f aca="false">BC13-BC20</f>
        <v>2418538250.69411</v>
      </c>
      <c r="BD22" s="43" t="n">
        <f aca="false">BD13-BD20</f>
        <v>2447677265.76272</v>
      </c>
      <c r="BE22" s="43" t="n">
        <f aca="false">BE13-BE20</f>
        <v>2476816280.83132</v>
      </c>
      <c r="BF22" s="43" t="n">
        <f aca="false">BF13-BF20</f>
        <v>2447677265.76272</v>
      </c>
      <c r="BG22" s="43" t="n">
        <f aca="false">BG13-BG20</f>
        <v>2418538250.69411</v>
      </c>
      <c r="BH22" s="43" t="n">
        <f aca="false">BH13-BH20</f>
        <v>2447677265.76272</v>
      </c>
      <c r="BI22" s="43" t="n">
        <f aca="false">BI13-BI20</f>
        <v>2418538250.69411</v>
      </c>
      <c r="BJ22" s="43" t="n">
        <f aca="false">BJ13-BJ20</f>
        <v>2360260220.55691</v>
      </c>
      <c r="BK22" s="43" t="n">
        <f aca="false">BK13-BK20</f>
        <v>2465699746.58265</v>
      </c>
      <c r="BL22" s="43" t="n">
        <f aca="false">BL13-BL20</f>
        <v>2406285294.85777</v>
      </c>
      <c r="BM22" s="43" t="n">
        <f aca="false">BM13-BM20</f>
        <v>2525114198.30753</v>
      </c>
      <c r="BN22" s="43" t="n">
        <f aca="false">BN13-BN20</f>
        <v>2495406972.44509</v>
      </c>
      <c r="BO22" s="43" t="n">
        <f aca="false">BO13-BO20</f>
        <v>2465699746.58265</v>
      </c>
      <c r="BP22" s="43" t="n">
        <f aca="false">BP13-BP20</f>
        <v>2495406972.44509</v>
      </c>
      <c r="BQ22" s="43" t="n">
        <f aca="false">BQ13-BQ20</f>
        <v>2525114198.30753</v>
      </c>
      <c r="BR22" s="43" t="n">
        <f aca="false">BR13-BR20</f>
        <v>2495406972.44509</v>
      </c>
      <c r="BS22" s="43" t="n">
        <f aca="false">BS13-BS20</f>
        <v>2465699746.58265</v>
      </c>
      <c r="BT22" s="43" t="n">
        <f aca="false">BT13-BT20</f>
        <v>2495406972.44509</v>
      </c>
      <c r="BU22" s="43" t="n">
        <f aca="false">BU13-BU20</f>
        <v>2465699746.58265</v>
      </c>
      <c r="BV22" s="43" t="n">
        <f aca="false">BV13-BV20</f>
        <v>2406285294.85777</v>
      </c>
      <c r="BW22" s="43" t="n">
        <f aca="false">BW13-BW20</f>
        <v>2513780891.64101</v>
      </c>
      <c r="BX22" s="43" t="n">
        <f aca="false">BX13-BX20</f>
        <v>2453207858.1075</v>
      </c>
      <c r="BY22" s="43" t="n">
        <f aca="false">BY13-BY20</f>
        <v>2574353925.17453</v>
      </c>
      <c r="BZ22" s="43" t="n">
        <f aca="false">BZ13-BZ20</f>
        <v>2544067408.40777</v>
      </c>
      <c r="CA22" s="43" t="n">
        <f aca="false">CA13-CA20</f>
        <v>2513780891.64101</v>
      </c>
      <c r="CB22" s="43" t="n">
        <f aca="false">CB13-CB20</f>
        <v>2544067408.40777</v>
      </c>
      <c r="CC22" s="43" t="n">
        <f aca="false">CC13-CC20</f>
        <v>2574353925.17453</v>
      </c>
      <c r="CD22" s="43" t="n">
        <f aca="false">CD13-CD20</f>
        <v>2544067408.40778</v>
      </c>
      <c r="CE22" s="43" t="n">
        <f aca="false">CE13-CE20</f>
        <v>2513780891.64101</v>
      </c>
      <c r="CF22" s="43" t="n">
        <f aca="false">CF13-CF20</f>
        <v>2544067408.40777</v>
      </c>
      <c r="CG22" s="43" t="n">
        <f aca="false">CG13-CG20</f>
        <v>2513780891.64101</v>
      </c>
      <c r="CH22" s="43" t="n">
        <f aca="false">CH13-CH20</f>
        <v>2453207858.10749</v>
      </c>
      <c r="CI22" s="43" t="n">
        <f aca="false">CI13-CI20</f>
        <v>2562799619.02801</v>
      </c>
      <c r="CJ22" s="43" t="n">
        <f aca="false">CJ13-CJ20</f>
        <v>2501045411.34059</v>
      </c>
      <c r="CK22" s="43" t="n">
        <f aca="false">CK13-CK20</f>
        <v>2624553826.71544</v>
      </c>
      <c r="CL22" s="43" t="n">
        <f aca="false">CL13-CL20</f>
        <v>2593676722.87172</v>
      </c>
      <c r="CM22" s="43" t="n">
        <f aca="false">CM13-CM20</f>
        <v>2562799619.02801</v>
      </c>
      <c r="CN22" s="43" t="n">
        <f aca="false">CN13-CN20</f>
        <v>2593676722.87172</v>
      </c>
      <c r="CO22" s="43" t="n">
        <f aca="false">CO13-CO20</f>
        <v>2624553826.71544</v>
      </c>
      <c r="CP22" s="43" t="n">
        <f aca="false">CP13-CP20</f>
        <v>2593676722.87172</v>
      </c>
      <c r="CQ22" s="43" t="n">
        <f aca="false">CQ13-CQ20</f>
        <v>2562799619.02801</v>
      </c>
      <c r="CR22" s="43" t="n">
        <f aca="false">CR13-CR20</f>
        <v>2593676722.87172</v>
      </c>
      <c r="CS22" s="43" t="n">
        <f aca="false">CS13-CS20</f>
        <v>2562799619.02801</v>
      </c>
      <c r="CT22" s="43" t="n">
        <f aca="false">CT13-CT20</f>
        <v>2501045411.34058</v>
      </c>
    </row>
    <row r="23" customFormat="false" ht="15" hidden="false" customHeight="true" outlineLevel="0" collapsed="false">
      <c r="B23" s="42" t="s">
        <v>255</v>
      </c>
      <c r="C23" s="44" t="n">
        <f aca="false">IFERROR(C20/C13,0)</f>
        <v>0.89793924619218</v>
      </c>
      <c r="D23" s="44" t="n">
        <f aca="false">IFERROR(D20/D13,0)</f>
        <v>0.893093477332609</v>
      </c>
      <c r="E23" s="44" t="n">
        <f aca="false">IFERROR(E20/E13,0)</f>
        <v>0.893022846107805</v>
      </c>
      <c r="F23" s="44" t="n">
        <f aca="false">IFERROR(F20/F13,0)</f>
        <v>0.892773601425572</v>
      </c>
      <c r="G23" s="44" t="n">
        <f aca="false">IFERROR(G20/G13,0)</f>
        <v>0.892595562950894</v>
      </c>
      <c r="H23" s="44" t="n">
        <f aca="false">IFERROR(H20/H13,0)</f>
        <v>0.89292772387449</v>
      </c>
      <c r="I23" s="44" t="n">
        <f aca="false">IFERROR(I20/I13,0)</f>
        <v>0.893098702385454</v>
      </c>
      <c r="J23" s="44" t="n">
        <f aca="false">IFERROR(J20/J13,0)</f>
        <v>0.892850718072047</v>
      </c>
      <c r="K23" s="44" t="n">
        <f aca="false">IFERROR(K20/K13,0)</f>
        <v>0.892595562950894</v>
      </c>
      <c r="L23" s="44" t="n">
        <f aca="false">IFERROR(L20/L13,0)</f>
        <v>0.89292772387449</v>
      </c>
      <c r="M23" s="44" t="n">
        <f aca="false">IFERROR(M20/M13,0)</f>
        <v>0.89267386732964</v>
      </c>
      <c r="N23" s="44" t="n">
        <f aca="false">IFERROR(N20/N13,0)</f>
        <v>0.895294928544293</v>
      </c>
      <c r="O23" s="44" t="n">
        <f aca="false">IFERROR(O20/O13,0)</f>
        <v>0.907817252472939</v>
      </c>
      <c r="P23" s="44" t="n">
        <f aca="false">IFERROR(P20/P13,0)</f>
        <v>0.903433413233165</v>
      </c>
      <c r="Q23" s="44" t="n">
        <f aca="false">IFERROR(Q20/Q13,0)</f>
        <v>0.903374421110001</v>
      </c>
      <c r="R23" s="44" t="n">
        <f aca="false">IFERROR(R20/R13,0)</f>
        <v>0.903147882912773</v>
      </c>
      <c r="S23" s="44" t="n">
        <f aca="false">IFERROR(S20/S13,0)</f>
        <v>0.902985689478846</v>
      </c>
      <c r="T23" s="44" t="n">
        <f aca="false">IFERROR(T20/T13,0)</f>
        <v>0.903287237906689</v>
      </c>
      <c r="U23" s="44" t="n">
        <f aca="false">IFERROR(U20/U13,0)</f>
        <v>0.90344300716709</v>
      </c>
      <c r="V23" s="44" t="n">
        <f aca="false">IFERROR(V20/V13,0)</f>
        <v>0.90321761057331</v>
      </c>
      <c r="W23" s="44" t="n">
        <f aca="false">IFERROR(W20/W13,0)</f>
        <v>0.902985689478846</v>
      </c>
      <c r="X23" s="44" t="n">
        <f aca="false">IFERROR(X20/X13,0)</f>
        <v>0.903287237906689</v>
      </c>
      <c r="Y23" s="44" t="n">
        <f aca="false">IFERROR(Y20/Y13,0)</f>
        <v>0.903056493081669</v>
      </c>
      <c r="Z23" s="44" t="n">
        <f aca="false">IFERROR(Z20/Z13,0)</f>
        <v>0.905424028458121</v>
      </c>
      <c r="AA23" s="44" t="n">
        <f aca="false">IFERROR(AA20/AA13,0)</f>
        <v>0.917718345834752</v>
      </c>
      <c r="AB23" s="44" t="n">
        <f aca="false">IFERROR(AB20/AB13,0)</f>
        <v>0.913799295216705</v>
      </c>
      <c r="AC23" s="44" t="n">
        <f aca="false">IFERROR(AC20/AC13,0)</f>
        <v>0.913750760903933</v>
      </c>
      <c r="AD23" s="44" t="n">
        <f aca="false">IFERROR(AD20/AD13,0)</f>
        <v>0.913547338828774</v>
      </c>
      <c r="AE23" s="44" t="n">
        <f aca="false">IFERROR(AE20/AE13,0)</f>
        <v>0.913401376346402</v>
      </c>
      <c r="AF23" s="44" t="n">
        <f aca="false">IFERROR(AF20/AF13,0)</f>
        <v>0.913671854263526</v>
      </c>
      <c r="AG23" s="44" t="n">
        <f aca="false">IFERROR(AG20/AG13,0)</f>
        <v>0.913812041734114</v>
      </c>
      <c r="AH23" s="44" t="n">
        <f aca="false">IFERROR(AH20/AH13,0)</f>
        <v>0.913609641412515</v>
      </c>
      <c r="AI23" s="44" t="n">
        <f aca="false">IFERROR(AI20/AI13,0)</f>
        <v>0.913401376346402</v>
      </c>
      <c r="AJ23" s="44" t="n">
        <f aca="false">IFERROR(AJ20/AJ13,0)</f>
        <v>0.913671854263526</v>
      </c>
      <c r="AK23" s="44" t="n">
        <f aca="false">IFERROR(AK20/AK13,0)</f>
        <v>0.913464642028195</v>
      </c>
      <c r="AL23" s="44" t="n">
        <f aca="false">IFERROR(AL20/AL13,0)</f>
        <v>0.915578020008025</v>
      </c>
      <c r="AM23" s="44" t="n">
        <f aca="false">IFERROR(AM20/AM13,0)</f>
        <v>0.927641264828266</v>
      </c>
      <c r="AN23" s="44" t="n">
        <f aca="false">IFERROR(AN20/AN13,0)</f>
        <v>0.924189710845463</v>
      </c>
      <c r="AO23" s="44" t="n">
        <f aca="false">IFERROR(AO20/AO13,0)</f>
        <v>0.92415051397016</v>
      </c>
      <c r="AP23" s="44" t="n">
        <f aca="false">IFERROR(AP20/AP13,0)</f>
        <v>0.923970596307277</v>
      </c>
      <c r="AQ23" s="44" t="n">
        <f aca="false">IFERROR(AQ20/AQ13,0)</f>
        <v>0.923841230641992</v>
      </c>
      <c r="AR23" s="44" t="n">
        <f aca="false">IFERROR(AR20/AR13,0)</f>
        <v>0.924080203908022</v>
      </c>
      <c r="AS23" s="44" t="n">
        <f aca="false">IFERROR(AS20/AS13,0)</f>
        <v>0.924204456428264</v>
      </c>
      <c r="AT23" s="44" t="n">
        <f aca="false">IFERROR(AT20/AT13,0)</f>
        <v>0.924025439640027</v>
      </c>
      <c r="AU23" s="44" t="n">
        <f aca="false">IFERROR(AU20/AU13,0)</f>
        <v>0.923841230641992</v>
      </c>
      <c r="AV23" s="44" t="n">
        <f aca="false">IFERROR(AV20/AV13,0)</f>
        <v>0.924080203908022</v>
      </c>
      <c r="AW23" s="44" t="n">
        <f aca="false">IFERROR(AW20/AW13,0)</f>
        <v>0.923896923228108</v>
      </c>
      <c r="AX23" s="44" t="n">
        <f aca="false">IFERROR(AX20/AX13,0)</f>
        <v>0.925755546647089</v>
      </c>
      <c r="AY23" s="44" t="n">
        <f aca="false">IFERROR(AY20/AY13,0)</f>
        <v>0.927577308841304</v>
      </c>
      <c r="AZ23" s="44" t="n">
        <f aca="false">IFERROR(AZ20/AZ13,0)</f>
        <v>0.924117769775456</v>
      </c>
      <c r="BA23" s="44" t="n">
        <f aca="false">IFERROR(BA20/BA13,0)</f>
        <v>0.924081890484535</v>
      </c>
      <c r="BB23" s="44" t="n">
        <f aca="false">IFERROR(BB20/BB13,0)</f>
        <v>0.923900825151371</v>
      </c>
      <c r="BC23" s="44" t="n">
        <f aca="false">IFERROR(BC20/BC13,0)</f>
        <v>0.923770377475065</v>
      </c>
      <c r="BD23" s="44" t="n">
        <f aca="false">IFERROR(BD20/BD13,0)</f>
        <v>0.924010633869974</v>
      </c>
      <c r="BE23" s="44" t="n">
        <f aca="false">IFERROR(BE20/BE13,0)</f>
        <v>0.924135930559</v>
      </c>
      <c r="BF23" s="44" t="n">
        <f aca="false">IFERROR(BF20/BF13,0)</f>
        <v>0.923955769151906</v>
      </c>
      <c r="BG23" s="44" t="n">
        <f aca="false">IFERROR(BG20/BG13,0)</f>
        <v>0.923770377475065</v>
      </c>
      <c r="BH23" s="44" t="n">
        <f aca="false">IFERROR(BH20/BH13,0)</f>
        <v>0.924010633869974</v>
      </c>
      <c r="BI23" s="44" t="n">
        <f aca="false">IFERROR(BI20/BI13,0)</f>
        <v>0.923826173696946</v>
      </c>
      <c r="BJ23" s="44" t="n">
        <f aca="false">IFERROR(BJ20/BJ13,0)</f>
        <v>0.925686548075133</v>
      </c>
      <c r="BK23" s="44" t="n">
        <f aca="false">IFERROR(BK20/BK13,0)</f>
        <v>0.927515847406955</v>
      </c>
      <c r="BL23" s="44" t="n">
        <f aca="false">IFERROR(BL20/BL13,0)</f>
        <v>0.924048625892921</v>
      </c>
      <c r="BM23" s="44" t="n">
        <f aca="false">IFERROR(BM20/BM13,0)</f>
        <v>0.92401594090847</v>
      </c>
      <c r="BN23" s="44" t="n">
        <f aca="false">IFERROR(BN20/BN13,0)</f>
        <v>0.923833770922073</v>
      </c>
      <c r="BO23" s="44" t="n">
        <f aca="false">IFERROR(BO20/BO13,0)</f>
        <v>0.923702281681332</v>
      </c>
      <c r="BP23" s="44" t="n">
        <f aca="false">IFERROR(BP20/BP13,0)</f>
        <v>0.923943773100361</v>
      </c>
      <c r="BQ23" s="44" t="n">
        <f aca="false">IFERROR(BQ20/BQ13,0)</f>
        <v>0.924070074878774</v>
      </c>
      <c r="BR23" s="44" t="n">
        <f aca="false">IFERROR(BR20/BR13,0)</f>
        <v>0.923888811757256</v>
      </c>
      <c r="BS23" s="44" t="n">
        <f aca="false">IFERROR(BS20/BS13,0)</f>
        <v>0.923702281681332</v>
      </c>
      <c r="BT23" s="44" t="n">
        <f aca="false">IFERROR(BT20/BT13,0)</f>
        <v>0.923943773100361</v>
      </c>
      <c r="BU23" s="44" t="n">
        <f aca="false">IFERROR(BU20/BU13,0)</f>
        <v>0.923758177596533</v>
      </c>
      <c r="BV23" s="44" t="n">
        <f aca="false">IFERROR(BV20/BV13,0)</f>
        <v>0.925620234830477</v>
      </c>
      <c r="BW23" s="44" t="n">
        <f aca="false">IFERROR(BW20/BW13,0)</f>
        <v>0.927456787303337</v>
      </c>
      <c r="BX23" s="44" t="n">
        <f aca="false">IFERROR(BX20/BX13,0)</f>
        <v>0.923982175355144</v>
      </c>
      <c r="BY23" s="44" t="n">
        <f aca="false">IFERROR(BY20/BY13,0)</f>
        <v>0.923952565528314</v>
      </c>
      <c r="BZ23" s="44" t="n">
        <f aca="false">IFERROR(BZ20/BZ13,0)</f>
        <v>0.923769332434682</v>
      </c>
      <c r="CA23" s="44" t="n">
        <f aca="false">IFERROR(CA20/CA13,0)</f>
        <v>0.923636840701726</v>
      </c>
      <c r="CB23" s="44" t="n">
        <f aca="false">IFERROR(CB20/CB13,0)</f>
        <v>0.923879520686122</v>
      </c>
      <c r="CC23" s="44" t="n">
        <f aca="false">IFERROR(CC20/CC13,0)</f>
        <v>0.92400678980618</v>
      </c>
      <c r="CD23" s="44" t="n">
        <f aca="false">IFERROR(CD20/CD13,0)</f>
        <v>0.923824466407331</v>
      </c>
      <c r="CE23" s="44" t="n">
        <f aca="false">IFERROR(CE20/CE13,0)</f>
        <v>0.923636840701726</v>
      </c>
      <c r="CF23" s="44" t="n">
        <f aca="false">IFERROR(CF20/CF13,0)</f>
        <v>0.923879520686122</v>
      </c>
      <c r="CG23" s="44" t="n">
        <f aca="false">IFERROR(CG20/CG13,0)</f>
        <v>0.923692832507342</v>
      </c>
      <c r="CH23" s="44" t="n">
        <f aca="false">IFERROR(CH20/CH13,0)</f>
        <v>0.925556507023682</v>
      </c>
      <c r="CI23" s="44" t="n">
        <f aca="false">IFERROR(CI20/CI13,0)</f>
        <v>0.927400038472815</v>
      </c>
      <c r="CJ23" s="44" t="n">
        <f aca="false">IFERROR(CJ20/CJ13,0)</f>
        <v>0.923918317789588</v>
      </c>
      <c r="CK23" s="44" t="n">
        <f aca="false">IFERROR(CK20/CK13,0)</f>
        <v>0.923891667998272</v>
      </c>
      <c r="CL23" s="44" t="n">
        <f aca="false">IFERROR(CL20/CL13,0)</f>
        <v>0.923707411911458</v>
      </c>
      <c r="CM23" s="44" t="n">
        <f aca="false">IFERROR(CM20/CM13,0)</f>
        <v>0.923573955419927</v>
      </c>
      <c r="CN23" s="44" t="n">
        <f aca="false">IFERROR(CN20/CN13,0)</f>
        <v>0.923817779113085</v>
      </c>
      <c r="CO23" s="44" t="n">
        <f aca="false">IFERROR(CO20/CO13,0)</f>
        <v>0.923945979123711</v>
      </c>
      <c r="CP23" s="44" t="n">
        <f aca="false">IFERROR(CP20/CP13,0)</f>
        <v>0.923762635456309</v>
      </c>
      <c r="CQ23" s="44" t="n">
        <f aca="false">IFERROR(CQ20/CQ13,0)</f>
        <v>0.923573955419927</v>
      </c>
      <c r="CR23" s="44" t="n">
        <f aca="false">IFERROR(CR20/CR13,0)</f>
        <v>0.923817779113085</v>
      </c>
      <c r="CS23" s="44" t="n">
        <f aca="false">IFERROR(CS20/CS13,0)</f>
        <v>0.923630039448477</v>
      </c>
      <c r="CT23" s="44" t="n">
        <f aca="false">IFERROR(CT20/CT13,0)</f>
        <v>0.925495268119247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T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3" t="s">
        <v>256</v>
      </c>
    </row>
    <row r="3" customFormat="false" ht="15" hidden="false" customHeight="true" outlineLevel="0" collapsed="false">
      <c r="B3" s="3" t="s">
        <v>257</v>
      </c>
    </row>
    <row r="5" customFormat="false" ht="15" hidden="false" customHeight="true" outlineLevel="0" collapsed="false">
      <c r="B5" s="32" t="s">
        <v>236</v>
      </c>
      <c r="C5" s="32" t="s">
        <v>237</v>
      </c>
      <c r="D5" s="32"/>
      <c r="E5" s="32"/>
      <c r="F5" s="32"/>
      <c r="G5" s="32"/>
      <c r="H5" s="32"/>
      <c r="I5" s="32"/>
      <c r="J5" s="32"/>
      <c r="K5" s="32"/>
      <c r="L5" s="32"/>
      <c r="M5" s="32"/>
      <c r="N5" s="32"/>
      <c r="O5" s="32" t="s">
        <v>238</v>
      </c>
      <c r="P5" s="32"/>
      <c r="Q5" s="32"/>
      <c r="R5" s="32"/>
      <c r="S5" s="32"/>
      <c r="T5" s="32"/>
      <c r="U5" s="32"/>
      <c r="V5" s="32"/>
      <c r="W5" s="32"/>
      <c r="X5" s="32"/>
      <c r="Y5" s="32"/>
      <c r="Z5" s="32"/>
      <c r="AA5" s="32" t="s">
        <v>239</v>
      </c>
      <c r="AB5" s="32"/>
      <c r="AC5" s="32"/>
      <c r="AD5" s="32"/>
      <c r="AE5" s="32"/>
      <c r="AF5" s="32"/>
      <c r="AG5" s="32"/>
      <c r="AH5" s="32"/>
      <c r="AI5" s="32"/>
      <c r="AJ5" s="32"/>
      <c r="AK5" s="32"/>
      <c r="AL5" s="32"/>
      <c r="AM5" s="32" t="s">
        <v>240</v>
      </c>
      <c r="AN5" s="32"/>
      <c r="AO5" s="32"/>
      <c r="AP5" s="32"/>
      <c r="AQ5" s="32"/>
      <c r="AR5" s="32"/>
      <c r="AS5" s="32"/>
      <c r="AT5" s="32"/>
      <c r="AU5" s="32"/>
      <c r="AV5" s="32"/>
      <c r="AW5" s="32"/>
      <c r="AX5" s="32"/>
      <c r="AY5" s="32" t="s">
        <v>241</v>
      </c>
      <c r="AZ5" s="32"/>
      <c r="BA5" s="32"/>
      <c r="BB5" s="32"/>
      <c r="BC5" s="32"/>
      <c r="BD5" s="32"/>
      <c r="BE5" s="32"/>
      <c r="BF5" s="32"/>
      <c r="BG5" s="32"/>
      <c r="BH5" s="32"/>
      <c r="BI5" s="32"/>
      <c r="BJ5" s="32"/>
      <c r="BK5" s="32" t="s">
        <v>242</v>
      </c>
      <c r="BL5" s="32"/>
      <c r="BM5" s="32"/>
      <c r="BN5" s="32"/>
      <c r="BO5" s="32"/>
      <c r="BP5" s="32"/>
      <c r="BQ5" s="32"/>
      <c r="BR5" s="32"/>
      <c r="BS5" s="32"/>
      <c r="BT5" s="32"/>
      <c r="BU5" s="32"/>
      <c r="BV5" s="32"/>
      <c r="BW5" s="32" t="s">
        <v>243</v>
      </c>
      <c r="BX5" s="32"/>
      <c r="BY5" s="32"/>
      <c r="BZ5" s="32"/>
      <c r="CA5" s="32"/>
      <c r="CB5" s="32"/>
      <c r="CC5" s="32"/>
      <c r="CD5" s="32"/>
      <c r="CE5" s="32"/>
      <c r="CF5" s="32"/>
      <c r="CG5" s="32"/>
      <c r="CH5" s="32"/>
      <c r="CI5" s="32" t="s">
        <v>244</v>
      </c>
      <c r="CJ5" s="32"/>
      <c r="CK5" s="32"/>
      <c r="CL5" s="32"/>
      <c r="CM5" s="32"/>
      <c r="CN5" s="32"/>
      <c r="CO5" s="32"/>
      <c r="CP5" s="32"/>
      <c r="CQ5" s="32"/>
      <c r="CR5" s="32"/>
      <c r="CS5" s="32"/>
      <c r="CT5" s="32"/>
    </row>
    <row r="6" customFormat="false" ht="15" hidden="false" customHeight="true" outlineLevel="0" collapsed="false">
      <c r="B6" s="33" t="s">
        <v>245</v>
      </c>
      <c r="C6" s="34" t="s">
        <v>200</v>
      </c>
      <c r="D6" s="34" t="s">
        <v>201</v>
      </c>
      <c r="E6" s="34" t="s">
        <v>202</v>
      </c>
      <c r="F6" s="34" t="s">
        <v>203</v>
      </c>
      <c r="G6" s="34" t="s">
        <v>204</v>
      </c>
      <c r="H6" s="34" t="s">
        <v>205</v>
      </c>
      <c r="I6" s="34" t="s">
        <v>206</v>
      </c>
      <c r="J6" s="34" t="s">
        <v>207</v>
      </c>
      <c r="K6" s="34" t="s">
        <v>208</v>
      </c>
      <c r="L6" s="34" t="s">
        <v>209</v>
      </c>
      <c r="M6" s="34" t="s">
        <v>210</v>
      </c>
      <c r="N6" s="34" t="s">
        <v>211</v>
      </c>
      <c r="O6" s="34" t="s">
        <v>200</v>
      </c>
      <c r="P6" s="34" t="s">
        <v>201</v>
      </c>
      <c r="Q6" s="34" t="s">
        <v>202</v>
      </c>
      <c r="R6" s="34" t="s">
        <v>203</v>
      </c>
      <c r="S6" s="34" t="s">
        <v>204</v>
      </c>
      <c r="T6" s="34" t="s">
        <v>205</v>
      </c>
      <c r="U6" s="34" t="s">
        <v>206</v>
      </c>
      <c r="V6" s="34" t="s">
        <v>207</v>
      </c>
      <c r="W6" s="34" t="s">
        <v>208</v>
      </c>
      <c r="X6" s="34" t="s">
        <v>209</v>
      </c>
      <c r="Y6" s="34" t="s">
        <v>210</v>
      </c>
      <c r="Z6" s="34" t="s">
        <v>211</v>
      </c>
      <c r="AA6" s="34" t="s">
        <v>200</v>
      </c>
      <c r="AB6" s="34" t="s">
        <v>201</v>
      </c>
      <c r="AC6" s="34" t="s">
        <v>202</v>
      </c>
      <c r="AD6" s="34" t="s">
        <v>203</v>
      </c>
      <c r="AE6" s="34" t="s">
        <v>204</v>
      </c>
      <c r="AF6" s="34" t="s">
        <v>205</v>
      </c>
      <c r="AG6" s="34" t="s">
        <v>206</v>
      </c>
      <c r="AH6" s="34" t="s">
        <v>207</v>
      </c>
      <c r="AI6" s="34" t="s">
        <v>208</v>
      </c>
      <c r="AJ6" s="34" t="s">
        <v>209</v>
      </c>
      <c r="AK6" s="34" t="s">
        <v>210</v>
      </c>
      <c r="AL6" s="34" t="s">
        <v>211</v>
      </c>
      <c r="AM6" s="34" t="s">
        <v>200</v>
      </c>
      <c r="AN6" s="34" t="s">
        <v>201</v>
      </c>
      <c r="AO6" s="34" t="s">
        <v>202</v>
      </c>
      <c r="AP6" s="34" t="s">
        <v>203</v>
      </c>
      <c r="AQ6" s="34" t="s">
        <v>204</v>
      </c>
      <c r="AR6" s="34" t="s">
        <v>205</v>
      </c>
      <c r="AS6" s="34" t="s">
        <v>206</v>
      </c>
      <c r="AT6" s="34" t="s">
        <v>207</v>
      </c>
      <c r="AU6" s="34" t="s">
        <v>208</v>
      </c>
      <c r="AV6" s="34" t="s">
        <v>209</v>
      </c>
      <c r="AW6" s="34" t="s">
        <v>210</v>
      </c>
      <c r="AX6" s="34" t="s">
        <v>211</v>
      </c>
      <c r="AY6" s="34" t="s">
        <v>200</v>
      </c>
      <c r="AZ6" s="34" t="s">
        <v>201</v>
      </c>
      <c r="BA6" s="34" t="s">
        <v>202</v>
      </c>
      <c r="BB6" s="34" t="s">
        <v>203</v>
      </c>
      <c r="BC6" s="34" t="s">
        <v>204</v>
      </c>
      <c r="BD6" s="34" t="s">
        <v>205</v>
      </c>
      <c r="BE6" s="34" t="s">
        <v>206</v>
      </c>
      <c r="BF6" s="34" t="s">
        <v>207</v>
      </c>
      <c r="BG6" s="34" t="s">
        <v>208</v>
      </c>
      <c r="BH6" s="34" t="s">
        <v>209</v>
      </c>
      <c r="BI6" s="34" t="s">
        <v>210</v>
      </c>
      <c r="BJ6" s="34" t="s">
        <v>211</v>
      </c>
      <c r="BK6" s="34" t="s">
        <v>200</v>
      </c>
      <c r="BL6" s="34" t="s">
        <v>201</v>
      </c>
      <c r="BM6" s="34" t="s">
        <v>202</v>
      </c>
      <c r="BN6" s="34" t="s">
        <v>203</v>
      </c>
      <c r="BO6" s="34" t="s">
        <v>204</v>
      </c>
      <c r="BP6" s="34" t="s">
        <v>205</v>
      </c>
      <c r="BQ6" s="34" t="s">
        <v>206</v>
      </c>
      <c r="BR6" s="34" t="s">
        <v>207</v>
      </c>
      <c r="BS6" s="34" t="s">
        <v>208</v>
      </c>
      <c r="BT6" s="34" t="s">
        <v>209</v>
      </c>
      <c r="BU6" s="34" t="s">
        <v>210</v>
      </c>
      <c r="BV6" s="34" t="s">
        <v>211</v>
      </c>
      <c r="BW6" s="34" t="s">
        <v>200</v>
      </c>
      <c r="BX6" s="34" t="s">
        <v>201</v>
      </c>
      <c r="BY6" s="34" t="s">
        <v>202</v>
      </c>
      <c r="BZ6" s="34" t="s">
        <v>203</v>
      </c>
      <c r="CA6" s="34" t="s">
        <v>204</v>
      </c>
      <c r="CB6" s="34" t="s">
        <v>205</v>
      </c>
      <c r="CC6" s="34" t="s">
        <v>206</v>
      </c>
      <c r="CD6" s="34" t="s">
        <v>207</v>
      </c>
      <c r="CE6" s="34" t="s">
        <v>208</v>
      </c>
      <c r="CF6" s="34" t="s">
        <v>209</v>
      </c>
      <c r="CG6" s="34" t="s">
        <v>210</v>
      </c>
      <c r="CH6" s="34" t="s">
        <v>211</v>
      </c>
      <c r="CI6" s="34" t="s">
        <v>200</v>
      </c>
      <c r="CJ6" s="34" t="s">
        <v>201</v>
      </c>
      <c r="CK6" s="34" t="s">
        <v>202</v>
      </c>
      <c r="CL6" s="34" t="s">
        <v>203</v>
      </c>
      <c r="CM6" s="34" t="s">
        <v>204</v>
      </c>
      <c r="CN6" s="34" t="s">
        <v>205</v>
      </c>
      <c r="CO6" s="34" t="s">
        <v>206</v>
      </c>
      <c r="CP6" s="34" t="s">
        <v>207</v>
      </c>
      <c r="CQ6" s="34" t="s">
        <v>208</v>
      </c>
      <c r="CR6" s="34" t="s">
        <v>209</v>
      </c>
      <c r="CS6" s="34" t="s">
        <v>210</v>
      </c>
      <c r="CT6" s="34" t="s">
        <v>211</v>
      </c>
    </row>
    <row r="7" customFormat="false" ht="15" hidden="false" customHeight="true" outlineLevel="0" collapsed="false">
      <c r="B7" s="35" t="s">
        <v>258</v>
      </c>
      <c r="C7" s="36"/>
      <c r="D7" s="36"/>
      <c r="E7" s="36"/>
      <c r="F7" s="36"/>
      <c r="G7" s="36"/>
      <c r="H7" s="36"/>
      <c r="I7" s="36"/>
      <c r="J7" s="36"/>
      <c r="K7" s="36"/>
      <c r="L7" s="36"/>
      <c r="M7" s="36"/>
      <c r="N7" s="36"/>
      <c r="O7" s="36"/>
      <c r="P7" s="36"/>
      <c r="Q7" s="36"/>
      <c r="R7" s="36"/>
      <c r="S7" s="36"/>
      <c r="T7" s="36"/>
      <c r="U7" s="36"/>
      <c r="V7" s="36"/>
      <c r="W7" s="36"/>
      <c r="X7" s="36"/>
      <c r="Y7" s="36"/>
      <c r="Z7" s="36"/>
      <c r="AA7" s="36"/>
      <c r="AB7" s="36"/>
      <c r="AC7" s="36"/>
      <c r="AD7" s="36"/>
      <c r="AE7" s="36"/>
      <c r="AF7" s="36"/>
      <c r="AG7" s="36"/>
      <c r="AH7" s="36"/>
      <c r="AI7" s="36"/>
      <c r="AJ7" s="36"/>
      <c r="AK7" s="36"/>
      <c r="AL7" s="36"/>
      <c r="AM7" s="36"/>
      <c r="AN7" s="36"/>
      <c r="AO7" s="36"/>
      <c r="AP7" s="36"/>
      <c r="AQ7" s="36"/>
      <c r="AR7" s="36"/>
      <c r="AS7" s="36"/>
      <c r="AT7" s="36"/>
      <c r="AU7" s="36"/>
      <c r="AV7" s="36"/>
      <c r="AW7" s="36"/>
      <c r="AX7" s="36"/>
      <c r="AY7" s="36"/>
      <c r="AZ7" s="36"/>
      <c r="BA7" s="36"/>
      <c r="BB7" s="36"/>
      <c r="BC7" s="36"/>
      <c r="BD7" s="36"/>
      <c r="BE7" s="36"/>
      <c r="BF7" s="36"/>
      <c r="BG7" s="36"/>
      <c r="BH7" s="36"/>
      <c r="BI7" s="36"/>
      <c r="BJ7" s="36"/>
      <c r="BK7" s="36"/>
      <c r="BL7" s="36"/>
      <c r="BM7" s="36"/>
      <c r="BN7" s="36"/>
      <c r="BO7" s="36"/>
      <c r="BP7" s="36"/>
      <c r="BQ7" s="36"/>
      <c r="BR7" s="36"/>
      <c r="BS7" s="36"/>
      <c r="BT7" s="36"/>
      <c r="BU7" s="36"/>
      <c r="BV7" s="36"/>
      <c r="BW7" s="36"/>
      <c r="BX7" s="36"/>
      <c r="BY7" s="36"/>
      <c r="BZ7" s="36"/>
      <c r="CA7" s="36"/>
      <c r="CB7" s="36"/>
      <c r="CC7" s="36"/>
      <c r="CD7" s="36"/>
      <c r="CE7" s="36"/>
      <c r="CF7" s="36"/>
      <c r="CG7" s="36"/>
      <c r="CH7" s="36"/>
      <c r="CI7" s="36"/>
      <c r="CJ7" s="36"/>
      <c r="CK7" s="36"/>
      <c r="CL7" s="36"/>
      <c r="CM7" s="36"/>
      <c r="CN7" s="36"/>
      <c r="CO7" s="36"/>
      <c r="CP7" s="36"/>
      <c r="CQ7" s="36"/>
      <c r="CR7" s="36"/>
      <c r="CS7" s="36"/>
      <c r="CT7" s="36"/>
    </row>
    <row r="8" customFormat="false" ht="15" hidden="false" customHeight="true" outlineLevel="0" collapsed="false">
      <c r="B8" s="15" t="s">
        <v>259</v>
      </c>
      <c r="C8" s="37" t="n">
        <f aca="false">Supuestos!$C$15*(1+Supuestos!$C$35)^3*(12/13)*Estacionalidad!C$10</f>
        <v>7921163620.21539</v>
      </c>
      <c r="D8" s="37" t="n">
        <f aca="false">Supuestos!$C$15*(1+Supuestos!$C$35)^3*(12/13)*Estacionalidad!D$10</f>
        <v>7921163620.21539</v>
      </c>
      <c r="E8" s="37" t="n">
        <f aca="false">Supuestos!$C$15*(1+Supuestos!$C$35)^3*(12/13)*Estacionalidad!E$10</f>
        <v>7921163620.21539</v>
      </c>
      <c r="F8" s="37" t="n">
        <f aca="false">Supuestos!$C$15*(1+Supuestos!$C$35)^3*(12/13)*Estacionalidad!F$10</f>
        <v>7921163620.21539</v>
      </c>
      <c r="G8" s="37" t="n">
        <f aca="false">Supuestos!$C$15*(1+Supuestos!$C$35)^3*(12/13)*Estacionalidad!G$10</f>
        <v>7921163620.21539</v>
      </c>
      <c r="H8" s="37" t="n">
        <f aca="false">Supuestos!$C$15*(1+Supuestos!$C$35)^3*(12/13)*Estacionalidad!H$10</f>
        <v>7921163620.21539</v>
      </c>
      <c r="I8" s="37" t="n">
        <f aca="false">Supuestos!$C$15*(1+Supuestos!$C$35)^3*(12/13)*Estacionalidad!I$10</f>
        <v>7921163620.21539</v>
      </c>
      <c r="J8" s="37" t="n">
        <f aca="false">Supuestos!$C$15*(1+Supuestos!$C$35)^3*(12/13)*Estacionalidad!J$10</f>
        <v>7921163620.21539</v>
      </c>
      <c r="K8" s="37" t="n">
        <f aca="false">Supuestos!$C$15*(1+Supuestos!$C$35)^3*(12/13)*Estacionalidad!K$10</f>
        <v>7921163620.21539</v>
      </c>
      <c r="L8" s="37" t="n">
        <f aca="false">Supuestos!$C$15*(1+Supuestos!$C$35)^3*(12/13)*Estacionalidad!L$10</f>
        <v>7921163620.21539</v>
      </c>
      <c r="M8" s="37" t="n">
        <f aca="false">Supuestos!$C$15*(1+Supuestos!$C$35)^3*(12/13)*Estacionalidad!M$10</f>
        <v>7921163620.21539</v>
      </c>
      <c r="N8" s="37" t="n">
        <f aca="false">Supuestos!$C$15*(1+Supuestos!$C$35)^3*(12/13)*Estacionalidad!N$10</f>
        <v>7921163620.21539</v>
      </c>
      <c r="O8" s="37" t="n">
        <f aca="false">Supuestos!$C$15*(1+Supuestos!$C$35)^4*(12/13)*Estacionalidad!C$10</f>
        <v>7921163620.21539</v>
      </c>
      <c r="P8" s="37" t="n">
        <f aca="false">Supuestos!$C$15*(1+Supuestos!$C$35)^4*(12/13)*Estacionalidad!D$10</f>
        <v>7921163620.21539</v>
      </c>
      <c r="Q8" s="37" t="n">
        <f aca="false">Supuestos!$C$15*(1+Supuestos!$C$35)^4*(12/13)*Estacionalidad!E$10</f>
        <v>7921163620.21539</v>
      </c>
      <c r="R8" s="37" t="n">
        <f aca="false">Supuestos!$C$15*(1+Supuestos!$C$35)^4*(12/13)*Estacionalidad!F$10</f>
        <v>7921163620.21539</v>
      </c>
      <c r="S8" s="37" t="n">
        <f aca="false">Supuestos!$C$15*(1+Supuestos!$C$35)^4*(12/13)*Estacionalidad!G$10</f>
        <v>7921163620.21539</v>
      </c>
      <c r="T8" s="37" t="n">
        <f aca="false">Supuestos!$C$15*(1+Supuestos!$C$35)^4*(12/13)*Estacionalidad!H$10</f>
        <v>7921163620.21539</v>
      </c>
      <c r="U8" s="37" t="n">
        <f aca="false">Supuestos!$C$15*(1+Supuestos!$C$35)^4*(12/13)*Estacionalidad!I$10</f>
        <v>7921163620.21539</v>
      </c>
      <c r="V8" s="37" t="n">
        <f aca="false">Supuestos!$C$15*(1+Supuestos!$C$35)^4*(12/13)*Estacionalidad!J$10</f>
        <v>7921163620.21539</v>
      </c>
      <c r="W8" s="37" t="n">
        <f aca="false">Supuestos!$C$15*(1+Supuestos!$C$35)^4*(12/13)*Estacionalidad!K$10</f>
        <v>7921163620.21539</v>
      </c>
      <c r="X8" s="37" t="n">
        <f aca="false">Supuestos!$C$15*(1+Supuestos!$C$35)^4*(12/13)*Estacionalidad!L$10</f>
        <v>7921163620.21539</v>
      </c>
      <c r="Y8" s="37" t="n">
        <f aca="false">Supuestos!$C$15*(1+Supuestos!$C$35)^4*(12/13)*Estacionalidad!M$10</f>
        <v>7921163620.21539</v>
      </c>
      <c r="Z8" s="37" t="n">
        <f aca="false">Supuestos!$C$15*(1+Supuestos!$C$35)^4*(12/13)*Estacionalidad!N$10</f>
        <v>7921163620.21539</v>
      </c>
      <c r="AA8" s="37" t="n">
        <f aca="false">Supuestos!$C$15*(1+Supuestos!$C$35)^5*(12/13)*Estacionalidad!C$10</f>
        <v>7921163620.21539</v>
      </c>
      <c r="AB8" s="37" t="n">
        <f aca="false">Supuestos!$C$15*(1+Supuestos!$C$35)^5*(12/13)*Estacionalidad!D$10</f>
        <v>7921163620.21539</v>
      </c>
      <c r="AC8" s="37" t="n">
        <f aca="false">Supuestos!$C$15*(1+Supuestos!$C$35)^5*(12/13)*Estacionalidad!E$10</f>
        <v>7921163620.21539</v>
      </c>
      <c r="AD8" s="37" t="n">
        <f aca="false">Supuestos!$C$15*(1+Supuestos!$C$35)^5*(12/13)*Estacionalidad!F$10</f>
        <v>7921163620.21539</v>
      </c>
      <c r="AE8" s="37" t="n">
        <f aca="false">Supuestos!$C$15*(1+Supuestos!$C$35)^5*(12/13)*Estacionalidad!G$10</f>
        <v>7921163620.21539</v>
      </c>
      <c r="AF8" s="37" t="n">
        <f aca="false">Supuestos!$C$15*(1+Supuestos!$C$35)^5*(12/13)*Estacionalidad!H$10</f>
        <v>7921163620.21539</v>
      </c>
      <c r="AG8" s="37" t="n">
        <f aca="false">Supuestos!$C$15*(1+Supuestos!$C$35)^5*(12/13)*Estacionalidad!I$10</f>
        <v>7921163620.21539</v>
      </c>
      <c r="AH8" s="37" t="n">
        <f aca="false">Supuestos!$C$15*(1+Supuestos!$C$35)^5*(12/13)*Estacionalidad!J$10</f>
        <v>7921163620.21539</v>
      </c>
      <c r="AI8" s="37" t="n">
        <f aca="false">Supuestos!$C$15*(1+Supuestos!$C$35)^5*(12/13)*Estacionalidad!K$10</f>
        <v>7921163620.21539</v>
      </c>
      <c r="AJ8" s="37" t="n">
        <f aca="false">Supuestos!$C$15*(1+Supuestos!$C$35)^5*(12/13)*Estacionalidad!L$10</f>
        <v>7921163620.21539</v>
      </c>
      <c r="AK8" s="37" t="n">
        <f aca="false">Supuestos!$C$15*(1+Supuestos!$C$35)^5*(12/13)*Estacionalidad!M$10</f>
        <v>7921163620.21539</v>
      </c>
      <c r="AL8" s="37" t="n">
        <f aca="false">Supuestos!$C$15*(1+Supuestos!$C$35)^5*(12/13)*Estacionalidad!N$10</f>
        <v>7921163620.21539</v>
      </c>
      <c r="AM8" s="37" t="n">
        <f aca="false">Supuestos!$C$15*(1+Supuestos!$C$35)^6*(12/13)*Estacionalidad!C$10</f>
        <v>7921163620.21539</v>
      </c>
      <c r="AN8" s="37" t="n">
        <f aca="false">Supuestos!$C$15*(1+Supuestos!$C$35)^6*(12/13)*Estacionalidad!D$10</f>
        <v>7921163620.21539</v>
      </c>
      <c r="AO8" s="37" t="n">
        <f aca="false">Supuestos!$C$15*(1+Supuestos!$C$35)^6*(12/13)*Estacionalidad!E$10</f>
        <v>7921163620.21539</v>
      </c>
      <c r="AP8" s="37" t="n">
        <f aca="false">Supuestos!$C$15*(1+Supuestos!$C$35)^6*(12/13)*Estacionalidad!F$10</f>
        <v>7921163620.21539</v>
      </c>
      <c r="AQ8" s="37" t="n">
        <f aca="false">Supuestos!$C$15*(1+Supuestos!$C$35)^6*(12/13)*Estacionalidad!G$10</f>
        <v>7921163620.21539</v>
      </c>
      <c r="AR8" s="37" t="n">
        <f aca="false">Supuestos!$C$15*(1+Supuestos!$C$35)^6*(12/13)*Estacionalidad!H$10</f>
        <v>7921163620.21539</v>
      </c>
      <c r="AS8" s="37" t="n">
        <f aca="false">Supuestos!$C$15*(1+Supuestos!$C$35)^6*(12/13)*Estacionalidad!I$10</f>
        <v>7921163620.21539</v>
      </c>
      <c r="AT8" s="37" t="n">
        <f aca="false">Supuestos!$C$15*(1+Supuestos!$C$35)^6*(12/13)*Estacionalidad!J$10</f>
        <v>7921163620.21539</v>
      </c>
      <c r="AU8" s="37" t="n">
        <f aca="false">Supuestos!$C$15*(1+Supuestos!$C$35)^6*(12/13)*Estacionalidad!K$10</f>
        <v>7921163620.21539</v>
      </c>
      <c r="AV8" s="37" t="n">
        <f aca="false">Supuestos!$C$15*(1+Supuestos!$C$35)^6*(12/13)*Estacionalidad!L$10</f>
        <v>7921163620.21539</v>
      </c>
      <c r="AW8" s="37" t="n">
        <f aca="false">Supuestos!$C$15*(1+Supuestos!$C$35)^6*(12/13)*Estacionalidad!M$10</f>
        <v>7921163620.21539</v>
      </c>
      <c r="AX8" s="37" t="n">
        <f aca="false">Supuestos!$C$15*(1+Supuestos!$C$35)^6*(12/13)*Estacionalidad!N$10</f>
        <v>7921163620.21539</v>
      </c>
      <c r="AY8" s="37" t="n">
        <f aca="false">Supuestos!$C$15*(1+Supuestos!$C$35)^7*(12/13)*Estacionalidad!C$10</f>
        <v>7921163620.21539</v>
      </c>
      <c r="AZ8" s="37" t="n">
        <f aca="false">Supuestos!$C$15*(1+Supuestos!$C$35)^7*(12/13)*Estacionalidad!D$10</f>
        <v>7921163620.21539</v>
      </c>
      <c r="BA8" s="37" t="n">
        <f aca="false">Supuestos!$C$15*(1+Supuestos!$C$35)^7*(12/13)*Estacionalidad!E$10</f>
        <v>7921163620.21539</v>
      </c>
      <c r="BB8" s="37" t="n">
        <f aca="false">Supuestos!$C$15*(1+Supuestos!$C$35)^7*(12/13)*Estacionalidad!F$10</f>
        <v>7921163620.21539</v>
      </c>
      <c r="BC8" s="37" t="n">
        <f aca="false">Supuestos!$C$15*(1+Supuestos!$C$35)^7*(12/13)*Estacionalidad!G$10</f>
        <v>7921163620.21539</v>
      </c>
      <c r="BD8" s="37" t="n">
        <f aca="false">Supuestos!$C$15*(1+Supuestos!$C$35)^7*(12/13)*Estacionalidad!H$10</f>
        <v>7921163620.21539</v>
      </c>
      <c r="BE8" s="37" t="n">
        <f aca="false">Supuestos!$C$15*(1+Supuestos!$C$35)^7*(12/13)*Estacionalidad!I$10</f>
        <v>7921163620.21539</v>
      </c>
      <c r="BF8" s="37" t="n">
        <f aca="false">Supuestos!$C$15*(1+Supuestos!$C$35)^7*(12/13)*Estacionalidad!J$10</f>
        <v>7921163620.21539</v>
      </c>
      <c r="BG8" s="37" t="n">
        <f aca="false">Supuestos!$C$15*(1+Supuestos!$C$35)^7*(12/13)*Estacionalidad!K$10</f>
        <v>7921163620.21539</v>
      </c>
      <c r="BH8" s="37" t="n">
        <f aca="false">Supuestos!$C$15*(1+Supuestos!$C$35)^7*(12/13)*Estacionalidad!L$10</f>
        <v>7921163620.21539</v>
      </c>
      <c r="BI8" s="37" t="n">
        <f aca="false">Supuestos!$C$15*(1+Supuestos!$C$35)^7*(12/13)*Estacionalidad!M$10</f>
        <v>7921163620.21539</v>
      </c>
      <c r="BJ8" s="37" t="n">
        <f aca="false">Supuestos!$C$15*(1+Supuestos!$C$35)^7*(12/13)*Estacionalidad!N$10</f>
        <v>7921163620.21539</v>
      </c>
      <c r="BK8" s="37" t="n">
        <f aca="false">Supuestos!$C$15*(1+Supuestos!$C$35)^8*(12/13)*Estacionalidad!C$10</f>
        <v>7921163620.21539</v>
      </c>
      <c r="BL8" s="37" t="n">
        <f aca="false">Supuestos!$C$15*(1+Supuestos!$C$35)^8*(12/13)*Estacionalidad!D$10</f>
        <v>7921163620.21539</v>
      </c>
      <c r="BM8" s="37" t="n">
        <f aca="false">Supuestos!$C$15*(1+Supuestos!$C$35)^8*(12/13)*Estacionalidad!E$10</f>
        <v>7921163620.21539</v>
      </c>
      <c r="BN8" s="37" t="n">
        <f aca="false">Supuestos!$C$15*(1+Supuestos!$C$35)^8*(12/13)*Estacionalidad!F$10</f>
        <v>7921163620.21539</v>
      </c>
      <c r="BO8" s="37" t="n">
        <f aca="false">Supuestos!$C$15*(1+Supuestos!$C$35)^8*(12/13)*Estacionalidad!G$10</f>
        <v>7921163620.21539</v>
      </c>
      <c r="BP8" s="37" t="n">
        <f aca="false">Supuestos!$C$15*(1+Supuestos!$C$35)^8*(12/13)*Estacionalidad!H$10</f>
        <v>7921163620.21539</v>
      </c>
      <c r="BQ8" s="37" t="n">
        <f aca="false">Supuestos!$C$15*(1+Supuestos!$C$35)^8*(12/13)*Estacionalidad!I$10</f>
        <v>7921163620.21539</v>
      </c>
      <c r="BR8" s="37" t="n">
        <f aca="false">Supuestos!$C$15*(1+Supuestos!$C$35)^8*(12/13)*Estacionalidad!J$10</f>
        <v>7921163620.21539</v>
      </c>
      <c r="BS8" s="37" t="n">
        <f aca="false">Supuestos!$C$15*(1+Supuestos!$C$35)^8*(12/13)*Estacionalidad!K$10</f>
        <v>7921163620.21539</v>
      </c>
      <c r="BT8" s="37" t="n">
        <f aca="false">Supuestos!$C$15*(1+Supuestos!$C$35)^8*(12/13)*Estacionalidad!L$10</f>
        <v>7921163620.21539</v>
      </c>
      <c r="BU8" s="37" t="n">
        <f aca="false">Supuestos!$C$15*(1+Supuestos!$C$35)^8*(12/13)*Estacionalidad!M$10</f>
        <v>7921163620.21539</v>
      </c>
      <c r="BV8" s="37" t="n">
        <f aca="false">Supuestos!$C$15*(1+Supuestos!$C$35)^8*(12/13)*Estacionalidad!N$10</f>
        <v>7921163620.21539</v>
      </c>
      <c r="BW8" s="37" t="n">
        <f aca="false">Supuestos!$C$15*(1+Supuestos!$C$35)^9*(12/13)*Estacionalidad!C$10</f>
        <v>7921163620.21539</v>
      </c>
      <c r="BX8" s="37" t="n">
        <f aca="false">Supuestos!$C$15*(1+Supuestos!$C$35)^9*(12/13)*Estacionalidad!D$10</f>
        <v>7921163620.21539</v>
      </c>
      <c r="BY8" s="37" t="n">
        <f aca="false">Supuestos!$C$15*(1+Supuestos!$C$35)^9*(12/13)*Estacionalidad!E$10</f>
        <v>7921163620.21539</v>
      </c>
      <c r="BZ8" s="37" t="n">
        <f aca="false">Supuestos!$C$15*(1+Supuestos!$C$35)^9*(12/13)*Estacionalidad!F$10</f>
        <v>7921163620.21539</v>
      </c>
      <c r="CA8" s="37" t="n">
        <f aca="false">Supuestos!$C$15*(1+Supuestos!$C$35)^9*(12/13)*Estacionalidad!G$10</f>
        <v>7921163620.21539</v>
      </c>
      <c r="CB8" s="37" t="n">
        <f aca="false">Supuestos!$C$15*(1+Supuestos!$C$35)^9*(12/13)*Estacionalidad!H$10</f>
        <v>7921163620.21539</v>
      </c>
      <c r="CC8" s="37" t="n">
        <f aca="false">Supuestos!$C$15*(1+Supuestos!$C$35)^9*(12/13)*Estacionalidad!I$10</f>
        <v>7921163620.21539</v>
      </c>
      <c r="CD8" s="37" t="n">
        <f aca="false">Supuestos!$C$15*(1+Supuestos!$C$35)^9*(12/13)*Estacionalidad!J$10</f>
        <v>7921163620.21539</v>
      </c>
      <c r="CE8" s="37" t="n">
        <f aca="false">Supuestos!$C$15*(1+Supuestos!$C$35)^9*(12/13)*Estacionalidad!K$10</f>
        <v>7921163620.21539</v>
      </c>
      <c r="CF8" s="37" t="n">
        <f aca="false">Supuestos!$C$15*(1+Supuestos!$C$35)^9*(12/13)*Estacionalidad!L$10</f>
        <v>7921163620.21539</v>
      </c>
      <c r="CG8" s="37" t="n">
        <f aca="false">Supuestos!$C$15*(1+Supuestos!$C$35)^9*(12/13)*Estacionalidad!M$10</f>
        <v>7921163620.21539</v>
      </c>
      <c r="CH8" s="37" t="n">
        <f aca="false">Supuestos!$C$15*(1+Supuestos!$C$35)^9*(12/13)*Estacionalidad!N$10</f>
        <v>7921163620.21539</v>
      </c>
      <c r="CI8" s="37" t="n">
        <f aca="false">Supuestos!$C$15*(1+Supuestos!$C$35)^10*(12/13)*Estacionalidad!C$10</f>
        <v>7921163620.21539</v>
      </c>
      <c r="CJ8" s="37" t="n">
        <f aca="false">Supuestos!$C$15*(1+Supuestos!$C$35)^10*(12/13)*Estacionalidad!D$10</f>
        <v>7921163620.21539</v>
      </c>
      <c r="CK8" s="37" t="n">
        <f aca="false">Supuestos!$C$15*(1+Supuestos!$C$35)^10*(12/13)*Estacionalidad!E$10</f>
        <v>7921163620.21539</v>
      </c>
      <c r="CL8" s="37" t="n">
        <f aca="false">Supuestos!$C$15*(1+Supuestos!$C$35)^10*(12/13)*Estacionalidad!F$10</f>
        <v>7921163620.21539</v>
      </c>
      <c r="CM8" s="37" t="n">
        <f aca="false">Supuestos!$C$15*(1+Supuestos!$C$35)^10*(12/13)*Estacionalidad!G$10</f>
        <v>7921163620.21539</v>
      </c>
      <c r="CN8" s="37" t="n">
        <f aca="false">Supuestos!$C$15*(1+Supuestos!$C$35)^10*(12/13)*Estacionalidad!H$10</f>
        <v>7921163620.21539</v>
      </c>
      <c r="CO8" s="37" t="n">
        <f aca="false">Supuestos!$C$15*(1+Supuestos!$C$35)^10*(12/13)*Estacionalidad!I$10</f>
        <v>7921163620.21539</v>
      </c>
      <c r="CP8" s="37" t="n">
        <f aca="false">Supuestos!$C$15*(1+Supuestos!$C$35)^10*(12/13)*Estacionalidad!J$10</f>
        <v>7921163620.21539</v>
      </c>
      <c r="CQ8" s="37" t="n">
        <f aca="false">Supuestos!$C$15*(1+Supuestos!$C$35)^10*(12/13)*Estacionalidad!K$10</f>
        <v>7921163620.21539</v>
      </c>
      <c r="CR8" s="37" t="n">
        <f aca="false">Supuestos!$C$15*(1+Supuestos!$C$35)^10*(12/13)*Estacionalidad!L$10</f>
        <v>7921163620.21539</v>
      </c>
      <c r="CS8" s="37" t="n">
        <f aca="false">Supuestos!$C$15*(1+Supuestos!$C$35)^10*(12/13)*Estacionalidad!M$10</f>
        <v>7921163620.21539</v>
      </c>
      <c r="CT8" s="37" t="n">
        <f aca="false">Supuestos!$C$15*(1+Supuestos!$C$35)^10*(12/13)*Estacionalidad!N$10</f>
        <v>7921163620.21539</v>
      </c>
    </row>
    <row r="9" customFormat="false" ht="15" hidden="false" customHeight="true" outlineLevel="0" collapsed="false">
      <c r="B9" s="15" t="s">
        <v>260</v>
      </c>
      <c r="C9" s="37" t="n">
        <f aca="false">Supuestos!$C$15*(1+Supuestos!$C$35)^3*(1/13)*Estacionalidad!C$11</f>
        <v>0</v>
      </c>
      <c r="D9" s="37" t="n">
        <f aca="false">Supuestos!$C$15*(1+Supuestos!$C$35)^3*(1/13)*Estacionalidad!D$11</f>
        <v>0</v>
      </c>
      <c r="E9" s="37" t="n">
        <f aca="false">Supuestos!$C$15*(1+Supuestos!$C$35)^3*(1/13)*Estacionalidad!E$11</f>
        <v>0</v>
      </c>
      <c r="F9" s="37" t="n">
        <f aca="false">Supuestos!$C$15*(1+Supuestos!$C$35)^3*(1/13)*Estacionalidad!F$11</f>
        <v>0</v>
      </c>
      <c r="G9" s="37" t="n">
        <f aca="false">Supuestos!$C$15*(1+Supuestos!$C$35)^3*(1/13)*Estacionalidad!G$11</f>
        <v>0</v>
      </c>
      <c r="H9" s="37" t="n">
        <f aca="false">Supuestos!$C$15*(1+Supuestos!$C$35)^3*(1/13)*Estacionalidad!H$11</f>
        <v>4291917869.64423</v>
      </c>
      <c r="I9" s="37" t="n">
        <f aca="false">Supuestos!$C$15*(1+Supuestos!$C$35)^3*(1/13)*Estacionalidad!I$11</f>
        <v>0</v>
      </c>
      <c r="J9" s="37" t="n">
        <f aca="false">Supuestos!$C$15*(1+Supuestos!$C$35)^3*(1/13)*Estacionalidad!J$11</f>
        <v>0</v>
      </c>
      <c r="K9" s="37" t="n">
        <f aca="false">Supuestos!$C$15*(1+Supuestos!$C$35)^3*(1/13)*Estacionalidad!K$11</f>
        <v>0</v>
      </c>
      <c r="L9" s="37" t="n">
        <f aca="false">Supuestos!$C$15*(1+Supuestos!$C$35)^3*(1/13)*Estacionalidad!L$11</f>
        <v>0</v>
      </c>
      <c r="M9" s="37" t="n">
        <f aca="false">Supuestos!$C$15*(1+Supuestos!$C$35)^3*(1/13)*Estacionalidad!M$11</f>
        <v>0</v>
      </c>
      <c r="N9" s="37" t="n">
        <f aca="false">Supuestos!$C$15*(1+Supuestos!$C$35)^3*(1/13)*Estacionalidad!N$11</f>
        <v>4291917869.64423</v>
      </c>
      <c r="O9" s="37" t="n">
        <f aca="false">Supuestos!$C$15*(1+Supuestos!$C$35)^4*(1/13)*Estacionalidad!C$11</f>
        <v>0</v>
      </c>
      <c r="P9" s="37" t="n">
        <f aca="false">Supuestos!$C$15*(1+Supuestos!$C$35)^4*(1/13)*Estacionalidad!D$11</f>
        <v>0</v>
      </c>
      <c r="Q9" s="37" t="n">
        <f aca="false">Supuestos!$C$15*(1+Supuestos!$C$35)^4*(1/13)*Estacionalidad!E$11</f>
        <v>0</v>
      </c>
      <c r="R9" s="37" t="n">
        <f aca="false">Supuestos!$C$15*(1+Supuestos!$C$35)^4*(1/13)*Estacionalidad!F$11</f>
        <v>0</v>
      </c>
      <c r="S9" s="37" t="n">
        <f aca="false">Supuestos!$C$15*(1+Supuestos!$C$35)^4*(1/13)*Estacionalidad!G$11</f>
        <v>0</v>
      </c>
      <c r="T9" s="37" t="n">
        <f aca="false">Supuestos!$C$15*(1+Supuestos!$C$35)^4*(1/13)*Estacionalidad!H$11</f>
        <v>4291917869.64423</v>
      </c>
      <c r="U9" s="37" t="n">
        <f aca="false">Supuestos!$C$15*(1+Supuestos!$C$35)^4*(1/13)*Estacionalidad!I$11</f>
        <v>0</v>
      </c>
      <c r="V9" s="37" t="n">
        <f aca="false">Supuestos!$C$15*(1+Supuestos!$C$35)^4*(1/13)*Estacionalidad!J$11</f>
        <v>0</v>
      </c>
      <c r="W9" s="37" t="n">
        <f aca="false">Supuestos!$C$15*(1+Supuestos!$C$35)^4*(1/13)*Estacionalidad!K$11</f>
        <v>0</v>
      </c>
      <c r="X9" s="37" t="n">
        <f aca="false">Supuestos!$C$15*(1+Supuestos!$C$35)^4*(1/13)*Estacionalidad!L$11</f>
        <v>0</v>
      </c>
      <c r="Y9" s="37" t="n">
        <f aca="false">Supuestos!$C$15*(1+Supuestos!$C$35)^4*(1/13)*Estacionalidad!M$11</f>
        <v>0</v>
      </c>
      <c r="Z9" s="37" t="n">
        <f aca="false">Supuestos!$C$15*(1+Supuestos!$C$35)^4*(1/13)*Estacionalidad!N$11</f>
        <v>4291917869.64423</v>
      </c>
      <c r="AA9" s="37" t="n">
        <f aca="false">Supuestos!$C$15*(1+Supuestos!$C$35)^5*(1/13)*Estacionalidad!C$11</f>
        <v>0</v>
      </c>
      <c r="AB9" s="37" t="n">
        <f aca="false">Supuestos!$C$15*(1+Supuestos!$C$35)^5*(1/13)*Estacionalidad!D$11</f>
        <v>0</v>
      </c>
      <c r="AC9" s="37" t="n">
        <f aca="false">Supuestos!$C$15*(1+Supuestos!$C$35)^5*(1/13)*Estacionalidad!E$11</f>
        <v>0</v>
      </c>
      <c r="AD9" s="37" t="n">
        <f aca="false">Supuestos!$C$15*(1+Supuestos!$C$35)^5*(1/13)*Estacionalidad!F$11</f>
        <v>0</v>
      </c>
      <c r="AE9" s="37" t="n">
        <f aca="false">Supuestos!$C$15*(1+Supuestos!$C$35)^5*(1/13)*Estacionalidad!G$11</f>
        <v>0</v>
      </c>
      <c r="AF9" s="37" t="n">
        <f aca="false">Supuestos!$C$15*(1+Supuestos!$C$35)^5*(1/13)*Estacionalidad!H$11</f>
        <v>4291917869.64423</v>
      </c>
      <c r="AG9" s="37" t="n">
        <f aca="false">Supuestos!$C$15*(1+Supuestos!$C$35)^5*(1/13)*Estacionalidad!I$11</f>
        <v>0</v>
      </c>
      <c r="AH9" s="37" t="n">
        <f aca="false">Supuestos!$C$15*(1+Supuestos!$C$35)^5*(1/13)*Estacionalidad!J$11</f>
        <v>0</v>
      </c>
      <c r="AI9" s="37" t="n">
        <f aca="false">Supuestos!$C$15*(1+Supuestos!$C$35)^5*(1/13)*Estacionalidad!K$11</f>
        <v>0</v>
      </c>
      <c r="AJ9" s="37" t="n">
        <f aca="false">Supuestos!$C$15*(1+Supuestos!$C$35)^5*(1/13)*Estacionalidad!L$11</f>
        <v>0</v>
      </c>
      <c r="AK9" s="37" t="n">
        <f aca="false">Supuestos!$C$15*(1+Supuestos!$C$35)^5*(1/13)*Estacionalidad!M$11</f>
        <v>0</v>
      </c>
      <c r="AL9" s="37" t="n">
        <f aca="false">Supuestos!$C$15*(1+Supuestos!$C$35)^5*(1/13)*Estacionalidad!N$11</f>
        <v>4291917869.64423</v>
      </c>
      <c r="AM9" s="37" t="n">
        <f aca="false">Supuestos!$C$15*(1+Supuestos!$C$35)^6*(1/13)*Estacionalidad!C$11</f>
        <v>0</v>
      </c>
      <c r="AN9" s="37" t="n">
        <f aca="false">Supuestos!$C$15*(1+Supuestos!$C$35)^6*(1/13)*Estacionalidad!D$11</f>
        <v>0</v>
      </c>
      <c r="AO9" s="37" t="n">
        <f aca="false">Supuestos!$C$15*(1+Supuestos!$C$35)^6*(1/13)*Estacionalidad!E$11</f>
        <v>0</v>
      </c>
      <c r="AP9" s="37" t="n">
        <f aca="false">Supuestos!$C$15*(1+Supuestos!$C$35)^6*(1/13)*Estacionalidad!F$11</f>
        <v>0</v>
      </c>
      <c r="AQ9" s="37" t="n">
        <f aca="false">Supuestos!$C$15*(1+Supuestos!$C$35)^6*(1/13)*Estacionalidad!G$11</f>
        <v>0</v>
      </c>
      <c r="AR9" s="37" t="n">
        <f aca="false">Supuestos!$C$15*(1+Supuestos!$C$35)^6*(1/13)*Estacionalidad!H$11</f>
        <v>4291917869.64423</v>
      </c>
      <c r="AS9" s="37" t="n">
        <f aca="false">Supuestos!$C$15*(1+Supuestos!$C$35)^6*(1/13)*Estacionalidad!I$11</f>
        <v>0</v>
      </c>
      <c r="AT9" s="37" t="n">
        <f aca="false">Supuestos!$C$15*(1+Supuestos!$C$35)^6*(1/13)*Estacionalidad!J$11</f>
        <v>0</v>
      </c>
      <c r="AU9" s="37" t="n">
        <f aca="false">Supuestos!$C$15*(1+Supuestos!$C$35)^6*(1/13)*Estacionalidad!K$11</f>
        <v>0</v>
      </c>
      <c r="AV9" s="37" t="n">
        <f aca="false">Supuestos!$C$15*(1+Supuestos!$C$35)^6*(1/13)*Estacionalidad!L$11</f>
        <v>0</v>
      </c>
      <c r="AW9" s="37" t="n">
        <f aca="false">Supuestos!$C$15*(1+Supuestos!$C$35)^6*(1/13)*Estacionalidad!M$11</f>
        <v>0</v>
      </c>
      <c r="AX9" s="37" t="n">
        <f aca="false">Supuestos!$C$15*(1+Supuestos!$C$35)^6*(1/13)*Estacionalidad!N$11</f>
        <v>4291917869.64423</v>
      </c>
      <c r="AY9" s="37" t="n">
        <f aca="false">Supuestos!$C$15*(1+Supuestos!$C$35)^7*(1/13)*Estacionalidad!C$11</f>
        <v>0</v>
      </c>
      <c r="AZ9" s="37" t="n">
        <f aca="false">Supuestos!$C$15*(1+Supuestos!$C$35)^7*(1/13)*Estacionalidad!D$11</f>
        <v>0</v>
      </c>
      <c r="BA9" s="37" t="n">
        <f aca="false">Supuestos!$C$15*(1+Supuestos!$C$35)^7*(1/13)*Estacionalidad!E$11</f>
        <v>0</v>
      </c>
      <c r="BB9" s="37" t="n">
        <f aca="false">Supuestos!$C$15*(1+Supuestos!$C$35)^7*(1/13)*Estacionalidad!F$11</f>
        <v>0</v>
      </c>
      <c r="BC9" s="37" t="n">
        <f aca="false">Supuestos!$C$15*(1+Supuestos!$C$35)^7*(1/13)*Estacionalidad!G$11</f>
        <v>0</v>
      </c>
      <c r="BD9" s="37" t="n">
        <f aca="false">Supuestos!$C$15*(1+Supuestos!$C$35)^7*(1/13)*Estacionalidad!H$11</f>
        <v>4291917869.64423</v>
      </c>
      <c r="BE9" s="37" t="n">
        <f aca="false">Supuestos!$C$15*(1+Supuestos!$C$35)^7*(1/13)*Estacionalidad!I$11</f>
        <v>0</v>
      </c>
      <c r="BF9" s="37" t="n">
        <f aca="false">Supuestos!$C$15*(1+Supuestos!$C$35)^7*(1/13)*Estacionalidad!J$11</f>
        <v>0</v>
      </c>
      <c r="BG9" s="37" t="n">
        <f aca="false">Supuestos!$C$15*(1+Supuestos!$C$35)^7*(1/13)*Estacionalidad!K$11</f>
        <v>0</v>
      </c>
      <c r="BH9" s="37" t="n">
        <f aca="false">Supuestos!$C$15*(1+Supuestos!$C$35)^7*(1/13)*Estacionalidad!L$11</f>
        <v>0</v>
      </c>
      <c r="BI9" s="37" t="n">
        <f aca="false">Supuestos!$C$15*(1+Supuestos!$C$35)^7*(1/13)*Estacionalidad!M$11</f>
        <v>0</v>
      </c>
      <c r="BJ9" s="37" t="n">
        <f aca="false">Supuestos!$C$15*(1+Supuestos!$C$35)^7*(1/13)*Estacionalidad!N$11</f>
        <v>4291917869.64423</v>
      </c>
      <c r="BK9" s="37" t="n">
        <f aca="false">Supuestos!$C$15*(1+Supuestos!$C$35)^8*(1/13)*Estacionalidad!C$11</f>
        <v>0</v>
      </c>
      <c r="BL9" s="37" t="n">
        <f aca="false">Supuestos!$C$15*(1+Supuestos!$C$35)^8*(1/13)*Estacionalidad!D$11</f>
        <v>0</v>
      </c>
      <c r="BM9" s="37" t="n">
        <f aca="false">Supuestos!$C$15*(1+Supuestos!$C$35)^8*(1/13)*Estacionalidad!E$11</f>
        <v>0</v>
      </c>
      <c r="BN9" s="37" t="n">
        <f aca="false">Supuestos!$C$15*(1+Supuestos!$C$35)^8*(1/13)*Estacionalidad!F$11</f>
        <v>0</v>
      </c>
      <c r="BO9" s="37" t="n">
        <f aca="false">Supuestos!$C$15*(1+Supuestos!$C$35)^8*(1/13)*Estacionalidad!G$11</f>
        <v>0</v>
      </c>
      <c r="BP9" s="37" t="n">
        <f aca="false">Supuestos!$C$15*(1+Supuestos!$C$35)^8*(1/13)*Estacionalidad!H$11</f>
        <v>4291917869.64423</v>
      </c>
      <c r="BQ9" s="37" t="n">
        <f aca="false">Supuestos!$C$15*(1+Supuestos!$C$35)^8*(1/13)*Estacionalidad!I$11</f>
        <v>0</v>
      </c>
      <c r="BR9" s="37" t="n">
        <f aca="false">Supuestos!$C$15*(1+Supuestos!$C$35)^8*(1/13)*Estacionalidad!J$11</f>
        <v>0</v>
      </c>
      <c r="BS9" s="37" t="n">
        <f aca="false">Supuestos!$C$15*(1+Supuestos!$C$35)^8*(1/13)*Estacionalidad!K$11</f>
        <v>0</v>
      </c>
      <c r="BT9" s="37" t="n">
        <f aca="false">Supuestos!$C$15*(1+Supuestos!$C$35)^8*(1/13)*Estacionalidad!L$11</f>
        <v>0</v>
      </c>
      <c r="BU9" s="37" t="n">
        <f aca="false">Supuestos!$C$15*(1+Supuestos!$C$35)^8*(1/13)*Estacionalidad!M$11</f>
        <v>0</v>
      </c>
      <c r="BV9" s="37" t="n">
        <f aca="false">Supuestos!$C$15*(1+Supuestos!$C$35)^8*(1/13)*Estacionalidad!N$11</f>
        <v>4291917869.64423</v>
      </c>
      <c r="BW9" s="37" t="n">
        <f aca="false">Supuestos!$C$15*(1+Supuestos!$C$35)^9*(1/13)*Estacionalidad!C$11</f>
        <v>0</v>
      </c>
      <c r="BX9" s="37" t="n">
        <f aca="false">Supuestos!$C$15*(1+Supuestos!$C$35)^9*(1/13)*Estacionalidad!D$11</f>
        <v>0</v>
      </c>
      <c r="BY9" s="37" t="n">
        <f aca="false">Supuestos!$C$15*(1+Supuestos!$C$35)^9*(1/13)*Estacionalidad!E$11</f>
        <v>0</v>
      </c>
      <c r="BZ9" s="37" t="n">
        <f aca="false">Supuestos!$C$15*(1+Supuestos!$C$35)^9*(1/13)*Estacionalidad!F$11</f>
        <v>0</v>
      </c>
      <c r="CA9" s="37" t="n">
        <f aca="false">Supuestos!$C$15*(1+Supuestos!$C$35)^9*(1/13)*Estacionalidad!G$11</f>
        <v>0</v>
      </c>
      <c r="CB9" s="37" t="n">
        <f aca="false">Supuestos!$C$15*(1+Supuestos!$C$35)^9*(1/13)*Estacionalidad!H$11</f>
        <v>4291917869.64423</v>
      </c>
      <c r="CC9" s="37" t="n">
        <f aca="false">Supuestos!$C$15*(1+Supuestos!$C$35)^9*(1/13)*Estacionalidad!I$11</f>
        <v>0</v>
      </c>
      <c r="CD9" s="37" t="n">
        <f aca="false">Supuestos!$C$15*(1+Supuestos!$C$35)^9*(1/13)*Estacionalidad!J$11</f>
        <v>0</v>
      </c>
      <c r="CE9" s="37" t="n">
        <f aca="false">Supuestos!$C$15*(1+Supuestos!$C$35)^9*(1/13)*Estacionalidad!K$11</f>
        <v>0</v>
      </c>
      <c r="CF9" s="37" t="n">
        <f aca="false">Supuestos!$C$15*(1+Supuestos!$C$35)^9*(1/13)*Estacionalidad!L$11</f>
        <v>0</v>
      </c>
      <c r="CG9" s="37" t="n">
        <f aca="false">Supuestos!$C$15*(1+Supuestos!$C$35)^9*(1/13)*Estacionalidad!M$11</f>
        <v>0</v>
      </c>
      <c r="CH9" s="37" t="n">
        <f aca="false">Supuestos!$C$15*(1+Supuestos!$C$35)^9*(1/13)*Estacionalidad!N$11</f>
        <v>4291917869.64423</v>
      </c>
      <c r="CI9" s="37" t="n">
        <f aca="false">Supuestos!$C$15*(1+Supuestos!$C$35)^10*(1/13)*Estacionalidad!C$11</f>
        <v>0</v>
      </c>
      <c r="CJ9" s="37" t="n">
        <f aca="false">Supuestos!$C$15*(1+Supuestos!$C$35)^10*(1/13)*Estacionalidad!D$11</f>
        <v>0</v>
      </c>
      <c r="CK9" s="37" t="n">
        <f aca="false">Supuestos!$C$15*(1+Supuestos!$C$35)^10*(1/13)*Estacionalidad!E$11</f>
        <v>0</v>
      </c>
      <c r="CL9" s="37" t="n">
        <f aca="false">Supuestos!$C$15*(1+Supuestos!$C$35)^10*(1/13)*Estacionalidad!F$11</f>
        <v>0</v>
      </c>
      <c r="CM9" s="37" t="n">
        <f aca="false">Supuestos!$C$15*(1+Supuestos!$C$35)^10*(1/13)*Estacionalidad!G$11</f>
        <v>0</v>
      </c>
      <c r="CN9" s="37" t="n">
        <f aca="false">Supuestos!$C$15*(1+Supuestos!$C$35)^10*(1/13)*Estacionalidad!H$11</f>
        <v>4291917869.64423</v>
      </c>
      <c r="CO9" s="37" t="n">
        <f aca="false">Supuestos!$C$15*(1+Supuestos!$C$35)^10*(1/13)*Estacionalidad!I$11</f>
        <v>0</v>
      </c>
      <c r="CP9" s="37" t="n">
        <f aca="false">Supuestos!$C$15*(1+Supuestos!$C$35)^10*(1/13)*Estacionalidad!J$11</f>
        <v>0</v>
      </c>
      <c r="CQ9" s="37" t="n">
        <f aca="false">Supuestos!$C$15*(1+Supuestos!$C$35)^10*(1/13)*Estacionalidad!K$11</f>
        <v>0</v>
      </c>
      <c r="CR9" s="37" t="n">
        <f aca="false">Supuestos!$C$15*(1+Supuestos!$C$35)^10*(1/13)*Estacionalidad!L$11</f>
        <v>0</v>
      </c>
      <c r="CS9" s="37" t="n">
        <f aca="false">Supuestos!$C$15*(1+Supuestos!$C$35)^10*(1/13)*Estacionalidad!M$11</f>
        <v>0</v>
      </c>
      <c r="CT9" s="37" t="n">
        <f aca="false">Supuestos!$C$15*(1+Supuestos!$C$35)^10*(1/13)*Estacionalidad!N$11</f>
        <v>4291917869.64423</v>
      </c>
    </row>
    <row r="10" customFormat="false" ht="15" hidden="false" customHeight="true" outlineLevel="0" collapsed="false">
      <c r="B10" s="15" t="s">
        <v>261</v>
      </c>
      <c r="C10" s="37" t="n">
        <f aca="false">Supuestos!$C$17*(1+Supuestos!$C$36)^3*Estacionalidad!C$12</f>
        <v>1545451696.1457</v>
      </c>
      <c r="D10" s="37" t="n">
        <f aca="false">Supuestos!$C$17*(1+Supuestos!$C$36)^3*Estacionalidad!D$12</f>
        <v>1722074747.13378</v>
      </c>
      <c r="E10" s="37" t="n">
        <f aca="false">Supuestos!$C$17*(1+Supuestos!$C$36)^3*Estacionalidad!E$12</f>
        <v>1898697798.12186</v>
      </c>
      <c r="F10" s="37" t="n">
        <f aca="false">Supuestos!$C$17*(1+Supuestos!$C$36)^3*Estacionalidad!F$12</f>
        <v>1898697798.12186</v>
      </c>
      <c r="G10" s="37" t="n">
        <f aca="false">Supuestos!$C$17*(1+Supuestos!$C$36)^3*Estacionalidad!G$12</f>
        <v>1898697798.12186</v>
      </c>
      <c r="H10" s="37" t="n">
        <f aca="false">Supuestos!$C$17*(1+Supuestos!$C$36)^3*Estacionalidad!H$12</f>
        <v>1898697798.12186</v>
      </c>
      <c r="I10" s="37" t="n">
        <f aca="false">Supuestos!$C$17*(1+Supuestos!$C$36)^3*Estacionalidad!I$12</f>
        <v>1898697798.12186</v>
      </c>
      <c r="J10" s="37" t="n">
        <f aca="false">Supuestos!$C$17*(1+Supuestos!$C$36)^3*Estacionalidad!J$12</f>
        <v>1898697798.12186</v>
      </c>
      <c r="K10" s="37" t="n">
        <f aca="false">Supuestos!$C$17*(1+Supuestos!$C$36)^3*Estacionalidad!K$12</f>
        <v>1898697798.12186</v>
      </c>
      <c r="L10" s="37" t="n">
        <f aca="false">Supuestos!$C$17*(1+Supuestos!$C$36)^3*Estacionalidad!L$12</f>
        <v>1942853560.86888</v>
      </c>
      <c r="M10" s="37" t="n">
        <f aca="false">Supuestos!$C$17*(1+Supuestos!$C$36)^3*Estacionalidad!M$12</f>
        <v>1942853560.86888</v>
      </c>
      <c r="N10" s="37" t="n">
        <f aca="false">Supuestos!$C$17*(1+Supuestos!$C$36)^3*Estacionalidad!N$12</f>
        <v>1633763221.63974</v>
      </c>
      <c r="O10" s="37" t="n">
        <f aca="false">Supuestos!$C$17*(1+Supuestos!$C$36)^4*Estacionalidad!C$12</f>
        <v>1545451696.1457</v>
      </c>
      <c r="P10" s="37" t="n">
        <f aca="false">Supuestos!$C$17*(1+Supuestos!$C$36)^4*Estacionalidad!D$12</f>
        <v>1722074747.13378</v>
      </c>
      <c r="Q10" s="37" t="n">
        <f aca="false">Supuestos!$C$17*(1+Supuestos!$C$36)^4*Estacionalidad!E$12</f>
        <v>1898697798.12186</v>
      </c>
      <c r="R10" s="37" t="n">
        <f aca="false">Supuestos!$C$17*(1+Supuestos!$C$36)^4*Estacionalidad!F$12</f>
        <v>1898697798.12186</v>
      </c>
      <c r="S10" s="37" t="n">
        <f aca="false">Supuestos!$C$17*(1+Supuestos!$C$36)^4*Estacionalidad!G$12</f>
        <v>1898697798.12186</v>
      </c>
      <c r="T10" s="37" t="n">
        <f aca="false">Supuestos!$C$17*(1+Supuestos!$C$36)^4*Estacionalidad!H$12</f>
        <v>1898697798.12186</v>
      </c>
      <c r="U10" s="37" t="n">
        <f aca="false">Supuestos!$C$17*(1+Supuestos!$C$36)^4*Estacionalidad!I$12</f>
        <v>1898697798.12186</v>
      </c>
      <c r="V10" s="37" t="n">
        <f aca="false">Supuestos!$C$17*(1+Supuestos!$C$36)^4*Estacionalidad!J$12</f>
        <v>1898697798.12186</v>
      </c>
      <c r="W10" s="37" t="n">
        <f aca="false">Supuestos!$C$17*(1+Supuestos!$C$36)^4*Estacionalidad!K$12</f>
        <v>1898697798.12186</v>
      </c>
      <c r="X10" s="37" t="n">
        <f aca="false">Supuestos!$C$17*(1+Supuestos!$C$36)^4*Estacionalidad!L$12</f>
        <v>1942853560.86888</v>
      </c>
      <c r="Y10" s="37" t="n">
        <f aca="false">Supuestos!$C$17*(1+Supuestos!$C$36)^4*Estacionalidad!M$12</f>
        <v>1942853560.86888</v>
      </c>
      <c r="Z10" s="37" t="n">
        <f aca="false">Supuestos!$C$17*(1+Supuestos!$C$36)^4*Estacionalidad!N$12</f>
        <v>1633763221.63974</v>
      </c>
      <c r="AA10" s="37" t="n">
        <f aca="false">Supuestos!$C$17*(1+Supuestos!$C$36)^5*Estacionalidad!C$12</f>
        <v>1545451696.1457</v>
      </c>
      <c r="AB10" s="37" t="n">
        <f aca="false">Supuestos!$C$17*(1+Supuestos!$C$36)^5*Estacionalidad!D$12</f>
        <v>1722074747.13378</v>
      </c>
      <c r="AC10" s="37" t="n">
        <f aca="false">Supuestos!$C$17*(1+Supuestos!$C$36)^5*Estacionalidad!E$12</f>
        <v>1898697798.12186</v>
      </c>
      <c r="AD10" s="37" t="n">
        <f aca="false">Supuestos!$C$17*(1+Supuestos!$C$36)^5*Estacionalidad!F$12</f>
        <v>1898697798.12186</v>
      </c>
      <c r="AE10" s="37" t="n">
        <f aca="false">Supuestos!$C$17*(1+Supuestos!$C$36)^5*Estacionalidad!G$12</f>
        <v>1898697798.12186</v>
      </c>
      <c r="AF10" s="37" t="n">
        <f aca="false">Supuestos!$C$17*(1+Supuestos!$C$36)^5*Estacionalidad!H$12</f>
        <v>1898697798.12186</v>
      </c>
      <c r="AG10" s="37" t="n">
        <f aca="false">Supuestos!$C$17*(1+Supuestos!$C$36)^5*Estacionalidad!I$12</f>
        <v>1898697798.12186</v>
      </c>
      <c r="AH10" s="37" t="n">
        <f aca="false">Supuestos!$C$17*(1+Supuestos!$C$36)^5*Estacionalidad!J$12</f>
        <v>1898697798.12186</v>
      </c>
      <c r="AI10" s="37" t="n">
        <f aca="false">Supuestos!$C$17*(1+Supuestos!$C$36)^5*Estacionalidad!K$12</f>
        <v>1898697798.12186</v>
      </c>
      <c r="AJ10" s="37" t="n">
        <f aca="false">Supuestos!$C$17*(1+Supuestos!$C$36)^5*Estacionalidad!L$12</f>
        <v>1942853560.86888</v>
      </c>
      <c r="AK10" s="37" t="n">
        <f aca="false">Supuestos!$C$17*(1+Supuestos!$C$36)^5*Estacionalidad!M$12</f>
        <v>1942853560.86888</v>
      </c>
      <c r="AL10" s="37" t="n">
        <f aca="false">Supuestos!$C$17*(1+Supuestos!$C$36)^5*Estacionalidad!N$12</f>
        <v>1633763221.63974</v>
      </c>
      <c r="AM10" s="37" t="n">
        <f aca="false">Supuestos!$C$17*(1+Supuestos!$C$36)^6*Estacionalidad!C$12</f>
        <v>1545451696.1457</v>
      </c>
      <c r="AN10" s="37" t="n">
        <f aca="false">Supuestos!$C$17*(1+Supuestos!$C$36)^6*Estacionalidad!D$12</f>
        <v>1722074747.13378</v>
      </c>
      <c r="AO10" s="37" t="n">
        <f aca="false">Supuestos!$C$17*(1+Supuestos!$C$36)^6*Estacionalidad!E$12</f>
        <v>1898697798.12186</v>
      </c>
      <c r="AP10" s="37" t="n">
        <f aca="false">Supuestos!$C$17*(1+Supuestos!$C$36)^6*Estacionalidad!F$12</f>
        <v>1898697798.12186</v>
      </c>
      <c r="AQ10" s="37" t="n">
        <f aca="false">Supuestos!$C$17*(1+Supuestos!$C$36)^6*Estacionalidad!G$12</f>
        <v>1898697798.12186</v>
      </c>
      <c r="AR10" s="37" t="n">
        <f aca="false">Supuestos!$C$17*(1+Supuestos!$C$36)^6*Estacionalidad!H$12</f>
        <v>1898697798.12186</v>
      </c>
      <c r="AS10" s="37" t="n">
        <f aca="false">Supuestos!$C$17*(1+Supuestos!$C$36)^6*Estacionalidad!I$12</f>
        <v>1898697798.12186</v>
      </c>
      <c r="AT10" s="37" t="n">
        <f aca="false">Supuestos!$C$17*(1+Supuestos!$C$36)^6*Estacionalidad!J$12</f>
        <v>1898697798.12186</v>
      </c>
      <c r="AU10" s="37" t="n">
        <f aca="false">Supuestos!$C$17*(1+Supuestos!$C$36)^6*Estacionalidad!K$12</f>
        <v>1898697798.12186</v>
      </c>
      <c r="AV10" s="37" t="n">
        <f aca="false">Supuestos!$C$17*(1+Supuestos!$C$36)^6*Estacionalidad!L$12</f>
        <v>1942853560.86888</v>
      </c>
      <c r="AW10" s="37" t="n">
        <f aca="false">Supuestos!$C$17*(1+Supuestos!$C$36)^6*Estacionalidad!M$12</f>
        <v>1942853560.86888</v>
      </c>
      <c r="AX10" s="37" t="n">
        <f aca="false">Supuestos!$C$17*(1+Supuestos!$C$36)^6*Estacionalidad!N$12</f>
        <v>1633763221.63974</v>
      </c>
      <c r="AY10" s="37" t="n">
        <f aca="false">Supuestos!$C$17*(1+Supuestos!$C$36)^7*Estacionalidad!C$12</f>
        <v>1545451696.1457</v>
      </c>
      <c r="AZ10" s="37" t="n">
        <f aca="false">Supuestos!$C$17*(1+Supuestos!$C$36)^7*Estacionalidad!D$12</f>
        <v>1722074747.13378</v>
      </c>
      <c r="BA10" s="37" t="n">
        <f aca="false">Supuestos!$C$17*(1+Supuestos!$C$36)^7*Estacionalidad!E$12</f>
        <v>1898697798.12186</v>
      </c>
      <c r="BB10" s="37" t="n">
        <f aca="false">Supuestos!$C$17*(1+Supuestos!$C$36)^7*Estacionalidad!F$12</f>
        <v>1898697798.12186</v>
      </c>
      <c r="BC10" s="37" t="n">
        <f aca="false">Supuestos!$C$17*(1+Supuestos!$C$36)^7*Estacionalidad!G$12</f>
        <v>1898697798.12186</v>
      </c>
      <c r="BD10" s="37" t="n">
        <f aca="false">Supuestos!$C$17*(1+Supuestos!$C$36)^7*Estacionalidad!H$12</f>
        <v>1898697798.12186</v>
      </c>
      <c r="BE10" s="37" t="n">
        <f aca="false">Supuestos!$C$17*(1+Supuestos!$C$36)^7*Estacionalidad!I$12</f>
        <v>1898697798.12186</v>
      </c>
      <c r="BF10" s="37" t="n">
        <f aca="false">Supuestos!$C$17*(1+Supuestos!$C$36)^7*Estacionalidad!J$12</f>
        <v>1898697798.12186</v>
      </c>
      <c r="BG10" s="37" t="n">
        <f aca="false">Supuestos!$C$17*(1+Supuestos!$C$36)^7*Estacionalidad!K$12</f>
        <v>1898697798.12186</v>
      </c>
      <c r="BH10" s="37" t="n">
        <f aca="false">Supuestos!$C$17*(1+Supuestos!$C$36)^7*Estacionalidad!L$12</f>
        <v>1942853560.86888</v>
      </c>
      <c r="BI10" s="37" t="n">
        <f aca="false">Supuestos!$C$17*(1+Supuestos!$C$36)^7*Estacionalidad!M$12</f>
        <v>1942853560.86888</v>
      </c>
      <c r="BJ10" s="37" t="n">
        <f aca="false">Supuestos!$C$17*(1+Supuestos!$C$36)^7*Estacionalidad!N$12</f>
        <v>1633763221.63974</v>
      </c>
      <c r="BK10" s="37" t="n">
        <f aca="false">Supuestos!$C$17*(1+Supuestos!$C$36)^8*Estacionalidad!C$12</f>
        <v>1545451696.1457</v>
      </c>
      <c r="BL10" s="37" t="n">
        <f aca="false">Supuestos!$C$17*(1+Supuestos!$C$36)^8*Estacionalidad!D$12</f>
        <v>1722074747.13378</v>
      </c>
      <c r="BM10" s="37" t="n">
        <f aca="false">Supuestos!$C$17*(1+Supuestos!$C$36)^8*Estacionalidad!E$12</f>
        <v>1898697798.12186</v>
      </c>
      <c r="BN10" s="37" t="n">
        <f aca="false">Supuestos!$C$17*(1+Supuestos!$C$36)^8*Estacionalidad!F$12</f>
        <v>1898697798.12186</v>
      </c>
      <c r="BO10" s="37" t="n">
        <f aca="false">Supuestos!$C$17*(1+Supuestos!$C$36)^8*Estacionalidad!G$12</f>
        <v>1898697798.12186</v>
      </c>
      <c r="BP10" s="37" t="n">
        <f aca="false">Supuestos!$C$17*(1+Supuestos!$C$36)^8*Estacionalidad!H$12</f>
        <v>1898697798.12186</v>
      </c>
      <c r="BQ10" s="37" t="n">
        <f aca="false">Supuestos!$C$17*(1+Supuestos!$C$36)^8*Estacionalidad!I$12</f>
        <v>1898697798.12186</v>
      </c>
      <c r="BR10" s="37" t="n">
        <f aca="false">Supuestos!$C$17*(1+Supuestos!$C$36)^8*Estacionalidad!J$12</f>
        <v>1898697798.12186</v>
      </c>
      <c r="BS10" s="37" t="n">
        <f aca="false">Supuestos!$C$17*(1+Supuestos!$C$36)^8*Estacionalidad!K$12</f>
        <v>1898697798.12186</v>
      </c>
      <c r="BT10" s="37" t="n">
        <f aca="false">Supuestos!$C$17*(1+Supuestos!$C$36)^8*Estacionalidad!L$12</f>
        <v>1942853560.86888</v>
      </c>
      <c r="BU10" s="37" t="n">
        <f aca="false">Supuestos!$C$17*(1+Supuestos!$C$36)^8*Estacionalidad!M$12</f>
        <v>1942853560.86888</v>
      </c>
      <c r="BV10" s="37" t="n">
        <f aca="false">Supuestos!$C$17*(1+Supuestos!$C$36)^8*Estacionalidad!N$12</f>
        <v>1633763221.63974</v>
      </c>
      <c r="BW10" s="37" t="n">
        <f aca="false">Supuestos!$C$17*(1+Supuestos!$C$36)^9*Estacionalidad!C$12</f>
        <v>1545451696.1457</v>
      </c>
      <c r="BX10" s="37" t="n">
        <f aca="false">Supuestos!$C$17*(1+Supuestos!$C$36)^9*Estacionalidad!D$12</f>
        <v>1722074747.13378</v>
      </c>
      <c r="BY10" s="37" t="n">
        <f aca="false">Supuestos!$C$17*(1+Supuestos!$C$36)^9*Estacionalidad!E$12</f>
        <v>1898697798.12186</v>
      </c>
      <c r="BZ10" s="37" t="n">
        <f aca="false">Supuestos!$C$17*(1+Supuestos!$C$36)^9*Estacionalidad!F$12</f>
        <v>1898697798.12186</v>
      </c>
      <c r="CA10" s="37" t="n">
        <f aca="false">Supuestos!$C$17*(1+Supuestos!$C$36)^9*Estacionalidad!G$12</f>
        <v>1898697798.12186</v>
      </c>
      <c r="CB10" s="37" t="n">
        <f aca="false">Supuestos!$C$17*(1+Supuestos!$C$36)^9*Estacionalidad!H$12</f>
        <v>1898697798.12186</v>
      </c>
      <c r="CC10" s="37" t="n">
        <f aca="false">Supuestos!$C$17*(1+Supuestos!$C$36)^9*Estacionalidad!I$12</f>
        <v>1898697798.12186</v>
      </c>
      <c r="CD10" s="37" t="n">
        <f aca="false">Supuestos!$C$17*(1+Supuestos!$C$36)^9*Estacionalidad!J$12</f>
        <v>1898697798.12186</v>
      </c>
      <c r="CE10" s="37" t="n">
        <f aca="false">Supuestos!$C$17*(1+Supuestos!$C$36)^9*Estacionalidad!K$12</f>
        <v>1898697798.12186</v>
      </c>
      <c r="CF10" s="37" t="n">
        <f aca="false">Supuestos!$C$17*(1+Supuestos!$C$36)^9*Estacionalidad!L$12</f>
        <v>1942853560.86888</v>
      </c>
      <c r="CG10" s="37" t="n">
        <f aca="false">Supuestos!$C$17*(1+Supuestos!$C$36)^9*Estacionalidad!M$12</f>
        <v>1942853560.86888</v>
      </c>
      <c r="CH10" s="37" t="n">
        <f aca="false">Supuestos!$C$17*(1+Supuestos!$C$36)^9*Estacionalidad!N$12</f>
        <v>1633763221.63974</v>
      </c>
      <c r="CI10" s="37" t="n">
        <f aca="false">Supuestos!$C$17*(1+Supuestos!$C$36)^10*Estacionalidad!C$12</f>
        <v>1545451696.1457</v>
      </c>
      <c r="CJ10" s="37" t="n">
        <f aca="false">Supuestos!$C$17*(1+Supuestos!$C$36)^10*Estacionalidad!D$12</f>
        <v>1722074747.13378</v>
      </c>
      <c r="CK10" s="37" t="n">
        <f aca="false">Supuestos!$C$17*(1+Supuestos!$C$36)^10*Estacionalidad!E$12</f>
        <v>1898697798.12186</v>
      </c>
      <c r="CL10" s="37" t="n">
        <f aca="false">Supuestos!$C$17*(1+Supuestos!$C$36)^10*Estacionalidad!F$12</f>
        <v>1898697798.12186</v>
      </c>
      <c r="CM10" s="37" t="n">
        <f aca="false">Supuestos!$C$17*(1+Supuestos!$C$36)^10*Estacionalidad!G$12</f>
        <v>1898697798.12186</v>
      </c>
      <c r="CN10" s="37" t="n">
        <f aca="false">Supuestos!$C$17*(1+Supuestos!$C$36)^10*Estacionalidad!H$12</f>
        <v>1898697798.12186</v>
      </c>
      <c r="CO10" s="37" t="n">
        <f aca="false">Supuestos!$C$17*(1+Supuestos!$C$36)^10*Estacionalidad!I$12</f>
        <v>1898697798.12186</v>
      </c>
      <c r="CP10" s="37" t="n">
        <f aca="false">Supuestos!$C$17*(1+Supuestos!$C$36)^10*Estacionalidad!J$12</f>
        <v>1898697798.12186</v>
      </c>
      <c r="CQ10" s="37" t="n">
        <f aca="false">Supuestos!$C$17*(1+Supuestos!$C$36)^10*Estacionalidad!K$12</f>
        <v>1898697798.12186</v>
      </c>
      <c r="CR10" s="37" t="n">
        <f aca="false">Supuestos!$C$17*(1+Supuestos!$C$36)^10*Estacionalidad!L$12</f>
        <v>1942853560.86888</v>
      </c>
      <c r="CS10" s="37" t="n">
        <f aca="false">Supuestos!$C$17*(1+Supuestos!$C$36)^10*Estacionalidad!M$12</f>
        <v>1942853560.86888</v>
      </c>
      <c r="CT10" s="37" t="n">
        <f aca="false">Supuestos!$C$17*(1+Supuestos!$C$36)^10*Estacionalidad!N$12</f>
        <v>1633763221.63974</v>
      </c>
    </row>
    <row r="11" customFormat="false" ht="15" hidden="false" customHeight="true" outlineLevel="0" collapsed="false">
      <c r="B11" s="15" t="s">
        <v>262</v>
      </c>
      <c r="C11" s="37" t="n">
        <f aca="false">Supuestos!$C$19*(1+Supuestos!$C$36)^3*Estacionalidad!C$13</f>
        <v>8946687283.86159</v>
      </c>
      <c r="D11" s="37" t="n">
        <f aca="false">Supuestos!$C$19*(1+Supuestos!$C$36)^3*Estacionalidad!D$13</f>
        <v>9057140213.29198</v>
      </c>
      <c r="E11" s="37" t="n">
        <f aca="false">Supuestos!$C$19*(1+Supuestos!$C$36)^3*Estacionalidad!E$13</f>
        <v>9278046072.15276</v>
      </c>
      <c r="F11" s="37" t="n">
        <f aca="false">Supuestos!$C$19*(1+Supuestos!$C$36)^3*Estacionalidad!F$13</f>
        <v>9278046072.15276</v>
      </c>
      <c r="G11" s="37" t="n">
        <f aca="false">Supuestos!$C$19*(1+Supuestos!$C$36)^3*Estacionalidad!G$13</f>
        <v>9278046072.15276</v>
      </c>
      <c r="H11" s="37" t="n">
        <f aca="false">Supuestos!$C$19*(1+Supuestos!$C$36)^3*Estacionalidad!H$13</f>
        <v>9278046072.15276</v>
      </c>
      <c r="I11" s="37" t="n">
        <f aca="false">Supuestos!$C$19*(1+Supuestos!$C$36)^3*Estacionalidad!I$13</f>
        <v>9278046072.15276</v>
      </c>
      <c r="J11" s="37" t="n">
        <f aca="false">Supuestos!$C$19*(1+Supuestos!$C$36)^3*Estacionalidad!J$13</f>
        <v>9278046072.15276</v>
      </c>
      <c r="K11" s="37" t="n">
        <f aca="false">Supuestos!$C$19*(1+Supuestos!$C$36)^3*Estacionalidad!K$13</f>
        <v>9278046072.15276</v>
      </c>
      <c r="L11" s="37" t="n">
        <f aca="false">Supuestos!$C$19*(1+Supuestos!$C$36)^3*Estacionalidad!L$13</f>
        <v>9278046072.15276</v>
      </c>
      <c r="M11" s="37" t="n">
        <f aca="false">Supuestos!$C$19*(1+Supuestos!$C$36)^3*Estacionalidad!M$13</f>
        <v>9278046072.15276</v>
      </c>
      <c r="N11" s="37" t="n">
        <f aca="false">Supuestos!$C$19*(1+Supuestos!$C$36)^3*Estacionalidad!N$13</f>
        <v>8946687283.86159</v>
      </c>
      <c r="O11" s="37" t="n">
        <f aca="false">Supuestos!$C$19*(1+Supuestos!$C$36)^4*Estacionalidad!C$13</f>
        <v>8946687283.86159</v>
      </c>
      <c r="P11" s="37" t="n">
        <f aca="false">Supuestos!$C$19*(1+Supuestos!$C$36)^4*Estacionalidad!D$13</f>
        <v>9057140213.29198</v>
      </c>
      <c r="Q11" s="37" t="n">
        <f aca="false">Supuestos!$C$19*(1+Supuestos!$C$36)^4*Estacionalidad!E$13</f>
        <v>9278046072.15276</v>
      </c>
      <c r="R11" s="37" t="n">
        <f aca="false">Supuestos!$C$19*(1+Supuestos!$C$36)^4*Estacionalidad!F$13</f>
        <v>9278046072.15276</v>
      </c>
      <c r="S11" s="37" t="n">
        <f aca="false">Supuestos!$C$19*(1+Supuestos!$C$36)^4*Estacionalidad!G$13</f>
        <v>9278046072.15276</v>
      </c>
      <c r="T11" s="37" t="n">
        <f aca="false">Supuestos!$C$19*(1+Supuestos!$C$36)^4*Estacionalidad!H$13</f>
        <v>9278046072.15276</v>
      </c>
      <c r="U11" s="37" t="n">
        <f aca="false">Supuestos!$C$19*(1+Supuestos!$C$36)^4*Estacionalidad!I$13</f>
        <v>9278046072.15276</v>
      </c>
      <c r="V11" s="37" t="n">
        <f aca="false">Supuestos!$C$19*(1+Supuestos!$C$36)^4*Estacionalidad!J$13</f>
        <v>9278046072.15276</v>
      </c>
      <c r="W11" s="37" t="n">
        <f aca="false">Supuestos!$C$19*(1+Supuestos!$C$36)^4*Estacionalidad!K$13</f>
        <v>9278046072.15276</v>
      </c>
      <c r="X11" s="37" t="n">
        <f aca="false">Supuestos!$C$19*(1+Supuestos!$C$36)^4*Estacionalidad!L$13</f>
        <v>9278046072.15276</v>
      </c>
      <c r="Y11" s="37" t="n">
        <f aca="false">Supuestos!$C$19*(1+Supuestos!$C$36)^4*Estacionalidad!M$13</f>
        <v>9278046072.15276</v>
      </c>
      <c r="Z11" s="37" t="n">
        <f aca="false">Supuestos!$C$19*(1+Supuestos!$C$36)^4*Estacionalidad!N$13</f>
        <v>8946687283.86159</v>
      </c>
      <c r="AA11" s="37" t="n">
        <f aca="false">Supuestos!$C$19*(1+Supuestos!$C$36)^5*Estacionalidad!C$13</f>
        <v>8946687283.86159</v>
      </c>
      <c r="AB11" s="37" t="n">
        <f aca="false">Supuestos!$C$19*(1+Supuestos!$C$36)^5*Estacionalidad!D$13</f>
        <v>9057140213.29198</v>
      </c>
      <c r="AC11" s="37" t="n">
        <f aca="false">Supuestos!$C$19*(1+Supuestos!$C$36)^5*Estacionalidad!E$13</f>
        <v>9278046072.15276</v>
      </c>
      <c r="AD11" s="37" t="n">
        <f aca="false">Supuestos!$C$19*(1+Supuestos!$C$36)^5*Estacionalidad!F$13</f>
        <v>9278046072.15276</v>
      </c>
      <c r="AE11" s="37" t="n">
        <f aca="false">Supuestos!$C$19*(1+Supuestos!$C$36)^5*Estacionalidad!G$13</f>
        <v>9278046072.15276</v>
      </c>
      <c r="AF11" s="37" t="n">
        <f aca="false">Supuestos!$C$19*(1+Supuestos!$C$36)^5*Estacionalidad!H$13</f>
        <v>9278046072.15276</v>
      </c>
      <c r="AG11" s="37" t="n">
        <f aca="false">Supuestos!$C$19*(1+Supuestos!$C$36)^5*Estacionalidad!I$13</f>
        <v>9278046072.15276</v>
      </c>
      <c r="AH11" s="37" t="n">
        <f aca="false">Supuestos!$C$19*(1+Supuestos!$C$36)^5*Estacionalidad!J$13</f>
        <v>9278046072.15276</v>
      </c>
      <c r="AI11" s="37" t="n">
        <f aca="false">Supuestos!$C$19*(1+Supuestos!$C$36)^5*Estacionalidad!K$13</f>
        <v>9278046072.15276</v>
      </c>
      <c r="AJ11" s="37" t="n">
        <f aca="false">Supuestos!$C$19*(1+Supuestos!$C$36)^5*Estacionalidad!L$13</f>
        <v>9278046072.15276</v>
      </c>
      <c r="AK11" s="37" t="n">
        <f aca="false">Supuestos!$C$19*(1+Supuestos!$C$36)^5*Estacionalidad!M$13</f>
        <v>9278046072.15276</v>
      </c>
      <c r="AL11" s="37" t="n">
        <f aca="false">Supuestos!$C$19*(1+Supuestos!$C$36)^5*Estacionalidad!N$13</f>
        <v>8946687283.86159</v>
      </c>
      <c r="AM11" s="37" t="n">
        <f aca="false">Supuestos!$C$19*(1+Supuestos!$C$36)^6*Estacionalidad!C$13</f>
        <v>8946687283.86159</v>
      </c>
      <c r="AN11" s="37" t="n">
        <f aca="false">Supuestos!$C$19*(1+Supuestos!$C$36)^6*Estacionalidad!D$13</f>
        <v>9057140213.29198</v>
      </c>
      <c r="AO11" s="37" t="n">
        <f aca="false">Supuestos!$C$19*(1+Supuestos!$C$36)^6*Estacionalidad!E$13</f>
        <v>9278046072.15276</v>
      </c>
      <c r="AP11" s="37" t="n">
        <f aca="false">Supuestos!$C$19*(1+Supuestos!$C$36)^6*Estacionalidad!F$13</f>
        <v>9278046072.15276</v>
      </c>
      <c r="AQ11" s="37" t="n">
        <f aca="false">Supuestos!$C$19*(1+Supuestos!$C$36)^6*Estacionalidad!G$13</f>
        <v>9278046072.15276</v>
      </c>
      <c r="AR11" s="37" t="n">
        <f aca="false">Supuestos!$C$19*(1+Supuestos!$C$36)^6*Estacionalidad!H$13</f>
        <v>9278046072.15276</v>
      </c>
      <c r="AS11" s="37" t="n">
        <f aca="false">Supuestos!$C$19*(1+Supuestos!$C$36)^6*Estacionalidad!I$13</f>
        <v>9278046072.15276</v>
      </c>
      <c r="AT11" s="37" t="n">
        <f aca="false">Supuestos!$C$19*(1+Supuestos!$C$36)^6*Estacionalidad!J$13</f>
        <v>9278046072.15276</v>
      </c>
      <c r="AU11" s="37" t="n">
        <f aca="false">Supuestos!$C$19*(1+Supuestos!$C$36)^6*Estacionalidad!K$13</f>
        <v>9278046072.15276</v>
      </c>
      <c r="AV11" s="37" t="n">
        <f aca="false">Supuestos!$C$19*(1+Supuestos!$C$36)^6*Estacionalidad!L$13</f>
        <v>9278046072.15276</v>
      </c>
      <c r="AW11" s="37" t="n">
        <f aca="false">Supuestos!$C$19*(1+Supuestos!$C$36)^6*Estacionalidad!M$13</f>
        <v>9278046072.15276</v>
      </c>
      <c r="AX11" s="37" t="n">
        <f aca="false">Supuestos!$C$19*(1+Supuestos!$C$36)^6*Estacionalidad!N$13</f>
        <v>8946687283.86159</v>
      </c>
      <c r="AY11" s="37" t="n">
        <f aca="false">Supuestos!$C$19*(1+Supuestos!$C$36)^7*Estacionalidad!C$13</f>
        <v>8946687283.86159</v>
      </c>
      <c r="AZ11" s="37" t="n">
        <f aca="false">Supuestos!$C$19*(1+Supuestos!$C$36)^7*Estacionalidad!D$13</f>
        <v>9057140213.29198</v>
      </c>
      <c r="BA11" s="37" t="n">
        <f aca="false">Supuestos!$C$19*(1+Supuestos!$C$36)^7*Estacionalidad!E$13</f>
        <v>9278046072.15276</v>
      </c>
      <c r="BB11" s="37" t="n">
        <f aca="false">Supuestos!$C$19*(1+Supuestos!$C$36)^7*Estacionalidad!F$13</f>
        <v>9278046072.15276</v>
      </c>
      <c r="BC11" s="37" t="n">
        <f aca="false">Supuestos!$C$19*(1+Supuestos!$C$36)^7*Estacionalidad!G$13</f>
        <v>9278046072.15276</v>
      </c>
      <c r="BD11" s="37" t="n">
        <f aca="false">Supuestos!$C$19*(1+Supuestos!$C$36)^7*Estacionalidad!H$13</f>
        <v>9278046072.15276</v>
      </c>
      <c r="BE11" s="37" t="n">
        <f aca="false">Supuestos!$C$19*(1+Supuestos!$C$36)^7*Estacionalidad!I$13</f>
        <v>9278046072.15276</v>
      </c>
      <c r="BF11" s="37" t="n">
        <f aca="false">Supuestos!$C$19*(1+Supuestos!$C$36)^7*Estacionalidad!J$13</f>
        <v>9278046072.15276</v>
      </c>
      <c r="BG11" s="37" t="n">
        <f aca="false">Supuestos!$C$19*(1+Supuestos!$C$36)^7*Estacionalidad!K$13</f>
        <v>9278046072.15276</v>
      </c>
      <c r="BH11" s="37" t="n">
        <f aca="false">Supuestos!$C$19*(1+Supuestos!$C$36)^7*Estacionalidad!L$13</f>
        <v>9278046072.15276</v>
      </c>
      <c r="BI11" s="37" t="n">
        <f aca="false">Supuestos!$C$19*(1+Supuestos!$C$36)^7*Estacionalidad!M$13</f>
        <v>9278046072.15276</v>
      </c>
      <c r="BJ11" s="37" t="n">
        <f aca="false">Supuestos!$C$19*(1+Supuestos!$C$36)^7*Estacionalidad!N$13</f>
        <v>8946687283.86159</v>
      </c>
      <c r="BK11" s="37" t="n">
        <f aca="false">Supuestos!$C$19*(1+Supuestos!$C$36)^8*Estacionalidad!C$13</f>
        <v>8946687283.86159</v>
      </c>
      <c r="BL11" s="37" t="n">
        <f aca="false">Supuestos!$C$19*(1+Supuestos!$C$36)^8*Estacionalidad!D$13</f>
        <v>9057140213.29198</v>
      </c>
      <c r="BM11" s="37" t="n">
        <f aca="false">Supuestos!$C$19*(1+Supuestos!$C$36)^8*Estacionalidad!E$13</f>
        <v>9278046072.15276</v>
      </c>
      <c r="BN11" s="37" t="n">
        <f aca="false">Supuestos!$C$19*(1+Supuestos!$C$36)^8*Estacionalidad!F$13</f>
        <v>9278046072.15276</v>
      </c>
      <c r="BO11" s="37" t="n">
        <f aca="false">Supuestos!$C$19*(1+Supuestos!$C$36)^8*Estacionalidad!G$13</f>
        <v>9278046072.15276</v>
      </c>
      <c r="BP11" s="37" t="n">
        <f aca="false">Supuestos!$C$19*(1+Supuestos!$C$36)^8*Estacionalidad!H$13</f>
        <v>9278046072.15276</v>
      </c>
      <c r="BQ11" s="37" t="n">
        <f aca="false">Supuestos!$C$19*(1+Supuestos!$C$36)^8*Estacionalidad!I$13</f>
        <v>9278046072.15276</v>
      </c>
      <c r="BR11" s="37" t="n">
        <f aca="false">Supuestos!$C$19*(1+Supuestos!$C$36)^8*Estacionalidad!J$13</f>
        <v>9278046072.15276</v>
      </c>
      <c r="BS11" s="37" t="n">
        <f aca="false">Supuestos!$C$19*(1+Supuestos!$C$36)^8*Estacionalidad!K$13</f>
        <v>9278046072.15276</v>
      </c>
      <c r="BT11" s="37" t="n">
        <f aca="false">Supuestos!$C$19*(1+Supuestos!$C$36)^8*Estacionalidad!L$13</f>
        <v>9278046072.15276</v>
      </c>
      <c r="BU11" s="37" t="n">
        <f aca="false">Supuestos!$C$19*(1+Supuestos!$C$36)^8*Estacionalidad!M$13</f>
        <v>9278046072.15276</v>
      </c>
      <c r="BV11" s="37" t="n">
        <f aca="false">Supuestos!$C$19*(1+Supuestos!$C$36)^8*Estacionalidad!N$13</f>
        <v>8946687283.86159</v>
      </c>
      <c r="BW11" s="37" t="n">
        <f aca="false">Supuestos!$C$19*(1+Supuestos!$C$36)^9*Estacionalidad!C$13</f>
        <v>8946687283.86159</v>
      </c>
      <c r="BX11" s="37" t="n">
        <f aca="false">Supuestos!$C$19*(1+Supuestos!$C$36)^9*Estacionalidad!D$13</f>
        <v>9057140213.29198</v>
      </c>
      <c r="BY11" s="37" t="n">
        <f aca="false">Supuestos!$C$19*(1+Supuestos!$C$36)^9*Estacionalidad!E$13</f>
        <v>9278046072.15276</v>
      </c>
      <c r="BZ11" s="37" t="n">
        <f aca="false">Supuestos!$C$19*(1+Supuestos!$C$36)^9*Estacionalidad!F$13</f>
        <v>9278046072.15276</v>
      </c>
      <c r="CA11" s="37" t="n">
        <f aca="false">Supuestos!$C$19*(1+Supuestos!$C$36)^9*Estacionalidad!G$13</f>
        <v>9278046072.15276</v>
      </c>
      <c r="CB11" s="37" t="n">
        <f aca="false">Supuestos!$C$19*(1+Supuestos!$C$36)^9*Estacionalidad!H$13</f>
        <v>9278046072.15276</v>
      </c>
      <c r="CC11" s="37" t="n">
        <f aca="false">Supuestos!$C$19*(1+Supuestos!$C$36)^9*Estacionalidad!I$13</f>
        <v>9278046072.15276</v>
      </c>
      <c r="CD11" s="37" t="n">
        <f aca="false">Supuestos!$C$19*(1+Supuestos!$C$36)^9*Estacionalidad!J$13</f>
        <v>9278046072.15276</v>
      </c>
      <c r="CE11" s="37" t="n">
        <f aca="false">Supuestos!$C$19*(1+Supuestos!$C$36)^9*Estacionalidad!K$13</f>
        <v>9278046072.15276</v>
      </c>
      <c r="CF11" s="37" t="n">
        <f aca="false">Supuestos!$C$19*(1+Supuestos!$C$36)^9*Estacionalidad!L$13</f>
        <v>9278046072.15276</v>
      </c>
      <c r="CG11" s="37" t="n">
        <f aca="false">Supuestos!$C$19*(1+Supuestos!$C$36)^9*Estacionalidad!M$13</f>
        <v>9278046072.15276</v>
      </c>
      <c r="CH11" s="37" t="n">
        <f aca="false">Supuestos!$C$19*(1+Supuestos!$C$36)^9*Estacionalidad!N$13</f>
        <v>8946687283.86159</v>
      </c>
      <c r="CI11" s="37" t="n">
        <f aca="false">Supuestos!$C$19*(1+Supuestos!$C$36)^10*Estacionalidad!C$13</f>
        <v>8946687283.86159</v>
      </c>
      <c r="CJ11" s="37" t="n">
        <f aca="false">Supuestos!$C$19*(1+Supuestos!$C$36)^10*Estacionalidad!D$13</f>
        <v>9057140213.29198</v>
      </c>
      <c r="CK11" s="37" t="n">
        <f aca="false">Supuestos!$C$19*(1+Supuestos!$C$36)^10*Estacionalidad!E$13</f>
        <v>9278046072.15276</v>
      </c>
      <c r="CL11" s="37" t="n">
        <f aca="false">Supuestos!$C$19*(1+Supuestos!$C$36)^10*Estacionalidad!F$13</f>
        <v>9278046072.15276</v>
      </c>
      <c r="CM11" s="37" t="n">
        <f aca="false">Supuestos!$C$19*(1+Supuestos!$C$36)^10*Estacionalidad!G$13</f>
        <v>9278046072.15276</v>
      </c>
      <c r="CN11" s="37" t="n">
        <f aca="false">Supuestos!$C$19*(1+Supuestos!$C$36)^10*Estacionalidad!H$13</f>
        <v>9278046072.15276</v>
      </c>
      <c r="CO11" s="37" t="n">
        <f aca="false">Supuestos!$C$19*(1+Supuestos!$C$36)^10*Estacionalidad!I$13</f>
        <v>9278046072.15276</v>
      </c>
      <c r="CP11" s="37" t="n">
        <f aca="false">Supuestos!$C$19*(1+Supuestos!$C$36)^10*Estacionalidad!J$13</f>
        <v>9278046072.15276</v>
      </c>
      <c r="CQ11" s="37" t="n">
        <f aca="false">Supuestos!$C$19*(1+Supuestos!$C$36)^10*Estacionalidad!K$13</f>
        <v>9278046072.15276</v>
      </c>
      <c r="CR11" s="37" t="n">
        <f aca="false">Supuestos!$C$19*(1+Supuestos!$C$36)^10*Estacionalidad!L$13</f>
        <v>9278046072.15276</v>
      </c>
      <c r="CS11" s="37" t="n">
        <f aca="false">Supuestos!$C$19*(1+Supuestos!$C$36)^10*Estacionalidad!M$13</f>
        <v>9278046072.15276</v>
      </c>
      <c r="CT11" s="37" t="n">
        <f aca="false">Supuestos!$C$19*(1+Supuestos!$C$36)^10*Estacionalidad!N$13</f>
        <v>8946687283.86159</v>
      </c>
    </row>
    <row r="12" customFormat="false" ht="15" hidden="false" customHeight="true" outlineLevel="0" collapsed="false">
      <c r="B12" s="45" t="s">
        <v>263</v>
      </c>
      <c r="C12" s="46" t="n">
        <f aca="false">Vecinal!C$8</f>
        <v>1734471280.5078</v>
      </c>
      <c r="D12" s="46" t="n">
        <f aca="false">Vecinal!D$8</f>
        <v>2312628374.0104</v>
      </c>
      <c r="E12" s="46" t="n">
        <f aca="false">Vecinal!E$8</f>
        <v>4625256748.0208</v>
      </c>
      <c r="F12" s="46" t="n">
        <f aca="false">Vecinal!F$8</f>
        <v>5203413841.5234</v>
      </c>
      <c r="G12" s="46" t="n">
        <f aca="false">Vecinal!G$8</f>
        <v>5781570935.026</v>
      </c>
      <c r="H12" s="46" t="n">
        <f aca="false">Vecinal!H$8</f>
        <v>5781570935.026</v>
      </c>
      <c r="I12" s="46" t="n">
        <f aca="false">Vecinal!I$8</f>
        <v>5781570935.026</v>
      </c>
      <c r="J12" s="46" t="n">
        <f aca="false">Vecinal!J$8</f>
        <v>5781570935.026</v>
      </c>
      <c r="K12" s="46" t="n">
        <f aca="false">Vecinal!K$8</f>
        <v>5781570935.026</v>
      </c>
      <c r="L12" s="46" t="n">
        <f aca="false">Vecinal!L$8</f>
        <v>5781570935.026</v>
      </c>
      <c r="M12" s="46" t="n">
        <f aca="false">Vecinal!M$8</f>
        <v>5203413841.5234</v>
      </c>
      <c r="N12" s="46" t="n">
        <f aca="false">Vecinal!N$8</f>
        <v>4047099654.5182</v>
      </c>
      <c r="O12" s="46" t="n">
        <f aca="false">Vecinal!O$8</f>
        <v>1734471280.5078</v>
      </c>
      <c r="P12" s="46" t="n">
        <f aca="false">Vecinal!P$8</f>
        <v>2312628374.0104</v>
      </c>
      <c r="Q12" s="46" t="n">
        <f aca="false">Vecinal!Q$8</f>
        <v>4625256748.0208</v>
      </c>
      <c r="R12" s="46" t="n">
        <f aca="false">Vecinal!R$8</f>
        <v>5203413841.5234</v>
      </c>
      <c r="S12" s="46" t="n">
        <f aca="false">Vecinal!S$8</f>
        <v>5781570935.026</v>
      </c>
      <c r="T12" s="46" t="n">
        <f aca="false">Vecinal!T$8</f>
        <v>5781570935.026</v>
      </c>
      <c r="U12" s="46" t="n">
        <f aca="false">Vecinal!U$8</f>
        <v>5781570935.026</v>
      </c>
      <c r="V12" s="46" t="n">
        <f aca="false">Vecinal!V$8</f>
        <v>5781570935.026</v>
      </c>
      <c r="W12" s="46" t="n">
        <f aca="false">Vecinal!W$8</f>
        <v>5781570935.026</v>
      </c>
      <c r="X12" s="46" t="n">
        <f aca="false">Vecinal!X$8</f>
        <v>5781570935.026</v>
      </c>
      <c r="Y12" s="46" t="n">
        <f aca="false">Vecinal!Y$8</f>
        <v>5203413841.5234</v>
      </c>
      <c r="Z12" s="46" t="n">
        <f aca="false">Vecinal!Z$8</f>
        <v>4047099654.5182</v>
      </c>
      <c r="AA12" s="46" t="n">
        <f aca="false">Vecinal!AA$8</f>
        <v>1734471280.5078</v>
      </c>
      <c r="AB12" s="46" t="n">
        <f aca="false">Vecinal!AB$8</f>
        <v>2312628374.0104</v>
      </c>
      <c r="AC12" s="46" t="n">
        <f aca="false">Vecinal!AC$8</f>
        <v>4625256748.0208</v>
      </c>
      <c r="AD12" s="46" t="n">
        <f aca="false">Vecinal!AD$8</f>
        <v>5203413841.5234</v>
      </c>
      <c r="AE12" s="46" t="n">
        <f aca="false">Vecinal!AE$8</f>
        <v>5781570935.026</v>
      </c>
      <c r="AF12" s="46" t="n">
        <f aca="false">Vecinal!AF$8</f>
        <v>5781570935.026</v>
      </c>
      <c r="AG12" s="46" t="n">
        <f aca="false">Vecinal!AG$8</f>
        <v>5781570935.026</v>
      </c>
      <c r="AH12" s="46" t="n">
        <f aca="false">Vecinal!AH$8</f>
        <v>5781570935.026</v>
      </c>
      <c r="AI12" s="46" t="n">
        <f aca="false">Vecinal!AI$8</f>
        <v>5781570935.026</v>
      </c>
      <c r="AJ12" s="46" t="n">
        <f aca="false">Vecinal!AJ$8</f>
        <v>5781570935.026</v>
      </c>
      <c r="AK12" s="46" t="n">
        <f aca="false">Vecinal!AK$8</f>
        <v>5203413841.5234</v>
      </c>
      <c r="AL12" s="46" t="n">
        <f aca="false">Vecinal!AL$8</f>
        <v>4047099654.5182</v>
      </c>
      <c r="AM12" s="46" t="n">
        <f aca="false">Vecinal!AM$8</f>
        <v>1734471280.5078</v>
      </c>
      <c r="AN12" s="46" t="n">
        <f aca="false">Vecinal!AN$8</f>
        <v>2312628374.0104</v>
      </c>
      <c r="AO12" s="46" t="n">
        <f aca="false">Vecinal!AO$8</f>
        <v>4625256748.0208</v>
      </c>
      <c r="AP12" s="46" t="n">
        <f aca="false">Vecinal!AP$8</f>
        <v>5203413841.5234</v>
      </c>
      <c r="AQ12" s="46" t="n">
        <f aca="false">Vecinal!AQ$8</f>
        <v>5781570935.026</v>
      </c>
      <c r="AR12" s="46" t="n">
        <f aca="false">Vecinal!AR$8</f>
        <v>5781570935.026</v>
      </c>
      <c r="AS12" s="46" t="n">
        <f aca="false">Vecinal!AS$8</f>
        <v>5781570935.026</v>
      </c>
      <c r="AT12" s="46" t="n">
        <f aca="false">Vecinal!AT$8</f>
        <v>5781570935.026</v>
      </c>
      <c r="AU12" s="46" t="n">
        <f aca="false">Vecinal!AU$8</f>
        <v>5781570935.026</v>
      </c>
      <c r="AV12" s="46" t="n">
        <f aca="false">Vecinal!AV$8</f>
        <v>5781570935.026</v>
      </c>
      <c r="AW12" s="46" t="n">
        <f aca="false">Vecinal!AW$8</f>
        <v>5203413841.5234</v>
      </c>
      <c r="AX12" s="46" t="n">
        <f aca="false">Vecinal!AX$8</f>
        <v>4047099654.5182</v>
      </c>
      <c r="AY12" s="46" t="n">
        <f aca="false">Vecinal!AY$8</f>
        <v>1734471280.5078</v>
      </c>
      <c r="AZ12" s="46" t="n">
        <f aca="false">Vecinal!AZ$8</f>
        <v>2312628374.0104</v>
      </c>
      <c r="BA12" s="46" t="n">
        <f aca="false">Vecinal!BA$8</f>
        <v>4625256748.0208</v>
      </c>
      <c r="BB12" s="46" t="n">
        <f aca="false">Vecinal!BB$8</f>
        <v>5203413841.5234</v>
      </c>
      <c r="BC12" s="46" t="n">
        <f aca="false">Vecinal!BC$8</f>
        <v>5781570935.026</v>
      </c>
      <c r="BD12" s="46" t="n">
        <f aca="false">Vecinal!BD$8</f>
        <v>5781570935.026</v>
      </c>
      <c r="BE12" s="46" t="n">
        <f aca="false">Vecinal!BE$8</f>
        <v>5781570935.026</v>
      </c>
      <c r="BF12" s="46" t="n">
        <f aca="false">Vecinal!BF$8</f>
        <v>5781570935.026</v>
      </c>
      <c r="BG12" s="46" t="n">
        <f aca="false">Vecinal!BG$8</f>
        <v>5781570935.026</v>
      </c>
      <c r="BH12" s="46" t="n">
        <f aca="false">Vecinal!BH$8</f>
        <v>5781570935.026</v>
      </c>
      <c r="BI12" s="46" t="n">
        <f aca="false">Vecinal!BI$8</f>
        <v>5203413841.5234</v>
      </c>
      <c r="BJ12" s="46" t="n">
        <f aca="false">Vecinal!BJ$8</f>
        <v>4047099654.5182</v>
      </c>
      <c r="BK12" s="46" t="n">
        <f aca="false">Vecinal!BK$8</f>
        <v>1734471280.5078</v>
      </c>
      <c r="BL12" s="46" t="n">
        <f aca="false">Vecinal!BL$8</f>
        <v>2312628374.0104</v>
      </c>
      <c r="BM12" s="46" t="n">
        <f aca="false">Vecinal!BM$8</f>
        <v>4625256748.0208</v>
      </c>
      <c r="BN12" s="46" t="n">
        <f aca="false">Vecinal!BN$8</f>
        <v>5203413841.5234</v>
      </c>
      <c r="BO12" s="46" t="n">
        <f aca="false">Vecinal!BO$8</f>
        <v>5781570935.026</v>
      </c>
      <c r="BP12" s="46" t="n">
        <f aca="false">Vecinal!BP$8</f>
        <v>5781570935.026</v>
      </c>
      <c r="BQ12" s="46" t="n">
        <f aca="false">Vecinal!BQ$8</f>
        <v>5781570935.026</v>
      </c>
      <c r="BR12" s="46" t="n">
        <f aca="false">Vecinal!BR$8</f>
        <v>5781570935.026</v>
      </c>
      <c r="BS12" s="46" t="n">
        <f aca="false">Vecinal!BS$8</f>
        <v>5781570935.026</v>
      </c>
      <c r="BT12" s="46" t="n">
        <f aca="false">Vecinal!BT$8</f>
        <v>5781570935.026</v>
      </c>
      <c r="BU12" s="46" t="n">
        <f aca="false">Vecinal!BU$8</f>
        <v>5203413841.5234</v>
      </c>
      <c r="BV12" s="46" t="n">
        <f aca="false">Vecinal!BV$8</f>
        <v>4047099654.5182</v>
      </c>
      <c r="BW12" s="46" t="n">
        <f aca="false">Vecinal!BW$8</f>
        <v>1734471280.5078</v>
      </c>
      <c r="BX12" s="46" t="n">
        <f aca="false">Vecinal!BX$8</f>
        <v>2312628374.0104</v>
      </c>
      <c r="BY12" s="46" t="n">
        <f aca="false">Vecinal!BY$8</f>
        <v>4625256748.0208</v>
      </c>
      <c r="BZ12" s="46" t="n">
        <f aca="false">Vecinal!BZ$8</f>
        <v>5203413841.5234</v>
      </c>
      <c r="CA12" s="46" t="n">
        <f aca="false">Vecinal!CA$8</f>
        <v>5781570935.026</v>
      </c>
      <c r="CB12" s="46" t="n">
        <f aca="false">Vecinal!CB$8</f>
        <v>5781570935.026</v>
      </c>
      <c r="CC12" s="46" t="n">
        <f aca="false">Vecinal!CC$8</f>
        <v>5781570935.026</v>
      </c>
      <c r="CD12" s="46" t="n">
        <f aca="false">Vecinal!CD$8</f>
        <v>5781570935.026</v>
      </c>
      <c r="CE12" s="46" t="n">
        <f aca="false">Vecinal!CE$8</f>
        <v>5781570935.026</v>
      </c>
      <c r="CF12" s="46" t="n">
        <f aca="false">Vecinal!CF$8</f>
        <v>5781570935.026</v>
      </c>
      <c r="CG12" s="46" t="n">
        <f aca="false">Vecinal!CG$8</f>
        <v>5203413841.5234</v>
      </c>
      <c r="CH12" s="46" t="n">
        <f aca="false">Vecinal!CH$8</f>
        <v>4047099654.5182</v>
      </c>
      <c r="CI12" s="46" t="n">
        <f aca="false">Vecinal!CI$8</f>
        <v>1734471280.5078</v>
      </c>
      <c r="CJ12" s="46" t="n">
        <f aca="false">Vecinal!CJ$8</f>
        <v>2312628374.0104</v>
      </c>
      <c r="CK12" s="46" t="n">
        <f aca="false">Vecinal!CK$8</f>
        <v>4625256748.0208</v>
      </c>
      <c r="CL12" s="46" t="n">
        <f aca="false">Vecinal!CL$8</f>
        <v>5203413841.5234</v>
      </c>
      <c r="CM12" s="46" t="n">
        <f aca="false">Vecinal!CM$8</f>
        <v>5781570935.026</v>
      </c>
      <c r="CN12" s="46" t="n">
        <f aca="false">Vecinal!CN$8</f>
        <v>5781570935.026</v>
      </c>
      <c r="CO12" s="46" t="n">
        <f aca="false">Vecinal!CO$8</f>
        <v>5781570935.026</v>
      </c>
      <c r="CP12" s="46" t="n">
        <f aca="false">Vecinal!CP$8</f>
        <v>5781570935.026</v>
      </c>
      <c r="CQ12" s="46" t="n">
        <f aca="false">Vecinal!CQ$8</f>
        <v>5781570935.026</v>
      </c>
      <c r="CR12" s="46" t="n">
        <f aca="false">Vecinal!CR$8</f>
        <v>5781570935.026</v>
      </c>
      <c r="CS12" s="46" t="n">
        <f aca="false">Vecinal!CS$8</f>
        <v>5203413841.5234</v>
      </c>
      <c r="CT12" s="46" t="n">
        <f aca="false">Vecinal!CT$8</f>
        <v>4047099654.5182</v>
      </c>
    </row>
    <row r="13" customFormat="false" ht="15" hidden="false" customHeight="true" outlineLevel="0" collapsed="false">
      <c r="B13" s="15" t="s">
        <v>264</v>
      </c>
      <c r="C13" s="37" t="n">
        <f aca="false">Supuestos!$C$23*(1+Supuestos!$C$36)^3*Estacionalidad!C$15</f>
        <v>599546047.326149</v>
      </c>
      <c r="D13" s="37" t="n">
        <f aca="false">Supuestos!$C$23*(1+Supuestos!$C$36)^3*Estacionalidad!D$15</f>
        <v>599546047.326149</v>
      </c>
      <c r="E13" s="37" t="n">
        <f aca="false">Supuestos!$C$23*(1+Supuestos!$C$36)^3*Estacionalidad!E$15</f>
        <v>599546047.326149</v>
      </c>
      <c r="F13" s="37" t="n">
        <f aca="false">Supuestos!$C$23*(1+Supuestos!$C$36)^3*Estacionalidad!F$15</f>
        <v>599546047.326149</v>
      </c>
      <c r="G13" s="37" t="n">
        <f aca="false">Supuestos!$C$23*(1+Supuestos!$C$36)^3*Estacionalidad!G$15</f>
        <v>599546047.326149</v>
      </c>
      <c r="H13" s="37" t="n">
        <f aca="false">Supuestos!$C$23*(1+Supuestos!$C$36)^3*Estacionalidad!H$15</f>
        <v>599546047.326149</v>
      </c>
      <c r="I13" s="37" t="n">
        <f aca="false">Supuestos!$C$23*(1+Supuestos!$C$36)^3*Estacionalidad!I$15</f>
        <v>599546047.326149</v>
      </c>
      <c r="J13" s="37" t="n">
        <f aca="false">Supuestos!$C$23*(1+Supuestos!$C$36)^3*Estacionalidad!J$15</f>
        <v>599546047.326149</v>
      </c>
      <c r="K13" s="37" t="n">
        <f aca="false">Supuestos!$C$23*(1+Supuestos!$C$36)^3*Estacionalidad!K$15</f>
        <v>599546047.326149</v>
      </c>
      <c r="L13" s="37" t="n">
        <f aca="false">Supuestos!$C$23*(1+Supuestos!$C$36)^3*Estacionalidad!L$15</f>
        <v>599546047.326149</v>
      </c>
      <c r="M13" s="37" t="n">
        <f aca="false">Supuestos!$C$23*(1+Supuestos!$C$36)^3*Estacionalidad!M$15</f>
        <v>599546047.326149</v>
      </c>
      <c r="N13" s="37" t="n">
        <f aca="false">Supuestos!$C$23*(1+Supuestos!$C$36)^3*Estacionalidad!N$15</f>
        <v>599546047.326149</v>
      </c>
      <c r="O13" s="37" t="n">
        <f aca="false">Supuestos!$C$23*(1+Supuestos!$C$36)^4*Estacionalidad!C$15</f>
        <v>599546047.326149</v>
      </c>
      <c r="P13" s="37" t="n">
        <f aca="false">Supuestos!$C$23*(1+Supuestos!$C$36)^4*Estacionalidad!D$15</f>
        <v>599546047.326149</v>
      </c>
      <c r="Q13" s="37" t="n">
        <f aca="false">Supuestos!$C$23*(1+Supuestos!$C$36)^4*Estacionalidad!E$15</f>
        <v>599546047.326149</v>
      </c>
      <c r="R13" s="37" t="n">
        <f aca="false">Supuestos!$C$23*(1+Supuestos!$C$36)^4*Estacionalidad!F$15</f>
        <v>599546047.326149</v>
      </c>
      <c r="S13" s="37" t="n">
        <f aca="false">Supuestos!$C$23*(1+Supuestos!$C$36)^4*Estacionalidad!G$15</f>
        <v>599546047.326149</v>
      </c>
      <c r="T13" s="37" t="n">
        <f aca="false">Supuestos!$C$23*(1+Supuestos!$C$36)^4*Estacionalidad!H$15</f>
        <v>599546047.326149</v>
      </c>
      <c r="U13" s="37" t="n">
        <f aca="false">Supuestos!$C$23*(1+Supuestos!$C$36)^4*Estacionalidad!I$15</f>
        <v>599546047.326149</v>
      </c>
      <c r="V13" s="37" t="n">
        <f aca="false">Supuestos!$C$23*(1+Supuestos!$C$36)^4*Estacionalidad!J$15</f>
        <v>599546047.326149</v>
      </c>
      <c r="W13" s="37" t="n">
        <f aca="false">Supuestos!$C$23*(1+Supuestos!$C$36)^4*Estacionalidad!K$15</f>
        <v>599546047.326149</v>
      </c>
      <c r="X13" s="37" t="n">
        <f aca="false">Supuestos!$C$23*(1+Supuestos!$C$36)^4*Estacionalidad!L$15</f>
        <v>599546047.326149</v>
      </c>
      <c r="Y13" s="37" t="n">
        <f aca="false">Supuestos!$C$23*(1+Supuestos!$C$36)^4*Estacionalidad!M$15</f>
        <v>599546047.326149</v>
      </c>
      <c r="Z13" s="37" t="n">
        <f aca="false">Supuestos!$C$23*(1+Supuestos!$C$36)^4*Estacionalidad!N$15</f>
        <v>599546047.326149</v>
      </c>
      <c r="AA13" s="37" t="n">
        <f aca="false">Supuestos!$C$23*(1+Supuestos!$C$36)^5*Estacionalidad!C$15</f>
        <v>599546047.326149</v>
      </c>
      <c r="AB13" s="37" t="n">
        <f aca="false">Supuestos!$C$23*(1+Supuestos!$C$36)^5*Estacionalidad!D$15</f>
        <v>599546047.326149</v>
      </c>
      <c r="AC13" s="37" t="n">
        <f aca="false">Supuestos!$C$23*(1+Supuestos!$C$36)^5*Estacionalidad!E$15</f>
        <v>599546047.326149</v>
      </c>
      <c r="AD13" s="37" t="n">
        <f aca="false">Supuestos!$C$23*(1+Supuestos!$C$36)^5*Estacionalidad!F$15</f>
        <v>599546047.326149</v>
      </c>
      <c r="AE13" s="37" t="n">
        <f aca="false">Supuestos!$C$23*(1+Supuestos!$C$36)^5*Estacionalidad!G$15</f>
        <v>599546047.326149</v>
      </c>
      <c r="AF13" s="37" t="n">
        <f aca="false">Supuestos!$C$23*(1+Supuestos!$C$36)^5*Estacionalidad!H$15</f>
        <v>599546047.326149</v>
      </c>
      <c r="AG13" s="37" t="n">
        <f aca="false">Supuestos!$C$23*(1+Supuestos!$C$36)^5*Estacionalidad!I$15</f>
        <v>599546047.326149</v>
      </c>
      <c r="AH13" s="37" t="n">
        <f aca="false">Supuestos!$C$23*(1+Supuestos!$C$36)^5*Estacionalidad!J$15</f>
        <v>599546047.326149</v>
      </c>
      <c r="AI13" s="37" t="n">
        <f aca="false">Supuestos!$C$23*(1+Supuestos!$C$36)^5*Estacionalidad!K$15</f>
        <v>599546047.326149</v>
      </c>
      <c r="AJ13" s="37" t="n">
        <f aca="false">Supuestos!$C$23*(1+Supuestos!$C$36)^5*Estacionalidad!L$15</f>
        <v>599546047.326149</v>
      </c>
      <c r="AK13" s="37" t="n">
        <f aca="false">Supuestos!$C$23*(1+Supuestos!$C$36)^5*Estacionalidad!M$15</f>
        <v>599546047.326149</v>
      </c>
      <c r="AL13" s="37" t="n">
        <f aca="false">Supuestos!$C$23*(1+Supuestos!$C$36)^5*Estacionalidad!N$15</f>
        <v>599546047.326149</v>
      </c>
      <c r="AM13" s="37" t="n">
        <f aca="false">Supuestos!$C$23*(1+Supuestos!$C$36)^6*Estacionalidad!C$15</f>
        <v>599546047.326149</v>
      </c>
      <c r="AN13" s="37" t="n">
        <f aca="false">Supuestos!$C$23*(1+Supuestos!$C$36)^6*Estacionalidad!D$15</f>
        <v>599546047.326149</v>
      </c>
      <c r="AO13" s="37" t="n">
        <f aca="false">Supuestos!$C$23*(1+Supuestos!$C$36)^6*Estacionalidad!E$15</f>
        <v>599546047.326149</v>
      </c>
      <c r="AP13" s="37" t="n">
        <f aca="false">Supuestos!$C$23*(1+Supuestos!$C$36)^6*Estacionalidad!F$15</f>
        <v>599546047.326149</v>
      </c>
      <c r="AQ13" s="37" t="n">
        <f aca="false">Supuestos!$C$23*(1+Supuestos!$C$36)^6*Estacionalidad!G$15</f>
        <v>599546047.326149</v>
      </c>
      <c r="AR13" s="37" t="n">
        <f aca="false">Supuestos!$C$23*(1+Supuestos!$C$36)^6*Estacionalidad!H$15</f>
        <v>599546047.326149</v>
      </c>
      <c r="AS13" s="37" t="n">
        <f aca="false">Supuestos!$C$23*(1+Supuestos!$C$36)^6*Estacionalidad!I$15</f>
        <v>599546047.326149</v>
      </c>
      <c r="AT13" s="37" t="n">
        <f aca="false">Supuestos!$C$23*(1+Supuestos!$C$36)^6*Estacionalidad!J$15</f>
        <v>599546047.326149</v>
      </c>
      <c r="AU13" s="37" t="n">
        <f aca="false">Supuestos!$C$23*(1+Supuestos!$C$36)^6*Estacionalidad!K$15</f>
        <v>599546047.326149</v>
      </c>
      <c r="AV13" s="37" t="n">
        <f aca="false">Supuestos!$C$23*(1+Supuestos!$C$36)^6*Estacionalidad!L$15</f>
        <v>599546047.326149</v>
      </c>
      <c r="AW13" s="37" t="n">
        <f aca="false">Supuestos!$C$23*(1+Supuestos!$C$36)^6*Estacionalidad!M$15</f>
        <v>599546047.326149</v>
      </c>
      <c r="AX13" s="37" t="n">
        <f aca="false">Supuestos!$C$23*(1+Supuestos!$C$36)^6*Estacionalidad!N$15</f>
        <v>599546047.326149</v>
      </c>
      <c r="AY13" s="37" t="n">
        <f aca="false">Supuestos!$C$23*(1+Supuestos!$C$36)^7*Estacionalidad!C$15</f>
        <v>599546047.326149</v>
      </c>
      <c r="AZ13" s="37" t="n">
        <f aca="false">Supuestos!$C$23*(1+Supuestos!$C$36)^7*Estacionalidad!D$15</f>
        <v>599546047.326149</v>
      </c>
      <c r="BA13" s="37" t="n">
        <f aca="false">Supuestos!$C$23*(1+Supuestos!$C$36)^7*Estacionalidad!E$15</f>
        <v>599546047.326149</v>
      </c>
      <c r="BB13" s="37" t="n">
        <f aca="false">Supuestos!$C$23*(1+Supuestos!$C$36)^7*Estacionalidad!F$15</f>
        <v>599546047.326149</v>
      </c>
      <c r="BC13" s="37" t="n">
        <f aca="false">Supuestos!$C$23*(1+Supuestos!$C$36)^7*Estacionalidad!G$15</f>
        <v>599546047.326149</v>
      </c>
      <c r="BD13" s="37" t="n">
        <f aca="false">Supuestos!$C$23*(1+Supuestos!$C$36)^7*Estacionalidad!H$15</f>
        <v>599546047.326149</v>
      </c>
      <c r="BE13" s="37" t="n">
        <f aca="false">Supuestos!$C$23*(1+Supuestos!$C$36)^7*Estacionalidad!I$15</f>
        <v>599546047.326149</v>
      </c>
      <c r="BF13" s="37" t="n">
        <f aca="false">Supuestos!$C$23*(1+Supuestos!$C$36)^7*Estacionalidad!J$15</f>
        <v>599546047.326149</v>
      </c>
      <c r="BG13" s="37" t="n">
        <f aca="false">Supuestos!$C$23*(1+Supuestos!$C$36)^7*Estacionalidad!K$15</f>
        <v>599546047.326149</v>
      </c>
      <c r="BH13" s="37" t="n">
        <f aca="false">Supuestos!$C$23*(1+Supuestos!$C$36)^7*Estacionalidad!L$15</f>
        <v>599546047.326149</v>
      </c>
      <c r="BI13" s="37" t="n">
        <f aca="false">Supuestos!$C$23*(1+Supuestos!$C$36)^7*Estacionalidad!M$15</f>
        <v>599546047.326149</v>
      </c>
      <c r="BJ13" s="37" t="n">
        <f aca="false">Supuestos!$C$23*(1+Supuestos!$C$36)^7*Estacionalidad!N$15</f>
        <v>599546047.326149</v>
      </c>
      <c r="BK13" s="37" t="n">
        <f aca="false">Supuestos!$C$23*(1+Supuestos!$C$36)^8*Estacionalidad!C$15</f>
        <v>599546047.326149</v>
      </c>
      <c r="BL13" s="37" t="n">
        <f aca="false">Supuestos!$C$23*(1+Supuestos!$C$36)^8*Estacionalidad!D$15</f>
        <v>599546047.326149</v>
      </c>
      <c r="BM13" s="37" t="n">
        <f aca="false">Supuestos!$C$23*(1+Supuestos!$C$36)^8*Estacionalidad!E$15</f>
        <v>599546047.326149</v>
      </c>
      <c r="BN13" s="37" t="n">
        <f aca="false">Supuestos!$C$23*(1+Supuestos!$C$36)^8*Estacionalidad!F$15</f>
        <v>599546047.326149</v>
      </c>
      <c r="BO13" s="37" t="n">
        <f aca="false">Supuestos!$C$23*(1+Supuestos!$C$36)^8*Estacionalidad!G$15</f>
        <v>599546047.326149</v>
      </c>
      <c r="BP13" s="37" t="n">
        <f aca="false">Supuestos!$C$23*(1+Supuestos!$C$36)^8*Estacionalidad!H$15</f>
        <v>599546047.326149</v>
      </c>
      <c r="BQ13" s="37" t="n">
        <f aca="false">Supuestos!$C$23*(1+Supuestos!$C$36)^8*Estacionalidad!I$15</f>
        <v>599546047.326149</v>
      </c>
      <c r="BR13" s="37" t="n">
        <f aca="false">Supuestos!$C$23*(1+Supuestos!$C$36)^8*Estacionalidad!J$15</f>
        <v>599546047.326149</v>
      </c>
      <c r="BS13" s="37" t="n">
        <f aca="false">Supuestos!$C$23*(1+Supuestos!$C$36)^8*Estacionalidad!K$15</f>
        <v>599546047.326149</v>
      </c>
      <c r="BT13" s="37" t="n">
        <f aca="false">Supuestos!$C$23*(1+Supuestos!$C$36)^8*Estacionalidad!L$15</f>
        <v>599546047.326149</v>
      </c>
      <c r="BU13" s="37" t="n">
        <f aca="false">Supuestos!$C$23*(1+Supuestos!$C$36)^8*Estacionalidad!M$15</f>
        <v>599546047.326149</v>
      </c>
      <c r="BV13" s="37" t="n">
        <f aca="false">Supuestos!$C$23*(1+Supuestos!$C$36)^8*Estacionalidad!N$15</f>
        <v>599546047.326149</v>
      </c>
      <c r="BW13" s="37" t="n">
        <f aca="false">Supuestos!$C$23*(1+Supuestos!$C$36)^9*Estacionalidad!C$15</f>
        <v>599546047.326149</v>
      </c>
      <c r="BX13" s="37" t="n">
        <f aca="false">Supuestos!$C$23*(1+Supuestos!$C$36)^9*Estacionalidad!D$15</f>
        <v>599546047.326149</v>
      </c>
      <c r="BY13" s="37" t="n">
        <f aca="false">Supuestos!$C$23*(1+Supuestos!$C$36)^9*Estacionalidad!E$15</f>
        <v>599546047.326149</v>
      </c>
      <c r="BZ13" s="37" t="n">
        <f aca="false">Supuestos!$C$23*(1+Supuestos!$C$36)^9*Estacionalidad!F$15</f>
        <v>599546047.326149</v>
      </c>
      <c r="CA13" s="37" t="n">
        <f aca="false">Supuestos!$C$23*(1+Supuestos!$C$36)^9*Estacionalidad!G$15</f>
        <v>599546047.326149</v>
      </c>
      <c r="CB13" s="37" t="n">
        <f aca="false">Supuestos!$C$23*(1+Supuestos!$C$36)^9*Estacionalidad!H$15</f>
        <v>599546047.326149</v>
      </c>
      <c r="CC13" s="37" t="n">
        <f aca="false">Supuestos!$C$23*(1+Supuestos!$C$36)^9*Estacionalidad!I$15</f>
        <v>599546047.326149</v>
      </c>
      <c r="CD13" s="37" t="n">
        <f aca="false">Supuestos!$C$23*(1+Supuestos!$C$36)^9*Estacionalidad!J$15</f>
        <v>599546047.326149</v>
      </c>
      <c r="CE13" s="37" t="n">
        <f aca="false">Supuestos!$C$23*(1+Supuestos!$C$36)^9*Estacionalidad!K$15</f>
        <v>599546047.326149</v>
      </c>
      <c r="CF13" s="37" t="n">
        <f aca="false">Supuestos!$C$23*(1+Supuestos!$C$36)^9*Estacionalidad!L$15</f>
        <v>599546047.326149</v>
      </c>
      <c r="CG13" s="37" t="n">
        <f aca="false">Supuestos!$C$23*(1+Supuestos!$C$36)^9*Estacionalidad!M$15</f>
        <v>599546047.326149</v>
      </c>
      <c r="CH13" s="37" t="n">
        <f aca="false">Supuestos!$C$23*(1+Supuestos!$C$36)^9*Estacionalidad!N$15</f>
        <v>599546047.326149</v>
      </c>
      <c r="CI13" s="37" t="n">
        <f aca="false">Supuestos!$C$23*(1+Supuestos!$C$36)^10*Estacionalidad!C$15</f>
        <v>599546047.326149</v>
      </c>
      <c r="CJ13" s="37" t="n">
        <f aca="false">Supuestos!$C$23*(1+Supuestos!$C$36)^10*Estacionalidad!D$15</f>
        <v>599546047.326149</v>
      </c>
      <c r="CK13" s="37" t="n">
        <f aca="false">Supuestos!$C$23*(1+Supuestos!$C$36)^10*Estacionalidad!E$15</f>
        <v>599546047.326149</v>
      </c>
      <c r="CL13" s="37" t="n">
        <f aca="false">Supuestos!$C$23*(1+Supuestos!$C$36)^10*Estacionalidad!F$15</f>
        <v>599546047.326149</v>
      </c>
      <c r="CM13" s="37" t="n">
        <f aca="false">Supuestos!$C$23*(1+Supuestos!$C$36)^10*Estacionalidad!G$15</f>
        <v>599546047.326149</v>
      </c>
      <c r="CN13" s="37" t="n">
        <f aca="false">Supuestos!$C$23*(1+Supuestos!$C$36)^10*Estacionalidad!H$15</f>
        <v>599546047.326149</v>
      </c>
      <c r="CO13" s="37" t="n">
        <f aca="false">Supuestos!$C$23*(1+Supuestos!$C$36)^10*Estacionalidad!I$15</f>
        <v>599546047.326149</v>
      </c>
      <c r="CP13" s="37" t="n">
        <f aca="false">Supuestos!$C$23*(1+Supuestos!$C$36)^10*Estacionalidad!J$15</f>
        <v>599546047.326149</v>
      </c>
      <c r="CQ13" s="37" t="n">
        <f aca="false">Supuestos!$C$23*(1+Supuestos!$C$36)^10*Estacionalidad!K$15</f>
        <v>599546047.326149</v>
      </c>
      <c r="CR13" s="37" t="n">
        <f aca="false">Supuestos!$C$23*(1+Supuestos!$C$36)^10*Estacionalidad!L$15</f>
        <v>599546047.326149</v>
      </c>
      <c r="CS13" s="37" t="n">
        <f aca="false">Supuestos!$C$23*(1+Supuestos!$C$36)^10*Estacionalidad!M$15</f>
        <v>599546047.326149</v>
      </c>
      <c r="CT13" s="37" t="n">
        <f aca="false">Supuestos!$C$23*(1+Supuestos!$C$36)^10*Estacionalidad!N$15</f>
        <v>599546047.326149</v>
      </c>
    </row>
    <row r="14" customFormat="false" ht="15" hidden="false" customHeight="true" outlineLevel="0" collapsed="false">
      <c r="B14" s="15" t="s">
        <v>265</v>
      </c>
      <c r="C14" s="37" t="n">
        <f aca="false">Supuestos!$C$25*Estacionalidad!C$15</f>
        <v>17036822.969663</v>
      </c>
      <c r="D14" s="37" t="n">
        <f aca="false">Supuestos!$C$25*Estacionalidad!D$15</f>
        <v>17036822.969663</v>
      </c>
      <c r="E14" s="37" t="n">
        <f aca="false">Supuestos!$C$25*Estacionalidad!E$15</f>
        <v>17036822.969663</v>
      </c>
      <c r="F14" s="37" t="n">
        <f aca="false">Supuestos!$C$25*Estacionalidad!F$15</f>
        <v>17036822.969663</v>
      </c>
      <c r="G14" s="37" t="n">
        <f aca="false">Supuestos!$C$25*Estacionalidad!G$15</f>
        <v>17036822.969663</v>
      </c>
      <c r="H14" s="37" t="n">
        <f aca="false">Supuestos!$C$25*Estacionalidad!H$15</f>
        <v>17036822.969663</v>
      </c>
      <c r="I14" s="37" t="n">
        <f aca="false">Supuestos!$C$25*Estacionalidad!I$15</f>
        <v>17036822.969663</v>
      </c>
      <c r="J14" s="37" t="n">
        <f aca="false">Supuestos!$C$25*Estacionalidad!J$15</f>
        <v>17036822.969663</v>
      </c>
      <c r="K14" s="37" t="n">
        <f aca="false">Supuestos!$C$25*Estacionalidad!K$15</f>
        <v>17036822.969663</v>
      </c>
      <c r="L14" s="37" t="n">
        <f aca="false">Supuestos!$C$25*Estacionalidad!L$15</f>
        <v>17036822.969663</v>
      </c>
      <c r="M14" s="37" t="n">
        <f aca="false">Supuestos!$C$25*Estacionalidad!M$15</f>
        <v>17036822.969663</v>
      </c>
      <c r="N14" s="37" t="n">
        <f aca="false">Supuestos!$C$25*Estacionalidad!N$15</f>
        <v>17036822.969663</v>
      </c>
      <c r="O14" s="37" t="n">
        <f aca="false">Supuestos!$C$25*Estacionalidad!C$15</f>
        <v>17036822.969663</v>
      </c>
      <c r="P14" s="37" t="n">
        <f aca="false">Supuestos!$C$25*Estacionalidad!D$15</f>
        <v>17036822.969663</v>
      </c>
      <c r="Q14" s="37" t="n">
        <f aca="false">Supuestos!$C$25*Estacionalidad!E$15</f>
        <v>17036822.969663</v>
      </c>
      <c r="R14" s="37" t="n">
        <f aca="false">Supuestos!$C$25*Estacionalidad!F$15</f>
        <v>17036822.969663</v>
      </c>
      <c r="S14" s="37" t="n">
        <f aca="false">Supuestos!$C$25*Estacionalidad!G$15</f>
        <v>17036822.969663</v>
      </c>
      <c r="T14" s="37" t="n">
        <f aca="false">Supuestos!$C$25*Estacionalidad!H$15</f>
        <v>17036822.969663</v>
      </c>
      <c r="U14" s="37" t="n">
        <f aca="false">Supuestos!$C$25*Estacionalidad!I$15</f>
        <v>17036822.969663</v>
      </c>
      <c r="V14" s="37" t="n">
        <f aca="false">Supuestos!$C$25*Estacionalidad!J$15</f>
        <v>17036822.969663</v>
      </c>
      <c r="W14" s="37" t="n">
        <f aca="false">Supuestos!$C$25*Estacionalidad!K$15</f>
        <v>17036822.969663</v>
      </c>
      <c r="X14" s="37" t="n">
        <f aca="false">Supuestos!$C$25*Estacionalidad!L$15</f>
        <v>17036822.969663</v>
      </c>
      <c r="Y14" s="37" t="n">
        <f aca="false">Supuestos!$C$25*Estacionalidad!M$15</f>
        <v>17036822.969663</v>
      </c>
      <c r="Z14" s="37" t="n">
        <f aca="false">Supuestos!$C$25*Estacionalidad!N$15</f>
        <v>17036822.969663</v>
      </c>
      <c r="AA14" s="37" t="n">
        <f aca="false">Supuestos!$C$25*Estacionalidad!C$15</f>
        <v>17036822.969663</v>
      </c>
      <c r="AB14" s="37" t="n">
        <f aca="false">Supuestos!$C$25*Estacionalidad!D$15</f>
        <v>17036822.969663</v>
      </c>
      <c r="AC14" s="37" t="n">
        <f aca="false">Supuestos!$C$25*Estacionalidad!E$15</f>
        <v>17036822.969663</v>
      </c>
      <c r="AD14" s="37" t="n">
        <f aca="false">Supuestos!$C$25*Estacionalidad!F$15</f>
        <v>17036822.969663</v>
      </c>
      <c r="AE14" s="37" t="n">
        <f aca="false">Supuestos!$C$25*Estacionalidad!G$15</f>
        <v>17036822.969663</v>
      </c>
      <c r="AF14" s="37" t="n">
        <f aca="false">Supuestos!$C$25*Estacionalidad!H$15</f>
        <v>17036822.969663</v>
      </c>
      <c r="AG14" s="37" t="n">
        <f aca="false">Supuestos!$C$25*Estacionalidad!I$15</f>
        <v>17036822.969663</v>
      </c>
      <c r="AH14" s="37" t="n">
        <f aca="false">Supuestos!$C$25*Estacionalidad!J$15</f>
        <v>17036822.969663</v>
      </c>
      <c r="AI14" s="37" t="n">
        <f aca="false">Supuestos!$C$25*Estacionalidad!K$15</f>
        <v>17036822.969663</v>
      </c>
      <c r="AJ14" s="37" t="n">
        <f aca="false">Supuestos!$C$25*Estacionalidad!L$15</f>
        <v>17036822.969663</v>
      </c>
      <c r="AK14" s="37" t="n">
        <f aca="false">Supuestos!$C$25*Estacionalidad!M$15</f>
        <v>17036822.969663</v>
      </c>
      <c r="AL14" s="37" t="n">
        <f aca="false">Supuestos!$C$25*Estacionalidad!N$15</f>
        <v>17036822.969663</v>
      </c>
      <c r="AM14" s="37" t="n">
        <f aca="false">Supuestos!$C$25*Estacionalidad!C$15</f>
        <v>17036822.969663</v>
      </c>
      <c r="AN14" s="37" t="n">
        <f aca="false">Supuestos!$C$25*Estacionalidad!D$15</f>
        <v>17036822.969663</v>
      </c>
      <c r="AO14" s="37" t="n">
        <f aca="false">Supuestos!$C$25*Estacionalidad!E$15</f>
        <v>17036822.969663</v>
      </c>
      <c r="AP14" s="37" t="n">
        <f aca="false">Supuestos!$C$25*Estacionalidad!F$15</f>
        <v>17036822.969663</v>
      </c>
      <c r="AQ14" s="37" t="n">
        <f aca="false">Supuestos!$C$25*Estacionalidad!G$15</f>
        <v>17036822.969663</v>
      </c>
      <c r="AR14" s="37" t="n">
        <f aca="false">Supuestos!$C$25*Estacionalidad!H$15</f>
        <v>17036822.969663</v>
      </c>
      <c r="AS14" s="37" t="n">
        <f aca="false">Supuestos!$C$25*Estacionalidad!I$15</f>
        <v>17036822.969663</v>
      </c>
      <c r="AT14" s="37" t="n">
        <f aca="false">Supuestos!$C$25*Estacionalidad!J$15</f>
        <v>17036822.969663</v>
      </c>
      <c r="AU14" s="37" t="n">
        <f aca="false">Supuestos!$C$25*Estacionalidad!K$15</f>
        <v>17036822.969663</v>
      </c>
      <c r="AV14" s="37" t="n">
        <f aca="false">Supuestos!$C$25*Estacionalidad!L$15</f>
        <v>17036822.969663</v>
      </c>
      <c r="AW14" s="37" t="n">
        <f aca="false">Supuestos!$C$25*Estacionalidad!M$15</f>
        <v>17036822.969663</v>
      </c>
      <c r="AX14" s="37" t="n">
        <f aca="false">Supuestos!$C$25*Estacionalidad!N$15</f>
        <v>17036822.969663</v>
      </c>
      <c r="AY14" s="37" t="n">
        <f aca="false">Supuestos!$C$25*Estacionalidad!C$15</f>
        <v>17036822.969663</v>
      </c>
      <c r="AZ14" s="37" t="n">
        <f aca="false">Supuestos!$C$25*Estacionalidad!D$15</f>
        <v>17036822.969663</v>
      </c>
      <c r="BA14" s="37" t="n">
        <f aca="false">Supuestos!$C$25*Estacionalidad!E$15</f>
        <v>17036822.969663</v>
      </c>
      <c r="BB14" s="37" t="n">
        <f aca="false">Supuestos!$C$25*Estacionalidad!F$15</f>
        <v>17036822.969663</v>
      </c>
      <c r="BC14" s="37" t="n">
        <f aca="false">Supuestos!$C$25*Estacionalidad!G$15</f>
        <v>17036822.969663</v>
      </c>
      <c r="BD14" s="37" t="n">
        <f aca="false">Supuestos!$C$25*Estacionalidad!H$15</f>
        <v>17036822.969663</v>
      </c>
      <c r="BE14" s="37" t="n">
        <f aca="false">Supuestos!$C$25*Estacionalidad!I$15</f>
        <v>17036822.969663</v>
      </c>
      <c r="BF14" s="37" t="n">
        <f aca="false">Supuestos!$C$25*Estacionalidad!J$15</f>
        <v>17036822.969663</v>
      </c>
      <c r="BG14" s="37" t="n">
        <f aca="false">Supuestos!$C$25*Estacionalidad!K$15</f>
        <v>17036822.969663</v>
      </c>
      <c r="BH14" s="37" t="n">
        <f aca="false">Supuestos!$C$25*Estacionalidad!L$15</f>
        <v>17036822.969663</v>
      </c>
      <c r="BI14" s="37" t="n">
        <f aca="false">Supuestos!$C$25*Estacionalidad!M$15</f>
        <v>17036822.969663</v>
      </c>
      <c r="BJ14" s="37" t="n">
        <f aca="false">Supuestos!$C$25*Estacionalidad!N$15</f>
        <v>17036822.969663</v>
      </c>
      <c r="BK14" s="37" t="n">
        <f aca="false">Supuestos!$C$25*Estacionalidad!C$15</f>
        <v>17036822.969663</v>
      </c>
      <c r="BL14" s="37" t="n">
        <f aca="false">Supuestos!$C$25*Estacionalidad!D$15</f>
        <v>17036822.969663</v>
      </c>
      <c r="BM14" s="37" t="n">
        <f aca="false">Supuestos!$C$25*Estacionalidad!E$15</f>
        <v>17036822.969663</v>
      </c>
      <c r="BN14" s="37" t="n">
        <f aca="false">Supuestos!$C$25*Estacionalidad!F$15</f>
        <v>17036822.969663</v>
      </c>
      <c r="BO14" s="37" t="n">
        <f aca="false">Supuestos!$C$25*Estacionalidad!G$15</f>
        <v>17036822.969663</v>
      </c>
      <c r="BP14" s="37" t="n">
        <f aca="false">Supuestos!$C$25*Estacionalidad!H$15</f>
        <v>17036822.969663</v>
      </c>
      <c r="BQ14" s="37" t="n">
        <f aca="false">Supuestos!$C$25*Estacionalidad!I$15</f>
        <v>17036822.969663</v>
      </c>
      <c r="BR14" s="37" t="n">
        <f aca="false">Supuestos!$C$25*Estacionalidad!J$15</f>
        <v>17036822.969663</v>
      </c>
      <c r="BS14" s="37" t="n">
        <f aca="false">Supuestos!$C$25*Estacionalidad!K$15</f>
        <v>17036822.969663</v>
      </c>
      <c r="BT14" s="37" t="n">
        <f aca="false">Supuestos!$C$25*Estacionalidad!L$15</f>
        <v>17036822.969663</v>
      </c>
      <c r="BU14" s="37" t="n">
        <f aca="false">Supuestos!$C$25*Estacionalidad!M$15</f>
        <v>17036822.969663</v>
      </c>
      <c r="BV14" s="37" t="n">
        <f aca="false">Supuestos!$C$25*Estacionalidad!N$15</f>
        <v>17036822.969663</v>
      </c>
      <c r="BW14" s="37" t="n">
        <f aca="false">Supuestos!$C$25*Estacionalidad!C$15</f>
        <v>17036822.969663</v>
      </c>
      <c r="BX14" s="37" t="n">
        <f aca="false">Supuestos!$C$25*Estacionalidad!D$15</f>
        <v>17036822.969663</v>
      </c>
      <c r="BY14" s="37" t="n">
        <f aca="false">Supuestos!$C$25*Estacionalidad!E$15</f>
        <v>17036822.969663</v>
      </c>
      <c r="BZ14" s="37" t="n">
        <f aca="false">Supuestos!$C$25*Estacionalidad!F$15</f>
        <v>17036822.969663</v>
      </c>
      <c r="CA14" s="37" t="n">
        <f aca="false">Supuestos!$C$25*Estacionalidad!G$15</f>
        <v>17036822.969663</v>
      </c>
      <c r="CB14" s="37" t="n">
        <f aca="false">Supuestos!$C$25*Estacionalidad!H$15</f>
        <v>17036822.969663</v>
      </c>
      <c r="CC14" s="37" t="n">
        <f aca="false">Supuestos!$C$25*Estacionalidad!I$15</f>
        <v>17036822.969663</v>
      </c>
      <c r="CD14" s="37" t="n">
        <f aca="false">Supuestos!$C$25*Estacionalidad!J$15</f>
        <v>17036822.969663</v>
      </c>
      <c r="CE14" s="37" t="n">
        <f aca="false">Supuestos!$C$25*Estacionalidad!K$15</f>
        <v>17036822.969663</v>
      </c>
      <c r="CF14" s="37" t="n">
        <f aca="false">Supuestos!$C$25*Estacionalidad!L$15</f>
        <v>17036822.969663</v>
      </c>
      <c r="CG14" s="37" t="n">
        <f aca="false">Supuestos!$C$25*Estacionalidad!M$15</f>
        <v>17036822.969663</v>
      </c>
      <c r="CH14" s="37" t="n">
        <f aca="false">Supuestos!$C$25*Estacionalidad!N$15</f>
        <v>17036822.969663</v>
      </c>
      <c r="CI14" s="37" t="n">
        <f aca="false">Supuestos!$C$25*Estacionalidad!C$15</f>
        <v>17036822.969663</v>
      </c>
      <c r="CJ14" s="37" t="n">
        <f aca="false">Supuestos!$C$25*Estacionalidad!D$15</f>
        <v>17036822.969663</v>
      </c>
      <c r="CK14" s="37" t="n">
        <f aca="false">Supuestos!$C$25*Estacionalidad!E$15</f>
        <v>17036822.969663</v>
      </c>
      <c r="CL14" s="37" t="n">
        <f aca="false">Supuestos!$C$25*Estacionalidad!F$15</f>
        <v>17036822.969663</v>
      </c>
      <c r="CM14" s="37" t="n">
        <f aca="false">Supuestos!$C$25*Estacionalidad!G$15</f>
        <v>17036822.969663</v>
      </c>
      <c r="CN14" s="37" t="n">
        <f aca="false">Supuestos!$C$25*Estacionalidad!H$15</f>
        <v>17036822.969663</v>
      </c>
      <c r="CO14" s="37" t="n">
        <f aca="false">Supuestos!$C$25*Estacionalidad!I$15</f>
        <v>17036822.969663</v>
      </c>
      <c r="CP14" s="37" t="n">
        <f aca="false">Supuestos!$C$25*Estacionalidad!J$15</f>
        <v>17036822.969663</v>
      </c>
      <c r="CQ14" s="37" t="n">
        <f aca="false">Supuestos!$C$25*Estacionalidad!K$15</f>
        <v>17036822.969663</v>
      </c>
      <c r="CR14" s="37" t="n">
        <f aca="false">Supuestos!$C$25*Estacionalidad!L$15</f>
        <v>17036822.969663</v>
      </c>
      <c r="CS14" s="37" t="n">
        <f aca="false">Supuestos!$C$25*Estacionalidad!M$15</f>
        <v>17036822.969663</v>
      </c>
      <c r="CT14" s="37" t="n">
        <f aca="false">Supuestos!$C$25*Estacionalidad!N$15</f>
        <v>17036822.969663</v>
      </c>
    </row>
    <row r="15" customFormat="false" ht="15" hidden="false" customHeight="true" outlineLevel="0" collapsed="false">
      <c r="B15" s="45" t="s">
        <v>266</v>
      </c>
      <c r="C15" s="46" t="n">
        <f aca="false">Deuda!C$9</f>
        <v>1532345367.91667</v>
      </c>
      <c r="D15" s="46" t="n">
        <f aca="false">Deuda!D$9</f>
        <v>1532345367.91667</v>
      </c>
      <c r="E15" s="46" t="n">
        <f aca="false">Deuda!E$9</f>
        <v>1532345367.91667</v>
      </c>
      <c r="F15" s="46" t="n">
        <f aca="false">Deuda!F$9</f>
        <v>1532345367.91667</v>
      </c>
      <c r="G15" s="46" t="n">
        <f aca="false">Deuda!G$9</f>
        <v>1532345367.91667</v>
      </c>
      <c r="H15" s="46" t="n">
        <f aca="false">Deuda!H$9</f>
        <v>1532345367.91667</v>
      </c>
      <c r="I15" s="46" t="n">
        <f aca="false">Deuda!I$9</f>
        <v>1532345367.91667</v>
      </c>
      <c r="J15" s="46" t="n">
        <f aca="false">Deuda!J$9</f>
        <v>1532345367.91667</v>
      </c>
      <c r="K15" s="46" t="n">
        <f aca="false">Deuda!K$9</f>
        <v>1532345367.91667</v>
      </c>
      <c r="L15" s="46" t="n">
        <f aca="false">Deuda!L$9</f>
        <v>1532345367.91667</v>
      </c>
      <c r="M15" s="46" t="n">
        <f aca="false">Deuda!M$9</f>
        <v>1532345367.91667</v>
      </c>
      <c r="N15" s="46" t="n">
        <f aca="false">Deuda!N$9</f>
        <v>1532345367.91667</v>
      </c>
      <c r="O15" s="46" t="n">
        <f aca="false">Deuda!O$9</f>
        <v>1532345367.91667</v>
      </c>
      <c r="P15" s="46" t="n">
        <f aca="false">Deuda!P$9</f>
        <v>1532345367.91667</v>
      </c>
      <c r="Q15" s="46" t="n">
        <f aca="false">Deuda!Q$9</f>
        <v>1532345367.91667</v>
      </c>
      <c r="R15" s="46" t="n">
        <f aca="false">Deuda!R$9</f>
        <v>1532345367.91667</v>
      </c>
      <c r="S15" s="46" t="n">
        <f aca="false">Deuda!S$9</f>
        <v>1532345367.91667</v>
      </c>
      <c r="T15" s="46" t="n">
        <f aca="false">Deuda!T$9</f>
        <v>1532345367.91667</v>
      </c>
      <c r="U15" s="46" t="n">
        <f aca="false">Deuda!U$9</f>
        <v>1532345367.91667</v>
      </c>
      <c r="V15" s="46" t="n">
        <f aca="false">Deuda!V$9</f>
        <v>1532345367.91667</v>
      </c>
      <c r="W15" s="46" t="n">
        <f aca="false">Deuda!W$9</f>
        <v>1532345367.91667</v>
      </c>
      <c r="X15" s="46" t="n">
        <f aca="false">Deuda!X$9</f>
        <v>282345367.916667</v>
      </c>
      <c r="Y15" s="46" t="n">
        <f aca="false">Deuda!Y$9</f>
        <v>282345367.916667</v>
      </c>
      <c r="Z15" s="46" t="n">
        <f aca="false">Deuda!Z$9</f>
        <v>282345367.916667</v>
      </c>
      <c r="AA15" s="46" t="n">
        <f aca="false">Deuda!AA$9</f>
        <v>282345367.916667</v>
      </c>
      <c r="AB15" s="46" t="n">
        <f aca="false">Deuda!AB$9</f>
        <v>282345367.916667</v>
      </c>
      <c r="AC15" s="46" t="n">
        <f aca="false">Deuda!AC$9</f>
        <v>282345367.916667</v>
      </c>
      <c r="AD15" s="46" t="n">
        <f aca="false">Deuda!AD$9</f>
        <v>282345367.916667</v>
      </c>
      <c r="AE15" s="46" t="n">
        <f aca="false">Deuda!AE$9</f>
        <v>282345367.916667</v>
      </c>
      <c r="AF15" s="46" t="n">
        <f aca="false">Deuda!AF$9</f>
        <v>282345367.916667</v>
      </c>
      <c r="AG15" s="46" t="n">
        <f aca="false">Deuda!AG$9</f>
        <v>282345367.916667</v>
      </c>
      <c r="AH15" s="46" t="n">
        <f aca="false">Deuda!AH$9</f>
        <v>207622093.583322</v>
      </c>
      <c r="AI15" s="46" t="n">
        <f aca="false">Deuda!AI$9</f>
        <v>0</v>
      </c>
      <c r="AJ15" s="46" t="n">
        <f aca="false">Deuda!AJ$9</f>
        <v>0</v>
      </c>
      <c r="AK15" s="46" t="n">
        <f aca="false">Deuda!AK$9</f>
        <v>0</v>
      </c>
      <c r="AL15" s="46" t="n">
        <f aca="false">Deuda!AL$9</f>
        <v>0</v>
      </c>
      <c r="AM15" s="46" t="n">
        <f aca="false">Deuda!AM$9</f>
        <v>0</v>
      </c>
      <c r="AN15" s="46" t="n">
        <f aca="false">Deuda!AN$9</f>
        <v>0</v>
      </c>
      <c r="AO15" s="46" t="n">
        <f aca="false">Deuda!AO$9</f>
        <v>0</v>
      </c>
      <c r="AP15" s="46" t="n">
        <f aca="false">Deuda!AP$9</f>
        <v>0</v>
      </c>
      <c r="AQ15" s="46" t="n">
        <f aca="false">Deuda!AQ$9</f>
        <v>0</v>
      </c>
      <c r="AR15" s="46" t="n">
        <f aca="false">Deuda!AR$9</f>
        <v>0</v>
      </c>
      <c r="AS15" s="46" t="n">
        <f aca="false">Deuda!AS$9</f>
        <v>0</v>
      </c>
      <c r="AT15" s="46" t="n">
        <f aca="false">Deuda!AT$9</f>
        <v>0</v>
      </c>
      <c r="AU15" s="46" t="n">
        <f aca="false">Deuda!AU$9</f>
        <v>0</v>
      </c>
      <c r="AV15" s="46" t="n">
        <f aca="false">Deuda!AV$9</f>
        <v>0</v>
      </c>
      <c r="AW15" s="46" t="n">
        <f aca="false">Deuda!AW$9</f>
        <v>0</v>
      </c>
      <c r="AX15" s="46" t="n">
        <f aca="false">Deuda!AX$9</f>
        <v>0</v>
      </c>
      <c r="AY15" s="46" t="n">
        <f aca="false">Deuda!AY$9</f>
        <v>0</v>
      </c>
      <c r="AZ15" s="46" t="n">
        <f aca="false">Deuda!AZ$9</f>
        <v>0</v>
      </c>
      <c r="BA15" s="46" t="n">
        <f aca="false">Deuda!BA$9</f>
        <v>0</v>
      </c>
      <c r="BB15" s="46" t="n">
        <f aca="false">Deuda!BB$9</f>
        <v>0</v>
      </c>
      <c r="BC15" s="46" t="n">
        <f aca="false">Deuda!BC$9</f>
        <v>0</v>
      </c>
      <c r="BD15" s="46" t="n">
        <f aca="false">Deuda!BD$9</f>
        <v>0</v>
      </c>
      <c r="BE15" s="46" t="n">
        <f aca="false">Deuda!BE$9</f>
        <v>0</v>
      </c>
      <c r="BF15" s="46" t="n">
        <f aca="false">Deuda!BF$9</f>
        <v>0</v>
      </c>
      <c r="BG15" s="46" t="n">
        <f aca="false">Deuda!BG$9</f>
        <v>0</v>
      </c>
      <c r="BH15" s="46" t="n">
        <f aca="false">Deuda!BH$9</f>
        <v>0</v>
      </c>
      <c r="BI15" s="46" t="n">
        <f aca="false">Deuda!BI$9</f>
        <v>0</v>
      </c>
      <c r="BJ15" s="46" t="n">
        <f aca="false">Deuda!BJ$9</f>
        <v>0</v>
      </c>
      <c r="BK15" s="46" t="n">
        <f aca="false">Deuda!BK$9</f>
        <v>0</v>
      </c>
      <c r="BL15" s="46" t="n">
        <f aca="false">Deuda!BL$9</f>
        <v>0</v>
      </c>
      <c r="BM15" s="46" t="n">
        <f aca="false">Deuda!BM$9</f>
        <v>0</v>
      </c>
      <c r="BN15" s="46" t="n">
        <f aca="false">Deuda!BN$9</f>
        <v>0</v>
      </c>
      <c r="BO15" s="46" t="n">
        <f aca="false">Deuda!BO$9</f>
        <v>0</v>
      </c>
      <c r="BP15" s="46" t="n">
        <f aca="false">Deuda!BP$9</f>
        <v>0</v>
      </c>
      <c r="BQ15" s="46" t="n">
        <f aca="false">Deuda!BQ$9</f>
        <v>0</v>
      </c>
      <c r="BR15" s="46" t="n">
        <f aca="false">Deuda!BR$9</f>
        <v>0</v>
      </c>
      <c r="BS15" s="46" t="n">
        <f aca="false">Deuda!BS$9</f>
        <v>0</v>
      </c>
      <c r="BT15" s="46" t="n">
        <f aca="false">Deuda!BT$9</f>
        <v>0</v>
      </c>
      <c r="BU15" s="46" t="n">
        <f aca="false">Deuda!BU$9</f>
        <v>0</v>
      </c>
      <c r="BV15" s="46" t="n">
        <f aca="false">Deuda!BV$9</f>
        <v>0</v>
      </c>
      <c r="BW15" s="46" t="n">
        <f aca="false">Deuda!BW$9</f>
        <v>0</v>
      </c>
      <c r="BX15" s="46" t="n">
        <f aca="false">Deuda!BX$9</f>
        <v>0</v>
      </c>
      <c r="BY15" s="46" t="n">
        <f aca="false">Deuda!BY$9</f>
        <v>0</v>
      </c>
      <c r="BZ15" s="46" t="n">
        <f aca="false">Deuda!BZ$9</f>
        <v>0</v>
      </c>
      <c r="CA15" s="46" t="n">
        <f aca="false">Deuda!CA$9</f>
        <v>0</v>
      </c>
      <c r="CB15" s="46" t="n">
        <f aca="false">Deuda!CB$9</f>
        <v>0</v>
      </c>
      <c r="CC15" s="46" t="n">
        <f aca="false">Deuda!CC$9</f>
        <v>0</v>
      </c>
      <c r="CD15" s="46" t="n">
        <f aca="false">Deuda!CD$9</f>
        <v>0</v>
      </c>
      <c r="CE15" s="46" t="n">
        <f aca="false">Deuda!CE$9</f>
        <v>0</v>
      </c>
      <c r="CF15" s="46" t="n">
        <f aca="false">Deuda!CF$9</f>
        <v>0</v>
      </c>
      <c r="CG15" s="46" t="n">
        <f aca="false">Deuda!CG$9</f>
        <v>0</v>
      </c>
      <c r="CH15" s="46" t="n">
        <f aca="false">Deuda!CH$9</f>
        <v>0</v>
      </c>
      <c r="CI15" s="46" t="n">
        <f aca="false">Deuda!CI$9</f>
        <v>0</v>
      </c>
      <c r="CJ15" s="46" t="n">
        <f aca="false">Deuda!CJ$9</f>
        <v>0</v>
      </c>
      <c r="CK15" s="46" t="n">
        <f aca="false">Deuda!CK$9</f>
        <v>0</v>
      </c>
      <c r="CL15" s="46" t="n">
        <f aca="false">Deuda!CL$9</f>
        <v>0</v>
      </c>
      <c r="CM15" s="46" t="n">
        <f aca="false">Deuda!CM$9</f>
        <v>0</v>
      </c>
      <c r="CN15" s="46" t="n">
        <f aca="false">Deuda!CN$9</f>
        <v>0</v>
      </c>
      <c r="CO15" s="46" t="n">
        <f aca="false">Deuda!CO$9</f>
        <v>0</v>
      </c>
      <c r="CP15" s="46" t="n">
        <f aca="false">Deuda!CP$9</f>
        <v>0</v>
      </c>
      <c r="CQ15" s="46" t="n">
        <f aca="false">Deuda!CQ$9</f>
        <v>0</v>
      </c>
      <c r="CR15" s="46" t="n">
        <f aca="false">Deuda!CR$9</f>
        <v>0</v>
      </c>
      <c r="CS15" s="46" t="n">
        <f aca="false">Deuda!CS$9</f>
        <v>0</v>
      </c>
      <c r="CT15" s="46" t="n">
        <f aca="false">Deuda!CT$9</f>
        <v>0</v>
      </c>
    </row>
    <row r="16" customFormat="false" ht="15" hidden="false" customHeight="true" outlineLevel="0" collapsed="false">
      <c r="B16" s="45" t="s">
        <v>267</v>
      </c>
      <c r="C16" s="46" t="n">
        <f aca="false">Programas!C$20</f>
        <v>150524964.792917</v>
      </c>
      <c r="D16" s="46" t="n">
        <f aca="false">Programas!D$20</f>
        <v>150524964.792917</v>
      </c>
      <c r="E16" s="46" t="n">
        <f aca="false">Programas!E$20</f>
        <v>150524964.792917</v>
      </c>
      <c r="F16" s="46" t="n">
        <f aca="false">Programas!F$20</f>
        <v>150524964.792917</v>
      </c>
      <c r="G16" s="46" t="n">
        <f aca="false">Programas!G$20</f>
        <v>150524964.792917</v>
      </c>
      <c r="H16" s="46" t="n">
        <f aca="false">Programas!H$20</f>
        <v>150524964.792917</v>
      </c>
      <c r="I16" s="46" t="n">
        <f aca="false">Programas!I$20</f>
        <v>150524964.792917</v>
      </c>
      <c r="J16" s="46" t="n">
        <f aca="false">Programas!J$20</f>
        <v>150524964.792917</v>
      </c>
      <c r="K16" s="46" t="n">
        <f aca="false">Programas!K$20</f>
        <v>150524964.792917</v>
      </c>
      <c r="L16" s="46" t="n">
        <f aca="false">Programas!L$20</f>
        <v>150524964.792917</v>
      </c>
      <c r="M16" s="46" t="n">
        <f aca="false">Programas!M$20</f>
        <v>150524964.792917</v>
      </c>
      <c r="N16" s="46" t="n">
        <f aca="false">Programas!N$20</f>
        <v>150524964.792917</v>
      </c>
      <c r="O16" s="46" t="n">
        <f aca="false">Programas!O$20</f>
        <v>301049929.585833</v>
      </c>
      <c r="P16" s="46" t="n">
        <f aca="false">Programas!P$20</f>
        <v>301049929.585833</v>
      </c>
      <c r="Q16" s="46" t="n">
        <f aca="false">Programas!Q$20</f>
        <v>301049929.585833</v>
      </c>
      <c r="R16" s="46" t="n">
        <f aca="false">Programas!R$20</f>
        <v>301049929.585833</v>
      </c>
      <c r="S16" s="46" t="n">
        <f aca="false">Programas!S$20</f>
        <v>301049929.585833</v>
      </c>
      <c r="T16" s="46" t="n">
        <f aca="false">Programas!T$20</f>
        <v>301049929.585833</v>
      </c>
      <c r="U16" s="46" t="n">
        <f aca="false">Programas!U$20</f>
        <v>301049929.585833</v>
      </c>
      <c r="V16" s="46" t="n">
        <f aca="false">Programas!V$20</f>
        <v>301049929.585833</v>
      </c>
      <c r="W16" s="46" t="n">
        <f aca="false">Programas!W$20</f>
        <v>301049929.585833</v>
      </c>
      <c r="X16" s="46" t="n">
        <f aca="false">Programas!X$20</f>
        <v>301049929.585833</v>
      </c>
      <c r="Y16" s="46" t="n">
        <f aca="false">Programas!Y$20</f>
        <v>301049929.585833</v>
      </c>
      <c r="Z16" s="46" t="n">
        <f aca="false">Programas!Z$20</f>
        <v>301049929.585833</v>
      </c>
      <c r="AA16" s="46" t="n">
        <f aca="false">Programas!AA$20</f>
        <v>451574894.37875</v>
      </c>
      <c r="AB16" s="46" t="n">
        <f aca="false">Programas!AB$20</f>
        <v>451574894.37875</v>
      </c>
      <c r="AC16" s="46" t="n">
        <f aca="false">Programas!AC$20</f>
        <v>451574894.37875</v>
      </c>
      <c r="AD16" s="46" t="n">
        <f aca="false">Programas!AD$20</f>
        <v>451574894.37875</v>
      </c>
      <c r="AE16" s="46" t="n">
        <f aca="false">Programas!AE$20</f>
        <v>451574894.37875</v>
      </c>
      <c r="AF16" s="46" t="n">
        <f aca="false">Programas!AF$20</f>
        <v>451574894.37875</v>
      </c>
      <c r="AG16" s="46" t="n">
        <f aca="false">Programas!AG$20</f>
        <v>451574894.37875</v>
      </c>
      <c r="AH16" s="46" t="n">
        <f aca="false">Programas!AH$20</f>
        <v>451574894.37875</v>
      </c>
      <c r="AI16" s="46" t="n">
        <f aca="false">Programas!AI$20</f>
        <v>451574894.37875</v>
      </c>
      <c r="AJ16" s="46" t="n">
        <f aca="false">Programas!AJ$20</f>
        <v>451574894.37875</v>
      </c>
      <c r="AK16" s="46" t="n">
        <f aca="false">Programas!AK$20</f>
        <v>451574894.37875</v>
      </c>
      <c r="AL16" s="46" t="n">
        <f aca="false">Programas!AL$20</f>
        <v>451574894.37875</v>
      </c>
      <c r="AM16" s="46" t="n">
        <f aca="false">Programas!AM$20</f>
        <v>602099859.171667</v>
      </c>
      <c r="AN16" s="46" t="n">
        <f aca="false">Programas!AN$20</f>
        <v>602099859.171667</v>
      </c>
      <c r="AO16" s="46" t="n">
        <f aca="false">Programas!AO$20</f>
        <v>602099859.171667</v>
      </c>
      <c r="AP16" s="46" t="n">
        <f aca="false">Programas!AP$20</f>
        <v>602099859.171667</v>
      </c>
      <c r="AQ16" s="46" t="n">
        <f aca="false">Programas!AQ$20</f>
        <v>602099859.171667</v>
      </c>
      <c r="AR16" s="46" t="n">
        <f aca="false">Programas!AR$20</f>
        <v>602099859.171667</v>
      </c>
      <c r="AS16" s="46" t="n">
        <f aca="false">Programas!AS$20</f>
        <v>602099859.171667</v>
      </c>
      <c r="AT16" s="46" t="n">
        <f aca="false">Programas!AT$20</f>
        <v>602099859.171667</v>
      </c>
      <c r="AU16" s="46" t="n">
        <f aca="false">Programas!AU$20</f>
        <v>602099859.171667</v>
      </c>
      <c r="AV16" s="46" t="n">
        <f aca="false">Programas!AV$20</f>
        <v>602099859.171667</v>
      </c>
      <c r="AW16" s="46" t="n">
        <f aca="false">Programas!AW$20</f>
        <v>602099859.171667</v>
      </c>
      <c r="AX16" s="46" t="n">
        <f aca="false">Programas!AX$20</f>
        <v>602099859.171667</v>
      </c>
      <c r="AY16" s="46" t="n">
        <f aca="false">Programas!AY$20</f>
        <v>602099859.171667</v>
      </c>
      <c r="AZ16" s="46" t="n">
        <f aca="false">Programas!AZ$20</f>
        <v>602099859.171667</v>
      </c>
      <c r="BA16" s="46" t="n">
        <f aca="false">Programas!BA$20</f>
        <v>602099859.171667</v>
      </c>
      <c r="BB16" s="46" t="n">
        <f aca="false">Programas!BB$20</f>
        <v>602099859.171667</v>
      </c>
      <c r="BC16" s="46" t="n">
        <f aca="false">Programas!BC$20</f>
        <v>602099859.171667</v>
      </c>
      <c r="BD16" s="46" t="n">
        <f aca="false">Programas!BD$20</f>
        <v>602099859.171667</v>
      </c>
      <c r="BE16" s="46" t="n">
        <f aca="false">Programas!BE$20</f>
        <v>602099859.171667</v>
      </c>
      <c r="BF16" s="46" t="n">
        <f aca="false">Programas!BF$20</f>
        <v>602099859.171667</v>
      </c>
      <c r="BG16" s="46" t="n">
        <f aca="false">Programas!BG$20</f>
        <v>602099859.171667</v>
      </c>
      <c r="BH16" s="46" t="n">
        <f aca="false">Programas!BH$20</f>
        <v>602099859.171667</v>
      </c>
      <c r="BI16" s="46" t="n">
        <f aca="false">Programas!BI$20</f>
        <v>602099859.171667</v>
      </c>
      <c r="BJ16" s="46" t="n">
        <f aca="false">Programas!BJ$20</f>
        <v>602099859.171667</v>
      </c>
      <c r="BK16" s="46" t="n">
        <f aca="false">Programas!BK$20</f>
        <v>602099859.171667</v>
      </c>
      <c r="BL16" s="46" t="n">
        <f aca="false">Programas!BL$20</f>
        <v>602099859.171667</v>
      </c>
      <c r="BM16" s="46" t="n">
        <f aca="false">Programas!BM$20</f>
        <v>602099859.171667</v>
      </c>
      <c r="BN16" s="46" t="n">
        <f aca="false">Programas!BN$20</f>
        <v>602099859.171667</v>
      </c>
      <c r="BO16" s="46" t="n">
        <f aca="false">Programas!BO$20</f>
        <v>602099859.171667</v>
      </c>
      <c r="BP16" s="46" t="n">
        <f aca="false">Programas!BP$20</f>
        <v>602099859.171667</v>
      </c>
      <c r="BQ16" s="46" t="n">
        <f aca="false">Programas!BQ$20</f>
        <v>602099859.171667</v>
      </c>
      <c r="BR16" s="46" t="n">
        <f aca="false">Programas!BR$20</f>
        <v>602099859.171667</v>
      </c>
      <c r="BS16" s="46" t="n">
        <f aca="false">Programas!BS$20</f>
        <v>602099859.171667</v>
      </c>
      <c r="BT16" s="46" t="n">
        <f aca="false">Programas!BT$20</f>
        <v>602099859.171667</v>
      </c>
      <c r="BU16" s="46" t="n">
        <f aca="false">Programas!BU$20</f>
        <v>602099859.171667</v>
      </c>
      <c r="BV16" s="46" t="n">
        <f aca="false">Programas!BV$20</f>
        <v>602099859.171667</v>
      </c>
      <c r="BW16" s="46" t="n">
        <f aca="false">Programas!BW$20</f>
        <v>602099859.171667</v>
      </c>
      <c r="BX16" s="46" t="n">
        <f aca="false">Programas!BX$20</f>
        <v>602099859.171667</v>
      </c>
      <c r="BY16" s="46" t="n">
        <f aca="false">Programas!BY$20</f>
        <v>602099859.171667</v>
      </c>
      <c r="BZ16" s="46" t="n">
        <f aca="false">Programas!BZ$20</f>
        <v>602099859.171667</v>
      </c>
      <c r="CA16" s="46" t="n">
        <f aca="false">Programas!CA$20</f>
        <v>602099859.171667</v>
      </c>
      <c r="CB16" s="46" t="n">
        <f aca="false">Programas!CB$20</f>
        <v>602099859.171667</v>
      </c>
      <c r="CC16" s="46" t="n">
        <f aca="false">Programas!CC$20</f>
        <v>602099859.171667</v>
      </c>
      <c r="CD16" s="46" t="n">
        <f aca="false">Programas!CD$20</f>
        <v>602099859.171667</v>
      </c>
      <c r="CE16" s="46" t="n">
        <f aca="false">Programas!CE$20</f>
        <v>602099859.171667</v>
      </c>
      <c r="CF16" s="46" t="n">
        <f aca="false">Programas!CF$20</f>
        <v>602099859.171667</v>
      </c>
      <c r="CG16" s="46" t="n">
        <f aca="false">Programas!CG$20</f>
        <v>602099859.171667</v>
      </c>
      <c r="CH16" s="46" t="n">
        <f aca="false">Programas!CH$20</f>
        <v>602099859.171667</v>
      </c>
      <c r="CI16" s="46" t="n">
        <f aca="false">Programas!CI$20</f>
        <v>602099859.171667</v>
      </c>
      <c r="CJ16" s="46" t="n">
        <f aca="false">Programas!CJ$20</f>
        <v>602099859.171667</v>
      </c>
      <c r="CK16" s="46" t="n">
        <f aca="false">Programas!CK$20</f>
        <v>602099859.171667</v>
      </c>
      <c r="CL16" s="46" t="n">
        <f aca="false">Programas!CL$20</f>
        <v>602099859.171667</v>
      </c>
      <c r="CM16" s="46" t="n">
        <f aca="false">Programas!CM$20</f>
        <v>602099859.171667</v>
      </c>
      <c r="CN16" s="46" t="n">
        <f aca="false">Programas!CN$20</f>
        <v>602099859.171667</v>
      </c>
      <c r="CO16" s="46" t="n">
        <f aca="false">Programas!CO$20</f>
        <v>602099859.171667</v>
      </c>
      <c r="CP16" s="46" t="n">
        <f aca="false">Programas!CP$20</f>
        <v>602099859.171667</v>
      </c>
      <c r="CQ16" s="46" t="n">
        <f aca="false">Programas!CQ$20</f>
        <v>602099859.171667</v>
      </c>
      <c r="CR16" s="46" t="n">
        <f aca="false">Programas!CR$20</f>
        <v>602099859.171667</v>
      </c>
      <c r="CS16" s="46" t="n">
        <f aca="false">Programas!CS$20</f>
        <v>602099859.171667</v>
      </c>
      <c r="CT16" s="46" t="n">
        <f aca="false">Programas!CT$20</f>
        <v>602099859.171667</v>
      </c>
    </row>
    <row r="17" customFormat="false" ht="15" hidden="false" customHeight="true" outlineLevel="0" collapsed="false">
      <c r="B17" s="33" t="s">
        <v>268</v>
      </c>
      <c r="C17" s="41" t="n">
        <f aca="false">SUM(C8:C16)</f>
        <v>22447227083.7359</v>
      </c>
      <c r="D17" s="41" t="n">
        <f aca="false">SUM(D8:D16)</f>
        <v>23312460157.6569</v>
      </c>
      <c r="E17" s="41" t="n">
        <f aca="false">SUM(E8:E16)</f>
        <v>26022617441.5162</v>
      </c>
      <c r="F17" s="41" t="n">
        <f aca="false">SUM(F8:F16)</f>
        <v>26600774535.0188</v>
      </c>
      <c r="G17" s="41" t="n">
        <f aca="false">SUM(G8:G16)</f>
        <v>27178931628.5214</v>
      </c>
      <c r="H17" s="41" t="n">
        <f aca="false">SUM(H8:H16)</f>
        <v>31470849498.1656</v>
      </c>
      <c r="I17" s="41" t="n">
        <f aca="false">SUM(I8:I16)</f>
        <v>27178931628.5214</v>
      </c>
      <c r="J17" s="41" t="n">
        <f aca="false">SUM(J8:J16)</f>
        <v>27178931628.5214</v>
      </c>
      <c r="K17" s="41" t="n">
        <f aca="false">SUM(K8:K16)</f>
        <v>27178931628.5214</v>
      </c>
      <c r="L17" s="41" t="n">
        <f aca="false">SUM(L8:L16)</f>
        <v>27223087391.2684</v>
      </c>
      <c r="M17" s="41" t="n">
        <f aca="false">SUM(M8:M16)</f>
        <v>26644930297.7658</v>
      </c>
      <c r="N17" s="41" t="n">
        <f aca="false">SUM(N8:N16)</f>
        <v>29140084852.8846</v>
      </c>
      <c r="O17" s="41" t="n">
        <f aca="false">SUM(O8:O16)</f>
        <v>22597752048.5288</v>
      </c>
      <c r="P17" s="41" t="n">
        <f aca="false">SUM(P8:P16)</f>
        <v>23462985122.4499</v>
      </c>
      <c r="Q17" s="41" t="n">
        <f aca="false">SUM(Q8:Q16)</f>
        <v>26173142406.3091</v>
      </c>
      <c r="R17" s="41" t="n">
        <f aca="false">SUM(R8:R16)</f>
        <v>26751299499.8117</v>
      </c>
      <c r="S17" s="41" t="n">
        <f aca="false">SUM(S8:S16)</f>
        <v>27329456593.3143</v>
      </c>
      <c r="T17" s="41" t="n">
        <f aca="false">SUM(T8:T16)</f>
        <v>31621374462.9586</v>
      </c>
      <c r="U17" s="41" t="n">
        <f aca="false">SUM(U8:U16)</f>
        <v>27329456593.3143</v>
      </c>
      <c r="V17" s="41" t="n">
        <f aca="false">SUM(V8:V16)</f>
        <v>27329456593.3143</v>
      </c>
      <c r="W17" s="41" t="n">
        <f aca="false">SUM(W8:W16)</f>
        <v>27329456593.3143</v>
      </c>
      <c r="X17" s="41" t="n">
        <f aca="false">SUM(X8:X16)</f>
        <v>26123612356.0613</v>
      </c>
      <c r="Y17" s="41" t="n">
        <f aca="false">SUM(Y8:Y16)</f>
        <v>25545455262.5587</v>
      </c>
      <c r="Z17" s="41" t="n">
        <f aca="false">SUM(Z8:Z16)</f>
        <v>28040609817.6775</v>
      </c>
      <c r="AA17" s="41" t="n">
        <f aca="false">SUM(AA8:AA16)</f>
        <v>21498277013.3217</v>
      </c>
      <c r="AB17" s="41" t="n">
        <f aca="false">SUM(AB8:AB16)</f>
        <v>22363510087.2428</v>
      </c>
      <c r="AC17" s="41" t="n">
        <f aca="false">SUM(AC8:AC16)</f>
        <v>25073667371.102</v>
      </c>
      <c r="AD17" s="41" t="n">
        <f aca="false">SUM(AD8:AD16)</f>
        <v>25651824464.6046</v>
      </c>
      <c r="AE17" s="41" t="n">
        <f aca="false">SUM(AE8:AE16)</f>
        <v>26229981558.1072</v>
      </c>
      <c r="AF17" s="41" t="n">
        <f aca="false">SUM(AF8:AF16)</f>
        <v>30521899427.7515</v>
      </c>
      <c r="AG17" s="41" t="n">
        <f aca="false">SUM(AG8:AG16)</f>
        <v>26229981558.1072</v>
      </c>
      <c r="AH17" s="41" t="n">
        <f aca="false">SUM(AH8:AH16)</f>
        <v>26155258283.7739</v>
      </c>
      <c r="AI17" s="41" t="n">
        <f aca="false">SUM(AI8:AI16)</f>
        <v>25947636190.1906</v>
      </c>
      <c r="AJ17" s="41" t="n">
        <f aca="false">SUM(AJ8:AJ16)</f>
        <v>25991791952.9376</v>
      </c>
      <c r="AK17" s="41" t="n">
        <f aca="false">SUM(AK8:AK16)</f>
        <v>25413634859.435</v>
      </c>
      <c r="AL17" s="41" t="n">
        <f aca="false">SUM(AL8:AL16)</f>
        <v>27908789414.5537</v>
      </c>
      <c r="AM17" s="41" t="n">
        <f aca="false">SUM(AM8:AM16)</f>
        <v>21366456610.198</v>
      </c>
      <c r="AN17" s="41" t="n">
        <f aca="false">SUM(AN8:AN16)</f>
        <v>22231689684.119</v>
      </c>
      <c r="AO17" s="41" t="n">
        <f aca="false">SUM(AO8:AO16)</f>
        <v>24941846967.9783</v>
      </c>
      <c r="AP17" s="41" t="n">
        <f aca="false">SUM(AP8:AP16)</f>
        <v>25520004061.4809</v>
      </c>
      <c r="AQ17" s="41" t="n">
        <f aca="false">SUM(AQ8:AQ16)</f>
        <v>26098161154.9835</v>
      </c>
      <c r="AR17" s="41" t="n">
        <f aca="false">SUM(AR8:AR16)</f>
        <v>30390079024.6277</v>
      </c>
      <c r="AS17" s="41" t="n">
        <f aca="false">SUM(AS8:AS16)</f>
        <v>26098161154.9835</v>
      </c>
      <c r="AT17" s="41" t="n">
        <f aca="false">SUM(AT8:AT16)</f>
        <v>26098161154.9835</v>
      </c>
      <c r="AU17" s="41" t="n">
        <f aca="false">SUM(AU8:AU16)</f>
        <v>26098161154.9835</v>
      </c>
      <c r="AV17" s="41" t="n">
        <f aca="false">SUM(AV8:AV16)</f>
        <v>26142316917.7305</v>
      </c>
      <c r="AW17" s="41" t="n">
        <f aca="false">SUM(AW8:AW16)</f>
        <v>25564159824.2279</v>
      </c>
      <c r="AX17" s="41" t="n">
        <f aca="false">SUM(AX8:AX16)</f>
        <v>28059314379.3466</v>
      </c>
      <c r="AY17" s="41" t="n">
        <f aca="false">SUM(AY8:AY16)</f>
        <v>21366456610.198</v>
      </c>
      <c r="AZ17" s="41" t="n">
        <f aca="false">SUM(AZ8:AZ16)</f>
        <v>22231689684.119</v>
      </c>
      <c r="BA17" s="41" t="n">
        <f aca="false">SUM(BA8:BA16)</f>
        <v>24941846967.9783</v>
      </c>
      <c r="BB17" s="41" t="n">
        <f aca="false">SUM(BB8:BB16)</f>
        <v>25520004061.4809</v>
      </c>
      <c r="BC17" s="41" t="n">
        <f aca="false">SUM(BC8:BC16)</f>
        <v>26098161154.9835</v>
      </c>
      <c r="BD17" s="41" t="n">
        <f aca="false">SUM(BD8:BD16)</f>
        <v>30390079024.6277</v>
      </c>
      <c r="BE17" s="41" t="n">
        <f aca="false">SUM(BE8:BE16)</f>
        <v>26098161154.9835</v>
      </c>
      <c r="BF17" s="41" t="n">
        <f aca="false">SUM(BF8:BF16)</f>
        <v>26098161154.9835</v>
      </c>
      <c r="BG17" s="41" t="n">
        <f aca="false">SUM(BG8:BG16)</f>
        <v>26098161154.9835</v>
      </c>
      <c r="BH17" s="41" t="n">
        <f aca="false">SUM(BH8:BH16)</f>
        <v>26142316917.7305</v>
      </c>
      <c r="BI17" s="41" t="n">
        <f aca="false">SUM(BI8:BI16)</f>
        <v>25564159824.2279</v>
      </c>
      <c r="BJ17" s="41" t="n">
        <f aca="false">SUM(BJ8:BJ16)</f>
        <v>28059314379.3466</v>
      </c>
      <c r="BK17" s="41" t="n">
        <f aca="false">SUM(BK8:BK16)</f>
        <v>21366456610.198</v>
      </c>
      <c r="BL17" s="41" t="n">
        <f aca="false">SUM(BL8:BL16)</f>
        <v>22231689684.119</v>
      </c>
      <c r="BM17" s="41" t="n">
        <f aca="false">SUM(BM8:BM16)</f>
        <v>24941846967.9783</v>
      </c>
      <c r="BN17" s="41" t="n">
        <f aca="false">SUM(BN8:BN16)</f>
        <v>25520004061.4809</v>
      </c>
      <c r="BO17" s="41" t="n">
        <f aca="false">SUM(BO8:BO16)</f>
        <v>26098161154.9835</v>
      </c>
      <c r="BP17" s="41" t="n">
        <f aca="false">SUM(BP8:BP16)</f>
        <v>30390079024.6277</v>
      </c>
      <c r="BQ17" s="41" t="n">
        <f aca="false">SUM(BQ8:BQ16)</f>
        <v>26098161154.9835</v>
      </c>
      <c r="BR17" s="41" t="n">
        <f aca="false">SUM(BR8:BR16)</f>
        <v>26098161154.9835</v>
      </c>
      <c r="BS17" s="41" t="n">
        <f aca="false">SUM(BS8:BS16)</f>
        <v>26098161154.9835</v>
      </c>
      <c r="BT17" s="41" t="n">
        <f aca="false">SUM(BT8:BT16)</f>
        <v>26142316917.7305</v>
      </c>
      <c r="BU17" s="41" t="n">
        <f aca="false">SUM(BU8:BU16)</f>
        <v>25564159824.2279</v>
      </c>
      <c r="BV17" s="41" t="n">
        <f aca="false">SUM(BV8:BV16)</f>
        <v>28059314379.3466</v>
      </c>
      <c r="BW17" s="41" t="n">
        <f aca="false">SUM(BW8:BW16)</f>
        <v>21366456610.198</v>
      </c>
      <c r="BX17" s="41" t="n">
        <f aca="false">SUM(BX8:BX16)</f>
        <v>22231689684.119</v>
      </c>
      <c r="BY17" s="41" t="n">
        <f aca="false">SUM(BY8:BY16)</f>
        <v>24941846967.9783</v>
      </c>
      <c r="BZ17" s="41" t="n">
        <f aca="false">SUM(BZ8:BZ16)</f>
        <v>25520004061.4809</v>
      </c>
      <c r="CA17" s="41" t="n">
        <f aca="false">SUM(CA8:CA16)</f>
        <v>26098161154.9835</v>
      </c>
      <c r="CB17" s="41" t="n">
        <f aca="false">SUM(CB8:CB16)</f>
        <v>30390079024.6277</v>
      </c>
      <c r="CC17" s="41" t="n">
        <f aca="false">SUM(CC8:CC16)</f>
        <v>26098161154.9835</v>
      </c>
      <c r="CD17" s="41" t="n">
        <f aca="false">SUM(CD8:CD16)</f>
        <v>26098161154.9835</v>
      </c>
      <c r="CE17" s="41" t="n">
        <f aca="false">SUM(CE8:CE16)</f>
        <v>26098161154.9835</v>
      </c>
      <c r="CF17" s="41" t="n">
        <f aca="false">SUM(CF8:CF16)</f>
        <v>26142316917.7305</v>
      </c>
      <c r="CG17" s="41" t="n">
        <f aca="false">SUM(CG8:CG16)</f>
        <v>25564159824.2279</v>
      </c>
      <c r="CH17" s="41" t="n">
        <f aca="false">SUM(CH8:CH16)</f>
        <v>28059314379.3466</v>
      </c>
      <c r="CI17" s="41" t="n">
        <f aca="false">SUM(CI8:CI16)</f>
        <v>21366456610.198</v>
      </c>
      <c r="CJ17" s="41" t="n">
        <f aca="false">SUM(CJ8:CJ16)</f>
        <v>22231689684.119</v>
      </c>
      <c r="CK17" s="41" t="n">
        <f aca="false">SUM(CK8:CK16)</f>
        <v>24941846967.9783</v>
      </c>
      <c r="CL17" s="41" t="n">
        <f aca="false">SUM(CL8:CL16)</f>
        <v>25520004061.4809</v>
      </c>
      <c r="CM17" s="41" t="n">
        <f aca="false">SUM(CM8:CM16)</f>
        <v>26098161154.9835</v>
      </c>
      <c r="CN17" s="41" t="n">
        <f aca="false">SUM(CN8:CN16)</f>
        <v>30390079024.6277</v>
      </c>
      <c r="CO17" s="41" t="n">
        <f aca="false">SUM(CO8:CO16)</f>
        <v>26098161154.9835</v>
      </c>
      <c r="CP17" s="41" t="n">
        <f aca="false">SUM(CP8:CP16)</f>
        <v>26098161154.9835</v>
      </c>
      <c r="CQ17" s="41" t="n">
        <f aca="false">SUM(CQ8:CQ16)</f>
        <v>26098161154.9835</v>
      </c>
      <c r="CR17" s="41" t="n">
        <f aca="false">SUM(CR8:CR16)</f>
        <v>26142316917.7305</v>
      </c>
      <c r="CS17" s="41" t="n">
        <f aca="false">SUM(CS8:CS16)</f>
        <v>25564159824.2279</v>
      </c>
      <c r="CT17" s="41" t="n">
        <f aca="false">SUM(CT8:CT16)</f>
        <v>28059314379.3466</v>
      </c>
    </row>
    <row r="19" customFormat="false" ht="15" hidden="false" customHeight="true" outlineLevel="0" collapsed="false">
      <c r="B19" s="35" t="s">
        <v>269</v>
      </c>
      <c r="C19" s="36"/>
      <c r="D19" s="36"/>
      <c r="E19" s="36"/>
      <c r="F19" s="36"/>
      <c r="G19" s="36"/>
      <c r="H19" s="36"/>
      <c r="I19" s="36"/>
      <c r="J19" s="36"/>
      <c r="K19" s="36"/>
      <c r="L19" s="36"/>
      <c r="M19" s="36"/>
      <c r="N19" s="36"/>
      <c r="O19" s="36"/>
      <c r="P19" s="36"/>
      <c r="Q19" s="36"/>
      <c r="R19" s="36"/>
      <c r="S19" s="36"/>
      <c r="T19" s="36"/>
      <c r="U19" s="36"/>
      <c r="V19" s="36"/>
      <c r="W19" s="36"/>
      <c r="X19" s="36"/>
      <c r="Y19" s="36"/>
      <c r="Z19" s="36"/>
      <c r="AA19" s="36"/>
      <c r="AB19" s="36"/>
      <c r="AC19" s="36"/>
      <c r="AD19" s="36"/>
      <c r="AE19" s="36"/>
      <c r="AF19" s="36"/>
      <c r="AG19" s="36"/>
      <c r="AH19" s="36"/>
      <c r="AI19" s="36"/>
      <c r="AJ19" s="36"/>
      <c r="AK19" s="36"/>
      <c r="AL19" s="36"/>
      <c r="AM19" s="36"/>
      <c r="AN19" s="36"/>
      <c r="AO19" s="36"/>
      <c r="AP19" s="36"/>
      <c r="AQ19" s="36"/>
      <c r="AR19" s="36"/>
      <c r="AS19" s="36"/>
      <c r="AT19" s="36"/>
      <c r="AU19" s="36"/>
      <c r="AV19" s="36"/>
      <c r="AW19" s="36"/>
      <c r="AX19" s="36"/>
      <c r="AY19" s="36"/>
      <c r="AZ19" s="36"/>
      <c r="BA19" s="36"/>
      <c r="BB19" s="36"/>
      <c r="BC19" s="36"/>
      <c r="BD19" s="36"/>
      <c r="BE19" s="36"/>
      <c r="BF19" s="36"/>
      <c r="BG19" s="36"/>
      <c r="BH19" s="36"/>
      <c r="BI19" s="36"/>
      <c r="BJ19" s="36"/>
      <c r="BK19" s="36"/>
      <c r="BL19" s="36"/>
      <c r="BM19" s="36"/>
      <c r="BN19" s="36"/>
      <c r="BO19" s="36"/>
      <c r="BP19" s="36"/>
      <c r="BQ19" s="36"/>
      <c r="BR19" s="36"/>
      <c r="BS19" s="36"/>
      <c r="BT19" s="36"/>
      <c r="BU19" s="36"/>
      <c r="BV19" s="36"/>
      <c r="BW19" s="36"/>
      <c r="BX19" s="36"/>
      <c r="BY19" s="36"/>
      <c r="BZ19" s="36"/>
      <c r="CA19" s="36"/>
      <c r="CB19" s="36"/>
      <c r="CC19" s="36"/>
      <c r="CD19" s="36"/>
      <c r="CE19" s="36"/>
      <c r="CF19" s="36"/>
      <c r="CG19" s="36"/>
      <c r="CH19" s="36"/>
      <c r="CI19" s="36"/>
      <c r="CJ19" s="36"/>
      <c r="CK19" s="36"/>
      <c r="CL19" s="36"/>
      <c r="CM19" s="36"/>
      <c r="CN19" s="36"/>
      <c r="CO19" s="36"/>
      <c r="CP19" s="36"/>
      <c r="CQ19" s="36"/>
      <c r="CR19" s="36"/>
      <c r="CS19" s="36"/>
      <c r="CT19" s="36"/>
    </row>
    <row r="20" customFormat="false" ht="15" hidden="false" customHeight="true" outlineLevel="0" collapsed="false">
      <c r="B20" s="15" t="s">
        <v>270</v>
      </c>
      <c r="C20" s="37" t="n">
        <f aca="false">C8+C9+C15</f>
        <v>9453508988.13206</v>
      </c>
      <c r="D20" s="37" t="n">
        <f aca="false">D8+D9+D15</f>
        <v>9453508988.13206</v>
      </c>
      <c r="E20" s="37" t="n">
        <f aca="false">E8+E9+E15</f>
        <v>9453508988.13206</v>
      </c>
      <c r="F20" s="37" t="n">
        <f aca="false">F8+F9+F15</f>
        <v>9453508988.13206</v>
      </c>
      <c r="G20" s="37" t="n">
        <f aca="false">G8+G9+G15</f>
        <v>9453508988.13206</v>
      </c>
      <c r="H20" s="37" t="n">
        <f aca="false">H8+H9+H15</f>
        <v>13745426857.7763</v>
      </c>
      <c r="I20" s="37" t="n">
        <f aca="false">I8+I9+I15</f>
        <v>9453508988.13206</v>
      </c>
      <c r="J20" s="37" t="n">
        <f aca="false">J8+J9+J15</f>
        <v>9453508988.13206</v>
      </c>
      <c r="K20" s="37" t="n">
        <f aca="false">K8+K9+K15</f>
        <v>9453508988.13206</v>
      </c>
      <c r="L20" s="37" t="n">
        <f aca="false">L8+L9+L15</f>
        <v>9453508988.13206</v>
      </c>
      <c r="M20" s="37" t="n">
        <f aca="false">M8+M9+M15</f>
        <v>9453508988.13206</v>
      </c>
      <c r="N20" s="37" t="n">
        <f aca="false">N8+N9+N15</f>
        <v>13745426857.7763</v>
      </c>
      <c r="O20" s="37" t="n">
        <f aca="false">O8+O9+O15</f>
        <v>9453508988.13206</v>
      </c>
      <c r="P20" s="37" t="n">
        <f aca="false">P8+P9+P15</f>
        <v>9453508988.13206</v>
      </c>
      <c r="Q20" s="37" t="n">
        <f aca="false">Q8+Q9+Q15</f>
        <v>9453508988.13206</v>
      </c>
      <c r="R20" s="37" t="n">
        <f aca="false">R8+R9+R15</f>
        <v>9453508988.13206</v>
      </c>
      <c r="S20" s="37" t="n">
        <f aca="false">S8+S9+S15</f>
        <v>9453508988.13206</v>
      </c>
      <c r="T20" s="37" t="n">
        <f aca="false">T8+T9+T15</f>
        <v>13745426857.7763</v>
      </c>
      <c r="U20" s="37" t="n">
        <f aca="false">U8+U9+U15</f>
        <v>9453508988.13206</v>
      </c>
      <c r="V20" s="37" t="n">
        <f aca="false">V8+V9+V15</f>
        <v>9453508988.13206</v>
      </c>
      <c r="W20" s="37" t="n">
        <f aca="false">W8+W9+W15</f>
        <v>9453508988.13206</v>
      </c>
      <c r="X20" s="37" t="n">
        <f aca="false">X8+X9+X15</f>
        <v>8203508988.13206</v>
      </c>
      <c r="Y20" s="37" t="n">
        <f aca="false">Y8+Y9+Y15</f>
        <v>8203508988.13206</v>
      </c>
      <c r="Z20" s="37" t="n">
        <f aca="false">Z8+Z9+Z15</f>
        <v>12495426857.7763</v>
      </c>
      <c r="AA20" s="37" t="n">
        <f aca="false">AA8+AA9+AA15</f>
        <v>8203508988.13206</v>
      </c>
      <c r="AB20" s="37" t="n">
        <f aca="false">AB8+AB9+AB15</f>
        <v>8203508988.13206</v>
      </c>
      <c r="AC20" s="37" t="n">
        <f aca="false">AC8+AC9+AC15</f>
        <v>8203508988.13206</v>
      </c>
      <c r="AD20" s="37" t="n">
        <f aca="false">AD8+AD9+AD15</f>
        <v>8203508988.13206</v>
      </c>
      <c r="AE20" s="37" t="n">
        <f aca="false">AE8+AE9+AE15</f>
        <v>8203508988.13206</v>
      </c>
      <c r="AF20" s="37" t="n">
        <f aca="false">AF8+AF9+AF15</f>
        <v>12495426857.7763</v>
      </c>
      <c r="AG20" s="37" t="n">
        <f aca="false">AG8+AG9+AG15</f>
        <v>8203508988.13206</v>
      </c>
      <c r="AH20" s="37" t="n">
        <f aca="false">AH8+AH9+AH15</f>
        <v>8128785713.79872</v>
      </c>
      <c r="AI20" s="37" t="n">
        <f aca="false">AI8+AI9+AI15</f>
        <v>7921163620.21539</v>
      </c>
      <c r="AJ20" s="37" t="n">
        <f aca="false">AJ8+AJ9+AJ15</f>
        <v>7921163620.21539</v>
      </c>
      <c r="AK20" s="37" t="n">
        <f aca="false">AK8+AK9+AK15</f>
        <v>7921163620.21539</v>
      </c>
      <c r="AL20" s="37" t="n">
        <f aca="false">AL8+AL9+AL15</f>
        <v>12213081489.8596</v>
      </c>
      <c r="AM20" s="37" t="n">
        <f aca="false">AM8+AM9+AM15</f>
        <v>7921163620.21539</v>
      </c>
      <c r="AN20" s="37" t="n">
        <f aca="false">AN8+AN9+AN15</f>
        <v>7921163620.21539</v>
      </c>
      <c r="AO20" s="37" t="n">
        <f aca="false">AO8+AO9+AO15</f>
        <v>7921163620.21539</v>
      </c>
      <c r="AP20" s="37" t="n">
        <f aca="false">AP8+AP9+AP15</f>
        <v>7921163620.21539</v>
      </c>
      <c r="AQ20" s="37" t="n">
        <f aca="false">AQ8+AQ9+AQ15</f>
        <v>7921163620.21539</v>
      </c>
      <c r="AR20" s="37" t="n">
        <f aca="false">AR8+AR9+AR15</f>
        <v>12213081489.8596</v>
      </c>
      <c r="AS20" s="37" t="n">
        <f aca="false">AS8+AS9+AS15</f>
        <v>7921163620.21539</v>
      </c>
      <c r="AT20" s="37" t="n">
        <f aca="false">AT8+AT9+AT15</f>
        <v>7921163620.21539</v>
      </c>
      <c r="AU20" s="37" t="n">
        <f aca="false">AU8+AU9+AU15</f>
        <v>7921163620.21539</v>
      </c>
      <c r="AV20" s="37" t="n">
        <f aca="false">AV8+AV9+AV15</f>
        <v>7921163620.21539</v>
      </c>
      <c r="AW20" s="37" t="n">
        <f aca="false">AW8+AW9+AW15</f>
        <v>7921163620.21539</v>
      </c>
      <c r="AX20" s="37" t="n">
        <f aca="false">AX8+AX9+AX15</f>
        <v>12213081489.8596</v>
      </c>
      <c r="AY20" s="37" t="n">
        <f aca="false">AY8+AY9+AY15</f>
        <v>7921163620.21539</v>
      </c>
      <c r="AZ20" s="37" t="n">
        <f aca="false">AZ8+AZ9+AZ15</f>
        <v>7921163620.21539</v>
      </c>
      <c r="BA20" s="37" t="n">
        <f aca="false">BA8+BA9+BA15</f>
        <v>7921163620.21539</v>
      </c>
      <c r="BB20" s="37" t="n">
        <f aca="false">BB8+BB9+BB15</f>
        <v>7921163620.21539</v>
      </c>
      <c r="BC20" s="37" t="n">
        <f aca="false">BC8+BC9+BC15</f>
        <v>7921163620.21539</v>
      </c>
      <c r="BD20" s="37" t="n">
        <f aca="false">BD8+BD9+BD15</f>
        <v>12213081489.8596</v>
      </c>
      <c r="BE20" s="37" t="n">
        <f aca="false">BE8+BE9+BE15</f>
        <v>7921163620.21539</v>
      </c>
      <c r="BF20" s="37" t="n">
        <f aca="false">BF8+BF9+BF15</f>
        <v>7921163620.21539</v>
      </c>
      <c r="BG20" s="37" t="n">
        <f aca="false">BG8+BG9+BG15</f>
        <v>7921163620.21539</v>
      </c>
      <c r="BH20" s="37" t="n">
        <f aca="false">BH8+BH9+BH15</f>
        <v>7921163620.21539</v>
      </c>
      <c r="BI20" s="37" t="n">
        <f aca="false">BI8+BI9+BI15</f>
        <v>7921163620.21539</v>
      </c>
      <c r="BJ20" s="37" t="n">
        <f aca="false">BJ8+BJ9+BJ15</f>
        <v>12213081489.8596</v>
      </c>
      <c r="BK20" s="37" t="n">
        <f aca="false">BK8+BK9+BK15</f>
        <v>7921163620.21539</v>
      </c>
      <c r="BL20" s="37" t="n">
        <f aca="false">BL8+BL9+BL15</f>
        <v>7921163620.21539</v>
      </c>
      <c r="BM20" s="37" t="n">
        <f aca="false">BM8+BM9+BM15</f>
        <v>7921163620.21539</v>
      </c>
      <c r="BN20" s="37" t="n">
        <f aca="false">BN8+BN9+BN15</f>
        <v>7921163620.21539</v>
      </c>
      <c r="BO20" s="37" t="n">
        <f aca="false">BO8+BO9+BO15</f>
        <v>7921163620.21539</v>
      </c>
      <c r="BP20" s="37" t="n">
        <f aca="false">BP8+BP9+BP15</f>
        <v>12213081489.8596</v>
      </c>
      <c r="BQ20" s="37" t="n">
        <f aca="false">BQ8+BQ9+BQ15</f>
        <v>7921163620.21539</v>
      </c>
      <c r="BR20" s="37" t="n">
        <f aca="false">BR8+BR9+BR15</f>
        <v>7921163620.21539</v>
      </c>
      <c r="BS20" s="37" t="n">
        <f aca="false">BS8+BS9+BS15</f>
        <v>7921163620.21539</v>
      </c>
      <c r="BT20" s="37" t="n">
        <f aca="false">BT8+BT9+BT15</f>
        <v>7921163620.21539</v>
      </c>
      <c r="BU20" s="37" t="n">
        <f aca="false">BU8+BU9+BU15</f>
        <v>7921163620.21539</v>
      </c>
      <c r="BV20" s="37" t="n">
        <f aca="false">BV8+BV9+BV15</f>
        <v>12213081489.8596</v>
      </c>
      <c r="BW20" s="37" t="n">
        <f aca="false">BW8+BW9+BW15</f>
        <v>7921163620.21539</v>
      </c>
      <c r="BX20" s="37" t="n">
        <f aca="false">BX8+BX9+BX15</f>
        <v>7921163620.21539</v>
      </c>
      <c r="BY20" s="37" t="n">
        <f aca="false">BY8+BY9+BY15</f>
        <v>7921163620.21539</v>
      </c>
      <c r="BZ20" s="37" t="n">
        <f aca="false">BZ8+BZ9+BZ15</f>
        <v>7921163620.21539</v>
      </c>
      <c r="CA20" s="37" t="n">
        <f aca="false">CA8+CA9+CA15</f>
        <v>7921163620.21539</v>
      </c>
      <c r="CB20" s="37" t="n">
        <f aca="false">CB8+CB9+CB15</f>
        <v>12213081489.8596</v>
      </c>
      <c r="CC20" s="37" t="n">
        <f aca="false">CC8+CC9+CC15</f>
        <v>7921163620.21539</v>
      </c>
      <c r="CD20" s="37" t="n">
        <f aca="false">CD8+CD9+CD15</f>
        <v>7921163620.21539</v>
      </c>
      <c r="CE20" s="37" t="n">
        <f aca="false">CE8+CE9+CE15</f>
        <v>7921163620.21539</v>
      </c>
      <c r="CF20" s="37" t="n">
        <f aca="false">CF8+CF9+CF15</f>
        <v>7921163620.21539</v>
      </c>
      <c r="CG20" s="37" t="n">
        <f aca="false">CG8+CG9+CG15</f>
        <v>7921163620.21539</v>
      </c>
      <c r="CH20" s="37" t="n">
        <f aca="false">CH8+CH9+CH15</f>
        <v>12213081489.8596</v>
      </c>
      <c r="CI20" s="37" t="n">
        <f aca="false">CI8+CI9+CI15</f>
        <v>7921163620.21539</v>
      </c>
      <c r="CJ20" s="37" t="n">
        <f aca="false">CJ8+CJ9+CJ15</f>
        <v>7921163620.21539</v>
      </c>
      <c r="CK20" s="37" t="n">
        <f aca="false">CK8+CK9+CK15</f>
        <v>7921163620.21539</v>
      </c>
      <c r="CL20" s="37" t="n">
        <f aca="false">CL8+CL9+CL15</f>
        <v>7921163620.21539</v>
      </c>
      <c r="CM20" s="37" t="n">
        <f aca="false">CM8+CM9+CM15</f>
        <v>7921163620.21539</v>
      </c>
      <c r="CN20" s="37" t="n">
        <f aca="false">CN8+CN9+CN15</f>
        <v>12213081489.8596</v>
      </c>
      <c r="CO20" s="37" t="n">
        <f aca="false">CO8+CO9+CO15</f>
        <v>7921163620.21539</v>
      </c>
      <c r="CP20" s="37" t="n">
        <f aca="false">CP8+CP9+CP15</f>
        <v>7921163620.21539</v>
      </c>
      <c r="CQ20" s="37" t="n">
        <f aca="false">CQ8+CQ9+CQ15</f>
        <v>7921163620.21539</v>
      </c>
      <c r="CR20" s="37" t="n">
        <f aca="false">CR8+CR9+CR15</f>
        <v>7921163620.21539</v>
      </c>
      <c r="CS20" s="37" t="n">
        <f aca="false">CS8+CS9+CS15</f>
        <v>7921163620.21539</v>
      </c>
      <c r="CT20" s="37" t="n">
        <f aca="false">CT8+CT9+CT15</f>
        <v>12213081489.8596</v>
      </c>
    </row>
    <row r="21" customFormat="false" ht="15" hidden="false" customHeight="true" outlineLevel="0" collapsed="false">
      <c r="B21" s="15" t="s">
        <v>271</v>
      </c>
      <c r="C21" s="37" t="n">
        <f aca="false">C10+C11+C13+C14+C16</f>
        <v>11259246815.096</v>
      </c>
      <c r="D21" s="37" t="n">
        <f aca="false">D10+D11+D13+D14+D16</f>
        <v>11546322795.5145</v>
      </c>
      <c r="E21" s="37" t="n">
        <f aca="false">(E10+E11+E13+E14+E16)*(MAX(0,1-Supuestos!$C$37))+(D10+D11+D13+D14+D16)*(MAX(0,MIN(Supuestos!$C$37,1)-MAX(0,Supuestos!$C$37-1)))+(C10+C11+C13+C14+C16)*(MAX(0,MIN(Supuestos!$C$37-1,1)))</f>
        <v>11546322795.5145</v>
      </c>
      <c r="F21" s="37" t="n">
        <f aca="false">(F10+F11+F13+F14+F16)*(MAX(0,1-Supuestos!$C$37))+(E10+E11+E13+E14+E16)*(MAX(0,MIN(Supuestos!$C$37,1)-MAX(0,Supuestos!$C$37-1)))+(D10+D11+D13+D14+D16)*(MAX(0,MIN(Supuestos!$C$37-1,1)))</f>
        <v>11943851705.3634</v>
      </c>
      <c r="G21" s="37" t="n">
        <f aca="false">(G10+G11+G13+G14+G16)*(MAX(0,1-Supuestos!$C$37))+(F10+F11+F13+F14+F16)*(MAX(0,MIN(Supuestos!$C$37,1)-MAX(0,Supuestos!$C$37-1)))+(E10+E11+E13+E14+E16)*(MAX(0,MIN(Supuestos!$C$37-1,1)))</f>
        <v>11943851705.3634</v>
      </c>
      <c r="H21" s="37" t="n">
        <f aca="false">(H10+H11+H13+H14+H16)*(MAX(0,1-Supuestos!$C$37))+(G10+G11+G13+G14+G16)*(MAX(0,MIN(Supuestos!$C$37,1)-MAX(0,Supuestos!$C$37-1)))+(F10+F11+F13+F14+F16)*(MAX(0,MIN(Supuestos!$C$37-1,1)))</f>
        <v>11943851705.3634</v>
      </c>
      <c r="I21" s="37" t="n">
        <f aca="false">(I10+I11+I13+I14+I16)*(MAX(0,1-Supuestos!$C$37))+(H10+H11+H13+H14+H16)*(MAX(0,MIN(Supuestos!$C$37,1)-MAX(0,Supuestos!$C$37-1)))+(G10+G11+G13+G14+G16)*(MAX(0,MIN(Supuestos!$C$37-1,1)))</f>
        <v>11943851705.3634</v>
      </c>
      <c r="J21" s="37" t="n">
        <f aca="false">(J10+J11+J13+J14+J16)*(MAX(0,1-Supuestos!$C$37))+(I10+I11+I13+I14+I16)*(MAX(0,MIN(Supuestos!$C$37,1)-MAX(0,Supuestos!$C$37-1)))+(H10+H11+H13+H14+H16)*(MAX(0,MIN(Supuestos!$C$37-1,1)))</f>
        <v>11943851705.3634</v>
      </c>
      <c r="K21" s="37" t="n">
        <f aca="false">(K10+K11+K13+K14+K16)*(MAX(0,1-Supuestos!$C$37))+(J10+J11+J13+J14+J16)*(MAX(0,MIN(Supuestos!$C$37,1)-MAX(0,Supuestos!$C$37-1)))+(I10+I11+I13+I14+I16)*(MAX(0,MIN(Supuestos!$C$37-1,1)))</f>
        <v>11943851705.3634</v>
      </c>
      <c r="L21" s="37" t="n">
        <f aca="false">(L10+L11+L13+L14+L16)*(MAX(0,1-Supuestos!$C$37))+(K10+K11+K13+K14+K16)*(MAX(0,MIN(Supuestos!$C$37,1)-MAX(0,Supuestos!$C$37-1)))+(J10+J11+J13+J14+J16)*(MAX(0,MIN(Supuestos!$C$37-1,1)))</f>
        <v>11943851705.3634</v>
      </c>
      <c r="M21" s="37" t="n">
        <f aca="false">(M10+M11+M13+M14+M16)*(MAX(0,1-Supuestos!$C$37))+(L10+L11+L13+L14+L16)*(MAX(0,MIN(Supuestos!$C$37,1)-MAX(0,Supuestos!$C$37-1)))+(K10+K11+K13+K14+K16)*(MAX(0,MIN(Supuestos!$C$37-1,1)))</f>
        <v>11988007468.1104</v>
      </c>
      <c r="N21" s="37" t="n">
        <f aca="false">(N10+N11+N13+N14+N16)*(MAX(0,1-Supuestos!$C$37))+(M10+M11+M13+M14+M16)*(MAX(0,MIN(Supuestos!$C$37,1)-MAX(0,Supuestos!$C$37-1)))+(L10+L11+L13+L14+L16)*(MAX(0,MIN(Supuestos!$C$37-1,1)))</f>
        <v>11988007468.1104</v>
      </c>
      <c r="O21" s="37" t="n">
        <f aca="false">(O10+O11+O13+O14+O16)*(MAX(0,1-Supuestos!$C$37))+(N10+N11+N13+N14+N16)*(MAX(0,MIN(Supuestos!$C$37,1)-MAX(0,Supuestos!$C$37-1)))+(M10+M11+M13+M14+M16)*(MAX(0,MIN(Supuestos!$C$37-1,1)))</f>
        <v>11347558340.5901</v>
      </c>
      <c r="P21" s="37" t="n">
        <f aca="false">(P10+P11+P13+P14+P16)*(MAX(0,1-Supuestos!$C$37))+(O10+O11+O13+O14+O16)*(MAX(0,MIN(Supuestos!$C$37,1)-MAX(0,Supuestos!$C$37-1)))+(N10+N11+N13+N14+N16)*(MAX(0,MIN(Supuestos!$C$37-1,1)))</f>
        <v>11409771779.8889</v>
      </c>
      <c r="Q21" s="37" t="n">
        <f aca="false">(Q10+Q11+Q13+Q14+Q16)*(MAX(0,1-Supuestos!$C$37))+(P10+P11+P13+P14+P16)*(MAX(0,MIN(Supuestos!$C$37,1)-MAX(0,Supuestos!$C$37-1)))+(O10+O11+O13+O14+O16)*(MAX(0,MIN(Supuestos!$C$37-1,1)))</f>
        <v>11696847760.3074</v>
      </c>
      <c r="R21" s="37" t="n">
        <f aca="false">(R10+R11+R13+R14+R16)*(MAX(0,1-Supuestos!$C$37))+(Q10+Q11+Q13+Q14+Q16)*(MAX(0,MIN(Supuestos!$C$37,1)-MAX(0,Supuestos!$C$37-1)))+(P10+P11+P13+P14+P16)*(MAX(0,MIN(Supuestos!$C$37-1,1)))</f>
        <v>12094376670.1563</v>
      </c>
      <c r="S21" s="37" t="n">
        <f aca="false">(S10+S11+S13+S14+S16)*(MAX(0,1-Supuestos!$C$37))+(R10+R11+R13+R14+R16)*(MAX(0,MIN(Supuestos!$C$37,1)-MAX(0,Supuestos!$C$37-1)))+(Q10+Q11+Q13+Q14+Q16)*(MAX(0,MIN(Supuestos!$C$37-1,1)))</f>
        <v>12094376670.1563</v>
      </c>
      <c r="T21" s="37" t="n">
        <f aca="false">(T10+T11+T13+T14+T16)*(MAX(0,1-Supuestos!$C$37))+(S10+S11+S13+S14+S16)*(MAX(0,MIN(Supuestos!$C$37,1)-MAX(0,Supuestos!$C$37-1)))+(R10+R11+R13+R14+R16)*(MAX(0,MIN(Supuestos!$C$37-1,1)))</f>
        <v>12094376670.1563</v>
      </c>
      <c r="U21" s="37" t="n">
        <f aca="false">(U10+U11+U13+U14+U16)*(MAX(0,1-Supuestos!$C$37))+(T10+T11+T13+T14+T16)*(MAX(0,MIN(Supuestos!$C$37,1)-MAX(0,Supuestos!$C$37-1)))+(S10+S11+S13+S14+S16)*(MAX(0,MIN(Supuestos!$C$37-1,1)))</f>
        <v>12094376670.1563</v>
      </c>
      <c r="V21" s="37" t="n">
        <f aca="false">(V10+V11+V13+V14+V16)*(MAX(0,1-Supuestos!$C$37))+(U10+U11+U13+U14+U16)*(MAX(0,MIN(Supuestos!$C$37,1)-MAX(0,Supuestos!$C$37-1)))+(T10+T11+T13+T14+T16)*(MAX(0,MIN(Supuestos!$C$37-1,1)))</f>
        <v>12094376670.1563</v>
      </c>
      <c r="W21" s="37" t="n">
        <f aca="false">(W10+W11+W13+W14+W16)*(MAX(0,1-Supuestos!$C$37))+(V10+V11+V13+V14+V16)*(MAX(0,MIN(Supuestos!$C$37,1)-MAX(0,Supuestos!$C$37-1)))+(U10+U11+U13+U14+U16)*(MAX(0,MIN(Supuestos!$C$37-1,1)))</f>
        <v>12094376670.1563</v>
      </c>
      <c r="X21" s="37" t="n">
        <f aca="false">(X10+X11+X13+X14+X16)*(MAX(0,1-Supuestos!$C$37))+(W10+W11+W13+W14+W16)*(MAX(0,MIN(Supuestos!$C$37,1)-MAX(0,Supuestos!$C$37-1)))+(V10+V11+V13+V14+V16)*(MAX(0,MIN(Supuestos!$C$37-1,1)))</f>
        <v>12094376670.1563</v>
      </c>
      <c r="Y21" s="37" t="n">
        <f aca="false">(Y10+Y11+Y13+Y14+Y16)*(MAX(0,1-Supuestos!$C$37))+(X10+X11+X13+X14+X16)*(MAX(0,MIN(Supuestos!$C$37,1)-MAX(0,Supuestos!$C$37-1)))+(W10+W11+W13+W14+W16)*(MAX(0,MIN(Supuestos!$C$37-1,1)))</f>
        <v>12138532432.9033</v>
      </c>
      <c r="Z21" s="37" t="n">
        <f aca="false">(Z10+Z11+Z13+Z14+Z16)*(MAX(0,1-Supuestos!$C$37))+(Y10+Y11+Y13+Y14+Y16)*(MAX(0,MIN(Supuestos!$C$37,1)-MAX(0,Supuestos!$C$37-1)))+(X10+X11+X13+X14+X16)*(MAX(0,MIN(Supuestos!$C$37-1,1)))</f>
        <v>12138532432.9033</v>
      </c>
      <c r="AA21" s="37" t="n">
        <f aca="false">(AA10+AA11+AA13+AA14+AA16)*(MAX(0,1-Supuestos!$C$37))+(Z10+Z11+Z13+Z14+Z16)*(MAX(0,MIN(Supuestos!$C$37,1)-MAX(0,Supuestos!$C$37-1)))+(Y10+Y11+Y13+Y14+Y16)*(MAX(0,MIN(Supuestos!$C$37-1,1)))</f>
        <v>11498083305.383</v>
      </c>
      <c r="AB21" s="37" t="n">
        <f aca="false">(AB10+AB11+AB13+AB14+AB16)*(MAX(0,1-Supuestos!$C$37))+(AA10+AA11+AA13+AA14+AA16)*(MAX(0,MIN(Supuestos!$C$37,1)-MAX(0,Supuestos!$C$37-1)))+(Z10+Z11+Z13+Z14+Z16)*(MAX(0,MIN(Supuestos!$C$37-1,1)))</f>
        <v>11560296744.6819</v>
      </c>
      <c r="AC21" s="37" t="n">
        <f aca="false">(AC10+AC11+AC13+AC14+AC16)*(MAX(0,1-Supuestos!$C$37))+(AB10+AB11+AB13+AB14+AB16)*(MAX(0,MIN(Supuestos!$C$37,1)-MAX(0,Supuestos!$C$37-1)))+(AA10+AA11+AA13+AA14+AA16)*(MAX(0,MIN(Supuestos!$C$37-1,1)))</f>
        <v>11847372725.1003</v>
      </c>
      <c r="AD21" s="37" t="n">
        <f aca="false">(AD10+AD11+AD13+AD14+AD16)*(MAX(0,1-Supuestos!$C$37))+(AC10+AC11+AC13+AC14+AC16)*(MAX(0,MIN(Supuestos!$C$37,1)-MAX(0,Supuestos!$C$37-1)))+(AB10+AB11+AB13+AB14+AB16)*(MAX(0,MIN(Supuestos!$C$37-1,1)))</f>
        <v>12244901634.9492</v>
      </c>
      <c r="AE21" s="37" t="n">
        <f aca="false">(AE10+AE11+AE13+AE14+AE16)*(MAX(0,1-Supuestos!$C$37))+(AD10+AD11+AD13+AD14+AD16)*(MAX(0,MIN(Supuestos!$C$37,1)-MAX(0,Supuestos!$C$37-1)))+(AC10+AC11+AC13+AC14+AC16)*(MAX(0,MIN(Supuestos!$C$37-1,1)))</f>
        <v>12244901634.9492</v>
      </c>
      <c r="AF21" s="37" t="n">
        <f aca="false">(AF10+AF11+AF13+AF14+AF16)*(MAX(0,1-Supuestos!$C$37))+(AE10+AE11+AE13+AE14+AE16)*(MAX(0,MIN(Supuestos!$C$37,1)-MAX(0,Supuestos!$C$37-1)))+(AD10+AD11+AD13+AD14+AD16)*(MAX(0,MIN(Supuestos!$C$37-1,1)))</f>
        <v>12244901634.9492</v>
      </c>
      <c r="AG21" s="37" t="n">
        <f aca="false">(AG10+AG11+AG13+AG14+AG16)*(MAX(0,1-Supuestos!$C$37))+(AF10+AF11+AF13+AF14+AF16)*(MAX(0,MIN(Supuestos!$C$37,1)-MAX(0,Supuestos!$C$37-1)))+(AE10+AE11+AE13+AE14+AE16)*(MAX(0,MIN(Supuestos!$C$37-1,1)))</f>
        <v>12244901634.9492</v>
      </c>
      <c r="AH21" s="37" t="n">
        <f aca="false">(AH10+AH11+AH13+AH14+AH16)*(MAX(0,1-Supuestos!$C$37))+(AG10+AG11+AG13+AG14+AG16)*(MAX(0,MIN(Supuestos!$C$37,1)-MAX(0,Supuestos!$C$37-1)))+(AF10+AF11+AF13+AF14+AF16)*(MAX(0,MIN(Supuestos!$C$37-1,1)))</f>
        <v>12244901634.9492</v>
      </c>
      <c r="AI21" s="37" t="n">
        <f aca="false">(AI10+AI11+AI13+AI14+AI16)*(MAX(0,1-Supuestos!$C$37))+(AH10+AH11+AH13+AH14+AH16)*(MAX(0,MIN(Supuestos!$C$37,1)-MAX(0,Supuestos!$C$37-1)))+(AG10+AG11+AG13+AG14+AG16)*(MAX(0,MIN(Supuestos!$C$37-1,1)))</f>
        <v>12244901634.9492</v>
      </c>
      <c r="AJ21" s="37" t="n">
        <f aca="false">(AJ10+AJ11+AJ13+AJ14+AJ16)*(MAX(0,1-Supuestos!$C$37))+(AI10+AI11+AI13+AI14+AI16)*(MAX(0,MIN(Supuestos!$C$37,1)-MAX(0,Supuestos!$C$37-1)))+(AH10+AH11+AH13+AH14+AH16)*(MAX(0,MIN(Supuestos!$C$37-1,1)))</f>
        <v>12244901634.9492</v>
      </c>
      <c r="AK21" s="37" t="n">
        <f aca="false">(AK10+AK11+AK13+AK14+AK16)*(MAX(0,1-Supuestos!$C$37))+(AJ10+AJ11+AJ13+AJ14+AJ16)*(MAX(0,MIN(Supuestos!$C$37,1)-MAX(0,Supuestos!$C$37-1)))+(AI10+AI11+AI13+AI14+AI16)*(MAX(0,MIN(Supuestos!$C$37-1,1)))</f>
        <v>12289057397.6962</v>
      </c>
      <c r="AL21" s="37" t="n">
        <f aca="false">(AL10+AL11+AL13+AL14+AL16)*(MAX(0,1-Supuestos!$C$37))+(AK10+AK11+AK13+AK14+AK16)*(MAX(0,MIN(Supuestos!$C$37,1)-MAX(0,Supuestos!$C$37-1)))+(AJ10+AJ11+AJ13+AJ14+AJ16)*(MAX(0,MIN(Supuestos!$C$37-1,1)))</f>
        <v>12289057397.6962</v>
      </c>
      <c r="AM21" s="37" t="n">
        <f aca="false">(AM10+AM11+AM13+AM14+AM16)*(MAX(0,1-Supuestos!$C$37))+(AL10+AL11+AL13+AL14+AL16)*(MAX(0,MIN(Supuestos!$C$37,1)-MAX(0,Supuestos!$C$37-1)))+(AK10+AK11+AK13+AK14+AK16)*(MAX(0,MIN(Supuestos!$C$37-1,1)))</f>
        <v>11648608270.1759</v>
      </c>
      <c r="AN21" s="37" t="n">
        <f aca="false">(AN10+AN11+AN13+AN14+AN16)*(MAX(0,1-Supuestos!$C$37))+(AM10+AM11+AM13+AM14+AM16)*(MAX(0,MIN(Supuestos!$C$37,1)-MAX(0,Supuestos!$C$37-1)))+(AL10+AL11+AL13+AL14+AL16)*(MAX(0,MIN(Supuestos!$C$37-1,1)))</f>
        <v>11710821709.4748</v>
      </c>
      <c r="AO21" s="37" t="n">
        <f aca="false">(AO10+AO11+AO13+AO14+AO16)*(MAX(0,1-Supuestos!$C$37))+(AN10+AN11+AN13+AN14+AN16)*(MAX(0,MIN(Supuestos!$C$37,1)-MAX(0,Supuestos!$C$37-1)))+(AM10+AM11+AM13+AM14+AM16)*(MAX(0,MIN(Supuestos!$C$37-1,1)))</f>
        <v>11997897689.8932</v>
      </c>
      <c r="AP21" s="37" t="n">
        <f aca="false">(AP10+AP11+AP13+AP14+AP16)*(MAX(0,1-Supuestos!$C$37))+(AO10+AO11+AO13+AO14+AO16)*(MAX(0,MIN(Supuestos!$C$37,1)-MAX(0,Supuestos!$C$37-1)))+(AN10+AN11+AN13+AN14+AN16)*(MAX(0,MIN(Supuestos!$C$37-1,1)))</f>
        <v>12395426599.7421</v>
      </c>
      <c r="AQ21" s="37" t="n">
        <f aca="false">(AQ10+AQ11+AQ13+AQ14+AQ16)*(MAX(0,1-Supuestos!$C$37))+(AP10+AP11+AP13+AP14+AP16)*(MAX(0,MIN(Supuestos!$C$37,1)-MAX(0,Supuestos!$C$37-1)))+(AO10+AO11+AO13+AO14+AO16)*(MAX(0,MIN(Supuestos!$C$37-1,1)))</f>
        <v>12395426599.7421</v>
      </c>
      <c r="AR21" s="37" t="n">
        <f aca="false">(AR10+AR11+AR13+AR14+AR16)*(MAX(0,1-Supuestos!$C$37))+(AQ10+AQ11+AQ13+AQ14+AQ16)*(MAX(0,MIN(Supuestos!$C$37,1)-MAX(0,Supuestos!$C$37-1)))+(AP10+AP11+AP13+AP14+AP16)*(MAX(0,MIN(Supuestos!$C$37-1,1)))</f>
        <v>12395426599.7421</v>
      </c>
      <c r="AS21" s="37" t="n">
        <f aca="false">(AS10+AS11+AS13+AS14+AS16)*(MAX(0,1-Supuestos!$C$37))+(AR10+AR11+AR13+AR14+AR16)*(MAX(0,MIN(Supuestos!$C$37,1)-MAX(0,Supuestos!$C$37-1)))+(AQ10+AQ11+AQ13+AQ14+AQ16)*(MAX(0,MIN(Supuestos!$C$37-1,1)))</f>
        <v>12395426599.7421</v>
      </c>
      <c r="AT21" s="37" t="n">
        <f aca="false">(AT10+AT11+AT13+AT14+AT16)*(MAX(0,1-Supuestos!$C$37))+(AS10+AS11+AS13+AS14+AS16)*(MAX(0,MIN(Supuestos!$C$37,1)-MAX(0,Supuestos!$C$37-1)))+(AR10+AR11+AR13+AR14+AR16)*(MAX(0,MIN(Supuestos!$C$37-1,1)))</f>
        <v>12395426599.7421</v>
      </c>
      <c r="AU21" s="37" t="n">
        <f aca="false">(AU10+AU11+AU13+AU14+AU16)*(MAX(0,1-Supuestos!$C$37))+(AT10+AT11+AT13+AT14+AT16)*(MAX(0,MIN(Supuestos!$C$37,1)-MAX(0,Supuestos!$C$37-1)))+(AS10+AS11+AS13+AS14+AS16)*(MAX(0,MIN(Supuestos!$C$37-1,1)))</f>
        <v>12395426599.7421</v>
      </c>
      <c r="AV21" s="37" t="n">
        <f aca="false">(AV10+AV11+AV13+AV14+AV16)*(MAX(0,1-Supuestos!$C$37))+(AU10+AU11+AU13+AU14+AU16)*(MAX(0,MIN(Supuestos!$C$37,1)-MAX(0,Supuestos!$C$37-1)))+(AT10+AT11+AT13+AT14+AT16)*(MAX(0,MIN(Supuestos!$C$37-1,1)))</f>
        <v>12395426599.7421</v>
      </c>
      <c r="AW21" s="37" t="n">
        <f aca="false">(AW10+AW11+AW13+AW14+AW16)*(MAX(0,1-Supuestos!$C$37))+(AV10+AV11+AV13+AV14+AV16)*(MAX(0,MIN(Supuestos!$C$37,1)-MAX(0,Supuestos!$C$37-1)))+(AU10+AU11+AU13+AU14+AU16)*(MAX(0,MIN(Supuestos!$C$37-1,1)))</f>
        <v>12439582362.4891</v>
      </c>
      <c r="AX21" s="37" t="n">
        <f aca="false">(AX10+AX11+AX13+AX14+AX16)*(MAX(0,1-Supuestos!$C$37))+(AW10+AW11+AW13+AW14+AW16)*(MAX(0,MIN(Supuestos!$C$37,1)-MAX(0,Supuestos!$C$37-1)))+(AV10+AV11+AV13+AV14+AV16)*(MAX(0,MIN(Supuestos!$C$37-1,1)))</f>
        <v>12439582362.4891</v>
      </c>
      <c r="AY21" s="37" t="n">
        <f aca="false">(AY10+AY11+AY13+AY14+AY16)*(MAX(0,1-Supuestos!$C$37))+(AX10+AX11+AX13+AX14+AX16)*(MAX(0,MIN(Supuestos!$C$37,1)-MAX(0,Supuestos!$C$37-1)))+(AW10+AW11+AW13+AW14+AW16)*(MAX(0,MIN(Supuestos!$C$37-1,1)))</f>
        <v>11799133234.9688</v>
      </c>
      <c r="AZ21" s="37" t="n">
        <f aca="false">(AZ10+AZ11+AZ13+AZ14+AZ16)*(MAX(0,1-Supuestos!$C$37))+(AY10+AY11+AY13+AY14+AY16)*(MAX(0,MIN(Supuestos!$C$37,1)-MAX(0,Supuestos!$C$37-1)))+(AX10+AX11+AX13+AX14+AX16)*(MAX(0,MIN(Supuestos!$C$37-1,1)))</f>
        <v>11710821709.4748</v>
      </c>
      <c r="BA21" s="37" t="n">
        <f aca="false">(BA10+BA11+BA13+BA14+BA16)*(MAX(0,1-Supuestos!$C$37))+(AZ10+AZ11+AZ13+AZ14+AZ16)*(MAX(0,MIN(Supuestos!$C$37,1)-MAX(0,Supuestos!$C$37-1)))+(AY10+AY11+AY13+AY14+AY16)*(MAX(0,MIN(Supuestos!$C$37-1,1)))</f>
        <v>11997897689.8932</v>
      </c>
      <c r="BB21" s="37" t="n">
        <f aca="false">(BB10+BB11+BB13+BB14+BB16)*(MAX(0,1-Supuestos!$C$37))+(BA10+BA11+BA13+BA14+BA16)*(MAX(0,MIN(Supuestos!$C$37,1)-MAX(0,Supuestos!$C$37-1)))+(AZ10+AZ11+AZ13+AZ14+AZ16)*(MAX(0,MIN(Supuestos!$C$37-1,1)))</f>
        <v>12395426599.7421</v>
      </c>
      <c r="BC21" s="37" t="n">
        <f aca="false">(BC10+BC11+BC13+BC14+BC16)*(MAX(0,1-Supuestos!$C$37))+(BB10+BB11+BB13+BB14+BB16)*(MAX(0,MIN(Supuestos!$C$37,1)-MAX(0,Supuestos!$C$37-1)))+(BA10+BA11+BA13+BA14+BA16)*(MAX(0,MIN(Supuestos!$C$37-1,1)))</f>
        <v>12395426599.7421</v>
      </c>
      <c r="BD21" s="37" t="n">
        <f aca="false">(BD10+BD11+BD13+BD14+BD16)*(MAX(0,1-Supuestos!$C$37))+(BC10+BC11+BC13+BC14+BC16)*(MAX(0,MIN(Supuestos!$C$37,1)-MAX(0,Supuestos!$C$37-1)))+(BB10+BB11+BB13+BB14+BB16)*(MAX(0,MIN(Supuestos!$C$37-1,1)))</f>
        <v>12395426599.7421</v>
      </c>
      <c r="BE21" s="37" t="n">
        <f aca="false">(BE10+BE11+BE13+BE14+BE16)*(MAX(0,1-Supuestos!$C$37))+(BD10+BD11+BD13+BD14+BD16)*(MAX(0,MIN(Supuestos!$C$37,1)-MAX(0,Supuestos!$C$37-1)))+(BC10+BC11+BC13+BC14+BC16)*(MAX(0,MIN(Supuestos!$C$37-1,1)))</f>
        <v>12395426599.7421</v>
      </c>
      <c r="BF21" s="37" t="n">
        <f aca="false">(BF10+BF11+BF13+BF14+BF16)*(MAX(0,1-Supuestos!$C$37))+(BE10+BE11+BE13+BE14+BE16)*(MAX(0,MIN(Supuestos!$C$37,1)-MAX(0,Supuestos!$C$37-1)))+(BD10+BD11+BD13+BD14+BD16)*(MAX(0,MIN(Supuestos!$C$37-1,1)))</f>
        <v>12395426599.7421</v>
      </c>
      <c r="BG21" s="37" t="n">
        <f aca="false">(BG10+BG11+BG13+BG14+BG16)*(MAX(0,1-Supuestos!$C$37))+(BF10+BF11+BF13+BF14+BF16)*(MAX(0,MIN(Supuestos!$C$37,1)-MAX(0,Supuestos!$C$37-1)))+(BE10+BE11+BE13+BE14+BE16)*(MAX(0,MIN(Supuestos!$C$37-1,1)))</f>
        <v>12395426599.7421</v>
      </c>
      <c r="BH21" s="37" t="n">
        <f aca="false">(BH10+BH11+BH13+BH14+BH16)*(MAX(0,1-Supuestos!$C$37))+(BG10+BG11+BG13+BG14+BG16)*(MAX(0,MIN(Supuestos!$C$37,1)-MAX(0,Supuestos!$C$37-1)))+(BF10+BF11+BF13+BF14+BF16)*(MAX(0,MIN(Supuestos!$C$37-1,1)))</f>
        <v>12395426599.7421</v>
      </c>
      <c r="BI21" s="37" t="n">
        <f aca="false">(BI10+BI11+BI13+BI14+BI16)*(MAX(0,1-Supuestos!$C$37))+(BH10+BH11+BH13+BH14+BH16)*(MAX(0,MIN(Supuestos!$C$37,1)-MAX(0,Supuestos!$C$37-1)))+(BG10+BG11+BG13+BG14+BG16)*(MAX(0,MIN(Supuestos!$C$37-1,1)))</f>
        <v>12439582362.4891</v>
      </c>
      <c r="BJ21" s="37" t="n">
        <f aca="false">(BJ10+BJ11+BJ13+BJ14+BJ16)*(MAX(0,1-Supuestos!$C$37))+(BI10+BI11+BI13+BI14+BI16)*(MAX(0,MIN(Supuestos!$C$37,1)-MAX(0,Supuestos!$C$37-1)))+(BH10+BH11+BH13+BH14+BH16)*(MAX(0,MIN(Supuestos!$C$37-1,1)))</f>
        <v>12439582362.4891</v>
      </c>
      <c r="BK21" s="37" t="n">
        <f aca="false">(BK10+BK11+BK13+BK14+BK16)*(MAX(0,1-Supuestos!$C$37))+(BJ10+BJ11+BJ13+BJ14+BJ16)*(MAX(0,MIN(Supuestos!$C$37,1)-MAX(0,Supuestos!$C$37-1)))+(BI10+BI11+BI13+BI14+BI16)*(MAX(0,MIN(Supuestos!$C$37-1,1)))</f>
        <v>11799133234.9688</v>
      </c>
      <c r="BL21" s="37" t="n">
        <f aca="false">(BL10+BL11+BL13+BL14+BL16)*(MAX(0,1-Supuestos!$C$37))+(BK10+BK11+BK13+BK14+BK16)*(MAX(0,MIN(Supuestos!$C$37,1)-MAX(0,Supuestos!$C$37-1)))+(BJ10+BJ11+BJ13+BJ14+BJ16)*(MAX(0,MIN(Supuestos!$C$37-1,1)))</f>
        <v>11710821709.4748</v>
      </c>
      <c r="BM21" s="37" t="n">
        <f aca="false">(BM10+BM11+BM13+BM14+BM16)*(MAX(0,1-Supuestos!$C$37))+(BL10+BL11+BL13+BL14+BL16)*(MAX(0,MIN(Supuestos!$C$37,1)-MAX(0,Supuestos!$C$37-1)))+(BK10+BK11+BK13+BK14+BK16)*(MAX(0,MIN(Supuestos!$C$37-1,1)))</f>
        <v>11997897689.8932</v>
      </c>
      <c r="BN21" s="37" t="n">
        <f aca="false">(BN10+BN11+BN13+BN14+BN16)*(MAX(0,1-Supuestos!$C$37))+(BM10+BM11+BM13+BM14+BM16)*(MAX(0,MIN(Supuestos!$C$37,1)-MAX(0,Supuestos!$C$37-1)))+(BL10+BL11+BL13+BL14+BL16)*(MAX(0,MIN(Supuestos!$C$37-1,1)))</f>
        <v>12395426599.7421</v>
      </c>
      <c r="BO21" s="37" t="n">
        <f aca="false">(BO10+BO11+BO13+BO14+BO16)*(MAX(0,1-Supuestos!$C$37))+(BN10+BN11+BN13+BN14+BN16)*(MAX(0,MIN(Supuestos!$C$37,1)-MAX(0,Supuestos!$C$37-1)))+(BM10+BM11+BM13+BM14+BM16)*(MAX(0,MIN(Supuestos!$C$37-1,1)))</f>
        <v>12395426599.7421</v>
      </c>
      <c r="BP21" s="37" t="n">
        <f aca="false">(BP10+BP11+BP13+BP14+BP16)*(MAX(0,1-Supuestos!$C$37))+(BO10+BO11+BO13+BO14+BO16)*(MAX(0,MIN(Supuestos!$C$37,1)-MAX(0,Supuestos!$C$37-1)))+(BN10+BN11+BN13+BN14+BN16)*(MAX(0,MIN(Supuestos!$C$37-1,1)))</f>
        <v>12395426599.7421</v>
      </c>
      <c r="BQ21" s="37" t="n">
        <f aca="false">(BQ10+BQ11+BQ13+BQ14+BQ16)*(MAX(0,1-Supuestos!$C$37))+(BP10+BP11+BP13+BP14+BP16)*(MAX(0,MIN(Supuestos!$C$37,1)-MAX(0,Supuestos!$C$37-1)))+(BO10+BO11+BO13+BO14+BO16)*(MAX(0,MIN(Supuestos!$C$37-1,1)))</f>
        <v>12395426599.7421</v>
      </c>
      <c r="BR21" s="37" t="n">
        <f aca="false">(BR10+BR11+BR13+BR14+BR16)*(MAX(0,1-Supuestos!$C$37))+(BQ10+BQ11+BQ13+BQ14+BQ16)*(MAX(0,MIN(Supuestos!$C$37,1)-MAX(0,Supuestos!$C$37-1)))+(BP10+BP11+BP13+BP14+BP16)*(MAX(0,MIN(Supuestos!$C$37-1,1)))</f>
        <v>12395426599.7421</v>
      </c>
      <c r="BS21" s="37" t="n">
        <f aca="false">(BS10+BS11+BS13+BS14+BS16)*(MAX(0,1-Supuestos!$C$37))+(BR10+BR11+BR13+BR14+BR16)*(MAX(0,MIN(Supuestos!$C$37,1)-MAX(0,Supuestos!$C$37-1)))+(BQ10+BQ11+BQ13+BQ14+BQ16)*(MAX(0,MIN(Supuestos!$C$37-1,1)))</f>
        <v>12395426599.7421</v>
      </c>
      <c r="BT21" s="37" t="n">
        <f aca="false">(BT10+BT11+BT13+BT14+BT16)*(MAX(0,1-Supuestos!$C$37))+(BS10+BS11+BS13+BS14+BS16)*(MAX(0,MIN(Supuestos!$C$37,1)-MAX(0,Supuestos!$C$37-1)))+(BR10+BR11+BR13+BR14+BR16)*(MAX(0,MIN(Supuestos!$C$37-1,1)))</f>
        <v>12395426599.7421</v>
      </c>
      <c r="BU21" s="37" t="n">
        <f aca="false">(BU10+BU11+BU13+BU14+BU16)*(MAX(0,1-Supuestos!$C$37))+(BT10+BT11+BT13+BT14+BT16)*(MAX(0,MIN(Supuestos!$C$37,1)-MAX(0,Supuestos!$C$37-1)))+(BS10+BS11+BS13+BS14+BS16)*(MAX(0,MIN(Supuestos!$C$37-1,1)))</f>
        <v>12439582362.4891</v>
      </c>
      <c r="BV21" s="37" t="n">
        <f aca="false">(BV10+BV11+BV13+BV14+BV16)*(MAX(0,1-Supuestos!$C$37))+(BU10+BU11+BU13+BU14+BU16)*(MAX(0,MIN(Supuestos!$C$37,1)-MAX(0,Supuestos!$C$37-1)))+(BT10+BT11+BT13+BT14+BT16)*(MAX(0,MIN(Supuestos!$C$37-1,1)))</f>
        <v>12439582362.4891</v>
      </c>
      <c r="BW21" s="37" t="n">
        <f aca="false">(BW10+BW11+BW13+BW14+BW16)*(MAX(0,1-Supuestos!$C$37))+(BV10+BV11+BV13+BV14+BV16)*(MAX(0,MIN(Supuestos!$C$37,1)-MAX(0,Supuestos!$C$37-1)))+(BU10+BU11+BU13+BU14+BU16)*(MAX(0,MIN(Supuestos!$C$37-1,1)))</f>
        <v>11799133234.9688</v>
      </c>
      <c r="BX21" s="37" t="n">
        <f aca="false">(BX10+BX11+BX13+BX14+BX16)*(MAX(0,1-Supuestos!$C$37))+(BW10+BW11+BW13+BW14+BW16)*(MAX(0,MIN(Supuestos!$C$37,1)-MAX(0,Supuestos!$C$37-1)))+(BV10+BV11+BV13+BV14+BV16)*(MAX(0,MIN(Supuestos!$C$37-1,1)))</f>
        <v>11710821709.4748</v>
      </c>
      <c r="BY21" s="37" t="n">
        <f aca="false">(BY10+BY11+BY13+BY14+BY16)*(MAX(0,1-Supuestos!$C$37))+(BX10+BX11+BX13+BX14+BX16)*(MAX(0,MIN(Supuestos!$C$37,1)-MAX(0,Supuestos!$C$37-1)))+(BW10+BW11+BW13+BW14+BW16)*(MAX(0,MIN(Supuestos!$C$37-1,1)))</f>
        <v>11997897689.8932</v>
      </c>
      <c r="BZ21" s="37" t="n">
        <f aca="false">(BZ10+BZ11+BZ13+BZ14+BZ16)*(MAX(0,1-Supuestos!$C$37))+(BY10+BY11+BY13+BY14+BY16)*(MAX(0,MIN(Supuestos!$C$37,1)-MAX(0,Supuestos!$C$37-1)))+(BX10+BX11+BX13+BX14+BX16)*(MAX(0,MIN(Supuestos!$C$37-1,1)))</f>
        <v>12395426599.7421</v>
      </c>
      <c r="CA21" s="37" t="n">
        <f aca="false">(CA10+CA11+CA13+CA14+CA16)*(MAX(0,1-Supuestos!$C$37))+(BZ10+BZ11+BZ13+BZ14+BZ16)*(MAX(0,MIN(Supuestos!$C$37,1)-MAX(0,Supuestos!$C$37-1)))+(BY10+BY11+BY13+BY14+BY16)*(MAX(0,MIN(Supuestos!$C$37-1,1)))</f>
        <v>12395426599.7421</v>
      </c>
      <c r="CB21" s="37" t="n">
        <f aca="false">(CB10+CB11+CB13+CB14+CB16)*(MAX(0,1-Supuestos!$C$37))+(CA10+CA11+CA13+CA14+CA16)*(MAX(0,MIN(Supuestos!$C$37,1)-MAX(0,Supuestos!$C$37-1)))+(BZ10+BZ11+BZ13+BZ14+BZ16)*(MAX(0,MIN(Supuestos!$C$37-1,1)))</f>
        <v>12395426599.7421</v>
      </c>
      <c r="CC21" s="37" t="n">
        <f aca="false">(CC10+CC11+CC13+CC14+CC16)*(MAX(0,1-Supuestos!$C$37))+(CB10+CB11+CB13+CB14+CB16)*(MAX(0,MIN(Supuestos!$C$37,1)-MAX(0,Supuestos!$C$37-1)))+(CA10+CA11+CA13+CA14+CA16)*(MAX(0,MIN(Supuestos!$C$37-1,1)))</f>
        <v>12395426599.7421</v>
      </c>
      <c r="CD21" s="37" t="n">
        <f aca="false">(CD10+CD11+CD13+CD14+CD16)*(MAX(0,1-Supuestos!$C$37))+(CC10+CC11+CC13+CC14+CC16)*(MAX(0,MIN(Supuestos!$C$37,1)-MAX(0,Supuestos!$C$37-1)))+(CB10+CB11+CB13+CB14+CB16)*(MAX(0,MIN(Supuestos!$C$37-1,1)))</f>
        <v>12395426599.7421</v>
      </c>
      <c r="CE21" s="37" t="n">
        <f aca="false">(CE10+CE11+CE13+CE14+CE16)*(MAX(0,1-Supuestos!$C$37))+(CD10+CD11+CD13+CD14+CD16)*(MAX(0,MIN(Supuestos!$C$37,1)-MAX(0,Supuestos!$C$37-1)))+(CC10+CC11+CC13+CC14+CC16)*(MAX(0,MIN(Supuestos!$C$37-1,1)))</f>
        <v>12395426599.7421</v>
      </c>
      <c r="CF21" s="37" t="n">
        <f aca="false">(CF10+CF11+CF13+CF14+CF16)*(MAX(0,1-Supuestos!$C$37))+(CE10+CE11+CE13+CE14+CE16)*(MAX(0,MIN(Supuestos!$C$37,1)-MAX(0,Supuestos!$C$37-1)))+(CD10+CD11+CD13+CD14+CD16)*(MAX(0,MIN(Supuestos!$C$37-1,1)))</f>
        <v>12395426599.7421</v>
      </c>
      <c r="CG21" s="37" t="n">
        <f aca="false">(CG10+CG11+CG13+CG14+CG16)*(MAX(0,1-Supuestos!$C$37))+(CF10+CF11+CF13+CF14+CF16)*(MAX(0,MIN(Supuestos!$C$37,1)-MAX(0,Supuestos!$C$37-1)))+(CE10+CE11+CE13+CE14+CE16)*(MAX(0,MIN(Supuestos!$C$37-1,1)))</f>
        <v>12439582362.4891</v>
      </c>
      <c r="CH21" s="37" t="n">
        <f aca="false">(CH10+CH11+CH13+CH14+CH16)*(MAX(0,1-Supuestos!$C$37))+(CG10+CG11+CG13+CG14+CG16)*(MAX(0,MIN(Supuestos!$C$37,1)-MAX(0,Supuestos!$C$37-1)))+(CF10+CF11+CF13+CF14+CF16)*(MAX(0,MIN(Supuestos!$C$37-1,1)))</f>
        <v>12439582362.4891</v>
      </c>
      <c r="CI21" s="37" t="n">
        <f aca="false">(CI10+CI11+CI13+CI14+CI16)*(MAX(0,1-Supuestos!$C$37))+(CH10+CH11+CH13+CH14+CH16)*(MAX(0,MIN(Supuestos!$C$37,1)-MAX(0,Supuestos!$C$37-1)))+(CG10+CG11+CG13+CG14+CG16)*(MAX(0,MIN(Supuestos!$C$37-1,1)))</f>
        <v>11799133234.9688</v>
      </c>
      <c r="CJ21" s="37" t="n">
        <f aca="false">(CJ10+CJ11+CJ13+CJ14+CJ16)*(MAX(0,1-Supuestos!$C$37))+(CI10+CI11+CI13+CI14+CI16)*(MAX(0,MIN(Supuestos!$C$37,1)-MAX(0,Supuestos!$C$37-1)))+(CH10+CH11+CH13+CH14+CH16)*(MAX(0,MIN(Supuestos!$C$37-1,1)))</f>
        <v>11710821709.4748</v>
      </c>
      <c r="CK21" s="37" t="n">
        <f aca="false">(CK10+CK11+CK13+CK14+CK16)*(MAX(0,1-Supuestos!$C$37))+(CJ10+CJ11+CJ13+CJ14+CJ16)*(MAX(0,MIN(Supuestos!$C$37,1)-MAX(0,Supuestos!$C$37-1)))+(CI10+CI11+CI13+CI14+CI16)*(MAX(0,MIN(Supuestos!$C$37-1,1)))</f>
        <v>11997897689.8932</v>
      </c>
      <c r="CL21" s="37" t="n">
        <f aca="false">(CL10+CL11+CL13+CL14+CL16)*(MAX(0,1-Supuestos!$C$37))+(CK10+CK11+CK13+CK14+CK16)*(MAX(0,MIN(Supuestos!$C$37,1)-MAX(0,Supuestos!$C$37-1)))+(CJ10+CJ11+CJ13+CJ14+CJ16)*(MAX(0,MIN(Supuestos!$C$37-1,1)))</f>
        <v>12395426599.7421</v>
      </c>
      <c r="CM21" s="37" t="n">
        <f aca="false">(CM10+CM11+CM13+CM14+CM16)*(MAX(0,1-Supuestos!$C$37))+(CL10+CL11+CL13+CL14+CL16)*(MAX(0,MIN(Supuestos!$C$37,1)-MAX(0,Supuestos!$C$37-1)))+(CK10+CK11+CK13+CK14+CK16)*(MAX(0,MIN(Supuestos!$C$37-1,1)))</f>
        <v>12395426599.7421</v>
      </c>
      <c r="CN21" s="37" t="n">
        <f aca="false">(CN10+CN11+CN13+CN14+CN16)*(MAX(0,1-Supuestos!$C$37))+(CM10+CM11+CM13+CM14+CM16)*(MAX(0,MIN(Supuestos!$C$37,1)-MAX(0,Supuestos!$C$37-1)))+(CL10+CL11+CL13+CL14+CL16)*(MAX(0,MIN(Supuestos!$C$37-1,1)))</f>
        <v>12395426599.7421</v>
      </c>
      <c r="CO21" s="37" t="n">
        <f aca="false">(CO10+CO11+CO13+CO14+CO16)*(MAX(0,1-Supuestos!$C$37))+(CN10+CN11+CN13+CN14+CN16)*(MAX(0,MIN(Supuestos!$C$37,1)-MAX(0,Supuestos!$C$37-1)))+(CM10+CM11+CM13+CM14+CM16)*(MAX(0,MIN(Supuestos!$C$37-1,1)))</f>
        <v>12395426599.7421</v>
      </c>
      <c r="CP21" s="37" t="n">
        <f aca="false">(CP10+CP11+CP13+CP14+CP16)*(MAX(0,1-Supuestos!$C$37))+(CO10+CO11+CO13+CO14+CO16)*(MAX(0,MIN(Supuestos!$C$37,1)-MAX(0,Supuestos!$C$37-1)))+(CN10+CN11+CN13+CN14+CN16)*(MAX(0,MIN(Supuestos!$C$37-1,1)))</f>
        <v>12395426599.7421</v>
      </c>
      <c r="CQ21" s="37" t="n">
        <f aca="false">(CQ10+CQ11+CQ13+CQ14+CQ16)*(MAX(0,1-Supuestos!$C$37))+(CP10+CP11+CP13+CP14+CP16)*(MAX(0,MIN(Supuestos!$C$37,1)-MAX(0,Supuestos!$C$37-1)))+(CO10+CO11+CO13+CO14+CO16)*(MAX(0,MIN(Supuestos!$C$37-1,1)))</f>
        <v>12395426599.7421</v>
      </c>
      <c r="CR21" s="37" t="n">
        <f aca="false">(CR10+CR11+CR13+CR14+CR16)*(MAX(0,1-Supuestos!$C$37))+(CQ10+CQ11+CQ13+CQ14+CQ16)*(MAX(0,MIN(Supuestos!$C$37,1)-MAX(0,Supuestos!$C$37-1)))+(CP10+CP11+CP13+CP14+CP16)*(MAX(0,MIN(Supuestos!$C$37-1,1)))</f>
        <v>12395426599.7421</v>
      </c>
      <c r="CS21" s="37" t="n">
        <f aca="false">(CS10+CS11+CS13+CS14+CS16)*(MAX(0,1-Supuestos!$C$37))+(CR10+CR11+CR13+CR14+CR16)*(MAX(0,MIN(Supuestos!$C$37,1)-MAX(0,Supuestos!$C$37-1)))+(CQ10+CQ11+CQ13+CQ14+CQ16)*(MAX(0,MIN(Supuestos!$C$37-1,1)))</f>
        <v>12439582362.4891</v>
      </c>
      <c r="CT21" s="37" t="n">
        <f aca="false">(CT10+CT11+CT13+CT14+CT16)*(MAX(0,1-Supuestos!$C$37))+(CS10+CS11+CS13+CS14+CS16)*(MAX(0,MIN(Supuestos!$C$37,1)-MAX(0,Supuestos!$C$37-1)))+(CR10+CR11+CR13+CR14+CR16)*(MAX(0,MIN(Supuestos!$C$37-1,1)))</f>
        <v>12439582362.4891</v>
      </c>
    </row>
    <row r="22" customFormat="false" ht="15" hidden="false" customHeight="true" outlineLevel="0" collapsed="false">
      <c r="B22" s="15" t="s">
        <v>272</v>
      </c>
      <c r="C22" s="37" t="n">
        <f aca="false">C12</f>
        <v>1734471280.5078</v>
      </c>
      <c r="D22" s="37" t="n">
        <f aca="false">D12</f>
        <v>2312628374.0104</v>
      </c>
      <c r="E22" s="37" t="n">
        <f aca="false">E12*(MAX(0,1-Supuestos!$C$38))+D12*(MAX(0,MIN(Supuestos!$C$38,1)-MAX(0,Supuestos!$C$38-1)))+C12*(MAX(0,MIN(Supuestos!$C$38-1,1)))</f>
        <v>2023549827.2591</v>
      </c>
      <c r="F22" s="37" t="n">
        <f aca="false">F12*(MAX(0,1-Supuestos!$C$38))+E12*(MAX(0,MIN(Supuestos!$C$38,1)-MAX(0,Supuestos!$C$38-1)))+D12*(MAX(0,MIN(Supuestos!$C$38-1,1)))</f>
        <v>3468942561.0156</v>
      </c>
      <c r="G22" s="37" t="n">
        <f aca="false">G12*(MAX(0,1-Supuestos!$C$38))+F12*(MAX(0,MIN(Supuestos!$C$38,1)-MAX(0,Supuestos!$C$38-1)))+E12*(MAX(0,MIN(Supuestos!$C$38-1,1)))</f>
        <v>4914335294.7721</v>
      </c>
      <c r="H22" s="37" t="n">
        <f aca="false">H12*(MAX(0,1-Supuestos!$C$38))+G12*(MAX(0,MIN(Supuestos!$C$38,1)-MAX(0,Supuestos!$C$38-1)))+F12*(MAX(0,MIN(Supuestos!$C$38-1,1)))</f>
        <v>5492492388.2747</v>
      </c>
      <c r="I22" s="37" t="n">
        <f aca="false">I12*(MAX(0,1-Supuestos!$C$38))+H12*(MAX(0,MIN(Supuestos!$C$38,1)-MAX(0,Supuestos!$C$38-1)))+G12*(MAX(0,MIN(Supuestos!$C$38-1,1)))</f>
        <v>5781570935.026</v>
      </c>
      <c r="J22" s="37" t="n">
        <f aca="false">J12*(MAX(0,1-Supuestos!$C$38))+I12*(MAX(0,MIN(Supuestos!$C$38,1)-MAX(0,Supuestos!$C$38-1)))+H12*(MAX(0,MIN(Supuestos!$C$38-1,1)))</f>
        <v>5781570935.026</v>
      </c>
      <c r="K22" s="37" t="n">
        <f aca="false">K12*(MAX(0,1-Supuestos!$C$38))+J12*(MAX(0,MIN(Supuestos!$C$38,1)-MAX(0,Supuestos!$C$38-1)))+I12*(MAX(0,MIN(Supuestos!$C$38-1,1)))</f>
        <v>5781570935.026</v>
      </c>
      <c r="L22" s="37" t="n">
        <f aca="false">L12*(MAX(0,1-Supuestos!$C$38))+K12*(MAX(0,MIN(Supuestos!$C$38,1)-MAX(0,Supuestos!$C$38-1)))+J12*(MAX(0,MIN(Supuestos!$C$38-1,1)))</f>
        <v>5781570935.026</v>
      </c>
      <c r="M22" s="37" t="n">
        <f aca="false">M12*(MAX(0,1-Supuestos!$C$38))+L12*(MAX(0,MIN(Supuestos!$C$38,1)-MAX(0,Supuestos!$C$38-1)))+K12*(MAX(0,MIN(Supuestos!$C$38-1,1)))</f>
        <v>5781570935.026</v>
      </c>
      <c r="N22" s="37" t="n">
        <f aca="false">N12*(MAX(0,1-Supuestos!$C$38))+M12*(MAX(0,MIN(Supuestos!$C$38,1)-MAX(0,Supuestos!$C$38-1)))+L12*(MAX(0,MIN(Supuestos!$C$38-1,1)))</f>
        <v>5492492388.2747</v>
      </c>
      <c r="O22" s="37" t="n">
        <f aca="false">O12*(MAX(0,1-Supuestos!$C$38))+N12*(MAX(0,MIN(Supuestos!$C$38,1)-MAX(0,Supuestos!$C$38-1)))+M12*(MAX(0,MIN(Supuestos!$C$38-1,1)))</f>
        <v>4625256748.0208</v>
      </c>
      <c r="P22" s="37" t="n">
        <f aca="false">P12*(MAX(0,1-Supuestos!$C$38))+O12*(MAX(0,MIN(Supuestos!$C$38,1)-MAX(0,Supuestos!$C$38-1)))+N12*(MAX(0,MIN(Supuestos!$C$38-1,1)))</f>
        <v>2890785467.513</v>
      </c>
      <c r="Q22" s="37" t="n">
        <f aca="false">Q12*(MAX(0,1-Supuestos!$C$38))+P12*(MAX(0,MIN(Supuestos!$C$38,1)-MAX(0,Supuestos!$C$38-1)))+O12*(MAX(0,MIN(Supuestos!$C$38-1,1)))</f>
        <v>2023549827.2591</v>
      </c>
      <c r="R22" s="37" t="n">
        <f aca="false">R12*(MAX(0,1-Supuestos!$C$38))+Q12*(MAX(0,MIN(Supuestos!$C$38,1)-MAX(0,Supuestos!$C$38-1)))+P12*(MAX(0,MIN(Supuestos!$C$38-1,1)))</f>
        <v>3468942561.0156</v>
      </c>
      <c r="S22" s="37" t="n">
        <f aca="false">S12*(MAX(0,1-Supuestos!$C$38))+R12*(MAX(0,MIN(Supuestos!$C$38,1)-MAX(0,Supuestos!$C$38-1)))+Q12*(MAX(0,MIN(Supuestos!$C$38-1,1)))</f>
        <v>4914335294.7721</v>
      </c>
      <c r="T22" s="37" t="n">
        <f aca="false">T12*(MAX(0,1-Supuestos!$C$38))+S12*(MAX(0,MIN(Supuestos!$C$38,1)-MAX(0,Supuestos!$C$38-1)))+R12*(MAX(0,MIN(Supuestos!$C$38-1,1)))</f>
        <v>5492492388.2747</v>
      </c>
      <c r="U22" s="37" t="n">
        <f aca="false">U12*(MAX(0,1-Supuestos!$C$38))+T12*(MAX(0,MIN(Supuestos!$C$38,1)-MAX(0,Supuestos!$C$38-1)))+S12*(MAX(0,MIN(Supuestos!$C$38-1,1)))</f>
        <v>5781570935.026</v>
      </c>
      <c r="V22" s="37" t="n">
        <f aca="false">V12*(MAX(0,1-Supuestos!$C$38))+U12*(MAX(0,MIN(Supuestos!$C$38,1)-MAX(0,Supuestos!$C$38-1)))+T12*(MAX(0,MIN(Supuestos!$C$38-1,1)))</f>
        <v>5781570935.026</v>
      </c>
      <c r="W22" s="37" t="n">
        <f aca="false">W12*(MAX(0,1-Supuestos!$C$38))+V12*(MAX(0,MIN(Supuestos!$C$38,1)-MAX(0,Supuestos!$C$38-1)))+U12*(MAX(0,MIN(Supuestos!$C$38-1,1)))</f>
        <v>5781570935.026</v>
      </c>
      <c r="X22" s="37" t="n">
        <f aca="false">X12*(MAX(0,1-Supuestos!$C$38))+W12*(MAX(0,MIN(Supuestos!$C$38,1)-MAX(0,Supuestos!$C$38-1)))+V12*(MAX(0,MIN(Supuestos!$C$38-1,1)))</f>
        <v>5781570935.026</v>
      </c>
      <c r="Y22" s="37" t="n">
        <f aca="false">Y12*(MAX(0,1-Supuestos!$C$38))+X12*(MAX(0,MIN(Supuestos!$C$38,1)-MAX(0,Supuestos!$C$38-1)))+W12*(MAX(0,MIN(Supuestos!$C$38-1,1)))</f>
        <v>5781570935.026</v>
      </c>
      <c r="Z22" s="37" t="n">
        <f aca="false">Z12*(MAX(0,1-Supuestos!$C$38))+Y12*(MAX(0,MIN(Supuestos!$C$38,1)-MAX(0,Supuestos!$C$38-1)))+X12*(MAX(0,MIN(Supuestos!$C$38-1,1)))</f>
        <v>5492492388.2747</v>
      </c>
      <c r="AA22" s="37" t="n">
        <f aca="false">AA12*(MAX(0,1-Supuestos!$C$38))+Z12*(MAX(0,MIN(Supuestos!$C$38,1)-MAX(0,Supuestos!$C$38-1)))+Y12*(MAX(0,MIN(Supuestos!$C$38-1,1)))</f>
        <v>4625256748.0208</v>
      </c>
      <c r="AB22" s="37" t="n">
        <f aca="false">AB12*(MAX(0,1-Supuestos!$C$38))+AA12*(MAX(0,MIN(Supuestos!$C$38,1)-MAX(0,Supuestos!$C$38-1)))+Z12*(MAX(0,MIN(Supuestos!$C$38-1,1)))</f>
        <v>2890785467.513</v>
      </c>
      <c r="AC22" s="37" t="n">
        <f aca="false">AC12*(MAX(0,1-Supuestos!$C$38))+AB12*(MAX(0,MIN(Supuestos!$C$38,1)-MAX(0,Supuestos!$C$38-1)))+AA12*(MAX(0,MIN(Supuestos!$C$38-1,1)))</f>
        <v>2023549827.2591</v>
      </c>
      <c r="AD22" s="37" t="n">
        <f aca="false">AD12*(MAX(0,1-Supuestos!$C$38))+AC12*(MAX(0,MIN(Supuestos!$C$38,1)-MAX(0,Supuestos!$C$38-1)))+AB12*(MAX(0,MIN(Supuestos!$C$38-1,1)))</f>
        <v>3468942561.0156</v>
      </c>
      <c r="AE22" s="37" t="n">
        <f aca="false">AE12*(MAX(0,1-Supuestos!$C$38))+AD12*(MAX(0,MIN(Supuestos!$C$38,1)-MAX(0,Supuestos!$C$38-1)))+AC12*(MAX(0,MIN(Supuestos!$C$38-1,1)))</f>
        <v>4914335294.7721</v>
      </c>
      <c r="AF22" s="37" t="n">
        <f aca="false">AF12*(MAX(0,1-Supuestos!$C$38))+AE12*(MAX(0,MIN(Supuestos!$C$38,1)-MAX(0,Supuestos!$C$38-1)))+AD12*(MAX(0,MIN(Supuestos!$C$38-1,1)))</f>
        <v>5492492388.2747</v>
      </c>
      <c r="AG22" s="37" t="n">
        <f aca="false">AG12*(MAX(0,1-Supuestos!$C$38))+AF12*(MAX(0,MIN(Supuestos!$C$38,1)-MAX(0,Supuestos!$C$38-1)))+AE12*(MAX(0,MIN(Supuestos!$C$38-1,1)))</f>
        <v>5781570935.026</v>
      </c>
      <c r="AH22" s="37" t="n">
        <f aca="false">AH12*(MAX(0,1-Supuestos!$C$38))+AG12*(MAX(0,MIN(Supuestos!$C$38,1)-MAX(0,Supuestos!$C$38-1)))+AF12*(MAX(0,MIN(Supuestos!$C$38-1,1)))</f>
        <v>5781570935.026</v>
      </c>
      <c r="AI22" s="37" t="n">
        <f aca="false">AI12*(MAX(0,1-Supuestos!$C$38))+AH12*(MAX(0,MIN(Supuestos!$C$38,1)-MAX(0,Supuestos!$C$38-1)))+AG12*(MAX(0,MIN(Supuestos!$C$38-1,1)))</f>
        <v>5781570935.026</v>
      </c>
      <c r="AJ22" s="37" t="n">
        <f aca="false">AJ12*(MAX(0,1-Supuestos!$C$38))+AI12*(MAX(0,MIN(Supuestos!$C$38,1)-MAX(0,Supuestos!$C$38-1)))+AH12*(MAX(0,MIN(Supuestos!$C$38-1,1)))</f>
        <v>5781570935.026</v>
      </c>
      <c r="AK22" s="37" t="n">
        <f aca="false">AK12*(MAX(0,1-Supuestos!$C$38))+AJ12*(MAX(0,MIN(Supuestos!$C$38,1)-MAX(0,Supuestos!$C$38-1)))+AI12*(MAX(0,MIN(Supuestos!$C$38-1,1)))</f>
        <v>5781570935.026</v>
      </c>
      <c r="AL22" s="37" t="n">
        <f aca="false">AL12*(MAX(0,1-Supuestos!$C$38))+AK12*(MAX(0,MIN(Supuestos!$C$38,1)-MAX(0,Supuestos!$C$38-1)))+AJ12*(MAX(0,MIN(Supuestos!$C$38-1,1)))</f>
        <v>5492492388.2747</v>
      </c>
      <c r="AM22" s="37" t="n">
        <f aca="false">AM12*(MAX(0,1-Supuestos!$C$38))+AL12*(MAX(0,MIN(Supuestos!$C$38,1)-MAX(0,Supuestos!$C$38-1)))+AK12*(MAX(0,MIN(Supuestos!$C$38-1,1)))</f>
        <v>4625256748.0208</v>
      </c>
      <c r="AN22" s="37" t="n">
        <f aca="false">AN12*(MAX(0,1-Supuestos!$C$38))+AM12*(MAX(0,MIN(Supuestos!$C$38,1)-MAX(0,Supuestos!$C$38-1)))+AL12*(MAX(0,MIN(Supuestos!$C$38-1,1)))</f>
        <v>2890785467.513</v>
      </c>
      <c r="AO22" s="37" t="n">
        <f aca="false">AO12*(MAX(0,1-Supuestos!$C$38))+AN12*(MAX(0,MIN(Supuestos!$C$38,1)-MAX(0,Supuestos!$C$38-1)))+AM12*(MAX(0,MIN(Supuestos!$C$38-1,1)))</f>
        <v>2023549827.2591</v>
      </c>
      <c r="AP22" s="37" t="n">
        <f aca="false">AP12*(MAX(0,1-Supuestos!$C$38))+AO12*(MAX(0,MIN(Supuestos!$C$38,1)-MAX(0,Supuestos!$C$38-1)))+AN12*(MAX(0,MIN(Supuestos!$C$38-1,1)))</f>
        <v>3468942561.0156</v>
      </c>
      <c r="AQ22" s="37" t="n">
        <f aca="false">AQ12*(MAX(0,1-Supuestos!$C$38))+AP12*(MAX(0,MIN(Supuestos!$C$38,1)-MAX(0,Supuestos!$C$38-1)))+AO12*(MAX(0,MIN(Supuestos!$C$38-1,1)))</f>
        <v>4914335294.7721</v>
      </c>
      <c r="AR22" s="37" t="n">
        <f aca="false">AR12*(MAX(0,1-Supuestos!$C$38))+AQ12*(MAX(0,MIN(Supuestos!$C$38,1)-MAX(0,Supuestos!$C$38-1)))+AP12*(MAX(0,MIN(Supuestos!$C$38-1,1)))</f>
        <v>5492492388.2747</v>
      </c>
      <c r="AS22" s="37" t="n">
        <f aca="false">AS12*(MAX(0,1-Supuestos!$C$38))+AR12*(MAX(0,MIN(Supuestos!$C$38,1)-MAX(0,Supuestos!$C$38-1)))+AQ12*(MAX(0,MIN(Supuestos!$C$38-1,1)))</f>
        <v>5781570935.026</v>
      </c>
      <c r="AT22" s="37" t="n">
        <f aca="false">AT12*(MAX(0,1-Supuestos!$C$38))+AS12*(MAX(0,MIN(Supuestos!$C$38,1)-MAX(0,Supuestos!$C$38-1)))+AR12*(MAX(0,MIN(Supuestos!$C$38-1,1)))</f>
        <v>5781570935.026</v>
      </c>
      <c r="AU22" s="37" t="n">
        <f aca="false">AU12*(MAX(0,1-Supuestos!$C$38))+AT12*(MAX(0,MIN(Supuestos!$C$38,1)-MAX(0,Supuestos!$C$38-1)))+AS12*(MAX(0,MIN(Supuestos!$C$38-1,1)))</f>
        <v>5781570935.026</v>
      </c>
      <c r="AV22" s="37" t="n">
        <f aca="false">AV12*(MAX(0,1-Supuestos!$C$38))+AU12*(MAX(0,MIN(Supuestos!$C$38,1)-MAX(0,Supuestos!$C$38-1)))+AT12*(MAX(0,MIN(Supuestos!$C$38-1,1)))</f>
        <v>5781570935.026</v>
      </c>
      <c r="AW22" s="37" t="n">
        <f aca="false">AW12*(MAX(0,1-Supuestos!$C$38))+AV12*(MAX(0,MIN(Supuestos!$C$38,1)-MAX(0,Supuestos!$C$38-1)))+AU12*(MAX(0,MIN(Supuestos!$C$38-1,1)))</f>
        <v>5781570935.026</v>
      </c>
      <c r="AX22" s="37" t="n">
        <f aca="false">AX12*(MAX(0,1-Supuestos!$C$38))+AW12*(MAX(0,MIN(Supuestos!$C$38,1)-MAX(0,Supuestos!$C$38-1)))+AV12*(MAX(0,MIN(Supuestos!$C$38-1,1)))</f>
        <v>5492492388.2747</v>
      </c>
      <c r="AY22" s="37" t="n">
        <f aca="false">AY12*(MAX(0,1-Supuestos!$C$38))+AX12*(MAX(0,MIN(Supuestos!$C$38,1)-MAX(0,Supuestos!$C$38-1)))+AW12*(MAX(0,MIN(Supuestos!$C$38-1,1)))</f>
        <v>4625256748.0208</v>
      </c>
      <c r="AZ22" s="37" t="n">
        <f aca="false">AZ12*(MAX(0,1-Supuestos!$C$38))+AY12*(MAX(0,MIN(Supuestos!$C$38,1)-MAX(0,Supuestos!$C$38-1)))+AX12*(MAX(0,MIN(Supuestos!$C$38-1,1)))</f>
        <v>2890785467.513</v>
      </c>
      <c r="BA22" s="37" t="n">
        <f aca="false">BA12*(MAX(0,1-Supuestos!$C$38))+AZ12*(MAX(0,MIN(Supuestos!$C$38,1)-MAX(0,Supuestos!$C$38-1)))+AY12*(MAX(0,MIN(Supuestos!$C$38-1,1)))</f>
        <v>2023549827.2591</v>
      </c>
      <c r="BB22" s="37" t="n">
        <f aca="false">BB12*(MAX(0,1-Supuestos!$C$38))+BA12*(MAX(0,MIN(Supuestos!$C$38,1)-MAX(0,Supuestos!$C$38-1)))+AZ12*(MAX(0,MIN(Supuestos!$C$38-1,1)))</f>
        <v>3468942561.0156</v>
      </c>
      <c r="BC22" s="37" t="n">
        <f aca="false">BC12*(MAX(0,1-Supuestos!$C$38))+BB12*(MAX(0,MIN(Supuestos!$C$38,1)-MAX(0,Supuestos!$C$38-1)))+BA12*(MAX(0,MIN(Supuestos!$C$38-1,1)))</f>
        <v>4914335294.7721</v>
      </c>
      <c r="BD22" s="37" t="n">
        <f aca="false">BD12*(MAX(0,1-Supuestos!$C$38))+BC12*(MAX(0,MIN(Supuestos!$C$38,1)-MAX(0,Supuestos!$C$38-1)))+BB12*(MAX(0,MIN(Supuestos!$C$38-1,1)))</f>
        <v>5492492388.2747</v>
      </c>
      <c r="BE22" s="37" t="n">
        <f aca="false">BE12*(MAX(0,1-Supuestos!$C$38))+BD12*(MAX(0,MIN(Supuestos!$C$38,1)-MAX(0,Supuestos!$C$38-1)))+BC12*(MAX(0,MIN(Supuestos!$C$38-1,1)))</f>
        <v>5781570935.026</v>
      </c>
      <c r="BF22" s="37" t="n">
        <f aca="false">BF12*(MAX(0,1-Supuestos!$C$38))+BE12*(MAX(0,MIN(Supuestos!$C$38,1)-MAX(0,Supuestos!$C$38-1)))+BD12*(MAX(0,MIN(Supuestos!$C$38-1,1)))</f>
        <v>5781570935.026</v>
      </c>
      <c r="BG22" s="37" t="n">
        <f aca="false">BG12*(MAX(0,1-Supuestos!$C$38))+BF12*(MAX(0,MIN(Supuestos!$C$38,1)-MAX(0,Supuestos!$C$38-1)))+BE12*(MAX(0,MIN(Supuestos!$C$38-1,1)))</f>
        <v>5781570935.026</v>
      </c>
      <c r="BH22" s="37" t="n">
        <f aca="false">BH12*(MAX(0,1-Supuestos!$C$38))+BG12*(MAX(0,MIN(Supuestos!$C$38,1)-MAX(0,Supuestos!$C$38-1)))+BF12*(MAX(0,MIN(Supuestos!$C$38-1,1)))</f>
        <v>5781570935.026</v>
      </c>
      <c r="BI22" s="37" t="n">
        <f aca="false">BI12*(MAX(0,1-Supuestos!$C$38))+BH12*(MAX(0,MIN(Supuestos!$C$38,1)-MAX(0,Supuestos!$C$38-1)))+BG12*(MAX(0,MIN(Supuestos!$C$38-1,1)))</f>
        <v>5781570935.026</v>
      </c>
      <c r="BJ22" s="37" t="n">
        <f aca="false">BJ12*(MAX(0,1-Supuestos!$C$38))+BI12*(MAX(0,MIN(Supuestos!$C$38,1)-MAX(0,Supuestos!$C$38-1)))+BH12*(MAX(0,MIN(Supuestos!$C$38-1,1)))</f>
        <v>5492492388.2747</v>
      </c>
      <c r="BK22" s="37" t="n">
        <f aca="false">BK12*(MAX(0,1-Supuestos!$C$38))+BJ12*(MAX(0,MIN(Supuestos!$C$38,1)-MAX(0,Supuestos!$C$38-1)))+BI12*(MAX(0,MIN(Supuestos!$C$38-1,1)))</f>
        <v>4625256748.0208</v>
      </c>
      <c r="BL22" s="37" t="n">
        <f aca="false">BL12*(MAX(0,1-Supuestos!$C$38))+BK12*(MAX(0,MIN(Supuestos!$C$38,1)-MAX(0,Supuestos!$C$38-1)))+BJ12*(MAX(0,MIN(Supuestos!$C$38-1,1)))</f>
        <v>2890785467.513</v>
      </c>
      <c r="BM22" s="37" t="n">
        <f aca="false">BM12*(MAX(0,1-Supuestos!$C$38))+BL12*(MAX(0,MIN(Supuestos!$C$38,1)-MAX(0,Supuestos!$C$38-1)))+BK12*(MAX(0,MIN(Supuestos!$C$38-1,1)))</f>
        <v>2023549827.2591</v>
      </c>
      <c r="BN22" s="37" t="n">
        <f aca="false">BN12*(MAX(0,1-Supuestos!$C$38))+BM12*(MAX(0,MIN(Supuestos!$C$38,1)-MAX(0,Supuestos!$C$38-1)))+BL12*(MAX(0,MIN(Supuestos!$C$38-1,1)))</f>
        <v>3468942561.0156</v>
      </c>
      <c r="BO22" s="37" t="n">
        <f aca="false">BO12*(MAX(0,1-Supuestos!$C$38))+BN12*(MAX(0,MIN(Supuestos!$C$38,1)-MAX(0,Supuestos!$C$38-1)))+BM12*(MAX(0,MIN(Supuestos!$C$38-1,1)))</f>
        <v>4914335294.7721</v>
      </c>
      <c r="BP22" s="37" t="n">
        <f aca="false">BP12*(MAX(0,1-Supuestos!$C$38))+BO12*(MAX(0,MIN(Supuestos!$C$38,1)-MAX(0,Supuestos!$C$38-1)))+BN12*(MAX(0,MIN(Supuestos!$C$38-1,1)))</f>
        <v>5492492388.2747</v>
      </c>
      <c r="BQ22" s="37" t="n">
        <f aca="false">BQ12*(MAX(0,1-Supuestos!$C$38))+BP12*(MAX(0,MIN(Supuestos!$C$38,1)-MAX(0,Supuestos!$C$38-1)))+BO12*(MAX(0,MIN(Supuestos!$C$38-1,1)))</f>
        <v>5781570935.026</v>
      </c>
      <c r="BR22" s="37" t="n">
        <f aca="false">BR12*(MAX(0,1-Supuestos!$C$38))+BQ12*(MAX(0,MIN(Supuestos!$C$38,1)-MAX(0,Supuestos!$C$38-1)))+BP12*(MAX(0,MIN(Supuestos!$C$38-1,1)))</f>
        <v>5781570935.026</v>
      </c>
      <c r="BS22" s="37" t="n">
        <f aca="false">BS12*(MAX(0,1-Supuestos!$C$38))+BR12*(MAX(0,MIN(Supuestos!$C$38,1)-MAX(0,Supuestos!$C$38-1)))+BQ12*(MAX(0,MIN(Supuestos!$C$38-1,1)))</f>
        <v>5781570935.026</v>
      </c>
      <c r="BT22" s="37" t="n">
        <f aca="false">BT12*(MAX(0,1-Supuestos!$C$38))+BS12*(MAX(0,MIN(Supuestos!$C$38,1)-MAX(0,Supuestos!$C$38-1)))+BR12*(MAX(0,MIN(Supuestos!$C$38-1,1)))</f>
        <v>5781570935.026</v>
      </c>
      <c r="BU22" s="37" t="n">
        <f aca="false">BU12*(MAX(0,1-Supuestos!$C$38))+BT12*(MAX(0,MIN(Supuestos!$C$38,1)-MAX(0,Supuestos!$C$38-1)))+BS12*(MAX(0,MIN(Supuestos!$C$38-1,1)))</f>
        <v>5781570935.026</v>
      </c>
      <c r="BV22" s="37" t="n">
        <f aca="false">BV12*(MAX(0,1-Supuestos!$C$38))+BU12*(MAX(0,MIN(Supuestos!$C$38,1)-MAX(0,Supuestos!$C$38-1)))+BT12*(MAX(0,MIN(Supuestos!$C$38-1,1)))</f>
        <v>5492492388.2747</v>
      </c>
      <c r="BW22" s="37" t="n">
        <f aca="false">BW12*(MAX(0,1-Supuestos!$C$38))+BV12*(MAX(0,MIN(Supuestos!$C$38,1)-MAX(0,Supuestos!$C$38-1)))+BU12*(MAX(0,MIN(Supuestos!$C$38-1,1)))</f>
        <v>4625256748.0208</v>
      </c>
      <c r="BX22" s="37" t="n">
        <f aca="false">BX12*(MAX(0,1-Supuestos!$C$38))+BW12*(MAX(0,MIN(Supuestos!$C$38,1)-MAX(0,Supuestos!$C$38-1)))+BV12*(MAX(0,MIN(Supuestos!$C$38-1,1)))</f>
        <v>2890785467.513</v>
      </c>
      <c r="BY22" s="37" t="n">
        <f aca="false">BY12*(MAX(0,1-Supuestos!$C$38))+BX12*(MAX(0,MIN(Supuestos!$C$38,1)-MAX(0,Supuestos!$C$38-1)))+BW12*(MAX(0,MIN(Supuestos!$C$38-1,1)))</f>
        <v>2023549827.2591</v>
      </c>
      <c r="BZ22" s="37" t="n">
        <f aca="false">BZ12*(MAX(0,1-Supuestos!$C$38))+BY12*(MAX(0,MIN(Supuestos!$C$38,1)-MAX(0,Supuestos!$C$38-1)))+BX12*(MAX(0,MIN(Supuestos!$C$38-1,1)))</f>
        <v>3468942561.0156</v>
      </c>
      <c r="CA22" s="37" t="n">
        <f aca="false">CA12*(MAX(0,1-Supuestos!$C$38))+BZ12*(MAX(0,MIN(Supuestos!$C$38,1)-MAX(0,Supuestos!$C$38-1)))+BY12*(MAX(0,MIN(Supuestos!$C$38-1,1)))</f>
        <v>4914335294.7721</v>
      </c>
      <c r="CB22" s="37" t="n">
        <f aca="false">CB12*(MAX(0,1-Supuestos!$C$38))+CA12*(MAX(0,MIN(Supuestos!$C$38,1)-MAX(0,Supuestos!$C$38-1)))+BZ12*(MAX(0,MIN(Supuestos!$C$38-1,1)))</f>
        <v>5492492388.2747</v>
      </c>
      <c r="CC22" s="37" t="n">
        <f aca="false">CC12*(MAX(0,1-Supuestos!$C$38))+CB12*(MAX(0,MIN(Supuestos!$C$38,1)-MAX(0,Supuestos!$C$38-1)))+CA12*(MAX(0,MIN(Supuestos!$C$38-1,1)))</f>
        <v>5781570935.026</v>
      </c>
      <c r="CD22" s="37" t="n">
        <f aca="false">CD12*(MAX(0,1-Supuestos!$C$38))+CC12*(MAX(0,MIN(Supuestos!$C$38,1)-MAX(0,Supuestos!$C$38-1)))+CB12*(MAX(0,MIN(Supuestos!$C$38-1,1)))</f>
        <v>5781570935.026</v>
      </c>
      <c r="CE22" s="37" t="n">
        <f aca="false">CE12*(MAX(0,1-Supuestos!$C$38))+CD12*(MAX(0,MIN(Supuestos!$C$38,1)-MAX(0,Supuestos!$C$38-1)))+CC12*(MAX(0,MIN(Supuestos!$C$38-1,1)))</f>
        <v>5781570935.026</v>
      </c>
      <c r="CF22" s="37" t="n">
        <f aca="false">CF12*(MAX(0,1-Supuestos!$C$38))+CE12*(MAX(0,MIN(Supuestos!$C$38,1)-MAX(0,Supuestos!$C$38-1)))+CD12*(MAX(0,MIN(Supuestos!$C$38-1,1)))</f>
        <v>5781570935.026</v>
      </c>
      <c r="CG22" s="37" t="n">
        <f aca="false">CG12*(MAX(0,1-Supuestos!$C$38))+CF12*(MAX(0,MIN(Supuestos!$C$38,1)-MAX(0,Supuestos!$C$38-1)))+CE12*(MAX(0,MIN(Supuestos!$C$38-1,1)))</f>
        <v>5781570935.026</v>
      </c>
      <c r="CH22" s="37" t="n">
        <f aca="false">CH12*(MAX(0,1-Supuestos!$C$38))+CG12*(MAX(0,MIN(Supuestos!$C$38,1)-MAX(0,Supuestos!$C$38-1)))+CF12*(MAX(0,MIN(Supuestos!$C$38-1,1)))</f>
        <v>5492492388.2747</v>
      </c>
      <c r="CI22" s="37" t="n">
        <f aca="false">CI12*(MAX(0,1-Supuestos!$C$38))+CH12*(MAX(0,MIN(Supuestos!$C$38,1)-MAX(0,Supuestos!$C$38-1)))+CG12*(MAX(0,MIN(Supuestos!$C$38-1,1)))</f>
        <v>4625256748.0208</v>
      </c>
      <c r="CJ22" s="37" t="n">
        <f aca="false">CJ12*(MAX(0,1-Supuestos!$C$38))+CI12*(MAX(0,MIN(Supuestos!$C$38,1)-MAX(0,Supuestos!$C$38-1)))+CH12*(MAX(0,MIN(Supuestos!$C$38-1,1)))</f>
        <v>2890785467.513</v>
      </c>
      <c r="CK22" s="37" t="n">
        <f aca="false">CK12*(MAX(0,1-Supuestos!$C$38))+CJ12*(MAX(0,MIN(Supuestos!$C$38,1)-MAX(0,Supuestos!$C$38-1)))+CI12*(MAX(0,MIN(Supuestos!$C$38-1,1)))</f>
        <v>2023549827.2591</v>
      </c>
      <c r="CL22" s="37" t="n">
        <f aca="false">CL12*(MAX(0,1-Supuestos!$C$38))+CK12*(MAX(0,MIN(Supuestos!$C$38,1)-MAX(0,Supuestos!$C$38-1)))+CJ12*(MAX(0,MIN(Supuestos!$C$38-1,1)))</f>
        <v>3468942561.0156</v>
      </c>
      <c r="CM22" s="37" t="n">
        <f aca="false">CM12*(MAX(0,1-Supuestos!$C$38))+CL12*(MAX(0,MIN(Supuestos!$C$38,1)-MAX(0,Supuestos!$C$38-1)))+CK12*(MAX(0,MIN(Supuestos!$C$38-1,1)))</f>
        <v>4914335294.7721</v>
      </c>
      <c r="CN22" s="37" t="n">
        <f aca="false">CN12*(MAX(0,1-Supuestos!$C$38))+CM12*(MAX(0,MIN(Supuestos!$C$38,1)-MAX(0,Supuestos!$C$38-1)))+CL12*(MAX(0,MIN(Supuestos!$C$38-1,1)))</f>
        <v>5492492388.2747</v>
      </c>
      <c r="CO22" s="37" t="n">
        <f aca="false">CO12*(MAX(0,1-Supuestos!$C$38))+CN12*(MAX(0,MIN(Supuestos!$C$38,1)-MAX(0,Supuestos!$C$38-1)))+CM12*(MAX(0,MIN(Supuestos!$C$38-1,1)))</f>
        <v>5781570935.026</v>
      </c>
      <c r="CP22" s="37" t="n">
        <f aca="false">CP12*(MAX(0,1-Supuestos!$C$38))+CO12*(MAX(0,MIN(Supuestos!$C$38,1)-MAX(0,Supuestos!$C$38-1)))+CN12*(MAX(0,MIN(Supuestos!$C$38-1,1)))</f>
        <v>5781570935.026</v>
      </c>
      <c r="CQ22" s="37" t="n">
        <f aca="false">CQ12*(MAX(0,1-Supuestos!$C$38))+CP12*(MAX(0,MIN(Supuestos!$C$38,1)-MAX(0,Supuestos!$C$38-1)))+CO12*(MAX(0,MIN(Supuestos!$C$38-1,1)))</f>
        <v>5781570935.026</v>
      </c>
      <c r="CR22" s="37" t="n">
        <f aca="false">CR12*(MAX(0,1-Supuestos!$C$38))+CQ12*(MAX(0,MIN(Supuestos!$C$38,1)-MAX(0,Supuestos!$C$38-1)))+CP12*(MAX(0,MIN(Supuestos!$C$38-1,1)))</f>
        <v>5781570935.026</v>
      </c>
      <c r="CS22" s="37" t="n">
        <f aca="false">CS12*(MAX(0,1-Supuestos!$C$38))+CR12*(MAX(0,MIN(Supuestos!$C$38,1)-MAX(0,Supuestos!$C$38-1)))+CQ12*(MAX(0,MIN(Supuestos!$C$38-1,1)))</f>
        <v>5781570935.026</v>
      </c>
      <c r="CT22" s="37" t="n">
        <f aca="false">CT12*(MAX(0,1-Supuestos!$C$38))+CS12*(MAX(0,MIN(Supuestos!$C$38,1)-MAX(0,Supuestos!$C$38-1)))+CR12*(MAX(0,MIN(Supuestos!$C$38-1,1)))</f>
        <v>5492492388.2747</v>
      </c>
    </row>
    <row r="23" customFormat="false" ht="15" hidden="false" customHeight="true" outlineLevel="0" collapsed="false">
      <c r="B23" s="33" t="s">
        <v>273</v>
      </c>
      <c r="C23" s="41" t="n">
        <f aca="false">C20+C21+C22</f>
        <v>22447227083.7359</v>
      </c>
      <c r="D23" s="41" t="n">
        <f aca="false">D20+D21+D22</f>
        <v>23312460157.6569</v>
      </c>
      <c r="E23" s="41" t="n">
        <f aca="false">E20+E21+E22</f>
        <v>23023381610.9057</v>
      </c>
      <c r="F23" s="41" t="n">
        <f aca="false">F20+F21+F22</f>
        <v>24866303254.511</v>
      </c>
      <c r="G23" s="41" t="n">
        <f aca="false">G20+G21+G22</f>
        <v>26311695988.2675</v>
      </c>
      <c r="H23" s="41" t="n">
        <f aca="false">H20+H21+H22</f>
        <v>31181770951.4143</v>
      </c>
      <c r="I23" s="41" t="n">
        <f aca="false">I20+I21+I22</f>
        <v>27178931628.5214</v>
      </c>
      <c r="J23" s="41" t="n">
        <f aca="false">J20+J21+J22</f>
        <v>27178931628.5214</v>
      </c>
      <c r="K23" s="41" t="n">
        <f aca="false">K20+K21+K22</f>
        <v>27178931628.5214</v>
      </c>
      <c r="L23" s="41" t="n">
        <f aca="false">L20+L21+L22</f>
        <v>27178931628.5214</v>
      </c>
      <c r="M23" s="41" t="n">
        <f aca="false">M20+M21+M22</f>
        <v>27223087391.2684</v>
      </c>
      <c r="N23" s="41" t="n">
        <f aca="false">N20+N21+N22</f>
        <v>31225926714.1614</v>
      </c>
      <c r="O23" s="41" t="n">
        <f aca="false">O20+O21+O22</f>
        <v>25426324076.7429</v>
      </c>
      <c r="P23" s="41" t="n">
        <f aca="false">P20+P21+P22</f>
        <v>23754066235.534</v>
      </c>
      <c r="Q23" s="41" t="n">
        <f aca="false">Q20+Q21+Q22</f>
        <v>23173906575.6986</v>
      </c>
      <c r="R23" s="41" t="n">
        <f aca="false">R20+R21+R22</f>
        <v>25016828219.3039</v>
      </c>
      <c r="S23" s="41" t="n">
        <f aca="false">S20+S21+S22</f>
        <v>26462220953.0604</v>
      </c>
      <c r="T23" s="41" t="n">
        <f aca="false">T20+T21+T22</f>
        <v>31332295916.2073</v>
      </c>
      <c r="U23" s="41" t="n">
        <f aca="false">U20+U21+U22</f>
        <v>27329456593.3143</v>
      </c>
      <c r="V23" s="41" t="n">
        <f aca="false">V20+V21+V22</f>
        <v>27329456593.3143</v>
      </c>
      <c r="W23" s="41" t="n">
        <f aca="false">W20+W21+W22</f>
        <v>27329456593.3143</v>
      </c>
      <c r="X23" s="41" t="n">
        <f aca="false">X20+X21+X22</f>
        <v>26079456593.3143</v>
      </c>
      <c r="Y23" s="41" t="n">
        <f aca="false">Y20+Y21+Y22</f>
        <v>26123612356.0613</v>
      </c>
      <c r="Z23" s="41" t="n">
        <f aca="false">Z20+Z21+Z22</f>
        <v>30126451678.9543</v>
      </c>
      <c r="AA23" s="41" t="n">
        <f aca="false">AA20+AA21+AA22</f>
        <v>24326849041.5358</v>
      </c>
      <c r="AB23" s="41" t="n">
        <f aca="false">AB20+AB21+AB22</f>
        <v>22654591200.3269</v>
      </c>
      <c r="AC23" s="41" t="n">
        <f aca="false">AC20+AC21+AC22</f>
        <v>22074431540.4915</v>
      </c>
      <c r="AD23" s="41" t="n">
        <f aca="false">AD20+AD21+AD22</f>
        <v>23917353184.0968</v>
      </c>
      <c r="AE23" s="41" t="n">
        <f aca="false">AE20+AE21+AE22</f>
        <v>25362745917.8533</v>
      </c>
      <c r="AF23" s="41" t="n">
        <f aca="false">AF20+AF21+AF22</f>
        <v>30232820881.0002</v>
      </c>
      <c r="AG23" s="41" t="n">
        <f aca="false">AG20+AG21+AG22</f>
        <v>26229981558.1072</v>
      </c>
      <c r="AH23" s="41" t="n">
        <f aca="false">AH20+AH21+AH22</f>
        <v>26155258283.7739</v>
      </c>
      <c r="AI23" s="41" t="n">
        <f aca="false">AI20+AI21+AI22</f>
        <v>25947636190.1906</v>
      </c>
      <c r="AJ23" s="41" t="n">
        <f aca="false">AJ20+AJ21+AJ22</f>
        <v>25947636190.1906</v>
      </c>
      <c r="AK23" s="41" t="n">
        <f aca="false">AK20+AK21+AK22</f>
        <v>25991791952.9376</v>
      </c>
      <c r="AL23" s="41" t="n">
        <f aca="false">AL20+AL21+AL22</f>
        <v>29994631275.8305</v>
      </c>
      <c r="AM23" s="41" t="n">
        <f aca="false">AM20+AM21+AM22</f>
        <v>24195028638.4121</v>
      </c>
      <c r="AN23" s="41" t="n">
        <f aca="false">AN20+AN21+AN22</f>
        <v>22522770797.2032</v>
      </c>
      <c r="AO23" s="41" t="n">
        <f aca="false">AO20+AO21+AO22</f>
        <v>21942611137.3677</v>
      </c>
      <c r="AP23" s="41" t="n">
        <f aca="false">AP20+AP21+AP22</f>
        <v>23785532780.9731</v>
      </c>
      <c r="AQ23" s="41" t="n">
        <f aca="false">AQ20+AQ21+AQ22</f>
        <v>25230925514.7296</v>
      </c>
      <c r="AR23" s="41" t="n">
        <f aca="false">AR20+AR21+AR22</f>
        <v>30101000477.8764</v>
      </c>
      <c r="AS23" s="41" t="n">
        <f aca="false">AS20+AS21+AS22</f>
        <v>26098161154.9835</v>
      </c>
      <c r="AT23" s="41" t="n">
        <f aca="false">AT20+AT21+AT22</f>
        <v>26098161154.9835</v>
      </c>
      <c r="AU23" s="41" t="n">
        <f aca="false">AU20+AU21+AU22</f>
        <v>26098161154.9835</v>
      </c>
      <c r="AV23" s="41" t="n">
        <f aca="false">AV20+AV21+AV22</f>
        <v>26098161154.9835</v>
      </c>
      <c r="AW23" s="41" t="n">
        <f aca="false">AW20+AW21+AW22</f>
        <v>26142316917.7305</v>
      </c>
      <c r="AX23" s="41" t="n">
        <f aca="false">AX20+AX21+AX22</f>
        <v>30145156240.6234</v>
      </c>
      <c r="AY23" s="41" t="n">
        <f aca="false">AY20+AY21+AY22</f>
        <v>24345553603.205</v>
      </c>
      <c r="AZ23" s="41" t="n">
        <f aca="false">AZ20+AZ21+AZ22</f>
        <v>22522770797.2032</v>
      </c>
      <c r="BA23" s="41" t="n">
        <f aca="false">BA20+BA21+BA22</f>
        <v>21942611137.3677</v>
      </c>
      <c r="BB23" s="41" t="n">
        <f aca="false">BB20+BB21+BB22</f>
        <v>23785532780.9731</v>
      </c>
      <c r="BC23" s="41" t="n">
        <f aca="false">BC20+BC21+BC22</f>
        <v>25230925514.7296</v>
      </c>
      <c r="BD23" s="41" t="n">
        <f aca="false">BD20+BD21+BD22</f>
        <v>30101000477.8764</v>
      </c>
      <c r="BE23" s="41" t="n">
        <f aca="false">BE20+BE21+BE22</f>
        <v>26098161154.9835</v>
      </c>
      <c r="BF23" s="41" t="n">
        <f aca="false">BF20+BF21+BF22</f>
        <v>26098161154.9835</v>
      </c>
      <c r="BG23" s="41" t="n">
        <f aca="false">BG20+BG21+BG22</f>
        <v>26098161154.9835</v>
      </c>
      <c r="BH23" s="41" t="n">
        <f aca="false">BH20+BH21+BH22</f>
        <v>26098161154.9835</v>
      </c>
      <c r="BI23" s="41" t="n">
        <f aca="false">BI20+BI21+BI22</f>
        <v>26142316917.7305</v>
      </c>
      <c r="BJ23" s="41" t="n">
        <f aca="false">BJ20+BJ21+BJ22</f>
        <v>30145156240.6234</v>
      </c>
      <c r="BK23" s="41" t="n">
        <f aca="false">BK20+BK21+BK22</f>
        <v>24345553603.205</v>
      </c>
      <c r="BL23" s="41" t="n">
        <f aca="false">BL20+BL21+BL22</f>
        <v>22522770797.2032</v>
      </c>
      <c r="BM23" s="41" t="n">
        <f aca="false">BM20+BM21+BM22</f>
        <v>21942611137.3677</v>
      </c>
      <c r="BN23" s="41" t="n">
        <f aca="false">BN20+BN21+BN22</f>
        <v>23785532780.9731</v>
      </c>
      <c r="BO23" s="41" t="n">
        <f aca="false">BO20+BO21+BO22</f>
        <v>25230925514.7296</v>
      </c>
      <c r="BP23" s="41" t="n">
        <f aca="false">BP20+BP21+BP22</f>
        <v>30101000477.8764</v>
      </c>
      <c r="BQ23" s="41" t="n">
        <f aca="false">BQ20+BQ21+BQ22</f>
        <v>26098161154.9835</v>
      </c>
      <c r="BR23" s="41" t="n">
        <f aca="false">BR20+BR21+BR22</f>
        <v>26098161154.9835</v>
      </c>
      <c r="BS23" s="41" t="n">
        <f aca="false">BS20+BS21+BS22</f>
        <v>26098161154.9835</v>
      </c>
      <c r="BT23" s="41" t="n">
        <f aca="false">BT20+BT21+BT22</f>
        <v>26098161154.9835</v>
      </c>
      <c r="BU23" s="41" t="n">
        <f aca="false">BU20+BU21+BU22</f>
        <v>26142316917.7305</v>
      </c>
      <c r="BV23" s="41" t="n">
        <f aca="false">BV20+BV21+BV22</f>
        <v>30145156240.6234</v>
      </c>
      <c r="BW23" s="41" t="n">
        <f aca="false">BW20+BW21+BW22</f>
        <v>24345553603.205</v>
      </c>
      <c r="BX23" s="41" t="n">
        <f aca="false">BX20+BX21+BX22</f>
        <v>22522770797.2032</v>
      </c>
      <c r="BY23" s="41" t="n">
        <f aca="false">BY20+BY21+BY22</f>
        <v>21942611137.3677</v>
      </c>
      <c r="BZ23" s="41" t="n">
        <f aca="false">BZ20+BZ21+BZ22</f>
        <v>23785532780.9731</v>
      </c>
      <c r="CA23" s="41" t="n">
        <f aca="false">CA20+CA21+CA22</f>
        <v>25230925514.7296</v>
      </c>
      <c r="CB23" s="41" t="n">
        <f aca="false">CB20+CB21+CB22</f>
        <v>30101000477.8764</v>
      </c>
      <c r="CC23" s="41" t="n">
        <f aca="false">CC20+CC21+CC22</f>
        <v>26098161154.9835</v>
      </c>
      <c r="CD23" s="41" t="n">
        <f aca="false">CD20+CD21+CD22</f>
        <v>26098161154.9835</v>
      </c>
      <c r="CE23" s="41" t="n">
        <f aca="false">CE20+CE21+CE22</f>
        <v>26098161154.9835</v>
      </c>
      <c r="CF23" s="41" t="n">
        <f aca="false">CF20+CF21+CF22</f>
        <v>26098161154.9835</v>
      </c>
      <c r="CG23" s="41" t="n">
        <f aca="false">CG20+CG21+CG22</f>
        <v>26142316917.7305</v>
      </c>
      <c r="CH23" s="41" t="n">
        <f aca="false">CH20+CH21+CH22</f>
        <v>30145156240.6234</v>
      </c>
      <c r="CI23" s="41" t="n">
        <f aca="false">CI20+CI21+CI22</f>
        <v>24345553603.205</v>
      </c>
      <c r="CJ23" s="41" t="n">
        <f aca="false">CJ20+CJ21+CJ22</f>
        <v>22522770797.2032</v>
      </c>
      <c r="CK23" s="41" t="n">
        <f aca="false">CK20+CK21+CK22</f>
        <v>21942611137.3677</v>
      </c>
      <c r="CL23" s="41" t="n">
        <f aca="false">CL20+CL21+CL22</f>
        <v>23785532780.9731</v>
      </c>
      <c r="CM23" s="41" t="n">
        <f aca="false">CM20+CM21+CM22</f>
        <v>25230925514.7296</v>
      </c>
      <c r="CN23" s="41" t="n">
        <f aca="false">CN20+CN21+CN22</f>
        <v>30101000477.8764</v>
      </c>
      <c r="CO23" s="41" t="n">
        <f aca="false">CO20+CO21+CO22</f>
        <v>26098161154.9835</v>
      </c>
      <c r="CP23" s="41" t="n">
        <f aca="false">CP20+CP21+CP22</f>
        <v>26098161154.9835</v>
      </c>
      <c r="CQ23" s="41" t="n">
        <f aca="false">CQ20+CQ21+CQ22</f>
        <v>26098161154.9835</v>
      </c>
      <c r="CR23" s="41" t="n">
        <f aca="false">CR20+CR21+CR22</f>
        <v>26098161154.9835</v>
      </c>
      <c r="CS23" s="41" t="n">
        <f aca="false">CS20+CS21+CS22</f>
        <v>26142316917.7305</v>
      </c>
      <c r="CT23" s="41" t="n">
        <f aca="false">CT20+CT21+CT22</f>
        <v>30145156240.6234</v>
      </c>
    </row>
    <row r="25" customFormat="false" ht="15" hidden="false" customHeight="true" outlineLevel="0" collapsed="false">
      <c r="B25" s="42" t="s">
        <v>274</v>
      </c>
      <c r="C25" s="43" t="n">
        <f aca="false">C17-C23</f>
        <v>0</v>
      </c>
      <c r="D25" s="43" t="n">
        <f aca="false">D17-D23</f>
        <v>0</v>
      </c>
      <c r="E25" s="43" t="n">
        <f aca="false">E17-E23</f>
        <v>2999235830.61056</v>
      </c>
      <c r="F25" s="43" t="n">
        <f aca="false">F17-F23</f>
        <v>1734471280.5078</v>
      </c>
      <c r="G25" s="43" t="n">
        <f aca="false">G17-G23</f>
        <v>867235640.253899</v>
      </c>
      <c r="H25" s="43" t="n">
        <f aca="false">H17-H23</f>
        <v>289078546.751301</v>
      </c>
      <c r="I25" s="43" t="n">
        <f aca="false">I17-I23</f>
        <v>0</v>
      </c>
      <c r="J25" s="43" t="n">
        <f aca="false">J17-J23</f>
        <v>0</v>
      </c>
      <c r="K25" s="43" t="n">
        <f aca="false">K17-K23</f>
        <v>0</v>
      </c>
      <c r="L25" s="43" t="n">
        <f aca="false">L17-L23</f>
        <v>44155762.7470169</v>
      </c>
      <c r="M25" s="43" t="n">
        <f aca="false">M17-M23</f>
        <v>-578157093.502605</v>
      </c>
      <c r="N25" s="43" t="n">
        <f aca="false">N17-N23</f>
        <v>-2085841861.27681</v>
      </c>
      <c r="O25" s="43" t="n">
        <f aca="false">O17-O23</f>
        <v>-2828572028.21412</v>
      </c>
      <c r="P25" s="43" t="n">
        <f aca="false">P17-P23</f>
        <v>-291081113.084129</v>
      </c>
      <c r="Q25" s="43" t="n">
        <f aca="false">Q17-Q23</f>
        <v>2999235830.61056</v>
      </c>
      <c r="R25" s="43" t="n">
        <f aca="false">R17-R23</f>
        <v>1734471280.5078</v>
      </c>
      <c r="S25" s="43" t="n">
        <f aca="false">S17-S23</f>
        <v>867235640.253902</v>
      </c>
      <c r="T25" s="43" t="n">
        <f aca="false">T17-T23</f>
        <v>289078546.751305</v>
      </c>
      <c r="U25" s="43" t="n">
        <f aca="false">U17-U23</f>
        <v>0</v>
      </c>
      <c r="V25" s="43" t="n">
        <f aca="false">V17-V23</f>
        <v>0</v>
      </c>
      <c r="W25" s="43" t="n">
        <f aca="false">W17-W23</f>
        <v>0</v>
      </c>
      <c r="X25" s="43" t="n">
        <f aca="false">X17-X23</f>
        <v>44155762.7470207</v>
      </c>
      <c r="Y25" s="43" t="n">
        <f aca="false">Y17-Y23</f>
        <v>-578157093.502602</v>
      </c>
      <c r="Z25" s="43" t="n">
        <f aca="false">Z17-Z23</f>
        <v>-2085841861.27681</v>
      </c>
      <c r="AA25" s="43" t="n">
        <f aca="false">AA17-AA23</f>
        <v>-2828572028.21412</v>
      </c>
      <c r="AB25" s="43" t="n">
        <f aca="false">AB17-AB23</f>
        <v>-291081113.084129</v>
      </c>
      <c r="AC25" s="43" t="n">
        <f aca="false">AC17-AC23</f>
        <v>2999235830.61056</v>
      </c>
      <c r="AD25" s="43" t="n">
        <f aca="false">AD17-AD23</f>
        <v>1734471280.5078</v>
      </c>
      <c r="AE25" s="43" t="n">
        <f aca="false">AE17-AE23</f>
        <v>867235640.253895</v>
      </c>
      <c r="AF25" s="43" t="n">
        <f aca="false">AF17-AF23</f>
        <v>289078546.751305</v>
      </c>
      <c r="AG25" s="43" t="n">
        <f aca="false">AG17-AG23</f>
        <v>0</v>
      </c>
      <c r="AH25" s="43" t="n">
        <f aca="false">AH17-AH23</f>
        <v>0</v>
      </c>
      <c r="AI25" s="43" t="n">
        <f aca="false">AI17-AI23</f>
        <v>0</v>
      </c>
      <c r="AJ25" s="43" t="n">
        <f aca="false">AJ17-AJ23</f>
        <v>44155762.7470169</v>
      </c>
      <c r="AK25" s="43" t="n">
        <f aca="false">AK17-AK23</f>
        <v>-578157093.502602</v>
      </c>
      <c r="AL25" s="43" t="n">
        <f aca="false">AL17-AL23</f>
        <v>-2085841861.27681</v>
      </c>
      <c r="AM25" s="43" t="n">
        <f aca="false">AM17-AM23</f>
        <v>-2828572028.21413</v>
      </c>
      <c r="AN25" s="43" t="n">
        <f aca="false">AN17-AN23</f>
        <v>-291081113.084133</v>
      </c>
      <c r="AO25" s="43" t="n">
        <f aca="false">AO17-AO23</f>
        <v>2999235830.61055</v>
      </c>
      <c r="AP25" s="43" t="n">
        <f aca="false">AP17-AP23</f>
        <v>1734471280.50779</v>
      </c>
      <c r="AQ25" s="43" t="n">
        <f aca="false">AQ17-AQ23</f>
        <v>867235640.253895</v>
      </c>
      <c r="AR25" s="43" t="n">
        <f aca="false">AR17-AR23</f>
        <v>289078546.751301</v>
      </c>
      <c r="AS25" s="43" t="n">
        <f aca="false">AS17-AS23</f>
        <v>0</v>
      </c>
      <c r="AT25" s="43" t="n">
        <f aca="false">AT17-AT23</f>
        <v>0</v>
      </c>
      <c r="AU25" s="43" t="n">
        <f aca="false">AU17-AU23</f>
        <v>0</v>
      </c>
      <c r="AV25" s="43" t="n">
        <f aca="false">AV17-AV23</f>
        <v>44155762.7470131</v>
      </c>
      <c r="AW25" s="43" t="n">
        <f aca="false">AW17-AW23</f>
        <v>-578157093.502602</v>
      </c>
      <c r="AX25" s="43" t="n">
        <f aca="false">AX17-AX23</f>
        <v>-2085841861.27681</v>
      </c>
      <c r="AY25" s="43" t="n">
        <f aca="false">AY17-AY23</f>
        <v>-2979096993.00705</v>
      </c>
      <c r="AZ25" s="43" t="n">
        <f aca="false">AZ17-AZ23</f>
        <v>-291081113.084133</v>
      </c>
      <c r="BA25" s="43" t="n">
        <f aca="false">BA17-BA23</f>
        <v>2999235830.61055</v>
      </c>
      <c r="BB25" s="43" t="n">
        <f aca="false">BB17-BB23</f>
        <v>1734471280.50779</v>
      </c>
      <c r="BC25" s="43" t="n">
        <f aca="false">BC17-BC23</f>
        <v>867235640.253895</v>
      </c>
      <c r="BD25" s="43" t="n">
        <f aca="false">BD17-BD23</f>
        <v>289078546.751301</v>
      </c>
      <c r="BE25" s="43" t="n">
        <f aca="false">BE17-BE23</f>
        <v>0</v>
      </c>
      <c r="BF25" s="43" t="n">
        <f aca="false">BF17-BF23</f>
        <v>0</v>
      </c>
      <c r="BG25" s="43" t="n">
        <f aca="false">BG17-BG23</f>
        <v>0</v>
      </c>
      <c r="BH25" s="43" t="n">
        <f aca="false">BH17-BH23</f>
        <v>44155762.7470131</v>
      </c>
      <c r="BI25" s="43" t="n">
        <f aca="false">BI17-BI23</f>
        <v>-578157093.502602</v>
      </c>
      <c r="BJ25" s="43" t="n">
        <f aca="false">BJ17-BJ23</f>
        <v>-2085841861.27681</v>
      </c>
      <c r="BK25" s="43" t="n">
        <f aca="false">BK17-BK23</f>
        <v>-2979096993.00705</v>
      </c>
      <c r="BL25" s="43" t="n">
        <f aca="false">BL17-BL23</f>
        <v>-291081113.084133</v>
      </c>
      <c r="BM25" s="43" t="n">
        <f aca="false">BM17-BM23</f>
        <v>2999235830.61055</v>
      </c>
      <c r="BN25" s="43" t="n">
        <f aca="false">BN17-BN23</f>
        <v>1734471280.50779</v>
      </c>
      <c r="BO25" s="43" t="n">
        <f aca="false">BO17-BO23</f>
        <v>867235640.253895</v>
      </c>
      <c r="BP25" s="43" t="n">
        <f aca="false">BP17-BP23</f>
        <v>289078546.751301</v>
      </c>
      <c r="BQ25" s="43" t="n">
        <f aca="false">BQ17-BQ23</f>
        <v>0</v>
      </c>
      <c r="BR25" s="43" t="n">
        <f aca="false">BR17-BR23</f>
        <v>0</v>
      </c>
      <c r="BS25" s="43" t="n">
        <f aca="false">BS17-BS23</f>
        <v>0</v>
      </c>
      <c r="BT25" s="43" t="n">
        <f aca="false">BT17-BT23</f>
        <v>44155762.7470131</v>
      </c>
      <c r="BU25" s="43" t="n">
        <f aca="false">BU17-BU23</f>
        <v>-578157093.502602</v>
      </c>
      <c r="BV25" s="43" t="n">
        <f aca="false">BV17-BV23</f>
        <v>-2085841861.27681</v>
      </c>
      <c r="BW25" s="43" t="n">
        <f aca="false">BW17-BW23</f>
        <v>-2979096993.00705</v>
      </c>
      <c r="BX25" s="43" t="n">
        <f aca="false">BX17-BX23</f>
        <v>-291081113.084133</v>
      </c>
      <c r="BY25" s="43" t="n">
        <f aca="false">BY17-BY23</f>
        <v>2999235830.61055</v>
      </c>
      <c r="BZ25" s="43" t="n">
        <f aca="false">BZ17-BZ23</f>
        <v>1734471280.50779</v>
      </c>
      <c r="CA25" s="43" t="n">
        <f aca="false">CA17-CA23</f>
        <v>867235640.253895</v>
      </c>
      <c r="CB25" s="43" t="n">
        <f aca="false">CB17-CB23</f>
        <v>289078546.751301</v>
      </c>
      <c r="CC25" s="43" t="n">
        <f aca="false">CC17-CC23</f>
        <v>0</v>
      </c>
      <c r="CD25" s="43" t="n">
        <f aca="false">CD17-CD23</f>
        <v>0</v>
      </c>
      <c r="CE25" s="43" t="n">
        <f aca="false">CE17-CE23</f>
        <v>0</v>
      </c>
      <c r="CF25" s="43" t="n">
        <f aca="false">CF17-CF23</f>
        <v>44155762.7470131</v>
      </c>
      <c r="CG25" s="43" t="n">
        <f aca="false">CG17-CG23</f>
        <v>-578157093.502602</v>
      </c>
      <c r="CH25" s="43" t="n">
        <f aca="false">CH17-CH23</f>
        <v>-2085841861.27681</v>
      </c>
      <c r="CI25" s="43" t="n">
        <f aca="false">CI17-CI23</f>
        <v>-2979096993.00705</v>
      </c>
      <c r="CJ25" s="43" t="n">
        <f aca="false">CJ17-CJ23</f>
        <v>-291081113.084133</v>
      </c>
      <c r="CK25" s="43" t="n">
        <f aca="false">CK17-CK23</f>
        <v>2999235830.61055</v>
      </c>
      <c r="CL25" s="43" t="n">
        <f aca="false">CL17-CL23</f>
        <v>1734471280.50779</v>
      </c>
      <c r="CM25" s="43" t="n">
        <f aca="false">CM17-CM23</f>
        <v>867235640.253895</v>
      </c>
      <c r="CN25" s="43" t="n">
        <f aca="false">CN17-CN23</f>
        <v>289078546.751301</v>
      </c>
      <c r="CO25" s="43" t="n">
        <f aca="false">CO17-CO23</f>
        <v>0</v>
      </c>
      <c r="CP25" s="43" t="n">
        <f aca="false">CP17-CP23</f>
        <v>0</v>
      </c>
      <c r="CQ25" s="43" t="n">
        <f aca="false">CQ17-CQ23</f>
        <v>0</v>
      </c>
      <c r="CR25" s="43" t="n">
        <f aca="false">CR17-CR23</f>
        <v>44155762.7470131</v>
      </c>
      <c r="CS25" s="43" t="n">
        <f aca="false">CS17-CS23</f>
        <v>-578157093.502602</v>
      </c>
      <c r="CT25" s="43" t="n">
        <f aca="false">CT17-CT23</f>
        <v>-2085841861.27681</v>
      </c>
    </row>
    <row r="26" customFormat="false" ht="15" hidden="false" customHeight="true" outlineLevel="0" collapsed="false">
      <c r="B26" s="42" t="s">
        <v>275</v>
      </c>
      <c r="C26" s="47" t="n">
        <f aca="false">IFERROR((C8+C9+C11+C15)/C17,0)</f>
        <v>0.819709098293281</v>
      </c>
      <c r="D26" s="47" t="n">
        <f aca="false">IFERROR((D8+D9+D11+D15)/D17,0)</f>
        <v>0.794023842882333</v>
      </c>
      <c r="E26" s="47" t="n">
        <f aca="false">IFERROR((E8+E9+E11+E15)/E17,0)</f>
        <v>0.719818254346725</v>
      </c>
      <c r="F26" s="47" t="n">
        <f aca="false">IFERROR((F8+F9+F11+F15)/F17,0)</f>
        <v>0.704173295240915</v>
      </c>
      <c r="G26" s="47" t="n">
        <f aca="false">IFERROR((G8+G9+G11+G15)/G17,0)</f>
        <v>0.689193943172808</v>
      </c>
      <c r="H26" s="47" t="n">
        <f aca="false">IFERROR((H8+H9+H11+H15)/H17,0)</f>
        <v>0.731580916850403</v>
      </c>
      <c r="I26" s="47" t="n">
        <f aca="false">IFERROR((I8+I9+I11+I15)/I17,0)</f>
        <v>0.689193943172808</v>
      </c>
      <c r="J26" s="47" t="n">
        <f aca="false">IFERROR((J8+J9+J11+J15)/J17,0)</f>
        <v>0.689193943172808</v>
      </c>
      <c r="K26" s="47" t="n">
        <f aca="false">IFERROR((K8+K9+K11+K15)/K17,0)</f>
        <v>0.689193943172808</v>
      </c>
      <c r="L26" s="47" t="n">
        <f aca="false">IFERROR((L8+L9+L11+L15)/L17,0)</f>
        <v>0.688076072748928</v>
      </c>
      <c r="M26" s="47" t="n">
        <f aca="false">IFERROR((M8+M9+M11+M15)/M17,0)</f>
        <v>0.703006344957692</v>
      </c>
      <c r="N26" s="47" t="n">
        <f aca="false">IFERROR((N8+N9+N11+N15)/N17,0)</f>
        <v>0.778725053691517</v>
      </c>
      <c r="O26" s="47" t="n">
        <f aca="false">IFERROR((O8+O9+O11+O15)/O17,0)</f>
        <v>0.814248967440617</v>
      </c>
      <c r="P26" s="47" t="n">
        <f aca="false">IFERROR((P8+P9+P11+P15)/P17,0)</f>
        <v>0.788929844383385</v>
      </c>
      <c r="Q26" s="47" t="n">
        <f aca="false">IFERROR((Q8+Q9+Q11+Q15)/Q17,0)</f>
        <v>0.715678490931586</v>
      </c>
      <c r="R26" s="47" t="n">
        <f aca="false">IFERROR((R8+R9+R11+R15)/R17,0)</f>
        <v>0.700211033128191</v>
      </c>
      <c r="S26" s="47" t="n">
        <f aca="false">IFERROR((S8+S9+S11+S15)/S17,0)</f>
        <v>0.685398006225531</v>
      </c>
      <c r="T26" s="47" t="n">
        <f aca="false">IFERROR((T8+T9+T11+T15)/T17,0)</f>
        <v>0.728098424592481</v>
      </c>
      <c r="U26" s="47" t="n">
        <f aca="false">IFERROR((U8+U9+U11+U15)/U17,0)</f>
        <v>0.685398006225531</v>
      </c>
      <c r="V26" s="47" t="n">
        <f aca="false">IFERROR((V8+V9+V11+V15)/V17,0)</f>
        <v>0.685398006225531</v>
      </c>
      <c r="W26" s="47" t="n">
        <f aca="false">IFERROR((W8+W9+W11+W15)/W17,0)</f>
        <v>0.685398006225531</v>
      </c>
      <c r="X26" s="47" t="n">
        <f aca="false">IFERROR((X8+X9+X11+X15)/X17,0)</f>
        <v>0.669185977115782</v>
      </c>
      <c r="Y26" s="47" t="n">
        <f aca="false">IFERROR((Y8+Y9+Y11+Y15)/Y17,0)</f>
        <v>0.684331317669137</v>
      </c>
      <c r="Z26" s="47" t="n">
        <f aca="false">IFERROR((Z8+Z9+Z11+Z15)/Z17,0)</f>
        <v>0.764680735585154</v>
      </c>
      <c r="AA26" s="47" t="n">
        <f aca="false">IFERROR((AA8+AA9+AA11+AA15)/AA17,0)</f>
        <v>0.797747478152146</v>
      </c>
      <c r="AB26" s="47" t="n">
        <f aca="false">IFERROR((AB8+AB9+AB11+AB15)/AB17,0)</f>
        <v>0.771822005315272</v>
      </c>
      <c r="AC26" s="47" t="n">
        <f aca="false">IFERROR((AC8+AC9+AC11+AC15)/AC17,0)</f>
        <v>0.69720774394705</v>
      </c>
      <c r="AD26" s="47" t="n">
        <f aca="false">IFERROR((AD8+AD9+AD11+AD15)/AD17,0)</f>
        <v>0.681493633499891</v>
      </c>
      <c r="AE26" s="47" t="n">
        <f aca="false">IFERROR((AE8+AE9+AE11+AE15)/AE17,0)</f>
        <v>0.666472258913258</v>
      </c>
      <c r="AF26" s="47" t="n">
        <f aca="false">IFERROR((AF8+AF9+AF11+AF15)/AF17,0)</f>
        <v>0.713372147151888</v>
      </c>
      <c r="AG26" s="47" t="n">
        <f aca="false">IFERROR((AG8+AG9+AG11+AG15)/AG17,0)</f>
        <v>0.666472258913258</v>
      </c>
      <c r="AH26" s="47" t="n">
        <f aca="false">IFERROR((AH8+AH9+AH11+AH15)/AH17,0)</f>
        <v>0.665519399468147</v>
      </c>
      <c r="AI26" s="47" t="n">
        <f aca="false">IFERROR((AI8+AI9+AI11+AI15)/AI17,0)</f>
        <v>0.662843026096931</v>
      </c>
      <c r="AJ26" s="47" t="n">
        <f aca="false">IFERROR((AJ8+AJ9+AJ11+AJ15)/AJ17,0)</f>
        <v>0.661716965244649</v>
      </c>
      <c r="AK26" s="47" t="n">
        <f aca="false">IFERROR((AK8+AK9+AK11+AK15)/AK17,0)</f>
        <v>0.676770945498291</v>
      </c>
      <c r="AL26" s="47" t="n">
        <f aca="false">IFERROR((AL8+AL9+AL11+AL15)/AL17,0)</f>
        <v>0.758175801157715</v>
      </c>
      <c r="AM26" s="47" t="n">
        <f aca="false">IFERROR((AM8+AM9+AM11+AM15)/AM17,0)</f>
        <v>0.789454761348971</v>
      </c>
      <c r="AN26" s="47" t="n">
        <f aca="false">IFERROR((AN8+AN9+AN11+AN15)/AN17,0)</f>
        <v>0.763698309698684</v>
      </c>
      <c r="AO26" s="47" t="n">
        <f aca="false">IFERROR((AO8+AO9+AO11+AO15)/AO17,0)</f>
        <v>0.68957241676807</v>
      </c>
      <c r="AP26" s="47" t="n">
        <f aca="false">IFERROR((AP8+AP9+AP11+AP15)/AP17,0)</f>
        <v>0.673950115796734</v>
      </c>
      <c r="AQ26" s="47" t="n">
        <f aca="false">IFERROR((AQ8+AQ9+AQ11+AQ15)/AQ17,0)</f>
        <v>0.659019981914854</v>
      </c>
      <c r="AR26" s="47" t="n">
        <f aca="false">IFERROR((AR8+AR9+AR11+AR15)/AR17,0)</f>
        <v>0.707175770901953</v>
      </c>
      <c r="AS26" s="47" t="n">
        <f aca="false">IFERROR((AS8+AS9+AS11+AS15)/AS17,0)</f>
        <v>0.659019981914854</v>
      </c>
      <c r="AT26" s="47" t="n">
        <f aca="false">IFERROR((AT8+AT9+AT11+AT15)/AT17,0)</f>
        <v>0.659019981914854</v>
      </c>
      <c r="AU26" s="47" t="n">
        <f aca="false">IFERROR((AU8+AU9+AU11+AU15)/AU17,0)</f>
        <v>0.659019981914854</v>
      </c>
      <c r="AV26" s="47" t="n">
        <f aca="false">IFERROR((AV8+AV9+AV11+AV15)/AV17,0)</f>
        <v>0.657906862138265</v>
      </c>
      <c r="AW26" s="47" t="n">
        <f aca="false">IFERROR((AW8+AW9+AW11+AW15)/AW17,0)</f>
        <v>0.67278603367469</v>
      </c>
      <c r="AX26" s="47" t="n">
        <f aca="false">IFERROR((AX8+AX9+AX11+AX15)/AX17,0)</f>
        <v>0.754108546190854</v>
      </c>
      <c r="AY26" s="47" t="n">
        <f aca="false">IFERROR((AY8+AY9+AY11+AY15)/AY17,0)</f>
        <v>0.789454761348971</v>
      </c>
      <c r="AZ26" s="47" t="n">
        <f aca="false">IFERROR((AZ8+AZ9+AZ11+AZ15)/AZ17,0)</f>
        <v>0.763698309698684</v>
      </c>
      <c r="BA26" s="47" t="n">
        <f aca="false">IFERROR((BA8+BA9+BA11+BA15)/BA17,0)</f>
        <v>0.68957241676807</v>
      </c>
      <c r="BB26" s="47" t="n">
        <f aca="false">IFERROR((BB8+BB9+BB11+BB15)/BB17,0)</f>
        <v>0.673950115796734</v>
      </c>
      <c r="BC26" s="47" t="n">
        <f aca="false">IFERROR((BC8+BC9+BC11+BC15)/BC17,0)</f>
        <v>0.659019981914854</v>
      </c>
      <c r="BD26" s="47" t="n">
        <f aca="false">IFERROR((BD8+BD9+BD11+BD15)/BD17,0)</f>
        <v>0.707175770901953</v>
      </c>
      <c r="BE26" s="47" t="n">
        <f aca="false">IFERROR((BE8+BE9+BE11+BE15)/BE17,0)</f>
        <v>0.659019981914854</v>
      </c>
      <c r="BF26" s="47" t="n">
        <f aca="false">IFERROR((BF8+BF9+BF11+BF15)/BF17,0)</f>
        <v>0.659019981914854</v>
      </c>
      <c r="BG26" s="47" t="n">
        <f aca="false">IFERROR((BG8+BG9+BG11+BG15)/BG17,0)</f>
        <v>0.659019981914854</v>
      </c>
      <c r="BH26" s="47" t="n">
        <f aca="false">IFERROR((BH8+BH9+BH11+BH15)/BH17,0)</f>
        <v>0.657906862138265</v>
      </c>
      <c r="BI26" s="47" t="n">
        <f aca="false">IFERROR((BI8+BI9+BI11+BI15)/BI17,0)</f>
        <v>0.67278603367469</v>
      </c>
      <c r="BJ26" s="47" t="n">
        <f aca="false">IFERROR((BJ8+BJ9+BJ11+BJ15)/BJ17,0)</f>
        <v>0.754108546190854</v>
      </c>
      <c r="BK26" s="47" t="n">
        <f aca="false">IFERROR((BK8+BK9+BK11+BK15)/BK17,0)</f>
        <v>0.789454761348971</v>
      </c>
      <c r="BL26" s="47" t="n">
        <f aca="false">IFERROR((BL8+BL9+BL11+BL15)/BL17,0)</f>
        <v>0.763698309698684</v>
      </c>
      <c r="BM26" s="47" t="n">
        <f aca="false">IFERROR((BM8+BM9+BM11+BM15)/BM17,0)</f>
        <v>0.68957241676807</v>
      </c>
      <c r="BN26" s="47" t="n">
        <f aca="false">IFERROR((BN8+BN9+BN11+BN15)/BN17,0)</f>
        <v>0.673950115796734</v>
      </c>
      <c r="BO26" s="47" t="n">
        <f aca="false">IFERROR((BO8+BO9+BO11+BO15)/BO17,0)</f>
        <v>0.659019981914854</v>
      </c>
      <c r="BP26" s="47" t="n">
        <f aca="false">IFERROR((BP8+BP9+BP11+BP15)/BP17,0)</f>
        <v>0.707175770901953</v>
      </c>
      <c r="BQ26" s="47" t="n">
        <f aca="false">IFERROR((BQ8+BQ9+BQ11+BQ15)/BQ17,0)</f>
        <v>0.659019981914854</v>
      </c>
      <c r="BR26" s="47" t="n">
        <f aca="false">IFERROR((BR8+BR9+BR11+BR15)/BR17,0)</f>
        <v>0.659019981914854</v>
      </c>
      <c r="BS26" s="47" t="n">
        <f aca="false">IFERROR((BS8+BS9+BS11+BS15)/BS17,0)</f>
        <v>0.659019981914854</v>
      </c>
      <c r="BT26" s="47" t="n">
        <f aca="false">IFERROR((BT8+BT9+BT11+BT15)/BT17,0)</f>
        <v>0.657906862138265</v>
      </c>
      <c r="BU26" s="47" t="n">
        <f aca="false">IFERROR((BU8+BU9+BU11+BU15)/BU17,0)</f>
        <v>0.67278603367469</v>
      </c>
      <c r="BV26" s="47" t="n">
        <f aca="false">IFERROR((BV8+BV9+BV11+BV15)/BV17,0)</f>
        <v>0.754108546190854</v>
      </c>
      <c r="BW26" s="47" t="n">
        <f aca="false">IFERROR((BW8+BW9+BW11+BW15)/BW17,0)</f>
        <v>0.789454761348971</v>
      </c>
      <c r="BX26" s="47" t="n">
        <f aca="false">IFERROR((BX8+BX9+BX11+BX15)/BX17,0)</f>
        <v>0.763698309698684</v>
      </c>
      <c r="BY26" s="47" t="n">
        <f aca="false">IFERROR((BY8+BY9+BY11+BY15)/BY17,0)</f>
        <v>0.68957241676807</v>
      </c>
      <c r="BZ26" s="47" t="n">
        <f aca="false">IFERROR((BZ8+BZ9+BZ11+BZ15)/BZ17,0)</f>
        <v>0.673950115796734</v>
      </c>
      <c r="CA26" s="47" t="n">
        <f aca="false">IFERROR((CA8+CA9+CA11+CA15)/CA17,0)</f>
        <v>0.659019981914854</v>
      </c>
      <c r="CB26" s="47" t="n">
        <f aca="false">IFERROR((CB8+CB9+CB11+CB15)/CB17,0)</f>
        <v>0.707175770901953</v>
      </c>
      <c r="CC26" s="47" t="n">
        <f aca="false">IFERROR((CC8+CC9+CC11+CC15)/CC17,0)</f>
        <v>0.659019981914854</v>
      </c>
      <c r="CD26" s="47" t="n">
        <f aca="false">IFERROR((CD8+CD9+CD11+CD15)/CD17,0)</f>
        <v>0.659019981914854</v>
      </c>
      <c r="CE26" s="47" t="n">
        <f aca="false">IFERROR((CE8+CE9+CE11+CE15)/CE17,0)</f>
        <v>0.659019981914854</v>
      </c>
      <c r="CF26" s="47" t="n">
        <f aca="false">IFERROR((CF8+CF9+CF11+CF15)/CF17,0)</f>
        <v>0.657906862138265</v>
      </c>
      <c r="CG26" s="47" t="n">
        <f aca="false">IFERROR((CG8+CG9+CG11+CG15)/CG17,0)</f>
        <v>0.67278603367469</v>
      </c>
      <c r="CH26" s="47" t="n">
        <f aca="false">IFERROR((CH8+CH9+CH11+CH15)/CH17,0)</f>
        <v>0.754108546190854</v>
      </c>
      <c r="CI26" s="47" t="n">
        <f aca="false">IFERROR((CI8+CI9+CI11+CI15)/CI17,0)</f>
        <v>0.789454761348971</v>
      </c>
      <c r="CJ26" s="47" t="n">
        <f aca="false">IFERROR((CJ8+CJ9+CJ11+CJ15)/CJ17,0)</f>
        <v>0.763698309698684</v>
      </c>
      <c r="CK26" s="47" t="n">
        <f aca="false">IFERROR((CK8+CK9+CK11+CK15)/CK17,0)</f>
        <v>0.68957241676807</v>
      </c>
      <c r="CL26" s="47" t="n">
        <f aca="false">IFERROR((CL8+CL9+CL11+CL15)/CL17,0)</f>
        <v>0.673950115796734</v>
      </c>
      <c r="CM26" s="47" t="n">
        <f aca="false">IFERROR((CM8+CM9+CM11+CM15)/CM17,0)</f>
        <v>0.659019981914854</v>
      </c>
      <c r="CN26" s="47" t="n">
        <f aca="false">IFERROR((CN8+CN9+CN11+CN15)/CN17,0)</f>
        <v>0.707175770901953</v>
      </c>
      <c r="CO26" s="47" t="n">
        <f aca="false">IFERROR((CO8+CO9+CO11+CO15)/CO17,0)</f>
        <v>0.659019981914854</v>
      </c>
      <c r="CP26" s="47" t="n">
        <f aca="false">IFERROR((CP8+CP9+CP11+CP15)/CP17,0)</f>
        <v>0.659019981914854</v>
      </c>
      <c r="CQ26" s="47" t="n">
        <f aca="false">IFERROR((CQ8+CQ9+CQ11+CQ15)/CQ17,0)</f>
        <v>0.659019981914854</v>
      </c>
      <c r="CR26" s="47" t="n">
        <f aca="false">IFERROR((CR8+CR9+CR11+CR15)/CR17,0)</f>
        <v>0.657906862138265</v>
      </c>
      <c r="CS26" s="47" t="n">
        <f aca="false">IFERROR((CS8+CS9+CS11+CS15)/CS17,0)</f>
        <v>0.67278603367469</v>
      </c>
      <c r="CT26" s="47" t="n">
        <f aca="false">IFERROR((CT8+CT9+CT11+CT15)/CT17,0)</f>
        <v>0.754108546190854</v>
      </c>
    </row>
    <row r="28" customFormat="false" ht="15" hidden="false" customHeight="true" outlineLevel="0" collapsed="false">
      <c r="B28" s="42" t="s">
        <v>276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B6B4B"/>
    <pageSetUpPr fitToPage="false"/>
  </sheetPr>
  <dimension ref="B2:CT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52"/>
    <col collapsed="false" customWidth="true" hidden="false" outlineLevel="0" max="98" min="3" style="1" width="11"/>
  </cols>
  <sheetData>
    <row r="2" customFormat="false" ht="15.75" hidden="false" customHeight="true" outlineLevel="0" collapsed="false">
      <c r="B2" s="13" t="s">
        <v>277</v>
      </c>
    </row>
    <row r="3" customFormat="false" ht="15" hidden="false" customHeight="true" outlineLevel="0" collapsed="false">
      <c r="B3" s="3" t="s">
        <v>278</v>
      </c>
    </row>
    <row r="5" customFormat="false" ht="15" hidden="false" customHeight="true" outlineLevel="0" collapsed="false">
      <c r="B5" s="32" t="s">
        <v>236</v>
      </c>
      <c r="C5" s="32" t="s">
        <v>237</v>
      </c>
      <c r="D5" s="32"/>
      <c r="E5" s="32"/>
      <c r="F5" s="32"/>
      <c r="G5" s="32"/>
      <c r="H5" s="32"/>
      <c r="I5" s="32"/>
      <c r="J5" s="32"/>
      <c r="K5" s="32"/>
      <c r="L5" s="32"/>
      <c r="M5" s="32"/>
      <c r="N5" s="32"/>
      <c r="O5" s="32" t="s">
        <v>238</v>
      </c>
      <c r="P5" s="32"/>
      <c r="Q5" s="32"/>
      <c r="R5" s="32"/>
      <c r="S5" s="32"/>
      <c r="T5" s="32"/>
      <c r="U5" s="32"/>
      <c r="V5" s="32"/>
      <c r="W5" s="32"/>
      <c r="X5" s="32"/>
      <c r="Y5" s="32"/>
      <c r="Z5" s="32"/>
      <c r="AA5" s="32" t="s">
        <v>239</v>
      </c>
      <c r="AB5" s="32"/>
      <c r="AC5" s="32"/>
      <c r="AD5" s="32"/>
      <c r="AE5" s="32"/>
      <c r="AF5" s="32"/>
      <c r="AG5" s="32"/>
      <c r="AH5" s="32"/>
      <c r="AI5" s="32"/>
      <c r="AJ5" s="32"/>
      <c r="AK5" s="32"/>
      <c r="AL5" s="32"/>
      <c r="AM5" s="32" t="s">
        <v>240</v>
      </c>
      <c r="AN5" s="32"/>
      <c r="AO5" s="32"/>
      <c r="AP5" s="32"/>
      <c r="AQ5" s="32"/>
      <c r="AR5" s="32"/>
      <c r="AS5" s="32"/>
      <c r="AT5" s="32"/>
      <c r="AU5" s="32"/>
      <c r="AV5" s="32"/>
      <c r="AW5" s="32"/>
      <c r="AX5" s="32"/>
      <c r="AY5" s="32" t="s">
        <v>241</v>
      </c>
      <c r="AZ5" s="32"/>
      <c r="BA5" s="32"/>
      <c r="BB5" s="32"/>
      <c r="BC5" s="32"/>
      <c r="BD5" s="32"/>
      <c r="BE5" s="32"/>
      <c r="BF5" s="32"/>
      <c r="BG5" s="32"/>
      <c r="BH5" s="32"/>
      <c r="BI5" s="32"/>
      <c r="BJ5" s="32"/>
      <c r="BK5" s="32" t="s">
        <v>242</v>
      </c>
      <c r="BL5" s="32"/>
      <c r="BM5" s="32"/>
      <c r="BN5" s="32"/>
      <c r="BO5" s="32"/>
      <c r="BP5" s="32"/>
      <c r="BQ5" s="32"/>
      <c r="BR5" s="32"/>
      <c r="BS5" s="32"/>
      <c r="BT5" s="32"/>
      <c r="BU5" s="32"/>
      <c r="BV5" s="32"/>
      <c r="BW5" s="32" t="s">
        <v>243</v>
      </c>
      <c r="BX5" s="32"/>
      <c r="BY5" s="32"/>
      <c r="BZ5" s="32"/>
      <c r="CA5" s="32"/>
      <c r="CB5" s="32"/>
      <c r="CC5" s="32"/>
      <c r="CD5" s="32"/>
      <c r="CE5" s="32"/>
      <c r="CF5" s="32"/>
      <c r="CG5" s="32"/>
      <c r="CH5" s="32"/>
      <c r="CI5" s="32" t="s">
        <v>244</v>
      </c>
      <c r="CJ5" s="32"/>
      <c r="CK5" s="32"/>
      <c r="CL5" s="32"/>
      <c r="CM5" s="32"/>
      <c r="CN5" s="32"/>
      <c r="CO5" s="32"/>
      <c r="CP5" s="32"/>
      <c r="CQ5" s="32"/>
      <c r="CR5" s="32"/>
      <c r="CS5" s="32"/>
      <c r="CT5" s="32"/>
    </row>
    <row r="6" customFormat="false" ht="15" hidden="false" customHeight="true" outlineLevel="0" collapsed="false">
      <c r="B6" s="33" t="s">
        <v>245</v>
      </c>
      <c r="C6" s="34" t="s">
        <v>200</v>
      </c>
      <c r="D6" s="34" t="s">
        <v>201</v>
      </c>
      <c r="E6" s="34" t="s">
        <v>202</v>
      </c>
      <c r="F6" s="34" t="s">
        <v>203</v>
      </c>
      <c r="G6" s="34" t="s">
        <v>204</v>
      </c>
      <c r="H6" s="34" t="s">
        <v>205</v>
      </c>
      <c r="I6" s="34" t="s">
        <v>206</v>
      </c>
      <c r="J6" s="34" t="s">
        <v>207</v>
      </c>
      <c r="K6" s="34" t="s">
        <v>208</v>
      </c>
      <c r="L6" s="34" t="s">
        <v>209</v>
      </c>
      <c r="M6" s="34" t="s">
        <v>210</v>
      </c>
      <c r="N6" s="34" t="s">
        <v>211</v>
      </c>
      <c r="O6" s="34" t="s">
        <v>200</v>
      </c>
      <c r="P6" s="34" t="s">
        <v>201</v>
      </c>
      <c r="Q6" s="34" t="s">
        <v>202</v>
      </c>
      <c r="R6" s="34" t="s">
        <v>203</v>
      </c>
      <c r="S6" s="34" t="s">
        <v>204</v>
      </c>
      <c r="T6" s="34" t="s">
        <v>205</v>
      </c>
      <c r="U6" s="34" t="s">
        <v>206</v>
      </c>
      <c r="V6" s="34" t="s">
        <v>207</v>
      </c>
      <c r="W6" s="34" t="s">
        <v>208</v>
      </c>
      <c r="X6" s="34" t="s">
        <v>209</v>
      </c>
      <c r="Y6" s="34" t="s">
        <v>210</v>
      </c>
      <c r="Z6" s="34" t="s">
        <v>211</v>
      </c>
      <c r="AA6" s="34" t="s">
        <v>200</v>
      </c>
      <c r="AB6" s="34" t="s">
        <v>201</v>
      </c>
      <c r="AC6" s="34" t="s">
        <v>202</v>
      </c>
      <c r="AD6" s="34" t="s">
        <v>203</v>
      </c>
      <c r="AE6" s="34" t="s">
        <v>204</v>
      </c>
      <c r="AF6" s="34" t="s">
        <v>205</v>
      </c>
      <c r="AG6" s="34" t="s">
        <v>206</v>
      </c>
      <c r="AH6" s="34" t="s">
        <v>207</v>
      </c>
      <c r="AI6" s="34" t="s">
        <v>208</v>
      </c>
      <c r="AJ6" s="34" t="s">
        <v>209</v>
      </c>
      <c r="AK6" s="34" t="s">
        <v>210</v>
      </c>
      <c r="AL6" s="34" t="s">
        <v>211</v>
      </c>
      <c r="AM6" s="34" t="s">
        <v>200</v>
      </c>
      <c r="AN6" s="34" t="s">
        <v>201</v>
      </c>
      <c r="AO6" s="34" t="s">
        <v>202</v>
      </c>
      <c r="AP6" s="34" t="s">
        <v>203</v>
      </c>
      <c r="AQ6" s="34" t="s">
        <v>204</v>
      </c>
      <c r="AR6" s="34" t="s">
        <v>205</v>
      </c>
      <c r="AS6" s="34" t="s">
        <v>206</v>
      </c>
      <c r="AT6" s="34" t="s">
        <v>207</v>
      </c>
      <c r="AU6" s="34" t="s">
        <v>208</v>
      </c>
      <c r="AV6" s="34" t="s">
        <v>209</v>
      </c>
      <c r="AW6" s="34" t="s">
        <v>210</v>
      </c>
      <c r="AX6" s="34" t="s">
        <v>211</v>
      </c>
      <c r="AY6" s="34" t="s">
        <v>200</v>
      </c>
      <c r="AZ6" s="34" t="s">
        <v>201</v>
      </c>
      <c r="BA6" s="34" t="s">
        <v>202</v>
      </c>
      <c r="BB6" s="34" t="s">
        <v>203</v>
      </c>
      <c r="BC6" s="34" t="s">
        <v>204</v>
      </c>
      <c r="BD6" s="34" t="s">
        <v>205</v>
      </c>
      <c r="BE6" s="34" t="s">
        <v>206</v>
      </c>
      <c r="BF6" s="34" t="s">
        <v>207</v>
      </c>
      <c r="BG6" s="34" t="s">
        <v>208</v>
      </c>
      <c r="BH6" s="34" t="s">
        <v>209</v>
      </c>
      <c r="BI6" s="34" t="s">
        <v>210</v>
      </c>
      <c r="BJ6" s="34" t="s">
        <v>211</v>
      </c>
      <c r="BK6" s="34" t="s">
        <v>200</v>
      </c>
      <c r="BL6" s="34" t="s">
        <v>201</v>
      </c>
      <c r="BM6" s="34" t="s">
        <v>202</v>
      </c>
      <c r="BN6" s="34" t="s">
        <v>203</v>
      </c>
      <c r="BO6" s="34" t="s">
        <v>204</v>
      </c>
      <c r="BP6" s="34" t="s">
        <v>205</v>
      </c>
      <c r="BQ6" s="34" t="s">
        <v>206</v>
      </c>
      <c r="BR6" s="34" t="s">
        <v>207</v>
      </c>
      <c r="BS6" s="34" t="s">
        <v>208</v>
      </c>
      <c r="BT6" s="34" t="s">
        <v>209</v>
      </c>
      <c r="BU6" s="34" t="s">
        <v>210</v>
      </c>
      <c r="BV6" s="34" t="s">
        <v>211</v>
      </c>
      <c r="BW6" s="34" t="s">
        <v>200</v>
      </c>
      <c r="BX6" s="34" t="s">
        <v>201</v>
      </c>
      <c r="BY6" s="34" t="s">
        <v>202</v>
      </c>
      <c r="BZ6" s="34" t="s">
        <v>203</v>
      </c>
      <c r="CA6" s="34" t="s">
        <v>204</v>
      </c>
      <c r="CB6" s="34" t="s">
        <v>205</v>
      </c>
      <c r="CC6" s="34" t="s">
        <v>206</v>
      </c>
      <c r="CD6" s="34" t="s">
        <v>207</v>
      </c>
      <c r="CE6" s="34" t="s">
        <v>208</v>
      </c>
      <c r="CF6" s="34" t="s">
        <v>209</v>
      </c>
      <c r="CG6" s="34" t="s">
        <v>210</v>
      </c>
      <c r="CH6" s="34" t="s">
        <v>211</v>
      </c>
      <c r="CI6" s="34" t="s">
        <v>200</v>
      </c>
      <c r="CJ6" s="34" t="s">
        <v>201</v>
      </c>
      <c r="CK6" s="34" t="s">
        <v>202</v>
      </c>
      <c r="CL6" s="34" t="s">
        <v>203</v>
      </c>
      <c r="CM6" s="34" t="s">
        <v>204</v>
      </c>
      <c r="CN6" s="34" t="s">
        <v>205</v>
      </c>
      <c r="CO6" s="34" t="s">
        <v>206</v>
      </c>
      <c r="CP6" s="34" t="s">
        <v>207</v>
      </c>
      <c r="CQ6" s="34" t="s">
        <v>208</v>
      </c>
      <c r="CR6" s="34" t="s">
        <v>209</v>
      </c>
      <c r="CS6" s="34" t="s">
        <v>210</v>
      </c>
      <c r="CT6" s="34" t="s">
        <v>211</v>
      </c>
    </row>
    <row r="7" customFormat="false" ht="15" hidden="false" customHeight="true" outlineLevel="0" collapsed="false">
      <c r="B7" s="35" t="s">
        <v>279</v>
      </c>
      <c r="C7" s="36"/>
      <c r="D7" s="36"/>
      <c r="E7" s="36"/>
      <c r="F7" s="36"/>
      <c r="G7" s="36"/>
      <c r="H7" s="36"/>
      <c r="I7" s="36"/>
      <c r="J7" s="36"/>
      <c r="K7" s="36"/>
      <c r="L7" s="36"/>
      <c r="M7" s="36"/>
      <c r="N7" s="36"/>
      <c r="O7" s="36"/>
      <c r="P7" s="36"/>
      <c r="Q7" s="36"/>
      <c r="R7" s="36"/>
      <c r="S7" s="36"/>
      <c r="T7" s="36"/>
      <c r="U7" s="36"/>
      <c r="V7" s="36"/>
      <c r="W7" s="36"/>
      <c r="X7" s="36"/>
      <c r="Y7" s="36"/>
      <c r="Z7" s="36"/>
      <c r="AA7" s="36"/>
      <c r="AB7" s="36"/>
      <c r="AC7" s="36"/>
      <c r="AD7" s="36"/>
      <c r="AE7" s="36"/>
      <c r="AF7" s="36"/>
      <c r="AG7" s="36"/>
      <c r="AH7" s="36"/>
      <c r="AI7" s="36"/>
      <c r="AJ7" s="36"/>
      <c r="AK7" s="36"/>
      <c r="AL7" s="36"/>
      <c r="AM7" s="36"/>
      <c r="AN7" s="36"/>
      <c r="AO7" s="36"/>
      <c r="AP7" s="36"/>
      <c r="AQ7" s="36"/>
      <c r="AR7" s="36"/>
      <c r="AS7" s="36"/>
      <c r="AT7" s="36"/>
      <c r="AU7" s="36"/>
      <c r="AV7" s="36"/>
      <c r="AW7" s="36"/>
      <c r="AX7" s="36"/>
      <c r="AY7" s="36"/>
      <c r="AZ7" s="36"/>
      <c r="BA7" s="36"/>
      <c r="BB7" s="36"/>
      <c r="BC7" s="36"/>
      <c r="BD7" s="36"/>
      <c r="BE7" s="36"/>
      <c r="BF7" s="36"/>
      <c r="BG7" s="36"/>
      <c r="BH7" s="36"/>
      <c r="BI7" s="36"/>
      <c r="BJ7" s="36"/>
      <c r="BK7" s="36"/>
      <c r="BL7" s="36"/>
      <c r="BM7" s="36"/>
      <c r="BN7" s="36"/>
      <c r="BO7" s="36"/>
      <c r="BP7" s="36"/>
      <c r="BQ7" s="36"/>
      <c r="BR7" s="36"/>
      <c r="BS7" s="36"/>
      <c r="BT7" s="36"/>
      <c r="BU7" s="36"/>
      <c r="BV7" s="36"/>
      <c r="BW7" s="36"/>
      <c r="BX7" s="36"/>
      <c r="BY7" s="36"/>
      <c r="BZ7" s="36"/>
      <c r="CA7" s="36"/>
      <c r="CB7" s="36"/>
      <c r="CC7" s="36"/>
      <c r="CD7" s="36"/>
      <c r="CE7" s="36"/>
      <c r="CF7" s="36"/>
      <c r="CG7" s="36"/>
      <c r="CH7" s="36"/>
      <c r="CI7" s="36"/>
      <c r="CJ7" s="36"/>
      <c r="CK7" s="36"/>
      <c r="CL7" s="36"/>
      <c r="CM7" s="36"/>
      <c r="CN7" s="36"/>
      <c r="CO7" s="36"/>
      <c r="CP7" s="36"/>
      <c r="CQ7" s="36"/>
      <c r="CR7" s="36"/>
      <c r="CS7" s="36"/>
      <c r="CT7" s="36"/>
    </row>
    <row r="8" customFormat="false" ht="15" hidden="false" customHeight="true" outlineLevel="0" collapsed="false">
      <c r="B8" s="15" t="s">
        <v>280</v>
      </c>
      <c r="C8" s="37" t="n">
        <f aca="false">Supuestos!$C$77</f>
        <v>4500000000</v>
      </c>
      <c r="D8" s="37" t="n">
        <f aca="false">C47</f>
        <v>9511571060.75563</v>
      </c>
      <c r="E8" s="37" t="n">
        <f aca="false">D47</f>
        <v>13168889824.4194</v>
      </c>
      <c r="F8" s="37" t="n">
        <f aca="false">E47</f>
        <v>18692528870.6828</v>
      </c>
      <c r="G8" s="37" t="n">
        <f aca="false">F47</f>
        <v>22412998941.4433</v>
      </c>
      <c r="H8" s="37" t="n">
        <f aca="false">G47</f>
        <v>24525706122.9752</v>
      </c>
      <c r="I8" s="37" t="n">
        <f aca="false">H47</f>
        <v>23209817382.5151</v>
      </c>
      <c r="J8" s="37" t="n">
        <f aca="false">I47</f>
        <v>25253755756.57</v>
      </c>
      <c r="K8" s="37" t="n">
        <f aca="false">J47</f>
        <v>27008941480.4797</v>
      </c>
      <c r="L8" s="37" t="n">
        <f aca="false">K47</f>
        <v>28426290357.4501</v>
      </c>
      <c r="M8" s="37" t="n">
        <f aca="false">L47</f>
        <v>30169009437.0849</v>
      </c>
      <c r="N8" s="37" t="n">
        <f aca="false">M47</f>
        <v>31549582144.3352</v>
      </c>
      <c r="O8" s="37" t="n">
        <f aca="false">N47</f>
        <v>30030805112.8193</v>
      </c>
      <c r="P8" s="37" t="n">
        <f aca="false">O47</f>
        <v>35236188841.7019</v>
      </c>
      <c r="Q8" s="37" t="n">
        <f aca="false">P47</f>
        <v>40406333172.9535</v>
      </c>
      <c r="R8" s="37" t="n">
        <f aca="false">Q47</f>
        <v>47197388010.6809</v>
      </c>
      <c r="S8" s="37" t="n">
        <f aca="false">R47</f>
        <v>51891103599.6598</v>
      </c>
      <c r="T8" s="37" t="n">
        <f aca="false">S47</f>
        <v>54824779542.5174</v>
      </c>
      <c r="U8" s="37" t="n">
        <f aca="false">T47</f>
        <v>54268358931.2531</v>
      </c>
      <c r="V8" s="37" t="n">
        <f aca="false">U47</f>
        <v>57046780506.518</v>
      </c>
      <c r="W8" s="37" t="n">
        <f aca="false">V47</f>
        <v>59510103208.5543</v>
      </c>
      <c r="X8" s="37" t="n">
        <f aca="false">W47</f>
        <v>61617015722.0253</v>
      </c>
      <c r="Y8" s="37" t="n">
        <f aca="false">X47</f>
        <v>65304650471.285</v>
      </c>
      <c r="Z8" s="37" t="n">
        <f aca="false">Y47</f>
        <v>68619998926.2277</v>
      </c>
      <c r="AA8" s="37" t="n">
        <f aca="false">Z47</f>
        <v>69031110550.8254</v>
      </c>
      <c r="AB8" s="37" t="n">
        <f aca="false">AA47</f>
        <v>76218182297.0732</v>
      </c>
      <c r="AC8" s="37" t="n">
        <f aca="false">AB47</f>
        <v>83332168003.1587</v>
      </c>
      <c r="AD8" s="37" t="n">
        <f aca="false">AC47</f>
        <v>92102062805.9148</v>
      </c>
      <c r="AE8" s="37" t="n">
        <f aca="false">AD47</f>
        <v>98768091911.2439</v>
      </c>
      <c r="AF8" s="37" t="n">
        <f aca="false">AE47</f>
        <v>103666018853.352</v>
      </c>
      <c r="AG8" s="37" t="n">
        <f aca="false">AF47</f>
        <v>105085364409.617</v>
      </c>
      <c r="AH8" s="37" t="n">
        <f aca="false">AG47</f>
        <v>109851756141.145</v>
      </c>
      <c r="AI8" s="37" t="n">
        <f aca="false">AH47</f>
        <v>114370190156.977</v>
      </c>
      <c r="AJ8" s="37" t="n">
        <f aca="false">AI47</f>
        <v>118731097089.352</v>
      </c>
      <c r="AK8" s="37" t="n">
        <f aca="false">AJ47</f>
        <v>123434110143.875</v>
      </c>
      <c r="AL8" s="37" t="n">
        <f aca="false">AK47</f>
        <v>127755918314.443</v>
      </c>
      <c r="AM8" s="37" t="n">
        <f aca="false">AL47</f>
        <v>129168713185.205</v>
      </c>
      <c r="AN8" s="37" t="n">
        <f aca="false">AM47</f>
        <v>137410254015.878</v>
      </c>
      <c r="AO8" s="37" t="n">
        <f aca="false">AN47</f>
        <v>145539483955.357</v>
      </c>
      <c r="AP8" s="37" t="n">
        <f aca="false">AO47</f>
        <v>155359900806.624</v>
      </c>
      <c r="AQ8" s="37" t="n">
        <f aca="false">AP47</f>
        <v>163069015185.634</v>
      </c>
      <c r="AR8" s="37" t="n">
        <f aca="false">AQ47</f>
        <v>169000974834.505</v>
      </c>
      <c r="AS8" s="37" t="n">
        <f aca="false">AR47</f>
        <v>171465366517.737</v>
      </c>
      <c r="AT8" s="37" t="n">
        <f aca="false">AS47</f>
        <v>177288516810.858</v>
      </c>
      <c r="AU8" s="37" t="n">
        <f aca="false">AT47</f>
        <v>182780392899.846</v>
      </c>
      <c r="AV8" s="37" t="n">
        <f aca="false">AU47</f>
        <v>187897210389.749</v>
      </c>
      <c r="AW8" s="37" t="n">
        <f aca="false">AV47</f>
        <v>193366516243.984</v>
      </c>
      <c r="AX8" s="37" t="n">
        <f aca="false">AW47</f>
        <v>198445237322.293</v>
      </c>
      <c r="AY8" s="37" t="n">
        <f aca="false">AX47</f>
        <v>200609715854.515</v>
      </c>
      <c r="AZ8" s="37" t="n">
        <f aca="false">AY47</f>
        <v>209536703180.125</v>
      </c>
      <c r="BA8" s="37" t="n">
        <f aca="false">AZ47</f>
        <v>218441884312</v>
      </c>
      <c r="BB8" s="37" t="n">
        <f aca="false">BA47</f>
        <v>229050062172.235</v>
      </c>
      <c r="BC8" s="37" t="n">
        <f aca="false">BB47</f>
        <v>237536476393.503</v>
      </c>
      <c r="BD8" s="37" t="n">
        <f aca="false">BC47</f>
        <v>244236921420.268</v>
      </c>
      <c r="BE8" s="37" t="n">
        <f aca="false">BD47</f>
        <v>247476199596.414</v>
      </c>
      <c r="BF8" s="37" t="n">
        <f aca="false">BE47</f>
        <v>254081665873.586</v>
      </c>
      <c r="BG8" s="37" t="n">
        <f aca="false">BF47</f>
        <v>260349632187.112</v>
      </c>
      <c r="BH8" s="37" t="n">
        <f aca="false">BG47</f>
        <v>266235622149.576</v>
      </c>
      <c r="BI8" s="37" t="n">
        <f aca="false">BH47</f>
        <v>272481451024.17</v>
      </c>
      <c r="BJ8" s="37" t="n">
        <f aca="false">BI47</f>
        <v>278330427445.03</v>
      </c>
      <c r="BK8" s="37" t="n">
        <f aca="false">BJ47</f>
        <v>281266898300.851</v>
      </c>
      <c r="BL8" s="37" t="n">
        <f aca="false">BK47</f>
        <v>290831687665.149</v>
      </c>
      <c r="BM8" s="37" t="n">
        <f aca="false">BL47</f>
        <v>300339522522.198</v>
      </c>
      <c r="BN8" s="37" t="n">
        <f aca="false">BM47</f>
        <v>311572598233.935</v>
      </c>
      <c r="BO8" s="37" t="n">
        <f aca="false">BN47</f>
        <v>320678277147.879</v>
      </c>
      <c r="BP8" s="37" t="n">
        <f aca="false">BO47</f>
        <v>327991446454.345</v>
      </c>
      <c r="BQ8" s="37" t="n">
        <f aca="false">BP47</f>
        <v>331851127688.415</v>
      </c>
      <c r="BR8" s="37" t="n">
        <f aca="false">BQ47</f>
        <v>339085077626.755</v>
      </c>
      <c r="BS8" s="37" t="n">
        <f aca="false">BR47</f>
        <v>345975363315.953</v>
      </c>
      <c r="BT8" s="37" t="n">
        <f aca="false">BS47</f>
        <v>352476641143.391</v>
      </c>
      <c r="BU8" s="37" t="n">
        <f aca="false">BT47</f>
        <v>359345191975.856</v>
      </c>
      <c r="BV8" s="37" t="n">
        <f aca="false">BU47</f>
        <v>365810400143.829</v>
      </c>
      <c r="BW8" s="37" t="n">
        <f aca="false">BV47</f>
        <v>369364752965.709</v>
      </c>
      <c r="BX8" s="37" t="n">
        <f aca="false">BW47</f>
        <v>379585297038.278</v>
      </c>
      <c r="BY8" s="37" t="n">
        <f aca="false">BX47</f>
        <v>389713061646.63</v>
      </c>
      <c r="BZ8" s="37" t="n">
        <f aca="false">BY47</f>
        <v>401588751676.22</v>
      </c>
      <c r="CA8" s="37" t="n">
        <f aca="false">BZ47</f>
        <v>411331307549.82</v>
      </c>
      <c r="CB8" s="37" t="n">
        <f aca="false">CA47</f>
        <v>419274690997.801</v>
      </c>
      <c r="CC8" s="37" t="n">
        <f aca="false">CB47</f>
        <v>423772419765.424</v>
      </c>
      <c r="CD8" s="37" t="n">
        <f aca="false">CC47</f>
        <v>431652660164.264</v>
      </c>
      <c r="CE8" s="37" t="n">
        <f aca="false">CD47</f>
        <v>439182956515.922</v>
      </c>
      <c r="CF8" s="37" t="n">
        <f aca="false">CE47</f>
        <v>446317081043.152</v>
      </c>
      <c r="CG8" s="37" t="n">
        <f aca="false">CF47</f>
        <v>453826062283.272</v>
      </c>
      <c r="CH8" s="37" t="n">
        <f aca="false">CG47</f>
        <v>460925088734.954</v>
      </c>
      <c r="CI8" s="37" t="n">
        <f aca="false">CH47</f>
        <v>465114946884.491</v>
      </c>
      <c r="CJ8" s="37" t="n">
        <f aca="false">CI47</f>
        <v>476009600044.98</v>
      </c>
      <c r="CK8" s="37" t="n">
        <f aca="false">CJ47</f>
        <v>486774953951.129</v>
      </c>
      <c r="CL8" s="37" t="n">
        <f aca="false">CK47</f>
        <v>499311364393.647</v>
      </c>
      <c r="CM8" s="37" t="n">
        <f aca="false">CL47</f>
        <v>509708795867.976</v>
      </c>
      <c r="CN8" s="37" t="n">
        <f aca="false">CM47</f>
        <v>518300266712.483</v>
      </c>
      <c r="CO8" s="37" t="n">
        <f aca="false">CN47</f>
        <v>523454073617.852</v>
      </c>
      <c r="CP8" s="37" t="n">
        <f aca="false">CO47</f>
        <v>531998800448.011</v>
      </c>
      <c r="CQ8" s="37" t="n">
        <f aca="false">CP47</f>
        <v>540187185624.136</v>
      </c>
      <c r="CR8" s="37" t="n">
        <f aca="false">CQ47</f>
        <v>547972099973.932</v>
      </c>
      <c r="CS8" s="37" t="n">
        <f aca="false">CR47</f>
        <v>556139607292.169</v>
      </c>
      <c r="CT8" s="37" t="n">
        <f aca="false">CS47</f>
        <v>563890423432.606</v>
      </c>
    </row>
    <row r="9" customFormat="false" ht="15" hidden="false" customHeight="true" outlineLevel="0" collapsed="false">
      <c r="B9" s="15" t="s">
        <v>281</v>
      </c>
      <c r="C9" s="37" t="n">
        <f aca="false">Supuestos!$C$78</f>
        <v>2100000000</v>
      </c>
      <c r="D9" s="37" t="n">
        <f aca="false">C48</f>
        <v>4647767682.58427</v>
      </c>
      <c r="E9" s="37" t="n">
        <f aca="false">D48</f>
        <v>5660643351.54824</v>
      </c>
      <c r="F9" s="37" t="n">
        <f aca="false">E48</f>
        <v>6351362146.49201</v>
      </c>
      <c r="G9" s="37" t="n">
        <f aca="false">F48</f>
        <v>6647155673.75956</v>
      </c>
      <c r="H9" s="37" t="n">
        <f aca="false">G48</f>
        <v>6756242530.11042</v>
      </c>
      <c r="I9" s="37" t="n">
        <f aca="false">H48</f>
        <v>6871107791.41162</v>
      </c>
      <c r="J9" s="37" t="n">
        <f aca="false">I48</f>
        <v>6967350329.34513</v>
      </c>
      <c r="K9" s="37" t="n">
        <f aca="false">J48</f>
        <v>6965905728.10754</v>
      </c>
      <c r="L9" s="37" t="n">
        <f aca="false">K48</f>
        <v>6915617557.28441</v>
      </c>
      <c r="M9" s="37" t="n">
        <f aca="false">L48</f>
        <v>6950795304.99861</v>
      </c>
      <c r="N9" s="37" t="n">
        <f aca="false">M48</f>
        <v>6918818308.65137</v>
      </c>
      <c r="O9" s="37" t="n">
        <f aca="false">N48</f>
        <v>6897812167.02585</v>
      </c>
      <c r="P9" s="37" t="n">
        <f aca="false">O48</f>
        <v>7153085542.2585</v>
      </c>
      <c r="Q9" s="37" t="n">
        <f aca="false">P48</f>
        <v>7013653921.79808</v>
      </c>
      <c r="R9" s="37" t="n">
        <f aca="false">Q48</f>
        <v>7133753503.53503</v>
      </c>
      <c r="S9" s="37" t="n">
        <f aca="false">R48</f>
        <v>7142785651.53609</v>
      </c>
      <c r="T9" s="37" t="n">
        <f aca="false">S48</f>
        <v>7107249786.8676</v>
      </c>
      <c r="U9" s="37" t="n">
        <f aca="false">T48</f>
        <v>7151465201.59916</v>
      </c>
      <c r="V9" s="37" t="n">
        <f aca="false">U48</f>
        <v>7213624847.63397</v>
      </c>
      <c r="W9" s="37" t="n">
        <f aca="false">V48</f>
        <v>7193687027.78395</v>
      </c>
      <c r="X9" s="37" t="n">
        <f aca="false">W48</f>
        <v>7132700474.99153</v>
      </c>
      <c r="Y9" s="37" t="n">
        <f aca="false">X48</f>
        <v>7164190545.66113</v>
      </c>
      <c r="Z9" s="37" t="n">
        <f aca="false">Y48</f>
        <v>7128917938.12851</v>
      </c>
      <c r="AA9" s="37" t="n">
        <f aca="false">Z48</f>
        <v>7105195670.4748</v>
      </c>
      <c r="AB9" s="37" t="n">
        <f aca="false">AA48</f>
        <v>7366137725.22071</v>
      </c>
      <c r="AC9" s="37" t="n">
        <f aca="false">AB48</f>
        <v>7223343211.83167</v>
      </c>
      <c r="AD9" s="37" t="n">
        <f aca="false">AC48</f>
        <v>7347441548.60318</v>
      </c>
      <c r="AE9" s="37" t="n">
        <f aca="false">AD48</f>
        <v>7356983529.74673</v>
      </c>
      <c r="AF9" s="37" t="n">
        <f aca="false">AE48</f>
        <v>7320426868.50656</v>
      </c>
      <c r="AG9" s="37" t="n">
        <f aca="false">AF48</f>
        <v>7365835260.55894</v>
      </c>
      <c r="AH9" s="37" t="n">
        <f aca="false">AG48</f>
        <v>7429867108.39708</v>
      </c>
      <c r="AI9" s="37" t="n">
        <f aca="false">AH48</f>
        <v>7409375845.07394</v>
      </c>
      <c r="AJ9" s="37" t="n">
        <f aca="false">AI48</f>
        <v>7346623026.17016</v>
      </c>
      <c r="AK9" s="37" t="n">
        <f aca="false">AJ48</f>
        <v>7378933339.39075</v>
      </c>
      <c r="AL9" s="37" t="n">
        <f aca="false">AK48</f>
        <v>7342581308.75883</v>
      </c>
      <c r="AM9" s="37" t="n">
        <f aca="false">AL48</f>
        <v>7317211252.58191</v>
      </c>
      <c r="AN9" s="37" t="n">
        <f aca="false">AM48</f>
        <v>7584525477.49112</v>
      </c>
      <c r="AO9" s="37" t="n">
        <f aca="false">AN48</f>
        <v>7438579677.1479</v>
      </c>
      <c r="AP9" s="37" t="n">
        <f aca="false">AO48</f>
        <v>7566931922.49685</v>
      </c>
      <c r="AQ9" s="37" t="n">
        <f aca="false">AP48</f>
        <v>7577072620.78241</v>
      </c>
      <c r="AR9" s="37" t="n">
        <f aca="false">AQ48</f>
        <v>7539505081.90743</v>
      </c>
      <c r="AS9" s="37" t="n">
        <f aca="false">AR48</f>
        <v>7586154273.23001</v>
      </c>
      <c r="AT9" s="37" t="n">
        <f aca="false">AS48</f>
        <v>7652116756.90906</v>
      </c>
      <c r="AU9" s="37" t="n">
        <f aca="false">AT48</f>
        <v>7631062574.35967</v>
      </c>
      <c r="AV9" s="37" t="n">
        <f aca="false">AU48</f>
        <v>7566500058.69606</v>
      </c>
      <c r="AW9" s="37" t="n">
        <f aca="false">AV48</f>
        <v>7599651761.62432</v>
      </c>
      <c r="AX9" s="37" t="n">
        <f aca="false">AW48</f>
        <v>7562192188.69954</v>
      </c>
      <c r="AY9" s="37" t="n">
        <f aca="false">AX48</f>
        <v>7535119383.58842</v>
      </c>
      <c r="AZ9" s="37" t="n">
        <f aca="false">AY48</f>
        <v>7766274546.11473</v>
      </c>
      <c r="BA9" s="37" t="n">
        <f aca="false">AZ48</f>
        <v>7596796957.7805</v>
      </c>
      <c r="BB9" s="37" t="n">
        <f aca="false">BA48</f>
        <v>7717309149.4716</v>
      </c>
      <c r="BC9" s="37" t="n">
        <f aca="false">BB48</f>
        <v>7722476130.15265</v>
      </c>
      <c r="BD9" s="37" t="n">
        <f aca="false">BC48</f>
        <v>7681590293.65907</v>
      </c>
      <c r="BE9" s="37" t="n">
        <f aca="false">BD48</f>
        <v>7727856278.90717</v>
      </c>
      <c r="BF9" s="37" t="n">
        <f aca="false">BE48</f>
        <v>7794458598.36533</v>
      </c>
      <c r="BG9" s="37" t="n">
        <f aca="false">BF48</f>
        <v>7772670642.92991</v>
      </c>
      <c r="BH9" s="37" t="n">
        <f aca="false">BG48</f>
        <v>7706687550.04769</v>
      </c>
      <c r="BI9" s="37" t="n">
        <f aca="false">BH48</f>
        <v>7740404907.10148</v>
      </c>
      <c r="BJ9" s="37" t="n">
        <f aca="false">BI48</f>
        <v>7702174470.46387</v>
      </c>
      <c r="BK9" s="37" t="n">
        <f aca="false">BJ48</f>
        <v>7674553544.6327</v>
      </c>
      <c r="BL9" s="37" t="n">
        <f aca="false">BK48</f>
        <v>7910288711.44823</v>
      </c>
      <c r="BM9" s="37" t="n">
        <f aca="false">BL48</f>
        <v>7737542549.45147</v>
      </c>
      <c r="BN9" s="37" t="n">
        <f aca="false">BM48</f>
        <v>7860422848.53553</v>
      </c>
      <c r="BO9" s="37" t="n">
        <f aca="false">BN48</f>
        <v>7865699645.16736</v>
      </c>
      <c r="BP9" s="37" t="n">
        <f aca="false">BO48</f>
        <v>7824021064.77589</v>
      </c>
      <c r="BQ9" s="37" t="n">
        <f aca="false">BP48</f>
        <v>7871191501.69321</v>
      </c>
      <c r="BR9" s="37" t="n">
        <f aca="false">BQ48</f>
        <v>7939093698.85924</v>
      </c>
      <c r="BS9" s="37" t="n">
        <f aca="false">BR48</f>
        <v>7916881444.53204</v>
      </c>
      <c r="BT9" s="37" t="n">
        <f aca="false">BS48</f>
        <v>7849611964.45824</v>
      </c>
      <c r="BU9" s="37" t="n">
        <f aca="false">BT48</f>
        <v>7883986951.53438</v>
      </c>
      <c r="BV9" s="37" t="n">
        <f aca="false">BU48</f>
        <v>7845011092.16224</v>
      </c>
      <c r="BW9" s="37" t="n">
        <f aca="false">BV48</f>
        <v>7816851593.66731</v>
      </c>
      <c r="BX9" s="37" t="n">
        <f aca="false">BW48</f>
        <v>8057264379.62318</v>
      </c>
      <c r="BY9" s="37" t="n">
        <f aca="false">BX48</f>
        <v>7881190059.16119</v>
      </c>
      <c r="BZ9" s="37" t="n">
        <f aca="false">BY48</f>
        <v>8006486719.92426</v>
      </c>
      <c r="CA9" s="37" t="n">
        <f aca="false">BZ48</f>
        <v>8011876512.01383</v>
      </c>
      <c r="CB9" s="37" t="n">
        <f aca="false">CA48</f>
        <v>7969390248.26645</v>
      </c>
      <c r="CC9" s="37" t="n">
        <f aca="false">CB48</f>
        <v>8017483033.18451</v>
      </c>
      <c r="CD9" s="37" t="n">
        <f aca="false">CC48</f>
        <v>8086710585.4357</v>
      </c>
      <c r="CE9" s="37" t="n">
        <f aca="false">CD48</f>
        <v>8064065823.26934</v>
      </c>
      <c r="CF9" s="37" t="n">
        <f aca="false">CE48</f>
        <v>7995484903.89421</v>
      </c>
      <c r="CG9" s="37" t="n">
        <f aca="false">CF48</f>
        <v>8030530360.99838</v>
      </c>
      <c r="CH9" s="37" t="n">
        <f aca="false">CG48</f>
        <v>7990794551.25851</v>
      </c>
      <c r="CI9" s="37" t="n">
        <f aca="false">CH48</f>
        <v>7962085981.98795</v>
      </c>
      <c r="CJ9" s="37" t="n">
        <f aca="false">CI48</f>
        <v>8207265829.07032</v>
      </c>
      <c r="CK9" s="37" t="n">
        <f aca="false">CJ48</f>
        <v>8027797565.2595</v>
      </c>
      <c r="CL9" s="37" t="n">
        <f aca="false">CK48</f>
        <v>8155557263.85754</v>
      </c>
      <c r="CM9" s="37" t="n">
        <f aca="false">CL48</f>
        <v>8161062033.3679</v>
      </c>
      <c r="CN9" s="37" t="n">
        <f aca="false">CM48</f>
        <v>8117752225.71497</v>
      </c>
      <c r="CO9" s="37" t="n">
        <f aca="false">CN48</f>
        <v>8166785289.05769</v>
      </c>
      <c r="CP9" s="37" t="n">
        <f aca="false">CO48</f>
        <v>8237364013.13717</v>
      </c>
      <c r="CQ9" s="37" t="n">
        <f aca="false">CP48</f>
        <v>8214278295.38825</v>
      </c>
      <c r="CR9" s="37" t="n">
        <f aca="false">CQ48</f>
        <v>8144360356.72514</v>
      </c>
      <c r="CS9" s="37" t="n">
        <f aca="false">CR48</f>
        <v>8180089354.56278</v>
      </c>
      <c r="CT9" s="37" t="n">
        <f aca="false">CS48</f>
        <v>8139578773.69294</v>
      </c>
    </row>
    <row r="10" customFormat="false" ht="15" hidden="false" customHeight="true" outlineLevel="0" collapsed="false">
      <c r="B10" s="15" t="s">
        <v>282</v>
      </c>
      <c r="C10" s="37" t="n">
        <f aca="false">0</f>
        <v>0</v>
      </c>
      <c r="D10" s="37" t="n">
        <f aca="false">C36</f>
        <v>2312497620.18513</v>
      </c>
      <c r="E10" s="37" t="n">
        <f aca="false">D36</f>
        <v>2328326850.43481</v>
      </c>
      <c r="F10" s="37" t="n">
        <f aca="false">E36</f>
        <v>2325436064.96729</v>
      </c>
      <c r="G10" s="37" t="n">
        <f aca="false">F36</f>
        <v>2353803504.14957</v>
      </c>
      <c r="H10" s="37" t="n">
        <f aca="false">G36</f>
        <v>2368257431.48713</v>
      </c>
      <c r="I10" s="37" t="n">
        <f aca="false">H36</f>
        <v>3404099291.13677</v>
      </c>
      <c r="J10" s="37" t="n">
        <f aca="false">I36</f>
        <v>2376929787.88967</v>
      </c>
      <c r="K10" s="37" t="n">
        <f aca="false">J36</f>
        <v>2376929787.88967</v>
      </c>
      <c r="L10" s="37" t="n">
        <f aca="false">K36</f>
        <v>2376929787.88967</v>
      </c>
      <c r="M10" s="37" t="n">
        <f aca="false">L36</f>
        <v>2376929787.88967</v>
      </c>
      <c r="N10" s="37" t="n">
        <f aca="false">M36</f>
        <v>2378475239.58582</v>
      </c>
      <c r="O10" s="37" t="n">
        <f aca="false">N36</f>
        <v>3405644742.83292</v>
      </c>
      <c r="P10" s="37" t="n">
        <f aca="false">O36</f>
        <v>2344496378.25255</v>
      </c>
      <c r="Q10" s="37" t="n">
        <f aca="false">P36</f>
        <v>2329329135.82294</v>
      </c>
      <c r="R10" s="37" t="n">
        <f aca="false">Q36</f>
        <v>2330704438.73505</v>
      </c>
      <c r="S10" s="37" t="n">
        <f aca="false">R36</f>
        <v>2359071877.91732</v>
      </c>
      <c r="T10" s="37" t="n">
        <f aca="false">S36</f>
        <v>2373525805.25488</v>
      </c>
      <c r="U10" s="37" t="n">
        <f aca="false">T36</f>
        <v>3409367664.90453</v>
      </c>
      <c r="V10" s="37" t="n">
        <f aca="false">U36</f>
        <v>2382198161.65742</v>
      </c>
      <c r="W10" s="37" t="n">
        <f aca="false">V36</f>
        <v>2382198161.65742</v>
      </c>
      <c r="X10" s="37" t="n">
        <f aca="false">W36</f>
        <v>2382198161.65742</v>
      </c>
      <c r="Y10" s="37" t="n">
        <f aca="false">X36</f>
        <v>2382198161.65742</v>
      </c>
      <c r="Z10" s="37" t="n">
        <f aca="false">Y36</f>
        <v>2383743613.35357</v>
      </c>
      <c r="AA10" s="37" t="n">
        <f aca="false">Z36</f>
        <v>3410913116.60067</v>
      </c>
      <c r="AB10" s="37" t="n">
        <f aca="false">AA36</f>
        <v>2349764752.02031</v>
      </c>
      <c r="AC10" s="37" t="n">
        <f aca="false">AB36</f>
        <v>2334597509.59069</v>
      </c>
      <c r="AD10" s="37" t="n">
        <f aca="false">AC36</f>
        <v>2335972812.5028</v>
      </c>
      <c r="AE10" s="37" t="n">
        <f aca="false">AD36</f>
        <v>2364340251.68507</v>
      </c>
      <c r="AF10" s="37" t="n">
        <f aca="false">AE36</f>
        <v>2378794179.02264</v>
      </c>
      <c r="AG10" s="37" t="n">
        <f aca="false">AF36</f>
        <v>3414636038.67228</v>
      </c>
      <c r="AH10" s="37" t="n">
        <f aca="false">AG36</f>
        <v>2387466535.42518</v>
      </c>
      <c r="AI10" s="37" t="n">
        <f aca="false">AH36</f>
        <v>2387466535.42518</v>
      </c>
      <c r="AJ10" s="37" t="n">
        <f aca="false">AI36</f>
        <v>2387466535.42518</v>
      </c>
      <c r="AK10" s="37" t="n">
        <f aca="false">AJ36</f>
        <v>2387466535.42518</v>
      </c>
      <c r="AL10" s="37" t="n">
        <f aca="false">AK36</f>
        <v>2389011987.12132</v>
      </c>
      <c r="AM10" s="37" t="n">
        <f aca="false">AL36</f>
        <v>3416181490.36842</v>
      </c>
      <c r="AN10" s="37" t="n">
        <f aca="false">AM36</f>
        <v>2355033125.78806</v>
      </c>
      <c r="AO10" s="37" t="n">
        <f aca="false">AN36</f>
        <v>2339865883.35844</v>
      </c>
      <c r="AP10" s="37" t="n">
        <f aca="false">AO36</f>
        <v>2341241186.27055</v>
      </c>
      <c r="AQ10" s="37" t="n">
        <f aca="false">AP36</f>
        <v>2369608625.45282</v>
      </c>
      <c r="AR10" s="37" t="n">
        <f aca="false">AQ36</f>
        <v>2384062552.79039</v>
      </c>
      <c r="AS10" s="37" t="n">
        <f aca="false">AR36</f>
        <v>3419904412.44003</v>
      </c>
      <c r="AT10" s="37" t="n">
        <f aca="false">AS36</f>
        <v>2392734909.19293</v>
      </c>
      <c r="AU10" s="37" t="n">
        <f aca="false">AT36</f>
        <v>2392734909.19293</v>
      </c>
      <c r="AV10" s="37" t="n">
        <f aca="false">AU36</f>
        <v>2392734909.19293</v>
      </c>
      <c r="AW10" s="37" t="n">
        <f aca="false">AV36</f>
        <v>2392734909.19293</v>
      </c>
      <c r="AX10" s="37" t="n">
        <f aca="false">AW36</f>
        <v>2394280360.88907</v>
      </c>
      <c r="AY10" s="37" t="n">
        <f aca="false">AX36</f>
        <v>3421449864.13618</v>
      </c>
      <c r="AZ10" s="37" t="n">
        <f aca="false">AY36</f>
        <v>2360301499.55581</v>
      </c>
      <c r="BA10" s="37" t="n">
        <f aca="false">AZ36</f>
        <v>2339865883.35844</v>
      </c>
      <c r="BB10" s="37" t="n">
        <f aca="false">BA36</f>
        <v>2341241186.27055</v>
      </c>
      <c r="BC10" s="37" t="n">
        <f aca="false">BB36</f>
        <v>2369608625.45282</v>
      </c>
      <c r="BD10" s="37" t="n">
        <f aca="false">BC36</f>
        <v>2384062552.79039</v>
      </c>
      <c r="BE10" s="37" t="n">
        <f aca="false">BD36</f>
        <v>3419904412.44003</v>
      </c>
      <c r="BF10" s="37" t="n">
        <f aca="false">BE36</f>
        <v>2392734909.19293</v>
      </c>
      <c r="BG10" s="37" t="n">
        <f aca="false">BF36</f>
        <v>2392734909.19293</v>
      </c>
      <c r="BH10" s="37" t="n">
        <f aca="false">BG36</f>
        <v>2392734909.19293</v>
      </c>
      <c r="BI10" s="37" t="n">
        <f aca="false">BH36</f>
        <v>2392734909.19293</v>
      </c>
      <c r="BJ10" s="37" t="n">
        <f aca="false">BI36</f>
        <v>2394280360.88907</v>
      </c>
      <c r="BK10" s="37" t="n">
        <f aca="false">BJ36</f>
        <v>3421449864.13618</v>
      </c>
      <c r="BL10" s="37" t="n">
        <f aca="false">BK36</f>
        <v>2360301499.55581</v>
      </c>
      <c r="BM10" s="37" t="n">
        <f aca="false">BL36</f>
        <v>2339865883.35844</v>
      </c>
      <c r="BN10" s="37" t="n">
        <f aca="false">BM36</f>
        <v>2341241186.27055</v>
      </c>
      <c r="BO10" s="37" t="n">
        <f aca="false">BN36</f>
        <v>2369608625.45282</v>
      </c>
      <c r="BP10" s="37" t="n">
        <f aca="false">BO36</f>
        <v>2384062552.79039</v>
      </c>
      <c r="BQ10" s="37" t="n">
        <f aca="false">BP36</f>
        <v>3419904412.44003</v>
      </c>
      <c r="BR10" s="37" t="n">
        <f aca="false">BQ36</f>
        <v>2392734909.19293</v>
      </c>
      <c r="BS10" s="37" t="n">
        <f aca="false">BR36</f>
        <v>2392734909.19293</v>
      </c>
      <c r="BT10" s="37" t="n">
        <f aca="false">BS36</f>
        <v>2392734909.19293</v>
      </c>
      <c r="BU10" s="37" t="n">
        <f aca="false">BT36</f>
        <v>2392734909.19293</v>
      </c>
      <c r="BV10" s="37" t="n">
        <f aca="false">BU36</f>
        <v>2394280360.88907</v>
      </c>
      <c r="BW10" s="37" t="n">
        <f aca="false">BV36</f>
        <v>3421449864.13618</v>
      </c>
      <c r="BX10" s="37" t="n">
        <f aca="false">BW36</f>
        <v>2360301499.55581</v>
      </c>
      <c r="BY10" s="37" t="n">
        <f aca="false">BX36</f>
        <v>2339865883.35844</v>
      </c>
      <c r="BZ10" s="37" t="n">
        <f aca="false">BY36</f>
        <v>2341241186.27055</v>
      </c>
      <c r="CA10" s="37" t="n">
        <f aca="false">BZ36</f>
        <v>2369608625.45282</v>
      </c>
      <c r="CB10" s="37" t="n">
        <f aca="false">CA36</f>
        <v>2384062552.79039</v>
      </c>
      <c r="CC10" s="37" t="n">
        <f aca="false">CB36</f>
        <v>3419904412.44003</v>
      </c>
      <c r="CD10" s="37" t="n">
        <f aca="false">CC36</f>
        <v>2392734909.19293</v>
      </c>
      <c r="CE10" s="37" t="n">
        <f aca="false">CD36</f>
        <v>2392734909.19293</v>
      </c>
      <c r="CF10" s="37" t="n">
        <f aca="false">CE36</f>
        <v>2392734909.19293</v>
      </c>
      <c r="CG10" s="37" t="n">
        <f aca="false">CF36</f>
        <v>2392734909.19293</v>
      </c>
      <c r="CH10" s="37" t="n">
        <f aca="false">CG36</f>
        <v>2394280360.88907</v>
      </c>
      <c r="CI10" s="37" t="n">
        <f aca="false">CH36</f>
        <v>3421449864.13618</v>
      </c>
      <c r="CJ10" s="37" t="n">
        <f aca="false">CI36</f>
        <v>2360301499.55581</v>
      </c>
      <c r="CK10" s="37" t="n">
        <f aca="false">CJ36</f>
        <v>2339865883.35844</v>
      </c>
      <c r="CL10" s="37" t="n">
        <f aca="false">CK36</f>
        <v>2341241186.27055</v>
      </c>
      <c r="CM10" s="37" t="n">
        <f aca="false">CL36</f>
        <v>2369608625.45282</v>
      </c>
      <c r="CN10" s="37" t="n">
        <f aca="false">CM36</f>
        <v>2384062552.79039</v>
      </c>
      <c r="CO10" s="37" t="n">
        <f aca="false">CN36</f>
        <v>3419904412.44003</v>
      </c>
      <c r="CP10" s="37" t="n">
        <f aca="false">CO36</f>
        <v>2392734909.19293</v>
      </c>
      <c r="CQ10" s="37" t="n">
        <f aca="false">CP36</f>
        <v>2392734909.19293</v>
      </c>
      <c r="CR10" s="37" t="n">
        <f aca="false">CQ36</f>
        <v>2392734909.19293</v>
      </c>
      <c r="CS10" s="37" t="n">
        <f aca="false">CR36</f>
        <v>2392734909.19293</v>
      </c>
      <c r="CT10" s="37" t="n">
        <f aca="false">CS36</f>
        <v>2394280360.88907</v>
      </c>
    </row>
    <row r="11" customFormat="false" ht="15" hidden="false" customHeight="true" outlineLevel="0" collapsed="false">
      <c r="B11" s="38" t="s">
        <v>283</v>
      </c>
      <c r="C11" s="39" t="n">
        <f aca="false">C8+C9+C10</f>
        <v>6600000000</v>
      </c>
      <c r="D11" s="39" t="n">
        <f aca="false">D8+D9+D10</f>
        <v>16471836363.525</v>
      </c>
      <c r="E11" s="39" t="n">
        <f aca="false">E8+E9+E10</f>
        <v>21157860026.4024</v>
      </c>
      <c r="F11" s="39" t="n">
        <f aca="false">F8+F9+F10</f>
        <v>27369327082.1421</v>
      </c>
      <c r="G11" s="39" t="n">
        <f aca="false">G8+G9+G10</f>
        <v>31413958119.3524</v>
      </c>
      <c r="H11" s="39" t="n">
        <f aca="false">H8+H9+H10</f>
        <v>33650206084.5727</v>
      </c>
      <c r="I11" s="39" t="n">
        <f aca="false">I8+I9+I10</f>
        <v>33485024465.0635</v>
      </c>
      <c r="J11" s="39" t="n">
        <f aca="false">J8+J9+J10</f>
        <v>34598035873.8048</v>
      </c>
      <c r="K11" s="39" t="n">
        <f aca="false">K8+K9+K10</f>
        <v>36351776996.4769</v>
      </c>
      <c r="L11" s="39" t="n">
        <f aca="false">L8+L9+L10</f>
        <v>37718837702.6242</v>
      </c>
      <c r="M11" s="39" t="n">
        <f aca="false">M8+M9+M10</f>
        <v>39496734529.9732</v>
      </c>
      <c r="N11" s="39" t="n">
        <f aca="false">N8+N9+N10</f>
        <v>40846875692.5724</v>
      </c>
      <c r="O11" s="39" t="n">
        <f aca="false">O8+O9+O10</f>
        <v>40334262022.6781</v>
      </c>
      <c r="P11" s="39" t="n">
        <f aca="false">P8+P9+P10</f>
        <v>44733770762.2129</v>
      </c>
      <c r="Q11" s="39" t="n">
        <f aca="false">Q8+Q9+Q10</f>
        <v>49749316230.5745</v>
      </c>
      <c r="R11" s="39" t="n">
        <f aca="false">R8+R9+R10</f>
        <v>56661845952.951</v>
      </c>
      <c r="S11" s="39" t="n">
        <f aca="false">S8+S9+S10</f>
        <v>61392961129.1132</v>
      </c>
      <c r="T11" s="39" t="n">
        <f aca="false">T8+T9+T10</f>
        <v>64305555134.6399</v>
      </c>
      <c r="U11" s="39" t="n">
        <f aca="false">U8+U9+U10</f>
        <v>64829191797.7568</v>
      </c>
      <c r="V11" s="39" t="n">
        <f aca="false">V8+V9+V10</f>
        <v>66642603515.8094</v>
      </c>
      <c r="W11" s="39" t="n">
        <f aca="false">W8+W9+W10</f>
        <v>69085988397.9957</v>
      </c>
      <c r="X11" s="39" t="n">
        <f aca="false">X8+X9+X10</f>
        <v>71131914358.6742</v>
      </c>
      <c r="Y11" s="39" t="n">
        <f aca="false">Y8+Y9+Y10</f>
        <v>74851039178.6036</v>
      </c>
      <c r="Z11" s="39" t="n">
        <f aca="false">Z8+Z9+Z10</f>
        <v>78132660477.7098</v>
      </c>
      <c r="AA11" s="39" t="n">
        <f aca="false">AA8+AA9+AA10</f>
        <v>79547219337.9009</v>
      </c>
      <c r="AB11" s="39" t="n">
        <f aca="false">AB8+AB9+AB10</f>
        <v>85934084774.3142</v>
      </c>
      <c r="AC11" s="39" t="n">
        <f aca="false">AC8+AC9+AC10</f>
        <v>92890108724.5811</v>
      </c>
      <c r="AD11" s="39" t="n">
        <f aca="false">AD8+AD9+AD10</f>
        <v>101785477167.021</v>
      </c>
      <c r="AE11" s="39" t="n">
        <f aca="false">AE8+AE9+AE10</f>
        <v>108489415692.676</v>
      </c>
      <c r="AF11" s="39" t="n">
        <f aca="false">AF8+AF9+AF10</f>
        <v>113365239900.881</v>
      </c>
      <c r="AG11" s="39" t="n">
        <f aca="false">AG8+AG9+AG10</f>
        <v>115865835708.848</v>
      </c>
      <c r="AH11" s="39" t="n">
        <f aca="false">AH8+AH9+AH10</f>
        <v>119669089784.968</v>
      </c>
      <c r="AI11" s="39" t="n">
        <f aca="false">AI8+AI9+AI10</f>
        <v>124167032537.476</v>
      </c>
      <c r="AJ11" s="39" t="n">
        <f aca="false">AJ8+AJ9+AJ10</f>
        <v>128465186650.948</v>
      </c>
      <c r="AK11" s="39" t="n">
        <f aca="false">AK8+AK9+AK10</f>
        <v>133200510018.691</v>
      </c>
      <c r="AL11" s="39" t="n">
        <f aca="false">AL8+AL9+AL10</f>
        <v>137487511610.324</v>
      </c>
      <c r="AM11" s="39" t="n">
        <f aca="false">AM8+AM9+AM10</f>
        <v>139902105928.155</v>
      </c>
      <c r="AN11" s="39" t="n">
        <f aca="false">AN8+AN9+AN10</f>
        <v>147349812619.157</v>
      </c>
      <c r="AO11" s="39" t="n">
        <f aca="false">AO8+AO9+AO10</f>
        <v>155317929515.863</v>
      </c>
      <c r="AP11" s="39" t="n">
        <f aca="false">AP8+AP9+AP10</f>
        <v>165268073915.391</v>
      </c>
      <c r="AQ11" s="39" t="n">
        <f aca="false">AQ8+AQ9+AQ10</f>
        <v>173015696431.87</v>
      </c>
      <c r="AR11" s="39" t="n">
        <f aca="false">AR8+AR9+AR10</f>
        <v>178924542469.203</v>
      </c>
      <c r="AS11" s="39" t="n">
        <f aca="false">AS8+AS9+AS10</f>
        <v>182471425203.407</v>
      </c>
      <c r="AT11" s="39" t="n">
        <f aca="false">AT8+AT9+AT10</f>
        <v>187333368476.96</v>
      </c>
      <c r="AU11" s="39" t="n">
        <f aca="false">AU8+AU9+AU10</f>
        <v>192804190383.398</v>
      </c>
      <c r="AV11" s="39" t="n">
        <f aca="false">AV8+AV9+AV10</f>
        <v>197856445357.638</v>
      </c>
      <c r="AW11" s="39" t="n">
        <f aca="false">AW8+AW9+AW10</f>
        <v>203358902914.801</v>
      </c>
      <c r="AX11" s="39" t="n">
        <f aca="false">AX8+AX9+AX10</f>
        <v>208401709871.881</v>
      </c>
      <c r="AY11" s="39" t="n">
        <f aca="false">AY8+AY9+AY10</f>
        <v>211566285102.24</v>
      </c>
      <c r="AZ11" s="39" t="n">
        <f aca="false">AZ8+AZ9+AZ10</f>
        <v>219663279225.795</v>
      </c>
      <c r="BA11" s="39" t="n">
        <f aca="false">BA8+BA9+BA10</f>
        <v>228378547153.139</v>
      </c>
      <c r="BB11" s="39" t="n">
        <f aca="false">BB8+BB9+BB10</f>
        <v>239108612507.977</v>
      </c>
      <c r="BC11" s="39" t="n">
        <f aca="false">BC8+BC9+BC10</f>
        <v>247628561149.108</v>
      </c>
      <c r="BD11" s="39" t="n">
        <f aca="false">BD8+BD9+BD10</f>
        <v>254302574266.717</v>
      </c>
      <c r="BE11" s="39" t="n">
        <f aca="false">BE8+BE9+BE10</f>
        <v>258623960287.761</v>
      </c>
      <c r="BF11" s="39" t="n">
        <f aca="false">BF8+BF9+BF10</f>
        <v>264268859381.144</v>
      </c>
      <c r="BG11" s="39" t="n">
        <f aca="false">BG8+BG9+BG10</f>
        <v>270515037739.235</v>
      </c>
      <c r="BH11" s="39" t="n">
        <f aca="false">BH8+BH9+BH10</f>
        <v>276335044608.816</v>
      </c>
      <c r="BI11" s="39" t="n">
        <f aca="false">BI8+BI9+BI10</f>
        <v>282614590840.465</v>
      </c>
      <c r="BJ11" s="39" t="n">
        <f aca="false">BJ8+BJ9+BJ10</f>
        <v>288426882276.383</v>
      </c>
      <c r="BK11" s="39" t="n">
        <f aca="false">BK8+BK9+BK10</f>
        <v>292362901709.62</v>
      </c>
      <c r="BL11" s="39" t="n">
        <f aca="false">BL8+BL9+BL10</f>
        <v>301102277876.153</v>
      </c>
      <c r="BM11" s="39" t="n">
        <f aca="false">BM8+BM9+BM10</f>
        <v>310416930955.008</v>
      </c>
      <c r="BN11" s="39" t="n">
        <f aca="false">BN8+BN9+BN10</f>
        <v>321774262268.741</v>
      </c>
      <c r="BO11" s="39" t="n">
        <f aca="false">BO8+BO9+BO10</f>
        <v>330913585418.499</v>
      </c>
      <c r="BP11" s="39" t="n">
        <f aca="false">BP8+BP9+BP10</f>
        <v>338199530071.911</v>
      </c>
      <c r="BQ11" s="39" t="n">
        <f aca="false">BQ8+BQ9+BQ10</f>
        <v>343142223602.549</v>
      </c>
      <c r="BR11" s="39" t="n">
        <f aca="false">BR8+BR9+BR10</f>
        <v>349416906234.807</v>
      </c>
      <c r="BS11" s="39" t="n">
        <f aca="false">BS8+BS9+BS10</f>
        <v>356284979669.678</v>
      </c>
      <c r="BT11" s="39" t="n">
        <f aca="false">BT8+BT9+BT10</f>
        <v>362718988017.042</v>
      </c>
      <c r="BU11" s="39" t="n">
        <f aca="false">BU8+BU9+BU10</f>
        <v>369621913836.583</v>
      </c>
      <c r="BV11" s="39" t="n">
        <f aca="false">BV8+BV9+BV10</f>
        <v>376049691596.881</v>
      </c>
      <c r="BW11" s="39" t="n">
        <f aca="false">BW8+BW9+BW10</f>
        <v>380603054423.512</v>
      </c>
      <c r="BX11" s="39" t="n">
        <f aca="false">BX8+BX9+BX10</f>
        <v>390002862917.457</v>
      </c>
      <c r="BY11" s="39" t="n">
        <f aca="false">BY8+BY9+BY10</f>
        <v>399934117589.15</v>
      </c>
      <c r="BZ11" s="39" t="n">
        <f aca="false">BZ8+BZ9+BZ10</f>
        <v>411936479582.415</v>
      </c>
      <c r="CA11" s="39" t="n">
        <f aca="false">CA8+CA9+CA10</f>
        <v>421712792687.287</v>
      </c>
      <c r="CB11" s="39" t="n">
        <f aca="false">CB8+CB9+CB10</f>
        <v>429628143798.858</v>
      </c>
      <c r="CC11" s="39" t="n">
        <f aca="false">CC8+CC9+CC10</f>
        <v>435209807211.048</v>
      </c>
      <c r="CD11" s="39" t="n">
        <f aca="false">CD8+CD9+CD10</f>
        <v>442132105658.892</v>
      </c>
      <c r="CE11" s="39" t="n">
        <f aca="false">CE8+CE9+CE10</f>
        <v>449639757248.385</v>
      </c>
      <c r="CF11" s="39" t="n">
        <f aca="false">CF8+CF9+CF10</f>
        <v>456705300856.239</v>
      </c>
      <c r="CG11" s="39" t="n">
        <f aca="false">CG8+CG9+CG10</f>
        <v>464249327553.463</v>
      </c>
      <c r="CH11" s="39" t="n">
        <f aca="false">CH8+CH9+CH10</f>
        <v>471310163647.101</v>
      </c>
      <c r="CI11" s="39" t="n">
        <f aca="false">CI8+CI9+CI10</f>
        <v>476498482730.615</v>
      </c>
      <c r="CJ11" s="39" t="n">
        <f aca="false">CJ8+CJ9+CJ10</f>
        <v>486577167373.606</v>
      </c>
      <c r="CK11" s="39" t="n">
        <f aca="false">CK8+CK9+CK10</f>
        <v>497142617399.747</v>
      </c>
      <c r="CL11" s="39" t="n">
        <f aca="false">CL8+CL9+CL10</f>
        <v>509808162843.775</v>
      </c>
      <c r="CM11" s="39" t="n">
        <f aca="false">CM8+CM9+CM10</f>
        <v>520239466526.797</v>
      </c>
      <c r="CN11" s="39" t="n">
        <f aca="false">CN8+CN9+CN10</f>
        <v>528802081490.989</v>
      </c>
      <c r="CO11" s="39" t="n">
        <f aca="false">CO8+CO9+CO10</f>
        <v>535040763319.349</v>
      </c>
      <c r="CP11" s="39" t="n">
        <f aca="false">CP8+CP9+CP10</f>
        <v>542628899370.341</v>
      </c>
      <c r="CQ11" s="39" t="n">
        <f aca="false">CQ8+CQ9+CQ10</f>
        <v>550794198828.717</v>
      </c>
      <c r="CR11" s="39" t="n">
        <f aca="false">CR8+CR9+CR10</f>
        <v>558509195239.85</v>
      </c>
      <c r="CS11" s="39" t="n">
        <f aca="false">CS8+CS9+CS10</f>
        <v>566712431555.925</v>
      </c>
      <c r="CT11" s="39" t="n">
        <f aca="false">CT8+CT9+CT10</f>
        <v>574424282567.188</v>
      </c>
    </row>
    <row r="13" customFormat="false" ht="15" hidden="false" customHeight="true" outlineLevel="0" collapsed="false">
      <c r="B13" s="35" t="s">
        <v>284</v>
      </c>
      <c r="C13" s="36"/>
      <c r="D13" s="36"/>
      <c r="E13" s="36"/>
      <c r="F13" s="36"/>
      <c r="G13" s="36"/>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6"/>
      <c r="AG13" s="36"/>
      <c r="AH13" s="36"/>
      <c r="AI13" s="36"/>
      <c r="AJ13" s="36"/>
      <c r="AK13" s="36"/>
      <c r="AL13" s="36"/>
      <c r="AM13" s="36"/>
      <c r="AN13" s="36"/>
      <c r="AO13" s="36"/>
      <c r="AP13" s="36"/>
      <c r="AQ13" s="36"/>
      <c r="AR13" s="36"/>
      <c r="AS13" s="36"/>
      <c r="AT13" s="36"/>
      <c r="AU13" s="36"/>
      <c r="AV13" s="36"/>
      <c r="AW13" s="36"/>
      <c r="AX13" s="36"/>
      <c r="AY13" s="36"/>
      <c r="AZ13" s="36"/>
      <c r="BA13" s="36"/>
      <c r="BB13" s="36"/>
      <c r="BC13" s="36"/>
      <c r="BD13" s="36"/>
      <c r="BE13" s="36"/>
      <c r="BF13" s="36"/>
      <c r="BG13" s="36"/>
      <c r="BH13" s="36"/>
      <c r="BI13" s="36"/>
      <c r="BJ13" s="36"/>
      <c r="BK13" s="36"/>
      <c r="BL13" s="36"/>
      <c r="BM13" s="36"/>
      <c r="BN13" s="36"/>
      <c r="BO13" s="36"/>
      <c r="BP13" s="36"/>
      <c r="BQ13" s="36"/>
      <c r="BR13" s="36"/>
      <c r="BS13" s="36"/>
      <c r="BT13" s="36"/>
      <c r="BU13" s="36"/>
      <c r="BV13" s="36"/>
      <c r="BW13" s="36"/>
      <c r="BX13" s="36"/>
      <c r="BY13" s="36"/>
      <c r="BZ13" s="36"/>
      <c r="CA13" s="36"/>
      <c r="CB13" s="36"/>
      <c r="CC13" s="36"/>
      <c r="CD13" s="36"/>
      <c r="CE13" s="36"/>
      <c r="CF13" s="36"/>
      <c r="CG13" s="36"/>
      <c r="CH13" s="36"/>
      <c r="CI13" s="36"/>
      <c r="CJ13" s="36"/>
      <c r="CK13" s="36"/>
      <c r="CL13" s="36"/>
      <c r="CM13" s="36"/>
      <c r="CN13" s="36"/>
      <c r="CO13" s="36"/>
      <c r="CP13" s="36"/>
      <c r="CQ13" s="36"/>
      <c r="CR13" s="36"/>
      <c r="CS13" s="36"/>
      <c r="CT13" s="36"/>
    </row>
    <row r="14" customFormat="false" ht="15" hidden="false" customHeight="true" outlineLevel="0" collapsed="false">
      <c r="B14" s="15" t="s">
        <v>285</v>
      </c>
      <c r="C14" s="37" t="n">
        <f aca="false">(Recursos!C8+Recursos!C18+Recursos!C10)*Supuestos!$C$74</f>
        <v>20099184741.3029</v>
      </c>
      <c r="D14" s="37" t="n">
        <f aca="false">(Recursos!D8+Recursos!D18+Recursos!D10)*Supuestos!$C$74</f>
        <v>18577284309.7011</v>
      </c>
      <c r="E14" s="37" t="n">
        <f aca="false">(Recursos!E8+Recursos!E18+Recursos!E10)*Supuestos!$C$74</f>
        <v>19463650270.4369</v>
      </c>
      <c r="F14" s="37" t="n">
        <f aca="false">(Recursos!F8+Recursos!F18+Recursos!F10)*Supuestos!$C$74</f>
        <v>19174638939.5509</v>
      </c>
      <c r="G14" s="37" t="n">
        <f aca="false">(Recursos!G8+Recursos!G18+Recursos!G10)*Supuestos!$C$74</f>
        <v>18885627608.6648</v>
      </c>
      <c r="H14" s="37" t="n">
        <f aca="false">(Recursos!H8+Recursos!H18+Recursos!H10)*Supuestos!$C$74</f>
        <v>19174638939.5509</v>
      </c>
      <c r="I14" s="37" t="n">
        <f aca="false">(Recursos!I8+Recursos!I18+Recursos!I10)*Supuestos!$C$74</f>
        <v>19463650270.4369</v>
      </c>
      <c r="J14" s="37" t="n">
        <f aca="false">(Recursos!J8+Recursos!J18+Recursos!J10)*Supuestos!$C$74</f>
        <v>19174638939.5509</v>
      </c>
      <c r="K14" s="37" t="n">
        <f aca="false">(Recursos!K8+Recursos!K18+Recursos!K10)*Supuestos!$C$74</f>
        <v>18885627608.6648</v>
      </c>
      <c r="L14" s="37" t="n">
        <f aca="false">(Recursos!L8+Recursos!L18+Recursos!L10)*Supuestos!$C$74</f>
        <v>19174638939.5509</v>
      </c>
      <c r="M14" s="37" t="n">
        <f aca="false">(Recursos!M8+Recursos!M18+Recursos!M10)*Supuestos!$C$74</f>
        <v>18885627608.6648</v>
      </c>
      <c r="N14" s="37" t="n">
        <f aca="false">(Recursos!N8+Recursos!N18+Recursos!N10)*Supuestos!$C$74</f>
        <v>18981803353.9138</v>
      </c>
      <c r="O14" s="37" t="n">
        <f aca="false">(Recursos!O8+Recursos!O18+Recursos!O10)*Supuestos!$C$74</f>
        <v>20725955130.5531</v>
      </c>
      <c r="P14" s="37" t="n">
        <f aca="false">(Recursos!P8+Recursos!P18+Recursos!P10)*Supuestos!$C$74</f>
        <v>19168718934.8292</v>
      </c>
      <c r="Q14" s="37" t="n">
        <f aca="false">(Recursos!Q8+Recursos!Q18+Recursos!Q10)*Supuestos!$C$74</f>
        <v>20083686443.2111</v>
      </c>
      <c r="R14" s="37" t="n">
        <f aca="false">(Recursos!R8+Recursos!R18+Recursos!R10)*Supuestos!$C$74</f>
        <v>19786210038.5198</v>
      </c>
      <c r="S14" s="37" t="n">
        <f aca="false">(Recursos!S8+Recursos!S18+Recursos!S10)*Supuestos!$C$74</f>
        <v>19488733633.8285</v>
      </c>
      <c r="T14" s="37" t="n">
        <f aca="false">(Recursos!T8+Recursos!T18+Recursos!T10)*Supuestos!$C$74</f>
        <v>19786210038.5198</v>
      </c>
      <c r="U14" s="37" t="n">
        <f aca="false">(Recursos!U8+Recursos!U18+Recursos!U10)*Supuestos!$C$74</f>
        <v>20083686443.2111</v>
      </c>
      <c r="V14" s="37" t="n">
        <f aca="false">(Recursos!V8+Recursos!V18+Recursos!V10)*Supuestos!$C$74</f>
        <v>19786210038.5198</v>
      </c>
      <c r="W14" s="37" t="n">
        <f aca="false">(Recursos!W8+Recursos!W18+Recursos!W10)*Supuestos!$C$74</f>
        <v>19488733633.8285</v>
      </c>
      <c r="X14" s="37" t="n">
        <f aca="false">(Recursos!X8+Recursos!X18+Recursos!X10)*Supuestos!$C$74</f>
        <v>19786210038.5198</v>
      </c>
      <c r="Y14" s="37" t="n">
        <f aca="false">(Recursos!Y8+Recursos!Y18+Recursos!Y10)*Supuestos!$C$74</f>
        <v>19488733633.8285</v>
      </c>
      <c r="Z14" s="37" t="n">
        <f aca="false">(Recursos!Z8+Recursos!Z18+Recursos!Z10)*Supuestos!$C$74</f>
        <v>19581126100.404</v>
      </c>
      <c r="AA14" s="37" t="n">
        <f aca="false">(Recursos!AA8+Recursos!AA18+Recursos!AA10)*Supuestos!$C$74</f>
        <v>21369526849.9862</v>
      </c>
      <c r="AB14" s="37" t="n">
        <f aca="false">(Recursos!AB8+Recursos!AB18+Recursos!AB10)*Supuestos!$C$74</f>
        <v>19776155497.9785</v>
      </c>
      <c r="AC14" s="37" t="n">
        <f aca="false">(Recursos!AC8+Recursos!AC18+Recursos!AC10)*Supuestos!$C$74</f>
        <v>20720502973.7082</v>
      </c>
      <c r="AD14" s="37" t="n">
        <f aca="false">(Recursos!AD8+Recursos!AD18+Recursos!AD10)*Supuestos!$C$74</f>
        <v>20414341253.8918</v>
      </c>
      <c r="AE14" s="37" t="n">
        <f aca="false">(Recursos!AE8+Recursos!AE18+Recursos!AE10)*Supuestos!$C$74</f>
        <v>20108179534.0755</v>
      </c>
      <c r="AF14" s="37" t="n">
        <f aca="false">(Recursos!AF8+Recursos!AF18+Recursos!AF10)*Supuestos!$C$74</f>
        <v>20414341253.8918</v>
      </c>
      <c r="AG14" s="37" t="n">
        <f aca="false">(Recursos!AG8+Recursos!AG18+Recursos!AG10)*Supuestos!$C$74</f>
        <v>20720502973.7082</v>
      </c>
      <c r="AH14" s="37" t="n">
        <f aca="false">(Recursos!AH8+Recursos!AH18+Recursos!AH10)*Supuestos!$C$74</f>
        <v>20414341253.8918</v>
      </c>
      <c r="AI14" s="37" t="n">
        <f aca="false">(Recursos!AI8+Recursos!AI18+Recursos!AI10)*Supuestos!$C$74</f>
        <v>20108179534.0755</v>
      </c>
      <c r="AJ14" s="37" t="n">
        <f aca="false">(Recursos!AJ8+Recursos!AJ18+Recursos!AJ10)*Supuestos!$C$74</f>
        <v>20414341253.8918</v>
      </c>
      <c r="AK14" s="37" t="n">
        <f aca="false">(Recursos!AK8+Recursos!AK18+Recursos!AK10)*Supuestos!$C$74</f>
        <v>20108179534.0755</v>
      </c>
      <c r="AL14" s="37" t="n">
        <f aca="false">(Recursos!AL8+Recursos!AL18+Recursos!AL10)*Supuestos!$C$74</f>
        <v>20196604603.282</v>
      </c>
      <c r="AM14" s="37" t="n">
        <f aca="false">(Recursos!AM8+Recursos!AM18+Recursos!AM10)*Supuestos!$C$74</f>
        <v>22030316822.0387</v>
      </c>
      <c r="AN14" s="37" t="n">
        <f aca="false">(Recursos!AN8+Recursos!AN18+Recursos!AN10)*Supuestos!$C$74</f>
        <v>20399993181.7156</v>
      </c>
      <c r="AO14" s="37" t="n">
        <f aca="false">(Recursos!AO8+Recursos!AO18+Recursos!AO10)*Supuestos!$C$74</f>
        <v>21374518527.1246</v>
      </c>
      <c r="AP14" s="37" t="n">
        <f aca="false">(Recursos!AP8+Recursos!AP18+Recursos!AP10)*Supuestos!$C$74</f>
        <v>21059445880.2962</v>
      </c>
      <c r="AQ14" s="37" t="n">
        <f aca="false">(Recursos!AQ8+Recursos!AQ18+Recursos!AQ10)*Supuestos!$C$74</f>
        <v>20744373233.4678</v>
      </c>
      <c r="AR14" s="37" t="n">
        <f aca="false">(Recursos!AR8+Recursos!AR18+Recursos!AR10)*Supuestos!$C$74</f>
        <v>21059445880.2962</v>
      </c>
      <c r="AS14" s="37" t="n">
        <f aca="false">(Recursos!AS8+Recursos!AS18+Recursos!AS10)*Supuestos!$C$74</f>
        <v>21374518527.1246</v>
      </c>
      <c r="AT14" s="37" t="n">
        <f aca="false">(Recursos!AT8+Recursos!AT18+Recursos!AT10)*Supuestos!$C$74</f>
        <v>21059445880.2962</v>
      </c>
      <c r="AU14" s="37" t="n">
        <f aca="false">(Recursos!AU8+Recursos!AU18+Recursos!AU10)*Supuestos!$C$74</f>
        <v>20744373233.4678</v>
      </c>
      <c r="AV14" s="37" t="n">
        <f aca="false">(Recursos!AV8+Recursos!AV18+Recursos!AV10)*Supuestos!$C$74</f>
        <v>21059445880.2962</v>
      </c>
      <c r="AW14" s="37" t="n">
        <f aca="false">(Recursos!AW8+Recursos!AW18+Recursos!AW10)*Supuestos!$C$74</f>
        <v>20744373233.4678</v>
      </c>
      <c r="AX14" s="37" t="n">
        <f aca="false">(Recursos!AX8+Recursos!AX18+Recursos!AX10)*Supuestos!$C$74</f>
        <v>20828641044.5726</v>
      </c>
      <c r="AY14" s="37" t="n">
        <f aca="false">(Recursos!AY8+Recursos!AY18+Recursos!AY10)*Supuestos!$C$74</f>
        <v>22459908000.0685</v>
      </c>
      <c r="AZ14" s="37" t="n">
        <f aca="false">(Recursos!AZ8+Recursos!AZ18+Recursos!AZ10)*Supuestos!$C$74</f>
        <v>20797793048.7591</v>
      </c>
      <c r="BA14" s="37" t="n">
        <f aca="false">(Recursos!BA8+Recursos!BA18+Recursos!BA10)*Supuestos!$C$74</f>
        <v>21791321638.4035</v>
      </c>
      <c r="BB14" s="37" t="n">
        <f aca="false">(Recursos!BB8+Recursos!BB18+Recursos!BB10)*Supuestos!$C$74</f>
        <v>21470105074.962</v>
      </c>
      <c r="BC14" s="37" t="n">
        <f aca="false">(Recursos!BC8+Recursos!BC18+Recursos!BC10)*Supuestos!$C$74</f>
        <v>21148888511.5204</v>
      </c>
      <c r="BD14" s="37" t="n">
        <f aca="false">(Recursos!BD8+Recursos!BD18+Recursos!BD10)*Supuestos!$C$74</f>
        <v>21470105074.962</v>
      </c>
      <c r="BE14" s="37" t="n">
        <f aca="false">(Recursos!BE8+Recursos!BE18+Recursos!BE10)*Supuestos!$C$74</f>
        <v>21791321638.4035</v>
      </c>
      <c r="BF14" s="37" t="n">
        <f aca="false">(Recursos!BF8+Recursos!BF18+Recursos!BF10)*Supuestos!$C$74</f>
        <v>21470105074.962</v>
      </c>
      <c r="BG14" s="37" t="n">
        <f aca="false">(Recursos!BG8+Recursos!BG18+Recursos!BG10)*Supuestos!$C$74</f>
        <v>21148888511.5204</v>
      </c>
      <c r="BH14" s="37" t="n">
        <f aca="false">(Recursos!BH8+Recursos!BH18+Recursos!BH10)*Supuestos!$C$74</f>
        <v>21470105074.962</v>
      </c>
      <c r="BI14" s="37" t="n">
        <f aca="false">(Recursos!BI8+Recursos!BI18+Recursos!BI10)*Supuestos!$C$74</f>
        <v>21148888511.5204</v>
      </c>
      <c r="BJ14" s="37" t="n">
        <f aca="false">(Recursos!BJ8+Recursos!BJ18+Recursos!BJ10)*Supuestos!$C$74</f>
        <v>21234799544.9418</v>
      </c>
      <c r="BK14" s="37" t="n">
        <f aca="false">(Recursos!BK8+Recursos!BK18+Recursos!BK10)*Supuestos!$C$74</f>
        <v>22897876206.0698</v>
      </c>
      <c r="BL14" s="37" t="n">
        <f aca="false">(Recursos!BL8+Recursos!BL18+Recursos!BL10)*Supuestos!$C$74</f>
        <v>21203350013.2099</v>
      </c>
      <c r="BM14" s="37" t="n">
        <f aca="false">(Recursos!BM8+Recursos!BM18+Recursos!BM10)*Supuestos!$C$74</f>
        <v>22216252410.3524</v>
      </c>
      <c r="BN14" s="37" t="n">
        <f aca="false">(Recursos!BN8+Recursos!BN18+Recursos!BN10)*Supuestos!$C$74</f>
        <v>21888772123.9237</v>
      </c>
      <c r="BO14" s="37" t="n">
        <f aca="false">(Recursos!BO8+Recursos!BO18+Recursos!BO10)*Supuestos!$C$74</f>
        <v>21561291837.4951</v>
      </c>
      <c r="BP14" s="37" t="n">
        <f aca="false">(Recursos!BP8+Recursos!BP18+Recursos!BP10)*Supuestos!$C$74</f>
        <v>21888772123.9237</v>
      </c>
      <c r="BQ14" s="37" t="n">
        <f aca="false">(Recursos!BQ8+Recursos!BQ18+Recursos!BQ10)*Supuestos!$C$74</f>
        <v>22216252410.3524</v>
      </c>
      <c r="BR14" s="37" t="n">
        <f aca="false">(Recursos!BR8+Recursos!BR18+Recursos!BR10)*Supuestos!$C$74</f>
        <v>21888772123.9237</v>
      </c>
      <c r="BS14" s="37" t="n">
        <f aca="false">(Recursos!BS8+Recursos!BS18+Recursos!BS10)*Supuestos!$C$74</f>
        <v>21561291837.4951</v>
      </c>
      <c r="BT14" s="37" t="n">
        <f aca="false">(Recursos!BT8+Recursos!BT18+Recursos!BT10)*Supuestos!$C$74</f>
        <v>21888772123.9237</v>
      </c>
      <c r="BU14" s="37" t="n">
        <f aca="false">(Recursos!BU8+Recursos!BU18+Recursos!BU10)*Supuestos!$C$74</f>
        <v>21561291837.4951</v>
      </c>
      <c r="BV14" s="37" t="n">
        <f aca="false">(Recursos!BV8+Recursos!BV18+Recursos!BV10)*Supuestos!$C$74</f>
        <v>21648878136.0681</v>
      </c>
      <c r="BW14" s="37" t="n">
        <f aca="false">(Recursos!BW8+Recursos!BW18+Recursos!BW10)*Supuestos!$C$74</f>
        <v>23344384792.0882</v>
      </c>
      <c r="BX14" s="37" t="n">
        <f aca="false">(Recursos!BX8+Recursos!BX18+Recursos!BX10)*Supuestos!$C$74</f>
        <v>21616815338.4675</v>
      </c>
      <c r="BY14" s="37" t="n">
        <f aca="false">(Recursos!BY8+Recursos!BY18+Recursos!BY10)*Supuestos!$C$74</f>
        <v>22649469332.3543</v>
      </c>
      <c r="BZ14" s="37" t="n">
        <f aca="false">(Recursos!BZ8+Recursos!BZ18+Recursos!BZ10)*Supuestos!$C$74</f>
        <v>22315603180.3402</v>
      </c>
      <c r="CA14" s="37" t="n">
        <f aca="false">(Recursos!CA8+Recursos!CA18+Recursos!CA10)*Supuestos!$C$74</f>
        <v>21981737028.3262</v>
      </c>
      <c r="CB14" s="37" t="n">
        <f aca="false">(Recursos!CB8+Recursos!CB18+Recursos!CB10)*Supuestos!$C$74</f>
        <v>22315603180.3402</v>
      </c>
      <c r="CC14" s="37" t="n">
        <f aca="false">(Recursos!CC8+Recursos!CC18+Recursos!CC10)*Supuestos!$C$74</f>
        <v>22649469332.3543</v>
      </c>
      <c r="CD14" s="37" t="n">
        <f aca="false">(Recursos!CD8+Recursos!CD18+Recursos!CD10)*Supuestos!$C$74</f>
        <v>22315603180.3402</v>
      </c>
      <c r="CE14" s="37" t="n">
        <f aca="false">(Recursos!CE8+Recursos!CE18+Recursos!CE10)*Supuestos!$C$74</f>
        <v>21981737028.3262</v>
      </c>
      <c r="CF14" s="37" t="n">
        <f aca="false">(Recursos!CF8+Recursos!CF18+Recursos!CF10)*Supuestos!$C$74</f>
        <v>22315603180.3402</v>
      </c>
      <c r="CG14" s="37" t="n">
        <f aca="false">(Recursos!CG8+Recursos!CG18+Recursos!CG10)*Supuestos!$C$74</f>
        <v>21981737028.3262</v>
      </c>
      <c r="CH14" s="37" t="n">
        <f aca="false">(Recursos!CH8+Recursos!CH18+Recursos!CH10)*Supuestos!$C$74</f>
        <v>22071031259.7215</v>
      </c>
      <c r="CI14" s="37" t="n">
        <f aca="false">(Recursos!CI8+Recursos!CI18+Recursos!CI10)*Supuestos!$C$74</f>
        <v>23799600295.5339</v>
      </c>
      <c r="CJ14" s="37" t="n">
        <f aca="false">(Recursos!CJ8+Recursos!CJ18+Recursos!CJ10)*Supuestos!$C$74</f>
        <v>22038343237.5676</v>
      </c>
      <c r="CK14" s="37" t="n">
        <f aca="false">(Recursos!CK8+Recursos!CK18+Recursos!CK10)*Supuestos!$C$74</f>
        <v>23091133984.3352</v>
      </c>
      <c r="CL14" s="37" t="n">
        <f aca="false">(Recursos!CL8+Recursos!CL18+Recursos!CL10)*Supuestos!$C$74</f>
        <v>22750757442.3569</v>
      </c>
      <c r="CM14" s="37" t="n">
        <f aca="false">(Recursos!CM8+Recursos!CM18+Recursos!CM10)*Supuestos!$C$74</f>
        <v>22410380900.3786</v>
      </c>
      <c r="CN14" s="37" t="n">
        <f aca="false">(Recursos!CN8+Recursos!CN18+Recursos!CN10)*Supuestos!$C$74</f>
        <v>22750757442.3569</v>
      </c>
      <c r="CO14" s="37" t="n">
        <f aca="false">(Recursos!CO8+Recursos!CO18+Recursos!CO10)*Supuestos!$C$74</f>
        <v>23091133984.3352</v>
      </c>
      <c r="CP14" s="37" t="n">
        <f aca="false">(Recursos!CP8+Recursos!CP18+Recursos!CP10)*Supuestos!$C$74</f>
        <v>22750757442.3569</v>
      </c>
      <c r="CQ14" s="37" t="n">
        <f aca="false">(Recursos!CQ8+Recursos!CQ18+Recursos!CQ10)*Supuestos!$C$74</f>
        <v>22410380900.3786</v>
      </c>
      <c r="CR14" s="37" t="n">
        <f aca="false">(Recursos!CR8+Recursos!CR18+Recursos!CR10)*Supuestos!$C$74</f>
        <v>22750757442.3569</v>
      </c>
      <c r="CS14" s="37" t="n">
        <f aca="false">(Recursos!CS8+Recursos!CS18+Recursos!CS10)*Supuestos!$C$74</f>
        <v>22410380900.3786</v>
      </c>
      <c r="CT14" s="37" t="n">
        <f aca="false">(Recursos!CT8+Recursos!CT18+Recursos!CT10)*Supuestos!$C$74</f>
        <v>22501416369.286</v>
      </c>
    </row>
    <row r="15" customFormat="false" ht="15" hidden="false" customHeight="true" outlineLevel="0" collapsed="false">
      <c r="B15" s="15" t="s">
        <v>286</v>
      </c>
      <c r="C15" s="37" t="n">
        <f aca="false">(Recursos!C8+Recursos!C18+Recursos!C10)*(1-Supuestos!$C$74)</f>
        <v>6894079751.44879</v>
      </c>
      <c r="D15" s="37" t="n">
        <f aca="false">(Recursos!D8+Recursos!D18+Recursos!D10)*(1-Supuestos!$C$74)</f>
        <v>6372063406.79247</v>
      </c>
      <c r="E15" s="37" t="n">
        <f aca="false">(Recursos!E8+Recursos!E18+Recursos!E10)*(1-Supuestos!$C$74)</f>
        <v>6676089550.18747</v>
      </c>
      <c r="F15" s="37" t="n">
        <f aca="false">(Recursos!F8+Recursos!F18+Recursos!F10)*(1-Supuestos!$C$74)</f>
        <v>6576957809.7788</v>
      </c>
      <c r="G15" s="37" t="n">
        <f aca="false">(Recursos!G8+Recursos!G18+Recursos!G10)*(1-Supuestos!$C$74)</f>
        <v>6477826069.37012</v>
      </c>
      <c r="H15" s="37" t="n">
        <f aca="false">(Recursos!H8+Recursos!H18+Recursos!H10)*(1-Supuestos!$C$74)</f>
        <v>6576957809.7788</v>
      </c>
      <c r="I15" s="37" t="n">
        <f aca="false">(Recursos!I8+Recursos!I18+Recursos!I10)*(1-Supuestos!$C$74)</f>
        <v>6676089550.18747</v>
      </c>
      <c r="J15" s="37" t="n">
        <f aca="false">(Recursos!J8+Recursos!J18+Recursos!J10)*(1-Supuestos!$C$74)</f>
        <v>6576957809.7788</v>
      </c>
      <c r="K15" s="37" t="n">
        <f aca="false">(Recursos!K8+Recursos!K18+Recursos!K10)*(1-Supuestos!$C$74)</f>
        <v>6477826069.37012</v>
      </c>
      <c r="L15" s="37" t="n">
        <f aca="false">(Recursos!L8+Recursos!L18+Recursos!L10)*(1-Supuestos!$C$74)</f>
        <v>6576957809.7788</v>
      </c>
      <c r="M15" s="37" t="n">
        <f aca="false">(Recursos!M8+Recursos!M18+Recursos!M10)*(1-Supuestos!$C$74)</f>
        <v>6477826069.37012</v>
      </c>
      <c r="N15" s="37" t="n">
        <f aca="false">(Recursos!N8+Recursos!N18+Recursos!N10)*(1-Supuestos!$C$74)</f>
        <v>6510814634.15202</v>
      </c>
      <c r="O15" s="37" t="n">
        <f aca="false">(Recursos!O8+Recursos!O18+Recursos!O10)*(1-Supuestos!$C$74)</f>
        <v>7109063846.82146</v>
      </c>
      <c r="P15" s="37" t="n">
        <f aca="false">(Recursos!P8+Recursos!P18+Recursos!P10)*(1-Supuestos!$C$74)</f>
        <v>6574927230.66798</v>
      </c>
      <c r="Q15" s="37" t="n">
        <f aca="false">(Recursos!Q8+Recursos!Q18+Recursos!Q10)*(1-Supuestos!$C$74)</f>
        <v>6888763789.41193</v>
      </c>
      <c r="R15" s="37" t="n">
        <f aca="false">(Recursos!R8+Recursos!R18+Recursos!R10)*(1-Supuestos!$C$74)</f>
        <v>6786728503.67709</v>
      </c>
      <c r="S15" s="37" t="n">
        <f aca="false">(Recursos!S8+Recursos!S18+Recursos!S10)*(1-Supuestos!$C$74)</f>
        <v>6684693217.94226</v>
      </c>
      <c r="T15" s="37" t="n">
        <f aca="false">(Recursos!T8+Recursos!T18+Recursos!T10)*(1-Supuestos!$C$74)</f>
        <v>6786728503.67709</v>
      </c>
      <c r="U15" s="37" t="n">
        <f aca="false">(Recursos!U8+Recursos!U18+Recursos!U10)*(1-Supuestos!$C$74)</f>
        <v>6888763789.41193</v>
      </c>
      <c r="V15" s="37" t="n">
        <f aca="false">(Recursos!V8+Recursos!V18+Recursos!V10)*(1-Supuestos!$C$74)</f>
        <v>6786728503.67709</v>
      </c>
      <c r="W15" s="37" t="n">
        <f aca="false">(Recursos!W8+Recursos!W18+Recursos!W10)*(1-Supuestos!$C$74)</f>
        <v>6684693217.94226</v>
      </c>
      <c r="X15" s="37" t="n">
        <f aca="false">(Recursos!X8+Recursos!X18+Recursos!X10)*(1-Supuestos!$C$74)</f>
        <v>6786728503.67709</v>
      </c>
      <c r="Y15" s="37" t="n">
        <f aca="false">(Recursos!Y8+Recursos!Y18+Recursos!Y10)*(1-Supuestos!$C$74)</f>
        <v>6684693217.94226</v>
      </c>
      <c r="Z15" s="37" t="n">
        <f aca="false">(Recursos!Z8+Recursos!Z18+Recursos!Z10)*(1-Supuestos!$C$74)</f>
        <v>6716384106.96104</v>
      </c>
      <c r="AA15" s="37" t="n">
        <f aca="false">(Recursos!AA8+Recursos!AA18+Recursos!AA10)*(1-Supuestos!$C$74)</f>
        <v>7329810848.08819</v>
      </c>
      <c r="AB15" s="37" t="n">
        <f aca="false">(Recursos!AB8+Recursos!AB18+Recursos!AB10)*(1-Supuestos!$C$74)</f>
        <v>6783279766.5642</v>
      </c>
      <c r="AC15" s="37" t="n">
        <f aca="false">(Recursos!AC8+Recursos!AC18+Recursos!AC10)*(1-Supuestos!$C$74)</f>
        <v>7107193740.91468</v>
      </c>
      <c r="AD15" s="37" t="n">
        <f aca="false">(Recursos!AD8+Recursos!AD18+Recursos!AD10)*(1-Supuestos!$C$74)</f>
        <v>7002179366.43026</v>
      </c>
      <c r="AE15" s="37" t="n">
        <f aca="false">(Recursos!AE8+Recursos!AE18+Recursos!AE10)*(1-Supuestos!$C$74)</f>
        <v>6897164991.94585</v>
      </c>
      <c r="AF15" s="37" t="n">
        <f aca="false">(Recursos!AF8+Recursos!AF18+Recursos!AF10)*(1-Supuestos!$C$74)</f>
        <v>7002179366.43026</v>
      </c>
      <c r="AG15" s="37" t="n">
        <f aca="false">(Recursos!AG8+Recursos!AG18+Recursos!AG10)*(1-Supuestos!$C$74)</f>
        <v>7107193740.91468</v>
      </c>
      <c r="AH15" s="37" t="n">
        <f aca="false">(Recursos!AH8+Recursos!AH18+Recursos!AH10)*(1-Supuestos!$C$74)</f>
        <v>7002179366.43026</v>
      </c>
      <c r="AI15" s="37" t="n">
        <f aca="false">(Recursos!AI8+Recursos!AI18+Recursos!AI10)*(1-Supuestos!$C$74)</f>
        <v>6897164991.94585</v>
      </c>
      <c r="AJ15" s="37" t="n">
        <f aca="false">(Recursos!AJ8+Recursos!AJ18+Recursos!AJ10)*(1-Supuestos!$C$74)</f>
        <v>7002179366.43026</v>
      </c>
      <c r="AK15" s="37" t="n">
        <f aca="false">(Recursos!AK8+Recursos!AK18+Recursos!AK10)*(1-Supuestos!$C$74)</f>
        <v>6897164991.94585</v>
      </c>
      <c r="AL15" s="37" t="n">
        <f aca="false">(Recursos!AL8+Recursos!AL18+Recursos!AL10)*(1-Supuestos!$C$74)</f>
        <v>6927495051.94498</v>
      </c>
      <c r="AM15" s="37" t="n">
        <f aca="false">(Recursos!AM8+Recursos!AM18+Recursos!AM10)*(1-Supuestos!$C$74)</f>
        <v>7556463760.87656</v>
      </c>
      <c r="AN15" s="37" t="n">
        <f aca="false">(Recursos!AN8+Recursos!AN18+Recursos!AN10)*(1-Supuestos!$C$74)</f>
        <v>6997257935.28091</v>
      </c>
      <c r="AO15" s="37" t="n">
        <f aca="false">(Recursos!AO8+Recursos!AO18+Recursos!AO10)*(1-Supuestos!$C$74)</f>
        <v>7331523008.09511</v>
      </c>
      <c r="AP15" s="37" t="n">
        <f aca="false">(Recursos!AP8+Recursos!AP18+Recursos!AP10)*(1-Supuestos!$C$74)</f>
        <v>7223452159.31728</v>
      </c>
      <c r="AQ15" s="37" t="n">
        <f aca="false">(Recursos!AQ8+Recursos!AQ18+Recursos!AQ10)*(1-Supuestos!$C$74)</f>
        <v>7115381310.53944</v>
      </c>
      <c r="AR15" s="37" t="n">
        <f aca="false">(Recursos!AR8+Recursos!AR18+Recursos!AR10)*(1-Supuestos!$C$74)</f>
        <v>7223452159.31728</v>
      </c>
      <c r="AS15" s="37" t="n">
        <f aca="false">(Recursos!AS8+Recursos!AS18+Recursos!AS10)*(1-Supuestos!$C$74)</f>
        <v>7331523008.09511</v>
      </c>
      <c r="AT15" s="37" t="n">
        <f aca="false">(Recursos!AT8+Recursos!AT18+Recursos!AT10)*(1-Supuestos!$C$74)</f>
        <v>7223452159.31728</v>
      </c>
      <c r="AU15" s="37" t="n">
        <f aca="false">(Recursos!AU8+Recursos!AU18+Recursos!AU10)*(1-Supuestos!$C$74)</f>
        <v>7115381310.53944</v>
      </c>
      <c r="AV15" s="37" t="n">
        <f aca="false">(Recursos!AV8+Recursos!AV18+Recursos!AV10)*(1-Supuestos!$C$74)</f>
        <v>7223452159.31728</v>
      </c>
      <c r="AW15" s="37" t="n">
        <f aca="false">(Recursos!AW8+Recursos!AW18+Recursos!AW10)*(1-Supuestos!$C$74)</f>
        <v>7115381310.53944</v>
      </c>
      <c r="AX15" s="37" t="n">
        <f aca="false">(Recursos!AX8+Recursos!AX18+Recursos!AX10)*(1-Supuestos!$C$74)</f>
        <v>7144285418.72662</v>
      </c>
      <c r="AY15" s="37" t="n">
        <f aca="false">(Recursos!AY8+Recursos!AY18+Recursos!AY10)*(1-Supuestos!$C$74)</f>
        <v>7703814804.21366</v>
      </c>
      <c r="AZ15" s="37" t="n">
        <f aca="false">(Recursos!AZ8+Recursos!AZ18+Recursos!AZ10)*(1-Supuestos!$C$74)</f>
        <v>7133704465.01889</v>
      </c>
      <c r="BA15" s="37" t="n">
        <f aca="false">(Recursos!BA8+Recursos!BA18+Recursos!BA10)*(1-Supuestos!$C$74)</f>
        <v>7474487706.75297</v>
      </c>
      <c r="BB15" s="37" t="n">
        <f aca="false">(Recursos!BB8+Recursos!BB18+Recursos!BB10)*(1-Supuestos!$C$74)</f>
        <v>7364309476.42397</v>
      </c>
      <c r="BC15" s="37" t="n">
        <f aca="false">(Recursos!BC8+Recursos!BC18+Recursos!BC10)*(1-Supuestos!$C$74)</f>
        <v>7254131246.09496</v>
      </c>
      <c r="BD15" s="37" t="n">
        <f aca="false">(Recursos!BD8+Recursos!BD18+Recursos!BD10)*(1-Supuestos!$C$74)</f>
        <v>7364309476.42397</v>
      </c>
      <c r="BE15" s="37" t="n">
        <f aca="false">(Recursos!BE8+Recursos!BE18+Recursos!BE10)*(1-Supuestos!$C$74)</f>
        <v>7474487706.75297</v>
      </c>
      <c r="BF15" s="37" t="n">
        <f aca="false">(Recursos!BF8+Recursos!BF18+Recursos!BF10)*(1-Supuestos!$C$74)</f>
        <v>7364309476.42397</v>
      </c>
      <c r="BG15" s="37" t="n">
        <f aca="false">(Recursos!BG8+Recursos!BG18+Recursos!BG10)*(1-Supuestos!$C$74)</f>
        <v>7254131246.09496</v>
      </c>
      <c r="BH15" s="37" t="n">
        <f aca="false">(Recursos!BH8+Recursos!BH18+Recursos!BH10)*(1-Supuestos!$C$74)</f>
        <v>7364309476.42397</v>
      </c>
      <c r="BI15" s="37" t="n">
        <f aca="false">(Recursos!BI8+Recursos!BI18+Recursos!BI10)*(1-Supuestos!$C$74)</f>
        <v>7254131246.09496</v>
      </c>
      <c r="BJ15" s="37" t="n">
        <f aca="false">(Recursos!BJ8+Recursos!BJ18+Recursos!BJ10)*(1-Supuestos!$C$74)</f>
        <v>7283598984.39179</v>
      </c>
      <c r="BK15" s="37" t="n">
        <f aca="false">(Recursos!BK8+Recursos!BK18+Recursos!BK10)*(1-Supuestos!$C$74)</f>
        <v>7854039192.89582</v>
      </c>
      <c r="BL15" s="37" t="n">
        <f aca="false">(Recursos!BL8+Recursos!BL18+Recursos!BL10)*(1-Supuestos!$C$74)</f>
        <v>7272811702.08676</v>
      </c>
      <c r="BM15" s="37" t="n">
        <f aca="false">(Recursos!BM8+Recursos!BM18+Recursos!BM10)*(1-Supuestos!$C$74)</f>
        <v>7620240217.03465</v>
      </c>
      <c r="BN15" s="37" t="n">
        <f aca="false">(Recursos!BN8+Recursos!BN18+Recursos!BN10)*(1-Supuestos!$C$74)</f>
        <v>7507913511.21423</v>
      </c>
      <c r="BO15" s="37" t="n">
        <f aca="false">(Recursos!BO8+Recursos!BO18+Recursos!BO10)*(1-Supuestos!$C$74)</f>
        <v>7395586805.39382</v>
      </c>
      <c r="BP15" s="37" t="n">
        <f aca="false">(Recursos!BP8+Recursos!BP18+Recursos!BP10)*(1-Supuestos!$C$74)</f>
        <v>7507913511.21423</v>
      </c>
      <c r="BQ15" s="37" t="n">
        <f aca="false">(Recursos!BQ8+Recursos!BQ18+Recursos!BQ10)*(1-Supuestos!$C$74)</f>
        <v>7620240217.03465</v>
      </c>
      <c r="BR15" s="37" t="n">
        <f aca="false">(Recursos!BR8+Recursos!BR18+Recursos!BR10)*(1-Supuestos!$C$74)</f>
        <v>7507913511.21423</v>
      </c>
      <c r="BS15" s="37" t="n">
        <f aca="false">(Recursos!BS8+Recursos!BS18+Recursos!BS10)*(1-Supuestos!$C$74)</f>
        <v>7395586805.39382</v>
      </c>
      <c r="BT15" s="37" t="n">
        <f aca="false">(Recursos!BT8+Recursos!BT18+Recursos!BT10)*(1-Supuestos!$C$74)</f>
        <v>7507913511.21423</v>
      </c>
      <c r="BU15" s="37" t="n">
        <f aca="false">(Recursos!BU8+Recursos!BU18+Recursos!BU10)*(1-Supuestos!$C$74)</f>
        <v>7395586805.39382</v>
      </c>
      <c r="BV15" s="37" t="n">
        <f aca="false">(Recursos!BV8+Recursos!BV18+Recursos!BV10)*(1-Supuestos!$C$74)</f>
        <v>7425629164.58743</v>
      </c>
      <c r="BW15" s="37" t="n">
        <f aca="false">(Recursos!BW8+Recursos!BW18+Recursos!BW10)*(1-Supuestos!$C$74)</f>
        <v>8007192957.15729</v>
      </c>
      <c r="BX15" s="37" t="n">
        <f aca="false">(Recursos!BX8+Recursos!BX18+Recursos!BX10)*(1-Supuestos!$C$74)</f>
        <v>7414631530.27745</v>
      </c>
      <c r="BY15" s="37" t="n">
        <f aca="false">(Recursos!BY8+Recursos!BY18+Recursos!BY10)*(1-Supuestos!$C$74)</f>
        <v>7768834901.26683</v>
      </c>
      <c r="BZ15" s="37" t="n">
        <f aca="false">(Recursos!BZ8+Recursos!BZ18+Recursos!BZ10)*(1-Supuestos!$C$74)</f>
        <v>7654317824.68291</v>
      </c>
      <c r="CA15" s="37" t="n">
        <f aca="false">(Recursos!CA8+Recursos!CA18+Recursos!CA10)*(1-Supuestos!$C$74)</f>
        <v>7539800748.099</v>
      </c>
      <c r="CB15" s="37" t="n">
        <f aca="false">(Recursos!CB8+Recursos!CB18+Recursos!CB10)*(1-Supuestos!$C$74)</f>
        <v>7654317824.68291</v>
      </c>
      <c r="CC15" s="37" t="n">
        <f aca="false">(Recursos!CC8+Recursos!CC18+Recursos!CC10)*(1-Supuestos!$C$74)</f>
        <v>7768834901.26683</v>
      </c>
      <c r="CD15" s="37" t="n">
        <f aca="false">(Recursos!CD8+Recursos!CD18+Recursos!CD10)*(1-Supuestos!$C$74)</f>
        <v>7654317824.68291</v>
      </c>
      <c r="CE15" s="37" t="n">
        <f aca="false">(Recursos!CE8+Recursos!CE18+Recursos!CE10)*(1-Supuestos!$C$74)</f>
        <v>7539800748.099</v>
      </c>
      <c r="CF15" s="37" t="n">
        <f aca="false">(Recursos!CF8+Recursos!CF18+Recursos!CF10)*(1-Supuestos!$C$74)</f>
        <v>7654317824.68291</v>
      </c>
      <c r="CG15" s="37" t="n">
        <f aca="false">(Recursos!CG8+Recursos!CG18+Recursos!CG10)*(1-Supuestos!$C$74)</f>
        <v>7539800748.099</v>
      </c>
      <c r="CH15" s="37" t="n">
        <f aca="false">(Recursos!CH8+Recursos!CH18+Recursos!CH10)*(1-Supuestos!$C$74)</f>
        <v>7570428933.29688</v>
      </c>
      <c r="CI15" s="37" t="n">
        <f aca="false">(Recursos!CI8+Recursos!CI18+Recursos!CI10)*(1-Supuestos!$C$74)</f>
        <v>8163333219.82186</v>
      </c>
      <c r="CJ15" s="37" t="n">
        <f aca="false">(Recursos!CJ8+Recursos!CJ18+Recursos!CJ10)*(1-Supuestos!$C$74)</f>
        <v>7559216845.11786</v>
      </c>
      <c r="CK15" s="37" t="n">
        <f aca="false">(Recursos!CK8+Recursos!CK18+Recursos!CK10)*(1-Supuestos!$C$74)</f>
        <v>7920327181.84153</v>
      </c>
      <c r="CL15" s="37" t="n">
        <f aca="false">(Recursos!CL8+Recursos!CL18+Recursos!CL10)*(1-Supuestos!$C$74)</f>
        <v>7803577022.26423</v>
      </c>
      <c r="CM15" s="37" t="n">
        <f aca="false">(Recursos!CM8+Recursos!CM18+Recursos!CM10)*(1-Supuestos!$C$74)</f>
        <v>7686826862.68693</v>
      </c>
      <c r="CN15" s="37" t="n">
        <f aca="false">(Recursos!CN8+Recursos!CN18+Recursos!CN10)*(1-Supuestos!$C$74)</f>
        <v>7803577022.26423</v>
      </c>
      <c r="CO15" s="37" t="n">
        <f aca="false">(Recursos!CO8+Recursos!CO18+Recursos!CO10)*(1-Supuestos!$C$74)</f>
        <v>7920327181.84153</v>
      </c>
      <c r="CP15" s="37" t="n">
        <f aca="false">(Recursos!CP8+Recursos!CP18+Recursos!CP10)*(1-Supuestos!$C$74)</f>
        <v>7803577022.26423</v>
      </c>
      <c r="CQ15" s="37" t="n">
        <f aca="false">(Recursos!CQ8+Recursos!CQ18+Recursos!CQ10)*(1-Supuestos!$C$74)</f>
        <v>7686826862.68693</v>
      </c>
      <c r="CR15" s="37" t="n">
        <f aca="false">(Recursos!CR8+Recursos!CR18+Recursos!CR10)*(1-Supuestos!$C$74)</f>
        <v>7803577022.26423</v>
      </c>
      <c r="CS15" s="37" t="n">
        <f aca="false">(Recursos!CS8+Recursos!CS18+Recursos!CS10)*(1-Supuestos!$C$74)</f>
        <v>7686826862.68693</v>
      </c>
      <c r="CT15" s="37" t="n">
        <f aca="false">(Recursos!CT8+Recursos!CT18+Recursos!CT10)*(1-Supuestos!$C$74)</f>
        <v>7718052297.49617</v>
      </c>
    </row>
    <row r="16" customFormat="false" ht="15" hidden="false" customHeight="true" outlineLevel="0" collapsed="false">
      <c r="B16" s="15" t="s">
        <v>287</v>
      </c>
      <c r="C16" s="37" t="n">
        <f aca="false">Recursos!C11*Supuestos!$C$75</f>
        <v>567077267.085864</v>
      </c>
      <c r="D16" s="37" t="n">
        <f aca="false">Recursos!D11*Supuestos!$C$75</f>
        <v>567077267.085864</v>
      </c>
      <c r="E16" s="37" t="n">
        <f aca="false">Recursos!E11*Supuestos!$C$75</f>
        <v>567077267.085864</v>
      </c>
      <c r="F16" s="37" t="n">
        <f aca="false">Recursos!F11*Supuestos!$C$75</f>
        <v>567077267.085864</v>
      </c>
      <c r="G16" s="37" t="n">
        <f aca="false">Recursos!G11*Supuestos!$C$75</f>
        <v>567077267.085864</v>
      </c>
      <c r="H16" s="37" t="n">
        <f aca="false">Recursos!H11*Supuestos!$C$75</f>
        <v>567077267.085864</v>
      </c>
      <c r="I16" s="37" t="n">
        <f aca="false">Recursos!I11*Supuestos!$C$75</f>
        <v>567077267.085864</v>
      </c>
      <c r="J16" s="37" t="n">
        <f aca="false">Recursos!J11*Supuestos!$C$75</f>
        <v>567077267.085864</v>
      </c>
      <c r="K16" s="37" t="n">
        <f aca="false">Recursos!K11*Supuestos!$C$75</f>
        <v>567077267.085864</v>
      </c>
      <c r="L16" s="37" t="n">
        <f aca="false">Recursos!L11*Supuestos!$C$75</f>
        <v>567077267.085864</v>
      </c>
      <c r="M16" s="37" t="n">
        <f aca="false">Recursos!M11*Supuestos!$C$75</f>
        <v>567077267.085864</v>
      </c>
      <c r="N16" s="37" t="n">
        <f aca="false">Recursos!N11*Supuestos!$C$75</f>
        <v>567077267.085864</v>
      </c>
      <c r="O16" s="37" t="n">
        <f aca="false">Recursos!O11*Supuestos!$C$75</f>
        <v>554624250.300658</v>
      </c>
      <c r="P16" s="37" t="n">
        <f aca="false">Recursos!P11*Supuestos!$C$75</f>
        <v>554624250.300658</v>
      </c>
      <c r="Q16" s="37" t="n">
        <f aca="false">Recursos!Q11*Supuestos!$C$75</f>
        <v>554624250.300658</v>
      </c>
      <c r="R16" s="37" t="n">
        <f aca="false">Recursos!R11*Supuestos!$C$75</f>
        <v>554624250.300658</v>
      </c>
      <c r="S16" s="37" t="n">
        <f aca="false">Recursos!S11*Supuestos!$C$75</f>
        <v>554624250.300658</v>
      </c>
      <c r="T16" s="37" t="n">
        <f aca="false">Recursos!T11*Supuestos!$C$75</f>
        <v>554624250.300658</v>
      </c>
      <c r="U16" s="37" t="n">
        <f aca="false">Recursos!U11*Supuestos!$C$75</f>
        <v>554624250.300658</v>
      </c>
      <c r="V16" s="37" t="n">
        <f aca="false">Recursos!V11*Supuestos!$C$75</f>
        <v>554624250.300658</v>
      </c>
      <c r="W16" s="37" t="n">
        <f aca="false">Recursos!W11*Supuestos!$C$75</f>
        <v>554624250.300658</v>
      </c>
      <c r="X16" s="37" t="n">
        <f aca="false">Recursos!X11*Supuestos!$C$75</f>
        <v>554624250.300658</v>
      </c>
      <c r="Y16" s="37" t="n">
        <f aca="false">Recursos!Y11*Supuestos!$C$75</f>
        <v>554624250.300658</v>
      </c>
      <c r="Z16" s="37" t="n">
        <f aca="false">Recursos!Z11*Supuestos!$C$75</f>
        <v>554624250.300658</v>
      </c>
      <c r="AA16" s="37" t="n">
        <f aca="false">Recursos!AA11*Supuestos!$C$75</f>
        <v>542444701.764056</v>
      </c>
      <c r="AB16" s="37" t="n">
        <f aca="false">Recursos!AB11*Supuestos!$C$75</f>
        <v>542444701.764056</v>
      </c>
      <c r="AC16" s="37" t="n">
        <f aca="false">Recursos!AC11*Supuestos!$C$75</f>
        <v>542444701.764056</v>
      </c>
      <c r="AD16" s="37" t="n">
        <f aca="false">Recursos!AD11*Supuestos!$C$75</f>
        <v>542444701.764056</v>
      </c>
      <c r="AE16" s="37" t="n">
        <f aca="false">Recursos!AE11*Supuestos!$C$75</f>
        <v>542444701.764056</v>
      </c>
      <c r="AF16" s="37" t="n">
        <f aca="false">Recursos!AF11*Supuestos!$C$75</f>
        <v>542444701.764056</v>
      </c>
      <c r="AG16" s="37" t="n">
        <f aca="false">Recursos!AG11*Supuestos!$C$75</f>
        <v>542444701.764056</v>
      </c>
      <c r="AH16" s="37" t="n">
        <f aca="false">Recursos!AH11*Supuestos!$C$75</f>
        <v>542444701.764056</v>
      </c>
      <c r="AI16" s="37" t="n">
        <f aca="false">Recursos!AI11*Supuestos!$C$75</f>
        <v>542444701.764056</v>
      </c>
      <c r="AJ16" s="37" t="n">
        <f aca="false">Recursos!AJ11*Supuestos!$C$75</f>
        <v>542444701.764056</v>
      </c>
      <c r="AK16" s="37" t="n">
        <f aca="false">Recursos!AK11*Supuestos!$C$75</f>
        <v>542444701.764056</v>
      </c>
      <c r="AL16" s="37" t="n">
        <f aca="false">Recursos!AL11*Supuestos!$C$75</f>
        <v>542444701.764056</v>
      </c>
      <c r="AM16" s="37" t="n">
        <f aca="false">Recursos!AM11*Supuestos!$C$75</f>
        <v>530532616.113317</v>
      </c>
      <c r="AN16" s="37" t="n">
        <f aca="false">Recursos!AN11*Supuestos!$C$75</f>
        <v>530532616.113317</v>
      </c>
      <c r="AO16" s="37" t="n">
        <f aca="false">Recursos!AO11*Supuestos!$C$75</f>
        <v>530532616.113317</v>
      </c>
      <c r="AP16" s="37" t="n">
        <f aca="false">Recursos!AP11*Supuestos!$C$75</f>
        <v>530532616.113317</v>
      </c>
      <c r="AQ16" s="37" t="n">
        <f aca="false">Recursos!AQ11*Supuestos!$C$75</f>
        <v>530532616.113317</v>
      </c>
      <c r="AR16" s="37" t="n">
        <f aca="false">Recursos!AR11*Supuestos!$C$75</f>
        <v>530532616.113317</v>
      </c>
      <c r="AS16" s="37" t="n">
        <f aca="false">Recursos!AS11*Supuestos!$C$75</f>
        <v>530532616.113317</v>
      </c>
      <c r="AT16" s="37" t="n">
        <f aca="false">Recursos!AT11*Supuestos!$C$75</f>
        <v>530532616.113317</v>
      </c>
      <c r="AU16" s="37" t="n">
        <f aca="false">Recursos!AU11*Supuestos!$C$75</f>
        <v>530532616.113317</v>
      </c>
      <c r="AV16" s="37" t="n">
        <f aca="false">Recursos!AV11*Supuestos!$C$75</f>
        <v>530532616.113317</v>
      </c>
      <c r="AW16" s="37" t="n">
        <f aca="false">Recursos!AW11*Supuestos!$C$75</f>
        <v>530532616.113317</v>
      </c>
      <c r="AX16" s="37" t="n">
        <f aca="false">Recursos!AX11*Supuestos!$C$75</f>
        <v>530532616.113317</v>
      </c>
      <c r="AY16" s="37" t="n">
        <f aca="false">Recursos!AY11*Supuestos!$C$75</f>
        <v>518882119.863468</v>
      </c>
      <c r="AZ16" s="37" t="n">
        <f aca="false">Recursos!AZ11*Supuestos!$C$75</f>
        <v>518882119.863468</v>
      </c>
      <c r="BA16" s="37" t="n">
        <f aca="false">Recursos!BA11*Supuestos!$C$75</f>
        <v>518882119.863468</v>
      </c>
      <c r="BB16" s="37" t="n">
        <f aca="false">Recursos!BB11*Supuestos!$C$75</f>
        <v>518882119.863468</v>
      </c>
      <c r="BC16" s="37" t="n">
        <f aca="false">Recursos!BC11*Supuestos!$C$75</f>
        <v>518882119.863468</v>
      </c>
      <c r="BD16" s="37" t="n">
        <f aca="false">Recursos!BD11*Supuestos!$C$75</f>
        <v>518882119.863468</v>
      </c>
      <c r="BE16" s="37" t="n">
        <f aca="false">Recursos!BE11*Supuestos!$C$75</f>
        <v>518882119.863468</v>
      </c>
      <c r="BF16" s="37" t="n">
        <f aca="false">Recursos!BF11*Supuestos!$C$75</f>
        <v>518882119.863468</v>
      </c>
      <c r="BG16" s="37" t="n">
        <f aca="false">Recursos!BG11*Supuestos!$C$75</f>
        <v>518882119.863468</v>
      </c>
      <c r="BH16" s="37" t="n">
        <f aca="false">Recursos!BH11*Supuestos!$C$75</f>
        <v>518882119.863468</v>
      </c>
      <c r="BI16" s="37" t="n">
        <f aca="false">Recursos!BI11*Supuestos!$C$75</f>
        <v>518882119.863468</v>
      </c>
      <c r="BJ16" s="37" t="n">
        <f aca="false">Recursos!BJ11*Supuestos!$C$75</f>
        <v>518882119.863468</v>
      </c>
      <c r="BK16" s="37" t="n">
        <f aca="false">Recursos!BK11*Supuestos!$C$75</f>
        <v>507487468.511267</v>
      </c>
      <c r="BL16" s="37" t="n">
        <f aca="false">Recursos!BL11*Supuestos!$C$75</f>
        <v>507487468.511267</v>
      </c>
      <c r="BM16" s="37" t="n">
        <f aca="false">Recursos!BM11*Supuestos!$C$75</f>
        <v>507487468.511267</v>
      </c>
      <c r="BN16" s="37" t="n">
        <f aca="false">Recursos!BN11*Supuestos!$C$75</f>
        <v>507487468.511267</v>
      </c>
      <c r="BO16" s="37" t="n">
        <f aca="false">Recursos!BO11*Supuestos!$C$75</f>
        <v>507487468.511267</v>
      </c>
      <c r="BP16" s="37" t="n">
        <f aca="false">Recursos!BP11*Supuestos!$C$75</f>
        <v>507487468.511267</v>
      </c>
      <c r="BQ16" s="37" t="n">
        <f aca="false">Recursos!BQ11*Supuestos!$C$75</f>
        <v>507487468.511267</v>
      </c>
      <c r="BR16" s="37" t="n">
        <f aca="false">Recursos!BR11*Supuestos!$C$75</f>
        <v>507487468.511267</v>
      </c>
      <c r="BS16" s="37" t="n">
        <f aca="false">Recursos!BS11*Supuestos!$C$75</f>
        <v>507487468.511267</v>
      </c>
      <c r="BT16" s="37" t="n">
        <f aca="false">Recursos!BT11*Supuestos!$C$75</f>
        <v>507487468.511267</v>
      </c>
      <c r="BU16" s="37" t="n">
        <f aca="false">Recursos!BU11*Supuestos!$C$75</f>
        <v>507487468.511267</v>
      </c>
      <c r="BV16" s="37" t="n">
        <f aca="false">Recursos!BV11*Supuestos!$C$75</f>
        <v>507487468.511267</v>
      </c>
      <c r="BW16" s="37" t="n">
        <f aca="false">Recursos!BW11*Supuestos!$C$75</f>
        <v>496343043.702759</v>
      </c>
      <c r="BX16" s="37" t="n">
        <f aca="false">Recursos!BX11*Supuestos!$C$75</f>
        <v>496343043.702759</v>
      </c>
      <c r="BY16" s="37" t="n">
        <f aca="false">Recursos!BY11*Supuestos!$C$75</f>
        <v>496343043.702759</v>
      </c>
      <c r="BZ16" s="37" t="n">
        <f aca="false">Recursos!BZ11*Supuestos!$C$75</f>
        <v>496343043.702759</v>
      </c>
      <c r="CA16" s="37" t="n">
        <f aca="false">Recursos!CA11*Supuestos!$C$75</f>
        <v>496343043.702759</v>
      </c>
      <c r="CB16" s="37" t="n">
        <f aca="false">Recursos!CB11*Supuestos!$C$75</f>
        <v>496343043.702759</v>
      </c>
      <c r="CC16" s="37" t="n">
        <f aca="false">Recursos!CC11*Supuestos!$C$75</f>
        <v>496343043.702759</v>
      </c>
      <c r="CD16" s="37" t="n">
        <f aca="false">Recursos!CD11*Supuestos!$C$75</f>
        <v>496343043.702759</v>
      </c>
      <c r="CE16" s="37" t="n">
        <f aca="false">Recursos!CE11*Supuestos!$C$75</f>
        <v>496343043.702759</v>
      </c>
      <c r="CF16" s="37" t="n">
        <f aca="false">Recursos!CF11*Supuestos!$C$75</f>
        <v>496343043.702759</v>
      </c>
      <c r="CG16" s="37" t="n">
        <f aca="false">Recursos!CG11*Supuestos!$C$75</f>
        <v>496343043.702759</v>
      </c>
      <c r="CH16" s="37" t="n">
        <f aca="false">Recursos!CH11*Supuestos!$C$75</f>
        <v>496343043.702759</v>
      </c>
      <c r="CI16" s="37" t="n">
        <f aca="false">Recursos!CI11*Supuestos!$C$75</f>
        <v>485443350.463047</v>
      </c>
      <c r="CJ16" s="37" t="n">
        <f aca="false">Recursos!CJ11*Supuestos!$C$75</f>
        <v>485443350.463047</v>
      </c>
      <c r="CK16" s="37" t="n">
        <f aca="false">Recursos!CK11*Supuestos!$C$75</f>
        <v>485443350.463047</v>
      </c>
      <c r="CL16" s="37" t="n">
        <f aca="false">Recursos!CL11*Supuestos!$C$75</f>
        <v>485443350.463047</v>
      </c>
      <c r="CM16" s="37" t="n">
        <f aca="false">Recursos!CM11*Supuestos!$C$75</f>
        <v>485443350.463047</v>
      </c>
      <c r="CN16" s="37" t="n">
        <f aca="false">Recursos!CN11*Supuestos!$C$75</f>
        <v>485443350.463047</v>
      </c>
      <c r="CO16" s="37" t="n">
        <f aca="false">Recursos!CO11*Supuestos!$C$75</f>
        <v>485443350.463047</v>
      </c>
      <c r="CP16" s="37" t="n">
        <f aca="false">Recursos!CP11*Supuestos!$C$75</f>
        <v>485443350.463047</v>
      </c>
      <c r="CQ16" s="37" t="n">
        <f aca="false">Recursos!CQ11*Supuestos!$C$75</f>
        <v>485443350.463047</v>
      </c>
      <c r="CR16" s="37" t="n">
        <f aca="false">Recursos!CR11*Supuestos!$C$75</f>
        <v>485443350.463047</v>
      </c>
      <c r="CS16" s="37" t="n">
        <f aca="false">Recursos!CS11*Supuestos!$C$75</f>
        <v>485443350.463047</v>
      </c>
      <c r="CT16" s="37" t="n">
        <f aca="false">Recursos!CT11*Supuestos!$C$75</f>
        <v>485443350.463047</v>
      </c>
    </row>
    <row r="17" customFormat="false" ht="15" hidden="false" customHeight="true" outlineLevel="0" collapsed="false">
      <c r="B17" s="15" t="s">
        <v>288</v>
      </c>
      <c r="C17" s="37" t="n">
        <f aca="false">Recursos!C11*(1-Supuestos!$C$75)</f>
        <v>193895984.505472</v>
      </c>
      <c r="D17" s="37" t="n">
        <f aca="false">Recursos!D11*(1-Supuestos!$C$75)</f>
        <v>193895984.505472</v>
      </c>
      <c r="E17" s="37" t="n">
        <f aca="false">Recursos!E11*(1-Supuestos!$C$75)</f>
        <v>193895984.505472</v>
      </c>
      <c r="F17" s="37" t="n">
        <f aca="false">Recursos!F11*(1-Supuestos!$C$75)</f>
        <v>193895984.505472</v>
      </c>
      <c r="G17" s="37" t="n">
        <f aca="false">Recursos!G11*(1-Supuestos!$C$75)</f>
        <v>193895984.505472</v>
      </c>
      <c r="H17" s="37" t="n">
        <f aca="false">Recursos!H11*(1-Supuestos!$C$75)</f>
        <v>193895984.505472</v>
      </c>
      <c r="I17" s="37" t="n">
        <f aca="false">Recursos!I11*(1-Supuestos!$C$75)</f>
        <v>193895984.505472</v>
      </c>
      <c r="J17" s="37" t="n">
        <f aca="false">Recursos!J11*(1-Supuestos!$C$75)</f>
        <v>193895984.505472</v>
      </c>
      <c r="K17" s="37" t="n">
        <f aca="false">Recursos!K11*(1-Supuestos!$C$75)</f>
        <v>193895984.505472</v>
      </c>
      <c r="L17" s="37" t="n">
        <f aca="false">Recursos!L11*(1-Supuestos!$C$75)</f>
        <v>193895984.505472</v>
      </c>
      <c r="M17" s="37" t="n">
        <f aca="false">Recursos!M11*(1-Supuestos!$C$75)</f>
        <v>193895984.505472</v>
      </c>
      <c r="N17" s="37" t="n">
        <f aca="false">Recursos!N11*(1-Supuestos!$C$75)</f>
        <v>193895984.505472</v>
      </c>
      <c r="O17" s="37" t="n">
        <f aca="false">Recursos!O11*(1-Supuestos!$C$75)</f>
        <v>189638028.685732</v>
      </c>
      <c r="P17" s="37" t="n">
        <f aca="false">Recursos!P11*(1-Supuestos!$C$75)</f>
        <v>189638028.685732</v>
      </c>
      <c r="Q17" s="37" t="n">
        <f aca="false">Recursos!Q11*(1-Supuestos!$C$75)</f>
        <v>189638028.685732</v>
      </c>
      <c r="R17" s="37" t="n">
        <f aca="false">Recursos!R11*(1-Supuestos!$C$75)</f>
        <v>189638028.685732</v>
      </c>
      <c r="S17" s="37" t="n">
        <f aca="false">Recursos!S11*(1-Supuestos!$C$75)</f>
        <v>189638028.685732</v>
      </c>
      <c r="T17" s="37" t="n">
        <f aca="false">Recursos!T11*(1-Supuestos!$C$75)</f>
        <v>189638028.685732</v>
      </c>
      <c r="U17" s="37" t="n">
        <f aca="false">Recursos!U11*(1-Supuestos!$C$75)</f>
        <v>189638028.685732</v>
      </c>
      <c r="V17" s="37" t="n">
        <f aca="false">Recursos!V11*(1-Supuestos!$C$75)</f>
        <v>189638028.685732</v>
      </c>
      <c r="W17" s="37" t="n">
        <f aca="false">Recursos!W11*(1-Supuestos!$C$75)</f>
        <v>189638028.685732</v>
      </c>
      <c r="X17" s="37" t="n">
        <f aca="false">Recursos!X11*(1-Supuestos!$C$75)</f>
        <v>189638028.685732</v>
      </c>
      <c r="Y17" s="37" t="n">
        <f aca="false">Recursos!Y11*(1-Supuestos!$C$75)</f>
        <v>189638028.685732</v>
      </c>
      <c r="Z17" s="37" t="n">
        <f aca="false">Recursos!Z11*(1-Supuestos!$C$75)</f>
        <v>189638028.685732</v>
      </c>
      <c r="AA17" s="37" t="n">
        <f aca="false">Recursos!AA11*(1-Supuestos!$C$75)</f>
        <v>185473577.575794</v>
      </c>
      <c r="AB17" s="37" t="n">
        <f aca="false">Recursos!AB11*(1-Supuestos!$C$75)</f>
        <v>185473577.575794</v>
      </c>
      <c r="AC17" s="37" t="n">
        <f aca="false">Recursos!AC11*(1-Supuestos!$C$75)</f>
        <v>185473577.575794</v>
      </c>
      <c r="AD17" s="37" t="n">
        <f aca="false">Recursos!AD11*(1-Supuestos!$C$75)</f>
        <v>185473577.575794</v>
      </c>
      <c r="AE17" s="37" t="n">
        <f aca="false">Recursos!AE11*(1-Supuestos!$C$75)</f>
        <v>185473577.575794</v>
      </c>
      <c r="AF17" s="37" t="n">
        <f aca="false">Recursos!AF11*(1-Supuestos!$C$75)</f>
        <v>185473577.575794</v>
      </c>
      <c r="AG17" s="37" t="n">
        <f aca="false">Recursos!AG11*(1-Supuestos!$C$75)</f>
        <v>185473577.575794</v>
      </c>
      <c r="AH17" s="37" t="n">
        <f aca="false">Recursos!AH11*(1-Supuestos!$C$75)</f>
        <v>185473577.575794</v>
      </c>
      <c r="AI17" s="37" t="n">
        <f aca="false">Recursos!AI11*(1-Supuestos!$C$75)</f>
        <v>185473577.575794</v>
      </c>
      <c r="AJ17" s="37" t="n">
        <f aca="false">Recursos!AJ11*(1-Supuestos!$C$75)</f>
        <v>185473577.575794</v>
      </c>
      <c r="AK17" s="37" t="n">
        <f aca="false">Recursos!AK11*(1-Supuestos!$C$75)</f>
        <v>185473577.575794</v>
      </c>
      <c r="AL17" s="37" t="n">
        <f aca="false">Recursos!AL11*(1-Supuestos!$C$75)</f>
        <v>185473577.575794</v>
      </c>
      <c r="AM17" s="37" t="n">
        <f aca="false">Recursos!AM11*(1-Supuestos!$C$75)</f>
        <v>181400577.812229</v>
      </c>
      <c r="AN17" s="37" t="n">
        <f aca="false">Recursos!AN11*(1-Supuestos!$C$75)</f>
        <v>181400577.812229</v>
      </c>
      <c r="AO17" s="37" t="n">
        <f aca="false">Recursos!AO11*(1-Supuestos!$C$75)</f>
        <v>181400577.812229</v>
      </c>
      <c r="AP17" s="37" t="n">
        <f aca="false">Recursos!AP11*(1-Supuestos!$C$75)</f>
        <v>181400577.812229</v>
      </c>
      <c r="AQ17" s="37" t="n">
        <f aca="false">Recursos!AQ11*(1-Supuestos!$C$75)</f>
        <v>181400577.812229</v>
      </c>
      <c r="AR17" s="37" t="n">
        <f aca="false">Recursos!AR11*(1-Supuestos!$C$75)</f>
        <v>181400577.812229</v>
      </c>
      <c r="AS17" s="37" t="n">
        <f aca="false">Recursos!AS11*(1-Supuestos!$C$75)</f>
        <v>181400577.812229</v>
      </c>
      <c r="AT17" s="37" t="n">
        <f aca="false">Recursos!AT11*(1-Supuestos!$C$75)</f>
        <v>181400577.812229</v>
      </c>
      <c r="AU17" s="37" t="n">
        <f aca="false">Recursos!AU11*(1-Supuestos!$C$75)</f>
        <v>181400577.812229</v>
      </c>
      <c r="AV17" s="37" t="n">
        <f aca="false">Recursos!AV11*(1-Supuestos!$C$75)</f>
        <v>181400577.812229</v>
      </c>
      <c r="AW17" s="37" t="n">
        <f aca="false">Recursos!AW11*(1-Supuestos!$C$75)</f>
        <v>181400577.812229</v>
      </c>
      <c r="AX17" s="37" t="n">
        <f aca="false">Recursos!AX11*(1-Supuestos!$C$75)</f>
        <v>181400577.812229</v>
      </c>
      <c r="AY17" s="37" t="n">
        <f aca="false">Recursos!AY11*(1-Supuestos!$C$75)</f>
        <v>177417021.123473</v>
      </c>
      <c r="AZ17" s="37" t="n">
        <f aca="false">Recursos!AZ11*(1-Supuestos!$C$75)</f>
        <v>177417021.123473</v>
      </c>
      <c r="BA17" s="37" t="n">
        <f aca="false">Recursos!BA11*(1-Supuestos!$C$75)</f>
        <v>177417021.123473</v>
      </c>
      <c r="BB17" s="37" t="n">
        <f aca="false">Recursos!BB11*(1-Supuestos!$C$75)</f>
        <v>177417021.123473</v>
      </c>
      <c r="BC17" s="37" t="n">
        <f aca="false">Recursos!BC11*(1-Supuestos!$C$75)</f>
        <v>177417021.123473</v>
      </c>
      <c r="BD17" s="37" t="n">
        <f aca="false">Recursos!BD11*(1-Supuestos!$C$75)</f>
        <v>177417021.123473</v>
      </c>
      <c r="BE17" s="37" t="n">
        <f aca="false">Recursos!BE11*(1-Supuestos!$C$75)</f>
        <v>177417021.123473</v>
      </c>
      <c r="BF17" s="37" t="n">
        <f aca="false">Recursos!BF11*(1-Supuestos!$C$75)</f>
        <v>177417021.123473</v>
      </c>
      <c r="BG17" s="37" t="n">
        <f aca="false">Recursos!BG11*(1-Supuestos!$C$75)</f>
        <v>177417021.123473</v>
      </c>
      <c r="BH17" s="37" t="n">
        <f aca="false">Recursos!BH11*(1-Supuestos!$C$75)</f>
        <v>177417021.123473</v>
      </c>
      <c r="BI17" s="37" t="n">
        <f aca="false">Recursos!BI11*(1-Supuestos!$C$75)</f>
        <v>177417021.123473</v>
      </c>
      <c r="BJ17" s="37" t="n">
        <f aca="false">Recursos!BJ11*(1-Supuestos!$C$75)</f>
        <v>177417021.123473</v>
      </c>
      <c r="BK17" s="37" t="n">
        <f aca="false">Recursos!BK11*(1-Supuestos!$C$75)</f>
        <v>173520943.339601</v>
      </c>
      <c r="BL17" s="37" t="n">
        <f aca="false">Recursos!BL11*(1-Supuestos!$C$75)</f>
        <v>173520943.339601</v>
      </c>
      <c r="BM17" s="37" t="n">
        <f aca="false">Recursos!BM11*(1-Supuestos!$C$75)</f>
        <v>173520943.339601</v>
      </c>
      <c r="BN17" s="37" t="n">
        <f aca="false">Recursos!BN11*(1-Supuestos!$C$75)</f>
        <v>173520943.339601</v>
      </c>
      <c r="BO17" s="37" t="n">
        <f aca="false">Recursos!BO11*(1-Supuestos!$C$75)</f>
        <v>173520943.339601</v>
      </c>
      <c r="BP17" s="37" t="n">
        <f aca="false">Recursos!BP11*(1-Supuestos!$C$75)</f>
        <v>173520943.339601</v>
      </c>
      <c r="BQ17" s="37" t="n">
        <f aca="false">Recursos!BQ11*(1-Supuestos!$C$75)</f>
        <v>173520943.339601</v>
      </c>
      <c r="BR17" s="37" t="n">
        <f aca="false">Recursos!BR11*(1-Supuestos!$C$75)</f>
        <v>173520943.339601</v>
      </c>
      <c r="BS17" s="37" t="n">
        <f aca="false">Recursos!BS11*(1-Supuestos!$C$75)</f>
        <v>173520943.339601</v>
      </c>
      <c r="BT17" s="37" t="n">
        <f aca="false">Recursos!BT11*(1-Supuestos!$C$75)</f>
        <v>173520943.339601</v>
      </c>
      <c r="BU17" s="37" t="n">
        <f aca="false">Recursos!BU11*(1-Supuestos!$C$75)</f>
        <v>173520943.339601</v>
      </c>
      <c r="BV17" s="37" t="n">
        <f aca="false">Recursos!BV11*(1-Supuestos!$C$75)</f>
        <v>173520943.339601</v>
      </c>
      <c r="BW17" s="37" t="n">
        <f aca="false">Recursos!BW11*(1-Supuestos!$C$75)</f>
        <v>169710423.423863</v>
      </c>
      <c r="BX17" s="37" t="n">
        <f aca="false">Recursos!BX11*(1-Supuestos!$C$75)</f>
        <v>169710423.423863</v>
      </c>
      <c r="BY17" s="37" t="n">
        <f aca="false">Recursos!BY11*(1-Supuestos!$C$75)</f>
        <v>169710423.423863</v>
      </c>
      <c r="BZ17" s="37" t="n">
        <f aca="false">Recursos!BZ11*(1-Supuestos!$C$75)</f>
        <v>169710423.423863</v>
      </c>
      <c r="CA17" s="37" t="n">
        <f aca="false">Recursos!CA11*(1-Supuestos!$C$75)</f>
        <v>169710423.423863</v>
      </c>
      <c r="CB17" s="37" t="n">
        <f aca="false">Recursos!CB11*(1-Supuestos!$C$75)</f>
        <v>169710423.423863</v>
      </c>
      <c r="CC17" s="37" t="n">
        <f aca="false">Recursos!CC11*(1-Supuestos!$C$75)</f>
        <v>169710423.423863</v>
      </c>
      <c r="CD17" s="37" t="n">
        <f aca="false">Recursos!CD11*(1-Supuestos!$C$75)</f>
        <v>169710423.423863</v>
      </c>
      <c r="CE17" s="37" t="n">
        <f aca="false">Recursos!CE11*(1-Supuestos!$C$75)</f>
        <v>169710423.423863</v>
      </c>
      <c r="CF17" s="37" t="n">
        <f aca="false">Recursos!CF11*(1-Supuestos!$C$75)</f>
        <v>169710423.423863</v>
      </c>
      <c r="CG17" s="37" t="n">
        <f aca="false">Recursos!CG11*(1-Supuestos!$C$75)</f>
        <v>169710423.423863</v>
      </c>
      <c r="CH17" s="37" t="n">
        <f aca="false">Recursos!CH11*(1-Supuestos!$C$75)</f>
        <v>169710423.423863</v>
      </c>
      <c r="CI17" s="37" t="n">
        <f aca="false">Recursos!CI11*(1-Supuestos!$C$75)</f>
        <v>165983582.525475</v>
      </c>
      <c r="CJ17" s="37" t="n">
        <f aca="false">Recursos!CJ11*(1-Supuestos!$C$75)</f>
        <v>165983582.525475</v>
      </c>
      <c r="CK17" s="37" t="n">
        <f aca="false">Recursos!CK11*(1-Supuestos!$C$75)</f>
        <v>165983582.525475</v>
      </c>
      <c r="CL17" s="37" t="n">
        <f aca="false">Recursos!CL11*(1-Supuestos!$C$75)</f>
        <v>165983582.525475</v>
      </c>
      <c r="CM17" s="37" t="n">
        <f aca="false">Recursos!CM11*(1-Supuestos!$C$75)</f>
        <v>165983582.525475</v>
      </c>
      <c r="CN17" s="37" t="n">
        <f aca="false">Recursos!CN11*(1-Supuestos!$C$75)</f>
        <v>165983582.525475</v>
      </c>
      <c r="CO17" s="37" t="n">
        <f aca="false">Recursos!CO11*(1-Supuestos!$C$75)</f>
        <v>165983582.525475</v>
      </c>
      <c r="CP17" s="37" t="n">
        <f aca="false">Recursos!CP11*(1-Supuestos!$C$75)</f>
        <v>165983582.525475</v>
      </c>
      <c r="CQ17" s="37" t="n">
        <f aca="false">Recursos!CQ11*(1-Supuestos!$C$75)</f>
        <v>165983582.525475</v>
      </c>
      <c r="CR17" s="37" t="n">
        <f aca="false">Recursos!CR11*(1-Supuestos!$C$75)</f>
        <v>165983582.525475</v>
      </c>
      <c r="CS17" s="37" t="n">
        <f aca="false">Recursos!CS11*(1-Supuestos!$C$75)</f>
        <v>165983582.525475</v>
      </c>
      <c r="CT17" s="37" t="n">
        <f aca="false">Recursos!CT11*(1-Supuestos!$C$75)</f>
        <v>165983582.525475</v>
      </c>
    </row>
    <row r="18" customFormat="false" ht="15" hidden="false" customHeight="true" outlineLevel="0" collapsed="false">
      <c r="B18" s="15" t="s">
        <v>289</v>
      </c>
      <c r="C18" s="37" t="n">
        <f aca="false">Recursos!C12</f>
        <v>107559629.214272</v>
      </c>
      <c r="D18" s="37" t="n">
        <f aca="false">Recursos!D12</f>
        <v>107559629.214272</v>
      </c>
      <c r="E18" s="37" t="n">
        <f aca="false">Recursos!E12</f>
        <v>172095406.742836</v>
      </c>
      <c r="F18" s="37" t="n">
        <f aca="false">Recursos!F12</f>
        <v>172095406.742836</v>
      </c>
      <c r="G18" s="37" t="n">
        <f aca="false">Recursos!G12</f>
        <v>193607332.58569</v>
      </c>
      <c r="H18" s="37" t="n">
        <f aca="false">Recursos!H12</f>
        <v>215119258.428545</v>
      </c>
      <c r="I18" s="37" t="n">
        <f aca="false">Recursos!I12</f>
        <v>193607332.58569</v>
      </c>
      <c r="J18" s="37" t="n">
        <f aca="false">Recursos!J12</f>
        <v>193607332.58569</v>
      </c>
      <c r="K18" s="37" t="n">
        <f aca="false">Recursos!K12</f>
        <v>193607332.58569</v>
      </c>
      <c r="L18" s="37" t="n">
        <f aca="false">Recursos!L12</f>
        <v>215119258.428545</v>
      </c>
      <c r="M18" s="37" t="n">
        <f aca="false">Recursos!M12</f>
        <v>215119258.428545</v>
      </c>
      <c r="N18" s="37" t="n">
        <f aca="false">Recursos!N12</f>
        <v>172095406.742836</v>
      </c>
      <c r="O18" s="37" t="n">
        <f aca="false">Recursos!O12</f>
        <v>109657041.983951</v>
      </c>
      <c r="P18" s="37" t="n">
        <f aca="false">Recursos!P12</f>
        <v>109657041.983951</v>
      </c>
      <c r="Q18" s="37" t="n">
        <f aca="false">Recursos!Q12</f>
        <v>175451267.174321</v>
      </c>
      <c r="R18" s="37" t="n">
        <f aca="false">Recursos!R12</f>
        <v>175451267.174321</v>
      </c>
      <c r="S18" s="37" t="n">
        <f aca="false">Recursos!S12</f>
        <v>197382675.571111</v>
      </c>
      <c r="T18" s="37" t="n">
        <f aca="false">Recursos!T12</f>
        <v>219314083.967901</v>
      </c>
      <c r="U18" s="37" t="n">
        <f aca="false">Recursos!U12</f>
        <v>197382675.571111</v>
      </c>
      <c r="V18" s="37" t="n">
        <f aca="false">Recursos!V12</f>
        <v>197382675.571111</v>
      </c>
      <c r="W18" s="37" t="n">
        <f aca="false">Recursos!W12</f>
        <v>197382675.571111</v>
      </c>
      <c r="X18" s="37" t="n">
        <f aca="false">Recursos!X12</f>
        <v>219314083.967901</v>
      </c>
      <c r="Y18" s="37" t="n">
        <f aca="false">Recursos!Y12</f>
        <v>219314083.967901</v>
      </c>
      <c r="Z18" s="37" t="n">
        <f aca="false">Recursos!Z12</f>
        <v>175451267.174321</v>
      </c>
      <c r="AA18" s="37" t="n">
        <f aca="false">Recursos!AA12</f>
        <v>111795354.302638</v>
      </c>
      <c r="AB18" s="37" t="n">
        <f aca="false">Recursos!AB12</f>
        <v>111795354.302638</v>
      </c>
      <c r="AC18" s="37" t="n">
        <f aca="false">Recursos!AC12</f>
        <v>178872566.88422</v>
      </c>
      <c r="AD18" s="37" t="n">
        <f aca="false">Recursos!AD12</f>
        <v>178872566.88422</v>
      </c>
      <c r="AE18" s="37" t="n">
        <f aca="false">Recursos!AE12</f>
        <v>201231637.744748</v>
      </c>
      <c r="AF18" s="37" t="n">
        <f aca="false">Recursos!AF12</f>
        <v>223590708.605276</v>
      </c>
      <c r="AG18" s="37" t="n">
        <f aca="false">Recursos!AG12</f>
        <v>201231637.744748</v>
      </c>
      <c r="AH18" s="37" t="n">
        <f aca="false">Recursos!AH12</f>
        <v>201231637.744748</v>
      </c>
      <c r="AI18" s="37" t="n">
        <f aca="false">Recursos!AI12</f>
        <v>201231637.744748</v>
      </c>
      <c r="AJ18" s="37" t="n">
        <f aca="false">Recursos!AJ12</f>
        <v>223590708.605276</v>
      </c>
      <c r="AK18" s="37" t="n">
        <f aca="false">Recursos!AK12</f>
        <v>223590708.605276</v>
      </c>
      <c r="AL18" s="37" t="n">
        <f aca="false">Recursos!AL12</f>
        <v>178872566.88422</v>
      </c>
      <c r="AM18" s="37" t="n">
        <f aca="false">Recursos!AM12</f>
        <v>113975363.711539</v>
      </c>
      <c r="AN18" s="37" t="n">
        <f aca="false">Recursos!AN12</f>
        <v>113975363.711539</v>
      </c>
      <c r="AO18" s="37" t="n">
        <f aca="false">Recursos!AO12</f>
        <v>182360581.938463</v>
      </c>
      <c r="AP18" s="37" t="n">
        <f aca="false">Recursos!AP12</f>
        <v>182360581.938463</v>
      </c>
      <c r="AQ18" s="37" t="n">
        <f aca="false">Recursos!AQ12</f>
        <v>205155654.680771</v>
      </c>
      <c r="AR18" s="37" t="n">
        <f aca="false">Recursos!AR12</f>
        <v>227950727.423078</v>
      </c>
      <c r="AS18" s="37" t="n">
        <f aca="false">Recursos!AS12</f>
        <v>205155654.680771</v>
      </c>
      <c r="AT18" s="37" t="n">
        <f aca="false">Recursos!AT12</f>
        <v>205155654.680771</v>
      </c>
      <c r="AU18" s="37" t="n">
        <f aca="false">Recursos!AU12</f>
        <v>205155654.680771</v>
      </c>
      <c r="AV18" s="37" t="n">
        <f aca="false">Recursos!AV12</f>
        <v>227950727.423078</v>
      </c>
      <c r="AW18" s="37" t="n">
        <f aca="false">Recursos!AW12</f>
        <v>227950727.423078</v>
      </c>
      <c r="AX18" s="37" t="n">
        <f aca="false">Recursos!AX12</f>
        <v>182360581.938463</v>
      </c>
      <c r="AY18" s="37" t="n">
        <f aca="false">Recursos!AY12</f>
        <v>116197883.303914</v>
      </c>
      <c r="AZ18" s="37" t="n">
        <f aca="false">Recursos!AZ12</f>
        <v>116197883.303914</v>
      </c>
      <c r="BA18" s="37" t="n">
        <f aca="false">Recursos!BA12</f>
        <v>185916613.286263</v>
      </c>
      <c r="BB18" s="37" t="n">
        <f aca="false">Recursos!BB12</f>
        <v>185916613.286263</v>
      </c>
      <c r="BC18" s="37" t="n">
        <f aca="false">Recursos!BC12</f>
        <v>209156189.947046</v>
      </c>
      <c r="BD18" s="37" t="n">
        <f aca="false">Recursos!BD12</f>
        <v>232395766.607829</v>
      </c>
      <c r="BE18" s="37" t="n">
        <f aca="false">Recursos!BE12</f>
        <v>209156189.947046</v>
      </c>
      <c r="BF18" s="37" t="n">
        <f aca="false">Recursos!BF12</f>
        <v>209156189.947046</v>
      </c>
      <c r="BG18" s="37" t="n">
        <f aca="false">Recursos!BG12</f>
        <v>209156189.947046</v>
      </c>
      <c r="BH18" s="37" t="n">
        <f aca="false">Recursos!BH12</f>
        <v>232395766.607829</v>
      </c>
      <c r="BI18" s="37" t="n">
        <f aca="false">Recursos!BI12</f>
        <v>232395766.607829</v>
      </c>
      <c r="BJ18" s="37" t="n">
        <f aca="false">Recursos!BJ12</f>
        <v>185916613.286263</v>
      </c>
      <c r="BK18" s="37" t="n">
        <f aca="false">Recursos!BK12</f>
        <v>118463742.028341</v>
      </c>
      <c r="BL18" s="37" t="n">
        <f aca="false">Recursos!BL12</f>
        <v>118463742.028341</v>
      </c>
      <c r="BM18" s="37" t="n">
        <f aca="false">Recursos!BM12</f>
        <v>189541987.245345</v>
      </c>
      <c r="BN18" s="37" t="n">
        <f aca="false">Recursos!BN12</f>
        <v>189541987.245345</v>
      </c>
      <c r="BO18" s="37" t="n">
        <f aca="false">Recursos!BO12</f>
        <v>213234735.651013</v>
      </c>
      <c r="BP18" s="37" t="n">
        <f aca="false">Recursos!BP12</f>
        <v>236927484.056681</v>
      </c>
      <c r="BQ18" s="37" t="n">
        <f aca="false">Recursos!BQ12</f>
        <v>213234735.651013</v>
      </c>
      <c r="BR18" s="37" t="n">
        <f aca="false">Recursos!BR12</f>
        <v>213234735.651013</v>
      </c>
      <c r="BS18" s="37" t="n">
        <f aca="false">Recursos!BS12</f>
        <v>213234735.651013</v>
      </c>
      <c r="BT18" s="37" t="n">
        <f aca="false">Recursos!BT12</f>
        <v>236927484.056681</v>
      </c>
      <c r="BU18" s="37" t="n">
        <f aca="false">Recursos!BU12</f>
        <v>236927484.056681</v>
      </c>
      <c r="BV18" s="37" t="n">
        <f aca="false">Recursos!BV12</f>
        <v>189541987.245345</v>
      </c>
      <c r="BW18" s="37" t="n">
        <f aca="false">Recursos!BW12</f>
        <v>120773784.997893</v>
      </c>
      <c r="BX18" s="37" t="n">
        <f aca="false">Recursos!BX12</f>
        <v>120773784.997893</v>
      </c>
      <c r="BY18" s="37" t="n">
        <f aca="false">Recursos!BY12</f>
        <v>193238055.996629</v>
      </c>
      <c r="BZ18" s="37" t="n">
        <f aca="false">Recursos!BZ12</f>
        <v>193238055.996629</v>
      </c>
      <c r="CA18" s="37" t="n">
        <f aca="false">Recursos!CA12</f>
        <v>217392812.996208</v>
      </c>
      <c r="CB18" s="37" t="n">
        <f aca="false">Recursos!CB12</f>
        <v>241547569.995786</v>
      </c>
      <c r="CC18" s="37" t="n">
        <f aca="false">Recursos!CC12</f>
        <v>217392812.996208</v>
      </c>
      <c r="CD18" s="37" t="n">
        <f aca="false">Recursos!CD12</f>
        <v>217392812.996208</v>
      </c>
      <c r="CE18" s="37" t="n">
        <f aca="false">Recursos!CE12</f>
        <v>217392812.996208</v>
      </c>
      <c r="CF18" s="37" t="n">
        <f aca="false">Recursos!CF12</f>
        <v>241547569.995786</v>
      </c>
      <c r="CG18" s="37" t="n">
        <f aca="false">Recursos!CG12</f>
        <v>241547569.995786</v>
      </c>
      <c r="CH18" s="37" t="n">
        <f aca="false">Recursos!CH12</f>
        <v>193238055.996629</v>
      </c>
      <c r="CI18" s="37" t="n">
        <f aca="false">Recursos!CI12</f>
        <v>123128873.805352</v>
      </c>
      <c r="CJ18" s="37" t="n">
        <f aca="false">Recursos!CJ12</f>
        <v>123128873.805352</v>
      </c>
      <c r="CK18" s="37" t="n">
        <f aca="false">Recursos!CK12</f>
        <v>197006198.088563</v>
      </c>
      <c r="CL18" s="37" t="n">
        <f aca="false">Recursos!CL12</f>
        <v>197006198.088563</v>
      </c>
      <c r="CM18" s="37" t="n">
        <f aca="false">Recursos!CM12</f>
        <v>221631972.849634</v>
      </c>
      <c r="CN18" s="37" t="n">
        <f aca="false">Recursos!CN12</f>
        <v>246257747.610704</v>
      </c>
      <c r="CO18" s="37" t="n">
        <f aca="false">Recursos!CO12</f>
        <v>221631972.849634</v>
      </c>
      <c r="CP18" s="37" t="n">
        <f aca="false">Recursos!CP12</f>
        <v>221631972.849634</v>
      </c>
      <c r="CQ18" s="37" t="n">
        <f aca="false">Recursos!CQ12</f>
        <v>221631972.849634</v>
      </c>
      <c r="CR18" s="37" t="n">
        <f aca="false">Recursos!CR12</f>
        <v>246257747.610704</v>
      </c>
      <c r="CS18" s="37" t="n">
        <f aca="false">Recursos!CS12</f>
        <v>246257747.610704</v>
      </c>
      <c r="CT18" s="37" t="n">
        <f aca="false">Recursos!CT12</f>
        <v>197006198.088563</v>
      </c>
    </row>
    <row r="19" customFormat="false" ht="15" hidden="false" customHeight="true" outlineLevel="0" collapsed="false">
      <c r="B19" s="38" t="s">
        <v>290</v>
      </c>
      <c r="C19" s="39" t="n">
        <f aca="false">SUM(C14:C18)</f>
        <v>27861797373.5573</v>
      </c>
      <c r="D19" s="39" t="n">
        <f aca="false">SUM(D14:D18)</f>
        <v>25817880597.2992</v>
      </c>
      <c r="E19" s="39" t="n">
        <f aca="false">SUM(E14:E18)</f>
        <v>27072808478.9586</v>
      </c>
      <c r="F19" s="39" t="n">
        <f aca="false">SUM(F14:F18)</f>
        <v>26684665407.6638</v>
      </c>
      <c r="G19" s="39" t="n">
        <f aca="false">SUM(G14:G18)</f>
        <v>26318034262.212</v>
      </c>
      <c r="H19" s="39" t="n">
        <f aca="false">SUM(H14:H18)</f>
        <v>26727689259.3495</v>
      </c>
      <c r="I19" s="39" t="n">
        <f aca="false">SUM(I14:I18)</f>
        <v>27094320404.8014</v>
      </c>
      <c r="J19" s="39" t="n">
        <f aca="false">SUM(J14:J18)</f>
        <v>26706177333.5067</v>
      </c>
      <c r="K19" s="39" t="n">
        <f aca="false">SUM(K14:K18)</f>
        <v>26318034262.212</v>
      </c>
      <c r="L19" s="39" t="n">
        <f aca="false">SUM(L14:L18)</f>
        <v>26727689259.3495</v>
      </c>
      <c r="M19" s="39" t="n">
        <f aca="false">SUM(M14:M18)</f>
        <v>26339546188.0548</v>
      </c>
      <c r="N19" s="39" t="n">
        <f aca="false">SUM(N14:N18)</f>
        <v>26425686646.4</v>
      </c>
      <c r="O19" s="39" t="n">
        <f aca="false">SUM(O14:O18)</f>
        <v>28688938298.3449</v>
      </c>
      <c r="P19" s="39" t="n">
        <f aca="false">SUM(P14:P18)</f>
        <v>26597565486.4675</v>
      </c>
      <c r="Q19" s="39" t="n">
        <f aca="false">SUM(Q14:Q18)</f>
        <v>27892163778.7838</v>
      </c>
      <c r="R19" s="39" t="n">
        <f aca="false">SUM(R14:R18)</f>
        <v>27492652088.3576</v>
      </c>
      <c r="S19" s="39" t="n">
        <f aca="false">SUM(S14:S18)</f>
        <v>27115071806.3283</v>
      </c>
      <c r="T19" s="39" t="n">
        <f aca="false">SUM(T14:T18)</f>
        <v>27536514905.1512</v>
      </c>
      <c r="U19" s="39" t="n">
        <f aca="false">SUM(U14:U18)</f>
        <v>27914095187.1806</v>
      </c>
      <c r="V19" s="39" t="n">
        <f aca="false">SUM(V14:V18)</f>
        <v>27514583496.7544</v>
      </c>
      <c r="W19" s="39" t="n">
        <f aca="false">SUM(W14:W18)</f>
        <v>27115071806.3283</v>
      </c>
      <c r="X19" s="39" t="n">
        <f aca="false">SUM(X14:X18)</f>
        <v>27536514905.1512</v>
      </c>
      <c r="Y19" s="39" t="n">
        <f aca="false">SUM(Y14:Y18)</f>
        <v>27137003214.7251</v>
      </c>
      <c r="Z19" s="39" t="n">
        <f aca="false">SUM(Z14:Z18)</f>
        <v>27217223753.5258</v>
      </c>
      <c r="AA19" s="39" t="n">
        <f aca="false">SUM(AA14:AA18)</f>
        <v>29539051331.7168</v>
      </c>
      <c r="AB19" s="39" t="n">
        <f aca="false">SUM(AB14:AB18)</f>
        <v>27399148898.1852</v>
      </c>
      <c r="AC19" s="39" t="n">
        <f aca="false">SUM(AC14:AC18)</f>
        <v>28734487560.8469</v>
      </c>
      <c r="AD19" s="39" t="n">
        <f aca="false">SUM(AD14:AD18)</f>
        <v>28323311466.5462</v>
      </c>
      <c r="AE19" s="39" t="n">
        <f aca="false">SUM(AE14:AE18)</f>
        <v>27934494443.1059</v>
      </c>
      <c r="AF19" s="39" t="n">
        <f aca="false">SUM(AF14:AF18)</f>
        <v>28368029608.2672</v>
      </c>
      <c r="AG19" s="39" t="n">
        <f aca="false">SUM(AG14:AG18)</f>
        <v>28756846631.7075</v>
      </c>
      <c r="AH19" s="39" t="n">
        <f aca="false">SUM(AH14:AH18)</f>
        <v>28345670537.4067</v>
      </c>
      <c r="AI19" s="39" t="n">
        <f aca="false">SUM(AI14:AI18)</f>
        <v>27934494443.1059</v>
      </c>
      <c r="AJ19" s="39" t="n">
        <f aca="false">SUM(AJ14:AJ18)</f>
        <v>28368029608.2672</v>
      </c>
      <c r="AK19" s="39" t="n">
        <f aca="false">SUM(AK14:AK18)</f>
        <v>27956853513.9664</v>
      </c>
      <c r="AL19" s="39" t="n">
        <f aca="false">SUM(AL14:AL18)</f>
        <v>28030890501.4511</v>
      </c>
      <c r="AM19" s="39" t="n">
        <f aca="false">SUM(AM14:AM18)</f>
        <v>30412689140.5524</v>
      </c>
      <c r="AN19" s="39" t="n">
        <f aca="false">SUM(AN14:AN18)</f>
        <v>28223159674.6336</v>
      </c>
      <c r="AO19" s="39" t="n">
        <f aca="false">SUM(AO14:AO18)</f>
        <v>29600335311.0837</v>
      </c>
      <c r="AP19" s="39" t="n">
        <f aca="false">SUM(AP14:AP18)</f>
        <v>29177191815.4775</v>
      </c>
      <c r="AQ19" s="39" t="n">
        <f aca="false">SUM(AQ14:AQ18)</f>
        <v>28776843392.6135</v>
      </c>
      <c r="AR19" s="39" t="n">
        <f aca="false">SUM(AR14:AR18)</f>
        <v>29222781960.9621</v>
      </c>
      <c r="AS19" s="39" t="n">
        <f aca="false">SUM(AS14:AS18)</f>
        <v>29623130383.826</v>
      </c>
      <c r="AT19" s="39" t="n">
        <f aca="false">SUM(AT14:AT18)</f>
        <v>29199986888.2198</v>
      </c>
      <c r="AU19" s="39" t="n">
        <f aca="false">SUM(AU14:AU18)</f>
        <v>28776843392.6135</v>
      </c>
      <c r="AV19" s="39" t="n">
        <f aca="false">SUM(AV14:AV18)</f>
        <v>29222781960.9621</v>
      </c>
      <c r="AW19" s="39" t="n">
        <f aca="false">SUM(AW14:AW18)</f>
        <v>28799638465.3558</v>
      </c>
      <c r="AX19" s="39" t="n">
        <f aca="false">SUM(AX14:AX18)</f>
        <v>28867220239.1632</v>
      </c>
      <c r="AY19" s="39" t="n">
        <f aca="false">SUM(AY14:AY18)</f>
        <v>30976219828.573</v>
      </c>
      <c r="AZ19" s="39" t="n">
        <f aca="false">SUM(AZ14:AZ18)</f>
        <v>28743994538.0688</v>
      </c>
      <c r="BA19" s="39" t="n">
        <f aca="false">SUM(BA14:BA18)</f>
        <v>30148025099.4297</v>
      </c>
      <c r="BB19" s="39" t="n">
        <f aca="false">SUM(BB14:BB18)</f>
        <v>29716630305.6591</v>
      </c>
      <c r="BC19" s="39" t="n">
        <f aca="false">SUM(BC14:BC18)</f>
        <v>29308475088.5494</v>
      </c>
      <c r="BD19" s="39" t="n">
        <f aca="false">SUM(BD14:BD18)</f>
        <v>29763109458.9807</v>
      </c>
      <c r="BE19" s="39" t="n">
        <f aca="false">SUM(BE14:BE18)</f>
        <v>30171264676.0905</v>
      </c>
      <c r="BF19" s="39" t="n">
        <f aca="false">SUM(BF14:BF18)</f>
        <v>29739869882.3199</v>
      </c>
      <c r="BG19" s="39" t="n">
        <f aca="false">SUM(BG14:BG18)</f>
        <v>29308475088.5494</v>
      </c>
      <c r="BH19" s="39" t="n">
        <f aca="false">SUM(BH14:BH18)</f>
        <v>29763109458.9807</v>
      </c>
      <c r="BI19" s="39" t="n">
        <f aca="false">SUM(BI14:BI18)</f>
        <v>29331714665.2101</v>
      </c>
      <c r="BJ19" s="39" t="n">
        <f aca="false">SUM(BJ14:BJ18)</f>
        <v>29400614283.6068</v>
      </c>
      <c r="BK19" s="39" t="n">
        <f aca="false">SUM(BK14:BK18)</f>
        <v>31551387552.8449</v>
      </c>
      <c r="BL19" s="39" t="n">
        <f aca="false">SUM(BL14:BL18)</f>
        <v>29275633869.1758</v>
      </c>
      <c r="BM19" s="39" t="n">
        <f aca="false">SUM(BM14:BM18)</f>
        <v>30707043026.4833</v>
      </c>
      <c r="BN19" s="39" t="n">
        <f aca="false">SUM(BN14:BN18)</f>
        <v>30267236034.2342</v>
      </c>
      <c r="BO19" s="39" t="n">
        <f aca="false">SUM(BO14:BO18)</f>
        <v>29851121790.3907</v>
      </c>
      <c r="BP19" s="39" t="n">
        <f aca="false">SUM(BP14:BP18)</f>
        <v>30314621531.0455</v>
      </c>
      <c r="BQ19" s="39" t="n">
        <f aca="false">SUM(BQ14:BQ18)</f>
        <v>30730735774.8889</v>
      </c>
      <c r="BR19" s="39" t="n">
        <f aca="false">SUM(BR14:BR18)</f>
        <v>30290928782.6398</v>
      </c>
      <c r="BS19" s="39" t="n">
        <f aca="false">SUM(BS14:BS18)</f>
        <v>29851121790.3907</v>
      </c>
      <c r="BT19" s="39" t="n">
        <f aca="false">SUM(BT14:BT18)</f>
        <v>30314621531.0455</v>
      </c>
      <c r="BU19" s="39" t="n">
        <f aca="false">SUM(BU14:BU18)</f>
        <v>29874814538.7964</v>
      </c>
      <c r="BV19" s="39" t="n">
        <f aca="false">SUM(BV14:BV18)</f>
        <v>29945057699.7518</v>
      </c>
      <c r="BW19" s="39" t="n">
        <f aca="false">SUM(BW14:BW18)</f>
        <v>32138405001.37</v>
      </c>
      <c r="BX19" s="39" t="n">
        <f aca="false">SUM(BX14:BX18)</f>
        <v>29818274120.8694</v>
      </c>
      <c r="BY19" s="39" t="n">
        <f aca="false">SUM(BY14:BY18)</f>
        <v>31277595756.7444</v>
      </c>
      <c r="BZ19" s="39" t="n">
        <f aca="false">SUM(BZ14:BZ18)</f>
        <v>30829212528.1464</v>
      </c>
      <c r="CA19" s="39" t="n">
        <f aca="false">SUM(CA14:CA18)</f>
        <v>30404984056.548</v>
      </c>
      <c r="CB19" s="39" t="n">
        <f aca="false">SUM(CB14:CB18)</f>
        <v>30877522042.1456</v>
      </c>
      <c r="CC19" s="39" t="n">
        <f aca="false">SUM(CC14:CC18)</f>
        <v>31301750513.7439</v>
      </c>
      <c r="CD19" s="39" t="n">
        <f aca="false">SUM(CD14:CD18)</f>
        <v>30853367285.146</v>
      </c>
      <c r="CE19" s="39" t="n">
        <f aca="false">SUM(CE14:CE18)</f>
        <v>30404984056.548</v>
      </c>
      <c r="CF19" s="39" t="n">
        <f aca="false">SUM(CF14:CF18)</f>
        <v>30877522042.1456</v>
      </c>
      <c r="CG19" s="39" t="n">
        <f aca="false">SUM(CG14:CG18)</f>
        <v>30429138813.5476</v>
      </c>
      <c r="CH19" s="39" t="n">
        <f aca="false">SUM(CH14:CH18)</f>
        <v>30500751716.1416</v>
      </c>
      <c r="CI19" s="39" t="n">
        <f aca="false">SUM(CI14:CI18)</f>
        <v>32737489322.1496</v>
      </c>
      <c r="CJ19" s="39" t="n">
        <f aca="false">SUM(CJ14:CJ18)</f>
        <v>30372115889.4793</v>
      </c>
      <c r="CK19" s="39" t="n">
        <f aca="false">SUM(CK14:CK18)</f>
        <v>31859894297.2538</v>
      </c>
      <c r="CL19" s="39" t="n">
        <f aca="false">SUM(CL14:CL18)</f>
        <v>31402767595.6982</v>
      </c>
      <c r="CM19" s="39" t="n">
        <f aca="false">SUM(CM14:CM18)</f>
        <v>30970266668.9037</v>
      </c>
      <c r="CN19" s="39" t="n">
        <f aca="false">SUM(CN14:CN18)</f>
        <v>31452019145.2203</v>
      </c>
      <c r="CO19" s="39" t="n">
        <f aca="false">SUM(CO14:CO18)</f>
        <v>31884520072.0149</v>
      </c>
      <c r="CP19" s="39" t="n">
        <f aca="false">SUM(CP14:CP18)</f>
        <v>31427393370.4593</v>
      </c>
      <c r="CQ19" s="39" t="n">
        <f aca="false">SUM(CQ14:CQ18)</f>
        <v>30970266668.9037</v>
      </c>
      <c r="CR19" s="39" t="n">
        <f aca="false">SUM(CR14:CR18)</f>
        <v>31452019145.2203</v>
      </c>
      <c r="CS19" s="39" t="n">
        <f aca="false">SUM(CS14:CS18)</f>
        <v>30994892443.6647</v>
      </c>
      <c r="CT19" s="39" t="n">
        <f aca="false">SUM(CT14:CT18)</f>
        <v>31067901797.8593</v>
      </c>
    </row>
    <row r="21" customFormat="false" ht="15" hidden="false" customHeight="true" outlineLevel="0" collapsed="false">
      <c r="B21" s="35" t="s">
        <v>291</v>
      </c>
      <c r="C21" s="36"/>
      <c r="D21" s="36"/>
      <c r="E21" s="36"/>
      <c r="F21" s="36"/>
      <c r="G21" s="36"/>
      <c r="H21" s="36"/>
      <c r="I21" s="36"/>
      <c r="J21" s="36"/>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row>
    <row r="22" customFormat="false" ht="15" hidden="false" customHeight="true" outlineLevel="0" collapsed="false">
      <c r="B22" s="15" t="s">
        <v>292</v>
      </c>
      <c r="C22" s="37" t="n">
        <f aca="false">('Gastos objeto'!C8+'Gastos objeto'!C9)*(1-Supuestos!$C$81)</f>
        <v>6020084351.3637</v>
      </c>
      <c r="D22" s="37" t="n">
        <f aca="false">('Gastos objeto'!D8+'Gastos objeto'!D9)*(1-Supuestos!$C$81)</f>
        <v>6020084351.3637</v>
      </c>
      <c r="E22" s="37" t="n">
        <f aca="false">('Gastos objeto'!E8+'Gastos objeto'!E9)*(1-Supuestos!$C$81)</f>
        <v>6020084351.3637</v>
      </c>
      <c r="F22" s="37" t="n">
        <f aca="false">('Gastos objeto'!F8+'Gastos objeto'!F9)*(1-Supuestos!$C$81)</f>
        <v>6020084351.3637</v>
      </c>
      <c r="G22" s="37" t="n">
        <f aca="false">('Gastos objeto'!G8+'Gastos objeto'!G9)*(1-Supuestos!$C$81)</f>
        <v>6020084351.3637</v>
      </c>
      <c r="H22" s="37" t="n">
        <f aca="false">('Gastos objeto'!H8+'Gastos objeto'!H9)*(1-Supuestos!$C$81)</f>
        <v>9281941932.29331</v>
      </c>
      <c r="I22" s="37" t="n">
        <f aca="false">('Gastos objeto'!I8+'Gastos objeto'!I9)*(1-Supuestos!$C$81)</f>
        <v>6020084351.3637</v>
      </c>
      <c r="J22" s="37" t="n">
        <f aca="false">('Gastos objeto'!J8+'Gastos objeto'!J9)*(1-Supuestos!$C$81)</f>
        <v>6020084351.3637</v>
      </c>
      <c r="K22" s="37" t="n">
        <f aca="false">('Gastos objeto'!K8+'Gastos objeto'!K9)*(1-Supuestos!$C$81)</f>
        <v>6020084351.3637</v>
      </c>
      <c r="L22" s="37" t="n">
        <f aca="false">('Gastos objeto'!L8+'Gastos objeto'!L9)*(1-Supuestos!$C$81)</f>
        <v>6020084351.3637</v>
      </c>
      <c r="M22" s="37" t="n">
        <f aca="false">('Gastos objeto'!M8+'Gastos objeto'!M9)*(1-Supuestos!$C$81)</f>
        <v>6020084351.3637</v>
      </c>
      <c r="N22" s="37" t="n">
        <f aca="false">('Gastos objeto'!N8+'Gastos objeto'!N9)*(1-Supuestos!$C$81)</f>
        <v>9281941932.29331</v>
      </c>
      <c r="O22" s="37" t="n">
        <f aca="false">('Gastos objeto'!O8+'Gastos objeto'!O9)*(1-Supuestos!$C$81)</f>
        <v>6020084351.3637</v>
      </c>
      <c r="P22" s="37" t="n">
        <f aca="false">('Gastos objeto'!P8+'Gastos objeto'!P9)*(1-Supuestos!$C$81)</f>
        <v>6020084351.3637</v>
      </c>
      <c r="Q22" s="37" t="n">
        <f aca="false">('Gastos objeto'!Q8+'Gastos objeto'!Q9)*(1-Supuestos!$C$81)</f>
        <v>6020084351.3637</v>
      </c>
      <c r="R22" s="37" t="n">
        <f aca="false">('Gastos objeto'!R8+'Gastos objeto'!R9)*(1-Supuestos!$C$81)</f>
        <v>6020084351.3637</v>
      </c>
      <c r="S22" s="37" t="n">
        <f aca="false">('Gastos objeto'!S8+'Gastos objeto'!S9)*(1-Supuestos!$C$81)</f>
        <v>6020084351.3637</v>
      </c>
      <c r="T22" s="37" t="n">
        <f aca="false">('Gastos objeto'!T8+'Gastos objeto'!T9)*(1-Supuestos!$C$81)</f>
        <v>9281941932.29331</v>
      </c>
      <c r="U22" s="37" t="n">
        <f aca="false">('Gastos objeto'!U8+'Gastos objeto'!U9)*(1-Supuestos!$C$81)</f>
        <v>6020084351.3637</v>
      </c>
      <c r="V22" s="37" t="n">
        <f aca="false">('Gastos objeto'!V8+'Gastos objeto'!V9)*(1-Supuestos!$C$81)</f>
        <v>6020084351.3637</v>
      </c>
      <c r="W22" s="37" t="n">
        <f aca="false">('Gastos objeto'!W8+'Gastos objeto'!W9)*(1-Supuestos!$C$81)</f>
        <v>6020084351.3637</v>
      </c>
      <c r="X22" s="37" t="n">
        <f aca="false">('Gastos objeto'!X8+'Gastos objeto'!X9)*(1-Supuestos!$C$81)</f>
        <v>6020084351.3637</v>
      </c>
      <c r="Y22" s="37" t="n">
        <f aca="false">('Gastos objeto'!Y8+'Gastos objeto'!Y9)*(1-Supuestos!$C$81)</f>
        <v>6020084351.3637</v>
      </c>
      <c r="Z22" s="37" t="n">
        <f aca="false">('Gastos objeto'!Z8+'Gastos objeto'!Z9)*(1-Supuestos!$C$81)</f>
        <v>9281941932.29331</v>
      </c>
      <c r="AA22" s="37" t="n">
        <f aca="false">('Gastos objeto'!AA8+'Gastos objeto'!AA9)*(1-Supuestos!$C$81)</f>
        <v>6020084351.3637</v>
      </c>
      <c r="AB22" s="37" t="n">
        <f aca="false">('Gastos objeto'!AB8+'Gastos objeto'!AB9)*(1-Supuestos!$C$81)</f>
        <v>6020084351.3637</v>
      </c>
      <c r="AC22" s="37" t="n">
        <f aca="false">('Gastos objeto'!AC8+'Gastos objeto'!AC9)*(1-Supuestos!$C$81)</f>
        <v>6020084351.3637</v>
      </c>
      <c r="AD22" s="37" t="n">
        <f aca="false">('Gastos objeto'!AD8+'Gastos objeto'!AD9)*(1-Supuestos!$C$81)</f>
        <v>6020084351.3637</v>
      </c>
      <c r="AE22" s="37" t="n">
        <f aca="false">('Gastos objeto'!AE8+'Gastos objeto'!AE9)*(1-Supuestos!$C$81)</f>
        <v>6020084351.3637</v>
      </c>
      <c r="AF22" s="37" t="n">
        <f aca="false">('Gastos objeto'!AF8+'Gastos objeto'!AF9)*(1-Supuestos!$C$81)</f>
        <v>9281941932.29331</v>
      </c>
      <c r="AG22" s="37" t="n">
        <f aca="false">('Gastos objeto'!AG8+'Gastos objeto'!AG9)*(1-Supuestos!$C$81)</f>
        <v>6020084351.3637</v>
      </c>
      <c r="AH22" s="37" t="n">
        <f aca="false">('Gastos objeto'!AH8+'Gastos objeto'!AH9)*(1-Supuestos!$C$81)</f>
        <v>6020084351.3637</v>
      </c>
      <c r="AI22" s="37" t="n">
        <f aca="false">('Gastos objeto'!AI8+'Gastos objeto'!AI9)*(1-Supuestos!$C$81)</f>
        <v>6020084351.3637</v>
      </c>
      <c r="AJ22" s="37" t="n">
        <f aca="false">('Gastos objeto'!AJ8+'Gastos objeto'!AJ9)*(1-Supuestos!$C$81)</f>
        <v>6020084351.3637</v>
      </c>
      <c r="AK22" s="37" t="n">
        <f aca="false">('Gastos objeto'!AK8+'Gastos objeto'!AK9)*(1-Supuestos!$C$81)</f>
        <v>6020084351.3637</v>
      </c>
      <c r="AL22" s="37" t="n">
        <f aca="false">('Gastos objeto'!AL8+'Gastos objeto'!AL9)*(1-Supuestos!$C$81)</f>
        <v>9281941932.29331</v>
      </c>
      <c r="AM22" s="37" t="n">
        <f aca="false">('Gastos objeto'!AM8+'Gastos objeto'!AM9)*(1-Supuestos!$C$81)</f>
        <v>6020084351.3637</v>
      </c>
      <c r="AN22" s="37" t="n">
        <f aca="false">('Gastos objeto'!AN8+'Gastos objeto'!AN9)*(1-Supuestos!$C$81)</f>
        <v>6020084351.3637</v>
      </c>
      <c r="AO22" s="37" t="n">
        <f aca="false">('Gastos objeto'!AO8+'Gastos objeto'!AO9)*(1-Supuestos!$C$81)</f>
        <v>6020084351.3637</v>
      </c>
      <c r="AP22" s="37" t="n">
        <f aca="false">('Gastos objeto'!AP8+'Gastos objeto'!AP9)*(1-Supuestos!$C$81)</f>
        <v>6020084351.3637</v>
      </c>
      <c r="AQ22" s="37" t="n">
        <f aca="false">('Gastos objeto'!AQ8+'Gastos objeto'!AQ9)*(1-Supuestos!$C$81)</f>
        <v>6020084351.3637</v>
      </c>
      <c r="AR22" s="37" t="n">
        <f aca="false">('Gastos objeto'!AR8+'Gastos objeto'!AR9)*(1-Supuestos!$C$81)</f>
        <v>9281941932.29331</v>
      </c>
      <c r="AS22" s="37" t="n">
        <f aca="false">('Gastos objeto'!AS8+'Gastos objeto'!AS9)*(1-Supuestos!$C$81)</f>
        <v>6020084351.3637</v>
      </c>
      <c r="AT22" s="37" t="n">
        <f aca="false">('Gastos objeto'!AT8+'Gastos objeto'!AT9)*(1-Supuestos!$C$81)</f>
        <v>6020084351.3637</v>
      </c>
      <c r="AU22" s="37" t="n">
        <f aca="false">('Gastos objeto'!AU8+'Gastos objeto'!AU9)*(1-Supuestos!$C$81)</f>
        <v>6020084351.3637</v>
      </c>
      <c r="AV22" s="37" t="n">
        <f aca="false">('Gastos objeto'!AV8+'Gastos objeto'!AV9)*(1-Supuestos!$C$81)</f>
        <v>6020084351.3637</v>
      </c>
      <c r="AW22" s="37" t="n">
        <f aca="false">('Gastos objeto'!AW8+'Gastos objeto'!AW9)*(1-Supuestos!$C$81)</f>
        <v>6020084351.3637</v>
      </c>
      <c r="AX22" s="37" t="n">
        <f aca="false">('Gastos objeto'!AX8+'Gastos objeto'!AX9)*(1-Supuestos!$C$81)</f>
        <v>9281941932.29331</v>
      </c>
      <c r="AY22" s="37" t="n">
        <f aca="false">('Gastos objeto'!AY8+'Gastos objeto'!AY9)*(1-Supuestos!$C$81)</f>
        <v>6020084351.3637</v>
      </c>
      <c r="AZ22" s="37" t="n">
        <f aca="false">('Gastos objeto'!AZ8+'Gastos objeto'!AZ9)*(1-Supuestos!$C$81)</f>
        <v>6020084351.3637</v>
      </c>
      <c r="BA22" s="37" t="n">
        <f aca="false">('Gastos objeto'!BA8+'Gastos objeto'!BA9)*(1-Supuestos!$C$81)</f>
        <v>6020084351.3637</v>
      </c>
      <c r="BB22" s="37" t="n">
        <f aca="false">('Gastos objeto'!BB8+'Gastos objeto'!BB9)*(1-Supuestos!$C$81)</f>
        <v>6020084351.3637</v>
      </c>
      <c r="BC22" s="37" t="n">
        <f aca="false">('Gastos objeto'!BC8+'Gastos objeto'!BC9)*(1-Supuestos!$C$81)</f>
        <v>6020084351.3637</v>
      </c>
      <c r="BD22" s="37" t="n">
        <f aca="false">('Gastos objeto'!BD8+'Gastos objeto'!BD9)*(1-Supuestos!$C$81)</f>
        <v>9281941932.29331</v>
      </c>
      <c r="BE22" s="37" t="n">
        <f aca="false">('Gastos objeto'!BE8+'Gastos objeto'!BE9)*(1-Supuestos!$C$81)</f>
        <v>6020084351.3637</v>
      </c>
      <c r="BF22" s="37" t="n">
        <f aca="false">('Gastos objeto'!BF8+'Gastos objeto'!BF9)*(1-Supuestos!$C$81)</f>
        <v>6020084351.3637</v>
      </c>
      <c r="BG22" s="37" t="n">
        <f aca="false">('Gastos objeto'!BG8+'Gastos objeto'!BG9)*(1-Supuestos!$C$81)</f>
        <v>6020084351.3637</v>
      </c>
      <c r="BH22" s="37" t="n">
        <f aca="false">('Gastos objeto'!BH8+'Gastos objeto'!BH9)*(1-Supuestos!$C$81)</f>
        <v>6020084351.3637</v>
      </c>
      <c r="BI22" s="37" t="n">
        <f aca="false">('Gastos objeto'!BI8+'Gastos objeto'!BI9)*(1-Supuestos!$C$81)</f>
        <v>6020084351.3637</v>
      </c>
      <c r="BJ22" s="37" t="n">
        <f aca="false">('Gastos objeto'!BJ8+'Gastos objeto'!BJ9)*(1-Supuestos!$C$81)</f>
        <v>9281941932.29331</v>
      </c>
      <c r="BK22" s="37" t="n">
        <f aca="false">('Gastos objeto'!BK8+'Gastos objeto'!BK9)*(1-Supuestos!$C$81)</f>
        <v>6020084351.3637</v>
      </c>
      <c r="BL22" s="37" t="n">
        <f aca="false">('Gastos objeto'!BL8+'Gastos objeto'!BL9)*(1-Supuestos!$C$81)</f>
        <v>6020084351.3637</v>
      </c>
      <c r="BM22" s="37" t="n">
        <f aca="false">('Gastos objeto'!BM8+'Gastos objeto'!BM9)*(1-Supuestos!$C$81)</f>
        <v>6020084351.3637</v>
      </c>
      <c r="BN22" s="37" t="n">
        <f aca="false">('Gastos objeto'!BN8+'Gastos objeto'!BN9)*(1-Supuestos!$C$81)</f>
        <v>6020084351.3637</v>
      </c>
      <c r="BO22" s="37" t="n">
        <f aca="false">('Gastos objeto'!BO8+'Gastos objeto'!BO9)*(1-Supuestos!$C$81)</f>
        <v>6020084351.3637</v>
      </c>
      <c r="BP22" s="37" t="n">
        <f aca="false">('Gastos objeto'!BP8+'Gastos objeto'!BP9)*(1-Supuestos!$C$81)</f>
        <v>9281941932.29331</v>
      </c>
      <c r="BQ22" s="37" t="n">
        <f aca="false">('Gastos objeto'!BQ8+'Gastos objeto'!BQ9)*(1-Supuestos!$C$81)</f>
        <v>6020084351.3637</v>
      </c>
      <c r="BR22" s="37" t="n">
        <f aca="false">('Gastos objeto'!BR8+'Gastos objeto'!BR9)*(1-Supuestos!$C$81)</f>
        <v>6020084351.3637</v>
      </c>
      <c r="BS22" s="37" t="n">
        <f aca="false">('Gastos objeto'!BS8+'Gastos objeto'!BS9)*(1-Supuestos!$C$81)</f>
        <v>6020084351.3637</v>
      </c>
      <c r="BT22" s="37" t="n">
        <f aca="false">('Gastos objeto'!BT8+'Gastos objeto'!BT9)*(1-Supuestos!$C$81)</f>
        <v>6020084351.3637</v>
      </c>
      <c r="BU22" s="37" t="n">
        <f aca="false">('Gastos objeto'!BU8+'Gastos objeto'!BU9)*(1-Supuestos!$C$81)</f>
        <v>6020084351.3637</v>
      </c>
      <c r="BV22" s="37" t="n">
        <f aca="false">('Gastos objeto'!BV8+'Gastos objeto'!BV9)*(1-Supuestos!$C$81)</f>
        <v>9281941932.29331</v>
      </c>
      <c r="BW22" s="37" t="n">
        <f aca="false">('Gastos objeto'!BW8+'Gastos objeto'!BW9)*(1-Supuestos!$C$81)</f>
        <v>6020084351.3637</v>
      </c>
      <c r="BX22" s="37" t="n">
        <f aca="false">('Gastos objeto'!BX8+'Gastos objeto'!BX9)*(1-Supuestos!$C$81)</f>
        <v>6020084351.3637</v>
      </c>
      <c r="BY22" s="37" t="n">
        <f aca="false">('Gastos objeto'!BY8+'Gastos objeto'!BY9)*(1-Supuestos!$C$81)</f>
        <v>6020084351.3637</v>
      </c>
      <c r="BZ22" s="37" t="n">
        <f aca="false">('Gastos objeto'!BZ8+'Gastos objeto'!BZ9)*(1-Supuestos!$C$81)</f>
        <v>6020084351.3637</v>
      </c>
      <c r="CA22" s="37" t="n">
        <f aca="false">('Gastos objeto'!CA8+'Gastos objeto'!CA9)*(1-Supuestos!$C$81)</f>
        <v>6020084351.3637</v>
      </c>
      <c r="CB22" s="37" t="n">
        <f aca="false">('Gastos objeto'!CB8+'Gastos objeto'!CB9)*(1-Supuestos!$C$81)</f>
        <v>9281941932.29331</v>
      </c>
      <c r="CC22" s="37" t="n">
        <f aca="false">('Gastos objeto'!CC8+'Gastos objeto'!CC9)*(1-Supuestos!$C$81)</f>
        <v>6020084351.3637</v>
      </c>
      <c r="CD22" s="37" t="n">
        <f aca="false">('Gastos objeto'!CD8+'Gastos objeto'!CD9)*(1-Supuestos!$C$81)</f>
        <v>6020084351.3637</v>
      </c>
      <c r="CE22" s="37" t="n">
        <f aca="false">('Gastos objeto'!CE8+'Gastos objeto'!CE9)*(1-Supuestos!$C$81)</f>
        <v>6020084351.3637</v>
      </c>
      <c r="CF22" s="37" t="n">
        <f aca="false">('Gastos objeto'!CF8+'Gastos objeto'!CF9)*(1-Supuestos!$C$81)</f>
        <v>6020084351.3637</v>
      </c>
      <c r="CG22" s="37" t="n">
        <f aca="false">('Gastos objeto'!CG8+'Gastos objeto'!CG9)*(1-Supuestos!$C$81)</f>
        <v>6020084351.3637</v>
      </c>
      <c r="CH22" s="37" t="n">
        <f aca="false">('Gastos objeto'!CH8+'Gastos objeto'!CH9)*(1-Supuestos!$C$81)</f>
        <v>9281941932.29331</v>
      </c>
      <c r="CI22" s="37" t="n">
        <f aca="false">('Gastos objeto'!CI8+'Gastos objeto'!CI9)*(1-Supuestos!$C$81)</f>
        <v>6020084351.3637</v>
      </c>
      <c r="CJ22" s="37" t="n">
        <f aca="false">('Gastos objeto'!CJ8+'Gastos objeto'!CJ9)*(1-Supuestos!$C$81)</f>
        <v>6020084351.3637</v>
      </c>
      <c r="CK22" s="37" t="n">
        <f aca="false">('Gastos objeto'!CK8+'Gastos objeto'!CK9)*(1-Supuestos!$C$81)</f>
        <v>6020084351.3637</v>
      </c>
      <c r="CL22" s="37" t="n">
        <f aca="false">('Gastos objeto'!CL8+'Gastos objeto'!CL9)*(1-Supuestos!$C$81)</f>
        <v>6020084351.3637</v>
      </c>
      <c r="CM22" s="37" t="n">
        <f aca="false">('Gastos objeto'!CM8+'Gastos objeto'!CM9)*(1-Supuestos!$C$81)</f>
        <v>6020084351.3637</v>
      </c>
      <c r="CN22" s="37" t="n">
        <f aca="false">('Gastos objeto'!CN8+'Gastos objeto'!CN9)*(1-Supuestos!$C$81)</f>
        <v>9281941932.29331</v>
      </c>
      <c r="CO22" s="37" t="n">
        <f aca="false">('Gastos objeto'!CO8+'Gastos objeto'!CO9)*(1-Supuestos!$C$81)</f>
        <v>6020084351.3637</v>
      </c>
      <c r="CP22" s="37" t="n">
        <f aca="false">('Gastos objeto'!CP8+'Gastos objeto'!CP9)*(1-Supuestos!$C$81)</f>
        <v>6020084351.3637</v>
      </c>
      <c r="CQ22" s="37" t="n">
        <f aca="false">('Gastos objeto'!CQ8+'Gastos objeto'!CQ9)*(1-Supuestos!$C$81)</f>
        <v>6020084351.3637</v>
      </c>
      <c r="CR22" s="37" t="n">
        <f aca="false">('Gastos objeto'!CR8+'Gastos objeto'!CR9)*(1-Supuestos!$C$81)</f>
        <v>6020084351.3637</v>
      </c>
      <c r="CS22" s="37" t="n">
        <f aca="false">('Gastos objeto'!CS8+'Gastos objeto'!CS9)*(1-Supuestos!$C$81)</f>
        <v>6020084351.3637</v>
      </c>
      <c r="CT22" s="37" t="n">
        <f aca="false">('Gastos objeto'!CT8+'Gastos objeto'!CT9)*(1-Supuestos!$C$81)</f>
        <v>9281941932.29331</v>
      </c>
    </row>
    <row r="23" customFormat="false" ht="15" hidden="false" customHeight="true" outlineLevel="0" collapsed="false">
      <c r="B23" s="15" t="s">
        <v>293</v>
      </c>
      <c r="C23" s="37" t="n">
        <f aca="false">'Gastos objeto'!C21*(1-Supuestos!$C$82-Supuestos!$C$95)</f>
        <v>10865173176.5677</v>
      </c>
      <c r="D23" s="37" t="n">
        <f aca="false">'Gastos objeto'!D21*(1-Supuestos!$C$82-Supuestos!$C$95)</f>
        <v>11142201497.6715</v>
      </c>
      <c r="E23" s="37" t="n">
        <f aca="false">'Gastos objeto'!E21*(1-Supuestos!$C$82-Supuestos!$C$95)</f>
        <v>11142201497.6715</v>
      </c>
      <c r="F23" s="37" t="n">
        <f aca="false">'Gastos objeto'!F21*(1-Supuestos!$C$82-Supuestos!$C$95)</f>
        <v>11525816895.6756</v>
      </c>
      <c r="G23" s="37" t="n">
        <f aca="false">'Gastos objeto'!G21*(1-Supuestos!$C$82-Supuestos!$C$95)</f>
        <v>11525816895.6756</v>
      </c>
      <c r="H23" s="37" t="n">
        <f aca="false">'Gastos objeto'!H21*(1-Supuestos!$C$82-Supuestos!$C$95)</f>
        <v>11525816895.6756</v>
      </c>
      <c r="I23" s="37" t="n">
        <f aca="false">'Gastos objeto'!I21*(1-Supuestos!$C$82-Supuestos!$C$95)</f>
        <v>11525816895.6756</v>
      </c>
      <c r="J23" s="37" t="n">
        <f aca="false">'Gastos objeto'!J21*(1-Supuestos!$C$82-Supuestos!$C$95)</f>
        <v>11525816895.6756</v>
      </c>
      <c r="K23" s="37" t="n">
        <f aca="false">'Gastos objeto'!K21*(1-Supuestos!$C$82-Supuestos!$C$95)</f>
        <v>11525816895.6756</v>
      </c>
      <c r="L23" s="37" t="n">
        <f aca="false">'Gastos objeto'!L21*(1-Supuestos!$C$82-Supuestos!$C$95)</f>
        <v>11525816895.6756</v>
      </c>
      <c r="M23" s="37" t="n">
        <f aca="false">'Gastos objeto'!M21*(1-Supuestos!$C$82-Supuestos!$C$95)</f>
        <v>11568427206.7265</v>
      </c>
      <c r="N23" s="37" t="n">
        <f aca="false">'Gastos objeto'!N21*(1-Supuestos!$C$82-Supuestos!$C$95)</f>
        <v>11568427206.7265</v>
      </c>
      <c r="O23" s="37" t="n">
        <f aca="false">'Gastos objeto'!O21*(1-Supuestos!$C$82-Supuestos!$C$95)</f>
        <v>10950393798.6694</v>
      </c>
      <c r="P23" s="37" t="n">
        <f aca="false">'Gastos objeto'!P21*(1-Supuestos!$C$82-Supuestos!$C$95)</f>
        <v>11010429767.5928</v>
      </c>
      <c r="Q23" s="37" t="n">
        <f aca="false">'Gastos objeto'!Q21*(1-Supuestos!$C$82-Supuestos!$C$95)</f>
        <v>11287458088.6966</v>
      </c>
      <c r="R23" s="37" t="n">
        <f aca="false">'Gastos objeto'!R21*(1-Supuestos!$C$82-Supuestos!$C$95)</f>
        <v>11671073486.7008</v>
      </c>
      <c r="S23" s="37" t="n">
        <f aca="false">'Gastos objeto'!S21*(1-Supuestos!$C$82-Supuestos!$C$95)</f>
        <v>11671073486.7008</v>
      </c>
      <c r="T23" s="37" t="n">
        <f aca="false">'Gastos objeto'!T21*(1-Supuestos!$C$82-Supuestos!$C$95)</f>
        <v>11671073486.7008</v>
      </c>
      <c r="U23" s="37" t="n">
        <f aca="false">'Gastos objeto'!U21*(1-Supuestos!$C$82-Supuestos!$C$95)</f>
        <v>11671073486.7008</v>
      </c>
      <c r="V23" s="37" t="n">
        <f aca="false">'Gastos objeto'!V21*(1-Supuestos!$C$82-Supuestos!$C$95)</f>
        <v>11671073486.7008</v>
      </c>
      <c r="W23" s="37" t="n">
        <f aca="false">'Gastos objeto'!W21*(1-Supuestos!$C$82-Supuestos!$C$95)</f>
        <v>11671073486.7008</v>
      </c>
      <c r="X23" s="37" t="n">
        <f aca="false">'Gastos objeto'!X21*(1-Supuestos!$C$82-Supuestos!$C$95)</f>
        <v>11671073486.7008</v>
      </c>
      <c r="Y23" s="37" t="n">
        <f aca="false">'Gastos objeto'!Y21*(1-Supuestos!$C$82-Supuestos!$C$95)</f>
        <v>11713683797.7517</v>
      </c>
      <c r="Z23" s="37" t="n">
        <f aca="false">'Gastos objeto'!Z21*(1-Supuestos!$C$82-Supuestos!$C$95)</f>
        <v>11713683797.7517</v>
      </c>
      <c r="AA23" s="37" t="n">
        <f aca="false">'Gastos objeto'!AA21*(1-Supuestos!$C$82-Supuestos!$C$95)</f>
        <v>11095650389.6946</v>
      </c>
      <c r="AB23" s="37" t="n">
        <f aca="false">'Gastos objeto'!AB21*(1-Supuestos!$C$82-Supuestos!$C$95)</f>
        <v>11155686358.618</v>
      </c>
      <c r="AC23" s="37" t="n">
        <f aca="false">'Gastos objeto'!AC21*(1-Supuestos!$C$82-Supuestos!$C$95)</f>
        <v>11432714679.7218</v>
      </c>
      <c r="AD23" s="37" t="n">
        <f aca="false">'Gastos objeto'!AD21*(1-Supuestos!$C$82-Supuestos!$C$95)</f>
        <v>11816330077.726</v>
      </c>
      <c r="AE23" s="37" t="n">
        <f aca="false">'Gastos objeto'!AE21*(1-Supuestos!$C$82-Supuestos!$C$95)</f>
        <v>11816330077.726</v>
      </c>
      <c r="AF23" s="37" t="n">
        <f aca="false">'Gastos objeto'!AF21*(1-Supuestos!$C$82-Supuestos!$C$95)</f>
        <v>11816330077.726</v>
      </c>
      <c r="AG23" s="37" t="n">
        <f aca="false">'Gastos objeto'!AG21*(1-Supuestos!$C$82-Supuestos!$C$95)</f>
        <v>11816330077.726</v>
      </c>
      <c r="AH23" s="37" t="n">
        <f aca="false">'Gastos objeto'!AH21*(1-Supuestos!$C$82-Supuestos!$C$95)</f>
        <v>11816330077.726</v>
      </c>
      <c r="AI23" s="37" t="n">
        <f aca="false">'Gastos objeto'!AI21*(1-Supuestos!$C$82-Supuestos!$C$95)</f>
        <v>11816330077.726</v>
      </c>
      <c r="AJ23" s="37" t="n">
        <f aca="false">'Gastos objeto'!AJ21*(1-Supuestos!$C$82-Supuestos!$C$95)</f>
        <v>11816330077.726</v>
      </c>
      <c r="AK23" s="37" t="n">
        <f aca="false">'Gastos objeto'!AK21*(1-Supuestos!$C$82-Supuestos!$C$95)</f>
        <v>11858940388.7768</v>
      </c>
      <c r="AL23" s="37" t="n">
        <f aca="false">'Gastos objeto'!AL21*(1-Supuestos!$C$82-Supuestos!$C$95)</f>
        <v>11858940388.7768</v>
      </c>
      <c r="AM23" s="37" t="n">
        <f aca="false">'Gastos objeto'!AM21*(1-Supuestos!$C$82-Supuestos!$C$95)</f>
        <v>11240906980.7197</v>
      </c>
      <c r="AN23" s="37" t="n">
        <f aca="false">'Gastos objeto'!AN21*(1-Supuestos!$C$82-Supuestos!$C$95)</f>
        <v>11300942949.6432</v>
      </c>
      <c r="AO23" s="37" t="n">
        <f aca="false">'Gastos objeto'!AO21*(1-Supuestos!$C$82-Supuestos!$C$95)</f>
        <v>11577971270.747</v>
      </c>
      <c r="AP23" s="37" t="n">
        <f aca="false">'Gastos objeto'!AP21*(1-Supuestos!$C$82-Supuestos!$C$95)</f>
        <v>11961586668.7511</v>
      </c>
      <c r="AQ23" s="37" t="n">
        <f aca="false">'Gastos objeto'!AQ21*(1-Supuestos!$C$82-Supuestos!$C$95)</f>
        <v>11961586668.7511</v>
      </c>
      <c r="AR23" s="37" t="n">
        <f aca="false">'Gastos objeto'!AR21*(1-Supuestos!$C$82-Supuestos!$C$95)</f>
        <v>11961586668.7511</v>
      </c>
      <c r="AS23" s="37" t="n">
        <f aca="false">'Gastos objeto'!AS21*(1-Supuestos!$C$82-Supuestos!$C$95)</f>
        <v>11961586668.7511</v>
      </c>
      <c r="AT23" s="37" t="n">
        <f aca="false">'Gastos objeto'!AT21*(1-Supuestos!$C$82-Supuestos!$C$95)</f>
        <v>11961586668.7511</v>
      </c>
      <c r="AU23" s="37" t="n">
        <f aca="false">'Gastos objeto'!AU21*(1-Supuestos!$C$82-Supuestos!$C$95)</f>
        <v>11961586668.7511</v>
      </c>
      <c r="AV23" s="37" t="n">
        <f aca="false">'Gastos objeto'!AV21*(1-Supuestos!$C$82-Supuestos!$C$95)</f>
        <v>11961586668.7511</v>
      </c>
      <c r="AW23" s="37" t="n">
        <f aca="false">'Gastos objeto'!AW21*(1-Supuestos!$C$82-Supuestos!$C$95)</f>
        <v>12004196979.802</v>
      </c>
      <c r="AX23" s="37" t="n">
        <f aca="false">'Gastos objeto'!AX21*(1-Supuestos!$C$82-Supuestos!$C$95)</f>
        <v>12004196979.802</v>
      </c>
      <c r="AY23" s="37" t="n">
        <f aca="false">'Gastos objeto'!AY21*(1-Supuestos!$C$82-Supuestos!$C$95)</f>
        <v>11386163571.7449</v>
      </c>
      <c r="AZ23" s="37" t="n">
        <f aca="false">'Gastos objeto'!AZ21*(1-Supuestos!$C$82-Supuestos!$C$95)</f>
        <v>11300942949.6432</v>
      </c>
      <c r="BA23" s="37" t="n">
        <f aca="false">'Gastos objeto'!BA21*(1-Supuestos!$C$82-Supuestos!$C$95)</f>
        <v>11577971270.747</v>
      </c>
      <c r="BB23" s="37" t="n">
        <f aca="false">'Gastos objeto'!BB21*(1-Supuestos!$C$82-Supuestos!$C$95)</f>
        <v>11961586668.7511</v>
      </c>
      <c r="BC23" s="37" t="n">
        <f aca="false">'Gastos objeto'!BC21*(1-Supuestos!$C$82-Supuestos!$C$95)</f>
        <v>11961586668.7511</v>
      </c>
      <c r="BD23" s="37" t="n">
        <f aca="false">'Gastos objeto'!BD21*(1-Supuestos!$C$82-Supuestos!$C$95)</f>
        <v>11961586668.7511</v>
      </c>
      <c r="BE23" s="37" t="n">
        <f aca="false">'Gastos objeto'!BE21*(1-Supuestos!$C$82-Supuestos!$C$95)</f>
        <v>11961586668.7511</v>
      </c>
      <c r="BF23" s="37" t="n">
        <f aca="false">'Gastos objeto'!BF21*(1-Supuestos!$C$82-Supuestos!$C$95)</f>
        <v>11961586668.7511</v>
      </c>
      <c r="BG23" s="37" t="n">
        <f aca="false">'Gastos objeto'!BG21*(1-Supuestos!$C$82-Supuestos!$C$95)</f>
        <v>11961586668.7511</v>
      </c>
      <c r="BH23" s="37" t="n">
        <f aca="false">'Gastos objeto'!BH21*(1-Supuestos!$C$82-Supuestos!$C$95)</f>
        <v>11961586668.7511</v>
      </c>
      <c r="BI23" s="37" t="n">
        <f aca="false">'Gastos objeto'!BI21*(1-Supuestos!$C$82-Supuestos!$C$95)</f>
        <v>12004196979.802</v>
      </c>
      <c r="BJ23" s="37" t="n">
        <f aca="false">'Gastos objeto'!BJ21*(1-Supuestos!$C$82-Supuestos!$C$95)</f>
        <v>12004196979.802</v>
      </c>
      <c r="BK23" s="37" t="n">
        <f aca="false">'Gastos objeto'!BK21*(1-Supuestos!$C$82-Supuestos!$C$95)</f>
        <v>11386163571.7449</v>
      </c>
      <c r="BL23" s="37" t="n">
        <f aca="false">'Gastos objeto'!BL21*(1-Supuestos!$C$82-Supuestos!$C$95)</f>
        <v>11300942949.6432</v>
      </c>
      <c r="BM23" s="37" t="n">
        <f aca="false">'Gastos objeto'!BM21*(1-Supuestos!$C$82-Supuestos!$C$95)</f>
        <v>11577971270.747</v>
      </c>
      <c r="BN23" s="37" t="n">
        <f aca="false">'Gastos objeto'!BN21*(1-Supuestos!$C$82-Supuestos!$C$95)</f>
        <v>11961586668.7511</v>
      </c>
      <c r="BO23" s="37" t="n">
        <f aca="false">'Gastos objeto'!BO21*(1-Supuestos!$C$82-Supuestos!$C$95)</f>
        <v>11961586668.7511</v>
      </c>
      <c r="BP23" s="37" t="n">
        <f aca="false">'Gastos objeto'!BP21*(1-Supuestos!$C$82-Supuestos!$C$95)</f>
        <v>11961586668.7511</v>
      </c>
      <c r="BQ23" s="37" t="n">
        <f aca="false">'Gastos objeto'!BQ21*(1-Supuestos!$C$82-Supuestos!$C$95)</f>
        <v>11961586668.7511</v>
      </c>
      <c r="BR23" s="37" t="n">
        <f aca="false">'Gastos objeto'!BR21*(1-Supuestos!$C$82-Supuestos!$C$95)</f>
        <v>11961586668.7511</v>
      </c>
      <c r="BS23" s="37" t="n">
        <f aca="false">'Gastos objeto'!BS21*(1-Supuestos!$C$82-Supuestos!$C$95)</f>
        <v>11961586668.7511</v>
      </c>
      <c r="BT23" s="37" t="n">
        <f aca="false">'Gastos objeto'!BT21*(1-Supuestos!$C$82-Supuestos!$C$95)</f>
        <v>11961586668.7511</v>
      </c>
      <c r="BU23" s="37" t="n">
        <f aca="false">'Gastos objeto'!BU21*(1-Supuestos!$C$82-Supuestos!$C$95)</f>
        <v>12004196979.802</v>
      </c>
      <c r="BV23" s="37" t="n">
        <f aca="false">'Gastos objeto'!BV21*(1-Supuestos!$C$82-Supuestos!$C$95)</f>
        <v>12004196979.802</v>
      </c>
      <c r="BW23" s="37" t="n">
        <f aca="false">'Gastos objeto'!BW21*(1-Supuestos!$C$82-Supuestos!$C$95)</f>
        <v>11386163571.7449</v>
      </c>
      <c r="BX23" s="37" t="n">
        <f aca="false">'Gastos objeto'!BX21*(1-Supuestos!$C$82-Supuestos!$C$95)</f>
        <v>11300942949.6432</v>
      </c>
      <c r="BY23" s="37" t="n">
        <f aca="false">'Gastos objeto'!BY21*(1-Supuestos!$C$82-Supuestos!$C$95)</f>
        <v>11577971270.747</v>
      </c>
      <c r="BZ23" s="37" t="n">
        <f aca="false">'Gastos objeto'!BZ21*(1-Supuestos!$C$82-Supuestos!$C$95)</f>
        <v>11961586668.7511</v>
      </c>
      <c r="CA23" s="37" t="n">
        <f aca="false">'Gastos objeto'!CA21*(1-Supuestos!$C$82-Supuestos!$C$95)</f>
        <v>11961586668.7511</v>
      </c>
      <c r="CB23" s="37" t="n">
        <f aca="false">'Gastos objeto'!CB21*(1-Supuestos!$C$82-Supuestos!$C$95)</f>
        <v>11961586668.7511</v>
      </c>
      <c r="CC23" s="37" t="n">
        <f aca="false">'Gastos objeto'!CC21*(1-Supuestos!$C$82-Supuestos!$C$95)</f>
        <v>11961586668.7511</v>
      </c>
      <c r="CD23" s="37" t="n">
        <f aca="false">'Gastos objeto'!CD21*(1-Supuestos!$C$82-Supuestos!$C$95)</f>
        <v>11961586668.7511</v>
      </c>
      <c r="CE23" s="37" t="n">
        <f aca="false">'Gastos objeto'!CE21*(1-Supuestos!$C$82-Supuestos!$C$95)</f>
        <v>11961586668.7511</v>
      </c>
      <c r="CF23" s="37" t="n">
        <f aca="false">'Gastos objeto'!CF21*(1-Supuestos!$C$82-Supuestos!$C$95)</f>
        <v>11961586668.7511</v>
      </c>
      <c r="CG23" s="37" t="n">
        <f aca="false">'Gastos objeto'!CG21*(1-Supuestos!$C$82-Supuestos!$C$95)</f>
        <v>12004196979.802</v>
      </c>
      <c r="CH23" s="37" t="n">
        <f aca="false">'Gastos objeto'!CH21*(1-Supuestos!$C$82-Supuestos!$C$95)</f>
        <v>12004196979.802</v>
      </c>
      <c r="CI23" s="37" t="n">
        <f aca="false">'Gastos objeto'!CI21*(1-Supuestos!$C$82-Supuestos!$C$95)</f>
        <v>11386163571.7449</v>
      </c>
      <c r="CJ23" s="37" t="n">
        <f aca="false">'Gastos objeto'!CJ21*(1-Supuestos!$C$82-Supuestos!$C$95)</f>
        <v>11300942949.6432</v>
      </c>
      <c r="CK23" s="37" t="n">
        <f aca="false">'Gastos objeto'!CK21*(1-Supuestos!$C$82-Supuestos!$C$95)</f>
        <v>11577971270.747</v>
      </c>
      <c r="CL23" s="37" t="n">
        <f aca="false">'Gastos objeto'!CL21*(1-Supuestos!$C$82-Supuestos!$C$95)</f>
        <v>11961586668.7511</v>
      </c>
      <c r="CM23" s="37" t="n">
        <f aca="false">'Gastos objeto'!CM21*(1-Supuestos!$C$82-Supuestos!$C$95)</f>
        <v>11961586668.7511</v>
      </c>
      <c r="CN23" s="37" t="n">
        <f aca="false">'Gastos objeto'!CN21*(1-Supuestos!$C$82-Supuestos!$C$95)</f>
        <v>11961586668.7511</v>
      </c>
      <c r="CO23" s="37" t="n">
        <f aca="false">'Gastos objeto'!CO21*(1-Supuestos!$C$82-Supuestos!$C$95)</f>
        <v>11961586668.7511</v>
      </c>
      <c r="CP23" s="37" t="n">
        <f aca="false">'Gastos objeto'!CP21*(1-Supuestos!$C$82-Supuestos!$C$95)</f>
        <v>11961586668.7511</v>
      </c>
      <c r="CQ23" s="37" t="n">
        <f aca="false">'Gastos objeto'!CQ21*(1-Supuestos!$C$82-Supuestos!$C$95)</f>
        <v>11961586668.7511</v>
      </c>
      <c r="CR23" s="37" t="n">
        <f aca="false">'Gastos objeto'!CR21*(1-Supuestos!$C$82-Supuestos!$C$95)</f>
        <v>11961586668.7511</v>
      </c>
      <c r="CS23" s="37" t="n">
        <f aca="false">'Gastos objeto'!CS21*(1-Supuestos!$C$82-Supuestos!$C$95)</f>
        <v>12004196979.802</v>
      </c>
      <c r="CT23" s="37" t="n">
        <f aca="false">'Gastos objeto'!CT21*(1-Supuestos!$C$82-Supuestos!$C$95)</f>
        <v>12004196979.802</v>
      </c>
    </row>
    <row r="24" customFormat="false" ht="15" hidden="false" customHeight="true" outlineLevel="0" collapsed="false">
      <c r="B24" s="15" t="s">
        <v>294</v>
      </c>
      <c r="C24" s="37" t="n">
        <f aca="false">'Gastos objeto'!C22*(1-Supuestos!$C$83)</f>
        <v>1717126567.70272</v>
      </c>
      <c r="D24" s="37" t="n">
        <f aca="false">'Gastos objeto'!D22*(1-Supuestos!$C$83)</f>
        <v>2289502090.2703</v>
      </c>
      <c r="E24" s="37" t="n">
        <f aca="false">'Gastos objeto'!E22*(1-Supuestos!$C$83)</f>
        <v>2003314328.98651</v>
      </c>
      <c r="F24" s="37" t="n">
        <f aca="false">'Gastos objeto'!F22*(1-Supuestos!$C$83)</f>
        <v>3434253135.40544</v>
      </c>
      <c r="G24" s="37" t="n">
        <f aca="false">'Gastos objeto'!G22*(1-Supuestos!$C$83)</f>
        <v>4865191941.82438</v>
      </c>
      <c r="H24" s="37" t="n">
        <f aca="false">'Gastos objeto'!H22*(1-Supuestos!$C$83)</f>
        <v>5437567464.39195</v>
      </c>
      <c r="I24" s="37" t="n">
        <f aca="false">'Gastos objeto'!I22*(1-Supuestos!$C$83)</f>
        <v>5723755225.67574</v>
      </c>
      <c r="J24" s="37" t="n">
        <f aca="false">'Gastos objeto'!J22*(1-Supuestos!$C$83)</f>
        <v>5723755225.67574</v>
      </c>
      <c r="K24" s="37" t="n">
        <f aca="false">'Gastos objeto'!K22*(1-Supuestos!$C$83)</f>
        <v>5723755225.67574</v>
      </c>
      <c r="L24" s="37" t="n">
        <f aca="false">'Gastos objeto'!L22*(1-Supuestos!$C$83)</f>
        <v>5723755225.67574</v>
      </c>
      <c r="M24" s="37" t="n">
        <f aca="false">'Gastos objeto'!M22*(1-Supuestos!$C$83)</f>
        <v>5723755225.67574</v>
      </c>
      <c r="N24" s="37" t="n">
        <f aca="false">'Gastos objeto'!N22*(1-Supuestos!$C$83)</f>
        <v>5437567464.39195</v>
      </c>
      <c r="O24" s="37" t="n">
        <f aca="false">'Gastos objeto'!O22*(1-Supuestos!$C$83)</f>
        <v>4579004180.54059</v>
      </c>
      <c r="P24" s="37" t="n">
        <f aca="false">'Gastos objeto'!P22*(1-Supuestos!$C$83)</f>
        <v>2861877612.83787</v>
      </c>
      <c r="Q24" s="37" t="n">
        <f aca="false">'Gastos objeto'!Q22*(1-Supuestos!$C$83)</f>
        <v>2003314328.98651</v>
      </c>
      <c r="R24" s="37" t="n">
        <f aca="false">'Gastos objeto'!R22*(1-Supuestos!$C$83)</f>
        <v>3434253135.40544</v>
      </c>
      <c r="S24" s="37" t="n">
        <f aca="false">'Gastos objeto'!S22*(1-Supuestos!$C$83)</f>
        <v>4865191941.82438</v>
      </c>
      <c r="T24" s="37" t="n">
        <f aca="false">'Gastos objeto'!T22*(1-Supuestos!$C$83)</f>
        <v>5437567464.39195</v>
      </c>
      <c r="U24" s="37" t="n">
        <f aca="false">'Gastos objeto'!U22*(1-Supuestos!$C$83)</f>
        <v>5723755225.67574</v>
      </c>
      <c r="V24" s="37" t="n">
        <f aca="false">'Gastos objeto'!V22*(1-Supuestos!$C$83)</f>
        <v>5723755225.67574</v>
      </c>
      <c r="W24" s="37" t="n">
        <f aca="false">'Gastos objeto'!W22*(1-Supuestos!$C$83)</f>
        <v>5723755225.67574</v>
      </c>
      <c r="X24" s="37" t="n">
        <f aca="false">'Gastos objeto'!X22*(1-Supuestos!$C$83)</f>
        <v>5723755225.67574</v>
      </c>
      <c r="Y24" s="37" t="n">
        <f aca="false">'Gastos objeto'!Y22*(1-Supuestos!$C$83)</f>
        <v>5723755225.67574</v>
      </c>
      <c r="Z24" s="37" t="n">
        <f aca="false">'Gastos objeto'!Z22*(1-Supuestos!$C$83)</f>
        <v>5437567464.39195</v>
      </c>
      <c r="AA24" s="37" t="n">
        <f aca="false">'Gastos objeto'!AA22*(1-Supuestos!$C$83)</f>
        <v>4579004180.54059</v>
      </c>
      <c r="AB24" s="37" t="n">
        <f aca="false">'Gastos objeto'!AB22*(1-Supuestos!$C$83)</f>
        <v>2861877612.83787</v>
      </c>
      <c r="AC24" s="37" t="n">
        <f aca="false">'Gastos objeto'!AC22*(1-Supuestos!$C$83)</f>
        <v>2003314328.98651</v>
      </c>
      <c r="AD24" s="37" t="n">
        <f aca="false">'Gastos objeto'!AD22*(1-Supuestos!$C$83)</f>
        <v>3434253135.40544</v>
      </c>
      <c r="AE24" s="37" t="n">
        <f aca="false">'Gastos objeto'!AE22*(1-Supuestos!$C$83)</f>
        <v>4865191941.82438</v>
      </c>
      <c r="AF24" s="37" t="n">
        <f aca="false">'Gastos objeto'!AF22*(1-Supuestos!$C$83)</f>
        <v>5437567464.39195</v>
      </c>
      <c r="AG24" s="37" t="n">
        <f aca="false">'Gastos objeto'!AG22*(1-Supuestos!$C$83)</f>
        <v>5723755225.67574</v>
      </c>
      <c r="AH24" s="37" t="n">
        <f aca="false">'Gastos objeto'!AH22*(1-Supuestos!$C$83)</f>
        <v>5723755225.67574</v>
      </c>
      <c r="AI24" s="37" t="n">
        <f aca="false">'Gastos objeto'!AI22*(1-Supuestos!$C$83)</f>
        <v>5723755225.67574</v>
      </c>
      <c r="AJ24" s="37" t="n">
        <f aca="false">'Gastos objeto'!AJ22*(1-Supuestos!$C$83)</f>
        <v>5723755225.67574</v>
      </c>
      <c r="AK24" s="37" t="n">
        <f aca="false">'Gastos objeto'!AK22*(1-Supuestos!$C$83)</f>
        <v>5723755225.67574</v>
      </c>
      <c r="AL24" s="37" t="n">
        <f aca="false">'Gastos objeto'!AL22*(1-Supuestos!$C$83)</f>
        <v>5437567464.39195</v>
      </c>
      <c r="AM24" s="37" t="n">
        <f aca="false">'Gastos objeto'!AM22*(1-Supuestos!$C$83)</f>
        <v>4579004180.54059</v>
      </c>
      <c r="AN24" s="37" t="n">
        <f aca="false">'Gastos objeto'!AN22*(1-Supuestos!$C$83)</f>
        <v>2861877612.83787</v>
      </c>
      <c r="AO24" s="37" t="n">
        <f aca="false">'Gastos objeto'!AO22*(1-Supuestos!$C$83)</f>
        <v>2003314328.98651</v>
      </c>
      <c r="AP24" s="37" t="n">
        <f aca="false">'Gastos objeto'!AP22*(1-Supuestos!$C$83)</f>
        <v>3434253135.40544</v>
      </c>
      <c r="AQ24" s="37" t="n">
        <f aca="false">'Gastos objeto'!AQ22*(1-Supuestos!$C$83)</f>
        <v>4865191941.82438</v>
      </c>
      <c r="AR24" s="37" t="n">
        <f aca="false">'Gastos objeto'!AR22*(1-Supuestos!$C$83)</f>
        <v>5437567464.39195</v>
      </c>
      <c r="AS24" s="37" t="n">
        <f aca="false">'Gastos objeto'!AS22*(1-Supuestos!$C$83)</f>
        <v>5723755225.67574</v>
      </c>
      <c r="AT24" s="37" t="n">
        <f aca="false">'Gastos objeto'!AT22*(1-Supuestos!$C$83)</f>
        <v>5723755225.67574</v>
      </c>
      <c r="AU24" s="37" t="n">
        <f aca="false">'Gastos objeto'!AU22*(1-Supuestos!$C$83)</f>
        <v>5723755225.67574</v>
      </c>
      <c r="AV24" s="37" t="n">
        <f aca="false">'Gastos objeto'!AV22*(1-Supuestos!$C$83)</f>
        <v>5723755225.67574</v>
      </c>
      <c r="AW24" s="37" t="n">
        <f aca="false">'Gastos objeto'!AW22*(1-Supuestos!$C$83)</f>
        <v>5723755225.67574</v>
      </c>
      <c r="AX24" s="37" t="n">
        <f aca="false">'Gastos objeto'!AX22*(1-Supuestos!$C$83)</f>
        <v>5437567464.39195</v>
      </c>
      <c r="AY24" s="37" t="n">
        <f aca="false">'Gastos objeto'!AY22*(1-Supuestos!$C$83)</f>
        <v>4579004180.54059</v>
      </c>
      <c r="AZ24" s="37" t="n">
        <f aca="false">'Gastos objeto'!AZ22*(1-Supuestos!$C$83)</f>
        <v>2861877612.83787</v>
      </c>
      <c r="BA24" s="37" t="n">
        <f aca="false">'Gastos objeto'!BA22*(1-Supuestos!$C$83)</f>
        <v>2003314328.98651</v>
      </c>
      <c r="BB24" s="37" t="n">
        <f aca="false">'Gastos objeto'!BB22*(1-Supuestos!$C$83)</f>
        <v>3434253135.40544</v>
      </c>
      <c r="BC24" s="37" t="n">
        <f aca="false">'Gastos objeto'!BC22*(1-Supuestos!$C$83)</f>
        <v>4865191941.82438</v>
      </c>
      <c r="BD24" s="37" t="n">
        <f aca="false">'Gastos objeto'!BD22*(1-Supuestos!$C$83)</f>
        <v>5437567464.39195</v>
      </c>
      <c r="BE24" s="37" t="n">
        <f aca="false">'Gastos objeto'!BE22*(1-Supuestos!$C$83)</f>
        <v>5723755225.67574</v>
      </c>
      <c r="BF24" s="37" t="n">
        <f aca="false">'Gastos objeto'!BF22*(1-Supuestos!$C$83)</f>
        <v>5723755225.67574</v>
      </c>
      <c r="BG24" s="37" t="n">
        <f aca="false">'Gastos objeto'!BG22*(1-Supuestos!$C$83)</f>
        <v>5723755225.67574</v>
      </c>
      <c r="BH24" s="37" t="n">
        <f aca="false">'Gastos objeto'!BH22*(1-Supuestos!$C$83)</f>
        <v>5723755225.67574</v>
      </c>
      <c r="BI24" s="37" t="n">
        <f aca="false">'Gastos objeto'!BI22*(1-Supuestos!$C$83)</f>
        <v>5723755225.67574</v>
      </c>
      <c r="BJ24" s="37" t="n">
        <f aca="false">'Gastos objeto'!BJ22*(1-Supuestos!$C$83)</f>
        <v>5437567464.39195</v>
      </c>
      <c r="BK24" s="37" t="n">
        <f aca="false">'Gastos objeto'!BK22*(1-Supuestos!$C$83)</f>
        <v>4579004180.54059</v>
      </c>
      <c r="BL24" s="37" t="n">
        <f aca="false">'Gastos objeto'!BL22*(1-Supuestos!$C$83)</f>
        <v>2861877612.83787</v>
      </c>
      <c r="BM24" s="37" t="n">
        <f aca="false">'Gastos objeto'!BM22*(1-Supuestos!$C$83)</f>
        <v>2003314328.98651</v>
      </c>
      <c r="BN24" s="37" t="n">
        <f aca="false">'Gastos objeto'!BN22*(1-Supuestos!$C$83)</f>
        <v>3434253135.40544</v>
      </c>
      <c r="BO24" s="37" t="n">
        <f aca="false">'Gastos objeto'!BO22*(1-Supuestos!$C$83)</f>
        <v>4865191941.82438</v>
      </c>
      <c r="BP24" s="37" t="n">
        <f aca="false">'Gastos objeto'!BP22*(1-Supuestos!$C$83)</f>
        <v>5437567464.39195</v>
      </c>
      <c r="BQ24" s="37" t="n">
        <f aca="false">'Gastos objeto'!BQ22*(1-Supuestos!$C$83)</f>
        <v>5723755225.67574</v>
      </c>
      <c r="BR24" s="37" t="n">
        <f aca="false">'Gastos objeto'!BR22*(1-Supuestos!$C$83)</f>
        <v>5723755225.67574</v>
      </c>
      <c r="BS24" s="37" t="n">
        <f aca="false">'Gastos objeto'!BS22*(1-Supuestos!$C$83)</f>
        <v>5723755225.67574</v>
      </c>
      <c r="BT24" s="37" t="n">
        <f aca="false">'Gastos objeto'!BT22*(1-Supuestos!$C$83)</f>
        <v>5723755225.67574</v>
      </c>
      <c r="BU24" s="37" t="n">
        <f aca="false">'Gastos objeto'!BU22*(1-Supuestos!$C$83)</f>
        <v>5723755225.67574</v>
      </c>
      <c r="BV24" s="37" t="n">
        <f aca="false">'Gastos objeto'!BV22*(1-Supuestos!$C$83)</f>
        <v>5437567464.39195</v>
      </c>
      <c r="BW24" s="37" t="n">
        <f aca="false">'Gastos objeto'!BW22*(1-Supuestos!$C$83)</f>
        <v>4579004180.54059</v>
      </c>
      <c r="BX24" s="37" t="n">
        <f aca="false">'Gastos objeto'!BX22*(1-Supuestos!$C$83)</f>
        <v>2861877612.83787</v>
      </c>
      <c r="BY24" s="37" t="n">
        <f aca="false">'Gastos objeto'!BY22*(1-Supuestos!$C$83)</f>
        <v>2003314328.98651</v>
      </c>
      <c r="BZ24" s="37" t="n">
        <f aca="false">'Gastos objeto'!BZ22*(1-Supuestos!$C$83)</f>
        <v>3434253135.40544</v>
      </c>
      <c r="CA24" s="37" t="n">
        <f aca="false">'Gastos objeto'!CA22*(1-Supuestos!$C$83)</f>
        <v>4865191941.82438</v>
      </c>
      <c r="CB24" s="37" t="n">
        <f aca="false">'Gastos objeto'!CB22*(1-Supuestos!$C$83)</f>
        <v>5437567464.39195</v>
      </c>
      <c r="CC24" s="37" t="n">
        <f aca="false">'Gastos objeto'!CC22*(1-Supuestos!$C$83)</f>
        <v>5723755225.67574</v>
      </c>
      <c r="CD24" s="37" t="n">
        <f aca="false">'Gastos objeto'!CD22*(1-Supuestos!$C$83)</f>
        <v>5723755225.67574</v>
      </c>
      <c r="CE24" s="37" t="n">
        <f aca="false">'Gastos objeto'!CE22*(1-Supuestos!$C$83)</f>
        <v>5723755225.67574</v>
      </c>
      <c r="CF24" s="37" t="n">
        <f aca="false">'Gastos objeto'!CF22*(1-Supuestos!$C$83)</f>
        <v>5723755225.67574</v>
      </c>
      <c r="CG24" s="37" t="n">
        <f aca="false">'Gastos objeto'!CG22*(1-Supuestos!$C$83)</f>
        <v>5723755225.67574</v>
      </c>
      <c r="CH24" s="37" t="n">
        <f aca="false">'Gastos objeto'!CH22*(1-Supuestos!$C$83)</f>
        <v>5437567464.39195</v>
      </c>
      <c r="CI24" s="37" t="n">
        <f aca="false">'Gastos objeto'!CI22*(1-Supuestos!$C$83)</f>
        <v>4579004180.54059</v>
      </c>
      <c r="CJ24" s="37" t="n">
        <f aca="false">'Gastos objeto'!CJ22*(1-Supuestos!$C$83)</f>
        <v>2861877612.83787</v>
      </c>
      <c r="CK24" s="37" t="n">
        <f aca="false">'Gastos objeto'!CK22*(1-Supuestos!$C$83)</f>
        <v>2003314328.98651</v>
      </c>
      <c r="CL24" s="37" t="n">
        <f aca="false">'Gastos objeto'!CL22*(1-Supuestos!$C$83)</f>
        <v>3434253135.40544</v>
      </c>
      <c r="CM24" s="37" t="n">
        <f aca="false">'Gastos objeto'!CM22*(1-Supuestos!$C$83)</f>
        <v>4865191941.82438</v>
      </c>
      <c r="CN24" s="37" t="n">
        <f aca="false">'Gastos objeto'!CN22*(1-Supuestos!$C$83)</f>
        <v>5437567464.39195</v>
      </c>
      <c r="CO24" s="37" t="n">
        <f aca="false">'Gastos objeto'!CO22*(1-Supuestos!$C$83)</f>
        <v>5723755225.67574</v>
      </c>
      <c r="CP24" s="37" t="n">
        <f aca="false">'Gastos objeto'!CP22*(1-Supuestos!$C$83)</f>
        <v>5723755225.67574</v>
      </c>
      <c r="CQ24" s="37" t="n">
        <f aca="false">'Gastos objeto'!CQ22*(1-Supuestos!$C$83)</f>
        <v>5723755225.67574</v>
      </c>
      <c r="CR24" s="37" t="n">
        <f aca="false">'Gastos objeto'!CR22*(1-Supuestos!$C$83)</f>
        <v>5723755225.67574</v>
      </c>
      <c r="CS24" s="37" t="n">
        <f aca="false">'Gastos objeto'!CS22*(1-Supuestos!$C$83)</f>
        <v>5723755225.67574</v>
      </c>
      <c r="CT24" s="37" t="n">
        <f aca="false">'Gastos objeto'!CT22*(1-Supuestos!$C$83)</f>
        <v>5437567464.39195</v>
      </c>
    </row>
    <row r="25" customFormat="false" ht="15" hidden="false" customHeight="true" outlineLevel="0" collapsed="false">
      <c r="B25" s="15" t="s">
        <v>295</v>
      </c>
      <c r="C25" s="46" t="n">
        <f aca="false">Deuda!C9</f>
        <v>1532345367.91667</v>
      </c>
      <c r="D25" s="46" t="n">
        <f aca="false">Deuda!D9</f>
        <v>1532345367.91667</v>
      </c>
      <c r="E25" s="46" t="n">
        <f aca="false">Deuda!E9</f>
        <v>1532345367.91667</v>
      </c>
      <c r="F25" s="46" t="n">
        <f aca="false">Deuda!F9</f>
        <v>1532345367.91667</v>
      </c>
      <c r="G25" s="46" t="n">
        <f aca="false">Deuda!G9</f>
        <v>1532345367.91667</v>
      </c>
      <c r="H25" s="46" t="n">
        <f aca="false">Deuda!H9</f>
        <v>1532345367.91667</v>
      </c>
      <c r="I25" s="46" t="n">
        <f aca="false">Deuda!I9</f>
        <v>1532345367.91667</v>
      </c>
      <c r="J25" s="46" t="n">
        <f aca="false">Deuda!J9</f>
        <v>1532345367.91667</v>
      </c>
      <c r="K25" s="46" t="n">
        <f aca="false">Deuda!K9</f>
        <v>1532345367.91667</v>
      </c>
      <c r="L25" s="46" t="n">
        <f aca="false">Deuda!L9</f>
        <v>1532345367.91667</v>
      </c>
      <c r="M25" s="46" t="n">
        <f aca="false">Deuda!M9</f>
        <v>1532345367.91667</v>
      </c>
      <c r="N25" s="46" t="n">
        <f aca="false">Deuda!N9</f>
        <v>1532345367.91667</v>
      </c>
      <c r="O25" s="46" t="n">
        <f aca="false">Deuda!O9</f>
        <v>1532345367.91667</v>
      </c>
      <c r="P25" s="46" t="n">
        <f aca="false">Deuda!P9</f>
        <v>1532345367.91667</v>
      </c>
      <c r="Q25" s="46" t="n">
        <f aca="false">Deuda!Q9</f>
        <v>1532345367.91667</v>
      </c>
      <c r="R25" s="46" t="n">
        <f aca="false">Deuda!R9</f>
        <v>1532345367.91667</v>
      </c>
      <c r="S25" s="46" t="n">
        <f aca="false">Deuda!S9</f>
        <v>1532345367.91667</v>
      </c>
      <c r="T25" s="46" t="n">
        <f aca="false">Deuda!T9</f>
        <v>1532345367.91667</v>
      </c>
      <c r="U25" s="46" t="n">
        <f aca="false">Deuda!U9</f>
        <v>1532345367.91667</v>
      </c>
      <c r="V25" s="46" t="n">
        <f aca="false">Deuda!V9</f>
        <v>1532345367.91667</v>
      </c>
      <c r="W25" s="46" t="n">
        <f aca="false">Deuda!W9</f>
        <v>1532345367.91667</v>
      </c>
      <c r="X25" s="46" t="n">
        <f aca="false">Deuda!X9</f>
        <v>282345367.916667</v>
      </c>
      <c r="Y25" s="46" t="n">
        <f aca="false">Deuda!Y9</f>
        <v>282345367.916667</v>
      </c>
      <c r="Z25" s="46" t="n">
        <f aca="false">Deuda!Z9</f>
        <v>282345367.916667</v>
      </c>
      <c r="AA25" s="46" t="n">
        <f aca="false">Deuda!AA9</f>
        <v>282345367.916667</v>
      </c>
      <c r="AB25" s="46" t="n">
        <f aca="false">Deuda!AB9</f>
        <v>282345367.916667</v>
      </c>
      <c r="AC25" s="46" t="n">
        <f aca="false">Deuda!AC9</f>
        <v>282345367.916667</v>
      </c>
      <c r="AD25" s="46" t="n">
        <f aca="false">Deuda!AD9</f>
        <v>282345367.916667</v>
      </c>
      <c r="AE25" s="46" t="n">
        <f aca="false">Deuda!AE9</f>
        <v>282345367.916667</v>
      </c>
      <c r="AF25" s="46" t="n">
        <f aca="false">Deuda!AF9</f>
        <v>282345367.916667</v>
      </c>
      <c r="AG25" s="46" t="n">
        <f aca="false">Deuda!AG9</f>
        <v>282345367.916667</v>
      </c>
      <c r="AH25" s="46" t="n">
        <f aca="false">Deuda!AH9</f>
        <v>207622093.583322</v>
      </c>
      <c r="AI25" s="46" t="n">
        <f aca="false">Deuda!AI9</f>
        <v>0</v>
      </c>
      <c r="AJ25" s="46" t="n">
        <f aca="false">Deuda!AJ9</f>
        <v>0</v>
      </c>
      <c r="AK25" s="46" t="n">
        <f aca="false">Deuda!AK9</f>
        <v>0</v>
      </c>
      <c r="AL25" s="46" t="n">
        <f aca="false">Deuda!AL9</f>
        <v>0</v>
      </c>
      <c r="AM25" s="46" t="n">
        <f aca="false">Deuda!AM9</f>
        <v>0</v>
      </c>
      <c r="AN25" s="46" t="n">
        <f aca="false">Deuda!AN9</f>
        <v>0</v>
      </c>
      <c r="AO25" s="46" t="n">
        <f aca="false">Deuda!AO9</f>
        <v>0</v>
      </c>
      <c r="AP25" s="46" t="n">
        <f aca="false">Deuda!AP9</f>
        <v>0</v>
      </c>
      <c r="AQ25" s="46" t="n">
        <f aca="false">Deuda!AQ9</f>
        <v>0</v>
      </c>
      <c r="AR25" s="46" t="n">
        <f aca="false">Deuda!AR9</f>
        <v>0</v>
      </c>
      <c r="AS25" s="46" t="n">
        <f aca="false">Deuda!AS9</f>
        <v>0</v>
      </c>
      <c r="AT25" s="46" t="n">
        <f aca="false">Deuda!AT9</f>
        <v>0</v>
      </c>
      <c r="AU25" s="46" t="n">
        <f aca="false">Deuda!AU9</f>
        <v>0</v>
      </c>
      <c r="AV25" s="46" t="n">
        <f aca="false">Deuda!AV9</f>
        <v>0</v>
      </c>
      <c r="AW25" s="46" t="n">
        <f aca="false">Deuda!AW9</f>
        <v>0</v>
      </c>
      <c r="AX25" s="46" t="n">
        <f aca="false">Deuda!AX9</f>
        <v>0</v>
      </c>
      <c r="AY25" s="46" t="n">
        <f aca="false">Deuda!AY9</f>
        <v>0</v>
      </c>
      <c r="AZ25" s="46" t="n">
        <f aca="false">Deuda!AZ9</f>
        <v>0</v>
      </c>
      <c r="BA25" s="46" t="n">
        <f aca="false">Deuda!BA9</f>
        <v>0</v>
      </c>
      <c r="BB25" s="46" t="n">
        <f aca="false">Deuda!BB9</f>
        <v>0</v>
      </c>
      <c r="BC25" s="46" t="n">
        <f aca="false">Deuda!BC9</f>
        <v>0</v>
      </c>
      <c r="BD25" s="46" t="n">
        <f aca="false">Deuda!BD9</f>
        <v>0</v>
      </c>
      <c r="BE25" s="46" t="n">
        <f aca="false">Deuda!BE9</f>
        <v>0</v>
      </c>
      <c r="BF25" s="46" t="n">
        <f aca="false">Deuda!BF9</f>
        <v>0</v>
      </c>
      <c r="BG25" s="46" t="n">
        <f aca="false">Deuda!BG9</f>
        <v>0</v>
      </c>
      <c r="BH25" s="46" t="n">
        <f aca="false">Deuda!BH9</f>
        <v>0</v>
      </c>
      <c r="BI25" s="46" t="n">
        <f aca="false">Deuda!BI9</f>
        <v>0</v>
      </c>
      <c r="BJ25" s="46" t="n">
        <f aca="false">Deuda!BJ9</f>
        <v>0</v>
      </c>
      <c r="BK25" s="46" t="n">
        <f aca="false">Deuda!BK9</f>
        <v>0</v>
      </c>
      <c r="BL25" s="46" t="n">
        <f aca="false">Deuda!BL9</f>
        <v>0</v>
      </c>
      <c r="BM25" s="46" t="n">
        <f aca="false">Deuda!BM9</f>
        <v>0</v>
      </c>
      <c r="BN25" s="46" t="n">
        <f aca="false">Deuda!BN9</f>
        <v>0</v>
      </c>
      <c r="BO25" s="46" t="n">
        <f aca="false">Deuda!BO9</f>
        <v>0</v>
      </c>
      <c r="BP25" s="46" t="n">
        <f aca="false">Deuda!BP9</f>
        <v>0</v>
      </c>
      <c r="BQ25" s="46" t="n">
        <f aca="false">Deuda!BQ9</f>
        <v>0</v>
      </c>
      <c r="BR25" s="46" t="n">
        <f aca="false">Deuda!BR9</f>
        <v>0</v>
      </c>
      <c r="BS25" s="46" t="n">
        <f aca="false">Deuda!BS9</f>
        <v>0</v>
      </c>
      <c r="BT25" s="46" t="n">
        <f aca="false">Deuda!BT9</f>
        <v>0</v>
      </c>
      <c r="BU25" s="46" t="n">
        <f aca="false">Deuda!BU9</f>
        <v>0</v>
      </c>
      <c r="BV25" s="46" t="n">
        <f aca="false">Deuda!BV9</f>
        <v>0</v>
      </c>
      <c r="BW25" s="46" t="n">
        <f aca="false">Deuda!BW9</f>
        <v>0</v>
      </c>
      <c r="BX25" s="46" t="n">
        <f aca="false">Deuda!BX9</f>
        <v>0</v>
      </c>
      <c r="BY25" s="46" t="n">
        <f aca="false">Deuda!BY9</f>
        <v>0</v>
      </c>
      <c r="BZ25" s="46" t="n">
        <f aca="false">Deuda!BZ9</f>
        <v>0</v>
      </c>
      <c r="CA25" s="46" t="n">
        <f aca="false">Deuda!CA9</f>
        <v>0</v>
      </c>
      <c r="CB25" s="46" t="n">
        <f aca="false">Deuda!CB9</f>
        <v>0</v>
      </c>
      <c r="CC25" s="46" t="n">
        <f aca="false">Deuda!CC9</f>
        <v>0</v>
      </c>
      <c r="CD25" s="46" t="n">
        <f aca="false">Deuda!CD9</f>
        <v>0</v>
      </c>
      <c r="CE25" s="46" t="n">
        <f aca="false">Deuda!CE9</f>
        <v>0</v>
      </c>
      <c r="CF25" s="46" t="n">
        <f aca="false">Deuda!CF9</f>
        <v>0</v>
      </c>
      <c r="CG25" s="46" t="n">
        <f aca="false">Deuda!CG9</f>
        <v>0</v>
      </c>
      <c r="CH25" s="46" t="n">
        <f aca="false">Deuda!CH9</f>
        <v>0</v>
      </c>
      <c r="CI25" s="46" t="n">
        <f aca="false">Deuda!CI9</f>
        <v>0</v>
      </c>
      <c r="CJ25" s="46" t="n">
        <f aca="false">Deuda!CJ9</f>
        <v>0</v>
      </c>
      <c r="CK25" s="46" t="n">
        <f aca="false">Deuda!CK9</f>
        <v>0</v>
      </c>
      <c r="CL25" s="46" t="n">
        <f aca="false">Deuda!CL9</f>
        <v>0</v>
      </c>
      <c r="CM25" s="46" t="n">
        <f aca="false">Deuda!CM9</f>
        <v>0</v>
      </c>
      <c r="CN25" s="46" t="n">
        <f aca="false">Deuda!CN9</f>
        <v>0</v>
      </c>
      <c r="CO25" s="46" t="n">
        <f aca="false">Deuda!CO9</f>
        <v>0</v>
      </c>
      <c r="CP25" s="46" t="n">
        <f aca="false">Deuda!CP9</f>
        <v>0</v>
      </c>
      <c r="CQ25" s="46" t="n">
        <f aca="false">Deuda!CQ9</f>
        <v>0</v>
      </c>
      <c r="CR25" s="46" t="n">
        <f aca="false">Deuda!CR9</f>
        <v>0</v>
      </c>
      <c r="CS25" s="46" t="n">
        <f aca="false">Deuda!CS9</f>
        <v>0</v>
      </c>
      <c r="CT25" s="46" t="n">
        <f aca="false">Deuda!CT9</f>
        <v>0</v>
      </c>
    </row>
    <row r="26" customFormat="false" ht="15" hidden="false" customHeight="true" outlineLevel="0" collapsed="false">
      <c r="B26" s="15" t="s">
        <v>296</v>
      </c>
      <c r="C26" s="37" t="n">
        <f aca="false">IF(0&lt;Supuestos!$C$97,Supuestos!$C$60/(Supuestos!$C$97*12),0)</f>
        <v>171479166.666667</v>
      </c>
      <c r="D26" s="37" t="n">
        <f aca="false">IF(0&lt;Supuestos!$C$97,Supuestos!$C$60/(Supuestos!$C$97*12),0)</f>
        <v>171479166.666667</v>
      </c>
      <c r="E26" s="37" t="n">
        <f aca="false">IF(0&lt;Supuestos!$C$97,Supuestos!$C$60/(Supuestos!$C$97*12),0)</f>
        <v>171479166.666667</v>
      </c>
      <c r="F26" s="37" t="n">
        <f aca="false">IF(0&lt;Supuestos!$C$97,Supuestos!$C$60/(Supuestos!$C$97*12),0)</f>
        <v>171479166.666667</v>
      </c>
      <c r="G26" s="37" t="n">
        <f aca="false">IF(0&lt;Supuestos!$C$97,Supuestos!$C$60/(Supuestos!$C$97*12),0)</f>
        <v>171479166.666667</v>
      </c>
      <c r="H26" s="37" t="n">
        <f aca="false">IF(0&lt;Supuestos!$C$97,Supuestos!$C$60/(Supuestos!$C$97*12),0)</f>
        <v>171479166.666667</v>
      </c>
      <c r="I26" s="37" t="n">
        <f aca="false">IF(0&lt;Supuestos!$C$97,Supuestos!$C$60/(Supuestos!$C$97*12),0)</f>
        <v>171479166.666667</v>
      </c>
      <c r="J26" s="37" t="n">
        <f aca="false">IF(0&lt;Supuestos!$C$97,Supuestos!$C$60/(Supuestos!$C$97*12),0)</f>
        <v>171479166.666667</v>
      </c>
      <c r="K26" s="37" t="n">
        <f aca="false">IF(0&lt;Supuestos!$C$97,Supuestos!$C$60/(Supuestos!$C$97*12),0)</f>
        <v>171479166.666667</v>
      </c>
      <c r="L26" s="37" t="n">
        <f aca="false">IF(0&lt;Supuestos!$C$97,Supuestos!$C$60/(Supuestos!$C$97*12),0)</f>
        <v>171479166.666667</v>
      </c>
      <c r="M26" s="37" t="n">
        <f aca="false">IF(0&lt;Supuestos!$C$97,Supuestos!$C$60/(Supuestos!$C$97*12),0)</f>
        <v>171479166.666667</v>
      </c>
      <c r="N26" s="37" t="n">
        <f aca="false">IF(0&lt;Supuestos!$C$97,Supuestos!$C$60/(Supuestos!$C$97*12),0)</f>
        <v>171479166.666667</v>
      </c>
      <c r="O26" s="37" t="n">
        <f aca="false">IF(1&lt;Supuestos!$C$97,Supuestos!$C$60/(Supuestos!$C$97*12),0)</f>
        <v>171479166.666667</v>
      </c>
      <c r="P26" s="37" t="n">
        <f aca="false">IF(1&lt;Supuestos!$C$97,Supuestos!$C$60/(Supuestos!$C$97*12),0)</f>
        <v>171479166.666667</v>
      </c>
      <c r="Q26" s="37" t="n">
        <f aca="false">IF(1&lt;Supuestos!$C$97,Supuestos!$C$60/(Supuestos!$C$97*12),0)</f>
        <v>171479166.666667</v>
      </c>
      <c r="R26" s="37" t="n">
        <f aca="false">IF(1&lt;Supuestos!$C$97,Supuestos!$C$60/(Supuestos!$C$97*12),0)</f>
        <v>171479166.666667</v>
      </c>
      <c r="S26" s="37" t="n">
        <f aca="false">IF(1&lt;Supuestos!$C$97,Supuestos!$C$60/(Supuestos!$C$97*12),0)</f>
        <v>171479166.666667</v>
      </c>
      <c r="T26" s="37" t="n">
        <f aca="false">IF(1&lt;Supuestos!$C$97,Supuestos!$C$60/(Supuestos!$C$97*12),0)</f>
        <v>171479166.666667</v>
      </c>
      <c r="U26" s="37" t="n">
        <f aca="false">IF(1&lt;Supuestos!$C$97,Supuestos!$C$60/(Supuestos!$C$97*12),0)</f>
        <v>171479166.666667</v>
      </c>
      <c r="V26" s="37" t="n">
        <f aca="false">IF(1&lt;Supuestos!$C$97,Supuestos!$C$60/(Supuestos!$C$97*12),0)</f>
        <v>171479166.666667</v>
      </c>
      <c r="W26" s="37" t="n">
        <f aca="false">IF(1&lt;Supuestos!$C$97,Supuestos!$C$60/(Supuestos!$C$97*12),0)</f>
        <v>171479166.666667</v>
      </c>
      <c r="X26" s="37" t="n">
        <f aca="false">IF(1&lt;Supuestos!$C$97,Supuestos!$C$60/(Supuestos!$C$97*12),0)</f>
        <v>171479166.666667</v>
      </c>
      <c r="Y26" s="37" t="n">
        <f aca="false">IF(1&lt;Supuestos!$C$97,Supuestos!$C$60/(Supuestos!$C$97*12),0)</f>
        <v>171479166.666667</v>
      </c>
      <c r="Z26" s="37" t="n">
        <f aca="false">IF(1&lt;Supuestos!$C$97,Supuestos!$C$60/(Supuestos!$C$97*12),0)</f>
        <v>171479166.666667</v>
      </c>
      <c r="AA26" s="37" t="n">
        <f aca="false">IF(2&lt;Supuestos!$C$97,Supuestos!$C$60/(Supuestos!$C$97*12),0)</f>
        <v>171479166.666667</v>
      </c>
      <c r="AB26" s="37" t="n">
        <f aca="false">IF(2&lt;Supuestos!$C$97,Supuestos!$C$60/(Supuestos!$C$97*12),0)</f>
        <v>171479166.666667</v>
      </c>
      <c r="AC26" s="37" t="n">
        <f aca="false">IF(2&lt;Supuestos!$C$97,Supuestos!$C$60/(Supuestos!$C$97*12),0)</f>
        <v>171479166.666667</v>
      </c>
      <c r="AD26" s="37" t="n">
        <f aca="false">IF(2&lt;Supuestos!$C$97,Supuestos!$C$60/(Supuestos!$C$97*12),0)</f>
        <v>171479166.666667</v>
      </c>
      <c r="AE26" s="37" t="n">
        <f aca="false">IF(2&lt;Supuestos!$C$97,Supuestos!$C$60/(Supuestos!$C$97*12),0)</f>
        <v>171479166.666667</v>
      </c>
      <c r="AF26" s="37" t="n">
        <f aca="false">IF(2&lt;Supuestos!$C$97,Supuestos!$C$60/(Supuestos!$C$97*12),0)</f>
        <v>171479166.666667</v>
      </c>
      <c r="AG26" s="37" t="n">
        <f aca="false">IF(2&lt;Supuestos!$C$97,Supuestos!$C$60/(Supuestos!$C$97*12),0)</f>
        <v>171479166.666667</v>
      </c>
      <c r="AH26" s="37" t="n">
        <f aca="false">IF(2&lt;Supuestos!$C$97,Supuestos!$C$60/(Supuestos!$C$97*12),0)</f>
        <v>171479166.666667</v>
      </c>
      <c r="AI26" s="37" t="n">
        <f aca="false">IF(2&lt;Supuestos!$C$97,Supuestos!$C$60/(Supuestos!$C$97*12),0)</f>
        <v>171479166.666667</v>
      </c>
      <c r="AJ26" s="37" t="n">
        <f aca="false">IF(2&lt;Supuestos!$C$97,Supuestos!$C$60/(Supuestos!$C$97*12),0)</f>
        <v>171479166.666667</v>
      </c>
      <c r="AK26" s="37" t="n">
        <f aca="false">IF(2&lt;Supuestos!$C$97,Supuestos!$C$60/(Supuestos!$C$97*12),0)</f>
        <v>171479166.666667</v>
      </c>
      <c r="AL26" s="37" t="n">
        <f aca="false">IF(2&lt;Supuestos!$C$97,Supuestos!$C$60/(Supuestos!$C$97*12),0)</f>
        <v>171479166.666667</v>
      </c>
      <c r="AM26" s="37" t="n">
        <f aca="false">IF(3&lt;Supuestos!$C$97,Supuestos!$C$60/(Supuestos!$C$97*12),0)</f>
        <v>171479166.666667</v>
      </c>
      <c r="AN26" s="37" t="n">
        <f aca="false">IF(3&lt;Supuestos!$C$97,Supuestos!$C$60/(Supuestos!$C$97*12),0)</f>
        <v>171479166.666667</v>
      </c>
      <c r="AO26" s="37" t="n">
        <f aca="false">IF(3&lt;Supuestos!$C$97,Supuestos!$C$60/(Supuestos!$C$97*12),0)</f>
        <v>171479166.666667</v>
      </c>
      <c r="AP26" s="37" t="n">
        <f aca="false">IF(3&lt;Supuestos!$C$97,Supuestos!$C$60/(Supuestos!$C$97*12),0)</f>
        <v>171479166.666667</v>
      </c>
      <c r="AQ26" s="37" t="n">
        <f aca="false">IF(3&lt;Supuestos!$C$97,Supuestos!$C$60/(Supuestos!$C$97*12),0)</f>
        <v>171479166.666667</v>
      </c>
      <c r="AR26" s="37" t="n">
        <f aca="false">IF(3&lt;Supuestos!$C$97,Supuestos!$C$60/(Supuestos!$C$97*12),0)</f>
        <v>171479166.666667</v>
      </c>
      <c r="AS26" s="37" t="n">
        <f aca="false">IF(3&lt;Supuestos!$C$97,Supuestos!$C$60/(Supuestos!$C$97*12),0)</f>
        <v>171479166.666667</v>
      </c>
      <c r="AT26" s="37" t="n">
        <f aca="false">IF(3&lt;Supuestos!$C$97,Supuestos!$C$60/(Supuestos!$C$97*12),0)</f>
        <v>171479166.666667</v>
      </c>
      <c r="AU26" s="37" t="n">
        <f aca="false">IF(3&lt;Supuestos!$C$97,Supuestos!$C$60/(Supuestos!$C$97*12),0)</f>
        <v>171479166.666667</v>
      </c>
      <c r="AV26" s="37" t="n">
        <f aca="false">IF(3&lt;Supuestos!$C$97,Supuestos!$C$60/(Supuestos!$C$97*12),0)</f>
        <v>171479166.666667</v>
      </c>
      <c r="AW26" s="37" t="n">
        <f aca="false">IF(3&lt;Supuestos!$C$97,Supuestos!$C$60/(Supuestos!$C$97*12),0)</f>
        <v>171479166.666667</v>
      </c>
      <c r="AX26" s="37" t="n">
        <f aca="false">IF(3&lt;Supuestos!$C$97,Supuestos!$C$60/(Supuestos!$C$97*12),0)</f>
        <v>171479166.666667</v>
      </c>
      <c r="AY26" s="37" t="n">
        <f aca="false">IF(4&lt;Supuestos!$C$97,Supuestos!$C$60/(Supuestos!$C$97*12),0)</f>
        <v>0</v>
      </c>
      <c r="AZ26" s="37" t="n">
        <f aca="false">IF(4&lt;Supuestos!$C$97,Supuestos!$C$60/(Supuestos!$C$97*12),0)</f>
        <v>0</v>
      </c>
      <c r="BA26" s="37" t="n">
        <f aca="false">IF(4&lt;Supuestos!$C$97,Supuestos!$C$60/(Supuestos!$C$97*12),0)</f>
        <v>0</v>
      </c>
      <c r="BB26" s="37" t="n">
        <f aca="false">IF(4&lt;Supuestos!$C$97,Supuestos!$C$60/(Supuestos!$C$97*12),0)</f>
        <v>0</v>
      </c>
      <c r="BC26" s="37" t="n">
        <f aca="false">IF(4&lt;Supuestos!$C$97,Supuestos!$C$60/(Supuestos!$C$97*12),0)</f>
        <v>0</v>
      </c>
      <c r="BD26" s="37" t="n">
        <f aca="false">IF(4&lt;Supuestos!$C$97,Supuestos!$C$60/(Supuestos!$C$97*12),0)</f>
        <v>0</v>
      </c>
      <c r="BE26" s="37" t="n">
        <f aca="false">IF(4&lt;Supuestos!$C$97,Supuestos!$C$60/(Supuestos!$C$97*12),0)</f>
        <v>0</v>
      </c>
      <c r="BF26" s="37" t="n">
        <f aca="false">IF(4&lt;Supuestos!$C$97,Supuestos!$C$60/(Supuestos!$C$97*12),0)</f>
        <v>0</v>
      </c>
      <c r="BG26" s="37" t="n">
        <f aca="false">IF(4&lt;Supuestos!$C$97,Supuestos!$C$60/(Supuestos!$C$97*12),0)</f>
        <v>0</v>
      </c>
      <c r="BH26" s="37" t="n">
        <f aca="false">IF(4&lt;Supuestos!$C$97,Supuestos!$C$60/(Supuestos!$C$97*12),0)</f>
        <v>0</v>
      </c>
      <c r="BI26" s="37" t="n">
        <f aca="false">IF(4&lt;Supuestos!$C$97,Supuestos!$C$60/(Supuestos!$C$97*12),0)</f>
        <v>0</v>
      </c>
      <c r="BJ26" s="37" t="n">
        <f aca="false">IF(4&lt;Supuestos!$C$97,Supuestos!$C$60/(Supuestos!$C$97*12),0)</f>
        <v>0</v>
      </c>
      <c r="BK26" s="37" t="n">
        <f aca="false">IF(5&lt;Supuestos!$C$97,Supuestos!$C$60/(Supuestos!$C$97*12),0)</f>
        <v>0</v>
      </c>
      <c r="BL26" s="37" t="n">
        <f aca="false">IF(5&lt;Supuestos!$C$97,Supuestos!$C$60/(Supuestos!$C$97*12),0)</f>
        <v>0</v>
      </c>
      <c r="BM26" s="37" t="n">
        <f aca="false">IF(5&lt;Supuestos!$C$97,Supuestos!$C$60/(Supuestos!$C$97*12),0)</f>
        <v>0</v>
      </c>
      <c r="BN26" s="37" t="n">
        <f aca="false">IF(5&lt;Supuestos!$C$97,Supuestos!$C$60/(Supuestos!$C$97*12),0)</f>
        <v>0</v>
      </c>
      <c r="BO26" s="37" t="n">
        <f aca="false">IF(5&lt;Supuestos!$C$97,Supuestos!$C$60/(Supuestos!$C$97*12),0)</f>
        <v>0</v>
      </c>
      <c r="BP26" s="37" t="n">
        <f aca="false">IF(5&lt;Supuestos!$C$97,Supuestos!$C$60/(Supuestos!$C$97*12),0)</f>
        <v>0</v>
      </c>
      <c r="BQ26" s="37" t="n">
        <f aca="false">IF(5&lt;Supuestos!$C$97,Supuestos!$C$60/(Supuestos!$C$97*12),0)</f>
        <v>0</v>
      </c>
      <c r="BR26" s="37" t="n">
        <f aca="false">IF(5&lt;Supuestos!$C$97,Supuestos!$C$60/(Supuestos!$C$97*12),0)</f>
        <v>0</v>
      </c>
      <c r="BS26" s="37" t="n">
        <f aca="false">IF(5&lt;Supuestos!$C$97,Supuestos!$C$60/(Supuestos!$C$97*12),0)</f>
        <v>0</v>
      </c>
      <c r="BT26" s="37" t="n">
        <f aca="false">IF(5&lt;Supuestos!$C$97,Supuestos!$C$60/(Supuestos!$C$97*12),0)</f>
        <v>0</v>
      </c>
      <c r="BU26" s="37" t="n">
        <f aca="false">IF(5&lt;Supuestos!$C$97,Supuestos!$C$60/(Supuestos!$C$97*12),0)</f>
        <v>0</v>
      </c>
      <c r="BV26" s="37" t="n">
        <f aca="false">IF(5&lt;Supuestos!$C$97,Supuestos!$C$60/(Supuestos!$C$97*12),0)</f>
        <v>0</v>
      </c>
      <c r="BW26" s="37" t="n">
        <f aca="false">IF(6&lt;Supuestos!$C$97,Supuestos!$C$60/(Supuestos!$C$97*12),0)</f>
        <v>0</v>
      </c>
      <c r="BX26" s="37" t="n">
        <f aca="false">IF(6&lt;Supuestos!$C$97,Supuestos!$C$60/(Supuestos!$C$97*12),0)</f>
        <v>0</v>
      </c>
      <c r="BY26" s="37" t="n">
        <f aca="false">IF(6&lt;Supuestos!$C$97,Supuestos!$C$60/(Supuestos!$C$97*12),0)</f>
        <v>0</v>
      </c>
      <c r="BZ26" s="37" t="n">
        <f aca="false">IF(6&lt;Supuestos!$C$97,Supuestos!$C$60/(Supuestos!$C$97*12),0)</f>
        <v>0</v>
      </c>
      <c r="CA26" s="37" t="n">
        <f aca="false">IF(6&lt;Supuestos!$C$97,Supuestos!$C$60/(Supuestos!$C$97*12),0)</f>
        <v>0</v>
      </c>
      <c r="CB26" s="37" t="n">
        <f aca="false">IF(6&lt;Supuestos!$C$97,Supuestos!$C$60/(Supuestos!$C$97*12),0)</f>
        <v>0</v>
      </c>
      <c r="CC26" s="37" t="n">
        <f aca="false">IF(6&lt;Supuestos!$C$97,Supuestos!$C$60/(Supuestos!$C$97*12),0)</f>
        <v>0</v>
      </c>
      <c r="CD26" s="37" t="n">
        <f aca="false">IF(6&lt;Supuestos!$C$97,Supuestos!$C$60/(Supuestos!$C$97*12),0)</f>
        <v>0</v>
      </c>
      <c r="CE26" s="37" t="n">
        <f aca="false">IF(6&lt;Supuestos!$C$97,Supuestos!$C$60/(Supuestos!$C$97*12),0)</f>
        <v>0</v>
      </c>
      <c r="CF26" s="37" t="n">
        <f aca="false">IF(6&lt;Supuestos!$C$97,Supuestos!$C$60/(Supuestos!$C$97*12),0)</f>
        <v>0</v>
      </c>
      <c r="CG26" s="37" t="n">
        <f aca="false">IF(6&lt;Supuestos!$C$97,Supuestos!$C$60/(Supuestos!$C$97*12),0)</f>
        <v>0</v>
      </c>
      <c r="CH26" s="37" t="n">
        <f aca="false">IF(6&lt;Supuestos!$C$97,Supuestos!$C$60/(Supuestos!$C$97*12),0)</f>
        <v>0</v>
      </c>
      <c r="CI26" s="37" t="n">
        <f aca="false">IF(7&lt;Supuestos!$C$97,Supuestos!$C$60/(Supuestos!$C$97*12),0)</f>
        <v>0</v>
      </c>
      <c r="CJ26" s="37" t="n">
        <f aca="false">IF(7&lt;Supuestos!$C$97,Supuestos!$C$60/(Supuestos!$C$97*12),0)</f>
        <v>0</v>
      </c>
      <c r="CK26" s="37" t="n">
        <f aca="false">IF(7&lt;Supuestos!$C$97,Supuestos!$C$60/(Supuestos!$C$97*12),0)</f>
        <v>0</v>
      </c>
      <c r="CL26" s="37" t="n">
        <f aca="false">IF(7&lt;Supuestos!$C$97,Supuestos!$C$60/(Supuestos!$C$97*12),0)</f>
        <v>0</v>
      </c>
      <c r="CM26" s="37" t="n">
        <f aca="false">IF(7&lt;Supuestos!$C$97,Supuestos!$C$60/(Supuestos!$C$97*12),0)</f>
        <v>0</v>
      </c>
      <c r="CN26" s="37" t="n">
        <f aca="false">IF(7&lt;Supuestos!$C$97,Supuestos!$C$60/(Supuestos!$C$97*12),0)</f>
        <v>0</v>
      </c>
      <c r="CO26" s="37" t="n">
        <f aca="false">IF(7&lt;Supuestos!$C$97,Supuestos!$C$60/(Supuestos!$C$97*12),0)</f>
        <v>0</v>
      </c>
      <c r="CP26" s="37" t="n">
        <f aca="false">IF(7&lt;Supuestos!$C$97,Supuestos!$C$60/(Supuestos!$C$97*12),0)</f>
        <v>0</v>
      </c>
      <c r="CQ26" s="37" t="n">
        <f aca="false">IF(7&lt;Supuestos!$C$97,Supuestos!$C$60/(Supuestos!$C$97*12),0)</f>
        <v>0</v>
      </c>
      <c r="CR26" s="37" t="n">
        <f aca="false">IF(7&lt;Supuestos!$C$97,Supuestos!$C$60/(Supuestos!$C$97*12),0)</f>
        <v>0</v>
      </c>
      <c r="CS26" s="37" t="n">
        <f aca="false">IF(7&lt;Supuestos!$C$97,Supuestos!$C$60/(Supuestos!$C$97*12),0)</f>
        <v>0</v>
      </c>
      <c r="CT26" s="37" t="n">
        <f aca="false">IF(7&lt;Supuestos!$C$97,Supuestos!$C$60/(Supuestos!$C$97*12),0)</f>
        <v>0</v>
      </c>
    </row>
    <row r="27" customFormat="false" ht="15" hidden="false" customHeight="true" outlineLevel="0" collapsed="false">
      <c r="B27" s="38" t="s">
        <v>297</v>
      </c>
      <c r="C27" s="39" t="n">
        <f aca="false">SUM(C22:C26)</f>
        <v>20306208630.2174</v>
      </c>
      <c r="D27" s="39" t="n">
        <f aca="false">SUM(D22:D26)</f>
        <v>21155612473.8888</v>
      </c>
      <c r="E27" s="39" t="n">
        <f aca="false">SUM(E22:E26)</f>
        <v>20869424712.605</v>
      </c>
      <c r="F27" s="39" t="n">
        <f aca="false">SUM(F22:F26)</f>
        <v>22683978917.0281</v>
      </c>
      <c r="G27" s="39" t="n">
        <f aca="false">SUM(G22:G26)</f>
        <v>24114917723.4471</v>
      </c>
      <c r="H27" s="39" t="n">
        <f aca="false">SUM(H22:H26)</f>
        <v>27949150826.9442</v>
      </c>
      <c r="I27" s="39" t="n">
        <f aca="false">SUM(I22:I26)</f>
        <v>24973481007.2984</v>
      </c>
      <c r="J27" s="39" t="n">
        <f aca="false">SUM(J22:J26)</f>
        <v>24973481007.2984</v>
      </c>
      <c r="K27" s="39" t="n">
        <f aca="false">SUM(K22:K26)</f>
        <v>24973481007.2984</v>
      </c>
      <c r="L27" s="39" t="n">
        <f aca="false">SUM(L22:L26)</f>
        <v>24973481007.2984</v>
      </c>
      <c r="M27" s="39" t="n">
        <f aca="false">SUM(M22:M26)</f>
        <v>25016091318.3493</v>
      </c>
      <c r="N27" s="39" t="n">
        <f aca="false">SUM(N22:N26)</f>
        <v>27991761137.9951</v>
      </c>
      <c r="O27" s="39" t="n">
        <f aca="false">SUM(O22:O26)</f>
        <v>23253306865.157</v>
      </c>
      <c r="P27" s="39" t="n">
        <f aca="false">SUM(P22:P26)</f>
        <v>21596216266.3777</v>
      </c>
      <c r="Q27" s="39" t="n">
        <f aca="false">SUM(Q22:Q26)</f>
        <v>21014681303.6302</v>
      </c>
      <c r="R27" s="39" t="n">
        <f aca="false">SUM(R22:R26)</f>
        <v>22829235508.0533</v>
      </c>
      <c r="S27" s="39" t="n">
        <f aca="false">SUM(S22:S26)</f>
        <v>24260174314.4722</v>
      </c>
      <c r="T27" s="39" t="n">
        <f aca="false">SUM(T22:T26)</f>
        <v>28094407417.9694</v>
      </c>
      <c r="U27" s="39" t="n">
        <f aca="false">SUM(U22:U26)</f>
        <v>25118737598.3236</v>
      </c>
      <c r="V27" s="39" t="n">
        <f aca="false">SUM(V22:V26)</f>
        <v>25118737598.3236</v>
      </c>
      <c r="W27" s="39" t="n">
        <f aca="false">SUM(W22:W26)</f>
        <v>25118737598.3236</v>
      </c>
      <c r="X27" s="39" t="n">
        <f aca="false">SUM(X22:X26)</f>
        <v>23868737598.3236</v>
      </c>
      <c r="Y27" s="39" t="n">
        <f aca="false">SUM(Y22:Y26)</f>
        <v>23911347909.3744</v>
      </c>
      <c r="Z27" s="39" t="n">
        <f aca="false">SUM(Z22:Z26)</f>
        <v>26887017729.0203</v>
      </c>
      <c r="AA27" s="39" t="n">
        <f aca="false">SUM(AA22:AA26)</f>
        <v>22148563456.1822</v>
      </c>
      <c r="AB27" s="39" t="n">
        <f aca="false">SUM(AB22:AB26)</f>
        <v>20491472857.4029</v>
      </c>
      <c r="AC27" s="39" t="n">
        <f aca="false">SUM(AC22:AC26)</f>
        <v>19909937894.6554</v>
      </c>
      <c r="AD27" s="39" t="n">
        <f aca="false">SUM(AD22:AD26)</f>
        <v>21724492099.0784</v>
      </c>
      <c r="AE27" s="39" t="n">
        <f aca="false">SUM(AE22:AE26)</f>
        <v>23155430905.4974</v>
      </c>
      <c r="AF27" s="39" t="n">
        <f aca="false">SUM(AF22:AF26)</f>
        <v>26989664008.9946</v>
      </c>
      <c r="AG27" s="39" t="n">
        <f aca="false">SUM(AG22:AG26)</f>
        <v>24013994189.3487</v>
      </c>
      <c r="AH27" s="39" t="n">
        <f aca="false">SUM(AH22:AH26)</f>
        <v>23939270915.0154</v>
      </c>
      <c r="AI27" s="39" t="n">
        <f aca="false">SUM(AI22:AI26)</f>
        <v>23731648821.4321</v>
      </c>
      <c r="AJ27" s="39" t="n">
        <f aca="false">SUM(AJ22:AJ26)</f>
        <v>23731648821.4321</v>
      </c>
      <c r="AK27" s="39" t="n">
        <f aca="false">SUM(AK22:AK26)</f>
        <v>23774259132.4829</v>
      </c>
      <c r="AL27" s="39" t="n">
        <f aca="false">SUM(AL22:AL26)</f>
        <v>26749928952.1288</v>
      </c>
      <c r="AM27" s="39" t="n">
        <f aca="false">SUM(AM22:AM26)</f>
        <v>22011474679.2907</v>
      </c>
      <c r="AN27" s="39" t="n">
        <f aca="false">SUM(AN22:AN26)</f>
        <v>20354384080.5114</v>
      </c>
      <c r="AO27" s="39" t="n">
        <f aca="false">SUM(AO22:AO26)</f>
        <v>19772849117.7639</v>
      </c>
      <c r="AP27" s="39" t="n">
        <f aca="false">SUM(AP22:AP26)</f>
        <v>21587403322.1869</v>
      </c>
      <c r="AQ27" s="39" t="n">
        <f aca="false">SUM(AQ22:AQ26)</f>
        <v>23018342128.6059</v>
      </c>
      <c r="AR27" s="39" t="n">
        <f aca="false">SUM(AR22:AR26)</f>
        <v>26852575232.1031</v>
      </c>
      <c r="AS27" s="39" t="n">
        <f aca="false">SUM(AS22:AS26)</f>
        <v>23876905412.4572</v>
      </c>
      <c r="AT27" s="39" t="n">
        <f aca="false">SUM(AT22:AT26)</f>
        <v>23876905412.4572</v>
      </c>
      <c r="AU27" s="39" t="n">
        <f aca="false">SUM(AU22:AU26)</f>
        <v>23876905412.4572</v>
      </c>
      <c r="AV27" s="39" t="n">
        <f aca="false">SUM(AV22:AV26)</f>
        <v>23876905412.4572</v>
      </c>
      <c r="AW27" s="39" t="n">
        <f aca="false">SUM(AW22:AW26)</f>
        <v>23919515723.5081</v>
      </c>
      <c r="AX27" s="39" t="n">
        <f aca="false">SUM(AX22:AX26)</f>
        <v>26895185543.1539</v>
      </c>
      <c r="AY27" s="39" t="n">
        <f aca="false">SUM(AY22:AY26)</f>
        <v>21985252103.6492</v>
      </c>
      <c r="AZ27" s="39" t="n">
        <f aca="false">SUM(AZ22:AZ26)</f>
        <v>20182904913.8447</v>
      </c>
      <c r="BA27" s="39" t="n">
        <f aca="false">SUM(BA22:BA26)</f>
        <v>19601369951.0972</v>
      </c>
      <c r="BB27" s="39" t="n">
        <f aca="false">SUM(BB22:BB26)</f>
        <v>21415924155.5203</v>
      </c>
      <c r="BC27" s="39" t="n">
        <f aca="false">SUM(BC22:BC26)</f>
        <v>22846862961.9392</v>
      </c>
      <c r="BD27" s="39" t="n">
        <f aca="false">SUM(BD22:BD26)</f>
        <v>26681096065.4364</v>
      </c>
      <c r="BE27" s="39" t="n">
        <f aca="false">SUM(BE22:BE26)</f>
        <v>23705426245.7906</v>
      </c>
      <c r="BF27" s="39" t="n">
        <f aca="false">SUM(BF22:BF26)</f>
        <v>23705426245.7906</v>
      </c>
      <c r="BG27" s="39" t="n">
        <f aca="false">SUM(BG22:BG26)</f>
        <v>23705426245.7906</v>
      </c>
      <c r="BH27" s="39" t="n">
        <f aca="false">SUM(BH22:BH26)</f>
        <v>23705426245.7906</v>
      </c>
      <c r="BI27" s="39" t="n">
        <f aca="false">SUM(BI22:BI26)</f>
        <v>23748036556.8414</v>
      </c>
      <c r="BJ27" s="39" t="n">
        <f aca="false">SUM(BJ22:BJ26)</f>
        <v>26723706376.4873</v>
      </c>
      <c r="BK27" s="39" t="n">
        <f aca="false">SUM(BK22:BK26)</f>
        <v>21985252103.6492</v>
      </c>
      <c r="BL27" s="39" t="n">
        <f aca="false">SUM(BL22:BL26)</f>
        <v>20182904913.8447</v>
      </c>
      <c r="BM27" s="39" t="n">
        <f aca="false">SUM(BM22:BM26)</f>
        <v>19601369951.0972</v>
      </c>
      <c r="BN27" s="39" t="n">
        <f aca="false">SUM(BN22:BN26)</f>
        <v>21415924155.5203</v>
      </c>
      <c r="BO27" s="39" t="n">
        <f aca="false">SUM(BO22:BO26)</f>
        <v>22846862961.9392</v>
      </c>
      <c r="BP27" s="39" t="n">
        <f aca="false">SUM(BP22:BP26)</f>
        <v>26681096065.4364</v>
      </c>
      <c r="BQ27" s="39" t="n">
        <f aca="false">SUM(BQ22:BQ26)</f>
        <v>23705426245.7906</v>
      </c>
      <c r="BR27" s="39" t="n">
        <f aca="false">SUM(BR22:BR26)</f>
        <v>23705426245.7906</v>
      </c>
      <c r="BS27" s="39" t="n">
        <f aca="false">SUM(BS22:BS26)</f>
        <v>23705426245.7906</v>
      </c>
      <c r="BT27" s="39" t="n">
        <f aca="false">SUM(BT22:BT26)</f>
        <v>23705426245.7906</v>
      </c>
      <c r="BU27" s="39" t="n">
        <f aca="false">SUM(BU22:BU26)</f>
        <v>23748036556.8414</v>
      </c>
      <c r="BV27" s="39" t="n">
        <f aca="false">SUM(BV22:BV26)</f>
        <v>26723706376.4873</v>
      </c>
      <c r="BW27" s="39" t="n">
        <f aca="false">SUM(BW22:BW26)</f>
        <v>21985252103.6492</v>
      </c>
      <c r="BX27" s="39" t="n">
        <f aca="false">SUM(BX22:BX26)</f>
        <v>20182904913.8447</v>
      </c>
      <c r="BY27" s="39" t="n">
        <f aca="false">SUM(BY22:BY26)</f>
        <v>19601369951.0972</v>
      </c>
      <c r="BZ27" s="39" t="n">
        <f aca="false">SUM(BZ22:BZ26)</f>
        <v>21415924155.5203</v>
      </c>
      <c r="CA27" s="39" t="n">
        <f aca="false">SUM(CA22:CA26)</f>
        <v>22846862961.9392</v>
      </c>
      <c r="CB27" s="39" t="n">
        <f aca="false">SUM(CB22:CB26)</f>
        <v>26681096065.4364</v>
      </c>
      <c r="CC27" s="39" t="n">
        <f aca="false">SUM(CC22:CC26)</f>
        <v>23705426245.7906</v>
      </c>
      <c r="CD27" s="39" t="n">
        <f aca="false">SUM(CD22:CD26)</f>
        <v>23705426245.7906</v>
      </c>
      <c r="CE27" s="39" t="n">
        <f aca="false">SUM(CE22:CE26)</f>
        <v>23705426245.7906</v>
      </c>
      <c r="CF27" s="39" t="n">
        <f aca="false">SUM(CF22:CF26)</f>
        <v>23705426245.7906</v>
      </c>
      <c r="CG27" s="39" t="n">
        <f aca="false">SUM(CG22:CG26)</f>
        <v>23748036556.8414</v>
      </c>
      <c r="CH27" s="39" t="n">
        <f aca="false">SUM(CH22:CH26)</f>
        <v>26723706376.4873</v>
      </c>
      <c r="CI27" s="39" t="n">
        <f aca="false">SUM(CI22:CI26)</f>
        <v>21985252103.6492</v>
      </c>
      <c r="CJ27" s="39" t="n">
        <f aca="false">SUM(CJ22:CJ26)</f>
        <v>20182904913.8447</v>
      </c>
      <c r="CK27" s="39" t="n">
        <f aca="false">SUM(CK22:CK26)</f>
        <v>19601369951.0972</v>
      </c>
      <c r="CL27" s="39" t="n">
        <f aca="false">SUM(CL22:CL26)</f>
        <v>21415924155.5203</v>
      </c>
      <c r="CM27" s="39" t="n">
        <f aca="false">SUM(CM22:CM26)</f>
        <v>22846862961.9392</v>
      </c>
      <c r="CN27" s="39" t="n">
        <f aca="false">SUM(CN22:CN26)</f>
        <v>26681096065.4364</v>
      </c>
      <c r="CO27" s="39" t="n">
        <f aca="false">SUM(CO22:CO26)</f>
        <v>23705426245.7906</v>
      </c>
      <c r="CP27" s="39" t="n">
        <f aca="false">SUM(CP22:CP26)</f>
        <v>23705426245.7906</v>
      </c>
      <c r="CQ27" s="39" t="n">
        <f aca="false">SUM(CQ22:CQ26)</f>
        <v>23705426245.7906</v>
      </c>
      <c r="CR27" s="39" t="n">
        <f aca="false">SUM(CR22:CR26)</f>
        <v>23705426245.7906</v>
      </c>
      <c r="CS27" s="39" t="n">
        <f aca="false">SUM(CS22:CS26)</f>
        <v>23748036556.8414</v>
      </c>
      <c r="CT27" s="39" t="n">
        <f aca="false">SUM(CT22:CT26)</f>
        <v>26723706376.4873</v>
      </c>
    </row>
    <row r="29" customFormat="false" ht="15" hidden="false" customHeight="true" outlineLevel="0" collapsed="false">
      <c r="B29" s="35" t="s">
        <v>298</v>
      </c>
      <c r="C29" s="36"/>
      <c r="D29" s="36"/>
      <c r="E29" s="36"/>
      <c r="F29" s="36"/>
      <c r="G29" s="36"/>
      <c r="H29" s="36"/>
      <c r="I29" s="36"/>
      <c r="J29" s="36"/>
      <c r="K29" s="36"/>
      <c r="L29" s="36"/>
      <c r="M29" s="36"/>
      <c r="N29" s="36"/>
      <c r="O29" s="36"/>
      <c r="P29" s="36"/>
      <c r="Q29" s="36"/>
      <c r="R29" s="36"/>
      <c r="S29" s="36"/>
      <c r="T29" s="36"/>
      <c r="U29" s="36"/>
      <c r="V29" s="36"/>
      <c r="W29" s="36"/>
      <c r="X29" s="36"/>
      <c r="Y29" s="36"/>
      <c r="Z29" s="36"/>
      <c r="AA29" s="36"/>
      <c r="AB29" s="36"/>
      <c r="AC29" s="36"/>
      <c r="AD29" s="36"/>
      <c r="AE29" s="36"/>
      <c r="AF29" s="36"/>
      <c r="AG29" s="36"/>
      <c r="AH29" s="36"/>
      <c r="AI29" s="36"/>
      <c r="AJ29" s="36"/>
      <c r="AK29" s="36"/>
      <c r="AL29" s="36"/>
      <c r="AM29" s="36"/>
      <c r="AN29" s="36"/>
      <c r="AO29" s="36"/>
      <c r="AP29" s="36"/>
      <c r="AQ29" s="36"/>
      <c r="AR29" s="36"/>
      <c r="AS29" s="36"/>
      <c r="AT29" s="36"/>
      <c r="AU29" s="36"/>
      <c r="AV29" s="36"/>
      <c r="AW29" s="36"/>
      <c r="AX29" s="36"/>
      <c r="AY29" s="36"/>
      <c r="AZ29" s="36"/>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customFormat="false" ht="15" hidden="false" customHeight="true" outlineLevel="0" collapsed="false">
      <c r="B30" s="15" t="s">
        <v>299</v>
      </c>
      <c r="C30" s="37" t="n">
        <f aca="false">('Gastos objeto'!C8+'Gastos objeto'!C9)*Supuestos!$C$81</f>
        <v>1901079268.85169</v>
      </c>
      <c r="D30" s="37" t="n">
        <f aca="false">('Gastos objeto'!D8+'Gastos objeto'!D9)*Supuestos!$C$81</f>
        <v>1901079268.85169</v>
      </c>
      <c r="E30" s="37" t="n">
        <f aca="false">('Gastos objeto'!E8+'Gastos objeto'!E9)*Supuestos!$C$81</f>
        <v>1901079268.85169</v>
      </c>
      <c r="F30" s="37" t="n">
        <f aca="false">('Gastos objeto'!F8+'Gastos objeto'!F9)*Supuestos!$C$81</f>
        <v>1901079268.85169</v>
      </c>
      <c r="G30" s="37" t="n">
        <f aca="false">('Gastos objeto'!G8+'Gastos objeto'!G9)*Supuestos!$C$81</f>
        <v>1901079268.85169</v>
      </c>
      <c r="H30" s="37" t="n">
        <f aca="false">('Gastos objeto'!H8+'Gastos objeto'!H9)*Supuestos!$C$81</f>
        <v>2931139557.56631</v>
      </c>
      <c r="I30" s="37" t="n">
        <f aca="false">('Gastos objeto'!I8+'Gastos objeto'!I9)*Supuestos!$C$81</f>
        <v>1901079268.85169</v>
      </c>
      <c r="J30" s="37" t="n">
        <f aca="false">('Gastos objeto'!J8+'Gastos objeto'!J9)*Supuestos!$C$81</f>
        <v>1901079268.85169</v>
      </c>
      <c r="K30" s="37" t="n">
        <f aca="false">('Gastos objeto'!K8+'Gastos objeto'!K9)*Supuestos!$C$81</f>
        <v>1901079268.85169</v>
      </c>
      <c r="L30" s="37" t="n">
        <f aca="false">('Gastos objeto'!L8+'Gastos objeto'!L9)*Supuestos!$C$81</f>
        <v>1901079268.85169</v>
      </c>
      <c r="M30" s="37" t="n">
        <f aca="false">('Gastos objeto'!M8+'Gastos objeto'!M9)*Supuestos!$C$81</f>
        <v>1901079268.85169</v>
      </c>
      <c r="N30" s="37" t="n">
        <f aca="false">('Gastos objeto'!N8+'Gastos objeto'!N9)*Supuestos!$C$81</f>
        <v>2931139557.56631</v>
      </c>
      <c r="O30" s="37" t="n">
        <f aca="false">('Gastos objeto'!O8+'Gastos objeto'!O9)*Supuestos!$C$81</f>
        <v>1901079268.85169</v>
      </c>
      <c r="P30" s="37" t="n">
        <f aca="false">('Gastos objeto'!P8+'Gastos objeto'!P9)*Supuestos!$C$81</f>
        <v>1901079268.85169</v>
      </c>
      <c r="Q30" s="37" t="n">
        <f aca="false">('Gastos objeto'!Q8+'Gastos objeto'!Q9)*Supuestos!$C$81</f>
        <v>1901079268.85169</v>
      </c>
      <c r="R30" s="37" t="n">
        <f aca="false">('Gastos objeto'!R8+'Gastos objeto'!R9)*Supuestos!$C$81</f>
        <v>1901079268.85169</v>
      </c>
      <c r="S30" s="37" t="n">
        <f aca="false">('Gastos objeto'!S8+'Gastos objeto'!S9)*Supuestos!$C$81</f>
        <v>1901079268.85169</v>
      </c>
      <c r="T30" s="37" t="n">
        <f aca="false">('Gastos objeto'!T8+'Gastos objeto'!T9)*Supuestos!$C$81</f>
        <v>2931139557.56631</v>
      </c>
      <c r="U30" s="37" t="n">
        <f aca="false">('Gastos objeto'!U8+'Gastos objeto'!U9)*Supuestos!$C$81</f>
        <v>1901079268.85169</v>
      </c>
      <c r="V30" s="37" t="n">
        <f aca="false">('Gastos objeto'!V8+'Gastos objeto'!V9)*Supuestos!$C$81</f>
        <v>1901079268.85169</v>
      </c>
      <c r="W30" s="37" t="n">
        <f aca="false">('Gastos objeto'!W8+'Gastos objeto'!W9)*Supuestos!$C$81</f>
        <v>1901079268.85169</v>
      </c>
      <c r="X30" s="37" t="n">
        <f aca="false">('Gastos objeto'!X8+'Gastos objeto'!X9)*Supuestos!$C$81</f>
        <v>1901079268.85169</v>
      </c>
      <c r="Y30" s="37" t="n">
        <f aca="false">('Gastos objeto'!Y8+'Gastos objeto'!Y9)*Supuestos!$C$81</f>
        <v>1901079268.85169</v>
      </c>
      <c r="Z30" s="37" t="n">
        <f aca="false">('Gastos objeto'!Z8+'Gastos objeto'!Z9)*Supuestos!$C$81</f>
        <v>2931139557.56631</v>
      </c>
      <c r="AA30" s="37" t="n">
        <f aca="false">('Gastos objeto'!AA8+'Gastos objeto'!AA9)*Supuestos!$C$81</f>
        <v>1901079268.85169</v>
      </c>
      <c r="AB30" s="37" t="n">
        <f aca="false">('Gastos objeto'!AB8+'Gastos objeto'!AB9)*Supuestos!$C$81</f>
        <v>1901079268.85169</v>
      </c>
      <c r="AC30" s="37" t="n">
        <f aca="false">('Gastos objeto'!AC8+'Gastos objeto'!AC9)*Supuestos!$C$81</f>
        <v>1901079268.85169</v>
      </c>
      <c r="AD30" s="37" t="n">
        <f aca="false">('Gastos objeto'!AD8+'Gastos objeto'!AD9)*Supuestos!$C$81</f>
        <v>1901079268.85169</v>
      </c>
      <c r="AE30" s="37" t="n">
        <f aca="false">('Gastos objeto'!AE8+'Gastos objeto'!AE9)*Supuestos!$C$81</f>
        <v>1901079268.85169</v>
      </c>
      <c r="AF30" s="37" t="n">
        <f aca="false">('Gastos objeto'!AF8+'Gastos objeto'!AF9)*Supuestos!$C$81</f>
        <v>2931139557.56631</v>
      </c>
      <c r="AG30" s="37" t="n">
        <f aca="false">('Gastos objeto'!AG8+'Gastos objeto'!AG9)*Supuestos!$C$81</f>
        <v>1901079268.85169</v>
      </c>
      <c r="AH30" s="37" t="n">
        <f aca="false">('Gastos objeto'!AH8+'Gastos objeto'!AH9)*Supuestos!$C$81</f>
        <v>1901079268.85169</v>
      </c>
      <c r="AI30" s="37" t="n">
        <f aca="false">('Gastos objeto'!AI8+'Gastos objeto'!AI9)*Supuestos!$C$81</f>
        <v>1901079268.85169</v>
      </c>
      <c r="AJ30" s="37" t="n">
        <f aca="false">('Gastos objeto'!AJ8+'Gastos objeto'!AJ9)*Supuestos!$C$81</f>
        <v>1901079268.85169</v>
      </c>
      <c r="AK30" s="37" t="n">
        <f aca="false">('Gastos objeto'!AK8+'Gastos objeto'!AK9)*Supuestos!$C$81</f>
        <v>1901079268.85169</v>
      </c>
      <c r="AL30" s="37" t="n">
        <f aca="false">('Gastos objeto'!AL8+'Gastos objeto'!AL9)*Supuestos!$C$81</f>
        <v>2931139557.56631</v>
      </c>
      <c r="AM30" s="37" t="n">
        <f aca="false">('Gastos objeto'!AM8+'Gastos objeto'!AM9)*Supuestos!$C$81</f>
        <v>1901079268.85169</v>
      </c>
      <c r="AN30" s="37" t="n">
        <f aca="false">('Gastos objeto'!AN8+'Gastos objeto'!AN9)*Supuestos!$C$81</f>
        <v>1901079268.85169</v>
      </c>
      <c r="AO30" s="37" t="n">
        <f aca="false">('Gastos objeto'!AO8+'Gastos objeto'!AO9)*Supuestos!$C$81</f>
        <v>1901079268.85169</v>
      </c>
      <c r="AP30" s="37" t="n">
        <f aca="false">('Gastos objeto'!AP8+'Gastos objeto'!AP9)*Supuestos!$C$81</f>
        <v>1901079268.85169</v>
      </c>
      <c r="AQ30" s="37" t="n">
        <f aca="false">('Gastos objeto'!AQ8+'Gastos objeto'!AQ9)*Supuestos!$C$81</f>
        <v>1901079268.85169</v>
      </c>
      <c r="AR30" s="37" t="n">
        <f aca="false">('Gastos objeto'!AR8+'Gastos objeto'!AR9)*Supuestos!$C$81</f>
        <v>2931139557.56631</v>
      </c>
      <c r="AS30" s="37" t="n">
        <f aca="false">('Gastos objeto'!AS8+'Gastos objeto'!AS9)*Supuestos!$C$81</f>
        <v>1901079268.85169</v>
      </c>
      <c r="AT30" s="37" t="n">
        <f aca="false">('Gastos objeto'!AT8+'Gastos objeto'!AT9)*Supuestos!$C$81</f>
        <v>1901079268.85169</v>
      </c>
      <c r="AU30" s="37" t="n">
        <f aca="false">('Gastos objeto'!AU8+'Gastos objeto'!AU9)*Supuestos!$C$81</f>
        <v>1901079268.85169</v>
      </c>
      <c r="AV30" s="37" t="n">
        <f aca="false">('Gastos objeto'!AV8+'Gastos objeto'!AV9)*Supuestos!$C$81</f>
        <v>1901079268.85169</v>
      </c>
      <c r="AW30" s="37" t="n">
        <f aca="false">('Gastos objeto'!AW8+'Gastos objeto'!AW9)*Supuestos!$C$81</f>
        <v>1901079268.85169</v>
      </c>
      <c r="AX30" s="37" t="n">
        <f aca="false">('Gastos objeto'!AX8+'Gastos objeto'!AX9)*Supuestos!$C$81</f>
        <v>2931139557.56631</v>
      </c>
      <c r="AY30" s="37" t="n">
        <f aca="false">('Gastos objeto'!AY8+'Gastos objeto'!AY9)*Supuestos!$C$81</f>
        <v>1901079268.85169</v>
      </c>
      <c r="AZ30" s="37" t="n">
        <f aca="false">('Gastos objeto'!AZ8+'Gastos objeto'!AZ9)*Supuestos!$C$81</f>
        <v>1901079268.85169</v>
      </c>
      <c r="BA30" s="37" t="n">
        <f aca="false">('Gastos objeto'!BA8+'Gastos objeto'!BA9)*Supuestos!$C$81</f>
        <v>1901079268.85169</v>
      </c>
      <c r="BB30" s="37" t="n">
        <f aca="false">('Gastos objeto'!BB8+'Gastos objeto'!BB9)*Supuestos!$C$81</f>
        <v>1901079268.85169</v>
      </c>
      <c r="BC30" s="37" t="n">
        <f aca="false">('Gastos objeto'!BC8+'Gastos objeto'!BC9)*Supuestos!$C$81</f>
        <v>1901079268.85169</v>
      </c>
      <c r="BD30" s="37" t="n">
        <f aca="false">('Gastos objeto'!BD8+'Gastos objeto'!BD9)*Supuestos!$C$81</f>
        <v>2931139557.56631</v>
      </c>
      <c r="BE30" s="37" t="n">
        <f aca="false">('Gastos objeto'!BE8+'Gastos objeto'!BE9)*Supuestos!$C$81</f>
        <v>1901079268.85169</v>
      </c>
      <c r="BF30" s="37" t="n">
        <f aca="false">('Gastos objeto'!BF8+'Gastos objeto'!BF9)*Supuestos!$C$81</f>
        <v>1901079268.85169</v>
      </c>
      <c r="BG30" s="37" t="n">
        <f aca="false">('Gastos objeto'!BG8+'Gastos objeto'!BG9)*Supuestos!$C$81</f>
        <v>1901079268.85169</v>
      </c>
      <c r="BH30" s="37" t="n">
        <f aca="false">('Gastos objeto'!BH8+'Gastos objeto'!BH9)*Supuestos!$C$81</f>
        <v>1901079268.85169</v>
      </c>
      <c r="BI30" s="37" t="n">
        <f aca="false">('Gastos objeto'!BI8+'Gastos objeto'!BI9)*Supuestos!$C$81</f>
        <v>1901079268.85169</v>
      </c>
      <c r="BJ30" s="37" t="n">
        <f aca="false">('Gastos objeto'!BJ8+'Gastos objeto'!BJ9)*Supuestos!$C$81</f>
        <v>2931139557.56631</v>
      </c>
      <c r="BK30" s="37" t="n">
        <f aca="false">('Gastos objeto'!BK8+'Gastos objeto'!BK9)*Supuestos!$C$81</f>
        <v>1901079268.85169</v>
      </c>
      <c r="BL30" s="37" t="n">
        <f aca="false">('Gastos objeto'!BL8+'Gastos objeto'!BL9)*Supuestos!$C$81</f>
        <v>1901079268.85169</v>
      </c>
      <c r="BM30" s="37" t="n">
        <f aca="false">('Gastos objeto'!BM8+'Gastos objeto'!BM9)*Supuestos!$C$81</f>
        <v>1901079268.85169</v>
      </c>
      <c r="BN30" s="37" t="n">
        <f aca="false">('Gastos objeto'!BN8+'Gastos objeto'!BN9)*Supuestos!$C$81</f>
        <v>1901079268.85169</v>
      </c>
      <c r="BO30" s="37" t="n">
        <f aca="false">('Gastos objeto'!BO8+'Gastos objeto'!BO9)*Supuestos!$C$81</f>
        <v>1901079268.85169</v>
      </c>
      <c r="BP30" s="37" t="n">
        <f aca="false">('Gastos objeto'!BP8+'Gastos objeto'!BP9)*Supuestos!$C$81</f>
        <v>2931139557.56631</v>
      </c>
      <c r="BQ30" s="37" t="n">
        <f aca="false">('Gastos objeto'!BQ8+'Gastos objeto'!BQ9)*Supuestos!$C$81</f>
        <v>1901079268.85169</v>
      </c>
      <c r="BR30" s="37" t="n">
        <f aca="false">('Gastos objeto'!BR8+'Gastos objeto'!BR9)*Supuestos!$C$81</f>
        <v>1901079268.85169</v>
      </c>
      <c r="BS30" s="37" t="n">
        <f aca="false">('Gastos objeto'!BS8+'Gastos objeto'!BS9)*Supuestos!$C$81</f>
        <v>1901079268.85169</v>
      </c>
      <c r="BT30" s="37" t="n">
        <f aca="false">('Gastos objeto'!BT8+'Gastos objeto'!BT9)*Supuestos!$C$81</f>
        <v>1901079268.85169</v>
      </c>
      <c r="BU30" s="37" t="n">
        <f aca="false">('Gastos objeto'!BU8+'Gastos objeto'!BU9)*Supuestos!$C$81</f>
        <v>1901079268.85169</v>
      </c>
      <c r="BV30" s="37" t="n">
        <f aca="false">('Gastos objeto'!BV8+'Gastos objeto'!BV9)*Supuestos!$C$81</f>
        <v>2931139557.56631</v>
      </c>
      <c r="BW30" s="37" t="n">
        <f aca="false">('Gastos objeto'!BW8+'Gastos objeto'!BW9)*Supuestos!$C$81</f>
        <v>1901079268.85169</v>
      </c>
      <c r="BX30" s="37" t="n">
        <f aca="false">('Gastos objeto'!BX8+'Gastos objeto'!BX9)*Supuestos!$C$81</f>
        <v>1901079268.85169</v>
      </c>
      <c r="BY30" s="37" t="n">
        <f aca="false">('Gastos objeto'!BY8+'Gastos objeto'!BY9)*Supuestos!$C$81</f>
        <v>1901079268.85169</v>
      </c>
      <c r="BZ30" s="37" t="n">
        <f aca="false">('Gastos objeto'!BZ8+'Gastos objeto'!BZ9)*Supuestos!$C$81</f>
        <v>1901079268.85169</v>
      </c>
      <c r="CA30" s="37" t="n">
        <f aca="false">('Gastos objeto'!CA8+'Gastos objeto'!CA9)*Supuestos!$C$81</f>
        <v>1901079268.85169</v>
      </c>
      <c r="CB30" s="37" t="n">
        <f aca="false">('Gastos objeto'!CB8+'Gastos objeto'!CB9)*Supuestos!$C$81</f>
        <v>2931139557.56631</v>
      </c>
      <c r="CC30" s="37" t="n">
        <f aca="false">('Gastos objeto'!CC8+'Gastos objeto'!CC9)*Supuestos!$C$81</f>
        <v>1901079268.85169</v>
      </c>
      <c r="CD30" s="37" t="n">
        <f aca="false">('Gastos objeto'!CD8+'Gastos objeto'!CD9)*Supuestos!$C$81</f>
        <v>1901079268.85169</v>
      </c>
      <c r="CE30" s="37" t="n">
        <f aca="false">('Gastos objeto'!CE8+'Gastos objeto'!CE9)*Supuestos!$C$81</f>
        <v>1901079268.85169</v>
      </c>
      <c r="CF30" s="37" t="n">
        <f aca="false">('Gastos objeto'!CF8+'Gastos objeto'!CF9)*Supuestos!$C$81</f>
        <v>1901079268.85169</v>
      </c>
      <c r="CG30" s="37" t="n">
        <f aca="false">('Gastos objeto'!CG8+'Gastos objeto'!CG9)*Supuestos!$C$81</f>
        <v>1901079268.85169</v>
      </c>
      <c r="CH30" s="37" t="n">
        <f aca="false">('Gastos objeto'!CH8+'Gastos objeto'!CH9)*Supuestos!$C$81</f>
        <v>2931139557.56631</v>
      </c>
      <c r="CI30" s="37" t="n">
        <f aca="false">('Gastos objeto'!CI8+'Gastos objeto'!CI9)*Supuestos!$C$81</f>
        <v>1901079268.85169</v>
      </c>
      <c r="CJ30" s="37" t="n">
        <f aca="false">('Gastos objeto'!CJ8+'Gastos objeto'!CJ9)*Supuestos!$C$81</f>
        <v>1901079268.85169</v>
      </c>
      <c r="CK30" s="37" t="n">
        <f aca="false">('Gastos objeto'!CK8+'Gastos objeto'!CK9)*Supuestos!$C$81</f>
        <v>1901079268.85169</v>
      </c>
      <c r="CL30" s="37" t="n">
        <f aca="false">('Gastos objeto'!CL8+'Gastos objeto'!CL9)*Supuestos!$C$81</f>
        <v>1901079268.85169</v>
      </c>
      <c r="CM30" s="37" t="n">
        <f aca="false">('Gastos objeto'!CM8+'Gastos objeto'!CM9)*Supuestos!$C$81</f>
        <v>1901079268.85169</v>
      </c>
      <c r="CN30" s="37" t="n">
        <f aca="false">('Gastos objeto'!CN8+'Gastos objeto'!CN9)*Supuestos!$C$81</f>
        <v>2931139557.56631</v>
      </c>
      <c r="CO30" s="37" t="n">
        <f aca="false">('Gastos objeto'!CO8+'Gastos objeto'!CO9)*Supuestos!$C$81</f>
        <v>1901079268.85169</v>
      </c>
      <c r="CP30" s="37" t="n">
        <f aca="false">('Gastos objeto'!CP8+'Gastos objeto'!CP9)*Supuestos!$C$81</f>
        <v>1901079268.85169</v>
      </c>
      <c r="CQ30" s="37" t="n">
        <f aca="false">('Gastos objeto'!CQ8+'Gastos objeto'!CQ9)*Supuestos!$C$81</f>
        <v>1901079268.85169</v>
      </c>
      <c r="CR30" s="37" t="n">
        <f aca="false">('Gastos objeto'!CR8+'Gastos objeto'!CR9)*Supuestos!$C$81</f>
        <v>1901079268.85169</v>
      </c>
      <c r="CS30" s="37" t="n">
        <f aca="false">('Gastos objeto'!CS8+'Gastos objeto'!CS9)*Supuestos!$C$81</f>
        <v>1901079268.85169</v>
      </c>
      <c r="CT30" s="37" t="n">
        <f aca="false">('Gastos objeto'!CT8+'Gastos objeto'!CT9)*Supuestos!$C$81</f>
        <v>2931139557.56631</v>
      </c>
    </row>
    <row r="31" customFormat="false" ht="15" hidden="false" customHeight="true" outlineLevel="0" collapsed="false">
      <c r="B31" s="15" t="s">
        <v>300</v>
      </c>
      <c r="C31" s="37" t="n">
        <f aca="false">'Gastos objeto'!C21*Supuestos!$C$82</f>
        <v>394073638.528361</v>
      </c>
      <c r="D31" s="37" t="n">
        <f aca="false">'Gastos objeto'!D21*Supuestos!$C$82</f>
        <v>404121297.843007</v>
      </c>
      <c r="E31" s="37" t="n">
        <f aca="false">'Gastos objeto'!E21*Supuestos!$C$82</f>
        <v>404121297.843007</v>
      </c>
      <c r="F31" s="37" t="n">
        <f aca="false">'Gastos objeto'!F21*Supuestos!$C$82</f>
        <v>418034809.687717</v>
      </c>
      <c r="G31" s="37" t="n">
        <f aca="false">'Gastos objeto'!G21*Supuestos!$C$82</f>
        <v>418034809.687717</v>
      </c>
      <c r="H31" s="37" t="n">
        <f aca="false">'Gastos objeto'!H21*Supuestos!$C$82</f>
        <v>418034809.687717</v>
      </c>
      <c r="I31" s="37" t="n">
        <f aca="false">'Gastos objeto'!I21*Supuestos!$C$82</f>
        <v>418034809.687717</v>
      </c>
      <c r="J31" s="37" t="n">
        <f aca="false">'Gastos objeto'!J21*Supuestos!$C$82</f>
        <v>418034809.687717</v>
      </c>
      <c r="K31" s="37" t="n">
        <f aca="false">'Gastos objeto'!K21*Supuestos!$C$82</f>
        <v>418034809.687717</v>
      </c>
      <c r="L31" s="37" t="n">
        <f aca="false">'Gastos objeto'!L21*Supuestos!$C$82</f>
        <v>418034809.687717</v>
      </c>
      <c r="M31" s="37" t="n">
        <f aca="false">'Gastos objeto'!M21*Supuestos!$C$82</f>
        <v>419580261.383863</v>
      </c>
      <c r="N31" s="37" t="n">
        <f aca="false">'Gastos objeto'!N21*Supuestos!$C$82</f>
        <v>419580261.383863</v>
      </c>
      <c r="O31" s="37" t="n">
        <f aca="false">'Gastos objeto'!O21*Supuestos!$C$82</f>
        <v>397164541.920652</v>
      </c>
      <c r="P31" s="37" t="n">
        <f aca="false">'Gastos objeto'!P21*Supuestos!$C$82</f>
        <v>399342012.296113</v>
      </c>
      <c r="Q31" s="37" t="n">
        <f aca="false">'Gastos objeto'!Q21*Supuestos!$C$82</f>
        <v>409389671.610759</v>
      </c>
      <c r="R31" s="37" t="n">
        <f aca="false">'Gastos objeto'!R21*Supuestos!$C$82</f>
        <v>423303183.455469</v>
      </c>
      <c r="S31" s="37" t="n">
        <f aca="false">'Gastos objeto'!S21*Supuestos!$C$82</f>
        <v>423303183.455469</v>
      </c>
      <c r="T31" s="37" t="n">
        <f aca="false">'Gastos objeto'!T21*Supuestos!$C$82</f>
        <v>423303183.455469</v>
      </c>
      <c r="U31" s="37" t="n">
        <f aca="false">'Gastos objeto'!U21*Supuestos!$C$82</f>
        <v>423303183.455469</v>
      </c>
      <c r="V31" s="37" t="n">
        <f aca="false">'Gastos objeto'!V21*Supuestos!$C$82</f>
        <v>423303183.455469</v>
      </c>
      <c r="W31" s="37" t="n">
        <f aca="false">'Gastos objeto'!W21*Supuestos!$C$82</f>
        <v>423303183.455469</v>
      </c>
      <c r="X31" s="37" t="n">
        <f aca="false">'Gastos objeto'!X21*Supuestos!$C$82</f>
        <v>423303183.455469</v>
      </c>
      <c r="Y31" s="37" t="n">
        <f aca="false">'Gastos objeto'!Y21*Supuestos!$C$82</f>
        <v>424848635.151615</v>
      </c>
      <c r="Z31" s="37" t="n">
        <f aca="false">'Gastos objeto'!Z21*Supuestos!$C$82</f>
        <v>424848635.151615</v>
      </c>
      <c r="AA31" s="37" t="n">
        <f aca="false">'Gastos objeto'!AA21*Supuestos!$C$82</f>
        <v>402432915.688404</v>
      </c>
      <c r="AB31" s="37" t="n">
        <f aca="false">'Gastos objeto'!AB21*Supuestos!$C$82</f>
        <v>404610386.063865</v>
      </c>
      <c r="AC31" s="37" t="n">
        <f aca="false">'Gastos objeto'!AC21*Supuestos!$C$82</f>
        <v>414658045.378511</v>
      </c>
      <c r="AD31" s="37" t="n">
        <f aca="false">'Gastos objeto'!AD21*Supuestos!$C$82</f>
        <v>428571557.223222</v>
      </c>
      <c r="AE31" s="37" t="n">
        <f aca="false">'Gastos objeto'!AE21*Supuestos!$C$82</f>
        <v>428571557.223222</v>
      </c>
      <c r="AF31" s="37" t="n">
        <f aca="false">'Gastos objeto'!AF21*Supuestos!$C$82</f>
        <v>428571557.223222</v>
      </c>
      <c r="AG31" s="37" t="n">
        <f aca="false">'Gastos objeto'!AG21*Supuestos!$C$82</f>
        <v>428571557.223222</v>
      </c>
      <c r="AH31" s="37" t="n">
        <f aca="false">'Gastos objeto'!AH21*Supuestos!$C$82</f>
        <v>428571557.223222</v>
      </c>
      <c r="AI31" s="37" t="n">
        <f aca="false">'Gastos objeto'!AI21*Supuestos!$C$82</f>
        <v>428571557.223222</v>
      </c>
      <c r="AJ31" s="37" t="n">
        <f aca="false">'Gastos objeto'!AJ21*Supuestos!$C$82</f>
        <v>428571557.223222</v>
      </c>
      <c r="AK31" s="37" t="n">
        <f aca="false">'Gastos objeto'!AK21*Supuestos!$C$82</f>
        <v>430117008.919367</v>
      </c>
      <c r="AL31" s="37" t="n">
        <f aca="false">'Gastos objeto'!AL21*Supuestos!$C$82</f>
        <v>430117008.919367</v>
      </c>
      <c r="AM31" s="37" t="n">
        <f aca="false">'Gastos objeto'!AM21*Supuestos!$C$82</f>
        <v>407701289.456156</v>
      </c>
      <c r="AN31" s="37" t="n">
        <f aca="false">'Gastos objeto'!AN21*Supuestos!$C$82</f>
        <v>409878759.831617</v>
      </c>
      <c r="AO31" s="37" t="n">
        <f aca="false">'Gastos objeto'!AO21*Supuestos!$C$82</f>
        <v>419926419.146263</v>
      </c>
      <c r="AP31" s="37" t="n">
        <f aca="false">'Gastos objeto'!AP21*Supuestos!$C$82</f>
        <v>433839930.990974</v>
      </c>
      <c r="AQ31" s="37" t="n">
        <f aca="false">'Gastos objeto'!AQ21*Supuestos!$C$82</f>
        <v>433839930.990974</v>
      </c>
      <c r="AR31" s="37" t="n">
        <f aca="false">'Gastos objeto'!AR21*Supuestos!$C$82</f>
        <v>433839930.990974</v>
      </c>
      <c r="AS31" s="37" t="n">
        <f aca="false">'Gastos objeto'!AS21*Supuestos!$C$82</f>
        <v>433839930.990974</v>
      </c>
      <c r="AT31" s="37" t="n">
        <f aca="false">'Gastos objeto'!AT21*Supuestos!$C$82</f>
        <v>433839930.990974</v>
      </c>
      <c r="AU31" s="37" t="n">
        <f aca="false">'Gastos objeto'!AU21*Supuestos!$C$82</f>
        <v>433839930.990974</v>
      </c>
      <c r="AV31" s="37" t="n">
        <f aca="false">'Gastos objeto'!AV21*Supuestos!$C$82</f>
        <v>433839930.990974</v>
      </c>
      <c r="AW31" s="37" t="n">
        <f aca="false">'Gastos objeto'!AW21*Supuestos!$C$82</f>
        <v>435385382.687119</v>
      </c>
      <c r="AX31" s="37" t="n">
        <f aca="false">'Gastos objeto'!AX21*Supuestos!$C$82</f>
        <v>435385382.687119</v>
      </c>
      <c r="AY31" s="37" t="n">
        <f aca="false">'Gastos objeto'!AY21*Supuestos!$C$82</f>
        <v>412969663.223908</v>
      </c>
      <c r="AZ31" s="37" t="n">
        <f aca="false">'Gastos objeto'!AZ21*Supuestos!$C$82</f>
        <v>409878759.831617</v>
      </c>
      <c r="BA31" s="37" t="n">
        <f aca="false">'Gastos objeto'!BA21*Supuestos!$C$82</f>
        <v>419926419.146263</v>
      </c>
      <c r="BB31" s="37" t="n">
        <f aca="false">'Gastos objeto'!BB21*Supuestos!$C$82</f>
        <v>433839930.990974</v>
      </c>
      <c r="BC31" s="37" t="n">
        <f aca="false">'Gastos objeto'!BC21*Supuestos!$C$82</f>
        <v>433839930.990974</v>
      </c>
      <c r="BD31" s="37" t="n">
        <f aca="false">'Gastos objeto'!BD21*Supuestos!$C$82</f>
        <v>433839930.990974</v>
      </c>
      <c r="BE31" s="37" t="n">
        <f aca="false">'Gastos objeto'!BE21*Supuestos!$C$82</f>
        <v>433839930.990974</v>
      </c>
      <c r="BF31" s="37" t="n">
        <f aca="false">'Gastos objeto'!BF21*Supuestos!$C$82</f>
        <v>433839930.990974</v>
      </c>
      <c r="BG31" s="37" t="n">
        <f aca="false">'Gastos objeto'!BG21*Supuestos!$C$82</f>
        <v>433839930.990974</v>
      </c>
      <c r="BH31" s="37" t="n">
        <f aca="false">'Gastos objeto'!BH21*Supuestos!$C$82</f>
        <v>433839930.990974</v>
      </c>
      <c r="BI31" s="37" t="n">
        <f aca="false">'Gastos objeto'!BI21*Supuestos!$C$82</f>
        <v>435385382.687119</v>
      </c>
      <c r="BJ31" s="37" t="n">
        <f aca="false">'Gastos objeto'!BJ21*Supuestos!$C$82</f>
        <v>435385382.687119</v>
      </c>
      <c r="BK31" s="37" t="n">
        <f aca="false">'Gastos objeto'!BK21*Supuestos!$C$82</f>
        <v>412969663.223908</v>
      </c>
      <c r="BL31" s="37" t="n">
        <f aca="false">'Gastos objeto'!BL21*Supuestos!$C$82</f>
        <v>409878759.831617</v>
      </c>
      <c r="BM31" s="37" t="n">
        <f aca="false">'Gastos objeto'!BM21*Supuestos!$C$82</f>
        <v>419926419.146263</v>
      </c>
      <c r="BN31" s="37" t="n">
        <f aca="false">'Gastos objeto'!BN21*Supuestos!$C$82</f>
        <v>433839930.990974</v>
      </c>
      <c r="BO31" s="37" t="n">
        <f aca="false">'Gastos objeto'!BO21*Supuestos!$C$82</f>
        <v>433839930.990974</v>
      </c>
      <c r="BP31" s="37" t="n">
        <f aca="false">'Gastos objeto'!BP21*Supuestos!$C$82</f>
        <v>433839930.990974</v>
      </c>
      <c r="BQ31" s="37" t="n">
        <f aca="false">'Gastos objeto'!BQ21*Supuestos!$C$82</f>
        <v>433839930.990974</v>
      </c>
      <c r="BR31" s="37" t="n">
        <f aca="false">'Gastos objeto'!BR21*Supuestos!$C$82</f>
        <v>433839930.990974</v>
      </c>
      <c r="BS31" s="37" t="n">
        <f aca="false">'Gastos objeto'!BS21*Supuestos!$C$82</f>
        <v>433839930.990974</v>
      </c>
      <c r="BT31" s="37" t="n">
        <f aca="false">'Gastos objeto'!BT21*Supuestos!$C$82</f>
        <v>433839930.990974</v>
      </c>
      <c r="BU31" s="37" t="n">
        <f aca="false">'Gastos objeto'!BU21*Supuestos!$C$82</f>
        <v>435385382.687119</v>
      </c>
      <c r="BV31" s="37" t="n">
        <f aca="false">'Gastos objeto'!BV21*Supuestos!$C$82</f>
        <v>435385382.687119</v>
      </c>
      <c r="BW31" s="37" t="n">
        <f aca="false">'Gastos objeto'!BW21*Supuestos!$C$82</f>
        <v>412969663.223908</v>
      </c>
      <c r="BX31" s="37" t="n">
        <f aca="false">'Gastos objeto'!BX21*Supuestos!$C$82</f>
        <v>409878759.831617</v>
      </c>
      <c r="BY31" s="37" t="n">
        <f aca="false">'Gastos objeto'!BY21*Supuestos!$C$82</f>
        <v>419926419.146263</v>
      </c>
      <c r="BZ31" s="37" t="n">
        <f aca="false">'Gastos objeto'!BZ21*Supuestos!$C$82</f>
        <v>433839930.990974</v>
      </c>
      <c r="CA31" s="37" t="n">
        <f aca="false">'Gastos objeto'!CA21*Supuestos!$C$82</f>
        <v>433839930.990974</v>
      </c>
      <c r="CB31" s="37" t="n">
        <f aca="false">'Gastos objeto'!CB21*Supuestos!$C$82</f>
        <v>433839930.990974</v>
      </c>
      <c r="CC31" s="37" t="n">
        <f aca="false">'Gastos objeto'!CC21*Supuestos!$C$82</f>
        <v>433839930.990974</v>
      </c>
      <c r="CD31" s="37" t="n">
        <f aca="false">'Gastos objeto'!CD21*Supuestos!$C$82</f>
        <v>433839930.990974</v>
      </c>
      <c r="CE31" s="37" t="n">
        <f aca="false">'Gastos objeto'!CE21*Supuestos!$C$82</f>
        <v>433839930.990974</v>
      </c>
      <c r="CF31" s="37" t="n">
        <f aca="false">'Gastos objeto'!CF21*Supuestos!$C$82</f>
        <v>433839930.990974</v>
      </c>
      <c r="CG31" s="37" t="n">
        <f aca="false">'Gastos objeto'!CG21*Supuestos!$C$82</f>
        <v>435385382.687119</v>
      </c>
      <c r="CH31" s="37" t="n">
        <f aca="false">'Gastos objeto'!CH21*Supuestos!$C$82</f>
        <v>435385382.687119</v>
      </c>
      <c r="CI31" s="37" t="n">
        <f aca="false">'Gastos objeto'!CI21*Supuestos!$C$82</f>
        <v>412969663.223908</v>
      </c>
      <c r="CJ31" s="37" t="n">
        <f aca="false">'Gastos objeto'!CJ21*Supuestos!$C$82</f>
        <v>409878759.831617</v>
      </c>
      <c r="CK31" s="37" t="n">
        <f aca="false">'Gastos objeto'!CK21*Supuestos!$C$82</f>
        <v>419926419.146263</v>
      </c>
      <c r="CL31" s="37" t="n">
        <f aca="false">'Gastos objeto'!CL21*Supuestos!$C$82</f>
        <v>433839930.990974</v>
      </c>
      <c r="CM31" s="37" t="n">
        <f aca="false">'Gastos objeto'!CM21*Supuestos!$C$82</f>
        <v>433839930.990974</v>
      </c>
      <c r="CN31" s="37" t="n">
        <f aca="false">'Gastos objeto'!CN21*Supuestos!$C$82</f>
        <v>433839930.990974</v>
      </c>
      <c r="CO31" s="37" t="n">
        <f aca="false">'Gastos objeto'!CO21*Supuestos!$C$82</f>
        <v>433839930.990974</v>
      </c>
      <c r="CP31" s="37" t="n">
        <f aca="false">'Gastos objeto'!CP21*Supuestos!$C$82</f>
        <v>433839930.990974</v>
      </c>
      <c r="CQ31" s="37" t="n">
        <f aca="false">'Gastos objeto'!CQ21*Supuestos!$C$82</f>
        <v>433839930.990974</v>
      </c>
      <c r="CR31" s="37" t="n">
        <f aca="false">'Gastos objeto'!CR21*Supuestos!$C$82</f>
        <v>433839930.990974</v>
      </c>
      <c r="CS31" s="37" t="n">
        <f aca="false">'Gastos objeto'!CS21*Supuestos!$C$82</f>
        <v>435385382.687119</v>
      </c>
      <c r="CT31" s="37" t="n">
        <f aca="false">'Gastos objeto'!CT21*Supuestos!$C$82</f>
        <v>435385382.687119</v>
      </c>
    </row>
    <row r="32" customFormat="false" ht="15" hidden="false" customHeight="true" outlineLevel="0" collapsed="false">
      <c r="B32" s="15" t="s">
        <v>301</v>
      </c>
      <c r="C32" s="37" t="n">
        <f aca="false">'Gastos objeto'!C22*Supuestos!$C$83</f>
        <v>17344712.805078</v>
      </c>
      <c r="D32" s="37" t="n">
        <f aca="false">'Gastos objeto'!D22*Supuestos!$C$83</f>
        <v>23126283.740104</v>
      </c>
      <c r="E32" s="37" t="n">
        <f aca="false">'Gastos objeto'!E22*Supuestos!$C$83</f>
        <v>20235498.272591</v>
      </c>
      <c r="F32" s="37" t="n">
        <f aca="false">'Gastos objeto'!F22*Supuestos!$C$83</f>
        <v>34689425.610156</v>
      </c>
      <c r="G32" s="37" t="n">
        <f aca="false">'Gastos objeto'!G22*Supuestos!$C$83</f>
        <v>49143352.947721</v>
      </c>
      <c r="H32" s="37" t="n">
        <f aca="false">'Gastos objeto'!H22*Supuestos!$C$83</f>
        <v>54924923.882747</v>
      </c>
      <c r="I32" s="37" t="n">
        <f aca="false">'Gastos objeto'!I22*Supuestos!$C$83</f>
        <v>57815709.35026</v>
      </c>
      <c r="J32" s="37" t="n">
        <f aca="false">'Gastos objeto'!J22*Supuestos!$C$83</f>
        <v>57815709.35026</v>
      </c>
      <c r="K32" s="37" t="n">
        <f aca="false">'Gastos objeto'!K22*Supuestos!$C$83</f>
        <v>57815709.35026</v>
      </c>
      <c r="L32" s="37" t="n">
        <f aca="false">'Gastos objeto'!L22*Supuestos!$C$83</f>
        <v>57815709.35026</v>
      </c>
      <c r="M32" s="37" t="n">
        <f aca="false">'Gastos objeto'!M22*Supuestos!$C$83</f>
        <v>57815709.35026</v>
      </c>
      <c r="N32" s="37" t="n">
        <f aca="false">'Gastos objeto'!N22*Supuestos!$C$83</f>
        <v>54924923.882747</v>
      </c>
      <c r="O32" s="37" t="n">
        <f aca="false">'Gastos objeto'!O22*Supuestos!$C$83</f>
        <v>46252567.480208</v>
      </c>
      <c r="P32" s="37" t="n">
        <f aca="false">'Gastos objeto'!P22*Supuestos!$C$83</f>
        <v>28907854.67513</v>
      </c>
      <c r="Q32" s="37" t="n">
        <f aca="false">'Gastos objeto'!Q22*Supuestos!$C$83</f>
        <v>20235498.272591</v>
      </c>
      <c r="R32" s="37" t="n">
        <f aca="false">'Gastos objeto'!R22*Supuestos!$C$83</f>
        <v>34689425.610156</v>
      </c>
      <c r="S32" s="37" t="n">
        <f aca="false">'Gastos objeto'!S22*Supuestos!$C$83</f>
        <v>49143352.947721</v>
      </c>
      <c r="T32" s="37" t="n">
        <f aca="false">'Gastos objeto'!T22*Supuestos!$C$83</f>
        <v>54924923.882747</v>
      </c>
      <c r="U32" s="37" t="n">
        <f aca="false">'Gastos objeto'!U22*Supuestos!$C$83</f>
        <v>57815709.35026</v>
      </c>
      <c r="V32" s="37" t="n">
        <f aca="false">'Gastos objeto'!V22*Supuestos!$C$83</f>
        <v>57815709.35026</v>
      </c>
      <c r="W32" s="37" t="n">
        <f aca="false">'Gastos objeto'!W22*Supuestos!$C$83</f>
        <v>57815709.35026</v>
      </c>
      <c r="X32" s="37" t="n">
        <f aca="false">'Gastos objeto'!X22*Supuestos!$C$83</f>
        <v>57815709.35026</v>
      </c>
      <c r="Y32" s="37" t="n">
        <f aca="false">'Gastos objeto'!Y22*Supuestos!$C$83</f>
        <v>57815709.35026</v>
      </c>
      <c r="Z32" s="37" t="n">
        <f aca="false">'Gastos objeto'!Z22*Supuestos!$C$83</f>
        <v>54924923.882747</v>
      </c>
      <c r="AA32" s="37" t="n">
        <f aca="false">'Gastos objeto'!AA22*Supuestos!$C$83</f>
        <v>46252567.480208</v>
      </c>
      <c r="AB32" s="37" t="n">
        <f aca="false">'Gastos objeto'!AB22*Supuestos!$C$83</f>
        <v>28907854.67513</v>
      </c>
      <c r="AC32" s="37" t="n">
        <f aca="false">'Gastos objeto'!AC22*Supuestos!$C$83</f>
        <v>20235498.272591</v>
      </c>
      <c r="AD32" s="37" t="n">
        <f aca="false">'Gastos objeto'!AD22*Supuestos!$C$83</f>
        <v>34689425.610156</v>
      </c>
      <c r="AE32" s="37" t="n">
        <f aca="false">'Gastos objeto'!AE22*Supuestos!$C$83</f>
        <v>49143352.947721</v>
      </c>
      <c r="AF32" s="37" t="n">
        <f aca="false">'Gastos objeto'!AF22*Supuestos!$C$83</f>
        <v>54924923.882747</v>
      </c>
      <c r="AG32" s="37" t="n">
        <f aca="false">'Gastos objeto'!AG22*Supuestos!$C$83</f>
        <v>57815709.35026</v>
      </c>
      <c r="AH32" s="37" t="n">
        <f aca="false">'Gastos objeto'!AH22*Supuestos!$C$83</f>
        <v>57815709.35026</v>
      </c>
      <c r="AI32" s="37" t="n">
        <f aca="false">'Gastos objeto'!AI22*Supuestos!$C$83</f>
        <v>57815709.35026</v>
      </c>
      <c r="AJ32" s="37" t="n">
        <f aca="false">'Gastos objeto'!AJ22*Supuestos!$C$83</f>
        <v>57815709.35026</v>
      </c>
      <c r="AK32" s="37" t="n">
        <f aca="false">'Gastos objeto'!AK22*Supuestos!$C$83</f>
        <v>57815709.35026</v>
      </c>
      <c r="AL32" s="37" t="n">
        <f aca="false">'Gastos objeto'!AL22*Supuestos!$C$83</f>
        <v>54924923.882747</v>
      </c>
      <c r="AM32" s="37" t="n">
        <f aca="false">'Gastos objeto'!AM22*Supuestos!$C$83</f>
        <v>46252567.480208</v>
      </c>
      <c r="AN32" s="37" t="n">
        <f aca="false">'Gastos objeto'!AN22*Supuestos!$C$83</f>
        <v>28907854.67513</v>
      </c>
      <c r="AO32" s="37" t="n">
        <f aca="false">'Gastos objeto'!AO22*Supuestos!$C$83</f>
        <v>20235498.272591</v>
      </c>
      <c r="AP32" s="37" t="n">
        <f aca="false">'Gastos objeto'!AP22*Supuestos!$C$83</f>
        <v>34689425.610156</v>
      </c>
      <c r="AQ32" s="37" t="n">
        <f aca="false">'Gastos objeto'!AQ22*Supuestos!$C$83</f>
        <v>49143352.947721</v>
      </c>
      <c r="AR32" s="37" t="n">
        <f aca="false">'Gastos objeto'!AR22*Supuestos!$C$83</f>
        <v>54924923.882747</v>
      </c>
      <c r="AS32" s="37" t="n">
        <f aca="false">'Gastos objeto'!AS22*Supuestos!$C$83</f>
        <v>57815709.35026</v>
      </c>
      <c r="AT32" s="37" t="n">
        <f aca="false">'Gastos objeto'!AT22*Supuestos!$C$83</f>
        <v>57815709.35026</v>
      </c>
      <c r="AU32" s="37" t="n">
        <f aca="false">'Gastos objeto'!AU22*Supuestos!$C$83</f>
        <v>57815709.35026</v>
      </c>
      <c r="AV32" s="37" t="n">
        <f aca="false">'Gastos objeto'!AV22*Supuestos!$C$83</f>
        <v>57815709.35026</v>
      </c>
      <c r="AW32" s="37" t="n">
        <f aca="false">'Gastos objeto'!AW22*Supuestos!$C$83</f>
        <v>57815709.35026</v>
      </c>
      <c r="AX32" s="37" t="n">
        <f aca="false">'Gastos objeto'!AX22*Supuestos!$C$83</f>
        <v>54924923.882747</v>
      </c>
      <c r="AY32" s="37" t="n">
        <f aca="false">'Gastos objeto'!AY22*Supuestos!$C$83</f>
        <v>46252567.480208</v>
      </c>
      <c r="AZ32" s="37" t="n">
        <f aca="false">'Gastos objeto'!AZ22*Supuestos!$C$83</f>
        <v>28907854.67513</v>
      </c>
      <c r="BA32" s="37" t="n">
        <f aca="false">'Gastos objeto'!BA22*Supuestos!$C$83</f>
        <v>20235498.272591</v>
      </c>
      <c r="BB32" s="37" t="n">
        <f aca="false">'Gastos objeto'!BB22*Supuestos!$C$83</f>
        <v>34689425.610156</v>
      </c>
      <c r="BC32" s="37" t="n">
        <f aca="false">'Gastos objeto'!BC22*Supuestos!$C$83</f>
        <v>49143352.947721</v>
      </c>
      <c r="BD32" s="37" t="n">
        <f aca="false">'Gastos objeto'!BD22*Supuestos!$C$83</f>
        <v>54924923.882747</v>
      </c>
      <c r="BE32" s="37" t="n">
        <f aca="false">'Gastos objeto'!BE22*Supuestos!$C$83</f>
        <v>57815709.35026</v>
      </c>
      <c r="BF32" s="37" t="n">
        <f aca="false">'Gastos objeto'!BF22*Supuestos!$C$83</f>
        <v>57815709.35026</v>
      </c>
      <c r="BG32" s="37" t="n">
        <f aca="false">'Gastos objeto'!BG22*Supuestos!$C$83</f>
        <v>57815709.35026</v>
      </c>
      <c r="BH32" s="37" t="n">
        <f aca="false">'Gastos objeto'!BH22*Supuestos!$C$83</f>
        <v>57815709.35026</v>
      </c>
      <c r="BI32" s="37" t="n">
        <f aca="false">'Gastos objeto'!BI22*Supuestos!$C$83</f>
        <v>57815709.35026</v>
      </c>
      <c r="BJ32" s="37" t="n">
        <f aca="false">'Gastos objeto'!BJ22*Supuestos!$C$83</f>
        <v>54924923.882747</v>
      </c>
      <c r="BK32" s="37" t="n">
        <f aca="false">'Gastos objeto'!BK22*Supuestos!$C$83</f>
        <v>46252567.480208</v>
      </c>
      <c r="BL32" s="37" t="n">
        <f aca="false">'Gastos objeto'!BL22*Supuestos!$C$83</f>
        <v>28907854.67513</v>
      </c>
      <c r="BM32" s="37" t="n">
        <f aca="false">'Gastos objeto'!BM22*Supuestos!$C$83</f>
        <v>20235498.272591</v>
      </c>
      <c r="BN32" s="37" t="n">
        <f aca="false">'Gastos objeto'!BN22*Supuestos!$C$83</f>
        <v>34689425.610156</v>
      </c>
      <c r="BO32" s="37" t="n">
        <f aca="false">'Gastos objeto'!BO22*Supuestos!$C$83</f>
        <v>49143352.947721</v>
      </c>
      <c r="BP32" s="37" t="n">
        <f aca="false">'Gastos objeto'!BP22*Supuestos!$C$83</f>
        <v>54924923.882747</v>
      </c>
      <c r="BQ32" s="37" t="n">
        <f aca="false">'Gastos objeto'!BQ22*Supuestos!$C$83</f>
        <v>57815709.35026</v>
      </c>
      <c r="BR32" s="37" t="n">
        <f aca="false">'Gastos objeto'!BR22*Supuestos!$C$83</f>
        <v>57815709.35026</v>
      </c>
      <c r="BS32" s="37" t="n">
        <f aca="false">'Gastos objeto'!BS22*Supuestos!$C$83</f>
        <v>57815709.35026</v>
      </c>
      <c r="BT32" s="37" t="n">
        <f aca="false">'Gastos objeto'!BT22*Supuestos!$C$83</f>
        <v>57815709.35026</v>
      </c>
      <c r="BU32" s="37" t="n">
        <f aca="false">'Gastos objeto'!BU22*Supuestos!$C$83</f>
        <v>57815709.35026</v>
      </c>
      <c r="BV32" s="37" t="n">
        <f aca="false">'Gastos objeto'!BV22*Supuestos!$C$83</f>
        <v>54924923.882747</v>
      </c>
      <c r="BW32" s="37" t="n">
        <f aca="false">'Gastos objeto'!BW22*Supuestos!$C$83</f>
        <v>46252567.480208</v>
      </c>
      <c r="BX32" s="37" t="n">
        <f aca="false">'Gastos objeto'!BX22*Supuestos!$C$83</f>
        <v>28907854.67513</v>
      </c>
      <c r="BY32" s="37" t="n">
        <f aca="false">'Gastos objeto'!BY22*Supuestos!$C$83</f>
        <v>20235498.272591</v>
      </c>
      <c r="BZ32" s="37" t="n">
        <f aca="false">'Gastos objeto'!BZ22*Supuestos!$C$83</f>
        <v>34689425.610156</v>
      </c>
      <c r="CA32" s="37" t="n">
        <f aca="false">'Gastos objeto'!CA22*Supuestos!$C$83</f>
        <v>49143352.947721</v>
      </c>
      <c r="CB32" s="37" t="n">
        <f aca="false">'Gastos objeto'!CB22*Supuestos!$C$83</f>
        <v>54924923.882747</v>
      </c>
      <c r="CC32" s="37" t="n">
        <f aca="false">'Gastos objeto'!CC22*Supuestos!$C$83</f>
        <v>57815709.35026</v>
      </c>
      <c r="CD32" s="37" t="n">
        <f aca="false">'Gastos objeto'!CD22*Supuestos!$C$83</f>
        <v>57815709.35026</v>
      </c>
      <c r="CE32" s="37" t="n">
        <f aca="false">'Gastos objeto'!CE22*Supuestos!$C$83</f>
        <v>57815709.35026</v>
      </c>
      <c r="CF32" s="37" t="n">
        <f aca="false">'Gastos objeto'!CF22*Supuestos!$C$83</f>
        <v>57815709.35026</v>
      </c>
      <c r="CG32" s="37" t="n">
        <f aca="false">'Gastos objeto'!CG22*Supuestos!$C$83</f>
        <v>57815709.35026</v>
      </c>
      <c r="CH32" s="37" t="n">
        <f aca="false">'Gastos objeto'!CH22*Supuestos!$C$83</f>
        <v>54924923.882747</v>
      </c>
      <c r="CI32" s="37" t="n">
        <f aca="false">'Gastos objeto'!CI22*Supuestos!$C$83</f>
        <v>46252567.480208</v>
      </c>
      <c r="CJ32" s="37" t="n">
        <f aca="false">'Gastos objeto'!CJ22*Supuestos!$C$83</f>
        <v>28907854.67513</v>
      </c>
      <c r="CK32" s="37" t="n">
        <f aca="false">'Gastos objeto'!CK22*Supuestos!$C$83</f>
        <v>20235498.272591</v>
      </c>
      <c r="CL32" s="37" t="n">
        <f aca="false">'Gastos objeto'!CL22*Supuestos!$C$83</f>
        <v>34689425.610156</v>
      </c>
      <c r="CM32" s="37" t="n">
        <f aca="false">'Gastos objeto'!CM22*Supuestos!$C$83</f>
        <v>49143352.947721</v>
      </c>
      <c r="CN32" s="37" t="n">
        <f aca="false">'Gastos objeto'!CN22*Supuestos!$C$83</f>
        <v>54924923.882747</v>
      </c>
      <c r="CO32" s="37" t="n">
        <f aca="false">'Gastos objeto'!CO22*Supuestos!$C$83</f>
        <v>57815709.35026</v>
      </c>
      <c r="CP32" s="37" t="n">
        <f aca="false">'Gastos objeto'!CP22*Supuestos!$C$83</f>
        <v>57815709.35026</v>
      </c>
      <c r="CQ32" s="37" t="n">
        <f aca="false">'Gastos objeto'!CQ22*Supuestos!$C$83</f>
        <v>57815709.35026</v>
      </c>
      <c r="CR32" s="37" t="n">
        <f aca="false">'Gastos objeto'!CR22*Supuestos!$C$83</f>
        <v>57815709.35026</v>
      </c>
      <c r="CS32" s="37" t="n">
        <f aca="false">'Gastos objeto'!CS22*Supuestos!$C$83</f>
        <v>57815709.35026</v>
      </c>
      <c r="CT32" s="37" t="n">
        <f aca="false">'Gastos objeto'!CT22*Supuestos!$C$83</f>
        <v>54924923.882747</v>
      </c>
    </row>
    <row r="33" customFormat="false" ht="15" hidden="false" customHeight="true" outlineLevel="0" collapsed="false">
      <c r="B33" s="38" t="s">
        <v>302</v>
      </c>
      <c r="C33" s="39" t="n">
        <f aca="false">SUM(C30:C32)</f>
        <v>2312497620.18513</v>
      </c>
      <c r="D33" s="39" t="n">
        <f aca="false">SUM(D30:D32)</f>
        <v>2328326850.43481</v>
      </c>
      <c r="E33" s="39" t="n">
        <f aca="false">SUM(E30:E32)</f>
        <v>2325436064.96729</v>
      </c>
      <c r="F33" s="39" t="n">
        <f aca="false">SUM(F30:F32)</f>
        <v>2353803504.14957</v>
      </c>
      <c r="G33" s="39" t="n">
        <f aca="false">SUM(G30:G32)</f>
        <v>2368257431.48713</v>
      </c>
      <c r="H33" s="39" t="n">
        <f aca="false">SUM(H30:H32)</f>
        <v>3404099291.13677</v>
      </c>
      <c r="I33" s="39" t="n">
        <f aca="false">SUM(I30:I32)</f>
        <v>2376929787.88967</v>
      </c>
      <c r="J33" s="39" t="n">
        <f aca="false">SUM(J30:J32)</f>
        <v>2376929787.88967</v>
      </c>
      <c r="K33" s="39" t="n">
        <f aca="false">SUM(K30:K32)</f>
        <v>2376929787.88967</v>
      </c>
      <c r="L33" s="39" t="n">
        <f aca="false">SUM(L30:L32)</f>
        <v>2376929787.88967</v>
      </c>
      <c r="M33" s="39" t="n">
        <f aca="false">SUM(M30:M32)</f>
        <v>2378475239.58582</v>
      </c>
      <c r="N33" s="39" t="n">
        <f aca="false">SUM(N30:N32)</f>
        <v>3405644742.83292</v>
      </c>
      <c r="O33" s="39" t="n">
        <f aca="false">SUM(O30:O32)</f>
        <v>2344496378.25255</v>
      </c>
      <c r="P33" s="39" t="n">
        <f aca="false">SUM(P30:P32)</f>
        <v>2329329135.82294</v>
      </c>
      <c r="Q33" s="39" t="n">
        <f aca="false">SUM(Q30:Q32)</f>
        <v>2330704438.73505</v>
      </c>
      <c r="R33" s="39" t="n">
        <f aca="false">SUM(R30:R32)</f>
        <v>2359071877.91732</v>
      </c>
      <c r="S33" s="39" t="n">
        <f aca="false">SUM(S30:S32)</f>
        <v>2373525805.25488</v>
      </c>
      <c r="T33" s="39" t="n">
        <f aca="false">SUM(T30:T32)</f>
        <v>3409367664.90453</v>
      </c>
      <c r="U33" s="39" t="n">
        <f aca="false">SUM(U30:U32)</f>
        <v>2382198161.65742</v>
      </c>
      <c r="V33" s="39" t="n">
        <f aca="false">SUM(V30:V32)</f>
        <v>2382198161.65742</v>
      </c>
      <c r="W33" s="39" t="n">
        <f aca="false">SUM(W30:W32)</f>
        <v>2382198161.65742</v>
      </c>
      <c r="X33" s="39" t="n">
        <f aca="false">SUM(X30:X32)</f>
        <v>2382198161.65742</v>
      </c>
      <c r="Y33" s="39" t="n">
        <f aca="false">SUM(Y30:Y32)</f>
        <v>2383743613.35357</v>
      </c>
      <c r="Z33" s="39" t="n">
        <f aca="false">SUM(Z30:Z32)</f>
        <v>3410913116.60067</v>
      </c>
      <c r="AA33" s="39" t="n">
        <f aca="false">SUM(AA30:AA32)</f>
        <v>2349764752.02031</v>
      </c>
      <c r="AB33" s="39" t="n">
        <f aca="false">SUM(AB30:AB32)</f>
        <v>2334597509.59069</v>
      </c>
      <c r="AC33" s="39" t="n">
        <f aca="false">SUM(AC30:AC32)</f>
        <v>2335972812.5028</v>
      </c>
      <c r="AD33" s="39" t="n">
        <f aca="false">SUM(AD30:AD32)</f>
        <v>2364340251.68507</v>
      </c>
      <c r="AE33" s="39" t="n">
        <f aca="false">SUM(AE30:AE32)</f>
        <v>2378794179.02264</v>
      </c>
      <c r="AF33" s="39" t="n">
        <f aca="false">SUM(AF30:AF32)</f>
        <v>3414636038.67228</v>
      </c>
      <c r="AG33" s="39" t="n">
        <f aca="false">SUM(AG30:AG32)</f>
        <v>2387466535.42518</v>
      </c>
      <c r="AH33" s="39" t="n">
        <f aca="false">SUM(AH30:AH32)</f>
        <v>2387466535.42518</v>
      </c>
      <c r="AI33" s="39" t="n">
        <f aca="false">SUM(AI30:AI32)</f>
        <v>2387466535.42518</v>
      </c>
      <c r="AJ33" s="39" t="n">
        <f aca="false">SUM(AJ30:AJ32)</f>
        <v>2387466535.42518</v>
      </c>
      <c r="AK33" s="39" t="n">
        <f aca="false">SUM(AK30:AK32)</f>
        <v>2389011987.12132</v>
      </c>
      <c r="AL33" s="39" t="n">
        <f aca="false">SUM(AL30:AL32)</f>
        <v>3416181490.36842</v>
      </c>
      <c r="AM33" s="39" t="n">
        <f aca="false">SUM(AM30:AM32)</f>
        <v>2355033125.78806</v>
      </c>
      <c r="AN33" s="39" t="n">
        <f aca="false">SUM(AN30:AN32)</f>
        <v>2339865883.35844</v>
      </c>
      <c r="AO33" s="39" t="n">
        <f aca="false">SUM(AO30:AO32)</f>
        <v>2341241186.27055</v>
      </c>
      <c r="AP33" s="39" t="n">
        <f aca="false">SUM(AP30:AP32)</f>
        <v>2369608625.45282</v>
      </c>
      <c r="AQ33" s="39" t="n">
        <f aca="false">SUM(AQ30:AQ32)</f>
        <v>2384062552.79039</v>
      </c>
      <c r="AR33" s="39" t="n">
        <f aca="false">SUM(AR30:AR32)</f>
        <v>3419904412.44003</v>
      </c>
      <c r="AS33" s="39" t="n">
        <f aca="false">SUM(AS30:AS32)</f>
        <v>2392734909.19293</v>
      </c>
      <c r="AT33" s="39" t="n">
        <f aca="false">SUM(AT30:AT32)</f>
        <v>2392734909.19293</v>
      </c>
      <c r="AU33" s="39" t="n">
        <f aca="false">SUM(AU30:AU32)</f>
        <v>2392734909.19293</v>
      </c>
      <c r="AV33" s="39" t="n">
        <f aca="false">SUM(AV30:AV32)</f>
        <v>2392734909.19293</v>
      </c>
      <c r="AW33" s="39" t="n">
        <f aca="false">SUM(AW30:AW32)</f>
        <v>2394280360.88907</v>
      </c>
      <c r="AX33" s="39" t="n">
        <f aca="false">SUM(AX30:AX32)</f>
        <v>3421449864.13618</v>
      </c>
      <c r="AY33" s="39" t="n">
        <f aca="false">SUM(AY30:AY32)</f>
        <v>2360301499.55581</v>
      </c>
      <c r="AZ33" s="39" t="n">
        <f aca="false">SUM(AZ30:AZ32)</f>
        <v>2339865883.35844</v>
      </c>
      <c r="BA33" s="39" t="n">
        <f aca="false">SUM(BA30:BA32)</f>
        <v>2341241186.27055</v>
      </c>
      <c r="BB33" s="39" t="n">
        <f aca="false">SUM(BB30:BB32)</f>
        <v>2369608625.45282</v>
      </c>
      <c r="BC33" s="39" t="n">
        <f aca="false">SUM(BC30:BC32)</f>
        <v>2384062552.79039</v>
      </c>
      <c r="BD33" s="39" t="n">
        <f aca="false">SUM(BD30:BD32)</f>
        <v>3419904412.44003</v>
      </c>
      <c r="BE33" s="39" t="n">
        <f aca="false">SUM(BE30:BE32)</f>
        <v>2392734909.19293</v>
      </c>
      <c r="BF33" s="39" t="n">
        <f aca="false">SUM(BF30:BF32)</f>
        <v>2392734909.19293</v>
      </c>
      <c r="BG33" s="39" t="n">
        <f aca="false">SUM(BG30:BG32)</f>
        <v>2392734909.19293</v>
      </c>
      <c r="BH33" s="39" t="n">
        <f aca="false">SUM(BH30:BH32)</f>
        <v>2392734909.19293</v>
      </c>
      <c r="BI33" s="39" t="n">
        <f aca="false">SUM(BI30:BI32)</f>
        <v>2394280360.88907</v>
      </c>
      <c r="BJ33" s="39" t="n">
        <f aca="false">SUM(BJ30:BJ32)</f>
        <v>3421449864.13618</v>
      </c>
      <c r="BK33" s="39" t="n">
        <f aca="false">SUM(BK30:BK32)</f>
        <v>2360301499.55581</v>
      </c>
      <c r="BL33" s="39" t="n">
        <f aca="false">SUM(BL30:BL32)</f>
        <v>2339865883.35844</v>
      </c>
      <c r="BM33" s="39" t="n">
        <f aca="false">SUM(BM30:BM32)</f>
        <v>2341241186.27055</v>
      </c>
      <c r="BN33" s="39" t="n">
        <f aca="false">SUM(BN30:BN32)</f>
        <v>2369608625.45282</v>
      </c>
      <c r="BO33" s="39" t="n">
        <f aca="false">SUM(BO30:BO32)</f>
        <v>2384062552.79039</v>
      </c>
      <c r="BP33" s="39" t="n">
        <f aca="false">SUM(BP30:BP32)</f>
        <v>3419904412.44003</v>
      </c>
      <c r="BQ33" s="39" t="n">
        <f aca="false">SUM(BQ30:BQ32)</f>
        <v>2392734909.19293</v>
      </c>
      <c r="BR33" s="39" t="n">
        <f aca="false">SUM(BR30:BR32)</f>
        <v>2392734909.19293</v>
      </c>
      <c r="BS33" s="39" t="n">
        <f aca="false">SUM(BS30:BS32)</f>
        <v>2392734909.19293</v>
      </c>
      <c r="BT33" s="39" t="n">
        <f aca="false">SUM(BT30:BT32)</f>
        <v>2392734909.19293</v>
      </c>
      <c r="BU33" s="39" t="n">
        <f aca="false">SUM(BU30:BU32)</f>
        <v>2394280360.88907</v>
      </c>
      <c r="BV33" s="39" t="n">
        <f aca="false">SUM(BV30:BV32)</f>
        <v>3421449864.13618</v>
      </c>
      <c r="BW33" s="39" t="n">
        <f aca="false">SUM(BW30:BW32)</f>
        <v>2360301499.55581</v>
      </c>
      <c r="BX33" s="39" t="n">
        <f aca="false">SUM(BX30:BX32)</f>
        <v>2339865883.35844</v>
      </c>
      <c r="BY33" s="39" t="n">
        <f aca="false">SUM(BY30:BY32)</f>
        <v>2341241186.27055</v>
      </c>
      <c r="BZ33" s="39" t="n">
        <f aca="false">SUM(BZ30:BZ32)</f>
        <v>2369608625.45282</v>
      </c>
      <c r="CA33" s="39" t="n">
        <f aca="false">SUM(CA30:CA32)</f>
        <v>2384062552.79039</v>
      </c>
      <c r="CB33" s="39" t="n">
        <f aca="false">SUM(CB30:CB32)</f>
        <v>3419904412.44003</v>
      </c>
      <c r="CC33" s="39" t="n">
        <f aca="false">SUM(CC30:CC32)</f>
        <v>2392734909.19293</v>
      </c>
      <c r="CD33" s="39" t="n">
        <f aca="false">SUM(CD30:CD32)</f>
        <v>2392734909.19293</v>
      </c>
      <c r="CE33" s="39" t="n">
        <f aca="false">SUM(CE30:CE32)</f>
        <v>2392734909.19293</v>
      </c>
      <c r="CF33" s="39" t="n">
        <f aca="false">SUM(CF30:CF32)</f>
        <v>2392734909.19293</v>
      </c>
      <c r="CG33" s="39" t="n">
        <f aca="false">SUM(CG30:CG32)</f>
        <v>2394280360.88907</v>
      </c>
      <c r="CH33" s="39" t="n">
        <f aca="false">SUM(CH30:CH32)</f>
        <v>3421449864.13618</v>
      </c>
      <c r="CI33" s="39" t="n">
        <f aca="false">SUM(CI30:CI32)</f>
        <v>2360301499.55581</v>
      </c>
      <c r="CJ33" s="39" t="n">
        <f aca="false">SUM(CJ30:CJ32)</f>
        <v>2339865883.35844</v>
      </c>
      <c r="CK33" s="39" t="n">
        <f aca="false">SUM(CK30:CK32)</f>
        <v>2341241186.27055</v>
      </c>
      <c r="CL33" s="39" t="n">
        <f aca="false">SUM(CL30:CL32)</f>
        <v>2369608625.45282</v>
      </c>
      <c r="CM33" s="39" t="n">
        <f aca="false">SUM(CM30:CM32)</f>
        <v>2384062552.79039</v>
      </c>
      <c r="CN33" s="39" t="n">
        <f aca="false">SUM(CN30:CN32)</f>
        <v>3419904412.44003</v>
      </c>
      <c r="CO33" s="39" t="n">
        <f aca="false">SUM(CO30:CO32)</f>
        <v>2392734909.19293</v>
      </c>
      <c r="CP33" s="39" t="n">
        <f aca="false">SUM(CP30:CP32)</f>
        <v>2392734909.19293</v>
      </c>
      <c r="CQ33" s="39" t="n">
        <f aca="false">SUM(CQ30:CQ32)</f>
        <v>2392734909.19293</v>
      </c>
      <c r="CR33" s="39" t="n">
        <f aca="false">SUM(CR30:CR32)</f>
        <v>2392734909.19293</v>
      </c>
      <c r="CS33" s="39" t="n">
        <f aca="false">SUM(CS30:CS32)</f>
        <v>2394280360.88907</v>
      </c>
      <c r="CT33" s="39" t="n">
        <f aca="false">SUM(CT30:CT32)</f>
        <v>3421449864.13618</v>
      </c>
    </row>
    <row r="34" customFormat="false" ht="15" hidden="false" customHeight="true" outlineLevel="0" collapsed="false">
      <c r="B34" s="15" t="s">
        <v>303</v>
      </c>
      <c r="C34" s="37" t="n">
        <f aca="false">0</f>
        <v>0</v>
      </c>
      <c r="D34" s="37" t="n">
        <f aca="false">C33</f>
        <v>2312497620.18513</v>
      </c>
      <c r="E34" s="37" t="n">
        <f aca="false">D33</f>
        <v>2328326850.43481</v>
      </c>
      <c r="F34" s="37" t="n">
        <f aca="false">E33</f>
        <v>2325436064.96729</v>
      </c>
      <c r="G34" s="37" t="n">
        <f aca="false">F33</f>
        <v>2353803504.14957</v>
      </c>
      <c r="H34" s="37" t="n">
        <f aca="false">G33</f>
        <v>2368257431.48713</v>
      </c>
      <c r="I34" s="37" t="n">
        <f aca="false">H33</f>
        <v>3404099291.13677</v>
      </c>
      <c r="J34" s="37" t="n">
        <f aca="false">I33</f>
        <v>2376929787.88967</v>
      </c>
      <c r="K34" s="37" t="n">
        <f aca="false">J33</f>
        <v>2376929787.88967</v>
      </c>
      <c r="L34" s="37" t="n">
        <f aca="false">K33</f>
        <v>2376929787.88967</v>
      </c>
      <c r="M34" s="37" t="n">
        <f aca="false">L33</f>
        <v>2376929787.88967</v>
      </c>
      <c r="N34" s="37" t="n">
        <f aca="false">M33</f>
        <v>2378475239.58582</v>
      </c>
      <c r="O34" s="37" t="n">
        <f aca="false">N33</f>
        <v>3405644742.83292</v>
      </c>
      <c r="P34" s="37" t="n">
        <f aca="false">O33</f>
        <v>2344496378.25255</v>
      </c>
      <c r="Q34" s="37" t="n">
        <f aca="false">P33</f>
        <v>2329329135.82294</v>
      </c>
      <c r="R34" s="37" t="n">
        <f aca="false">Q33</f>
        <v>2330704438.73505</v>
      </c>
      <c r="S34" s="37" t="n">
        <f aca="false">R33</f>
        <v>2359071877.91732</v>
      </c>
      <c r="T34" s="37" t="n">
        <f aca="false">S33</f>
        <v>2373525805.25488</v>
      </c>
      <c r="U34" s="37" t="n">
        <f aca="false">T33</f>
        <v>3409367664.90453</v>
      </c>
      <c r="V34" s="37" t="n">
        <f aca="false">U33</f>
        <v>2382198161.65742</v>
      </c>
      <c r="W34" s="37" t="n">
        <f aca="false">V33</f>
        <v>2382198161.65742</v>
      </c>
      <c r="X34" s="37" t="n">
        <f aca="false">W33</f>
        <v>2382198161.65742</v>
      </c>
      <c r="Y34" s="37" t="n">
        <f aca="false">X33</f>
        <v>2382198161.65742</v>
      </c>
      <c r="Z34" s="37" t="n">
        <f aca="false">Y33</f>
        <v>2383743613.35357</v>
      </c>
      <c r="AA34" s="37" t="n">
        <f aca="false">Z33</f>
        <v>3410913116.60067</v>
      </c>
      <c r="AB34" s="37" t="n">
        <f aca="false">AA33</f>
        <v>2349764752.02031</v>
      </c>
      <c r="AC34" s="37" t="n">
        <f aca="false">AB33</f>
        <v>2334597509.59069</v>
      </c>
      <c r="AD34" s="37" t="n">
        <f aca="false">AC33</f>
        <v>2335972812.5028</v>
      </c>
      <c r="AE34" s="37" t="n">
        <f aca="false">AD33</f>
        <v>2364340251.68507</v>
      </c>
      <c r="AF34" s="37" t="n">
        <f aca="false">AE33</f>
        <v>2378794179.02264</v>
      </c>
      <c r="AG34" s="37" t="n">
        <f aca="false">AF33</f>
        <v>3414636038.67228</v>
      </c>
      <c r="AH34" s="37" t="n">
        <f aca="false">AG33</f>
        <v>2387466535.42518</v>
      </c>
      <c r="AI34" s="37" t="n">
        <f aca="false">AH33</f>
        <v>2387466535.42518</v>
      </c>
      <c r="AJ34" s="37" t="n">
        <f aca="false">AI33</f>
        <v>2387466535.42518</v>
      </c>
      <c r="AK34" s="37" t="n">
        <f aca="false">AJ33</f>
        <v>2387466535.42518</v>
      </c>
      <c r="AL34" s="37" t="n">
        <f aca="false">AK33</f>
        <v>2389011987.12132</v>
      </c>
      <c r="AM34" s="37" t="n">
        <f aca="false">AL33</f>
        <v>3416181490.36842</v>
      </c>
      <c r="AN34" s="37" t="n">
        <f aca="false">AM33</f>
        <v>2355033125.78806</v>
      </c>
      <c r="AO34" s="37" t="n">
        <f aca="false">AN33</f>
        <v>2339865883.35844</v>
      </c>
      <c r="AP34" s="37" t="n">
        <f aca="false">AO33</f>
        <v>2341241186.27055</v>
      </c>
      <c r="AQ34" s="37" t="n">
        <f aca="false">AP33</f>
        <v>2369608625.45282</v>
      </c>
      <c r="AR34" s="37" t="n">
        <f aca="false">AQ33</f>
        <v>2384062552.79039</v>
      </c>
      <c r="AS34" s="37" t="n">
        <f aca="false">AR33</f>
        <v>3419904412.44003</v>
      </c>
      <c r="AT34" s="37" t="n">
        <f aca="false">AS33</f>
        <v>2392734909.19293</v>
      </c>
      <c r="AU34" s="37" t="n">
        <f aca="false">AT33</f>
        <v>2392734909.19293</v>
      </c>
      <c r="AV34" s="37" t="n">
        <f aca="false">AU33</f>
        <v>2392734909.19293</v>
      </c>
      <c r="AW34" s="37" t="n">
        <f aca="false">AV33</f>
        <v>2392734909.19293</v>
      </c>
      <c r="AX34" s="37" t="n">
        <f aca="false">AW33</f>
        <v>2394280360.88907</v>
      </c>
      <c r="AY34" s="37" t="n">
        <f aca="false">AX33</f>
        <v>3421449864.13618</v>
      </c>
      <c r="AZ34" s="37" t="n">
        <f aca="false">AY33</f>
        <v>2360301499.55581</v>
      </c>
      <c r="BA34" s="37" t="n">
        <f aca="false">AZ33</f>
        <v>2339865883.35844</v>
      </c>
      <c r="BB34" s="37" t="n">
        <f aca="false">BA33</f>
        <v>2341241186.27055</v>
      </c>
      <c r="BC34" s="37" t="n">
        <f aca="false">BB33</f>
        <v>2369608625.45282</v>
      </c>
      <c r="BD34" s="37" t="n">
        <f aca="false">BC33</f>
        <v>2384062552.79039</v>
      </c>
      <c r="BE34" s="37" t="n">
        <f aca="false">BD33</f>
        <v>3419904412.44003</v>
      </c>
      <c r="BF34" s="37" t="n">
        <f aca="false">BE33</f>
        <v>2392734909.19293</v>
      </c>
      <c r="BG34" s="37" t="n">
        <f aca="false">BF33</f>
        <v>2392734909.19293</v>
      </c>
      <c r="BH34" s="37" t="n">
        <f aca="false">BG33</f>
        <v>2392734909.19293</v>
      </c>
      <c r="BI34" s="37" t="n">
        <f aca="false">BH33</f>
        <v>2392734909.19293</v>
      </c>
      <c r="BJ34" s="37" t="n">
        <f aca="false">BI33</f>
        <v>2394280360.88907</v>
      </c>
      <c r="BK34" s="37" t="n">
        <f aca="false">BJ33</f>
        <v>3421449864.13618</v>
      </c>
      <c r="BL34" s="37" t="n">
        <f aca="false">BK33</f>
        <v>2360301499.55581</v>
      </c>
      <c r="BM34" s="37" t="n">
        <f aca="false">BL33</f>
        <v>2339865883.35844</v>
      </c>
      <c r="BN34" s="37" t="n">
        <f aca="false">BM33</f>
        <v>2341241186.27055</v>
      </c>
      <c r="BO34" s="37" t="n">
        <f aca="false">BN33</f>
        <v>2369608625.45282</v>
      </c>
      <c r="BP34" s="37" t="n">
        <f aca="false">BO33</f>
        <v>2384062552.79039</v>
      </c>
      <c r="BQ34" s="37" t="n">
        <f aca="false">BP33</f>
        <v>3419904412.44003</v>
      </c>
      <c r="BR34" s="37" t="n">
        <f aca="false">BQ33</f>
        <v>2392734909.19293</v>
      </c>
      <c r="BS34" s="37" t="n">
        <f aca="false">BR33</f>
        <v>2392734909.19293</v>
      </c>
      <c r="BT34" s="37" t="n">
        <f aca="false">BS33</f>
        <v>2392734909.19293</v>
      </c>
      <c r="BU34" s="37" t="n">
        <f aca="false">BT33</f>
        <v>2392734909.19293</v>
      </c>
      <c r="BV34" s="37" t="n">
        <f aca="false">BU33</f>
        <v>2394280360.88907</v>
      </c>
      <c r="BW34" s="37" t="n">
        <f aca="false">BV33</f>
        <v>3421449864.13618</v>
      </c>
      <c r="BX34" s="37" t="n">
        <f aca="false">BW33</f>
        <v>2360301499.55581</v>
      </c>
      <c r="BY34" s="37" t="n">
        <f aca="false">BX33</f>
        <v>2339865883.35844</v>
      </c>
      <c r="BZ34" s="37" t="n">
        <f aca="false">BY33</f>
        <v>2341241186.27055</v>
      </c>
      <c r="CA34" s="37" t="n">
        <f aca="false">BZ33</f>
        <v>2369608625.45282</v>
      </c>
      <c r="CB34" s="37" t="n">
        <f aca="false">CA33</f>
        <v>2384062552.79039</v>
      </c>
      <c r="CC34" s="37" t="n">
        <f aca="false">CB33</f>
        <v>3419904412.44003</v>
      </c>
      <c r="CD34" s="37" t="n">
        <f aca="false">CC33</f>
        <v>2392734909.19293</v>
      </c>
      <c r="CE34" s="37" t="n">
        <f aca="false">CD33</f>
        <v>2392734909.19293</v>
      </c>
      <c r="CF34" s="37" t="n">
        <f aca="false">CE33</f>
        <v>2392734909.19293</v>
      </c>
      <c r="CG34" s="37" t="n">
        <f aca="false">CF33</f>
        <v>2392734909.19293</v>
      </c>
      <c r="CH34" s="37" t="n">
        <f aca="false">CG33</f>
        <v>2394280360.88907</v>
      </c>
      <c r="CI34" s="37" t="n">
        <f aca="false">CH33</f>
        <v>3421449864.13618</v>
      </c>
      <c r="CJ34" s="37" t="n">
        <f aca="false">CI33</f>
        <v>2360301499.55581</v>
      </c>
      <c r="CK34" s="37" t="n">
        <f aca="false">CJ33</f>
        <v>2339865883.35844</v>
      </c>
      <c r="CL34" s="37" t="n">
        <f aca="false">CK33</f>
        <v>2341241186.27055</v>
      </c>
      <c r="CM34" s="37" t="n">
        <f aca="false">CL33</f>
        <v>2369608625.45282</v>
      </c>
      <c r="CN34" s="37" t="n">
        <f aca="false">CM33</f>
        <v>2384062552.79039</v>
      </c>
      <c r="CO34" s="37" t="n">
        <f aca="false">CN33</f>
        <v>3419904412.44003</v>
      </c>
      <c r="CP34" s="37" t="n">
        <f aca="false">CO33</f>
        <v>2392734909.19293</v>
      </c>
      <c r="CQ34" s="37" t="n">
        <f aca="false">CP33</f>
        <v>2392734909.19293</v>
      </c>
      <c r="CR34" s="37" t="n">
        <f aca="false">CQ33</f>
        <v>2392734909.19293</v>
      </c>
      <c r="CS34" s="37" t="n">
        <f aca="false">CR33</f>
        <v>2392734909.19293</v>
      </c>
      <c r="CT34" s="37" t="n">
        <f aca="false">CS33</f>
        <v>2394280360.88907</v>
      </c>
    </row>
    <row r="35" customFormat="false" ht="15" hidden="false" customHeight="true" outlineLevel="0" collapsed="false">
      <c r="B35" s="38" t="s">
        <v>304</v>
      </c>
      <c r="C35" s="39" t="n">
        <f aca="false">C33-C34</f>
        <v>2312497620.18513</v>
      </c>
      <c r="D35" s="39" t="n">
        <f aca="false">D33-D34</f>
        <v>15829230.2496729</v>
      </c>
      <c r="E35" s="39" t="n">
        <f aca="false">E33-E34</f>
        <v>-2890785.46751308</v>
      </c>
      <c r="F35" s="39" t="n">
        <f aca="false">F33-F34</f>
        <v>28367439.1822748</v>
      </c>
      <c r="G35" s="39" t="n">
        <f aca="false">G33-G34</f>
        <v>14453927.3375649</v>
      </c>
      <c r="H35" s="39" t="n">
        <f aca="false">H33-H34</f>
        <v>1035841859.64964</v>
      </c>
      <c r="I35" s="39" t="n">
        <f aca="false">I33-I34</f>
        <v>-1027169503.2471</v>
      </c>
      <c r="J35" s="39" t="n">
        <f aca="false">J33-J34</f>
        <v>0</v>
      </c>
      <c r="K35" s="39" t="n">
        <f aca="false">K33-K34</f>
        <v>0</v>
      </c>
      <c r="L35" s="39" t="n">
        <f aca="false">L33-L34</f>
        <v>0</v>
      </c>
      <c r="M35" s="39" t="n">
        <f aca="false">M33-M34</f>
        <v>1545451.69614601</v>
      </c>
      <c r="N35" s="39" t="n">
        <f aca="false">N33-N34</f>
        <v>1027169503.2471</v>
      </c>
      <c r="O35" s="39" t="n">
        <f aca="false">O33-O34</f>
        <v>-1061148364.58037</v>
      </c>
      <c r="P35" s="39" t="n">
        <f aca="false">P33-P34</f>
        <v>-15167242.4296174</v>
      </c>
      <c r="Q35" s="39" t="n">
        <f aca="false">Q33-Q34</f>
        <v>1375302.91210794</v>
      </c>
      <c r="R35" s="39" t="n">
        <f aca="false">R33-R34</f>
        <v>28367439.1822748</v>
      </c>
      <c r="S35" s="39" t="n">
        <f aca="false">S33-S34</f>
        <v>14453927.3375649</v>
      </c>
      <c r="T35" s="39" t="n">
        <f aca="false">T33-T34</f>
        <v>1035841859.64964</v>
      </c>
      <c r="U35" s="39" t="n">
        <f aca="false">U33-U34</f>
        <v>-1027169503.2471</v>
      </c>
      <c r="V35" s="39" t="n">
        <f aca="false">V33-V34</f>
        <v>0</v>
      </c>
      <c r="W35" s="39" t="n">
        <f aca="false">W33-W34</f>
        <v>0</v>
      </c>
      <c r="X35" s="39" t="n">
        <f aca="false">X33-X34</f>
        <v>0</v>
      </c>
      <c r="Y35" s="39" t="n">
        <f aca="false">Y33-Y34</f>
        <v>1545451.69614553</v>
      </c>
      <c r="Z35" s="39" t="n">
        <f aca="false">Z33-Z34</f>
        <v>1027169503.2471</v>
      </c>
      <c r="AA35" s="39" t="n">
        <f aca="false">AA33-AA34</f>
        <v>-1061148364.58037</v>
      </c>
      <c r="AB35" s="39" t="n">
        <f aca="false">AB33-AB34</f>
        <v>-15167242.4296174</v>
      </c>
      <c r="AC35" s="39" t="n">
        <f aca="false">AC33-AC34</f>
        <v>1375302.91210747</v>
      </c>
      <c r="AD35" s="39" t="n">
        <f aca="false">AD33-AD34</f>
        <v>28367439.1822753</v>
      </c>
      <c r="AE35" s="39" t="n">
        <f aca="false">AE33-AE34</f>
        <v>14453927.3375649</v>
      </c>
      <c r="AF35" s="39" t="n">
        <f aca="false">AF33-AF34</f>
        <v>1035841859.64964</v>
      </c>
      <c r="AG35" s="39" t="n">
        <f aca="false">AG33-AG34</f>
        <v>-1027169503.2471</v>
      </c>
      <c r="AH35" s="39" t="n">
        <f aca="false">AH33-AH34</f>
        <v>0</v>
      </c>
      <c r="AI35" s="39" t="n">
        <f aca="false">AI33-AI34</f>
        <v>0</v>
      </c>
      <c r="AJ35" s="39" t="n">
        <f aca="false">AJ33-AJ34</f>
        <v>0</v>
      </c>
      <c r="AK35" s="39" t="n">
        <f aca="false">AK33-AK34</f>
        <v>1545451.69614553</v>
      </c>
      <c r="AL35" s="39" t="n">
        <f aca="false">AL33-AL34</f>
        <v>1027169503.2471</v>
      </c>
      <c r="AM35" s="39" t="n">
        <f aca="false">AM33-AM34</f>
        <v>-1061148364.58037</v>
      </c>
      <c r="AN35" s="39" t="n">
        <f aca="false">AN33-AN34</f>
        <v>-15167242.4296174</v>
      </c>
      <c r="AO35" s="39" t="n">
        <f aca="false">AO33-AO34</f>
        <v>1375302.91210747</v>
      </c>
      <c r="AP35" s="39" t="n">
        <f aca="false">AP33-AP34</f>
        <v>28367439.1822753</v>
      </c>
      <c r="AQ35" s="39" t="n">
        <f aca="false">AQ33-AQ34</f>
        <v>14453927.3375649</v>
      </c>
      <c r="AR35" s="39" t="n">
        <f aca="false">AR33-AR34</f>
        <v>1035841859.64964</v>
      </c>
      <c r="AS35" s="39" t="n">
        <f aca="false">AS33-AS34</f>
        <v>-1027169503.2471</v>
      </c>
      <c r="AT35" s="39" t="n">
        <f aca="false">AT33-AT34</f>
        <v>0</v>
      </c>
      <c r="AU35" s="39" t="n">
        <f aca="false">AU33-AU34</f>
        <v>0</v>
      </c>
      <c r="AV35" s="39" t="n">
        <f aca="false">AV33-AV34</f>
        <v>0</v>
      </c>
      <c r="AW35" s="39" t="n">
        <f aca="false">AW33-AW34</f>
        <v>1545451.69614553</v>
      </c>
      <c r="AX35" s="39" t="n">
        <f aca="false">AX33-AX34</f>
        <v>1027169503.2471</v>
      </c>
      <c r="AY35" s="39" t="n">
        <f aca="false">AY33-AY34</f>
        <v>-1061148364.58037</v>
      </c>
      <c r="AZ35" s="39" t="n">
        <f aca="false">AZ33-AZ34</f>
        <v>-20435616.1973691</v>
      </c>
      <c r="BA35" s="39" t="n">
        <f aca="false">BA33-BA34</f>
        <v>1375302.91210747</v>
      </c>
      <c r="BB35" s="39" t="n">
        <f aca="false">BB33-BB34</f>
        <v>28367439.1822753</v>
      </c>
      <c r="BC35" s="39" t="n">
        <f aca="false">BC33-BC34</f>
        <v>14453927.3375649</v>
      </c>
      <c r="BD35" s="39" t="n">
        <f aca="false">BD33-BD34</f>
        <v>1035841859.64964</v>
      </c>
      <c r="BE35" s="39" t="n">
        <f aca="false">BE33-BE34</f>
        <v>-1027169503.2471</v>
      </c>
      <c r="BF35" s="39" t="n">
        <f aca="false">BF33-BF34</f>
        <v>0</v>
      </c>
      <c r="BG35" s="39" t="n">
        <f aca="false">BG33-BG34</f>
        <v>0</v>
      </c>
      <c r="BH35" s="39" t="n">
        <f aca="false">BH33-BH34</f>
        <v>0</v>
      </c>
      <c r="BI35" s="39" t="n">
        <f aca="false">BI33-BI34</f>
        <v>1545451.69614553</v>
      </c>
      <c r="BJ35" s="39" t="n">
        <f aca="false">BJ33-BJ34</f>
        <v>1027169503.2471</v>
      </c>
      <c r="BK35" s="39" t="n">
        <f aca="false">BK33-BK34</f>
        <v>-1061148364.58037</v>
      </c>
      <c r="BL35" s="39" t="n">
        <f aca="false">BL33-BL34</f>
        <v>-20435616.1973691</v>
      </c>
      <c r="BM35" s="39" t="n">
        <f aca="false">BM33-BM34</f>
        <v>1375302.91210747</v>
      </c>
      <c r="BN35" s="39" t="n">
        <f aca="false">BN33-BN34</f>
        <v>28367439.1822753</v>
      </c>
      <c r="BO35" s="39" t="n">
        <f aca="false">BO33-BO34</f>
        <v>14453927.3375649</v>
      </c>
      <c r="BP35" s="39" t="n">
        <f aca="false">BP33-BP34</f>
        <v>1035841859.64964</v>
      </c>
      <c r="BQ35" s="39" t="n">
        <f aca="false">BQ33-BQ34</f>
        <v>-1027169503.2471</v>
      </c>
      <c r="BR35" s="39" t="n">
        <f aca="false">BR33-BR34</f>
        <v>0</v>
      </c>
      <c r="BS35" s="39" t="n">
        <f aca="false">BS33-BS34</f>
        <v>0</v>
      </c>
      <c r="BT35" s="39" t="n">
        <f aca="false">BT33-BT34</f>
        <v>0</v>
      </c>
      <c r="BU35" s="39" t="n">
        <f aca="false">BU33-BU34</f>
        <v>1545451.69614553</v>
      </c>
      <c r="BV35" s="39" t="n">
        <f aca="false">BV33-BV34</f>
        <v>1027169503.2471</v>
      </c>
      <c r="BW35" s="39" t="n">
        <f aca="false">BW33-BW34</f>
        <v>-1061148364.58037</v>
      </c>
      <c r="BX35" s="39" t="n">
        <f aca="false">BX33-BX34</f>
        <v>-20435616.1973691</v>
      </c>
      <c r="BY35" s="39" t="n">
        <f aca="false">BY33-BY34</f>
        <v>1375302.91210747</v>
      </c>
      <c r="BZ35" s="39" t="n">
        <f aca="false">BZ33-BZ34</f>
        <v>28367439.1822753</v>
      </c>
      <c r="CA35" s="39" t="n">
        <f aca="false">CA33-CA34</f>
        <v>14453927.3375649</v>
      </c>
      <c r="CB35" s="39" t="n">
        <f aca="false">CB33-CB34</f>
        <v>1035841859.64964</v>
      </c>
      <c r="CC35" s="39" t="n">
        <f aca="false">CC33-CC34</f>
        <v>-1027169503.2471</v>
      </c>
      <c r="CD35" s="39" t="n">
        <f aca="false">CD33-CD34</f>
        <v>0</v>
      </c>
      <c r="CE35" s="39" t="n">
        <f aca="false">CE33-CE34</f>
        <v>0</v>
      </c>
      <c r="CF35" s="39" t="n">
        <f aca="false">CF33-CF34</f>
        <v>0</v>
      </c>
      <c r="CG35" s="39" t="n">
        <f aca="false">CG33-CG34</f>
        <v>1545451.69614553</v>
      </c>
      <c r="CH35" s="39" t="n">
        <f aca="false">CH33-CH34</f>
        <v>1027169503.2471</v>
      </c>
      <c r="CI35" s="39" t="n">
        <f aca="false">CI33-CI34</f>
        <v>-1061148364.58037</v>
      </c>
      <c r="CJ35" s="39" t="n">
        <f aca="false">CJ33-CJ34</f>
        <v>-20435616.1973691</v>
      </c>
      <c r="CK35" s="39" t="n">
        <f aca="false">CK33-CK34</f>
        <v>1375302.91210747</v>
      </c>
      <c r="CL35" s="39" t="n">
        <f aca="false">CL33-CL34</f>
        <v>28367439.1822753</v>
      </c>
      <c r="CM35" s="39" t="n">
        <f aca="false">CM33-CM34</f>
        <v>14453927.3375649</v>
      </c>
      <c r="CN35" s="39" t="n">
        <f aca="false">CN33-CN34</f>
        <v>1035841859.64964</v>
      </c>
      <c r="CO35" s="39" t="n">
        <f aca="false">CO33-CO34</f>
        <v>-1027169503.2471</v>
      </c>
      <c r="CP35" s="39" t="n">
        <f aca="false">CP33-CP34</f>
        <v>0</v>
      </c>
      <c r="CQ35" s="39" t="n">
        <f aca="false">CQ33-CQ34</f>
        <v>0</v>
      </c>
      <c r="CR35" s="39" t="n">
        <f aca="false">CR33-CR34</f>
        <v>0</v>
      </c>
      <c r="CS35" s="39" t="n">
        <f aca="false">CS33-CS34</f>
        <v>1545451.69614553</v>
      </c>
      <c r="CT35" s="39" t="n">
        <f aca="false">CT33-CT34</f>
        <v>1027169503.2471</v>
      </c>
    </row>
    <row r="36" customFormat="false" ht="15" hidden="false" customHeight="true" outlineLevel="0" collapsed="false">
      <c r="B36" s="38" t="s">
        <v>305</v>
      </c>
      <c r="C36" s="39" t="n">
        <f aca="false">C10+C35</f>
        <v>2312497620.18513</v>
      </c>
      <c r="D36" s="39" t="n">
        <f aca="false">D10+D35</f>
        <v>2328326850.43481</v>
      </c>
      <c r="E36" s="39" t="n">
        <f aca="false">E10+E35</f>
        <v>2325436064.96729</v>
      </c>
      <c r="F36" s="39" t="n">
        <f aca="false">F10+F35</f>
        <v>2353803504.14957</v>
      </c>
      <c r="G36" s="39" t="n">
        <f aca="false">G10+G35</f>
        <v>2368257431.48713</v>
      </c>
      <c r="H36" s="39" t="n">
        <f aca="false">H10+H35</f>
        <v>3404099291.13677</v>
      </c>
      <c r="I36" s="39" t="n">
        <f aca="false">I10+I35</f>
        <v>2376929787.88967</v>
      </c>
      <c r="J36" s="39" t="n">
        <f aca="false">J10+J35</f>
        <v>2376929787.88967</v>
      </c>
      <c r="K36" s="39" t="n">
        <f aca="false">K10+K35</f>
        <v>2376929787.88967</v>
      </c>
      <c r="L36" s="39" t="n">
        <f aca="false">L10+L35</f>
        <v>2376929787.88967</v>
      </c>
      <c r="M36" s="39" t="n">
        <f aca="false">M10+M35</f>
        <v>2378475239.58582</v>
      </c>
      <c r="N36" s="39" t="n">
        <f aca="false">N10+N35</f>
        <v>3405644742.83292</v>
      </c>
      <c r="O36" s="39" t="n">
        <f aca="false">O10+O35</f>
        <v>2344496378.25255</v>
      </c>
      <c r="P36" s="39" t="n">
        <f aca="false">P10+P35</f>
        <v>2329329135.82294</v>
      </c>
      <c r="Q36" s="39" t="n">
        <f aca="false">Q10+Q35</f>
        <v>2330704438.73505</v>
      </c>
      <c r="R36" s="39" t="n">
        <f aca="false">R10+R35</f>
        <v>2359071877.91732</v>
      </c>
      <c r="S36" s="39" t="n">
        <f aca="false">S10+S35</f>
        <v>2373525805.25488</v>
      </c>
      <c r="T36" s="39" t="n">
        <f aca="false">T10+T35</f>
        <v>3409367664.90453</v>
      </c>
      <c r="U36" s="39" t="n">
        <f aca="false">U10+U35</f>
        <v>2382198161.65742</v>
      </c>
      <c r="V36" s="39" t="n">
        <f aca="false">V10+V35</f>
        <v>2382198161.65742</v>
      </c>
      <c r="W36" s="39" t="n">
        <f aca="false">W10+W35</f>
        <v>2382198161.65742</v>
      </c>
      <c r="X36" s="39" t="n">
        <f aca="false">X10+X35</f>
        <v>2382198161.65742</v>
      </c>
      <c r="Y36" s="39" t="n">
        <f aca="false">Y10+Y35</f>
        <v>2383743613.35357</v>
      </c>
      <c r="Z36" s="39" t="n">
        <f aca="false">Z10+Z35</f>
        <v>3410913116.60067</v>
      </c>
      <c r="AA36" s="39" t="n">
        <f aca="false">AA10+AA35</f>
        <v>2349764752.02031</v>
      </c>
      <c r="AB36" s="39" t="n">
        <f aca="false">AB10+AB35</f>
        <v>2334597509.59069</v>
      </c>
      <c r="AC36" s="39" t="n">
        <f aca="false">AC10+AC35</f>
        <v>2335972812.5028</v>
      </c>
      <c r="AD36" s="39" t="n">
        <f aca="false">AD10+AD35</f>
        <v>2364340251.68507</v>
      </c>
      <c r="AE36" s="39" t="n">
        <f aca="false">AE10+AE35</f>
        <v>2378794179.02264</v>
      </c>
      <c r="AF36" s="39" t="n">
        <f aca="false">AF10+AF35</f>
        <v>3414636038.67228</v>
      </c>
      <c r="AG36" s="39" t="n">
        <f aca="false">AG10+AG35</f>
        <v>2387466535.42518</v>
      </c>
      <c r="AH36" s="39" t="n">
        <f aca="false">AH10+AH35</f>
        <v>2387466535.42518</v>
      </c>
      <c r="AI36" s="39" t="n">
        <f aca="false">AI10+AI35</f>
        <v>2387466535.42518</v>
      </c>
      <c r="AJ36" s="39" t="n">
        <f aca="false">AJ10+AJ35</f>
        <v>2387466535.42518</v>
      </c>
      <c r="AK36" s="39" t="n">
        <f aca="false">AK10+AK35</f>
        <v>2389011987.12132</v>
      </c>
      <c r="AL36" s="39" t="n">
        <f aca="false">AL10+AL35</f>
        <v>3416181490.36842</v>
      </c>
      <c r="AM36" s="39" t="n">
        <f aca="false">AM10+AM35</f>
        <v>2355033125.78806</v>
      </c>
      <c r="AN36" s="39" t="n">
        <f aca="false">AN10+AN35</f>
        <v>2339865883.35844</v>
      </c>
      <c r="AO36" s="39" t="n">
        <f aca="false">AO10+AO35</f>
        <v>2341241186.27055</v>
      </c>
      <c r="AP36" s="39" t="n">
        <f aca="false">AP10+AP35</f>
        <v>2369608625.45282</v>
      </c>
      <c r="AQ36" s="39" t="n">
        <f aca="false">AQ10+AQ35</f>
        <v>2384062552.79039</v>
      </c>
      <c r="AR36" s="39" t="n">
        <f aca="false">AR10+AR35</f>
        <v>3419904412.44003</v>
      </c>
      <c r="AS36" s="39" t="n">
        <f aca="false">AS10+AS35</f>
        <v>2392734909.19293</v>
      </c>
      <c r="AT36" s="39" t="n">
        <f aca="false">AT10+AT35</f>
        <v>2392734909.19293</v>
      </c>
      <c r="AU36" s="39" t="n">
        <f aca="false">AU10+AU35</f>
        <v>2392734909.19293</v>
      </c>
      <c r="AV36" s="39" t="n">
        <f aca="false">AV10+AV35</f>
        <v>2392734909.19293</v>
      </c>
      <c r="AW36" s="39" t="n">
        <f aca="false">AW10+AW35</f>
        <v>2394280360.88907</v>
      </c>
      <c r="AX36" s="39" t="n">
        <f aca="false">AX10+AX35</f>
        <v>3421449864.13618</v>
      </c>
      <c r="AY36" s="39" t="n">
        <f aca="false">AY10+AY35</f>
        <v>2360301499.55581</v>
      </c>
      <c r="AZ36" s="39" t="n">
        <f aca="false">AZ10+AZ35</f>
        <v>2339865883.35844</v>
      </c>
      <c r="BA36" s="39" t="n">
        <f aca="false">BA10+BA35</f>
        <v>2341241186.27055</v>
      </c>
      <c r="BB36" s="39" t="n">
        <f aca="false">BB10+BB35</f>
        <v>2369608625.45282</v>
      </c>
      <c r="BC36" s="39" t="n">
        <f aca="false">BC10+BC35</f>
        <v>2384062552.79039</v>
      </c>
      <c r="BD36" s="39" t="n">
        <f aca="false">BD10+BD35</f>
        <v>3419904412.44003</v>
      </c>
      <c r="BE36" s="39" t="n">
        <f aca="false">BE10+BE35</f>
        <v>2392734909.19293</v>
      </c>
      <c r="BF36" s="39" t="n">
        <f aca="false">BF10+BF35</f>
        <v>2392734909.19293</v>
      </c>
      <c r="BG36" s="39" t="n">
        <f aca="false">BG10+BG35</f>
        <v>2392734909.19293</v>
      </c>
      <c r="BH36" s="39" t="n">
        <f aca="false">BH10+BH35</f>
        <v>2392734909.19293</v>
      </c>
      <c r="BI36" s="39" t="n">
        <f aca="false">BI10+BI35</f>
        <v>2394280360.88907</v>
      </c>
      <c r="BJ36" s="39" t="n">
        <f aca="false">BJ10+BJ35</f>
        <v>3421449864.13618</v>
      </c>
      <c r="BK36" s="39" t="n">
        <f aca="false">BK10+BK35</f>
        <v>2360301499.55581</v>
      </c>
      <c r="BL36" s="39" t="n">
        <f aca="false">BL10+BL35</f>
        <v>2339865883.35844</v>
      </c>
      <c r="BM36" s="39" t="n">
        <f aca="false">BM10+BM35</f>
        <v>2341241186.27055</v>
      </c>
      <c r="BN36" s="39" t="n">
        <f aca="false">BN10+BN35</f>
        <v>2369608625.45282</v>
      </c>
      <c r="BO36" s="39" t="n">
        <f aca="false">BO10+BO35</f>
        <v>2384062552.79039</v>
      </c>
      <c r="BP36" s="39" t="n">
        <f aca="false">BP10+BP35</f>
        <v>3419904412.44003</v>
      </c>
      <c r="BQ36" s="39" t="n">
        <f aca="false">BQ10+BQ35</f>
        <v>2392734909.19293</v>
      </c>
      <c r="BR36" s="39" t="n">
        <f aca="false">BR10+BR35</f>
        <v>2392734909.19293</v>
      </c>
      <c r="BS36" s="39" t="n">
        <f aca="false">BS10+BS35</f>
        <v>2392734909.19293</v>
      </c>
      <c r="BT36" s="39" t="n">
        <f aca="false">BT10+BT35</f>
        <v>2392734909.19293</v>
      </c>
      <c r="BU36" s="39" t="n">
        <f aca="false">BU10+BU35</f>
        <v>2394280360.88907</v>
      </c>
      <c r="BV36" s="39" t="n">
        <f aca="false">BV10+BV35</f>
        <v>3421449864.13618</v>
      </c>
      <c r="BW36" s="39" t="n">
        <f aca="false">BW10+BW35</f>
        <v>2360301499.55581</v>
      </c>
      <c r="BX36" s="39" t="n">
        <f aca="false">BX10+BX35</f>
        <v>2339865883.35844</v>
      </c>
      <c r="BY36" s="39" t="n">
        <f aca="false">BY10+BY35</f>
        <v>2341241186.27055</v>
      </c>
      <c r="BZ36" s="39" t="n">
        <f aca="false">BZ10+BZ35</f>
        <v>2369608625.45282</v>
      </c>
      <c r="CA36" s="39" t="n">
        <f aca="false">CA10+CA35</f>
        <v>2384062552.79039</v>
      </c>
      <c r="CB36" s="39" t="n">
        <f aca="false">CB10+CB35</f>
        <v>3419904412.44003</v>
      </c>
      <c r="CC36" s="39" t="n">
        <f aca="false">CC10+CC35</f>
        <v>2392734909.19293</v>
      </c>
      <c r="CD36" s="39" t="n">
        <f aca="false">CD10+CD35</f>
        <v>2392734909.19293</v>
      </c>
      <c r="CE36" s="39" t="n">
        <f aca="false">CE10+CE35</f>
        <v>2392734909.19293</v>
      </c>
      <c r="CF36" s="39" t="n">
        <f aca="false">CF10+CF35</f>
        <v>2392734909.19293</v>
      </c>
      <c r="CG36" s="39" t="n">
        <f aca="false">CG10+CG35</f>
        <v>2394280360.88907</v>
      </c>
      <c r="CH36" s="39" t="n">
        <f aca="false">CH10+CH35</f>
        <v>3421449864.13618</v>
      </c>
      <c r="CI36" s="39" t="n">
        <f aca="false">CI10+CI35</f>
        <v>2360301499.55581</v>
      </c>
      <c r="CJ36" s="39" t="n">
        <f aca="false">CJ10+CJ35</f>
        <v>2339865883.35844</v>
      </c>
      <c r="CK36" s="39" t="n">
        <f aca="false">CK10+CK35</f>
        <v>2341241186.27055</v>
      </c>
      <c r="CL36" s="39" t="n">
        <f aca="false">CL10+CL35</f>
        <v>2369608625.45282</v>
      </c>
      <c r="CM36" s="39" t="n">
        <f aca="false">CM10+CM35</f>
        <v>2384062552.79039</v>
      </c>
      <c r="CN36" s="39" t="n">
        <f aca="false">CN10+CN35</f>
        <v>3419904412.44003</v>
      </c>
      <c r="CO36" s="39" t="n">
        <f aca="false">CO10+CO35</f>
        <v>2392734909.19293</v>
      </c>
      <c r="CP36" s="39" t="n">
        <f aca="false">CP10+CP35</f>
        <v>2392734909.19293</v>
      </c>
      <c r="CQ36" s="39" t="n">
        <f aca="false">CQ10+CQ35</f>
        <v>2392734909.19293</v>
      </c>
      <c r="CR36" s="39" t="n">
        <f aca="false">CR10+CR35</f>
        <v>2392734909.19293</v>
      </c>
      <c r="CS36" s="39" t="n">
        <f aca="false">CS10+CS35</f>
        <v>2394280360.88907</v>
      </c>
      <c r="CT36" s="39" t="n">
        <f aca="false">CT10+CT35</f>
        <v>3421449864.13618</v>
      </c>
    </row>
    <row r="38" customFormat="false" ht="15" hidden="false" customHeight="true" outlineLevel="0" collapsed="false">
      <c r="B38" s="35" t="s">
        <v>306</v>
      </c>
      <c r="C38" s="36"/>
      <c r="D38" s="36"/>
      <c r="E38" s="36"/>
      <c r="F38" s="36"/>
      <c r="G38" s="36"/>
      <c r="H38" s="36"/>
      <c r="I38" s="36"/>
      <c r="J38" s="36"/>
      <c r="K38" s="36"/>
      <c r="L38" s="36"/>
      <c r="M38" s="36"/>
      <c r="N38" s="36"/>
      <c r="O38" s="36"/>
      <c r="P38" s="36"/>
      <c r="Q38" s="36"/>
      <c r="R38" s="36"/>
      <c r="S38" s="36"/>
      <c r="T38" s="36"/>
      <c r="U38" s="36"/>
      <c r="V38" s="36"/>
      <c r="W38" s="36"/>
      <c r="X38" s="36"/>
      <c r="Y38" s="36"/>
      <c r="Z38" s="36"/>
      <c r="AA38" s="36"/>
      <c r="AB38" s="36"/>
      <c r="AC38" s="36"/>
      <c r="AD38" s="36"/>
      <c r="AE38" s="36"/>
      <c r="AF38" s="36"/>
      <c r="AG38" s="36"/>
      <c r="AH38" s="36"/>
      <c r="AI38" s="36"/>
      <c r="AJ38" s="36"/>
      <c r="AK38" s="36"/>
      <c r="AL38" s="36"/>
      <c r="AM38" s="36"/>
      <c r="AN38" s="36"/>
      <c r="AO38" s="36"/>
      <c r="AP38" s="36"/>
      <c r="AQ38" s="36"/>
      <c r="AR38" s="36"/>
      <c r="AS38" s="36"/>
      <c r="AT38" s="36"/>
      <c r="AU38" s="36"/>
      <c r="AV38" s="36"/>
      <c r="AW38" s="36"/>
      <c r="AX38" s="36"/>
      <c r="AY38" s="36"/>
      <c r="AZ38" s="36"/>
      <c r="BA38" s="36"/>
      <c r="BB38" s="36"/>
      <c r="BC38" s="36"/>
      <c r="BD38" s="36"/>
      <c r="BE38" s="36"/>
      <c r="BF38" s="36"/>
      <c r="BG38" s="36"/>
      <c r="BH38" s="36"/>
      <c r="BI38" s="36"/>
      <c r="BJ38" s="36"/>
      <c r="BK38" s="36"/>
      <c r="BL38" s="36"/>
      <c r="BM38" s="36"/>
      <c r="BN38" s="36"/>
      <c r="BO38" s="36"/>
      <c r="BP38" s="36"/>
      <c r="BQ38" s="36"/>
      <c r="BR38" s="36"/>
      <c r="BS38" s="36"/>
      <c r="BT38" s="36"/>
      <c r="BU38" s="36"/>
      <c r="BV38" s="36"/>
      <c r="BW38" s="36"/>
      <c r="BX38" s="36"/>
      <c r="BY38" s="36"/>
      <c r="BZ38" s="36"/>
      <c r="CA38" s="36"/>
      <c r="CB38" s="36"/>
      <c r="CC38" s="36"/>
      <c r="CD38" s="36"/>
      <c r="CE38" s="36"/>
      <c r="CF38" s="36"/>
      <c r="CG38" s="36"/>
      <c r="CH38" s="36"/>
      <c r="CI38" s="36"/>
      <c r="CJ38" s="36"/>
      <c r="CK38" s="36"/>
      <c r="CL38" s="36"/>
      <c r="CM38" s="36"/>
      <c r="CN38" s="36"/>
      <c r="CO38" s="36"/>
      <c r="CP38" s="36"/>
      <c r="CQ38" s="36"/>
      <c r="CR38" s="36"/>
      <c r="CS38" s="36"/>
      <c r="CT38" s="36"/>
    </row>
    <row r="39" customFormat="false" ht="15" hidden="false" customHeight="true" outlineLevel="0" collapsed="false">
      <c r="B39" s="15" t="s">
        <v>307</v>
      </c>
      <c r="C39" s="37" t="n">
        <f aca="false">C8*Supuestos!$C$94/12</f>
        <v>3750000</v>
      </c>
      <c r="D39" s="37" t="n">
        <f aca="false">D8*Supuestos!$C$94/12</f>
        <v>7926309.21729636</v>
      </c>
      <c r="E39" s="37" t="n">
        <f aca="false">E8*Supuestos!$C$94/12</f>
        <v>10974074.8536828</v>
      </c>
      <c r="F39" s="37" t="n">
        <f aca="false">F8*Supuestos!$C$94/12</f>
        <v>15577107.3922357</v>
      </c>
      <c r="G39" s="37" t="n">
        <f aca="false">G8*Supuestos!$C$94/12</f>
        <v>18677499.1178694</v>
      </c>
      <c r="H39" s="37" t="n">
        <f aca="false">H8*Supuestos!$C$94/12</f>
        <v>20438088.4358126</v>
      </c>
      <c r="I39" s="37" t="n">
        <f aca="false">I8*Supuestos!$C$94/12</f>
        <v>19341514.4854292</v>
      </c>
      <c r="J39" s="37" t="n">
        <f aca="false">J8*Supuestos!$C$94/12</f>
        <v>21044796.4638083</v>
      </c>
      <c r="K39" s="37" t="n">
        <f aca="false">K8*Supuestos!$C$94/12</f>
        <v>22507451.2337331</v>
      </c>
      <c r="L39" s="37" t="n">
        <f aca="false">L8*Supuestos!$C$94/12</f>
        <v>23688575.2978751</v>
      </c>
      <c r="M39" s="37" t="n">
        <f aca="false">M8*Supuestos!$C$94/12</f>
        <v>25140841.1975708</v>
      </c>
      <c r="N39" s="37" t="n">
        <f aca="false">N8*Supuestos!$C$94/12</f>
        <v>26291318.4536127</v>
      </c>
      <c r="O39" s="37" t="n">
        <f aca="false">O8*Supuestos!$C$94/12</f>
        <v>25025670.9273494</v>
      </c>
      <c r="P39" s="37" t="n">
        <f aca="false">P8*Supuestos!$C$94/12</f>
        <v>29363490.7014182</v>
      </c>
      <c r="Q39" s="37" t="n">
        <f aca="false">Q8*Supuestos!$C$94/12</f>
        <v>33671944.3107946</v>
      </c>
      <c r="R39" s="37" t="n">
        <f aca="false">R8*Supuestos!$C$94/12</f>
        <v>39331156.6755674</v>
      </c>
      <c r="S39" s="37" t="n">
        <f aca="false">S8*Supuestos!$C$94/12</f>
        <v>43242586.3330498</v>
      </c>
      <c r="T39" s="37" t="n">
        <f aca="false">T8*Supuestos!$C$94/12</f>
        <v>45687316.2854312</v>
      </c>
      <c r="U39" s="37" t="n">
        <f aca="false">U8*Supuestos!$C$94/12</f>
        <v>45223632.4427109</v>
      </c>
      <c r="V39" s="37" t="n">
        <f aca="false">V8*Supuestos!$C$94/12</f>
        <v>47538983.7554317</v>
      </c>
      <c r="W39" s="37" t="n">
        <f aca="false">W8*Supuestos!$C$94/12</f>
        <v>49591752.6737953</v>
      </c>
      <c r="X39" s="37" t="n">
        <f aca="false">X8*Supuestos!$C$94/12</f>
        <v>51347513.1016877</v>
      </c>
      <c r="Y39" s="37" t="n">
        <f aca="false">Y8*Supuestos!$C$94/12</f>
        <v>54420542.0594042</v>
      </c>
      <c r="Z39" s="37" t="n">
        <f aca="false">Z8*Supuestos!$C$94/12</f>
        <v>57183332.4385231</v>
      </c>
      <c r="AA39" s="37" t="n">
        <f aca="false">AA8*Supuestos!$C$94/12</f>
        <v>57525925.4590212</v>
      </c>
      <c r="AB39" s="37" t="n">
        <f aca="false">AB8*Supuestos!$C$94/12</f>
        <v>63515151.9142276</v>
      </c>
      <c r="AC39" s="37" t="n">
        <f aca="false">AC8*Supuestos!$C$94/12</f>
        <v>69443473.3359656</v>
      </c>
      <c r="AD39" s="37" t="n">
        <f aca="false">AD8*Supuestos!$C$94/12</f>
        <v>76751719.004929</v>
      </c>
      <c r="AE39" s="37" t="n">
        <f aca="false">AE8*Supuestos!$C$94/12</f>
        <v>82306743.2593699</v>
      </c>
      <c r="AF39" s="37" t="n">
        <f aca="false">AF8*Supuestos!$C$94/12</f>
        <v>86388349.0444599</v>
      </c>
      <c r="AG39" s="37" t="n">
        <f aca="false">AG8*Supuestos!$C$94/12</f>
        <v>87571137.0080139</v>
      </c>
      <c r="AH39" s="37" t="n">
        <f aca="false">AH8*Supuestos!$C$94/12</f>
        <v>91543130.1176211</v>
      </c>
      <c r="AI39" s="37" t="n">
        <f aca="false">AI8*Supuestos!$C$94/12</f>
        <v>95308491.7974811</v>
      </c>
      <c r="AJ39" s="37" t="n">
        <f aca="false">AJ8*Supuestos!$C$94/12</f>
        <v>98942580.9077937</v>
      </c>
      <c r="AK39" s="37" t="n">
        <f aca="false">AK8*Supuestos!$C$94/12</f>
        <v>102861758.453229</v>
      </c>
      <c r="AL39" s="37" t="n">
        <f aca="false">AL8*Supuestos!$C$94/12</f>
        <v>106463265.262036</v>
      </c>
      <c r="AM39" s="37" t="n">
        <f aca="false">AM8*Supuestos!$C$94/12</f>
        <v>107640594.321004</v>
      </c>
      <c r="AN39" s="37" t="n">
        <f aca="false">AN8*Supuestos!$C$94/12</f>
        <v>114508545.013232</v>
      </c>
      <c r="AO39" s="37" t="n">
        <f aca="false">AO8*Supuestos!$C$94/12</f>
        <v>121282903.296131</v>
      </c>
      <c r="AP39" s="37" t="n">
        <f aca="false">AP8*Supuestos!$C$94/12</f>
        <v>129466584.00552</v>
      </c>
      <c r="AQ39" s="37" t="n">
        <f aca="false">AQ8*Supuestos!$C$94/12</f>
        <v>135890845.988029</v>
      </c>
      <c r="AR39" s="37" t="n">
        <f aca="false">AR8*Supuestos!$C$94/12</f>
        <v>140834145.695421</v>
      </c>
      <c r="AS39" s="37" t="n">
        <f aca="false">AS8*Supuestos!$C$94/12</f>
        <v>142887805.431447</v>
      </c>
      <c r="AT39" s="37" t="n">
        <f aca="false">AT8*Supuestos!$C$94/12</f>
        <v>147740430.675715</v>
      </c>
      <c r="AU39" s="37" t="n">
        <f aca="false">AU8*Supuestos!$C$94/12</f>
        <v>152316994.083205</v>
      </c>
      <c r="AV39" s="37" t="n">
        <f aca="false">AV8*Supuestos!$C$94/12</f>
        <v>156581008.658124</v>
      </c>
      <c r="AW39" s="37" t="n">
        <f aca="false">AW8*Supuestos!$C$94/12</f>
        <v>161138763.536653</v>
      </c>
      <c r="AX39" s="37" t="n">
        <f aca="false">AX8*Supuestos!$C$94/12</f>
        <v>165371031.101911</v>
      </c>
      <c r="AY39" s="37" t="n">
        <f aca="false">AY8*Supuestos!$C$94/12</f>
        <v>167174763.212096</v>
      </c>
      <c r="AZ39" s="37" t="n">
        <f aca="false">AZ8*Supuestos!$C$94/12</f>
        <v>174613919.316771</v>
      </c>
      <c r="BA39" s="37" t="n">
        <f aca="false">BA8*Supuestos!$C$94/12</f>
        <v>182034903.593333</v>
      </c>
      <c r="BB39" s="37" t="n">
        <f aca="false">BB8*Supuestos!$C$94/12</f>
        <v>190875051.810195</v>
      </c>
      <c r="BC39" s="37" t="n">
        <f aca="false">BC8*Supuestos!$C$94/12</f>
        <v>197947063.661252</v>
      </c>
      <c r="BD39" s="37" t="n">
        <f aca="false">BD8*Supuestos!$C$94/12</f>
        <v>203530767.850223</v>
      </c>
      <c r="BE39" s="37" t="n">
        <f aca="false">BE8*Supuestos!$C$94/12</f>
        <v>206230166.330345</v>
      </c>
      <c r="BF39" s="37" t="n">
        <f aca="false">BF8*Supuestos!$C$94/12</f>
        <v>211734721.561322</v>
      </c>
      <c r="BG39" s="37" t="n">
        <f aca="false">BG8*Supuestos!$C$94/12</f>
        <v>216958026.822594</v>
      </c>
      <c r="BH39" s="37" t="n">
        <f aca="false">BH8*Supuestos!$C$94/12</f>
        <v>221863018.45798</v>
      </c>
      <c r="BI39" s="37" t="n">
        <f aca="false">BI8*Supuestos!$C$94/12</f>
        <v>227067875.853475</v>
      </c>
      <c r="BJ39" s="37" t="n">
        <f aca="false">BJ8*Supuestos!$C$94/12</f>
        <v>231942022.870858</v>
      </c>
      <c r="BK39" s="37" t="n">
        <f aca="false">BK8*Supuestos!$C$94/12</f>
        <v>234389081.917376</v>
      </c>
      <c r="BL39" s="37" t="n">
        <f aca="false">BL8*Supuestos!$C$94/12</f>
        <v>242359739.720957</v>
      </c>
      <c r="BM39" s="37" t="n">
        <f aca="false">BM8*Supuestos!$C$94/12</f>
        <v>250282935.435165</v>
      </c>
      <c r="BN39" s="37" t="n">
        <f aca="false">BN8*Supuestos!$C$94/12</f>
        <v>259643831.861612</v>
      </c>
      <c r="BO39" s="37" t="n">
        <f aca="false">BO8*Supuestos!$C$94/12</f>
        <v>267231897.623232</v>
      </c>
      <c r="BP39" s="37" t="n">
        <f aca="false">BP8*Supuestos!$C$94/12</f>
        <v>273326205.378621</v>
      </c>
      <c r="BQ39" s="37" t="n">
        <f aca="false">BQ8*Supuestos!$C$94/12</f>
        <v>276542606.407013</v>
      </c>
      <c r="BR39" s="37" t="n">
        <f aca="false">BR8*Supuestos!$C$94/12</f>
        <v>282570898.022296</v>
      </c>
      <c r="BS39" s="37" t="n">
        <f aca="false">BS8*Supuestos!$C$94/12</f>
        <v>288312802.763295</v>
      </c>
      <c r="BT39" s="37" t="n">
        <f aca="false">BT8*Supuestos!$C$94/12</f>
        <v>293730534.286159</v>
      </c>
      <c r="BU39" s="37" t="n">
        <f aca="false">BU8*Supuestos!$C$94/12</f>
        <v>299454326.646546</v>
      </c>
      <c r="BV39" s="37" t="n">
        <f aca="false">BV8*Supuestos!$C$94/12</f>
        <v>304842000.119858</v>
      </c>
      <c r="BW39" s="37" t="n">
        <f aca="false">BW8*Supuestos!$C$94/12</f>
        <v>307803960.804757</v>
      </c>
      <c r="BX39" s="37" t="n">
        <f aca="false">BX8*Supuestos!$C$94/12</f>
        <v>316321080.865232</v>
      </c>
      <c r="BY39" s="37" t="n">
        <f aca="false">BY8*Supuestos!$C$94/12</f>
        <v>324760884.705525</v>
      </c>
      <c r="BZ39" s="37" t="n">
        <f aca="false">BZ8*Supuestos!$C$94/12</f>
        <v>334657293.063517</v>
      </c>
      <c r="CA39" s="37" t="n">
        <f aca="false">CA8*Supuestos!$C$94/12</f>
        <v>342776089.62485</v>
      </c>
      <c r="CB39" s="37" t="n">
        <f aca="false">CB8*Supuestos!$C$94/12</f>
        <v>349395575.831501</v>
      </c>
      <c r="CC39" s="37" t="n">
        <f aca="false">CC8*Supuestos!$C$94/12</f>
        <v>353143683.137853</v>
      </c>
      <c r="CD39" s="37" t="n">
        <f aca="false">CD8*Supuestos!$C$94/12</f>
        <v>359710550.136886</v>
      </c>
      <c r="CE39" s="37" t="n">
        <f aca="false">CE8*Supuestos!$C$94/12</f>
        <v>365985797.096602</v>
      </c>
      <c r="CF39" s="37" t="n">
        <f aca="false">CF8*Supuestos!$C$94/12</f>
        <v>371930900.869293</v>
      </c>
      <c r="CG39" s="37" t="n">
        <f aca="false">CG8*Supuestos!$C$94/12</f>
        <v>378188385.23606</v>
      </c>
      <c r="CH39" s="37" t="n">
        <f aca="false">CH8*Supuestos!$C$94/12</f>
        <v>384104240.612462</v>
      </c>
      <c r="CI39" s="37" t="n">
        <f aca="false">CI8*Supuestos!$C$94/12</f>
        <v>387595789.070409</v>
      </c>
      <c r="CJ39" s="37" t="n">
        <f aca="false">CJ8*Supuestos!$C$94/12</f>
        <v>396674666.70415</v>
      </c>
      <c r="CK39" s="37" t="n">
        <f aca="false">CK8*Supuestos!$C$94/12</f>
        <v>405645794.959274</v>
      </c>
      <c r="CL39" s="37" t="n">
        <f aca="false">CL8*Supuestos!$C$94/12</f>
        <v>416092803.661373</v>
      </c>
      <c r="CM39" s="37" t="n">
        <f aca="false">CM8*Supuestos!$C$94/12</f>
        <v>424757329.88998</v>
      </c>
      <c r="CN39" s="37" t="n">
        <f aca="false">CN8*Supuestos!$C$94/12</f>
        <v>431916888.927069</v>
      </c>
      <c r="CO39" s="37" t="n">
        <f aca="false">CO8*Supuestos!$C$94/12</f>
        <v>436211728.014876</v>
      </c>
      <c r="CP39" s="37" t="n">
        <f aca="false">CP8*Supuestos!$C$94/12</f>
        <v>443332333.706676</v>
      </c>
      <c r="CQ39" s="37" t="n">
        <f aca="false">CQ8*Supuestos!$C$94/12</f>
        <v>450155988.020113</v>
      </c>
      <c r="CR39" s="37" t="n">
        <f aca="false">CR8*Supuestos!$C$94/12</f>
        <v>456643416.644943</v>
      </c>
      <c r="CS39" s="37" t="n">
        <f aca="false">CS8*Supuestos!$C$94/12</f>
        <v>463449672.743474</v>
      </c>
      <c r="CT39" s="37" t="n">
        <f aca="false">CT8*Supuestos!$C$94/12</f>
        <v>469908686.193838</v>
      </c>
    </row>
    <row r="40" customFormat="false" ht="15" hidden="false" customHeight="true" outlineLevel="0" collapsed="false">
      <c r="B40" s="15" t="s">
        <v>308</v>
      </c>
      <c r="C40" s="37" t="n">
        <f aca="false">'Gastos objeto'!C21*Supuestos!$C$95</f>
        <v>0</v>
      </c>
      <c r="D40" s="37" t="n">
        <f aca="false">'Gastos objeto'!D21*Supuestos!$C$95</f>
        <v>0</v>
      </c>
      <c r="E40" s="37" t="n">
        <f aca="false">'Gastos objeto'!E21*Supuestos!$C$95</f>
        <v>0</v>
      </c>
      <c r="F40" s="37" t="n">
        <f aca="false">'Gastos objeto'!F21*Supuestos!$C$95</f>
        <v>0</v>
      </c>
      <c r="G40" s="37" t="n">
        <f aca="false">'Gastos objeto'!G21*Supuestos!$C$95</f>
        <v>0</v>
      </c>
      <c r="H40" s="37" t="n">
        <f aca="false">'Gastos objeto'!H21*Supuestos!$C$95</f>
        <v>0</v>
      </c>
      <c r="I40" s="37" t="n">
        <f aca="false">'Gastos objeto'!I21*Supuestos!$C$95</f>
        <v>0</v>
      </c>
      <c r="J40" s="37" t="n">
        <f aca="false">'Gastos objeto'!J21*Supuestos!$C$95</f>
        <v>0</v>
      </c>
      <c r="K40" s="37" t="n">
        <f aca="false">'Gastos objeto'!K21*Supuestos!$C$95</f>
        <v>0</v>
      </c>
      <c r="L40" s="37" t="n">
        <f aca="false">'Gastos objeto'!L21*Supuestos!$C$95</f>
        <v>0</v>
      </c>
      <c r="M40" s="37" t="n">
        <f aca="false">'Gastos objeto'!M21*Supuestos!$C$95</f>
        <v>0</v>
      </c>
      <c r="N40" s="37" t="n">
        <f aca="false">'Gastos objeto'!N21*Supuestos!$C$95</f>
        <v>0</v>
      </c>
      <c r="O40" s="37" t="n">
        <f aca="false">'Gastos objeto'!O21*Supuestos!$C$95</f>
        <v>0</v>
      </c>
      <c r="P40" s="37" t="n">
        <f aca="false">'Gastos objeto'!P21*Supuestos!$C$95</f>
        <v>0</v>
      </c>
      <c r="Q40" s="37" t="n">
        <f aca="false">'Gastos objeto'!Q21*Supuestos!$C$95</f>
        <v>0</v>
      </c>
      <c r="R40" s="37" t="n">
        <f aca="false">'Gastos objeto'!R21*Supuestos!$C$95</f>
        <v>0</v>
      </c>
      <c r="S40" s="37" t="n">
        <f aca="false">'Gastos objeto'!S21*Supuestos!$C$95</f>
        <v>0</v>
      </c>
      <c r="T40" s="37" t="n">
        <f aca="false">'Gastos objeto'!T21*Supuestos!$C$95</f>
        <v>0</v>
      </c>
      <c r="U40" s="37" t="n">
        <f aca="false">'Gastos objeto'!U21*Supuestos!$C$95</f>
        <v>0</v>
      </c>
      <c r="V40" s="37" t="n">
        <f aca="false">'Gastos objeto'!V21*Supuestos!$C$95</f>
        <v>0</v>
      </c>
      <c r="W40" s="37" t="n">
        <f aca="false">'Gastos objeto'!W21*Supuestos!$C$95</f>
        <v>0</v>
      </c>
      <c r="X40" s="37" t="n">
        <f aca="false">'Gastos objeto'!X21*Supuestos!$C$95</f>
        <v>0</v>
      </c>
      <c r="Y40" s="37" t="n">
        <f aca="false">'Gastos objeto'!Y21*Supuestos!$C$95</f>
        <v>0</v>
      </c>
      <c r="Z40" s="37" t="n">
        <f aca="false">'Gastos objeto'!Z21*Supuestos!$C$95</f>
        <v>0</v>
      </c>
      <c r="AA40" s="37" t="n">
        <f aca="false">'Gastos objeto'!AA21*Supuestos!$C$95</f>
        <v>0</v>
      </c>
      <c r="AB40" s="37" t="n">
        <f aca="false">'Gastos objeto'!AB21*Supuestos!$C$95</f>
        <v>0</v>
      </c>
      <c r="AC40" s="37" t="n">
        <f aca="false">'Gastos objeto'!AC21*Supuestos!$C$95</f>
        <v>0</v>
      </c>
      <c r="AD40" s="37" t="n">
        <f aca="false">'Gastos objeto'!AD21*Supuestos!$C$95</f>
        <v>0</v>
      </c>
      <c r="AE40" s="37" t="n">
        <f aca="false">'Gastos objeto'!AE21*Supuestos!$C$95</f>
        <v>0</v>
      </c>
      <c r="AF40" s="37" t="n">
        <f aca="false">'Gastos objeto'!AF21*Supuestos!$C$95</f>
        <v>0</v>
      </c>
      <c r="AG40" s="37" t="n">
        <f aca="false">'Gastos objeto'!AG21*Supuestos!$C$95</f>
        <v>0</v>
      </c>
      <c r="AH40" s="37" t="n">
        <f aca="false">'Gastos objeto'!AH21*Supuestos!$C$95</f>
        <v>0</v>
      </c>
      <c r="AI40" s="37" t="n">
        <f aca="false">'Gastos objeto'!AI21*Supuestos!$C$95</f>
        <v>0</v>
      </c>
      <c r="AJ40" s="37" t="n">
        <f aca="false">'Gastos objeto'!AJ21*Supuestos!$C$95</f>
        <v>0</v>
      </c>
      <c r="AK40" s="37" t="n">
        <f aca="false">'Gastos objeto'!AK21*Supuestos!$C$95</f>
        <v>0</v>
      </c>
      <c r="AL40" s="37" t="n">
        <f aca="false">'Gastos objeto'!AL21*Supuestos!$C$95</f>
        <v>0</v>
      </c>
      <c r="AM40" s="37" t="n">
        <f aca="false">'Gastos objeto'!AM21*Supuestos!$C$95</f>
        <v>0</v>
      </c>
      <c r="AN40" s="37" t="n">
        <f aca="false">'Gastos objeto'!AN21*Supuestos!$C$95</f>
        <v>0</v>
      </c>
      <c r="AO40" s="37" t="n">
        <f aca="false">'Gastos objeto'!AO21*Supuestos!$C$95</f>
        <v>0</v>
      </c>
      <c r="AP40" s="37" t="n">
        <f aca="false">'Gastos objeto'!AP21*Supuestos!$C$95</f>
        <v>0</v>
      </c>
      <c r="AQ40" s="37" t="n">
        <f aca="false">'Gastos objeto'!AQ21*Supuestos!$C$95</f>
        <v>0</v>
      </c>
      <c r="AR40" s="37" t="n">
        <f aca="false">'Gastos objeto'!AR21*Supuestos!$C$95</f>
        <v>0</v>
      </c>
      <c r="AS40" s="37" t="n">
        <f aca="false">'Gastos objeto'!AS21*Supuestos!$C$95</f>
        <v>0</v>
      </c>
      <c r="AT40" s="37" t="n">
        <f aca="false">'Gastos objeto'!AT21*Supuestos!$C$95</f>
        <v>0</v>
      </c>
      <c r="AU40" s="37" t="n">
        <f aca="false">'Gastos objeto'!AU21*Supuestos!$C$95</f>
        <v>0</v>
      </c>
      <c r="AV40" s="37" t="n">
        <f aca="false">'Gastos objeto'!AV21*Supuestos!$C$95</f>
        <v>0</v>
      </c>
      <c r="AW40" s="37" t="n">
        <f aca="false">'Gastos objeto'!AW21*Supuestos!$C$95</f>
        <v>0</v>
      </c>
      <c r="AX40" s="37" t="n">
        <f aca="false">'Gastos objeto'!AX21*Supuestos!$C$95</f>
        <v>0</v>
      </c>
      <c r="AY40" s="37" t="n">
        <f aca="false">'Gastos objeto'!AY21*Supuestos!$C$95</f>
        <v>0</v>
      </c>
      <c r="AZ40" s="37" t="n">
        <f aca="false">'Gastos objeto'!AZ21*Supuestos!$C$95</f>
        <v>0</v>
      </c>
      <c r="BA40" s="37" t="n">
        <f aca="false">'Gastos objeto'!BA21*Supuestos!$C$95</f>
        <v>0</v>
      </c>
      <c r="BB40" s="37" t="n">
        <f aca="false">'Gastos objeto'!BB21*Supuestos!$C$95</f>
        <v>0</v>
      </c>
      <c r="BC40" s="37" t="n">
        <f aca="false">'Gastos objeto'!BC21*Supuestos!$C$95</f>
        <v>0</v>
      </c>
      <c r="BD40" s="37" t="n">
        <f aca="false">'Gastos objeto'!BD21*Supuestos!$C$95</f>
        <v>0</v>
      </c>
      <c r="BE40" s="37" t="n">
        <f aca="false">'Gastos objeto'!BE21*Supuestos!$C$95</f>
        <v>0</v>
      </c>
      <c r="BF40" s="37" t="n">
        <f aca="false">'Gastos objeto'!BF21*Supuestos!$C$95</f>
        <v>0</v>
      </c>
      <c r="BG40" s="37" t="n">
        <f aca="false">'Gastos objeto'!BG21*Supuestos!$C$95</f>
        <v>0</v>
      </c>
      <c r="BH40" s="37" t="n">
        <f aca="false">'Gastos objeto'!BH21*Supuestos!$C$95</f>
        <v>0</v>
      </c>
      <c r="BI40" s="37" t="n">
        <f aca="false">'Gastos objeto'!BI21*Supuestos!$C$95</f>
        <v>0</v>
      </c>
      <c r="BJ40" s="37" t="n">
        <f aca="false">'Gastos objeto'!BJ21*Supuestos!$C$95</f>
        <v>0</v>
      </c>
      <c r="BK40" s="37" t="n">
        <f aca="false">'Gastos objeto'!BK21*Supuestos!$C$95</f>
        <v>0</v>
      </c>
      <c r="BL40" s="37" t="n">
        <f aca="false">'Gastos objeto'!BL21*Supuestos!$C$95</f>
        <v>0</v>
      </c>
      <c r="BM40" s="37" t="n">
        <f aca="false">'Gastos objeto'!BM21*Supuestos!$C$95</f>
        <v>0</v>
      </c>
      <c r="BN40" s="37" t="n">
        <f aca="false">'Gastos objeto'!BN21*Supuestos!$C$95</f>
        <v>0</v>
      </c>
      <c r="BO40" s="37" t="n">
        <f aca="false">'Gastos objeto'!BO21*Supuestos!$C$95</f>
        <v>0</v>
      </c>
      <c r="BP40" s="37" t="n">
        <f aca="false">'Gastos objeto'!BP21*Supuestos!$C$95</f>
        <v>0</v>
      </c>
      <c r="BQ40" s="37" t="n">
        <f aca="false">'Gastos objeto'!BQ21*Supuestos!$C$95</f>
        <v>0</v>
      </c>
      <c r="BR40" s="37" t="n">
        <f aca="false">'Gastos objeto'!BR21*Supuestos!$C$95</f>
        <v>0</v>
      </c>
      <c r="BS40" s="37" t="n">
        <f aca="false">'Gastos objeto'!BS21*Supuestos!$C$95</f>
        <v>0</v>
      </c>
      <c r="BT40" s="37" t="n">
        <f aca="false">'Gastos objeto'!BT21*Supuestos!$C$95</f>
        <v>0</v>
      </c>
      <c r="BU40" s="37" t="n">
        <f aca="false">'Gastos objeto'!BU21*Supuestos!$C$95</f>
        <v>0</v>
      </c>
      <c r="BV40" s="37" t="n">
        <f aca="false">'Gastos objeto'!BV21*Supuestos!$C$95</f>
        <v>0</v>
      </c>
      <c r="BW40" s="37" t="n">
        <f aca="false">'Gastos objeto'!BW21*Supuestos!$C$95</f>
        <v>0</v>
      </c>
      <c r="BX40" s="37" t="n">
        <f aca="false">'Gastos objeto'!BX21*Supuestos!$C$95</f>
        <v>0</v>
      </c>
      <c r="BY40" s="37" t="n">
        <f aca="false">'Gastos objeto'!BY21*Supuestos!$C$95</f>
        <v>0</v>
      </c>
      <c r="BZ40" s="37" t="n">
        <f aca="false">'Gastos objeto'!BZ21*Supuestos!$C$95</f>
        <v>0</v>
      </c>
      <c r="CA40" s="37" t="n">
        <f aca="false">'Gastos objeto'!CA21*Supuestos!$C$95</f>
        <v>0</v>
      </c>
      <c r="CB40" s="37" t="n">
        <f aca="false">'Gastos objeto'!CB21*Supuestos!$C$95</f>
        <v>0</v>
      </c>
      <c r="CC40" s="37" t="n">
        <f aca="false">'Gastos objeto'!CC21*Supuestos!$C$95</f>
        <v>0</v>
      </c>
      <c r="CD40" s="37" t="n">
        <f aca="false">'Gastos objeto'!CD21*Supuestos!$C$95</f>
        <v>0</v>
      </c>
      <c r="CE40" s="37" t="n">
        <f aca="false">'Gastos objeto'!CE21*Supuestos!$C$95</f>
        <v>0</v>
      </c>
      <c r="CF40" s="37" t="n">
        <f aca="false">'Gastos objeto'!CF21*Supuestos!$C$95</f>
        <v>0</v>
      </c>
      <c r="CG40" s="37" t="n">
        <f aca="false">'Gastos objeto'!CG21*Supuestos!$C$95</f>
        <v>0</v>
      </c>
      <c r="CH40" s="37" t="n">
        <f aca="false">'Gastos objeto'!CH21*Supuestos!$C$95</f>
        <v>0</v>
      </c>
      <c r="CI40" s="37" t="n">
        <f aca="false">'Gastos objeto'!CI21*Supuestos!$C$95</f>
        <v>0</v>
      </c>
      <c r="CJ40" s="37" t="n">
        <f aca="false">'Gastos objeto'!CJ21*Supuestos!$C$95</f>
        <v>0</v>
      </c>
      <c r="CK40" s="37" t="n">
        <f aca="false">'Gastos objeto'!CK21*Supuestos!$C$95</f>
        <v>0</v>
      </c>
      <c r="CL40" s="37" t="n">
        <f aca="false">'Gastos objeto'!CL21*Supuestos!$C$95</f>
        <v>0</v>
      </c>
      <c r="CM40" s="37" t="n">
        <f aca="false">'Gastos objeto'!CM21*Supuestos!$C$95</f>
        <v>0</v>
      </c>
      <c r="CN40" s="37" t="n">
        <f aca="false">'Gastos objeto'!CN21*Supuestos!$C$95</f>
        <v>0</v>
      </c>
      <c r="CO40" s="37" t="n">
        <f aca="false">'Gastos objeto'!CO21*Supuestos!$C$95</f>
        <v>0</v>
      </c>
      <c r="CP40" s="37" t="n">
        <f aca="false">'Gastos objeto'!CP21*Supuestos!$C$95</f>
        <v>0</v>
      </c>
      <c r="CQ40" s="37" t="n">
        <f aca="false">'Gastos objeto'!CQ21*Supuestos!$C$95</f>
        <v>0</v>
      </c>
      <c r="CR40" s="37" t="n">
        <f aca="false">'Gastos objeto'!CR21*Supuestos!$C$95</f>
        <v>0</v>
      </c>
      <c r="CS40" s="37" t="n">
        <f aca="false">'Gastos objeto'!CS21*Supuestos!$C$95</f>
        <v>0</v>
      </c>
      <c r="CT40" s="37" t="n">
        <f aca="false">'Gastos objeto'!CT21*Supuestos!$C$95</f>
        <v>0</v>
      </c>
    </row>
    <row r="41" customFormat="false" ht="15" hidden="false" customHeight="true" outlineLevel="0" collapsed="false">
      <c r="B41" s="15" t="s">
        <v>309</v>
      </c>
      <c r="C41" s="37" t="n">
        <f aca="false">0</f>
        <v>0</v>
      </c>
      <c r="D41" s="37" t="n">
        <f aca="false">0</f>
        <v>0</v>
      </c>
      <c r="E41" s="37" t="n">
        <f aca="false">IF(Supuestos!$C$96&lt;=2,C40,0)</f>
        <v>0</v>
      </c>
      <c r="F41" s="37" t="n">
        <f aca="false">IF(Supuestos!$C$96&lt;=2,D40,0)</f>
        <v>0</v>
      </c>
      <c r="G41" s="37" t="n">
        <f aca="false">IF(Supuestos!$C$96&lt;=2,E40,0)</f>
        <v>0</v>
      </c>
      <c r="H41" s="37" t="n">
        <f aca="false">IF(Supuestos!$C$96&lt;=2,F40,0)</f>
        <v>0</v>
      </c>
      <c r="I41" s="37" t="n">
        <f aca="false">IF(Supuestos!$C$96&lt;=2,G40,0)</f>
        <v>0</v>
      </c>
      <c r="J41" s="37" t="n">
        <f aca="false">IF(Supuestos!$C$96&lt;=2,H40,0)</f>
        <v>0</v>
      </c>
      <c r="K41" s="37" t="n">
        <f aca="false">IF(Supuestos!$C$96&lt;=2,I40,0)</f>
        <v>0</v>
      </c>
      <c r="L41" s="37" t="n">
        <f aca="false">IF(Supuestos!$C$96&lt;=2,J40,0)</f>
        <v>0</v>
      </c>
      <c r="M41" s="37" t="n">
        <f aca="false">IF(Supuestos!$C$96&lt;=2,K40,0)</f>
        <v>0</v>
      </c>
      <c r="N41" s="37" t="n">
        <f aca="false">IF(Supuestos!$C$96&lt;=2,L40,0)</f>
        <v>0</v>
      </c>
      <c r="O41" s="37" t="n">
        <f aca="false">IF(Supuestos!$C$96&lt;=2,M40,0)</f>
        <v>0</v>
      </c>
      <c r="P41" s="37" t="n">
        <f aca="false">IF(Supuestos!$C$96&lt;=2,N40,0)</f>
        <v>0</v>
      </c>
      <c r="Q41" s="37" t="n">
        <f aca="false">IF(Supuestos!$C$96&lt;=2,O40,0)</f>
        <v>0</v>
      </c>
      <c r="R41" s="37" t="n">
        <f aca="false">IF(Supuestos!$C$96&lt;=2,P40,0)</f>
        <v>0</v>
      </c>
      <c r="S41" s="37" t="n">
        <f aca="false">IF(Supuestos!$C$96&lt;=2,Q40,0)</f>
        <v>0</v>
      </c>
      <c r="T41" s="37" t="n">
        <f aca="false">IF(Supuestos!$C$96&lt;=2,R40,0)</f>
        <v>0</v>
      </c>
      <c r="U41" s="37" t="n">
        <f aca="false">IF(Supuestos!$C$96&lt;=2,S40,0)</f>
        <v>0</v>
      </c>
      <c r="V41" s="37" t="n">
        <f aca="false">IF(Supuestos!$C$96&lt;=2,T40,0)</f>
        <v>0</v>
      </c>
      <c r="W41" s="37" t="n">
        <f aca="false">IF(Supuestos!$C$96&lt;=2,U40,0)</f>
        <v>0</v>
      </c>
      <c r="X41" s="37" t="n">
        <f aca="false">IF(Supuestos!$C$96&lt;=2,V40,0)</f>
        <v>0</v>
      </c>
      <c r="Y41" s="37" t="n">
        <f aca="false">IF(Supuestos!$C$96&lt;=2,W40,0)</f>
        <v>0</v>
      </c>
      <c r="Z41" s="37" t="n">
        <f aca="false">IF(Supuestos!$C$96&lt;=2,X40,0)</f>
        <v>0</v>
      </c>
      <c r="AA41" s="37" t="n">
        <f aca="false">IF(Supuestos!$C$96&lt;=2,Y40,0)</f>
        <v>0</v>
      </c>
      <c r="AB41" s="37" t="n">
        <f aca="false">IF(Supuestos!$C$96&lt;=2,Z40,0)</f>
        <v>0</v>
      </c>
      <c r="AC41" s="37" t="n">
        <f aca="false">IF(Supuestos!$C$96&lt;=2,AA40,0)</f>
        <v>0</v>
      </c>
      <c r="AD41" s="37" t="n">
        <f aca="false">IF(Supuestos!$C$96&lt;=2,AB40,0)</f>
        <v>0</v>
      </c>
      <c r="AE41" s="37" t="n">
        <f aca="false">IF(Supuestos!$C$96&lt;=2,AC40,0)</f>
        <v>0</v>
      </c>
      <c r="AF41" s="37" t="n">
        <f aca="false">IF(Supuestos!$C$96&lt;=2,AD40,0)</f>
        <v>0</v>
      </c>
      <c r="AG41" s="37" t="n">
        <f aca="false">IF(Supuestos!$C$96&lt;=2,AE40,0)</f>
        <v>0</v>
      </c>
      <c r="AH41" s="37" t="n">
        <f aca="false">IF(Supuestos!$C$96&lt;=2,AF40,0)</f>
        <v>0</v>
      </c>
      <c r="AI41" s="37" t="n">
        <f aca="false">IF(Supuestos!$C$96&lt;=2,AG40,0)</f>
        <v>0</v>
      </c>
      <c r="AJ41" s="37" t="n">
        <f aca="false">IF(Supuestos!$C$96&lt;=2,AH40,0)</f>
        <v>0</v>
      </c>
      <c r="AK41" s="37" t="n">
        <f aca="false">IF(Supuestos!$C$96&lt;=2,AI40,0)</f>
        <v>0</v>
      </c>
      <c r="AL41" s="37" t="n">
        <f aca="false">IF(Supuestos!$C$96&lt;=2,AJ40,0)</f>
        <v>0</v>
      </c>
      <c r="AM41" s="37" t="n">
        <f aca="false">IF(Supuestos!$C$96&lt;=2,AK40,0)</f>
        <v>0</v>
      </c>
      <c r="AN41" s="37" t="n">
        <f aca="false">IF(Supuestos!$C$96&lt;=2,AL40,0)</f>
        <v>0</v>
      </c>
      <c r="AO41" s="37" t="n">
        <f aca="false">IF(Supuestos!$C$96&lt;=2,AM40,0)</f>
        <v>0</v>
      </c>
      <c r="AP41" s="37" t="n">
        <f aca="false">IF(Supuestos!$C$96&lt;=2,AN40,0)</f>
        <v>0</v>
      </c>
      <c r="AQ41" s="37" t="n">
        <f aca="false">IF(Supuestos!$C$96&lt;=2,AO40,0)</f>
        <v>0</v>
      </c>
      <c r="AR41" s="37" t="n">
        <f aca="false">IF(Supuestos!$C$96&lt;=2,AP40,0)</f>
        <v>0</v>
      </c>
      <c r="AS41" s="37" t="n">
        <f aca="false">IF(Supuestos!$C$96&lt;=2,AQ40,0)</f>
        <v>0</v>
      </c>
      <c r="AT41" s="37" t="n">
        <f aca="false">IF(Supuestos!$C$96&lt;=2,AR40,0)</f>
        <v>0</v>
      </c>
      <c r="AU41" s="37" t="n">
        <f aca="false">IF(Supuestos!$C$96&lt;=2,AS40,0)</f>
        <v>0</v>
      </c>
      <c r="AV41" s="37" t="n">
        <f aca="false">IF(Supuestos!$C$96&lt;=2,AT40,0)</f>
        <v>0</v>
      </c>
      <c r="AW41" s="37" t="n">
        <f aca="false">IF(Supuestos!$C$96&lt;=2,AU40,0)</f>
        <v>0</v>
      </c>
      <c r="AX41" s="37" t="n">
        <f aca="false">IF(Supuestos!$C$96&lt;=2,AV40,0)</f>
        <v>0</v>
      </c>
      <c r="AY41" s="37" t="n">
        <f aca="false">IF(Supuestos!$C$96&lt;=2,AW40,0)</f>
        <v>0</v>
      </c>
      <c r="AZ41" s="37" t="n">
        <f aca="false">IF(Supuestos!$C$96&lt;=2,AX40,0)</f>
        <v>0</v>
      </c>
      <c r="BA41" s="37" t="n">
        <f aca="false">IF(Supuestos!$C$96&lt;=2,AY40,0)</f>
        <v>0</v>
      </c>
      <c r="BB41" s="37" t="n">
        <f aca="false">IF(Supuestos!$C$96&lt;=2,AZ40,0)</f>
        <v>0</v>
      </c>
      <c r="BC41" s="37" t="n">
        <f aca="false">IF(Supuestos!$C$96&lt;=2,BA40,0)</f>
        <v>0</v>
      </c>
      <c r="BD41" s="37" t="n">
        <f aca="false">IF(Supuestos!$C$96&lt;=2,BB40,0)</f>
        <v>0</v>
      </c>
      <c r="BE41" s="37" t="n">
        <f aca="false">IF(Supuestos!$C$96&lt;=2,BC40,0)</f>
        <v>0</v>
      </c>
      <c r="BF41" s="37" t="n">
        <f aca="false">IF(Supuestos!$C$96&lt;=2,BD40,0)</f>
        <v>0</v>
      </c>
      <c r="BG41" s="37" t="n">
        <f aca="false">IF(Supuestos!$C$96&lt;=2,BE40,0)</f>
        <v>0</v>
      </c>
      <c r="BH41" s="37" t="n">
        <f aca="false">IF(Supuestos!$C$96&lt;=2,BF40,0)</f>
        <v>0</v>
      </c>
      <c r="BI41" s="37" t="n">
        <f aca="false">IF(Supuestos!$C$96&lt;=2,BG40,0)</f>
        <v>0</v>
      </c>
      <c r="BJ41" s="37" t="n">
        <f aca="false">IF(Supuestos!$C$96&lt;=2,BH40,0)</f>
        <v>0</v>
      </c>
      <c r="BK41" s="37" t="n">
        <f aca="false">IF(Supuestos!$C$96&lt;=2,BI40,0)</f>
        <v>0</v>
      </c>
      <c r="BL41" s="37" t="n">
        <f aca="false">IF(Supuestos!$C$96&lt;=2,BJ40,0)</f>
        <v>0</v>
      </c>
      <c r="BM41" s="37" t="n">
        <f aca="false">IF(Supuestos!$C$96&lt;=2,BK40,0)</f>
        <v>0</v>
      </c>
      <c r="BN41" s="37" t="n">
        <f aca="false">IF(Supuestos!$C$96&lt;=2,BL40,0)</f>
        <v>0</v>
      </c>
      <c r="BO41" s="37" t="n">
        <f aca="false">IF(Supuestos!$C$96&lt;=2,BM40,0)</f>
        <v>0</v>
      </c>
      <c r="BP41" s="37" t="n">
        <f aca="false">IF(Supuestos!$C$96&lt;=2,BN40,0)</f>
        <v>0</v>
      </c>
      <c r="BQ41" s="37" t="n">
        <f aca="false">IF(Supuestos!$C$96&lt;=2,BO40,0)</f>
        <v>0</v>
      </c>
      <c r="BR41" s="37" t="n">
        <f aca="false">IF(Supuestos!$C$96&lt;=2,BP40,0)</f>
        <v>0</v>
      </c>
      <c r="BS41" s="37" t="n">
        <f aca="false">IF(Supuestos!$C$96&lt;=2,BQ40,0)</f>
        <v>0</v>
      </c>
      <c r="BT41" s="37" t="n">
        <f aca="false">IF(Supuestos!$C$96&lt;=2,BR40,0)</f>
        <v>0</v>
      </c>
      <c r="BU41" s="37" t="n">
        <f aca="false">IF(Supuestos!$C$96&lt;=2,BS40,0)</f>
        <v>0</v>
      </c>
      <c r="BV41" s="37" t="n">
        <f aca="false">IF(Supuestos!$C$96&lt;=2,BT40,0)</f>
        <v>0</v>
      </c>
      <c r="BW41" s="37" t="n">
        <f aca="false">IF(Supuestos!$C$96&lt;=2,BU40,0)</f>
        <v>0</v>
      </c>
      <c r="BX41" s="37" t="n">
        <f aca="false">IF(Supuestos!$C$96&lt;=2,BV40,0)</f>
        <v>0</v>
      </c>
      <c r="BY41" s="37" t="n">
        <f aca="false">IF(Supuestos!$C$96&lt;=2,BW40,0)</f>
        <v>0</v>
      </c>
      <c r="BZ41" s="37" t="n">
        <f aca="false">IF(Supuestos!$C$96&lt;=2,BX40,0)</f>
        <v>0</v>
      </c>
      <c r="CA41" s="37" t="n">
        <f aca="false">IF(Supuestos!$C$96&lt;=2,BY40,0)</f>
        <v>0</v>
      </c>
      <c r="CB41" s="37" t="n">
        <f aca="false">IF(Supuestos!$C$96&lt;=2,BZ40,0)</f>
        <v>0</v>
      </c>
      <c r="CC41" s="37" t="n">
        <f aca="false">IF(Supuestos!$C$96&lt;=2,CA40,0)</f>
        <v>0</v>
      </c>
      <c r="CD41" s="37" t="n">
        <f aca="false">IF(Supuestos!$C$96&lt;=2,CB40,0)</f>
        <v>0</v>
      </c>
      <c r="CE41" s="37" t="n">
        <f aca="false">IF(Supuestos!$C$96&lt;=2,CC40,0)</f>
        <v>0</v>
      </c>
      <c r="CF41" s="37" t="n">
        <f aca="false">IF(Supuestos!$C$96&lt;=2,CD40,0)</f>
        <v>0</v>
      </c>
      <c r="CG41" s="37" t="n">
        <f aca="false">IF(Supuestos!$C$96&lt;=2,CE40,0)</f>
        <v>0</v>
      </c>
      <c r="CH41" s="37" t="n">
        <f aca="false">IF(Supuestos!$C$96&lt;=2,CF40,0)</f>
        <v>0</v>
      </c>
      <c r="CI41" s="37" t="n">
        <f aca="false">IF(Supuestos!$C$96&lt;=2,CG40,0)</f>
        <v>0</v>
      </c>
      <c r="CJ41" s="37" t="n">
        <f aca="false">IF(Supuestos!$C$96&lt;=2,CH40,0)</f>
        <v>0</v>
      </c>
      <c r="CK41" s="37" t="n">
        <f aca="false">IF(Supuestos!$C$96&lt;=2,CI40,0)</f>
        <v>0</v>
      </c>
      <c r="CL41" s="37" t="n">
        <f aca="false">IF(Supuestos!$C$96&lt;=2,CJ40,0)</f>
        <v>0</v>
      </c>
      <c r="CM41" s="37" t="n">
        <f aca="false">IF(Supuestos!$C$96&lt;=2,CK40,0)</f>
        <v>0</v>
      </c>
      <c r="CN41" s="37" t="n">
        <f aca="false">IF(Supuestos!$C$96&lt;=2,CL40,0)</f>
        <v>0</v>
      </c>
      <c r="CO41" s="37" t="n">
        <f aca="false">IF(Supuestos!$C$96&lt;=2,CM40,0)</f>
        <v>0</v>
      </c>
      <c r="CP41" s="37" t="n">
        <f aca="false">IF(Supuestos!$C$96&lt;=2,CN40,0)</f>
        <v>0</v>
      </c>
      <c r="CQ41" s="37" t="n">
        <f aca="false">IF(Supuestos!$C$96&lt;=2,CO40,0)</f>
        <v>0</v>
      </c>
      <c r="CR41" s="37" t="n">
        <f aca="false">IF(Supuestos!$C$96&lt;=2,CP40,0)</f>
        <v>0</v>
      </c>
      <c r="CS41" s="37" t="n">
        <f aca="false">IF(Supuestos!$C$96&lt;=2,CQ40,0)</f>
        <v>0</v>
      </c>
      <c r="CT41" s="37" t="n">
        <f aca="false">IF(Supuestos!$C$96&lt;=2,CR40,0)</f>
        <v>0</v>
      </c>
    </row>
    <row r="42" customFormat="false" ht="15" hidden="false" customHeight="true" outlineLevel="0" collapsed="false">
      <c r="B42" s="15" t="s">
        <v>310</v>
      </c>
      <c r="C42" s="46" t="n">
        <f aca="false">Deuda!C10</f>
        <v>0</v>
      </c>
      <c r="D42" s="46" t="n">
        <f aca="false">Deuda!D10</f>
        <v>0</v>
      </c>
      <c r="E42" s="46" t="n">
        <f aca="false">Deuda!E10</f>
        <v>0</v>
      </c>
      <c r="F42" s="46" t="n">
        <f aca="false">Deuda!F10</f>
        <v>0</v>
      </c>
      <c r="G42" s="46" t="n">
        <f aca="false">Deuda!G10</f>
        <v>0</v>
      </c>
      <c r="H42" s="46" t="n">
        <f aca="false">Deuda!H10</f>
        <v>0</v>
      </c>
      <c r="I42" s="46" t="n">
        <f aca="false">Deuda!I10</f>
        <v>0</v>
      </c>
      <c r="J42" s="46" t="n">
        <f aca="false">Deuda!J10</f>
        <v>0</v>
      </c>
      <c r="K42" s="46" t="n">
        <f aca="false">Deuda!K10</f>
        <v>0</v>
      </c>
      <c r="L42" s="46" t="n">
        <f aca="false">Deuda!L10</f>
        <v>0</v>
      </c>
      <c r="M42" s="46" t="n">
        <f aca="false">Deuda!M10</f>
        <v>0</v>
      </c>
      <c r="N42" s="46" t="n">
        <f aca="false">Deuda!N10</f>
        <v>0</v>
      </c>
      <c r="O42" s="46" t="n">
        <f aca="false">Deuda!O10</f>
        <v>0</v>
      </c>
      <c r="P42" s="46" t="n">
        <f aca="false">Deuda!P10</f>
        <v>0</v>
      </c>
      <c r="Q42" s="46" t="n">
        <f aca="false">Deuda!Q10</f>
        <v>0</v>
      </c>
      <c r="R42" s="46" t="n">
        <f aca="false">Deuda!R10</f>
        <v>0</v>
      </c>
      <c r="S42" s="46" t="n">
        <f aca="false">Deuda!S10</f>
        <v>0</v>
      </c>
      <c r="T42" s="46" t="n">
        <f aca="false">Deuda!T10</f>
        <v>0</v>
      </c>
      <c r="U42" s="46" t="n">
        <f aca="false">Deuda!U10</f>
        <v>0</v>
      </c>
      <c r="V42" s="46" t="n">
        <f aca="false">Deuda!V10</f>
        <v>0</v>
      </c>
      <c r="W42" s="46" t="n">
        <f aca="false">Deuda!W10</f>
        <v>0</v>
      </c>
      <c r="X42" s="46" t="n">
        <f aca="false">Deuda!X10</f>
        <v>0</v>
      </c>
      <c r="Y42" s="46" t="n">
        <f aca="false">Deuda!Y10</f>
        <v>0</v>
      </c>
      <c r="Z42" s="46" t="n">
        <f aca="false">Deuda!Z10</f>
        <v>0</v>
      </c>
      <c r="AA42" s="46" t="n">
        <f aca="false">Deuda!AA10</f>
        <v>0</v>
      </c>
      <c r="AB42" s="46" t="n">
        <f aca="false">Deuda!AB10</f>
        <v>0</v>
      </c>
      <c r="AC42" s="46" t="n">
        <f aca="false">Deuda!AC10</f>
        <v>0</v>
      </c>
      <c r="AD42" s="46" t="n">
        <f aca="false">Deuda!AD10</f>
        <v>0</v>
      </c>
      <c r="AE42" s="46" t="n">
        <f aca="false">Deuda!AE10</f>
        <v>0</v>
      </c>
      <c r="AF42" s="46" t="n">
        <f aca="false">Deuda!AF10</f>
        <v>0</v>
      </c>
      <c r="AG42" s="46" t="n">
        <f aca="false">Deuda!AG10</f>
        <v>0</v>
      </c>
      <c r="AH42" s="46" t="n">
        <f aca="false">Deuda!AH10</f>
        <v>0</v>
      </c>
      <c r="AI42" s="46" t="n">
        <f aca="false">Deuda!AI10</f>
        <v>0</v>
      </c>
      <c r="AJ42" s="46" t="n">
        <f aca="false">Deuda!AJ10</f>
        <v>0</v>
      </c>
      <c r="AK42" s="46" t="n">
        <f aca="false">Deuda!AK10</f>
        <v>0</v>
      </c>
      <c r="AL42" s="46" t="n">
        <f aca="false">Deuda!AL10</f>
        <v>0</v>
      </c>
      <c r="AM42" s="46" t="n">
        <f aca="false">Deuda!AM10</f>
        <v>0</v>
      </c>
      <c r="AN42" s="46" t="n">
        <f aca="false">Deuda!AN10</f>
        <v>0</v>
      </c>
      <c r="AO42" s="46" t="n">
        <f aca="false">Deuda!AO10</f>
        <v>0</v>
      </c>
      <c r="AP42" s="46" t="n">
        <f aca="false">Deuda!AP10</f>
        <v>0</v>
      </c>
      <c r="AQ42" s="46" t="n">
        <f aca="false">Deuda!AQ10</f>
        <v>0</v>
      </c>
      <c r="AR42" s="46" t="n">
        <f aca="false">Deuda!AR10</f>
        <v>0</v>
      </c>
      <c r="AS42" s="46" t="n">
        <f aca="false">Deuda!AS10</f>
        <v>0</v>
      </c>
      <c r="AT42" s="46" t="n">
        <f aca="false">Deuda!AT10</f>
        <v>0</v>
      </c>
      <c r="AU42" s="46" t="n">
        <f aca="false">Deuda!AU10</f>
        <v>0</v>
      </c>
      <c r="AV42" s="46" t="n">
        <f aca="false">Deuda!AV10</f>
        <v>0</v>
      </c>
      <c r="AW42" s="46" t="n">
        <f aca="false">Deuda!AW10</f>
        <v>0</v>
      </c>
      <c r="AX42" s="46" t="n">
        <f aca="false">Deuda!AX10</f>
        <v>0</v>
      </c>
      <c r="AY42" s="46" t="n">
        <f aca="false">Deuda!AY10</f>
        <v>0</v>
      </c>
      <c r="AZ42" s="46" t="n">
        <f aca="false">Deuda!AZ10</f>
        <v>0</v>
      </c>
      <c r="BA42" s="46" t="n">
        <f aca="false">Deuda!BA10</f>
        <v>0</v>
      </c>
      <c r="BB42" s="46" t="n">
        <f aca="false">Deuda!BB10</f>
        <v>0</v>
      </c>
      <c r="BC42" s="46" t="n">
        <f aca="false">Deuda!BC10</f>
        <v>0</v>
      </c>
      <c r="BD42" s="46" t="n">
        <f aca="false">Deuda!BD10</f>
        <v>0</v>
      </c>
      <c r="BE42" s="46" t="n">
        <f aca="false">Deuda!BE10</f>
        <v>0</v>
      </c>
      <c r="BF42" s="46" t="n">
        <f aca="false">Deuda!BF10</f>
        <v>0</v>
      </c>
      <c r="BG42" s="46" t="n">
        <f aca="false">Deuda!BG10</f>
        <v>0</v>
      </c>
      <c r="BH42" s="46" t="n">
        <f aca="false">Deuda!BH10</f>
        <v>0</v>
      </c>
      <c r="BI42" s="46" t="n">
        <f aca="false">Deuda!BI10</f>
        <v>0</v>
      </c>
      <c r="BJ42" s="46" t="n">
        <f aca="false">Deuda!BJ10</f>
        <v>0</v>
      </c>
      <c r="BK42" s="46" t="n">
        <f aca="false">Deuda!BK10</f>
        <v>0</v>
      </c>
      <c r="BL42" s="46" t="n">
        <f aca="false">Deuda!BL10</f>
        <v>0</v>
      </c>
      <c r="BM42" s="46" t="n">
        <f aca="false">Deuda!BM10</f>
        <v>0</v>
      </c>
      <c r="BN42" s="46" t="n">
        <f aca="false">Deuda!BN10</f>
        <v>0</v>
      </c>
      <c r="BO42" s="46" t="n">
        <f aca="false">Deuda!BO10</f>
        <v>0</v>
      </c>
      <c r="BP42" s="46" t="n">
        <f aca="false">Deuda!BP10</f>
        <v>0</v>
      </c>
      <c r="BQ42" s="46" t="n">
        <f aca="false">Deuda!BQ10</f>
        <v>0</v>
      </c>
      <c r="BR42" s="46" t="n">
        <f aca="false">Deuda!BR10</f>
        <v>0</v>
      </c>
      <c r="BS42" s="46" t="n">
        <f aca="false">Deuda!BS10</f>
        <v>0</v>
      </c>
      <c r="BT42" s="46" t="n">
        <f aca="false">Deuda!BT10</f>
        <v>0</v>
      </c>
      <c r="BU42" s="46" t="n">
        <f aca="false">Deuda!BU10</f>
        <v>0</v>
      </c>
      <c r="BV42" s="46" t="n">
        <f aca="false">Deuda!BV10</f>
        <v>0</v>
      </c>
      <c r="BW42" s="46" t="n">
        <f aca="false">Deuda!BW10</f>
        <v>0</v>
      </c>
      <c r="BX42" s="46" t="n">
        <f aca="false">Deuda!BX10</f>
        <v>0</v>
      </c>
      <c r="BY42" s="46" t="n">
        <f aca="false">Deuda!BY10</f>
        <v>0</v>
      </c>
      <c r="BZ42" s="46" t="n">
        <f aca="false">Deuda!BZ10</f>
        <v>0</v>
      </c>
      <c r="CA42" s="46" t="n">
        <f aca="false">Deuda!CA10</f>
        <v>0</v>
      </c>
      <c r="CB42" s="46" t="n">
        <f aca="false">Deuda!CB10</f>
        <v>0</v>
      </c>
      <c r="CC42" s="46" t="n">
        <f aca="false">Deuda!CC10</f>
        <v>0</v>
      </c>
      <c r="CD42" s="46" t="n">
        <f aca="false">Deuda!CD10</f>
        <v>0</v>
      </c>
      <c r="CE42" s="46" t="n">
        <f aca="false">Deuda!CE10</f>
        <v>0</v>
      </c>
      <c r="CF42" s="46" t="n">
        <f aca="false">Deuda!CF10</f>
        <v>0</v>
      </c>
      <c r="CG42" s="46" t="n">
        <f aca="false">Deuda!CG10</f>
        <v>0</v>
      </c>
      <c r="CH42" s="46" t="n">
        <f aca="false">Deuda!CH10</f>
        <v>0</v>
      </c>
      <c r="CI42" s="46" t="n">
        <f aca="false">Deuda!CI10</f>
        <v>0</v>
      </c>
      <c r="CJ42" s="46" t="n">
        <f aca="false">Deuda!CJ10</f>
        <v>0</v>
      </c>
      <c r="CK42" s="46" t="n">
        <f aca="false">Deuda!CK10</f>
        <v>0</v>
      </c>
      <c r="CL42" s="46" t="n">
        <f aca="false">Deuda!CL10</f>
        <v>0</v>
      </c>
      <c r="CM42" s="46" t="n">
        <f aca="false">Deuda!CM10</f>
        <v>0</v>
      </c>
      <c r="CN42" s="46" t="n">
        <f aca="false">Deuda!CN10</f>
        <v>0</v>
      </c>
      <c r="CO42" s="46" t="n">
        <f aca="false">Deuda!CO10</f>
        <v>0</v>
      </c>
      <c r="CP42" s="46" t="n">
        <f aca="false">Deuda!CP10</f>
        <v>0</v>
      </c>
      <c r="CQ42" s="46" t="n">
        <f aca="false">Deuda!CQ10</f>
        <v>0</v>
      </c>
      <c r="CR42" s="46" t="n">
        <f aca="false">Deuda!CR10</f>
        <v>0</v>
      </c>
      <c r="CS42" s="46" t="n">
        <f aca="false">Deuda!CS10</f>
        <v>0</v>
      </c>
      <c r="CT42" s="46" t="n">
        <f aca="false">Deuda!CT10</f>
        <v>0</v>
      </c>
    </row>
    <row r="43" customFormat="false" ht="15" hidden="false" customHeight="true" outlineLevel="0" collapsed="false">
      <c r="B43" s="38" t="s">
        <v>311</v>
      </c>
      <c r="C43" s="39" t="n">
        <f aca="false">C39+C40-C41+C42</f>
        <v>3750000</v>
      </c>
      <c r="D43" s="39" t="n">
        <f aca="false">D39+D40-D41+D42</f>
        <v>7926309.21729636</v>
      </c>
      <c r="E43" s="39" t="n">
        <f aca="false">E39+E40-E41+E42</f>
        <v>10974074.8536828</v>
      </c>
      <c r="F43" s="39" t="n">
        <f aca="false">F39+F40-F41+F42</f>
        <v>15577107.3922357</v>
      </c>
      <c r="G43" s="39" t="n">
        <f aca="false">G39+G40-G41+G42</f>
        <v>18677499.1178694</v>
      </c>
      <c r="H43" s="39" t="n">
        <f aca="false">H39+H40-H41+H42</f>
        <v>20438088.4358126</v>
      </c>
      <c r="I43" s="39" t="n">
        <f aca="false">I39+I40-I41+I42</f>
        <v>19341514.4854292</v>
      </c>
      <c r="J43" s="39" t="n">
        <f aca="false">J39+J40-J41+J42</f>
        <v>21044796.4638083</v>
      </c>
      <c r="K43" s="39" t="n">
        <f aca="false">K39+K40-K41+K42</f>
        <v>22507451.2337331</v>
      </c>
      <c r="L43" s="39" t="n">
        <f aca="false">L39+L40-L41+L42</f>
        <v>23688575.2978751</v>
      </c>
      <c r="M43" s="39" t="n">
        <f aca="false">M39+M40-M41+M42</f>
        <v>25140841.1975708</v>
      </c>
      <c r="N43" s="39" t="n">
        <f aca="false">N39+N40-N41+N42</f>
        <v>26291318.4536127</v>
      </c>
      <c r="O43" s="39" t="n">
        <f aca="false">O39+O40-O41+O42</f>
        <v>25025670.9273494</v>
      </c>
      <c r="P43" s="39" t="n">
        <f aca="false">P39+P40-P41+P42</f>
        <v>29363490.7014182</v>
      </c>
      <c r="Q43" s="39" t="n">
        <f aca="false">Q39+Q40-Q41+Q42</f>
        <v>33671944.3107946</v>
      </c>
      <c r="R43" s="39" t="n">
        <f aca="false">R39+R40-R41+R42</f>
        <v>39331156.6755674</v>
      </c>
      <c r="S43" s="39" t="n">
        <f aca="false">S39+S40-S41+S42</f>
        <v>43242586.3330498</v>
      </c>
      <c r="T43" s="39" t="n">
        <f aca="false">T39+T40-T41+T42</f>
        <v>45687316.2854312</v>
      </c>
      <c r="U43" s="39" t="n">
        <f aca="false">U39+U40-U41+U42</f>
        <v>45223632.4427109</v>
      </c>
      <c r="V43" s="39" t="n">
        <f aca="false">V39+V40-V41+V42</f>
        <v>47538983.7554317</v>
      </c>
      <c r="W43" s="39" t="n">
        <f aca="false">W39+W40-W41+W42</f>
        <v>49591752.6737953</v>
      </c>
      <c r="X43" s="39" t="n">
        <f aca="false">X39+X40-X41+X42</f>
        <v>51347513.1016877</v>
      </c>
      <c r="Y43" s="39" t="n">
        <f aca="false">Y39+Y40-Y41+Y42</f>
        <v>54420542.0594042</v>
      </c>
      <c r="Z43" s="39" t="n">
        <f aca="false">Z39+Z40-Z41+Z42</f>
        <v>57183332.4385231</v>
      </c>
      <c r="AA43" s="39" t="n">
        <f aca="false">AA39+AA40-AA41+AA42</f>
        <v>57525925.4590212</v>
      </c>
      <c r="AB43" s="39" t="n">
        <f aca="false">AB39+AB40-AB41+AB42</f>
        <v>63515151.9142276</v>
      </c>
      <c r="AC43" s="39" t="n">
        <f aca="false">AC39+AC40-AC41+AC42</f>
        <v>69443473.3359656</v>
      </c>
      <c r="AD43" s="39" t="n">
        <f aca="false">AD39+AD40-AD41+AD42</f>
        <v>76751719.004929</v>
      </c>
      <c r="AE43" s="39" t="n">
        <f aca="false">AE39+AE40-AE41+AE42</f>
        <v>82306743.2593699</v>
      </c>
      <c r="AF43" s="39" t="n">
        <f aca="false">AF39+AF40-AF41+AF42</f>
        <v>86388349.0444599</v>
      </c>
      <c r="AG43" s="39" t="n">
        <f aca="false">AG39+AG40-AG41+AG42</f>
        <v>87571137.0080139</v>
      </c>
      <c r="AH43" s="39" t="n">
        <f aca="false">AH39+AH40-AH41+AH42</f>
        <v>91543130.1176211</v>
      </c>
      <c r="AI43" s="39" t="n">
        <f aca="false">AI39+AI40-AI41+AI42</f>
        <v>95308491.7974811</v>
      </c>
      <c r="AJ43" s="39" t="n">
        <f aca="false">AJ39+AJ40-AJ41+AJ42</f>
        <v>98942580.9077937</v>
      </c>
      <c r="AK43" s="39" t="n">
        <f aca="false">AK39+AK40-AK41+AK42</f>
        <v>102861758.453229</v>
      </c>
      <c r="AL43" s="39" t="n">
        <f aca="false">AL39+AL40-AL41+AL42</f>
        <v>106463265.262036</v>
      </c>
      <c r="AM43" s="39" t="n">
        <f aca="false">AM39+AM40-AM41+AM42</f>
        <v>107640594.321004</v>
      </c>
      <c r="AN43" s="39" t="n">
        <f aca="false">AN39+AN40-AN41+AN42</f>
        <v>114508545.013232</v>
      </c>
      <c r="AO43" s="39" t="n">
        <f aca="false">AO39+AO40-AO41+AO42</f>
        <v>121282903.296131</v>
      </c>
      <c r="AP43" s="39" t="n">
        <f aca="false">AP39+AP40-AP41+AP42</f>
        <v>129466584.00552</v>
      </c>
      <c r="AQ43" s="39" t="n">
        <f aca="false">AQ39+AQ40-AQ41+AQ42</f>
        <v>135890845.988029</v>
      </c>
      <c r="AR43" s="39" t="n">
        <f aca="false">AR39+AR40-AR41+AR42</f>
        <v>140834145.695421</v>
      </c>
      <c r="AS43" s="39" t="n">
        <f aca="false">AS39+AS40-AS41+AS42</f>
        <v>142887805.431447</v>
      </c>
      <c r="AT43" s="39" t="n">
        <f aca="false">AT39+AT40-AT41+AT42</f>
        <v>147740430.675715</v>
      </c>
      <c r="AU43" s="39" t="n">
        <f aca="false">AU39+AU40-AU41+AU42</f>
        <v>152316994.083205</v>
      </c>
      <c r="AV43" s="39" t="n">
        <f aca="false">AV39+AV40-AV41+AV42</f>
        <v>156581008.658124</v>
      </c>
      <c r="AW43" s="39" t="n">
        <f aca="false">AW39+AW40-AW41+AW42</f>
        <v>161138763.536653</v>
      </c>
      <c r="AX43" s="39" t="n">
        <f aca="false">AX39+AX40-AX41+AX42</f>
        <v>165371031.101911</v>
      </c>
      <c r="AY43" s="39" t="n">
        <f aca="false">AY39+AY40-AY41+AY42</f>
        <v>167174763.212096</v>
      </c>
      <c r="AZ43" s="39" t="n">
        <f aca="false">AZ39+AZ40-AZ41+AZ42</f>
        <v>174613919.316771</v>
      </c>
      <c r="BA43" s="39" t="n">
        <f aca="false">BA39+BA40-BA41+BA42</f>
        <v>182034903.593333</v>
      </c>
      <c r="BB43" s="39" t="n">
        <f aca="false">BB39+BB40-BB41+BB42</f>
        <v>190875051.810195</v>
      </c>
      <c r="BC43" s="39" t="n">
        <f aca="false">BC39+BC40-BC41+BC42</f>
        <v>197947063.661252</v>
      </c>
      <c r="BD43" s="39" t="n">
        <f aca="false">BD39+BD40-BD41+BD42</f>
        <v>203530767.850223</v>
      </c>
      <c r="BE43" s="39" t="n">
        <f aca="false">BE39+BE40-BE41+BE42</f>
        <v>206230166.330345</v>
      </c>
      <c r="BF43" s="39" t="n">
        <f aca="false">BF39+BF40-BF41+BF42</f>
        <v>211734721.561322</v>
      </c>
      <c r="BG43" s="39" t="n">
        <f aca="false">BG39+BG40-BG41+BG42</f>
        <v>216958026.822594</v>
      </c>
      <c r="BH43" s="39" t="n">
        <f aca="false">BH39+BH40-BH41+BH42</f>
        <v>221863018.45798</v>
      </c>
      <c r="BI43" s="39" t="n">
        <f aca="false">BI39+BI40-BI41+BI42</f>
        <v>227067875.853475</v>
      </c>
      <c r="BJ43" s="39" t="n">
        <f aca="false">BJ39+BJ40-BJ41+BJ42</f>
        <v>231942022.870858</v>
      </c>
      <c r="BK43" s="39" t="n">
        <f aca="false">BK39+BK40-BK41+BK42</f>
        <v>234389081.917376</v>
      </c>
      <c r="BL43" s="39" t="n">
        <f aca="false">BL39+BL40-BL41+BL42</f>
        <v>242359739.720957</v>
      </c>
      <c r="BM43" s="39" t="n">
        <f aca="false">BM39+BM40-BM41+BM42</f>
        <v>250282935.435165</v>
      </c>
      <c r="BN43" s="39" t="n">
        <f aca="false">BN39+BN40-BN41+BN42</f>
        <v>259643831.861612</v>
      </c>
      <c r="BO43" s="39" t="n">
        <f aca="false">BO39+BO40-BO41+BO42</f>
        <v>267231897.623232</v>
      </c>
      <c r="BP43" s="39" t="n">
        <f aca="false">BP39+BP40-BP41+BP42</f>
        <v>273326205.378621</v>
      </c>
      <c r="BQ43" s="39" t="n">
        <f aca="false">BQ39+BQ40-BQ41+BQ42</f>
        <v>276542606.407013</v>
      </c>
      <c r="BR43" s="39" t="n">
        <f aca="false">BR39+BR40-BR41+BR42</f>
        <v>282570898.022296</v>
      </c>
      <c r="BS43" s="39" t="n">
        <f aca="false">BS39+BS40-BS41+BS42</f>
        <v>288312802.763295</v>
      </c>
      <c r="BT43" s="39" t="n">
        <f aca="false">BT39+BT40-BT41+BT42</f>
        <v>293730534.286159</v>
      </c>
      <c r="BU43" s="39" t="n">
        <f aca="false">BU39+BU40-BU41+BU42</f>
        <v>299454326.646546</v>
      </c>
      <c r="BV43" s="39" t="n">
        <f aca="false">BV39+BV40-BV41+BV42</f>
        <v>304842000.119858</v>
      </c>
      <c r="BW43" s="39" t="n">
        <f aca="false">BW39+BW40-BW41+BW42</f>
        <v>307803960.804757</v>
      </c>
      <c r="BX43" s="39" t="n">
        <f aca="false">BX39+BX40-BX41+BX42</f>
        <v>316321080.865232</v>
      </c>
      <c r="BY43" s="39" t="n">
        <f aca="false">BY39+BY40-BY41+BY42</f>
        <v>324760884.705525</v>
      </c>
      <c r="BZ43" s="39" t="n">
        <f aca="false">BZ39+BZ40-BZ41+BZ42</f>
        <v>334657293.063517</v>
      </c>
      <c r="CA43" s="39" t="n">
        <f aca="false">CA39+CA40-CA41+CA42</f>
        <v>342776089.62485</v>
      </c>
      <c r="CB43" s="39" t="n">
        <f aca="false">CB39+CB40-CB41+CB42</f>
        <v>349395575.831501</v>
      </c>
      <c r="CC43" s="39" t="n">
        <f aca="false">CC39+CC40-CC41+CC42</f>
        <v>353143683.137853</v>
      </c>
      <c r="CD43" s="39" t="n">
        <f aca="false">CD39+CD40-CD41+CD42</f>
        <v>359710550.136886</v>
      </c>
      <c r="CE43" s="39" t="n">
        <f aca="false">CE39+CE40-CE41+CE42</f>
        <v>365985797.096602</v>
      </c>
      <c r="CF43" s="39" t="n">
        <f aca="false">CF39+CF40-CF41+CF42</f>
        <v>371930900.869293</v>
      </c>
      <c r="CG43" s="39" t="n">
        <f aca="false">CG39+CG40-CG41+CG42</f>
        <v>378188385.23606</v>
      </c>
      <c r="CH43" s="39" t="n">
        <f aca="false">CH39+CH40-CH41+CH42</f>
        <v>384104240.612462</v>
      </c>
      <c r="CI43" s="39" t="n">
        <f aca="false">CI39+CI40-CI41+CI42</f>
        <v>387595789.070409</v>
      </c>
      <c r="CJ43" s="39" t="n">
        <f aca="false">CJ39+CJ40-CJ41+CJ42</f>
        <v>396674666.70415</v>
      </c>
      <c r="CK43" s="39" t="n">
        <f aca="false">CK39+CK40-CK41+CK42</f>
        <v>405645794.959274</v>
      </c>
      <c r="CL43" s="39" t="n">
        <f aca="false">CL39+CL40-CL41+CL42</f>
        <v>416092803.661373</v>
      </c>
      <c r="CM43" s="39" t="n">
        <f aca="false">CM39+CM40-CM41+CM42</f>
        <v>424757329.88998</v>
      </c>
      <c r="CN43" s="39" t="n">
        <f aca="false">CN39+CN40-CN41+CN42</f>
        <v>431916888.927069</v>
      </c>
      <c r="CO43" s="39" t="n">
        <f aca="false">CO39+CO40-CO41+CO42</f>
        <v>436211728.014876</v>
      </c>
      <c r="CP43" s="39" t="n">
        <f aca="false">CP39+CP40-CP41+CP42</f>
        <v>443332333.706676</v>
      </c>
      <c r="CQ43" s="39" t="n">
        <f aca="false">CQ39+CQ40-CQ41+CQ42</f>
        <v>450155988.020113</v>
      </c>
      <c r="CR43" s="39" t="n">
        <f aca="false">CR39+CR40-CR41+CR42</f>
        <v>456643416.644943</v>
      </c>
      <c r="CS43" s="39" t="n">
        <f aca="false">CS39+CS40-CS41+CS42</f>
        <v>463449672.743474</v>
      </c>
      <c r="CT43" s="39" t="n">
        <f aca="false">CT39+CT40-CT41+CT42</f>
        <v>469908686.193838</v>
      </c>
    </row>
    <row r="45" customFormat="false" ht="15" hidden="false" customHeight="true" outlineLevel="0" collapsed="false">
      <c r="B45" s="35" t="s">
        <v>312</v>
      </c>
      <c r="C45" s="36"/>
      <c r="D45" s="36"/>
      <c r="E45" s="36"/>
      <c r="F45" s="36"/>
      <c r="G45" s="36"/>
      <c r="H45" s="36"/>
      <c r="I45" s="36"/>
      <c r="J45" s="36"/>
      <c r="K45" s="36"/>
      <c r="L45" s="36"/>
      <c r="M45" s="36"/>
      <c r="N45" s="36"/>
      <c r="O45" s="36"/>
      <c r="P45" s="36"/>
      <c r="Q45" s="36"/>
      <c r="R45" s="36"/>
      <c r="S45" s="36"/>
      <c r="T45" s="36"/>
      <c r="U45" s="36"/>
      <c r="V45" s="36"/>
      <c r="W45" s="36"/>
      <c r="X45" s="36"/>
      <c r="Y45" s="36"/>
      <c r="Z45" s="36"/>
      <c r="AA45" s="36"/>
      <c r="AB45" s="36"/>
      <c r="AC45" s="36"/>
      <c r="AD45" s="36"/>
      <c r="AE45" s="36"/>
      <c r="AF45" s="36"/>
      <c r="AG45" s="36"/>
      <c r="AH45" s="36"/>
      <c r="AI45" s="36"/>
      <c r="AJ45" s="36"/>
      <c r="AK45" s="36"/>
      <c r="AL45" s="36"/>
      <c r="AM45" s="36"/>
      <c r="AN45" s="36"/>
      <c r="AO45" s="36"/>
      <c r="AP45" s="36"/>
      <c r="AQ45" s="36"/>
      <c r="AR45" s="36"/>
      <c r="AS45" s="36"/>
      <c r="AT45" s="36"/>
      <c r="AU45" s="36"/>
      <c r="AV45" s="36"/>
      <c r="AW45" s="36"/>
      <c r="AX45" s="36"/>
      <c r="AY45" s="36"/>
      <c r="AZ45" s="36"/>
      <c r="BA45" s="36"/>
      <c r="BB45" s="36"/>
      <c r="BC45" s="36"/>
      <c r="BD45" s="36"/>
      <c r="BE45" s="36"/>
      <c r="BF45" s="36"/>
      <c r="BG45" s="36"/>
      <c r="BH45" s="36"/>
      <c r="BI45" s="36"/>
      <c r="BJ45" s="36"/>
      <c r="BK45" s="36"/>
      <c r="BL45" s="36"/>
      <c r="BM45" s="36"/>
      <c r="BN45" s="36"/>
      <c r="BO45" s="36"/>
      <c r="BP45" s="36"/>
      <c r="BQ45" s="36"/>
      <c r="BR45" s="36"/>
      <c r="BS45" s="36"/>
      <c r="BT45" s="36"/>
      <c r="BU45" s="36"/>
      <c r="BV45" s="36"/>
      <c r="BW45" s="36"/>
      <c r="BX45" s="36"/>
      <c r="BY45" s="36"/>
      <c r="BZ45" s="36"/>
      <c r="CA45" s="36"/>
      <c r="CB45" s="36"/>
      <c r="CC45" s="36"/>
      <c r="CD45" s="36"/>
      <c r="CE45" s="36"/>
      <c r="CF45" s="36"/>
      <c r="CG45" s="36"/>
      <c r="CH45" s="36"/>
      <c r="CI45" s="36"/>
      <c r="CJ45" s="36"/>
      <c r="CK45" s="36"/>
      <c r="CL45" s="36"/>
      <c r="CM45" s="36"/>
      <c r="CN45" s="36"/>
      <c r="CO45" s="36"/>
      <c r="CP45" s="36"/>
      <c r="CQ45" s="36"/>
      <c r="CR45" s="36"/>
      <c r="CS45" s="36"/>
      <c r="CT45" s="36"/>
    </row>
    <row r="46" customFormat="false" ht="15" hidden="false" customHeight="true" outlineLevel="0" collapsed="false">
      <c r="B46" s="38" t="s">
        <v>313</v>
      </c>
      <c r="C46" s="41" t="n">
        <f aca="false">C19-C27+C35+C43</f>
        <v>9871836363.52503</v>
      </c>
      <c r="D46" s="41" t="n">
        <f aca="false">D19-D27+D35+D43</f>
        <v>4686023662.87738</v>
      </c>
      <c r="E46" s="41" t="n">
        <f aca="false">E19-E27+E35+E43</f>
        <v>6211467055.73972</v>
      </c>
      <c r="F46" s="41" t="n">
        <f aca="false">F19-F27+F35+F43</f>
        <v>4044631037.21024</v>
      </c>
      <c r="G46" s="41" t="n">
        <f aca="false">G19-G27+G35+G43</f>
        <v>2236247965.22033</v>
      </c>
      <c r="H46" s="41" t="n">
        <f aca="false">H19-H27+H35+H43</f>
        <v>-165181619.509238</v>
      </c>
      <c r="I46" s="41" t="n">
        <f aca="false">I19-I27+I35+I43</f>
        <v>1113011408.74135</v>
      </c>
      <c r="J46" s="41" t="n">
        <f aca="false">J19-J27+J35+J43</f>
        <v>1753741122.67209</v>
      </c>
      <c r="K46" s="41" t="n">
        <f aca="false">K19-K27+K35+K43</f>
        <v>1367060706.14727</v>
      </c>
      <c r="L46" s="41" t="n">
        <f aca="false">L19-L27+L35+L43</f>
        <v>1777896827.34901</v>
      </c>
      <c r="M46" s="41" t="n">
        <f aca="false">M19-M27+M35+M43</f>
        <v>1350141162.59924</v>
      </c>
      <c r="N46" s="41" t="n">
        <f aca="false">N19-N27+N35+N43</f>
        <v>-512613669.894355</v>
      </c>
      <c r="O46" s="41" t="n">
        <f aca="false">O19-O27+O35+O43</f>
        <v>4399508739.53486</v>
      </c>
      <c r="P46" s="41" t="n">
        <f aca="false">P19-P27+P35+P43</f>
        <v>5015545468.36159</v>
      </c>
      <c r="Q46" s="41" t="n">
        <f aca="false">Q19-Q27+Q35+Q43</f>
        <v>6912529722.37648</v>
      </c>
      <c r="R46" s="41" t="n">
        <f aca="false">R19-R27+R35+R43</f>
        <v>4731115176.16221</v>
      </c>
      <c r="S46" s="41" t="n">
        <f aca="false">S19-S27+S35+S43</f>
        <v>2912594005.52671</v>
      </c>
      <c r="T46" s="41" t="n">
        <f aca="false">T19-T27+T35+T43</f>
        <v>523636663.116896</v>
      </c>
      <c r="U46" s="41" t="n">
        <f aca="false">U19-U27+U35+U43</f>
        <v>1813411718.05259</v>
      </c>
      <c r="V46" s="41" t="n">
        <f aca="false">V19-V27+V35+V43</f>
        <v>2443384882.18629</v>
      </c>
      <c r="W46" s="41" t="n">
        <f aca="false">W19-W27+W35+W43</f>
        <v>2045925960.67853</v>
      </c>
      <c r="X46" s="41" t="n">
        <f aca="false">X19-X27+X35+X43</f>
        <v>3719124819.92934</v>
      </c>
      <c r="Y46" s="41" t="n">
        <f aca="false">Y19-Y27+Y35+Y43</f>
        <v>3281621299.1062</v>
      </c>
      <c r="Z46" s="41" t="n">
        <f aca="false">Z19-Z27+Z35+Z43</f>
        <v>1414558860.19115</v>
      </c>
      <c r="AA46" s="41" t="n">
        <f aca="false">AA19-AA27+AA35+AA43</f>
        <v>6386865436.41331</v>
      </c>
      <c r="AB46" s="41" t="n">
        <f aca="false">AB19-AB27+AB35+AB43</f>
        <v>6956023950.26689</v>
      </c>
      <c r="AC46" s="41" t="n">
        <f aca="false">AC19-AC27+AC35+AC43</f>
        <v>8895368442.43966</v>
      </c>
      <c r="AD46" s="41" t="n">
        <f aca="false">AD19-AD27+AD35+AD43</f>
        <v>6703938525.65493</v>
      </c>
      <c r="AE46" s="41" t="n">
        <f aca="false">AE19-AE27+AE35+AE43</f>
        <v>4875824208.20548</v>
      </c>
      <c r="AF46" s="41" t="n">
        <f aca="false">AF19-AF27+AF35+AF43</f>
        <v>2500595807.96675</v>
      </c>
      <c r="AG46" s="41" t="n">
        <f aca="false">AG19-AG27+AG35+AG43</f>
        <v>3803254076.11964</v>
      </c>
      <c r="AH46" s="41" t="n">
        <f aca="false">AH19-AH27+AH35+AH43</f>
        <v>4497942752.50892</v>
      </c>
      <c r="AI46" s="41" t="n">
        <f aca="false">AI19-AI27+AI35+AI43</f>
        <v>4298154113.47133</v>
      </c>
      <c r="AJ46" s="41" t="n">
        <f aca="false">AJ19-AJ27+AJ35+AJ43</f>
        <v>4735323367.74294</v>
      </c>
      <c r="AK46" s="41" t="n">
        <f aca="false">AK19-AK27+AK35+AK43</f>
        <v>4287001591.63288</v>
      </c>
      <c r="AL46" s="41" t="n">
        <f aca="false">AL19-AL27+AL35+AL43</f>
        <v>2414594317.83146</v>
      </c>
      <c r="AM46" s="41" t="n">
        <f aca="false">AM19-AM27+AM35+AM43</f>
        <v>7447706691.00232</v>
      </c>
      <c r="AN46" s="41" t="n">
        <f aca="false">AN19-AN27+AN35+AN43</f>
        <v>7968116896.70584</v>
      </c>
      <c r="AO46" s="41" t="n">
        <f aca="false">AO19-AO27+AO35+AO43</f>
        <v>9950144399.52811</v>
      </c>
      <c r="AP46" s="41" t="n">
        <f aca="false">AP19-AP27+AP35+AP43</f>
        <v>7747622516.47833</v>
      </c>
      <c r="AQ46" s="41" t="n">
        <f aca="false">AQ19-AQ27+AQ35+AQ43</f>
        <v>5908846037.33326</v>
      </c>
      <c r="AR46" s="41" t="n">
        <f aca="false">AR19-AR27+AR35+AR43</f>
        <v>3546882734.20409</v>
      </c>
      <c r="AS46" s="41" t="n">
        <f aca="false">AS19-AS27+AS35+AS43</f>
        <v>4861943273.55314</v>
      </c>
      <c r="AT46" s="41" t="n">
        <f aca="false">AT19-AT27+AT35+AT43</f>
        <v>5470821906.43827</v>
      </c>
      <c r="AU46" s="41" t="n">
        <f aca="false">AU19-AU27+AU35+AU43</f>
        <v>5052254974.23951</v>
      </c>
      <c r="AV46" s="41" t="n">
        <f aca="false">AV19-AV27+AV35+AV43</f>
        <v>5502457557.16298</v>
      </c>
      <c r="AW46" s="41" t="n">
        <f aca="false">AW19-AW27+AW35+AW43</f>
        <v>5042806957.08054</v>
      </c>
      <c r="AX46" s="41" t="n">
        <f aca="false">AX19-AX27+AX35+AX43</f>
        <v>3164575230.3583</v>
      </c>
      <c r="AY46" s="41" t="n">
        <f aca="false">AY19-AY27+AY35+AY43</f>
        <v>8096994123.55553</v>
      </c>
      <c r="AZ46" s="41" t="n">
        <f aca="false">AZ19-AZ27+AZ35+AZ43</f>
        <v>8715267927.3435</v>
      </c>
      <c r="BA46" s="41" t="n">
        <f aca="false">BA19-BA27+BA35+BA43</f>
        <v>10730065354.838</v>
      </c>
      <c r="BB46" s="41" t="n">
        <f aca="false">BB19-BB27+BB35+BB43</f>
        <v>8519948641.13134</v>
      </c>
      <c r="BC46" s="41" t="n">
        <f aca="false">BC19-BC27+BC35+BC43</f>
        <v>6674013117.60896</v>
      </c>
      <c r="BD46" s="41" t="n">
        <f aca="false">BD19-BD27+BD35+BD43</f>
        <v>4321386021.04418</v>
      </c>
      <c r="BE46" s="41" t="n">
        <f aca="false">BE19-BE27+BE35+BE43</f>
        <v>5644899093.38317</v>
      </c>
      <c r="BF46" s="41" t="n">
        <f aca="false">BF19-BF27+BF35+BF43</f>
        <v>6246178358.09068</v>
      </c>
      <c r="BG46" s="41" t="n">
        <f aca="false">BG19-BG27+BG35+BG43</f>
        <v>5820006869.58138</v>
      </c>
      <c r="BH46" s="41" t="n">
        <f aca="false">BH19-BH27+BH35+BH43</f>
        <v>6279546231.64812</v>
      </c>
      <c r="BI46" s="41" t="n">
        <f aca="false">BI19-BI27+BI35+BI43</f>
        <v>5812291435.91832</v>
      </c>
      <c r="BJ46" s="41" t="n">
        <f aca="false">BJ19-BJ27+BJ35+BJ43</f>
        <v>3936019433.23744</v>
      </c>
      <c r="BK46" s="41" t="n">
        <f aca="false">BK19-BK27+BK35+BK43</f>
        <v>8739376166.53268</v>
      </c>
      <c r="BL46" s="41" t="n">
        <f aca="false">BL19-BL27+BL35+BL43</f>
        <v>9314653078.8547</v>
      </c>
      <c r="BM46" s="41" t="n">
        <f aca="false">BM19-BM27+BM35+BM43</f>
        <v>11357331313.7334</v>
      </c>
      <c r="BN46" s="41" t="n">
        <f aca="false">BN19-BN27+BN35+BN43</f>
        <v>9139323149.75779</v>
      </c>
      <c r="BO46" s="41" t="n">
        <f aca="false">BO19-BO27+BO35+BO43</f>
        <v>7285944653.41234</v>
      </c>
      <c r="BP46" s="41" t="n">
        <f aca="false">BP19-BP27+BP35+BP43</f>
        <v>4942693530.63738</v>
      </c>
      <c r="BQ46" s="41" t="n">
        <f aca="false">BQ19-BQ27+BQ35+BQ43</f>
        <v>6274682632.25828</v>
      </c>
      <c r="BR46" s="41" t="n">
        <f aca="false">BR19-BR27+BR35+BR43</f>
        <v>6868073434.87157</v>
      </c>
      <c r="BS46" s="41" t="n">
        <f aca="false">BS19-BS27+BS35+BS43</f>
        <v>6434008347.36348</v>
      </c>
      <c r="BT46" s="41" t="n">
        <f aca="false">BT19-BT27+BT35+BT43</f>
        <v>6902925819.5411</v>
      </c>
      <c r="BU46" s="41" t="n">
        <f aca="false">BU19-BU27+BU35+BU43</f>
        <v>6427777760.29767</v>
      </c>
      <c r="BV46" s="41" t="n">
        <f aca="false">BV19-BV27+BV35+BV43</f>
        <v>4553362826.63146</v>
      </c>
      <c r="BW46" s="41" t="n">
        <f aca="false">BW19-BW27+BW35+BW43</f>
        <v>9399808493.9452</v>
      </c>
      <c r="BX46" s="41" t="n">
        <f aca="false">BX19-BX27+BX35+BX43</f>
        <v>9931254671.69257</v>
      </c>
      <c r="BY46" s="41" t="n">
        <f aca="false">BY19-BY27+BY35+BY43</f>
        <v>12002361993.2648</v>
      </c>
      <c r="BZ46" s="41" t="n">
        <f aca="false">BZ19-BZ27+BZ35+BZ43</f>
        <v>9776313104.87193</v>
      </c>
      <c r="CA46" s="41" t="n">
        <f aca="false">CA19-CA27+CA35+CA43</f>
        <v>7915351111.57124</v>
      </c>
      <c r="CB46" s="41" t="n">
        <f aca="false">CB19-CB27+CB35+CB43</f>
        <v>5581663412.19031</v>
      </c>
      <c r="CC46" s="41" t="n">
        <f aca="false">CC19-CC27+CC35+CC43</f>
        <v>6922298447.84412</v>
      </c>
      <c r="CD46" s="41" t="n">
        <f aca="false">CD19-CD27+CD35+CD43</f>
        <v>7507651589.49231</v>
      </c>
      <c r="CE46" s="41" t="n">
        <f aca="false">CE19-CE27+CE35+CE43</f>
        <v>7065543607.85407</v>
      </c>
      <c r="CF46" s="41" t="n">
        <f aca="false">CF19-CF27+CF35+CF43</f>
        <v>7544026697.22429</v>
      </c>
      <c r="CG46" s="41" t="n">
        <f aca="false">CG19-CG27+CG35+CG43</f>
        <v>7060836093.63838</v>
      </c>
      <c r="CH46" s="41" t="n">
        <f aca="false">CH19-CH27+CH35+CH43</f>
        <v>5188319083.51388</v>
      </c>
      <c r="CI46" s="41" t="n">
        <f aca="false">CI19-CI27+CI35+CI43</f>
        <v>10078684642.9905</v>
      </c>
      <c r="CJ46" s="41" t="n">
        <f aca="false">CJ19-CJ27+CJ35+CJ43</f>
        <v>10565450026.1414</v>
      </c>
      <c r="CK46" s="41" t="n">
        <f aca="false">CK19-CK27+CK35+CK43</f>
        <v>12665545444.028</v>
      </c>
      <c r="CL46" s="41" t="n">
        <f aca="false">CL19-CL27+CL35+CL43</f>
        <v>10431303683.0216</v>
      </c>
      <c r="CM46" s="41" t="n">
        <f aca="false">CM19-CM27+CM35+CM43</f>
        <v>8562614964.19199</v>
      </c>
      <c r="CN46" s="41" t="n">
        <f aca="false">CN19-CN27+CN35+CN43</f>
        <v>6238681828.36065</v>
      </c>
      <c r="CO46" s="41" t="n">
        <f aca="false">CO19-CO27+CO35+CO43</f>
        <v>7588136050.99208</v>
      </c>
      <c r="CP46" s="41" t="n">
        <f aca="false">CP19-CP27+CP35+CP43</f>
        <v>8165299458.37537</v>
      </c>
      <c r="CQ46" s="41" t="n">
        <f aca="false">CQ19-CQ27+CQ35+CQ43</f>
        <v>7714996411.1332</v>
      </c>
      <c r="CR46" s="41" t="n">
        <f aca="false">CR19-CR27+CR35+CR43</f>
        <v>8203236316.07471</v>
      </c>
      <c r="CS46" s="41" t="n">
        <f aca="false">CS19-CS27+CS35+CS43</f>
        <v>7711851011.2629</v>
      </c>
      <c r="CT46" s="41" t="n">
        <f aca="false">CT19-CT27+CT35+CT43</f>
        <v>5841273610.81296</v>
      </c>
    </row>
    <row r="47" customFormat="false" ht="15" hidden="false" customHeight="true" outlineLevel="0" collapsed="false">
      <c r="B47" s="15" t="s">
        <v>314</v>
      </c>
      <c r="C47" s="37" t="n">
        <f aca="false">C11+C46-C48-C36</f>
        <v>9511571060.75563</v>
      </c>
      <c r="D47" s="37" t="n">
        <f aca="false">D11+D46-D48-D36</f>
        <v>13168889824.4194</v>
      </c>
      <c r="E47" s="37" t="n">
        <f aca="false">E11+E46-E48-E36</f>
        <v>18692528870.6828</v>
      </c>
      <c r="F47" s="37" t="n">
        <f aca="false">F11+F46-F48-F36</f>
        <v>22412998941.4433</v>
      </c>
      <c r="G47" s="37" t="n">
        <f aca="false">G11+G46-G48-G36</f>
        <v>24525706122.9752</v>
      </c>
      <c r="H47" s="37" t="n">
        <f aca="false">H11+H46-H48-H36</f>
        <v>23209817382.5151</v>
      </c>
      <c r="I47" s="37" t="n">
        <f aca="false">I11+I46-I48-I36</f>
        <v>25253755756.57</v>
      </c>
      <c r="J47" s="37" t="n">
        <f aca="false">J11+J46-J48-J36</f>
        <v>27008941480.4797</v>
      </c>
      <c r="K47" s="37" t="n">
        <f aca="false">K11+K46-K48-K36</f>
        <v>28426290357.4501</v>
      </c>
      <c r="L47" s="37" t="n">
        <f aca="false">L11+L46-L48-L36</f>
        <v>30169009437.0849</v>
      </c>
      <c r="M47" s="37" t="n">
        <f aca="false">M11+M46-M48-M36</f>
        <v>31549582144.3352</v>
      </c>
      <c r="N47" s="37" t="n">
        <f aca="false">N11+N46-N48-N36</f>
        <v>30030805112.8193</v>
      </c>
      <c r="O47" s="37" t="n">
        <f aca="false">O11+O46-O48-O36</f>
        <v>35236188841.7019</v>
      </c>
      <c r="P47" s="37" t="n">
        <f aca="false">P11+P46-P48-P36</f>
        <v>40406333172.9535</v>
      </c>
      <c r="Q47" s="37" t="n">
        <f aca="false">Q11+Q46-Q48-Q36</f>
        <v>47197388010.6809</v>
      </c>
      <c r="R47" s="37" t="n">
        <f aca="false">R11+R46-R48-R36</f>
        <v>51891103599.6598</v>
      </c>
      <c r="S47" s="37" t="n">
        <f aca="false">S11+S46-S48-S36</f>
        <v>54824779542.5174</v>
      </c>
      <c r="T47" s="37" t="n">
        <f aca="false">T11+T46-T48-T36</f>
        <v>54268358931.2531</v>
      </c>
      <c r="U47" s="37" t="n">
        <f aca="false">U11+U46-U48-U36</f>
        <v>57046780506.518</v>
      </c>
      <c r="V47" s="37" t="n">
        <f aca="false">V11+V46-V48-V36</f>
        <v>59510103208.5543</v>
      </c>
      <c r="W47" s="37" t="n">
        <f aca="false">W11+W46-W48-W36</f>
        <v>61617015722.0253</v>
      </c>
      <c r="X47" s="37" t="n">
        <f aca="false">X11+X46-X48-X36</f>
        <v>65304650471.285</v>
      </c>
      <c r="Y47" s="37" t="n">
        <f aca="false">Y11+Y46-Y48-Y36</f>
        <v>68619998926.2277</v>
      </c>
      <c r="Z47" s="37" t="n">
        <f aca="false">Z11+Z46-Z48-Z36</f>
        <v>69031110550.8254</v>
      </c>
      <c r="AA47" s="37" t="n">
        <f aca="false">AA11+AA46-AA48-AA36</f>
        <v>76218182297.0732</v>
      </c>
      <c r="AB47" s="37" t="n">
        <f aca="false">AB11+AB46-AB48-AB36</f>
        <v>83332168003.1587</v>
      </c>
      <c r="AC47" s="37" t="n">
        <f aca="false">AC11+AC46-AC48-AC36</f>
        <v>92102062805.9148</v>
      </c>
      <c r="AD47" s="37" t="n">
        <f aca="false">AD11+AD46-AD48-AD36</f>
        <v>98768091911.2439</v>
      </c>
      <c r="AE47" s="37" t="n">
        <f aca="false">AE11+AE46-AE48-AE36</f>
        <v>103666018853.352</v>
      </c>
      <c r="AF47" s="37" t="n">
        <f aca="false">AF11+AF46-AF48-AF36</f>
        <v>105085364409.617</v>
      </c>
      <c r="AG47" s="37" t="n">
        <f aca="false">AG11+AG46-AG48-AG36</f>
        <v>109851756141.145</v>
      </c>
      <c r="AH47" s="37" t="n">
        <f aca="false">AH11+AH46-AH48-AH36</f>
        <v>114370190156.977</v>
      </c>
      <c r="AI47" s="37" t="n">
        <f aca="false">AI11+AI46-AI48-AI36</f>
        <v>118731097089.352</v>
      </c>
      <c r="AJ47" s="37" t="n">
        <f aca="false">AJ11+AJ46-AJ48-AJ36</f>
        <v>123434110143.875</v>
      </c>
      <c r="AK47" s="37" t="n">
        <f aca="false">AK11+AK46-AK48-AK36</f>
        <v>127755918314.443</v>
      </c>
      <c r="AL47" s="37" t="n">
        <f aca="false">AL11+AL46-AL48-AL36</f>
        <v>129168713185.205</v>
      </c>
      <c r="AM47" s="37" t="n">
        <f aca="false">AM11+AM46-AM48-AM36</f>
        <v>137410254015.878</v>
      </c>
      <c r="AN47" s="37" t="n">
        <f aca="false">AN11+AN46-AN48-AN36</f>
        <v>145539483955.357</v>
      </c>
      <c r="AO47" s="37" t="n">
        <f aca="false">AO11+AO46-AO48-AO36</f>
        <v>155359900806.624</v>
      </c>
      <c r="AP47" s="37" t="n">
        <f aca="false">AP11+AP46-AP48-AP36</f>
        <v>163069015185.634</v>
      </c>
      <c r="AQ47" s="37" t="n">
        <f aca="false">AQ11+AQ46-AQ48-AQ36</f>
        <v>169000974834.505</v>
      </c>
      <c r="AR47" s="37" t="n">
        <f aca="false">AR11+AR46-AR48-AR36</f>
        <v>171465366517.737</v>
      </c>
      <c r="AS47" s="37" t="n">
        <f aca="false">AS11+AS46-AS48-AS36</f>
        <v>177288516810.858</v>
      </c>
      <c r="AT47" s="37" t="n">
        <f aca="false">AT11+AT46-AT48-AT36</f>
        <v>182780392899.846</v>
      </c>
      <c r="AU47" s="37" t="n">
        <f aca="false">AU11+AU46-AU48-AU36</f>
        <v>187897210389.749</v>
      </c>
      <c r="AV47" s="37" t="n">
        <f aca="false">AV11+AV46-AV48-AV36</f>
        <v>193366516243.984</v>
      </c>
      <c r="AW47" s="37" t="n">
        <f aca="false">AW11+AW46-AW48-AW36</f>
        <v>198445237322.293</v>
      </c>
      <c r="AX47" s="37" t="n">
        <f aca="false">AX11+AX46-AX48-AX36</f>
        <v>200609715854.515</v>
      </c>
      <c r="AY47" s="37" t="n">
        <f aca="false">AY11+AY46-AY48-AY36</f>
        <v>209536703180.125</v>
      </c>
      <c r="AZ47" s="37" t="n">
        <f aca="false">AZ11+AZ46-AZ48-AZ36</f>
        <v>218441884312</v>
      </c>
      <c r="BA47" s="37" t="n">
        <f aca="false">BA11+BA46-BA48-BA36</f>
        <v>229050062172.235</v>
      </c>
      <c r="BB47" s="37" t="n">
        <f aca="false">BB11+BB46-BB48-BB36</f>
        <v>237536476393.503</v>
      </c>
      <c r="BC47" s="37" t="n">
        <f aca="false">BC11+BC46-BC48-BC36</f>
        <v>244236921420.268</v>
      </c>
      <c r="BD47" s="37" t="n">
        <f aca="false">BD11+BD46-BD48-BD36</f>
        <v>247476199596.414</v>
      </c>
      <c r="BE47" s="37" t="n">
        <f aca="false">BE11+BE46-BE48-BE36</f>
        <v>254081665873.586</v>
      </c>
      <c r="BF47" s="37" t="n">
        <f aca="false">BF11+BF46-BF48-BF36</f>
        <v>260349632187.112</v>
      </c>
      <c r="BG47" s="37" t="n">
        <f aca="false">BG11+BG46-BG48-BG36</f>
        <v>266235622149.576</v>
      </c>
      <c r="BH47" s="37" t="n">
        <f aca="false">BH11+BH46-BH48-BH36</f>
        <v>272481451024.17</v>
      </c>
      <c r="BI47" s="37" t="n">
        <f aca="false">BI11+BI46-BI48-BI36</f>
        <v>278330427445.03</v>
      </c>
      <c r="BJ47" s="37" t="n">
        <f aca="false">BJ11+BJ46-BJ48-BJ36</f>
        <v>281266898300.851</v>
      </c>
      <c r="BK47" s="37" t="n">
        <f aca="false">BK11+BK46-BK48-BK36</f>
        <v>290831687665.149</v>
      </c>
      <c r="BL47" s="37" t="n">
        <f aca="false">BL11+BL46-BL48-BL36</f>
        <v>300339522522.198</v>
      </c>
      <c r="BM47" s="37" t="n">
        <f aca="false">BM11+BM46-BM48-BM36</f>
        <v>311572598233.935</v>
      </c>
      <c r="BN47" s="37" t="n">
        <f aca="false">BN11+BN46-BN48-BN36</f>
        <v>320678277147.879</v>
      </c>
      <c r="BO47" s="37" t="n">
        <f aca="false">BO11+BO46-BO48-BO36</f>
        <v>327991446454.345</v>
      </c>
      <c r="BP47" s="37" t="n">
        <f aca="false">BP11+BP46-BP48-BP36</f>
        <v>331851127688.415</v>
      </c>
      <c r="BQ47" s="37" t="n">
        <f aca="false">BQ11+BQ46-BQ48-BQ36</f>
        <v>339085077626.755</v>
      </c>
      <c r="BR47" s="37" t="n">
        <f aca="false">BR11+BR46-BR48-BR36</f>
        <v>345975363315.953</v>
      </c>
      <c r="BS47" s="37" t="n">
        <f aca="false">BS11+BS46-BS48-BS36</f>
        <v>352476641143.391</v>
      </c>
      <c r="BT47" s="37" t="n">
        <f aca="false">BT11+BT46-BT48-BT36</f>
        <v>359345191975.856</v>
      </c>
      <c r="BU47" s="37" t="n">
        <f aca="false">BU11+BU46-BU48-BU36</f>
        <v>365810400143.829</v>
      </c>
      <c r="BV47" s="37" t="n">
        <f aca="false">BV11+BV46-BV48-BV36</f>
        <v>369364752965.709</v>
      </c>
      <c r="BW47" s="37" t="n">
        <f aca="false">BW11+BW46-BW48-BW36</f>
        <v>379585297038.278</v>
      </c>
      <c r="BX47" s="37" t="n">
        <f aca="false">BX11+BX46-BX48-BX36</f>
        <v>389713061646.63</v>
      </c>
      <c r="BY47" s="37" t="n">
        <f aca="false">BY11+BY46-BY48-BY36</f>
        <v>401588751676.22</v>
      </c>
      <c r="BZ47" s="37" t="n">
        <f aca="false">BZ11+BZ46-BZ48-BZ36</f>
        <v>411331307549.82</v>
      </c>
      <c r="CA47" s="37" t="n">
        <f aca="false">CA11+CA46-CA48-CA36</f>
        <v>419274690997.801</v>
      </c>
      <c r="CB47" s="37" t="n">
        <f aca="false">CB11+CB46-CB48-CB36</f>
        <v>423772419765.424</v>
      </c>
      <c r="CC47" s="37" t="n">
        <f aca="false">CC11+CC46-CC48-CC36</f>
        <v>431652660164.264</v>
      </c>
      <c r="CD47" s="37" t="n">
        <f aca="false">CD11+CD46-CD48-CD36</f>
        <v>439182956515.922</v>
      </c>
      <c r="CE47" s="37" t="n">
        <f aca="false">CE11+CE46-CE48-CE36</f>
        <v>446317081043.152</v>
      </c>
      <c r="CF47" s="37" t="n">
        <f aca="false">CF11+CF46-CF48-CF36</f>
        <v>453826062283.272</v>
      </c>
      <c r="CG47" s="37" t="n">
        <f aca="false">CG11+CG46-CG48-CG36</f>
        <v>460925088734.954</v>
      </c>
      <c r="CH47" s="37" t="n">
        <f aca="false">CH11+CH46-CH48-CH36</f>
        <v>465114946884.491</v>
      </c>
      <c r="CI47" s="37" t="n">
        <f aca="false">CI11+CI46-CI48-CI36</f>
        <v>476009600044.98</v>
      </c>
      <c r="CJ47" s="37" t="n">
        <f aca="false">CJ11+CJ46-CJ48-CJ36</f>
        <v>486774953951.129</v>
      </c>
      <c r="CK47" s="37" t="n">
        <f aca="false">CK11+CK46-CK48-CK36</f>
        <v>499311364393.647</v>
      </c>
      <c r="CL47" s="37" t="n">
        <f aca="false">CL11+CL46-CL48-CL36</f>
        <v>509708795867.976</v>
      </c>
      <c r="CM47" s="37" t="n">
        <f aca="false">CM11+CM46-CM48-CM36</f>
        <v>518300266712.483</v>
      </c>
      <c r="CN47" s="37" t="n">
        <f aca="false">CN11+CN46-CN48-CN36</f>
        <v>523454073617.852</v>
      </c>
      <c r="CO47" s="37" t="n">
        <f aca="false">CO11+CO46-CO48-CO36</f>
        <v>531998800448.011</v>
      </c>
      <c r="CP47" s="37" t="n">
        <f aca="false">CP11+CP46-CP48-CP36</f>
        <v>540187185624.136</v>
      </c>
      <c r="CQ47" s="37" t="n">
        <f aca="false">CQ11+CQ46-CQ48-CQ36</f>
        <v>547972099973.932</v>
      </c>
      <c r="CR47" s="37" t="n">
        <f aca="false">CR11+CR46-CR48-CR36</f>
        <v>556139607292.169</v>
      </c>
      <c r="CS47" s="37" t="n">
        <f aca="false">CS11+CS46-CS48-CS36</f>
        <v>563890423432.606</v>
      </c>
      <c r="CT47" s="37" t="n">
        <f aca="false">CT11+CT46-CT48-CT36</f>
        <v>568733795887.963</v>
      </c>
    </row>
    <row r="48" customFormat="false" ht="15" hidden="false" customHeight="true" outlineLevel="0" collapsed="false">
      <c r="B48" s="15" t="s">
        <v>315</v>
      </c>
      <c r="C48" s="37" t="n">
        <f aca="false">C9*0.5+(C15+C17+C18)*0.5</f>
        <v>4647767682.58427</v>
      </c>
      <c r="D48" s="37" t="n">
        <f aca="false">D9*0.5+(D15+D17+D18)*0.5</f>
        <v>5660643351.54824</v>
      </c>
      <c r="E48" s="37" t="n">
        <f aca="false">E9*0.5+(E15+E17+E18)*0.5</f>
        <v>6351362146.49201</v>
      </c>
      <c r="F48" s="37" t="n">
        <f aca="false">F9*0.5+(F15+F17+F18)*0.5</f>
        <v>6647155673.75956</v>
      </c>
      <c r="G48" s="37" t="n">
        <f aca="false">G9*0.5+(G15+G17+G18)*0.5</f>
        <v>6756242530.11042</v>
      </c>
      <c r="H48" s="37" t="n">
        <f aca="false">H9*0.5+(H15+H17+H18)*0.5</f>
        <v>6871107791.41162</v>
      </c>
      <c r="I48" s="37" t="n">
        <f aca="false">I9*0.5+(I15+I17+I18)*0.5</f>
        <v>6967350329.34513</v>
      </c>
      <c r="J48" s="37" t="n">
        <f aca="false">J9*0.5+(J15+J17+J18)*0.5</f>
        <v>6965905728.10754</v>
      </c>
      <c r="K48" s="37" t="n">
        <f aca="false">K9*0.5+(K15+K17+K18)*0.5</f>
        <v>6915617557.28441</v>
      </c>
      <c r="L48" s="37" t="n">
        <f aca="false">L9*0.5+(L15+L17+L18)*0.5</f>
        <v>6950795304.99861</v>
      </c>
      <c r="M48" s="37" t="n">
        <f aca="false">M9*0.5+(M15+M17+M18)*0.5</f>
        <v>6918818308.65137</v>
      </c>
      <c r="N48" s="37" t="n">
        <f aca="false">N9*0.5+(N15+N17+N18)*0.5</f>
        <v>6897812167.02585</v>
      </c>
      <c r="O48" s="37" t="n">
        <f aca="false">O9*0.5+(O15+O17+O18)*0.5</f>
        <v>7153085542.2585</v>
      </c>
      <c r="P48" s="37" t="n">
        <f aca="false">P9*0.5+(P15+P17+P18)*0.5</f>
        <v>7013653921.79808</v>
      </c>
      <c r="Q48" s="37" t="n">
        <f aca="false">Q9*0.5+(Q15+Q17+Q18)*0.5</f>
        <v>7133753503.53503</v>
      </c>
      <c r="R48" s="37" t="n">
        <f aca="false">R9*0.5+(R15+R17+R18)*0.5</f>
        <v>7142785651.53609</v>
      </c>
      <c r="S48" s="37" t="n">
        <f aca="false">S9*0.5+(S15+S17+S18)*0.5</f>
        <v>7107249786.8676</v>
      </c>
      <c r="T48" s="37" t="n">
        <f aca="false">T9*0.5+(T15+T17+T18)*0.5</f>
        <v>7151465201.59916</v>
      </c>
      <c r="U48" s="37" t="n">
        <f aca="false">U9*0.5+(U15+U17+U18)*0.5</f>
        <v>7213624847.63397</v>
      </c>
      <c r="V48" s="37" t="n">
        <f aca="false">V9*0.5+(V15+V17+V18)*0.5</f>
        <v>7193687027.78395</v>
      </c>
      <c r="W48" s="37" t="n">
        <f aca="false">W9*0.5+(W15+W17+W18)*0.5</f>
        <v>7132700474.99153</v>
      </c>
      <c r="X48" s="37" t="n">
        <f aca="false">X9*0.5+(X15+X17+X18)*0.5</f>
        <v>7164190545.66113</v>
      </c>
      <c r="Y48" s="37" t="n">
        <f aca="false">Y9*0.5+(Y15+Y17+Y18)*0.5</f>
        <v>7128917938.12851</v>
      </c>
      <c r="Z48" s="37" t="n">
        <f aca="false">Z9*0.5+(Z15+Z17+Z18)*0.5</f>
        <v>7105195670.4748</v>
      </c>
      <c r="AA48" s="37" t="n">
        <f aca="false">AA9*0.5+(AA15+AA17+AA18)*0.5</f>
        <v>7366137725.22071</v>
      </c>
      <c r="AB48" s="37" t="n">
        <f aca="false">AB9*0.5+(AB15+AB17+AB18)*0.5</f>
        <v>7223343211.83167</v>
      </c>
      <c r="AC48" s="37" t="n">
        <f aca="false">AC9*0.5+(AC15+AC17+AC18)*0.5</f>
        <v>7347441548.60318</v>
      </c>
      <c r="AD48" s="37" t="n">
        <f aca="false">AD9*0.5+(AD15+AD17+AD18)*0.5</f>
        <v>7356983529.74673</v>
      </c>
      <c r="AE48" s="37" t="n">
        <f aca="false">AE9*0.5+(AE15+AE17+AE18)*0.5</f>
        <v>7320426868.50656</v>
      </c>
      <c r="AF48" s="37" t="n">
        <f aca="false">AF9*0.5+(AF15+AF17+AF18)*0.5</f>
        <v>7365835260.55894</v>
      </c>
      <c r="AG48" s="37" t="n">
        <f aca="false">AG9*0.5+(AG15+AG17+AG18)*0.5</f>
        <v>7429867108.39708</v>
      </c>
      <c r="AH48" s="37" t="n">
        <f aca="false">AH9*0.5+(AH15+AH17+AH18)*0.5</f>
        <v>7409375845.07394</v>
      </c>
      <c r="AI48" s="37" t="n">
        <f aca="false">AI9*0.5+(AI15+AI17+AI18)*0.5</f>
        <v>7346623026.17016</v>
      </c>
      <c r="AJ48" s="37" t="n">
        <f aca="false">AJ9*0.5+(AJ15+AJ17+AJ18)*0.5</f>
        <v>7378933339.39075</v>
      </c>
      <c r="AK48" s="37" t="n">
        <f aca="false">AK9*0.5+(AK15+AK17+AK18)*0.5</f>
        <v>7342581308.75883</v>
      </c>
      <c r="AL48" s="37" t="n">
        <f aca="false">AL9*0.5+(AL15+AL17+AL18)*0.5</f>
        <v>7317211252.58191</v>
      </c>
      <c r="AM48" s="37" t="n">
        <f aca="false">AM9*0.5+(AM15+AM17+AM18)*0.5</f>
        <v>7584525477.49112</v>
      </c>
      <c r="AN48" s="37" t="n">
        <f aca="false">AN9*0.5+(AN15+AN17+AN18)*0.5</f>
        <v>7438579677.1479</v>
      </c>
      <c r="AO48" s="37" t="n">
        <f aca="false">AO9*0.5+(AO15+AO17+AO18)*0.5</f>
        <v>7566931922.49685</v>
      </c>
      <c r="AP48" s="37" t="n">
        <f aca="false">AP9*0.5+(AP15+AP17+AP18)*0.5</f>
        <v>7577072620.78241</v>
      </c>
      <c r="AQ48" s="37" t="n">
        <f aca="false">AQ9*0.5+(AQ15+AQ17+AQ18)*0.5</f>
        <v>7539505081.90743</v>
      </c>
      <c r="AR48" s="37" t="n">
        <f aca="false">AR9*0.5+(AR15+AR17+AR18)*0.5</f>
        <v>7586154273.23001</v>
      </c>
      <c r="AS48" s="37" t="n">
        <f aca="false">AS9*0.5+(AS15+AS17+AS18)*0.5</f>
        <v>7652116756.90906</v>
      </c>
      <c r="AT48" s="37" t="n">
        <f aca="false">AT9*0.5+(AT15+AT17+AT18)*0.5</f>
        <v>7631062574.35967</v>
      </c>
      <c r="AU48" s="37" t="n">
        <f aca="false">AU9*0.5+(AU15+AU17+AU18)*0.5</f>
        <v>7566500058.69606</v>
      </c>
      <c r="AV48" s="37" t="n">
        <f aca="false">AV9*0.5+(AV15+AV17+AV18)*0.5</f>
        <v>7599651761.62432</v>
      </c>
      <c r="AW48" s="37" t="n">
        <f aca="false">AW9*0.5+(AW15+AW17+AW18)*0.5</f>
        <v>7562192188.69954</v>
      </c>
      <c r="AX48" s="37" t="n">
        <f aca="false">AX9*0.5+(AX15+AX17+AX18)*0.5</f>
        <v>7535119383.58842</v>
      </c>
      <c r="AY48" s="37" t="n">
        <f aca="false">AY9*0.5+(AY15+AY17+AY18)*0.5</f>
        <v>7766274546.11473</v>
      </c>
      <c r="AZ48" s="37" t="n">
        <f aca="false">AZ9*0.5+(AZ15+AZ17+AZ18)*0.5</f>
        <v>7596796957.7805</v>
      </c>
      <c r="BA48" s="37" t="n">
        <f aca="false">BA9*0.5+(BA15+BA17+BA18)*0.5</f>
        <v>7717309149.4716</v>
      </c>
      <c r="BB48" s="37" t="n">
        <f aca="false">BB9*0.5+(BB15+BB17+BB18)*0.5</f>
        <v>7722476130.15265</v>
      </c>
      <c r="BC48" s="37" t="n">
        <f aca="false">BC9*0.5+(BC15+BC17+BC18)*0.5</f>
        <v>7681590293.65907</v>
      </c>
      <c r="BD48" s="37" t="n">
        <f aca="false">BD9*0.5+(BD15+BD17+BD18)*0.5</f>
        <v>7727856278.90717</v>
      </c>
      <c r="BE48" s="37" t="n">
        <f aca="false">BE9*0.5+(BE15+BE17+BE18)*0.5</f>
        <v>7794458598.36533</v>
      </c>
      <c r="BF48" s="37" t="n">
        <f aca="false">BF9*0.5+(BF15+BF17+BF18)*0.5</f>
        <v>7772670642.92991</v>
      </c>
      <c r="BG48" s="37" t="n">
        <f aca="false">BG9*0.5+(BG15+BG17+BG18)*0.5</f>
        <v>7706687550.04769</v>
      </c>
      <c r="BH48" s="37" t="n">
        <f aca="false">BH9*0.5+(BH15+BH17+BH18)*0.5</f>
        <v>7740404907.10148</v>
      </c>
      <c r="BI48" s="37" t="n">
        <f aca="false">BI9*0.5+(BI15+BI17+BI18)*0.5</f>
        <v>7702174470.46387</v>
      </c>
      <c r="BJ48" s="37" t="n">
        <f aca="false">BJ9*0.5+(BJ15+BJ17+BJ18)*0.5</f>
        <v>7674553544.6327</v>
      </c>
      <c r="BK48" s="37" t="n">
        <f aca="false">BK9*0.5+(BK15+BK17+BK18)*0.5</f>
        <v>7910288711.44823</v>
      </c>
      <c r="BL48" s="37" t="n">
        <f aca="false">BL9*0.5+(BL15+BL17+BL18)*0.5</f>
        <v>7737542549.45147</v>
      </c>
      <c r="BM48" s="37" t="n">
        <f aca="false">BM9*0.5+(BM15+BM17+BM18)*0.5</f>
        <v>7860422848.53553</v>
      </c>
      <c r="BN48" s="37" t="n">
        <f aca="false">BN9*0.5+(BN15+BN17+BN18)*0.5</f>
        <v>7865699645.16736</v>
      </c>
      <c r="BO48" s="37" t="n">
        <f aca="false">BO9*0.5+(BO15+BO17+BO18)*0.5</f>
        <v>7824021064.77589</v>
      </c>
      <c r="BP48" s="37" t="n">
        <f aca="false">BP9*0.5+(BP15+BP17+BP18)*0.5</f>
        <v>7871191501.69321</v>
      </c>
      <c r="BQ48" s="37" t="n">
        <f aca="false">BQ9*0.5+(BQ15+BQ17+BQ18)*0.5</f>
        <v>7939093698.85924</v>
      </c>
      <c r="BR48" s="37" t="n">
        <f aca="false">BR9*0.5+(BR15+BR17+BR18)*0.5</f>
        <v>7916881444.53204</v>
      </c>
      <c r="BS48" s="37" t="n">
        <f aca="false">BS9*0.5+(BS15+BS17+BS18)*0.5</f>
        <v>7849611964.45824</v>
      </c>
      <c r="BT48" s="37" t="n">
        <f aca="false">BT9*0.5+(BT15+BT17+BT18)*0.5</f>
        <v>7883986951.53438</v>
      </c>
      <c r="BU48" s="37" t="n">
        <f aca="false">BU9*0.5+(BU15+BU17+BU18)*0.5</f>
        <v>7845011092.16224</v>
      </c>
      <c r="BV48" s="37" t="n">
        <f aca="false">BV9*0.5+(BV15+BV17+BV18)*0.5</f>
        <v>7816851593.66731</v>
      </c>
      <c r="BW48" s="37" t="n">
        <f aca="false">BW9*0.5+(BW15+BW17+BW18)*0.5</f>
        <v>8057264379.62318</v>
      </c>
      <c r="BX48" s="37" t="n">
        <f aca="false">BX9*0.5+(BX15+BX17+BX18)*0.5</f>
        <v>7881190059.16119</v>
      </c>
      <c r="BY48" s="37" t="n">
        <f aca="false">BY9*0.5+(BY15+BY17+BY18)*0.5</f>
        <v>8006486719.92426</v>
      </c>
      <c r="BZ48" s="37" t="n">
        <f aca="false">BZ9*0.5+(BZ15+BZ17+BZ18)*0.5</f>
        <v>8011876512.01383</v>
      </c>
      <c r="CA48" s="37" t="n">
        <f aca="false">CA9*0.5+(CA15+CA17+CA18)*0.5</f>
        <v>7969390248.26645</v>
      </c>
      <c r="CB48" s="37" t="n">
        <f aca="false">CB9*0.5+(CB15+CB17+CB18)*0.5</f>
        <v>8017483033.18451</v>
      </c>
      <c r="CC48" s="37" t="n">
        <f aca="false">CC9*0.5+(CC15+CC17+CC18)*0.5</f>
        <v>8086710585.4357</v>
      </c>
      <c r="CD48" s="37" t="n">
        <f aca="false">CD9*0.5+(CD15+CD17+CD18)*0.5</f>
        <v>8064065823.26934</v>
      </c>
      <c r="CE48" s="37" t="n">
        <f aca="false">CE9*0.5+(CE15+CE17+CE18)*0.5</f>
        <v>7995484903.89421</v>
      </c>
      <c r="CF48" s="37" t="n">
        <f aca="false">CF9*0.5+(CF15+CF17+CF18)*0.5</f>
        <v>8030530360.99838</v>
      </c>
      <c r="CG48" s="37" t="n">
        <f aca="false">CG9*0.5+(CG15+CG17+CG18)*0.5</f>
        <v>7990794551.25851</v>
      </c>
      <c r="CH48" s="37" t="n">
        <f aca="false">CH9*0.5+(CH15+CH17+CH18)*0.5</f>
        <v>7962085981.98795</v>
      </c>
      <c r="CI48" s="37" t="n">
        <f aca="false">CI9*0.5+(CI15+CI17+CI18)*0.5</f>
        <v>8207265829.07032</v>
      </c>
      <c r="CJ48" s="37" t="n">
        <f aca="false">CJ9*0.5+(CJ15+CJ17+CJ18)*0.5</f>
        <v>8027797565.2595</v>
      </c>
      <c r="CK48" s="37" t="n">
        <f aca="false">CK9*0.5+(CK15+CK17+CK18)*0.5</f>
        <v>8155557263.85754</v>
      </c>
      <c r="CL48" s="37" t="n">
        <f aca="false">CL9*0.5+(CL15+CL17+CL18)*0.5</f>
        <v>8161062033.3679</v>
      </c>
      <c r="CM48" s="37" t="n">
        <f aca="false">CM9*0.5+(CM15+CM17+CM18)*0.5</f>
        <v>8117752225.71497</v>
      </c>
      <c r="CN48" s="37" t="n">
        <f aca="false">CN9*0.5+(CN15+CN17+CN18)*0.5</f>
        <v>8166785289.05769</v>
      </c>
      <c r="CO48" s="37" t="n">
        <f aca="false">CO9*0.5+(CO15+CO17+CO18)*0.5</f>
        <v>8237364013.13717</v>
      </c>
      <c r="CP48" s="37" t="n">
        <f aca="false">CP9*0.5+(CP15+CP17+CP18)*0.5</f>
        <v>8214278295.38825</v>
      </c>
      <c r="CQ48" s="37" t="n">
        <f aca="false">CQ9*0.5+(CQ15+CQ17+CQ18)*0.5</f>
        <v>8144360356.72514</v>
      </c>
      <c r="CR48" s="37" t="n">
        <f aca="false">CR9*0.5+(CR15+CR17+CR18)*0.5</f>
        <v>8180089354.56278</v>
      </c>
      <c r="CS48" s="37" t="n">
        <f aca="false">CS9*0.5+(CS15+CS17+CS18)*0.5</f>
        <v>8139578773.69294</v>
      </c>
      <c r="CT48" s="37" t="n">
        <f aca="false">CT9*0.5+(CT15+CT17+CT18)*0.5</f>
        <v>8110310425.90158</v>
      </c>
    </row>
    <row r="49" customFormat="false" ht="15" hidden="false" customHeight="true" outlineLevel="0" collapsed="false">
      <c r="B49" s="38" t="s">
        <v>316</v>
      </c>
      <c r="C49" s="41" t="n">
        <f aca="false">C47+C48+C36</f>
        <v>16471836363.525</v>
      </c>
      <c r="D49" s="41" t="n">
        <f aca="false">D47+D48+D36</f>
        <v>21157860026.4024</v>
      </c>
      <c r="E49" s="41" t="n">
        <f aca="false">E47+E48+E36</f>
        <v>27369327082.1421</v>
      </c>
      <c r="F49" s="41" t="n">
        <f aca="false">F47+F48+F36</f>
        <v>31413958119.3524</v>
      </c>
      <c r="G49" s="41" t="n">
        <f aca="false">G47+G48+G36</f>
        <v>33650206084.5727</v>
      </c>
      <c r="H49" s="41" t="n">
        <f aca="false">H47+H48+H36</f>
        <v>33485024465.0635</v>
      </c>
      <c r="I49" s="41" t="n">
        <f aca="false">I47+I48+I36</f>
        <v>34598035873.8048</v>
      </c>
      <c r="J49" s="41" t="n">
        <f aca="false">J47+J48+J36</f>
        <v>36351776996.4769</v>
      </c>
      <c r="K49" s="41" t="n">
        <f aca="false">K47+K48+K36</f>
        <v>37718837702.6242</v>
      </c>
      <c r="L49" s="41" t="n">
        <f aca="false">L47+L48+L36</f>
        <v>39496734529.9732</v>
      </c>
      <c r="M49" s="41" t="n">
        <f aca="false">M47+M48+M36</f>
        <v>40846875692.5724</v>
      </c>
      <c r="N49" s="41" t="n">
        <f aca="false">N47+N48+N36</f>
        <v>40334262022.6781</v>
      </c>
      <c r="O49" s="41" t="n">
        <f aca="false">O47+O48+O36</f>
        <v>44733770762.2129</v>
      </c>
      <c r="P49" s="41" t="n">
        <f aca="false">P47+P48+P36</f>
        <v>49749316230.5745</v>
      </c>
      <c r="Q49" s="41" t="n">
        <f aca="false">Q47+Q48+Q36</f>
        <v>56661845952.951</v>
      </c>
      <c r="R49" s="41" t="n">
        <f aca="false">R47+R48+R36</f>
        <v>61392961129.1132</v>
      </c>
      <c r="S49" s="41" t="n">
        <f aca="false">S47+S48+S36</f>
        <v>64305555134.6399</v>
      </c>
      <c r="T49" s="41" t="n">
        <f aca="false">T47+T48+T36</f>
        <v>64829191797.7568</v>
      </c>
      <c r="U49" s="41" t="n">
        <f aca="false">U47+U48+U36</f>
        <v>66642603515.8094</v>
      </c>
      <c r="V49" s="41" t="n">
        <f aca="false">V47+V48+V36</f>
        <v>69085988397.9957</v>
      </c>
      <c r="W49" s="41" t="n">
        <f aca="false">W47+W48+W36</f>
        <v>71131914358.6742</v>
      </c>
      <c r="X49" s="41" t="n">
        <f aca="false">X47+X48+X36</f>
        <v>74851039178.6036</v>
      </c>
      <c r="Y49" s="41" t="n">
        <f aca="false">Y47+Y48+Y36</f>
        <v>78132660477.7098</v>
      </c>
      <c r="Z49" s="41" t="n">
        <f aca="false">Z47+Z48+Z36</f>
        <v>79547219337.9009</v>
      </c>
      <c r="AA49" s="41" t="n">
        <f aca="false">AA47+AA48+AA36</f>
        <v>85934084774.3142</v>
      </c>
      <c r="AB49" s="41" t="n">
        <f aca="false">AB47+AB48+AB36</f>
        <v>92890108724.5811</v>
      </c>
      <c r="AC49" s="41" t="n">
        <f aca="false">AC47+AC48+AC36</f>
        <v>101785477167.021</v>
      </c>
      <c r="AD49" s="41" t="n">
        <f aca="false">AD47+AD48+AD36</f>
        <v>108489415692.676</v>
      </c>
      <c r="AE49" s="41" t="n">
        <f aca="false">AE47+AE48+AE36</f>
        <v>113365239900.881</v>
      </c>
      <c r="AF49" s="41" t="n">
        <f aca="false">AF47+AF48+AF36</f>
        <v>115865835708.848</v>
      </c>
      <c r="AG49" s="41" t="n">
        <f aca="false">AG47+AG48+AG36</f>
        <v>119669089784.968</v>
      </c>
      <c r="AH49" s="41" t="n">
        <f aca="false">AH47+AH48+AH36</f>
        <v>124167032537.476</v>
      </c>
      <c r="AI49" s="41" t="n">
        <f aca="false">AI47+AI48+AI36</f>
        <v>128465186650.948</v>
      </c>
      <c r="AJ49" s="41" t="n">
        <f aca="false">AJ47+AJ48+AJ36</f>
        <v>133200510018.691</v>
      </c>
      <c r="AK49" s="41" t="n">
        <f aca="false">AK47+AK48+AK36</f>
        <v>137487511610.324</v>
      </c>
      <c r="AL49" s="41" t="n">
        <f aca="false">AL47+AL48+AL36</f>
        <v>139902105928.155</v>
      </c>
      <c r="AM49" s="41" t="n">
        <f aca="false">AM47+AM48+AM36</f>
        <v>147349812619.157</v>
      </c>
      <c r="AN49" s="41" t="n">
        <f aca="false">AN47+AN48+AN36</f>
        <v>155317929515.863</v>
      </c>
      <c r="AO49" s="41" t="n">
        <f aca="false">AO47+AO48+AO36</f>
        <v>165268073915.391</v>
      </c>
      <c r="AP49" s="41" t="n">
        <f aca="false">AP47+AP48+AP36</f>
        <v>173015696431.87</v>
      </c>
      <c r="AQ49" s="41" t="n">
        <f aca="false">AQ47+AQ48+AQ36</f>
        <v>178924542469.203</v>
      </c>
      <c r="AR49" s="41" t="n">
        <f aca="false">AR47+AR48+AR36</f>
        <v>182471425203.407</v>
      </c>
      <c r="AS49" s="41" t="n">
        <f aca="false">AS47+AS48+AS36</f>
        <v>187333368476.96</v>
      </c>
      <c r="AT49" s="41" t="n">
        <f aca="false">AT47+AT48+AT36</f>
        <v>192804190383.398</v>
      </c>
      <c r="AU49" s="41" t="n">
        <f aca="false">AU47+AU48+AU36</f>
        <v>197856445357.638</v>
      </c>
      <c r="AV49" s="41" t="n">
        <f aca="false">AV47+AV48+AV36</f>
        <v>203358902914.801</v>
      </c>
      <c r="AW49" s="41" t="n">
        <f aca="false">AW47+AW48+AW36</f>
        <v>208401709871.881</v>
      </c>
      <c r="AX49" s="41" t="n">
        <f aca="false">AX47+AX48+AX36</f>
        <v>211566285102.24</v>
      </c>
      <c r="AY49" s="41" t="n">
        <f aca="false">AY47+AY48+AY36</f>
        <v>219663279225.795</v>
      </c>
      <c r="AZ49" s="41" t="n">
        <f aca="false">AZ47+AZ48+AZ36</f>
        <v>228378547153.139</v>
      </c>
      <c r="BA49" s="41" t="n">
        <f aca="false">BA47+BA48+BA36</f>
        <v>239108612507.977</v>
      </c>
      <c r="BB49" s="41" t="n">
        <f aca="false">BB47+BB48+BB36</f>
        <v>247628561149.108</v>
      </c>
      <c r="BC49" s="41" t="n">
        <f aca="false">BC47+BC48+BC36</f>
        <v>254302574266.717</v>
      </c>
      <c r="BD49" s="41" t="n">
        <f aca="false">BD47+BD48+BD36</f>
        <v>258623960287.761</v>
      </c>
      <c r="BE49" s="41" t="n">
        <f aca="false">BE47+BE48+BE36</f>
        <v>264268859381.144</v>
      </c>
      <c r="BF49" s="41" t="n">
        <f aca="false">BF47+BF48+BF36</f>
        <v>270515037739.235</v>
      </c>
      <c r="BG49" s="41" t="n">
        <f aca="false">BG47+BG48+BG36</f>
        <v>276335044608.816</v>
      </c>
      <c r="BH49" s="41" t="n">
        <f aca="false">BH47+BH48+BH36</f>
        <v>282614590840.465</v>
      </c>
      <c r="BI49" s="41" t="n">
        <f aca="false">BI47+BI48+BI36</f>
        <v>288426882276.383</v>
      </c>
      <c r="BJ49" s="41" t="n">
        <f aca="false">BJ47+BJ48+BJ36</f>
        <v>292362901709.62</v>
      </c>
      <c r="BK49" s="41" t="n">
        <f aca="false">BK47+BK48+BK36</f>
        <v>301102277876.153</v>
      </c>
      <c r="BL49" s="41" t="n">
        <f aca="false">BL47+BL48+BL36</f>
        <v>310416930955.008</v>
      </c>
      <c r="BM49" s="41" t="n">
        <f aca="false">BM47+BM48+BM36</f>
        <v>321774262268.741</v>
      </c>
      <c r="BN49" s="41" t="n">
        <f aca="false">BN47+BN48+BN36</f>
        <v>330913585418.499</v>
      </c>
      <c r="BO49" s="41" t="n">
        <f aca="false">BO47+BO48+BO36</f>
        <v>338199530071.911</v>
      </c>
      <c r="BP49" s="41" t="n">
        <f aca="false">BP47+BP48+BP36</f>
        <v>343142223602.549</v>
      </c>
      <c r="BQ49" s="41" t="n">
        <f aca="false">BQ47+BQ48+BQ36</f>
        <v>349416906234.807</v>
      </c>
      <c r="BR49" s="41" t="n">
        <f aca="false">BR47+BR48+BR36</f>
        <v>356284979669.678</v>
      </c>
      <c r="BS49" s="41" t="n">
        <f aca="false">BS47+BS48+BS36</f>
        <v>362718988017.042</v>
      </c>
      <c r="BT49" s="41" t="n">
        <f aca="false">BT47+BT48+BT36</f>
        <v>369621913836.583</v>
      </c>
      <c r="BU49" s="41" t="n">
        <f aca="false">BU47+BU48+BU36</f>
        <v>376049691596.881</v>
      </c>
      <c r="BV49" s="41" t="n">
        <f aca="false">BV47+BV48+BV36</f>
        <v>380603054423.512</v>
      </c>
      <c r="BW49" s="41" t="n">
        <f aca="false">BW47+BW48+BW36</f>
        <v>390002862917.457</v>
      </c>
      <c r="BX49" s="41" t="n">
        <f aca="false">BX47+BX48+BX36</f>
        <v>399934117589.15</v>
      </c>
      <c r="BY49" s="41" t="n">
        <f aca="false">BY47+BY48+BY36</f>
        <v>411936479582.415</v>
      </c>
      <c r="BZ49" s="41" t="n">
        <f aca="false">BZ47+BZ48+BZ36</f>
        <v>421712792687.287</v>
      </c>
      <c r="CA49" s="41" t="n">
        <f aca="false">CA47+CA48+CA36</f>
        <v>429628143798.858</v>
      </c>
      <c r="CB49" s="41" t="n">
        <f aca="false">CB47+CB48+CB36</f>
        <v>435209807211.048</v>
      </c>
      <c r="CC49" s="41" t="n">
        <f aca="false">CC47+CC48+CC36</f>
        <v>442132105658.892</v>
      </c>
      <c r="CD49" s="41" t="n">
        <f aca="false">CD47+CD48+CD36</f>
        <v>449639757248.385</v>
      </c>
      <c r="CE49" s="41" t="n">
        <f aca="false">CE47+CE48+CE36</f>
        <v>456705300856.239</v>
      </c>
      <c r="CF49" s="41" t="n">
        <f aca="false">CF47+CF48+CF36</f>
        <v>464249327553.463</v>
      </c>
      <c r="CG49" s="41" t="n">
        <f aca="false">CG47+CG48+CG36</f>
        <v>471310163647.101</v>
      </c>
      <c r="CH49" s="41" t="n">
        <f aca="false">CH47+CH48+CH36</f>
        <v>476498482730.615</v>
      </c>
      <c r="CI49" s="41" t="n">
        <f aca="false">CI47+CI48+CI36</f>
        <v>486577167373.606</v>
      </c>
      <c r="CJ49" s="41" t="n">
        <f aca="false">CJ47+CJ48+CJ36</f>
        <v>497142617399.747</v>
      </c>
      <c r="CK49" s="41" t="n">
        <f aca="false">CK47+CK48+CK36</f>
        <v>509808162843.775</v>
      </c>
      <c r="CL49" s="41" t="n">
        <f aca="false">CL47+CL48+CL36</f>
        <v>520239466526.797</v>
      </c>
      <c r="CM49" s="41" t="n">
        <f aca="false">CM47+CM48+CM36</f>
        <v>528802081490.989</v>
      </c>
      <c r="CN49" s="41" t="n">
        <f aca="false">CN47+CN48+CN36</f>
        <v>535040763319.349</v>
      </c>
      <c r="CO49" s="41" t="n">
        <f aca="false">CO47+CO48+CO36</f>
        <v>542628899370.341</v>
      </c>
      <c r="CP49" s="41" t="n">
        <f aca="false">CP47+CP48+CP36</f>
        <v>550794198828.717</v>
      </c>
      <c r="CQ49" s="41" t="n">
        <f aca="false">CQ47+CQ48+CQ36</f>
        <v>558509195239.85</v>
      </c>
      <c r="CR49" s="41" t="n">
        <f aca="false">CR47+CR48+CR36</f>
        <v>566712431555.925</v>
      </c>
      <c r="CS49" s="41" t="n">
        <f aca="false">CS47+CS48+CS36</f>
        <v>574424282567.188</v>
      </c>
      <c r="CT49" s="41" t="n">
        <f aca="false">CT47+CT48+CT36</f>
        <v>580265556178.001</v>
      </c>
    </row>
    <row r="51" customFormat="false" ht="15" hidden="false" customHeight="true" outlineLevel="0" collapsed="false">
      <c r="B51" s="35" t="s">
        <v>317</v>
      </c>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c r="AC51" s="36"/>
      <c r="AD51" s="36"/>
      <c r="AE51" s="36"/>
      <c r="AF51" s="36"/>
      <c r="AG51" s="36"/>
      <c r="AH51" s="36"/>
      <c r="AI51" s="36"/>
      <c r="AJ51" s="36"/>
      <c r="AK51" s="36"/>
      <c r="AL51" s="36"/>
      <c r="AM51" s="36"/>
      <c r="AN51" s="36"/>
      <c r="AO51" s="36"/>
      <c r="AP51" s="36"/>
      <c r="AQ51" s="36"/>
      <c r="AR51" s="36"/>
      <c r="AS51" s="36"/>
      <c r="AT51" s="36"/>
      <c r="AU51" s="36"/>
      <c r="AV51" s="36"/>
      <c r="AW51" s="36"/>
      <c r="AX51" s="36"/>
      <c r="AY51" s="36"/>
      <c r="AZ51" s="36"/>
      <c r="BA51" s="36"/>
      <c r="BB51" s="36"/>
      <c r="BC51" s="36"/>
      <c r="BD51" s="36"/>
      <c r="BE51" s="36"/>
      <c r="BF51" s="36"/>
      <c r="BG51" s="36"/>
      <c r="BH51" s="36"/>
      <c r="BI51" s="36"/>
      <c r="BJ51" s="36"/>
      <c r="BK51" s="36"/>
      <c r="BL51" s="36"/>
      <c r="BM51" s="36"/>
      <c r="BN51" s="36"/>
      <c r="BO51" s="36"/>
      <c r="BP51" s="36"/>
      <c r="BQ51" s="36"/>
      <c r="BR51" s="36"/>
      <c r="BS51" s="36"/>
      <c r="BT51" s="36"/>
      <c r="BU51" s="36"/>
      <c r="BV51" s="36"/>
      <c r="BW51" s="36"/>
      <c r="BX51" s="36"/>
      <c r="BY51" s="36"/>
      <c r="BZ51" s="36"/>
      <c r="CA51" s="36"/>
      <c r="CB51" s="36"/>
      <c r="CC51" s="36"/>
      <c r="CD51" s="36"/>
      <c r="CE51" s="36"/>
      <c r="CF51" s="36"/>
      <c r="CG51" s="36"/>
      <c r="CH51" s="36"/>
      <c r="CI51" s="36"/>
      <c r="CJ51" s="36"/>
      <c r="CK51" s="36"/>
      <c r="CL51" s="36"/>
      <c r="CM51" s="36"/>
      <c r="CN51" s="36"/>
      <c r="CO51" s="36"/>
      <c r="CP51" s="36"/>
      <c r="CQ51" s="36"/>
      <c r="CR51" s="36"/>
      <c r="CS51" s="36"/>
      <c r="CT51" s="36"/>
    </row>
    <row r="52" customFormat="false" ht="15" hidden="false" customHeight="true" outlineLevel="0" collapsed="false">
      <c r="B52" s="15" t="s">
        <v>318</v>
      </c>
      <c r="C52" s="37" t="n">
        <f aca="false">'Gastos objeto'!C23*Supuestos!$C$39</f>
        <v>11223613541.8679</v>
      </c>
      <c r="D52" s="37" t="n">
        <f aca="false">'Gastos objeto'!D23*Supuestos!$C$39</f>
        <v>11656230078.8285</v>
      </c>
      <c r="E52" s="37" t="n">
        <f aca="false">'Gastos objeto'!E23*Supuestos!$C$39</f>
        <v>11511690805.4528</v>
      </c>
      <c r="F52" s="37" t="n">
        <f aca="false">'Gastos objeto'!F23*Supuestos!$C$39</f>
        <v>12433151627.2555</v>
      </c>
      <c r="G52" s="37" t="n">
        <f aca="false">'Gastos objeto'!G23*Supuestos!$C$39</f>
        <v>13155847994.1338</v>
      </c>
      <c r="H52" s="37" t="n">
        <f aca="false">'Gastos objeto'!H23*Supuestos!$C$39</f>
        <v>15590885475.7072</v>
      </c>
      <c r="I52" s="37" t="n">
        <f aca="false">'Gastos objeto'!I23*Supuestos!$C$39</f>
        <v>13589465814.2607</v>
      </c>
      <c r="J52" s="37" t="n">
        <f aca="false">'Gastos objeto'!J23*Supuestos!$C$39</f>
        <v>13589465814.2607</v>
      </c>
      <c r="K52" s="37" t="n">
        <f aca="false">'Gastos objeto'!K23*Supuestos!$C$39</f>
        <v>13589465814.2607</v>
      </c>
      <c r="L52" s="37" t="n">
        <f aca="false">'Gastos objeto'!L23*Supuestos!$C$39</f>
        <v>13589465814.2607</v>
      </c>
      <c r="M52" s="37" t="n">
        <f aca="false">'Gastos objeto'!M23*Supuestos!$C$39</f>
        <v>13611543695.6342</v>
      </c>
      <c r="N52" s="37" t="n">
        <f aca="false">'Gastos objeto'!N23*Supuestos!$C$39</f>
        <v>15612963357.0807</v>
      </c>
      <c r="O52" s="37" t="n">
        <f aca="false">'Gastos objeto'!O23*Supuestos!$C$39</f>
        <v>12713162038.3715</v>
      </c>
      <c r="P52" s="37" t="n">
        <f aca="false">'Gastos objeto'!P23*Supuestos!$C$39</f>
        <v>11877033117.767</v>
      </c>
      <c r="Q52" s="37" t="n">
        <f aca="false">'Gastos objeto'!Q23*Supuestos!$C$39</f>
        <v>11586953287.8493</v>
      </c>
      <c r="R52" s="37" t="n">
        <f aca="false">'Gastos objeto'!R23*Supuestos!$C$39</f>
        <v>12508414109.652</v>
      </c>
      <c r="S52" s="37" t="n">
        <f aca="false">'Gastos objeto'!S23*Supuestos!$C$39</f>
        <v>13231110476.5302</v>
      </c>
      <c r="T52" s="37" t="n">
        <f aca="false">'Gastos objeto'!T23*Supuestos!$C$39</f>
        <v>15666147958.1036</v>
      </c>
      <c r="U52" s="37" t="n">
        <f aca="false">'Gastos objeto'!U23*Supuestos!$C$39</f>
        <v>13664728296.6572</v>
      </c>
      <c r="V52" s="37" t="n">
        <f aca="false">'Gastos objeto'!V23*Supuestos!$C$39</f>
        <v>13664728296.6572</v>
      </c>
      <c r="W52" s="37" t="n">
        <f aca="false">'Gastos objeto'!W23*Supuestos!$C$39</f>
        <v>13664728296.6572</v>
      </c>
      <c r="X52" s="37" t="n">
        <f aca="false">'Gastos objeto'!X23*Supuestos!$C$39</f>
        <v>13039728296.6572</v>
      </c>
      <c r="Y52" s="37" t="n">
        <f aca="false">'Gastos objeto'!Y23*Supuestos!$C$39</f>
        <v>13061806178.0307</v>
      </c>
      <c r="Z52" s="37" t="n">
        <f aca="false">'Gastos objeto'!Z23*Supuestos!$C$39</f>
        <v>15063225839.4771</v>
      </c>
      <c r="AA52" s="37" t="n">
        <f aca="false">'Gastos objeto'!AA23*Supuestos!$C$39</f>
        <v>12163424520.7679</v>
      </c>
      <c r="AB52" s="37" t="n">
        <f aca="false">'Gastos objeto'!AB23*Supuestos!$C$39</f>
        <v>11327295600.1635</v>
      </c>
      <c r="AC52" s="37" t="n">
        <f aca="false">'Gastos objeto'!AC23*Supuestos!$C$39</f>
        <v>11037215770.2457</v>
      </c>
      <c r="AD52" s="37" t="n">
        <f aca="false">'Gastos objeto'!AD23*Supuestos!$C$39</f>
        <v>11958676592.0484</v>
      </c>
      <c r="AE52" s="37" t="n">
        <f aca="false">'Gastos objeto'!AE23*Supuestos!$C$39</f>
        <v>12681372958.9267</v>
      </c>
      <c r="AF52" s="37" t="n">
        <f aca="false">'Gastos objeto'!AF23*Supuestos!$C$39</f>
        <v>15116410440.5001</v>
      </c>
      <c r="AG52" s="37" t="n">
        <f aca="false">'Gastos objeto'!AG23*Supuestos!$C$39</f>
        <v>13114990779.0536</v>
      </c>
      <c r="AH52" s="37" t="n">
        <f aca="false">'Gastos objeto'!AH23*Supuestos!$C$39</f>
        <v>13077629141.887</v>
      </c>
      <c r="AI52" s="37" t="n">
        <f aca="false">'Gastos objeto'!AI23*Supuestos!$C$39</f>
        <v>12973818095.0953</v>
      </c>
      <c r="AJ52" s="37" t="n">
        <f aca="false">'Gastos objeto'!AJ23*Supuestos!$C$39</f>
        <v>12973818095.0953</v>
      </c>
      <c r="AK52" s="37" t="n">
        <f aca="false">'Gastos objeto'!AK23*Supuestos!$C$39</f>
        <v>12995895976.4688</v>
      </c>
      <c r="AL52" s="37" t="n">
        <f aca="false">'Gastos objeto'!AL23*Supuestos!$C$39</f>
        <v>14997315637.9153</v>
      </c>
      <c r="AM52" s="37" t="n">
        <f aca="false">'Gastos objeto'!AM23*Supuestos!$C$39</f>
        <v>12097514319.206</v>
      </c>
      <c r="AN52" s="37" t="n">
        <f aca="false">'Gastos objeto'!AN23*Supuestos!$C$39</f>
        <v>11261385398.6016</v>
      </c>
      <c r="AO52" s="37" t="n">
        <f aca="false">'Gastos objeto'!AO23*Supuestos!$C$39</f>
        <v>10971305568.6839</v>
      </c>
      <c r="AP52" s="37" t="n">
        <f aca="false">'Gastos objeto'!AP23*Supuestos!$C$39</f>
        <v>11892766390.4866</v>
      </c>
      <c r="AQ52" s="37" t="n">
        <f aca="false">'Gastos objeto'!AQ23*Supuestos!$C$39</f>
        <v>12615462757.3648</v>
      </c>
      <c r="AR52" s="37" t="n">
        <f aca="false">'Gastos objeto'!AR23*Supuestos!$C$39</f>
        <v>15050500238.9382</v>
      </c>
      <c r="AS52" s="37" t="n">
        <f aca="false">'Gastos objeto'!AS23*Supuestos!$C$39</f>
        <v>13049080577.4917</v>
      </c>
      <c r="AT52" s="37" t="n">
        <f aca="false">'Gastos objeto'!AT23*Supuestos!$C$39</f>
        <v>13049080577.4917</v>
      </c>
      <c r="AU52" s="37" t="n">
        <f aca="false">'Gastos objeto'!AU23*Supuestos!$C$39</f>
        <v>13049080577.4917</v>
      </c>
      <c r="AV52" s="37" t="n">
        <f aca="false">'Gastos objeto'!AV23*Supuestos!$C$39</f>
        <v>13049080577.4917</v>
      </c>
      <c r="AW52" s="37" t="n">
        <f aca="false">'Gastos objeto'!AW23*Supuestos!$C$39</f>
        <v>13071158458.8653</v>
      </c>
      <c r="AX52" s="37" t="n">
        <f aca="false">'Gastos objeto'!AX23*Supuestos!$C$39</f>
        <v>15072578120.3117</v>
      </c>
      <c r="AY52" s="37" t="n">
        <f aca="false">'Gastos objeto'!AY23*Supuestos!$C$39</f>
        <v>12172776801.6025</v>
      </c>
      <c r="AZ52" s="37" t="n">
        <f aca="false">'Gastos objeto'!AZ23*Supuestos!$C$39</f>
        <v>11261385398.6016</v>
      </c>
      <c r="BA52" s="37" t="n">
        <f aca="false">'Gastos objeto'!BA23*Supuestos!$C$39</f>
        <v>10971305568.6839</v>
      </c>
      <c r="BB52" s="37" t="n">
        <f aca="false">'Gastos objeto'!BB23*Supuestos!$C$39</f>
        <v>11892766390.4866</v>
      </c>
      <c r="BC52" s="37" t="n">
        <f aca="false">'Gastos objeto'!BC23*Supuestos!$C$39</f>
        <v>12615462757.3648</v>
      </c>
      <c r="BD52" s="37" t="n">
        <f aca="false">'Gastos objeto'!BD23*Supuestos!$C$39</f>
        <v>15050500238.9382</v>
      </c>
      <c r="BE52" s="37" t="n">
        <f aca="false">'Gastos objeto'!BE23*Supuestos!$C$39</f>
        <v>13049080577.4917</v>
      </c>
      <c r="BF52" s="37" t="n">
        <f aca="false">'Gastos objeto'!BF23*Supuestos!$C$39</f>
        <v>13049080577.4917</v>
      </c>
      <c r="BG52" s="37" t="n">
        <f aca="false">'Gastos objeto'!BG23*Supuestos!$C$39</f>
        <v>13049080577.4917</v>
      </c>
      <c r="BH52" s="37" t="n">
        <f aca="false">'Gastos objeto'!BH23*Supuestos!$C$39</f>
        <v>13049080577.4917</v>
      </c>
      <c r="BI52" s="37" t="n">
        <f aca="false">'Gastos objeto'!BI23*Supuestos!$C$39</f>
        <v>13071158458.8653</v>
      </c>
      <c r="BJ52" s="37" t="n">
        <f aca="false">'Gastos objeto'!BJ23*Supuestos!$C$39</f>
        <v>15072578120.3117</v>
      </c>
      <c r="BK52" s="37" t="n">
        <f aca="false">'Gastos objeto'!BK23*Supuestos!$C$39</f>
        <v>12172776801.6025</v>
      </c>
      <c r="BL52" s="37" t="n">
        <f aca="false">'Gastos objeto'!BL23*Supuestos!$C$39</f>
        <v>11261385398.6016</v>
      </c>
      <c r="BM52" s="37" t="n">
        <f aca="false">'Gastos objeto'!BM23*Supuestos!$C$39</f>
        <v>10971305568.6839</v>
      </c>
      <c r="BN52" s="37" t="n">
        <f aca="false">'Gastos objeto'!BN23*Supuestos!$C$39</f>
        <v>11892766390.4866</v>
      </c>
      <c r="BO52" s="37" t="n">
        <f aca="false">'Gastos objeto'!BO23*Supuestos!$C$39</f>
        <v>12615462757.3648</v>
      </c>
      <c r="BP52" s="37" t="n">
        <f aca="false">'Gastos objeto'!BP23*Supuestos!$C$39</f>
        <v>15050500238.9382</v>
      </c>
      <c r="BQ52" s="37" t="n">
        <f aca="false">'Gastos objeto'!BQ23*Supuestos!$C$39</f>
        <v>13049080577.4917</v>
      </c>
      <c r="BR52" s="37" t="n">
        <f aca="false">'Gastos objeto'!BR23*Supuestos!$C$39</f>
        <v>13049080577.4917</v>
      </c>
      <c r="BS52" s="37" t="n">
        <f aca="false">'Gastos objeto'!BS23*Supuestos!$C$39</f>
        <v>13049080577.4917</v>
      </c>
      <c r="BT52" s="37" t="n">
        <f aca="false">'Gastos objeto'!BT23*Supuestos!$C$39</f>
        <v>13049080577.4917</v>
      </c>
      <c r="BU52" s="37" t="n">
        <f aca="false">'Gastos objeto'!BU23*Supuestos!$C$39</f>
        <v>13071158458.8653</v>
      </c>
      <c r="BV52" s="37" t="n">
        <f aca="false">'Gastos objeto'!BV23*Supuestos!$C$39</f>
        <v>15072578120.3117</v>
      </c>
      <c r="BW52" s="37" t="n">
        <f aca="false">'Gastos objeto'!BW23*Supuestos!$C$39</f>
        <v>12172776801.6025</v>
      </c>
      <c r="BX52" s="37" t="n">
        <f aca="false">'Gastos objeto'!BX23*Supuestos!$C$39</f>
        <v>11261385398.6016</v>
      </c>
      <c r="BY52" s="37" t="n">
        <f aca="false">'Gastos objeto'!BY23*Supuestos!$C$39</f>
        <v>10971305568.6839</v>
      </c>
      <c r="BZ52" s="37" t="n">
        <f aca="false">'Gastos objeto'!BZ23*Supuestos!$C$39</f>
        <v>11892766390.4866</v>
      </c>
      <c r="CA52" s="37" t="n">
        <f aca="false">'Gastos objeto'!CA23*Supuestos!$C$39</f>
        <v>12615462757.3648</v>
      </c>
      <c r="CB52" s="37" t="n">
        <f aca="false">'Gastos objeto'!CB23*Supuestos!$C$39</f>
        <v>15050500238.9382</v>
      </c>
      <c r="CC52" s="37" t="n">
        <f aca="false">'Gastos objeto'!CC23*Supuestos!$C$39</f>
        <v>13049080577.4917</v>
      </c>
      <c r="CD52" s="37" t="n">
        <f aca="false">'Gastos objeto'!CD23*Supuestos!$C$39</f>
        <v>13049080577.4917</v>
      </c>
      <c r="CE52" s="37" t="n">
        <f aca="false">'Gastos objeto'!CE23*Supuestos!$C$39</f>
        <v>13049080577.4917</v>
      </c>
      <c r="CF52" s="37" t="n">
        <f aca="false">'Gastos objeto'!CF23*Supuestos!$C$39</f>
        <v>13049080577.4917</v>
      </c>
      <c r="CG52" s="37" t="n">
        <f aca="false">'Gastos objeto'!CG23*Supuestos!$C$39</f>
        <v>13071158458.8653</v>
      </c>
      <c r="CH52" s="37" t="n">
        <f aca="false">'Gastos objeto'!CH23*Supuestos!$C$39</f>
        <v>15072578120.3117</v>
      </c>
      <c r="CI52" s="37" t="n">
        <f aca="false">'Gastos objeto'!CI23*Supuestos!$C$39</f>
        <v>12172776801.6025</v>
      </c>
      <c r="CJ52" s="37" t="n">
        <f aca="false">'Gastos objeto'!CJ23*Supuestos!$C$39</f>
        <v>11261385398.6016</v>
      </c>
      <c r="CK52" s="37" t="n">
        <f aca="false">'Gastos objeto'!CK23*Supuestos!$C$39</f>
        <v>10971305568.6839</v>
      </c>
      <c r="CL52" s="37" t="n">
        <f aca="false">'Gastos objeto'!CL23*Supuestos!$C$39</f>
        <v>11892766390.4866</v>
      </c>
      <c r="CM52" s="37" t="n">
        <f aca="false">'Gastos objeto'!CM23*Supuestos!$C$39</f>
        <v>12615462757.3648</v>
      </c>
      <c r="CN52" s="37" t="n">
        <f aca="false">'Gastos objeto'!CN23*Supuestos!$C$39</f>
        <v>15050500238.9382</v>
      </c>
      <c r="CO52" s="37" t="n">
        <f aca="false">'Gastos objeto'!CO23*Supuestos!$C$39</f>
        <v>13049080577.4917</v>
      </c>
      <c r="CP52" s="37" t="n">
        <f aca="false">'Gastos objeto'!CP23*Supuestos!$C$39</f>
        <v>13049080577.4917</v>
      </c>
      <c r="CQ52" s="37" t="n">
        <f aca="false">'Gastos objeto'!CQ23*Supuestos!$C$39</f>
        <v>13049080577.4917</v>
      </c>
      <c r="CR52" s="37" t="n">
        <f aca="false">'Gastos objeto'!CR23*Supuestos!$C$39</f>
        <v>13049080577.4917</v>
      </c>
      <c r="CS52" s="37" t="n">
        <f aca="false">'Gastos objeto'!CS23*Supuestos!$C$39</f>
        <v>13071158458.8653</v>
      </c>
      <c r="CT52" s="37" t="n">
        <f aca="false">'Gastos objeto'!CT23*Supuestos!$C$39</f>
        <v>15072578120.3117</v>
      </c>
    </row>
    <row r="53" customFormat="false" ht="15" hidden="false" customHeight="true" outlineLevel="0" collapsed="false">
      <c r="B53" s="15" t="s">
        <v>319</v>
      </c>
      <c r="C53" s="48" t="str">
        <f aca="false">IF(C47&lt;C52,"ALERTA","")</f>
        <v>ALERTA</v>
      </c>
      <c r="D53" s="48" t="str">
        <f aca="false">IF(D47&lt;D52,"ALERTA","")</f>
        <v/>
      </c>
      <c r="E53" s="48" t="str">
        <f aca="false">IF(E47&lt;E52,"ALERTA","")</f>
        <v/>
      </c>
      <c r="F53" s="48" t="str">
        <f aca="false">IF(F47&lt;F52,"ALERTA","")</f>
        <v/>
      </c>
      <c r="G53" s="48" t="str">
        <f aca="false">IF(G47&lt;G52,"ALERTA","")</f>
        <v/>
      </c>
      <c r="H53" s="48" t="str">
        <f aca="false">IF(H47&lt;H52,"ALERTA","")</f>
        <v/>
      </c>
      <c r="I53" s="48" t="str">
        <f aca="false">IF(I47&lt;I52,"ALERTA","")</f>
        <v/>
      </c>
      <c r="J53" s="48" t="str">
        <f aca="false">IF(J47&lt;J52,"ALERTA","")</f>
        <v/>
      </c>
      <c r="K53" s="48" t="str">
        <f aca="false">IF(K47&lt;K52,"ALERTA","")</f>
        <v/>
      </c>
      <c r="L53" s="48" t="str">
        <f aca="false">IF(L47&lt;L52,"ALERTA","")</f>
        <v/>
      </c>
      <c r="M53" s="48" t="str">
        <f aca="false">IF(M47&lt;M52,"ALERTA","")</f>
        <v/>
      </c>
      <c r="N53" s="48" t="str">
        <f aca="false">IF(N47&lt;N52,"ALERTA","")</f>
        <v/>
      </c>
      <c r="O53" s="48" t="str">
        <f aca="false">IF(O47&lt;O52,"ALERTA","")</f>
        <v/>
      </c>
      <c r="P53" s="48" t="str">
        <f aca="false">IF(P47&lt;P52,"ALERTA","")</f>
        <v/>
      </c>
      <c r="Q53" s="48" t="str">
        <f aca="false">IF(Q47&lt;Q52,"ALERTA","")</f>
        <v/>
      </c>
      <c r="R53" s="48" t="str">
        <f aca="false">IF(R47&lt;R52,"ALERTA","")</f>
        <v/>
      </c>
      <c r="S53" s="48" t="str">
        <f aca="false">IF(S47&lt;S52,"ALERTA","")</f>
        <v/>
      </c>
      <c r="T53" s="48" t="str">
        <f aca="false">IF(T47&lt;T52,"ALERTA","")</f>
        <v/>
      </c>
      <c r="U53" s="48" t="str">
        <f aca="false">IF(U47&lt;U52,"ALERTA","")</f>
        <v/>
      </c>
      <c r="V53" s="48" t="str">
        <f aca="false">IF(V47&lt;V52,"ALERTA","")</f>
        <v/>
      </c>
      <c r="W53" s="48" t="str">
        <f aca="false">IF(W47&lt;W52,"ALERTA","")</f>
        <v/>
      </c>
      <c r="X53" s="48" t="str">
        <f aca="false">IF(X47&lt;X52,"ALERTA","")</f>
        <v/>
      </c>
      <c r="Y53" s="48" t="str">
        <f aca="false">IF(Y47&lt;Y52,"ALERTA","")</f>
        <v/>
      </c>
      <c r="Z53" s="48" t="str">
        <f aca="false">IF(Z47&lt;Z52,"ALERTA","")</f>
        <v/>
      </c>
      <c r="AA53" s="48" t="str">
        <f aca="false">IF(AA47&lt;AA52,"ALERTA","")</f>
        <v/>
      </c>
      <c r="AB53" s="48" t="str">
        <f aca="false">IF(AB47&lt;AB52,"ALERTA","")</f>
        <v/>
      </c>
      <c r="AC53" s="48" t="str">
        <f aca="false">IF(AC47&lt;AC52,"ALERTA","")</f>
        <v/>
      </c>
      <c r="AD53" s="48" t="str">
        <f aca="false">IF(AD47&lt;AD52,"ALERTA","")</f>
        <v/>
      </c>
      <c r="AE53" s="48" t="str">
        <f aca="false">IF(AE47&lt;AE52,"ALERTA","")</f>
        <v/>
      </c>
      <c r="AF53" s="48" t="str">
        <f aca="false">IF(AF47&lt;AF52,"ALERTA","")</f>
        <v/>
      </c>
      <c r="AG53" s="48" t="str">
        <f aca="false">IF(AG47&lt;AG52,"ALERTA","")</f>
        <v/>
      </c>
      <c r="AH53" s="48" t="str">
        <f aca="false">IF(AH47&lt;AH52,"ALERTA","")</f>
        <v/>
      </c>
      <c r="AI53" s="48" t="str">
        <f aca="false">IF(AI47&lt;AI52,"ALERTA","")</f>
        <v/>
      </c>
      <c r="AJ53" s="48" t="str">
        <f aca="false">IF(AJ47&lt;AJ52,"ALERTA","")</f>
        <v/>
      </c>
      <c r="AK53" s="48" t="str">
        <f aca="false">IF(AK47&lt;AK52,"ALERTA","")</f>
        <v/>
      </c>
      <c r="AL53" s="48" t="str">
        <f aca="false">IF(AL47&lt;AL52,"ALERTA","")</f>
        <v/>
      </c>
      <c r="AM53" s="48" t="str">
        <f aca="false">IF(AM47&lt;AM52,"ALERTA","")</f>
        <v/>
      </c>
      <c r="AN53" s="48" t="str">
        <f aca="false">IF(AN47&lt;AN52,"ALERTA","")</f>
        <v/>
      </c>
      <c r="AO53" s="48" t="str">
        <f aca="false">IF(AO47&lt;AO52,"ALERTA","")</f>
        <v/>
      </c>
      <c r="AP53" s="48" t="str">
        <f aca="false">IF(AP47&lt;AP52,"ALERTA","")</f>
        <v/>
      </c>
      <c r="AQ53" s="48" t="str">
        <f aca="false">IF(AQ47&lt;AQ52,"ALERTA","")</f>
        <v/>
      </c>
      <c r="AR53" s="48" t="str">
        <f aca="false">IF(AR47&lt;AR52,"ALERTA","")</f>
        <v/>
      </c>
      <c r="AS53" s="48" t="str">
        <f aca="false">IF(AS47&lt;AS52,"ALERTA","")</f>
        <v/>
      </c>
      <c r="AT53" s="48" t="str">
        <f aca="false">IF(AT47&lt;AT52,"ALERTA","")</f>
        <v/>
      </c>
      <c r="AU53" s="48" t="str">
        <f aca="false">IF(AU47&lt;AU52,"ALERTA","")</f>
        <v/>
      </c>
      <c r="AV53" s="48" t="str">
        <f aca="false">IF(AV47&lt;AV52,"ALERTA","")</f>
        <v/>
      </c>
      <c r="AW53" s="48" t="str">
        <f aca="false">IF(AW47&lt;AW52,"ALERTA","")</f>
        <v/>
      </c>
      <c r="AX53" s="48" t="str">
        <f aca="false">IF(AX47&lt;AX52,"ALERTA","")</f>
        <v/>
      </c>
      <c r="AY53" s="48" t="str">
        <f aca="false">IF(AY47&lt;AY52,"ALERTA","")</f>
        <v/>
      </c>
      <c r="AZ53" s="48" t="str">
        <f aca="false">IF(AZ47&lt;AZ52,"ALERTA","")</f>
        <v/>
      </c>
      <c r="BA53" s="48" t="str">
        <f aca="false">IF(BA47&lt;BA52,"ALERTA","")</f>
        <v/>
      </c>
      <c r="BB53" s="48" t="str">
        <f aca="false">IF(BB47&lt;BB52,"ALERTA","")</f>
        <v/>
      </c>
      <c r="BC53" s="48" t="str">
        <f aca="false">IF(BC47&lt;BC52,"ALERTA","")</f>
        <v/>
      </c>
      <c r="BD53" s="48" t="str">
        <f aca="false">IF(BD47&lt;BD52,"ALERTA","")</f>
        <v/>
      </c>
      <c r="BE53" s="48" t="str">
        <f aca="false">IF(BE47&lt;BE52,"ALERTA","")</f>
        <v/>
      </c>
      <c r="BF53" s="48" t="str">
        <f aca="false">IF(BF47&lt;BF52,"ALERTA","")</f>
        <v/>
      </c>
      <c r="BG53" s="48" t="str">
        <f aca="false">IF(BG47&lt;BG52,"ALERTA","")</f>
        <v/>
      </c>
      <c r="BH53" s="48" t="str">
        <f aca="false">IF(BH47&lt;BH52,"ALERTA","")</f>
        <v/>
      </c>
      <c r="BI53" s="48" t="str">
        <f aca="false">IF(BI47&lt;BI52,"ALERTA","")</f>
        <v/>
      </c>
      <c r="BJ53" s="48" t="str">
        <f aca="false">IF(BJ47&lt;BJ52,"ALERTA","")</f>
        <v/>
      </c>
      <c r="BK53" s="48" t="str">
        <f aca="false">IF(BK47&lt;BK52,"ALERTA","")</f>
        <v/>
      </c>
      <c r="BL53" s="48" t="str">
        <f aca="false">IF(BL47&lt;BL52,"ALERTA","")</f>
        <v/>
      </c>
      <c r="BM53" s="48" t="str">
        <f aca="false">IF(BM47&lt;BM52,"ALERTA","")</f>
        <v/>
      </c>
      <c r="BN53" s="48" t="str">
        <f aca="false">IF(BN47&lt;BN52,"ALERTA","")</f>
        <v/>
      </c>
      <c r="BO53" s="48" t="str">
        <f aca="false">IF(BO47&lt;BO52,"ALERTA","")</f>
        <v/>
      </c>
      <c r="BP53" s="48" t="str">
        <f aca="false">IF(BP47&lt;BP52,"ALERTA","")</f>
        <v/>
      </c>
      <c r="BQ53" s="48" t="str">
        <f aca="false">IF(BQ47&lt;BQ52,"ALERTA","")</f>
        <v/>
      </c>
      <c r="BR53" s="48" t="str">
        <f aca="false">IF(BR47&lt;BR52,"ALERTA","")</f>
        <v/>
      </c>
      <c r="BS53" s="48" t="str">
        <f aca="false">IF(BS47&lt;BS52,"ALERTA","")</f>
        <v/>
      </c>
      <c r="BT53" s="48" t="str">
        <f aca="false">IF(BT47&lt;BT52,"ALERTA","")</f>
        <v/>
      </c>
      <c r="BU53" s="48" t="str">
        <f aca="false">IF(BU47&lt;BU52,"ALERTA","")</f>
        <v/>
      </c>
      <c r="BV53" s="48" t="str">
        <f aca="false">IF(BV47&lt;BV52,"ALERTA","")</f>
        <v/>
      </c>
      <c r="BW53" s="48" t="str">
        <f aca="false">IF(BW47&lt;BW52,"ALERTA","")</f>
        <v/>
      </c>
      <c r="BX53" s="48" t="str">
        <f aca="false">IF(BX47&lt;BX52,"ALERTA","")</f>
        <v/>
      </c>
      <c r="BY53" s="48" t="str">
        <f aca="false">IF(BY47&lt;BY52,"ALERTA","")</f>
        <v/>
      </c>
      <c r="BZ53" s="48" t="str">
        <f aca="false">IF(BZ47&lt;BZ52,"ALERTA","")</f>
        <v/>
      </c>
      <c r="CA53" s="48" t="str">
        <f aca="false">IF(CA47&lt;CA52,"ALERTA","")</f>
        <v/>
      </c>
      <c r="CB53" s="48" t="str">
        <f aca="false">IF(CB47&lt;CB52,"ALERTA","")</f>
        <v/>
      </c>
      <c r="CC53" s="48" t="str">
        <f aca="false">IF(CC47&lt;CC52,"ALERTA","")</f>
        <v/>
      </c>
      <c r="CD53" s="48" t="str">
        <f aca="false">IF(CD47&lt;CD52,"ALERTA","")</f>
        <v/>
      </c>
      <c r="CE53" s="48" t="str">
        <f aca="false">IF(CE47&lt;CE52,"ALERTA","")</f>
        <v/>
      </c>
      <c r="CF53" s="48" t="str">
        <f aca="false">IF(CF47&lt;CF52,"ALERTA","")</f>
        <v/>
      </c>
      <c r="CG53" s="48" t="str">
        <f aca="false">IF(CG47&lt;CG52,"ALERTA","")</f>
        <v/>
      </c>
      <c r="CH53" s="48" t="str">
        <f aca="false">IF(CH47&lt;CH52,"ALERTA","")</f>
        <v/>
      </c>
      <c r="CI53" s="48" t="str">
        <f aca="false">IF(CI47&lt;CI52,"ALERTA","")</f>
        <v/>
      </c>
      <c r="CJ53" s="48" t="str">
        <f aca="false">IF(CJ47&lt;CJ52,"ALERTA","")</f>
        <v/>
      </c>
      <c r="CK53" s="48" t="str">
        <f aca="false">IF(CK47&lt;CK52,"ALERTA","")</f>
        <v/>
      </c>
      <c r="CL53" s="48" t="str">
        <f aca="false">IF(CL47&lt;CL52,"ALERTA","")</f>
        <v/>
      </c>
      <c r="CM53" s="48" t="str">
        <f aca="false">IF(CM47&lt;CM52,"ALERTA","")</f>
        <v/>
      </c>
      <c r="CN53" s="48" t="str">
        <f aca="false">IF(CN47&lt;CN52,"ALERTA","")</f>
        <v/>
      </c>
      <c r="CO53" s="48" t="str">
        <f aca="false">IF(CO47&lt;CO52,"ALERTA","")</f>
        <v/>
      </c>
      <c r="CP53" s="48" t="str">
        <f aca="false">IF(CP47&lt;CP52,"ALERTA","")</f>
        <v/>
      </c>
      <c r="CQ53" s="48" t="str">
        <f aca="false">IF(CQ47&lt;CQ52,"ALERTA","")</f>
        <v/>
      </c>
      <c r="CR53" s="48" t="str">
        <f aca="false">IF(CR47&lt;CR52,"ALERTA","")</f>
        <v/>
      </c>
      <c r="CS53" s="48" t="str">
        <f aca="false">IF(CS47&lt;CS52,"ALERTA","")</f>
        <v/>
      </c>
      <c r="CT53" s="48" t="str">
        <f aca="false">IF(CT47&lt;CT52,"ALERTA","")</f>
        <v/>
      </c>
    </row>
    <row r="54" customFormat="false" ht="15" hidden="false" customHeight="true" outlineLevel="0" collapsed="false">
      <c r="B54" s="15" t="s">
        <v>320</v>
      </c>
      <c r="C54" s="37" t="n">
        <f aca="false">MAX(-C47,0)</f>
        <v>0</v>
      </c>
      <c r="D54" s="37" t="n">
        <f aca="false">MAX(-D47,0)</f>
        <v>0</v>
      </c>
      <c r="E54" s="37" t="n">
        <f aca="false">MAX(-E47,0)</f>
        <v>0</v>
      </c>
      <c r="F54" s="37" t="n">
        <f aca="false">MAX(-F47,0)</f>
        <v>0</v>
      </c>
      <c r="G54" s="37" t="n">
        <f aca="false">MAX(-G47,0)</f>
        <v>0</v>
      </c>
      <c r="H54" s="37" t="n">
        <f aca="false">MAX(-H47,0)</f>
        <v>0</v>
      </c>
      <c r="I54" s="37" t="n">
        <f aca="false">MAX(-I47,0)</f>
        <v>0</v>
      </c>
      <c r="J54" s="37" t="n">
        <f aca="false">MAX(-J47,0)</f>
        <v>0</v>
      </c>
      <c r="K54" s="37" t="n">
        <f aca="false">MAX(-K47,0)</f>
        <v>0</v>
      </c>
      <c r="L54" s="37" t="n">
        <f aca="false">MAX(-L47,0)</f>
        <v>0</v>
      </c>
      <c r="M54" s="37" t="n">
        <f aca="false">MAX(-M47,0)</f>
        <v>0</v>
      </c>
      <c r="N54" s="37" t="n">
        <f aca="false">MAX(-N47,0)</f>
        <v>0</v>
      </c>
      <c r="O54" s="37" t="n">
        <f aca="false">MAX(-O47,0)</f>
        <v>0</v>
      </c>
      <c r="P54" s="37" t="n">
        <f aca="false">MAX(-P47,0)</f>
        <v>0</v>
      </c>
      <c r="Q54" s="37" t="n">
        <f aca="false">MAX(-Q47,0)</f>
        <v>0</v>
      </c>
      <c r="R54" s="37" t="n">
        <f aca="false">MAX(-R47,0)</f>
        <v>0</v>
      </c>
      <c r="S54" s="37" t="n">
        <f aca="false">MAX(-S47,0)</f>
        <v>0</v>
      </c>
      <c r="T54" s="37" t="n">
        <f aca="false">MAX(-T47,0)</f>
        <v>0</v>
      </c>
      <c r="U54" s="37" t="n">
        <f aca="false">MAX(-U47,0)</f>
        <v>0</v>
      </c>
      <c r="V54" s="37" t="n">
        <f aca="false">MAX(-V47,0)</f>
        <v>0</v>
      </c>
      <c r="W54" s="37" t="n">
        <f aca="false">MAX(-W47,0)</f>
        <v>0</v>
      </c>
      <c r="X54" s="37" t="n">
        <f aca="false">MAX(-X47,0)</f>
        <v>0</v>
      </c>
      <c r="Y54" s="37" t="n">
        <f aca="false">MAX(-Y47,0)</f>
        <v>0</v>
      </c>
      <c r="Z54" s="37" t="n">
        <f aca="false">MAX(-Z47,0)</f>
        <v>0</v>
      </c>
      <c r="AA54" s="37" t="n">
        <f aca="false">MAX(-AA47,0)</f>
        <v>0</v>
      </c>
      <c r="AB54" s="37" t="n">
        <f aca="false">MAX(-AB47,0)</f>
        <v>0</v>
      </c>
      <c r="AC54" s="37" t="n">
        <f aca="false">MAX(-AC47,0)</f>
        <v>0</v>
      </c>
      <c r="AD54" s="37" t="n">
        <f aca="false">MAX(-AD47,0)</f>
        <v>0</v>
      </c>
      <c r="AE54" s="37" t="n">
        <f aca="false">MAX(-AE47,0)</f>
        <v>0</v>
      </c>
      <c r="AF54" s="37" t="n">
        <f aca="false">MAX(-AF47,0)</f>
        <v>0</v>
      </c>
      <c r="AG54" s="37" t="n">
        <f aca="false">MAX(-AG47,0)</f>
        <v>0</v>
      </c>
      <c r="AH54" s="37" t="n">
        <f aca="false">MAX(-AH47,0)</f>
        <v>0</v>
      </c>
      <c r="AI54" s="37" t="n">
        <f aca="false">MAX(-AI47,0)</f>
        <v>0</v>
      </c>
      <c r="AJ54" s="37" t="n">
        <f aca="false">MAX(-AJ47,0)</f>
        <v>0</v>
      </c>
      <c r="AK54" s="37" t="n">
        <f aca="false">MAX(-AK47,0)</f>
        <v>0</v>
      </c>
      <c r="AL54" s="37" t="n">
        <f aca="false">MAX(-AL47,0)</f>
        <v>0</v>
      </c>
      <c r="AM54" s="37" t="n">
        <f aca="false">MAX(-AM47,0)</f>
        <v>0</v>
      </c>
      <c r="AN54" s="37" t="n">
        <f aca="false">MAX(-AN47,0)</f>
        <v>0</v>
      </c>
      <c r="AO54" s="37" t="n">
        <f aca="false">MAX(-AO47,0)</f>
        <v>0</v>
      </c>
      <c r="AP54" s="37" t="n">
        <f aca="false">MAX(-AP47,0)</f>
        <v>0</v>
      </c>
      <c r="AQ54" s="37" t="n">
        <f aca="false">MAX(-AQ47,0)</f>
        <v>0</v>
      </c>
      <c r="AR54" s="37" t="n">
        <f aca="false">MAX(-AR47,0)</f>
        <v>0</v>
      </c>
      <c r="AS54" s="37" t="n">
        <f aca="false">MAX(-AS47,0)</f>
        <v>0</v>
      </c>
      <c r="AT54" s="37" t="n">
        <f aca="false">MAX(-AT47,0)</f>
        <v>0</v>
      </c>
      <c r="AU54" s="37" t="n">
        <f aca="false">MAX(-AU47,0)</f>
        <v>0</v>
      </c>
      <c r="AV54" s="37" t="n">
        <f aca="false">MAX(-AV47,0)</f>
        <v>0</v>
      </c>
      <c r="AW54" s="37" t="n">
        <f aca="false">MAX(-AW47,0)</f>
        <v>0</v>
      </c>
      <c r="AX54" s="37" t="n">
        <f aca="false">MAX(-AX47,0)</f>
        <v>0</v>
      </c>
      <c r="AY54" s="37" t="n">
        <f aca="false">MAX(-AY47,0)</f>
        <v>0</v>
      </c>
      <c r="AZ54" s="37" t="n">
        <f aca="false">MAX(-AZ47,0)</f>
        <v>0</v>
      </c>
      <c r="BA54" s="37" t="n">
        <f aca="false">MAX(-BA47,0)</f>
        <v>0</v>
      </c>
      <c r="BB54" s="37" t="n">
        <f aca="false">MAX(-BB47,0)</f>
        <v>0</v>
      </c>
      <c r="BC54" s="37" t="n">
        <f aca="false">MAX(-BC47,0)</f>
        <v>0</v>
      </c>
      <c r="BD54" s="37" t="n">
        <f aca="false">MAX(-BD47,0)</f>
        <v>0</v>
      </c>
      <c r="BE54" s="37" t="n">
        <f aca="false">MAX(-BE47,0)</f>
        <v>0</v>
      </c>
      <c r="BF54" s="37" t="n">
        <f aca="false">MAX(-BF47,0)</f>
        <v>0</v>
      </c>
      <c r="BG54" s="37" t="n">
        <f aca="false">MAX(-BG47,0)</f>
        <v>0</v>
      </c>
      <c r="BH54" s="37" t="n">
        <f aca="false">MAX(-BH47,0)</f>
        <v>0</v>
      </c>
      <c r="BI54" s="37" t="n">
        <f aca="false">MAX(-BI47,0)</f>
        <v>0</v>
      </c>
      <c r="BJ54" s="37" t="n">
        <f aca="false">MAX(-BJ47,0)</f>
        <v>0</v>
      </c>
      <c r="BK54" s="37" t="n">
        <f aca="false">MAX(-BK47,0)</f>
        <v>0</v>
      </c>
      <c r="BL54" s="37" t="n">
        <f aca="false">MAX(-BL47,0)</f>
        <v>0</v>
      </c>
      <c r="BM54" s="37" t="n">
        <f aca="false">MAX(-BM47,0)</f>
        <v>0</v>
      </c>
      <c r="BN54" s="37" t="n">
        <f aca="false">MAX(-BN47,0)</f>
        <v>0</v>
      </c>
      <c r="BO54" s="37" t="n">
        <f aca="false">MAX(-BO47,0)</f>
        <v>0</v>
      </c>
      <c r="BP54" s="37" t="n">
        <f aca="false">MAX(-BP47,0)</f>
        <v>0</v>
      </c>
      <c r="BQ54" s="37" t="n">
        <f aca="false">MAX(-BQ47,0)</f>
        <v>0</v>
      </c>
      <c r="BR54" s="37" t="n">
        <f aca="false">MAX(-BR47,0)</f>
        <v>0</v>
      </c>
      <c r="BS54" s="37" t="n">
        <f aca="false">MAX(-BS47,0)</f>
        <v>0</v>
      </c>
      <c r="BT54" s="37" t="n">
        <f aca="false">MAX(-BT47,0)</f>
        <v>0</v>
      </c>
      <c r="BU54" s="37" t="n">
        <f aca="false">MAX(-BU47,0)</f>
        <v>0</v>
      </c>
      <c r="BV54" s="37" t="n">
        <f aca="false">MAX(-BV47,0)</f>
        <v>0</v>
      </c>
      <c r="BW54" s="37" t="n">
        <f aca="false">MAX(-BW47,0)</f>
        <v>0</v>
      </c>
      <c r="BX54" s="37" t="n">
        <f aca="false">MAX(-BX47,0)</f>
        <v>0</v>
      </c>
      <c r="BY54" s="37" t="n">
        <f aca="false">MAX(-BY47,0)</f>
        <v>0</v>
      </c>
      <c r="BZ54" s="37" t="n">
        <f aca="false">MAX(-BZ47,0)</f>
        <v>0</v>
      </c>
      <c r="CA54" s="37" t="n">
        <f aca="false">MAX(-CA47,0)</f>
        <v>0</v>
      </c>
      <c r="CB54" s="37" t="n">
        <f aca="false">MAX(-CB47,0)</f>
        <v>0</v>
      </c>
      <c r="CC54" s="37" t="n">
        <f aca="false">MAX(-CC47,0)</f>
        <v>0</v>
      </c>
      <c r="CD54" s="37" t="n">
        <f aca="false">MAX(-CD47,0)</f>
        <v>0</v>
      </c>
      <c r="CE54" s="37" t="n">
        <f aca="false">MAX(-CE47,0)</f>
        <v>0</v>
      </c>
      <c r="CF54" s="37" t="n">
        <f aca="false">MAX(-CF47,0)</f>
        <v>0</v>
      </c>
      <c r="CG54" s="37" t="n">
        <f aca="false">MAX(-CG47,0)</f>
        <v>0</v>
      </c>
      <c r="CH54" s="37" t="n">
        <f aca="false">MAX(-CH47,0)</f>
        <v>0</v>
      </c>
      <c r="CI54" s="37" t="n">
        <f aca="false">MAX(-CI47,0)</f>
        <v>0</v>
      </c>
      <c r="CJ54" s="37" t="n">
        <f aca="false">MAX(-CJ47,0)</f>
        <v>0</v>
      </c>
      <c r="CK54" s="37" t="n">
        <f aca="false">MAX(-CK47,0)</f>
        <v>0</v>
      </c>
      <c r="CL54" s="37" t="n">
        <f aca="false">MAX(-CL47,0)</f>
        <v>0</v>
      </c>
      <c r="CM54" s="37" t="n">
        <f aca="false">MAX(-CM47,0)</f>
        <v>0</v>
      </c>
      <c r="CN54" s="37" t="n">
        <f aca="false">MAX(-CN47,0)</f>
        <v>0</v>
      </c>
      <c r="CO54" s="37" t="n">
        <f aca="false">MAX(-CO47,0)</f>
        <v>0</v>
      </c>
      <c r="CP54" s="37" t="n">
        <f aca="false">MAX(-CP47,0)</f>
        <v>0</v>
      </c>
      <c r="CQ54" s="37" t="n">
        <f aca="false">MAX(-CQ47,0)</f>
        <v>0</v>
      </c>
      <c r="CR54" s="37" t="n">
        <f aca="false">MAX(-CR47,0)</f>
        <v>0</v>
      </c>
      <c r="CS54" s="37" t="n">
        <f aca="false">MAX(-CS47,0)</f>
        <v>0</v>
      </c>
      <c r="CT54" s="37" t="n">
        <f aca="false">MAX(-CT47,0)</f>
        <v>0</v>
      </c>
    </row>
    <row r="55" customFormat="false" ht="15" hidden="false" customHeight="true" outlineLevel="0" collapsed="false">
      <c r="B55" s="15" t="s">
        <v>321</v>
      </c>
      <c r="C55" s="48" t="str">
        <f aca="false">IF(C47&lt;0,"USA AFECTADOS","")</f>
        <v/>
      </c>
      <c r="D55" s="48" t="str">
        <f aca="false">IF(D47&lt;0,"USA AFECTADOS","")</f>
        <v/>
      </c>
      <c r="E55" s="48" t="str">
        <f aca="false">IF(E47&lt;0,"USA AFECTADOS","")</f>
        <v/>
      </c>
      <c r="F55" s="48" t="str">
        <f aca="false">IF(F47&lt;0,"USA AFECTADOS","")</f>
        <v/>
      </c>
      <c r="G55" s="48" t="str">
        <f aca="false">IF(G47&lt;0,"USA AFECTADOS","")</f>
        <v/>
      </c>
      <c r="H55" s="48" t="str">
        <f aca="false">IF(H47&lt;0,"USA AFECTADOS","")</f>
        <v/>
      </c>
      <c r="I55" s="48" t="str">
        <f aca="false">IF(I47&lt;0,"USA AFECTADOS","")</f>
        <v/>
      </c>
      <c r="J55" s="48" t="str">
        <f aca="false">IF(J47&lt;0,"USA AFECTADOS","")</f>
        <v/>
      </c>
      <c r="K55" s="48" t="str">
        <f aca="false">IF(K47&lt;0,"USA AFECTADOS","")</f>
        <v/>
      </c>
      <c r="L55" s="48" t="str">
        <f aca="false">IF(L47&lt;0,"USA AFECTADOS","")</f>
        <v/>
      </c>
      <c r="M55" s="48" t="str">
        <f aca="false">IF(M47&lt;0,"USA AFECTADOS","")</f>
        <v/>
      </c>
      <c r="N55" s="48" t="str">
        <f aca="false">IF(N47&lt;0,"USA AFECTADOS","")</f>
        <v/>
      </c>
      <c r="O55" s="48" t="str">
        <f aca="false">IF(O47&lt;0,"USA AFECTADOS","")</f>
        <v/>
      </c>
      <c r="P55" s="48" t="str">
        <f aca="false">IF(P47&lt;0,"USA AFECTADOS","")</f>
        <v/>
      </c>
      <c r="Q55" s="48" t="str">
        <f aca="false">IF(Q47&lt;0,"USA AFECTADOS","")</f>
        <v/>
      </c>
      <c r="R55" s="48" t="str">
        <f aca="false">IF(R47&lt;0,"USA AFECTADOS","")</f>
        <v/>
      </c>
      <c r="S55" s="48" t="str">
        <f aca="false">IF(S47&lt;0,"USA AFECTADOS","")</f>
        <v/>
      </c>
      <c r="T55" s="48" t="str">
        <f aca="false">IF(T47&lt;0,"USA AFECTADOS","")</f>
        <v/>
      </c>
      <c r="U55" s="48" t="str">
        <f aca="false">IF(U47&lt;0,"USA AFECTADOS","")</f>
        <v/>
      </c>
      <c r="V55" s="48" t="str">
        <f aca="false">IF(V47&lt;0,"USA AFECTADOS","")</f>
        <v/>
      </c>
      <c r="W55" s="48" t="str">
        <f aca="false">IF(W47&lt;0,"USA AFECTADOS","")</f>
        <v/>
      </c>
      <c r="X55" s="48" t="str">
        <f aca="false">IF(X47&lt;0,"USA AFECTADOS","")</f>
        <v/>
      </c>
      <c r="Y55" s="48" t="str">
        <f aca="false">IF(Y47&lt;0,"USA AFECTADOS","")</f>
        <v/>
      </c>
      <c r="Z55" s="48" t="str">
        <f aca="false">IF(Z47&lt;0,"USA AFECTADOS","")</f>
        <v/>
      </c>
      <c r="AA55" s="48" t="str">
        <f aca="false">IF(AA47&lt;0,"USA AFECTADOS","")</f>
        <v/>
      </c>
      <c r="AB55" s="48" t="str">
        <f aca="false">IF(AB47&lt;0,"USA AFECTADOS","")</f>
        <v/>
      </c>
      <c r="AC55" s="48" t="str">
        <f aca="false">IF(AC47&lt;0,"USA AFECTADOS","")</f>
        <v/>
      </c>
      <c r="AD55" s="48" t="str">
        <f aca="false">IF(AD47&lt;0,"USA AFECTADOS","")</f>
        <v/>
      </c>
      <c r="AE55" s="48" t="str">
        <f aca="false">IF(AE47&lt;0,"USA AFECTADOS","")</f>
        <v/>
      </c>
      <c r="AF55" s="48" t="str">
        <f aca="false">IF(AF47&lt;0,"USA AFECTADOS","")</f>
        <v/>
      </c>
      <c r="AG55" s="48" t="str">
        <f aca="false">IF(AG47&lt;0,"USA AFECTADOS","")</f>
        <v/>
      </c>
      <c r="AH55" s="48" t="str">
        <f aca="false">IF(AH47&lt;0,"USA AFECTADOS","")</f>
        <v/>
      </c>
      <c r="AI55" s="48" t="str">
        <f aca="false">IF(AI47&lt;0,"USA AFECTADOS","")</f>
        <v/>
      </c>
      <c r="AJ55" s="48" t="str">
        <f aca="false">IF(AJ47&lt;0,"USA AFECTADOS","")</f>
        <v/>
      </c>
      <c r="AK55" s="48" t="str">
        <f aca="false">IF(AK47&lt;0,"USA AFECTADOS","")</f>
        <v/>
      </c>
      <c r="AL55" s="48" t="str">
        <f aca="false">IF(AL47&lt;0,"USA AFECTADOS","")</f>
        <v/>
      </c>
      <c r="AM55" s="48" t="str">
        <f aca="false">IF(AM47&lt;0,"USA AFECTADOS","")</f>
        <v/>
      </c>
      <c r="AN55" s="48" t="str">
        <f aca="false">IF(AN47&lt;0,"USA AFECTADOS","")</f>
        <v/>
      </c>
      <c r="AO55" s="48" t="str">
        <f aca="false">IF(AO47&lt;0,"USA AFECTADOS","")</f>
        <v/>
      </c>
      <c r="AP55" s="48" t="str">
        <f aca="false">IF(AP47&lt;0,"USA AFECTADOS","")</f>
        <v/>
      </c>
      <c r="AQ55" s="48" t="str">
        <f aca="false">IF(AQ47&lt;0,"USA AFECTADOS","")</f>
        <v/>
      </c>
      <c r="AR55" s="48" t="str">
        <f aca="false">IF(AR47&lt;0,"USA AFECTADOS","")</f>
        <v/>
      </c>
      <c r="AS55" s="48" t="str">
        <f aca="false">IF(AS47&lt;0,"USA AFECTADOS","")</f>
        <v/>
      </c>
      <c r="AT55" s="48" t="str">
        <f aca="false">IF(AT47&lt;0,"USA AFECTADOS","")</f>
        <v/>
      </c>
      <c r="AU55" s="48" t="str">
        <f aca="false">IF(AU47&lt;0,"USA AFECTADOS","")</f>
        <v/>
      </c>
      <c r="AV55" s="48" t="str">
        <f aca="false">IF(AV47&lt;0,"USA AFECTADOS","")</f>
        <v/>
      </c>
      <c r="AW55" s="48" t="str">
        <f aca="false">IF(AW47&lt;0,"USA AFECTADOS","")</f>
        <v/>
      </c>
      <c r="AX55" s="48" t="str">
        <f aca="false">IF(AX47&lt;0,"USA AFECTADOS","")</f>
        <v/>
      </c>
      <c r="AY55" s="48" t="str">
        <f aca="false">IF(AY47&lt;0,"USA AFECTADOS","")</f>
        <v/>
      </c>
      <c r="AZ55" s="48" t="str">
        <f aca="false">IF(AZ47&lt;0,"USA AFECTADOS","")</f>
        <v/>
      </c>
      <c r="BA55" s="48" t="str">
        <f aca="false">IF(BA47&lt;0,"USA AFECTADOS","")</f>
        <v/>
      </c>
      <c r="BB55" s="48" t="str">
        <f aca="false">IF(BB47&lt;0,"USA AFECTADOS","")</f>
        <v/>
      </c>
      <c r="BC55" s="48" t="str">
        <f aca="false">IF(BC47&lt;0,"USA AFECTADOS","")</f>
        <v/>
      </c>
      <c r="BD55" s="48" t="str">
        <f aca="false">IF(BD47&lt;0,"USA AFECTADOS","")</f>
        <v/>
      </c>
      <c r="BE55" s="48" t="str">
        <f aca="false">IF(BE47&lt;0,"USA AFECTADOS","")</f>
        <v/>
      </c>
      <c r="BF55" s="48" t="str">
        <f aca="false">IF(BF47&lt;0,"USA AFECTADOS","")</f>
        <v/>
      </c>
      <c r="BG55" s="48" t="str">
        <f aca="false">IF(BG47&lt;0,"USA AFECTADOS","")</f>
        <v/>
      </c>
      <c r="BH55" s="48" t="str">
        <f aca="false">IF(BH47&lt;0,"USA AFECTADOS","")</f>
        <v/>
      </c>
      <c r="BI55" s="48" t="str">
        <f aca="false">IF(BI47&lt;0,"USA AFECTADOS","")</f>
        <v/>
      </c>
      <c r="BJ55" s="48" t="str">
        <f aca="false">IF(BJ47&lt;0,"USA AFECTADOS","")</f>
        <v/>
      </c>
      <c r="BK55" s="48" t="str">
        <f aca="false">IF(BK47&lt;0,"USA AFECTADOS","")</f>
        <v/>
      </c>
      <c r="BL55" s="48" t="str">
        <f aca="false">IF(BL47&lt;0,"USA AFECTADOS","")</f>
        <v/>
      </c>
      <c r="BM55" s="48" t="str">
        <f aca="false">IF(BM47&lt;0,"USA AFECTADOS","")</f>
        <v/>
      </c>
      <c r="BN55" s="48" t="str">
        <f aca="false">IF(BN47&lt;0,"USA AFECTADOS","")</f>
        <v/>
      </c>
      <c r="BO55" s="48" t="str">
        <f aca="false">IF(BO47&lt;0,"USA AFECTADOS","")</f>
        <v/>
      </c>
      <c r="BP55" s="48" t="str">
        <f aca="false">IF(BP47&lt;0,"USA AFECTADOS","")</f>
        <v/>
      </c>
      <c r="BQ55" s="48" t="str">
        <f aca="false">IF(BQ47&lt;0,"USA AFECTADOS","")</f>
        <v/>
      </c>
      <c r="BR55" s="48" t="str">
        <f aca="false">IF(BR47&lt;0,"USA AFECTADOS","")</f>
        <v/>
      </c>
      <c r="BS55" s="48" t="str">
        <f aca="false">IF(BS47&lt;0,"USA AFECTADOS","")</f>
        <v/>
      </c>
      <c r="BT55" s="48" t="str">
        <f aca="false">IF(BT47&lt;0,"USA AFECTADOS","")</f>
        <v/>
      </c>
      <c r="BU55" s="48" t="str">
        <f aca="false">IF(BU47&lt;0,"USA AFECTADOS","")</f>
        <v/>
      </c>
      <c r="BV55" s="48" t="str">
        <f aca="false">IF(BV47&lt;0,"USA AFECTADOS","")</f>
        <v/>
      </c>
      <c r="BW55" s="48" t="str">
        <f aca="false">IF(BW47&lt;0,"USA AFECTADOS","")</f>
        <v/>
      </c>
      <c r="BX55" s="48" t="str">
        <f aca="false">IF(BX47&lt;0,"USA AFECTADOS","")</f>
        <v/>
      </c>
      <c r="BY55" s="48" t="str">
        <f aca="false">IF(BY47&lt;0,"USA AFECTADOS","")</f>
        <v/>
      </c>
      <c r="BZ55" s="48" t="str">
        <f aca="false">IF(BZ47&lt;0,"USA AFECTADOS","")</f>
        <v/>
      </c>
      <c r="CA55" s="48" t="str">
        <f aca="false">IF(CA47&lt;0,"USA AFECTADOS","")</f>
        <v/>
      </c>
      <c r="CB55" s="48" t="str">
        <f aca="false">IF(CB47&lt;0,"USA AFECTADOS","")</f>
        <v/>
      </c>
      <c r="CC55" s="48" t="str">
        <f aca="false">IF(CC47&lt;0,"USA AFECTADOS","")</f>
        <v/>
      </c>
      <c r="CD55" s="48" t="str">
        <f aca="false">IF(CD47&lt;0,"USA AFECTADOS","")</f>
        <v/>
      </c>
      <c r="CE55" s="48" t="str">
        <f aca="false">IF(CE47&lt;0,"USA AFECTADOS","")</f>
        <v/>
      </c>
      <c r="CF55" s="48" t="str">
        <f aca="false">IF(CF47&lt;0,"USA AFECTADOS","")</f>
        <v/>
      </c>
      <c r="CG55" s="48" t="str">
        <f aca="false">IF(CG47&lt;0,"USA AFECTADOS","")</f>
        <v/>
      </c>
      <c r="CH55" s="48" t="str">
        <f aca="false">IF(CH47&lt;0,"USA AFECTADOS","")</f>
        <v/>
      </c>
      <c r="CI55" s="48" t="str">
        <f aca="false">IF(CI47&lt;0,"USA AFECTADOS","")</f>
        <v/>
      </c>
      <c r="CJ55" s="48" t="str">
        <f aca="false">IF(CJ47&lt;0,"USA AFECTADOS","")</f>
        <v/>
      </c>
      <c r="CK55" s="48" t="str">
        <f aca="false">IF(CK47&lt;0,"USA AFECTADOS","")</f>
        <v/>
      </c>
      <c r="CL55" s="48" t="str">
        <f aca="false">IF(CL47&lt;0,"USA AFECTADOS","")</f>
        <v/>
      </c>
      <c r="CM55" s="48" t="str">
        <f aca="false">IF(CM47&lt;0,"USA AFECTADOS","")</f>
        <v/>
      </c>
      <c r="CN55" s="48" t="str">
        <f aca="false">IF(CN47&lt;0,"USA AFECTADOS","")</f>
        <v/>
      </c>
      <c r="CO55" s="48" t="str">
        <f aca="false">IF(CO47&lt;0,"USA AFECTADOS","")</f>
        <v/>
      </c>
      <c r="CP55" s="48" t="str">
        <f aca="false">IF(CP47&lt;0,"USA AFECTADOS","")</f>
        <v/>
      </c>
      <c r="CQ55" s="48" t="str">
        <f aca="false">IF(CQ47&lt;0,"USA AFECTADOS","")</f>
        <v/>
      </c>
      <c r="CR55" s="48" t="str">
        <f aca="false">IF(CR47&lt;0,"USA AFECTADOS","")</f>
        <v/>
      </c>
      <c r="CS55" s="48" t="str">
        <f aca="false">IF(CS47&lt;0,"USA AFECTADOS","")</f>
        <v/>
      </c>
      <c r="CT55" s="48" t="str">
        <f aca="false">IF(CT47&lt;0,"USA AFECTADOS","")</f>
        <v/>
      </c>
    </row>
    <row r="56" customFormat="false" ht="15" hidden="false" customHeight="true" outlineLevel="0" collapsed="false">
      <c r="B56" s="15" t="s">
        <v>322</v>
      </c>
      <c r="C56" s="37" t="n">
        <f aca="false">0</f>
        <v>0</v>
      </c>
      <c r="D56" s="37" t="n">
        <f aca="false">C56+D40-D41</f>
        <v>0</v>
      </c>
      <c r="E56" s="37" t="n">
        <f aca="false">D56+E40-E41</f>
        <v>0</v>
      </c>
      <c r="F56" s="37" t="n">
        <f aca="false">E56+F40-F41</f>
        <v>0</v>
      </c>
      <c r="G56" s="37" t="n">
        <f aca="false">F56+G40-G41</f>
        <v>0</v>
      </c>
      <c r="H56" s="37" t="n">
        <f aca="false">G56+H40-H41</f>
        <v>0</v>
      </c>
      <c r="I56" s="37" t="n">
        <f aca="false">H56+I40-I41</f>
        <v>0</v>
      </c>
      <c r="J56" s="37" t="n">
        <f aca="false">I56+J40-J41</f>
        <v>0</v>
      </c>
      <c r="K56" s="37" t="n">
        <f aca="false">J56+K40-K41</f>
        <v>0</v>
      </c>
      <c r="L56" s="37" t="n">
        <f aca="false">K56+L40-L41</f>
        <v>0</v>
      </c>
      <c r="M56" s="37" t="n">
        <f aca="false">L56+M40-M41</f>
        <v>0</v>
      </c>
      <c r="N56" s="37" t="n">
        <f aca="false">M56+N40-N41</f>
        <v>0</v>
      </c>
      <c r="O56" s="37" t="n">
        <f aca="false">N56+O40-O41</f>
        <v>0</v>
      </c>
      <c r="P56" s="37" t="n">
        <f aca="false">O56+P40-P41</f>
        <v>0</v>
      </c>
      <c r="Q56" s="37" t="n">
        <f aca="false">P56+Q40-Q41</f>
        <v>0</v>
      </c>
      <c r="R56" s="37" t="n">
        <f aca="false">Q56+R40-R41</f>
        <v>0</v>
      </c>
      <c r="S56" s="37" t="n">
        <f aca="false">R56+S40-S41</f>
        <v>0</v>
      </c>
      <c r="T56" s="37" t="n">
        <f aca="false">S56+T40-T41</f>
        <v>0</v>
      </c>
      <c r="U56" s="37" t="n">
        <f aca="false">T56+U40-U41</f>
        <v>0</v>
      </c>
      <c r="V56" s="37" t="n">
        <f aca="false">U56+V40-V41</f>
        <v>0</v>
      </c>
      <c r="W56" s="37" t="n">
        <f aca="false">V56+W40-W41</f>
        <v>0</v>
      </c>
      <c r="X56" s="37" t="n">
        <f aca="false">W56+X40-X41</f>
        <v>0</v>
      </c>
      <c r="Y56" s="37" t="n">
        <f aca="false">X56+Y40-Y41</f>
        <v>0</v>
      </c>
      <c r="Z56" s="37" t="n">
        <f aca="false">Y56+Z40-Z41</f>
        <v>0</v>
      </c>
      <c r="AA56" s="37" t="n">
        <f aca="false">Z56+AA40-AA41</f>
        <v>0</v>
      </c>
      <c r="AB56" s="37" t="n">
        <f aca="false">AA56+AB40-AB41</f>
        <v>0</v>
      </c>
      <c r="AC56" s="37" t="n">
        <f aca="false">AB56+AC40-AC41</f>
        <v>0</v>
      </c>
      <c r="AD56" s="37" t="n">
        <f aca="false">AC56+AD40-AD41</f>
        <v>0</v>
      </c>
      <c r="AE56" s="37" t="n">
        <f aca="false">AD56+AE40-AE41</f>
        <v>0</v>
      </c>
      <c r="AF56" s="37" t="n">
        <f aca="false">AE56+AF40-AF41</f>
        <v>0</v>
      </c>
      <c r="AG56" s="37" t="n">
        <f aca="false">AF56+AG40-AG41</f>
        <v>0</v>
      </c>
      <c r="AH56" s="37" t="n">
        <f aca="false">AG56+AH40-AH41</f>
        <v>0</v>
      </c>
      <c r="AI56" s="37" t="n">
        <f aca="false">AH56+AI40-AI41</f>
        <v>0</v>
      </c>
      <c r="AJ56" s="37" t="n">
        <f aca="false">AI56+AJ40-AJ41</f>
        <v>0</v>
      </c>
      <c r="AK56" s="37" t="n">
        <f aca="false">AJ56+AK40-AK41</f>
        <v>0</v>
      </c>
      <c r="AL56" s="37" t="n">
        <f aca="false">AK56+AL40-AL41</f>
        <v>0</v>
      </c>
      <c r="AM56" s="37" t="n">
        <f aca="false">AL56+AM40-AM41</f>
        <v>0</v>
      </c>
      <c r="AN56" s="37" t="n">
        <f aca="false">AM56+AN40-AN41</f>
        <v>0</v>
      </c>
      <c r="AO56" s="37" t="n">
        <f aca="false">AN56+AO40-AO41</f>
        <v>0</v>
      </c>
      <c r="AP56" s="37" t="n">
        <f aca="false">AO56+AP40-AP41</f>
        <v>0</v>
      </c>
      <c r="AQ56" s="37" t="n">
        <f aca="false">AP56+AQ40-AQ41</f>
        <v>0</v>
      </c>
      <c r="AR56" s="37" t="n">
        <f aca="false">AQ56+AR40-AR41</f>
        <v>0</v>
      </c>
      <c r="AS56" s="37" t="n">
        <f aca="false">AR56+AS40-AS41</f>
        <v>0</v>
      </c>
      <c r="AT56" s="37" t="n">
        <f aca="false">AS56+AT40-AT41</f>
        <v>0</v>
      </c>
      <c r="AU56" s="37" t="n">
        <f aca="false">AT56+AU40-AU41</f>
        <v>0</v>
      </c>
      <c r="AV56" s="37" t="n">
        <f aca="false">AU56+AV40-AV41</f>
        <v>0</v>
      </c>
      <c r="AW56" s="37" t="n">
        <f aca="false">AV56+AW40-AW41</f>
        <v>0</v>
      </c>
      <c r="AX56" s="37" t="n">
        <f aca="false">AW56+AX40-AX41</f>
        <v>0</v>
      </c>
      <c r="AY56" s="37" t="n">
        <f aca="false">AX56+AY40-AY41</f>
        <v>0</v>
      </c>
      <c r="AZ56" s="37" t="n">
        <f aca="false">AY56+AZ40-AZ41</f>
        <v>0</v>
      </c>
      <c r="BA56" s="37" t="n">
        <f aca="false">AZ56+BA40-BA41</f>
        <v>0</v>
      </c>
      <c r="BB56" s="37" t="n">
        <f aca="false">BA56+BB40-BB41</f>
        <v>0</v>
      </c>
      <c r="BC56" s="37" t="n">
        <f aca="false">BB56+BC40-BC41</f>
        <v>0</v>
      </c>
      <c r="BD56" s="37" t="n">
        <f aca="false">BC56+BD40-BD41</f>
        <v>0</v>
      </c>
      <c r="BE56" s="37" t="n">
        <f aca="false">BD56+BE40-BE41</f>
        <v>0</v>
      </c>
      <c r="BF56" s="37" t="n">
        <f aca="false">BE56+BF40-BF41</f>
        <v>0</v>
      </c>
      <c r="BG56" s="37" t="n">
        <f aca="false">BF56+BG40-BG41</f>
        <v>0</v>
      </c>
      <c r="BH56" s="37" t="n">
        <f aca="false">BG56+BH40-BH41</f>
        <v>0</v>
      </c>
      <c r="BI56" s="37" t="n">
        <f aca="false">BH56+BI40-BI41</f>
        <v>0</v>
      </c>
      <c r="BJ56" s="37" t="n">
        <f aca="false">BI56+BJ40-BJ41</f>
        <v>0</v>
      </c>
      <c r="BK56" s="37" t="n">
        <f aca="false">BJ56+BK40-BK41</f>
        <v>0</v>
      </c>
      <c r="BL56" s="37" t="n">
        <f aca="false">BK56+BL40-BL41</f>
        <v>0</v>
      </c>
      <c r="BM56" s="37" t="n">
        <f aca="false">BL56+BM40-BM41</f>
        <v>0</v>
      </c>
      <c r="BN56" s="37" t="n">
        <f aca="false">BM56+BN40-BN41</f>
        <v>0</v>
      </c>
      <c r="BO56" s="37" t="n">
        <f aca="false">BN56+BO40-BO41</f>
        <v>0</v>
      </c>
      <c r="BP56" s="37" t="n">
        <f aca="false">BO56+BP40-BP41</f>
        <v>0</v>
      </c>
      <c r="BQ56" s="37" t="n">
        <f aca="false">BP56+BQ40-BQ41</f>
        <v>0</v>
      </c>
      <c r="BR56" s="37" t="n">
        <f aca="false">BQ56+BR40-BR41</f>
        <v>0</v>
      </c>
      <c r="BS56" s="37" t="n">
        <f aca="false">BR56+BS40-BS41</f>
        <v>0</v>
      </c>
      <c r="BT56" s="37" t="n">
        <f aca="false">BS56+BT40-BT41</f>
        <v>0</v>
      </c>
      <c r="BU56" s="37" t="n">
        <f aca="false">BT56+BU40-BU41</f>
        <v>0</v>
      </c>
      <c r="BV56" s="37" t="n">
        <f aca="false">BU56+BV40-BV41</f>
        <v>0</v>
      </c>
      <c r="BW56" s="37" t="n">
        <f aca="false">BV56+BW40-BW41</f>
        <v>0</v>
      </c>
      <c r="BX56" s="37" t="n">
        <f aca="false">BW56+BX40-BX41</f>
        <v>0</v>
      </c>
      <c r="BY56" s="37" t="n">
        <f aca="false">BX56+BY40-BY41</f>
        <v>0</v>
      </c>
      <c r="BZ56" s="37" t="n">
        <f aca="false">BY56+BZ40-BZ41</f>
        <v>0</v>
      </c>
      <c r="CA56" s="37" t="n">
        <f aca="false">BZ56+CA40-CA41</f>
        <v>0</v>
      </c>
      <c r="CB56" s="37" t="n">
        <f aca="false">CA56+CB40-CB41</f>
        <v>0</v>
      </c>
      <c r="CC56" s="37" t="n">
        <f aca="false">CB56+CC40-CC41</f>
        <v>0</v>
      </c>
      <c r="CD56" s="37" t="n">
        <f aca="false">CC56+CD40-CD41</f>
        <v>0</v>
      </c>
      <c r="CE56" s="37" t="n">
        <f aca="false">CD56+CE40-CE41</f>
        <v>0</v>
      </c>
      <c r="CF56" s="37" t="n">
        <f aca="false">CE56+CF40-CF41</f>
        <v>0</v>
      </c>
      <c r="CG56" s="37" t="n">
        <f aca="false">CF56+CG40-CG41</f>
        <v>0</v>
      </c>
      <c r="CH56" s="37" t="n">
        <f aca="false">CG56+CH40-CH41</f>
        <v>0</v>
      </c>
      <c r="CI56" s="37" t="n">
        <f aca="false">CH56+CI40-CI41</f>
        <v>0</v>
      </c>
      <c r="CJ56" s="37" t="n">
        <f aca="false">CI56+CJ40-CJ41</f>
        <v>0</v>
      </c>
      <c r="CK56" s="37" t="n">
        <f aca="false">CJ56+CK40-CK41</f>
        <v>0</v>
      </c>
      <c r="CL56" s="37" t="n">
        <f aca="false">CK56+CL40-CL41</f>
        <v>0</v>
      </c>
      <c r="CM56" s="37" t="n">
        <f aca="false">CL56+CM40-CM41</f>
        <v>0</v>
      </c>
      <c r="CN56" s="37" t="n">
        <f aca="false">CM56+CN40-CN41</f>
        <v>0</v>
      </c>
      <c r="CO56" s="37" t="n">
        <f aca="false">CN56+CO40-CO41</f>
        <v>0</v>
      </c>
      <c r="CP56" s="37" t="n">
        <f aca="false">CO56+CP40-CP41</f>
        <v>0</v>
      </c>
      <c r="CQ56" s="37" t="n">
        <f aca="false">CP56+CQ40-CQ41</f>
        <v>0</v>
      </c>
      <c r="CR56" s="37" t="n">
        <f aca="false">CQ56+CR40-CR41</f>
        <v>0</v>
      </c>
      <c r="CS56" s="37" t="n">
        <f aca="false">CR56+CS40-CS41</f>
        <v>0</v>
      </c>
      <c r="CT56" s="37" t="n">
        <f aca="false">CS56+CT40-CT41</f>
        <v>0</v>
      </c>
    </row>
    <row r="57" customFormat="false" ht="15" hidden="false" customHeight="true" outlineLevel="0" collapsed="false">
      <c r="B57" s="15" t="s">
        <v>323</v>
      </c>
      <c r="C57" s="49" t="n">
        <f aca="false">IFERROR(C49/'Gastos objeto'!C23,0)</f>
        <v>0.733802723253051</v>
      </c>
      <c r="D57" s="49" t="n">
        <f aca="false">IFERROR(D49/'Gastos objeto'!D23,0)</f>
        <v>0.907577316307097</v>
      </c>
      <c r="E57" s="49" t="n">
        <f aca="false">IFERROR(E49/'Gastos objeto'!E23,0)</f>
        <v>1.18876225676501</v>
      </c>
      <c r="F57" s="49" t="n">
        <f aca="false">IFERROR(F49/'Gastos objeto'!F23,0)</f>
        <v>1.26331436554219</v>
      </c>
      <c r="G57" s="49" t="n">
        <f aca="false">IFERROR(G49/'Gastos objeto'!G23,0)</f>
        <v>1.27890676828956</v>
      </c>
      <c r="H57" s="49" t="n">
        <f aca="false">IFERROR(H49/'Gastos objeto'!H23,0)</f>
        <v>1.07386538491473</v>
      </c>
      <c r="I57" s="49" t="n">
        <f aca="false">IFERROR(I49/'Gastos objeto'!I23,0)</f>
        <v>1.27297262256982</v>
      </c>
      <c r="J57" s="49" t="n">
        <f aca="false">IFERROR(J49/'Gastos objeto'!J23,0)</f>
        <v>1.3374983790139</v>
      </c>
      <c r="K57" s="49" t="n">
        <f aca="false">IFERROR(K49/'Gastos objeto'!K23,0)</f>
        <v>1.38779692366724</v>
      </c>
      <c r="L57" s="49" t="n">
        <f aca="false">IFERROR(L49/'Gastos objeto'!L23,0)</f>
        <v>1.45321144590266</v>
      </c>
      <c r="M57" s="49" t="n">
        <f aca="false">IFERROR(M49/'Gastos objeto'!M23,0)</f>
        <v>1.50044978754591</v>
      </c>
      <c r="N57" s="49" t="n">
        <f aca="false">IFERROR(N49/'Gastos objeto'!N23,0)</f>
        <v>1.29169143295228</v>
      </c>
      <c r="O57" s="49" t="n">
        <f aca="false">IFERROR(O49/'Gastos objeto'!O23,0)</f>
        <v>1.75934872171044</v>
      </c>
      <c r="P57" s="49" t="n">
        <f aca="false">IFERROR(P49/'Gastos objeto'!P23,0)</f>
        <v>2.09434947841283</v>
      </c>
      <c r="Q57" s="49" t="n">
        <f aca="false">IFERROR(Q49/'Gastos objeto'!Q23,0)</f>
        <v>2.44507095805632</v>
      </c>
      <c r="R57" s="49" t="n">
        <f aca="false">IFERROR(R49/'Gastos objeto'!R23,0)</f>
        <v>2.45406654236607</v>
      </c>
      <c r="S57" s="49" t="n">
        <f aca="false">IFERROR(S49/'Gastos objeto'!S23,0)</f>
        <v>2.43008911643158</v>
      </c>
      <c r="T57" s="49" t="n">
        <f aca="false">IFERROR(T49/'Gastos objeto'!T23,0)</f>
        <v>2.0690852649653</v>
      </c>
      <c r="U57" s="49" t="n">
        <f aca="false">IFERROR(U49/'Gastos objeto'!U23,0)</f>
        <v>2.43848988684657</v>
      </c>
      <c r="V57" s="49" t="n">
        <f aca="false">IFERROR(V49/'Gastos objeto'!V23,0)</f>
        <v>2.52789469714141</v>
      </c>
      <c r="W57" s="49" t="n">
        <f aca="false">IFERROR(W49/'Gastos objeto'!W23,0)</f>
        <v>2.60275626468458</v>
      </c>
      <c r="X57" s="49" t="n">
        <f aca="false">IFERROR(X49/'Gastos objeto'!X23,0)</f>
        <v>2.87011498536331</v>
      </c>
      <c r="Y57" s="49" t="n">
        <f aca="false">IFERROR(Y49/'Gastos objeto'!Y23,0)</f>
        <v>2.99088270843909</v>
      </c>
      <c r="Z57" s="49" t="n">
        <f aca="false">IFERROR(Z49/'Gastos objeto'!Z23,0)</f>
        <v>2.64044435719162</v>
      </c>
      <c r="AA57" s="49" t="n">
        <f aca="false">IFERROR(AA49/'Gastos objeto'!AA23,0)</f>
        <v>3.53247905750513</v>
      </c>
      <c r="AB57" s="49" t="n">
        <f aca="false">IFERROR(AB49/'Gastos objeto'!AB23,0)</f>
        <v>4.10027741852348</v>
      </c>
      <c r="AC57" s="49" t="n">
        <f aca="false">IFERROR(AC49/'Gastos objeto'!AC23,0)</f>
        <v>4.61101238237161</v>
      </c>
      <c r="AD57" s="49" t="n">
        <f aca="false">IFERROR(AD49/'Gastos objeto'!AD23,0)</f>
        <v>4.53601261216532</v>
      </c>
      <c r="AE57" s="49" t="n">
        <f aca="false">IFERROR(AE49/'Gastos objeto'!AE23,0)</f>
        <v>4.46975419254904</v>
      </c>
      <c r="AF57" s="49" t="n">
        <f aca="false">IFERROR(AF49/'Gastos objeto'!AF23,0)</f>
        <v>3.8324520283737</v>
      </c>
      <c r="AG57" s="49" t="n">
        <f aca="false">IFERROR(AG49/'Gastos objeto'!AG23,0)</f>
        <v>4.56230171263616</v>
      </c>
      <c r="AH57" s="49" t="n">
        <f aca="false">IFERROR(AH49/'Gastos objeto'!AH23,0)</f>
        <v>4.74730668649167</v>
      </c>
      <c r="AI57" s="49" t="n">
        <f aca="false">IFERROR(AI49/'Gastos objeto'!AI23,0)</f>
        <v>4.95093987403422</v>
      </c>
      <c r="AJ57" s="49" t="n">
        <f aca="false">IFERROR(AJ49/'Gastos objeto'!AJ23,0)</f>
        <v>5.13343524020299</v>
      </c>
      <c r="AK57" s="49" t="n">
        <f aca="false">IFERROR(AK49/'Gastos objeto'!AK23,0)</f>
        <v>5.28965112752777</v>
      </c>
      <c r="AL57" s="49" t="n">
        <f aca="false">IFERROR(AL49/'Gastos objeto'!AL23,0)</f>
        <v>4.66423823122264</v>
      </c>
      <c r="AM57" s="49" t="n">
        <f aca="false">IFERROR(AM49/'Gastos objeto'!AM23,0)</f>
        <v>6.09008630745014</v>
      </c>
      <c r="AN57" s="49" t="n">
        <f aca="false">IFERROR(AN49/'Gastos objeto'!AN23,0)</f>
        <v>6.89604005272523</v>
      </c>
      <c r="AO57" s="49" t="n">
        <f aca="false">IFERROR(AO49/'Gastos objeto'!AO23,0)</f>
        <v>7.53183260099541</v>
      </c>
      <c r="AP57" s="49" t="n">
        <f aca="false">IFERROR(AP49/'Gastos objeto'!AP23,0)</f>
        <v>7.27398868989267</v>
      </c>
      <c r="AQ57" s="49" t="n">
        <f aca="false">IFERROR(AQ49/'Gastos objeto'!AQ23,0)</f>
        <v>7.09147757440559</v>
      </c>
      <c r="AR57" s="49" t="n">
        <f aca="false">IFERROR(AR49/'Gastos objeto'!AR23,0)</f>
        <v>6.06197210413386</v>
      </c>
      <c r="AS57" s="49" t="n">
        <f aca="false">IFERROR(AS49/'Gastos objeto'!AS23,0)</f>
        <v>7.17802941611419</v>
      </c>
      <c r="AT57" s="49" t="n">
        <f aca="false">IFERROR(AT49/'Gastos objeto'!AT23,0)</f>
        <v>7.38765421971433</v>
      </c>
      <c r="AU57" s="49" t="n">
        <f aca="false">IFERROR(AU49/'Gastos objeto'!AU23,0)</f>
        <v>7.58124084615275</v>
      </c>
      <c r="AV57" s="49" t="n">
        <f aca="false">IFERROR(AV49/'Gastos objeto'!AV23,0)</f>
        <v>7.79207782905307</v>
      </c>
      <c r="AW57" s="49" t="n">
        <f aca="false">IFERROR(AW49/'Gastos objeto'!AW23,0)</f>
        <v>7.9718148367537</v>
      </c>
      <c r="AX57" s="49" t="n">
        <f aca="false">IFERROR(AX49/'Gastos objeto'!AX23,0)</f>
        <v>7.01825140375734</v>
      </c>
      <c r="AY57" s="49" t="n">
        <f aca="false">IFERROR(AY49/'Gastos objeto'!AY23,0)</f>
        <v>9.02272681106243</v>
      </c>
      <c r="AZ57" s="49" t="n">
        <f aca="false">IFERROR(AZ49/'Gastos objeto'!AZ23,0)</f>
        <v>10.1398957175153</v>
      </c>
      <c r="BA57" s="49" t="n">
        <f aca="false">IFERROR(BA49/'Gastos objeto'!BA23,0)</f>
        <v>10.8969990404096</v>
      </c>
      <c r="BB57" s="49" t="n">
        <f aca="false">IFERROR(BB49/'Gastos objeto'!BB23,0)</f>
        <v>10.4108898223711</v>
      </c>
      <c r="BC57" s="49" t="n">
        <f aca="false">IFERROR(BC49/'Gastos objeto'!BC23,0)</f>
        <v>10.0790030123254</v>
      </c>
      <c r="BD57" s="49" t="n">
        <f aca="false">IFERROR(BD49/'Gastos objeto'!BD23,0)</f>
        <v>8.59187256841659</v>
      </c>
      <c r="BE57" s="49" t="n">
        <f aca="false">IFERROR(BE49/'Gastos objeto'!BE23,0)</f>
        <v>10.1259570669285</v>
      </c>
      <c r="BF57" s="49" t="n">
        <f aca="false">IFERROR(BF49/'Gastos objeto'!BF23,0)</f>
        <v>10.3652911073997</v>
      </c>
      <c r="BG57" s="49" t="n">
        <f aca="false">IFERROR(BG49/'Gastos objeto'!BG23,0)</f>
        <v>10.5882955878694</v>
      </c>
      <c r="BH57" s="49" t="n">
        <f aca="false">IFERROR(BH49/'Gastos objeto'!BH23,0)</f>
        <v>10.8289081810079</v>
      </c>
      <c r="BI57" s="49" t="n">
        <f aca="false">IFERROR(BI49/'Gastos objeto'!BI23,0)</f>
        <v>11.032950261603</v>
      </c>
      <c r="BJ57" s="49" t="n">
        <f aca="false">IFERROR(BJ49/'Gastos objeto'!BJ23,0)</f>
        <v>9.69850344698608</v>
      </c>
      <c r="BK57" s="49" t="n">
        <f aca="false">IFERROR(BK49/'Gastos objeto'!BK23,0)</f>
        <v>12.367855041773</v>
      </c>
      <c r="BL57" s="49" t="n">
        <f aca="false">IFERROR(BL49/'Gastos objeto'!BL23,0)</f>
        <v>13.7823598059949</v>
      </c>
      <c r="BM57" s="49" t="n">
        <f aca="false">IFERROR(BM49/'Gastos objeto'!BM23,0)</f>
        <v>14.6643560446991</v>
      </c>
      <c r="BN57" s="49" t="n">
        <f aca="false">IFERROR(BN49/'Gastos objeto'!BN23,0)</f>
        <v>13.9123890335224</v>
      </c>
      <c r="BO57" s="49" t="n">
        <f aca="false">IFERROR(BO49/'Gastos objeto'!BO23,0)</f>
        <v>13.4041666396452</v>
      </c>
      <c r="BP57" s="49" t="n">
        <f aca="false">IFERROR(BP49/'Gastos objeto'!BP23,0)</f>
        <v>11.3996949654464</v>
      </c>
      <c r="BQ57" s="49" t="n">
        <f aca="false">IFERROR(BQ49/'Gastos objeto'!BQ23,0)</f>
        <v>13.3885642041905</v>
      </c>
      <c r="BR57" s="49" t="n">
        <f aca="false">IFERROR(BR49/'Gastos objeto'!BR23,0)</f>
        <v>13.6517273210893</v>
      </c>
      <c r="BS57" s="49" t="n">
        <f aca="false">IFERROR(BS49/'Gastos objeto'!BS23,0)</f>
        <v>13.8982584199339</v>
      </c>
      <c r="BT57" s="49" t="n">
        <f aca="false">IFERROR(BT49/'Gastos objeto'!BT23,0)</f>
        <v>14.162756971328</v>
      </c>
      <c r="BU57" s="49" t="n">
        <f aca="false">IFERROR(BU49/'Gastos objeto'!BU23,0)</f>
        <v>14.3847116833716</v>
      </c>
      <c r="BV57" s="49" t="n">
        <f aca="false">IFERROR(BV49/'Gastos objeto'!BV23,0)</f>
        <v>12.6256786126925</v>
      </c>
      <c r="BW57" s="49" t="n">
        <f aca="false">IFERROR(BW49/'Gastos objeto'!BW23,0)</f>
        <v>16.0194698906381</v>
      </c>
      <c r="BX57" s="49" t="n">
        <f aca="false">IFERROR(BX49/'Gastos objeto'!BX23,0)</f>
        <v>17.7568790798516</v>
      </c>
      <c r="BY57" s="49" t="n">
        <f aca="false">IFERROR(BY49/'Gastos objeto'!BY23,0)</f>
        <v>18.7733573276016</v>
      </c>
      <c r="BZ57" s="49" t="n">
        <f aca="false">IFERROR(BZ49/'Gastos objeto'!BZ23,0)</f>
        <v>17.7298022529321</v>
      </c>
      <c r="CA57" s="49" t="n">
        <f aca="false">IFERROR(CA49/'Gastos objeto'!CA23,0)</f>
        <v>17.0278392502108</v>
      </c>
      <c r="CB57" s="49" t="n">
        <f aca="false">IFERROR(CB49/'Gastos objeto'!CB23,0)</f>
        <v>14.4583170094601</v>
      </c>
      <c r="CC57" s="49" t="n">
        <f aca="false">IFERROR(CC49/'Gastos objeto'!CC23,0)</f>
        <v>16.9411209867737</v>
      </c>
      <c r="CD57" s="49" t="n">
        <f aca="false">IFERROR(CD49/'Gastos objeto'!CD23,0)</f>
        <v>17.2287907403976</v>
      </c>
      <c r="CE57" s="49" t="n">
        <f aca="false">IFERROR(CE49/'Gastos objeto'!CE23,0)</f>
        <v>17.4995202973919</v>
      </c>
      <c r="CF57" s="49" t="n">
        <f aca="false">IFERROR(CF49/'Gastos objeto'!CF23,0)</f>
        <v>17.7885838315016</v>
      </c>
      <c r="CG57" s="49" t="n">
        <f aca="false">IFERROR(CG49/'Gastos objeto'!CG23,0)</f>
        <v>18.0286301757533</v>
      </c>
      <c r="CH57" s="49" t="n">
        <f aca="false">IFERROR(CH49/'Gastos objeto'!CH23,0)</f>
        <v>15.8068008978666</v>
      </c>
      <c r="CI57" s="49" t="n">
        <f aca="false">IFERROR(CI49/'Gastos objeto'!CI23,0)</f>
        <v>19.986284777256</v>
      </c>
      <c r="CJ57" s="49" t="n">
        <f aca="false">IFERROR(CJ49/'Gastos objeto'!CJ23,0)</f>
        <v>22.0728888943576</v>
      </c>
      <c r="CK57" s="49" t="n">
        <f aca="false">IFERROR(CK49/'Gastos objeto'!CK23,0)</f>
        <v>23.2337053986972</v>
      </c>
      <c r="CL57" s="49" t="n">
        <f aca="false">IFERROR(CL49/'Gastos objeto'!CL23,0)</f>
        <v>21.8720964258978</v>
      </c>
      <c r="CM57" s="49" t="n">
        <f aca="false">IFERROR(CM49/'Gastos objeto'!CM23,0)</f>
        <v>20.9584892628009</v>
      </c>
      <c r="CN57" s="49" t="n">
        <f aca="false">IFERROR(CN49/'Gastos objeto'!CN23,0)</f>
        <v>17.7748498330676</v>
      </c>
      <c r="CO57" s="49" t="n">
        <f aca="false">IFERROR(CO49/'Gastos objeto'!CO23,0)</f>
        <v>20.7918441513158</v>
      </c>
      <c r="CP57" s="49" t="n">
        <f aca="false">IFERROR(CP49/'Gastos objeto'!CP23,0)</f>
        <v>21.1047129166624</v>
      </c>
      <c r="CQ57" s="49" t="n">
        <f aca="false">IFERROR(CQ49/'Gastos objeto'!CQ23,0)</f>
        <v>21.4003274760682</v>
      </c>
      <c r="CR57" s="49" t="n">
        <f aca="false">IFERROR(CR49/'Gastos objeto'!CR23,0)</f>
        <v>21.7146498632801</v>
      </c>
      <c r="CS57" s="49" t="n">
        <f aca="false">IFERROR(CS49/'Gastos objeto'!CS23,0)</f>
        <v>21.9729675978947</v>
      </c>
      <c r="CT57" s="49" t="n">
        <f aca="false">IFERROR(CT49/'Gastos objeto'!CT23,0)</f>
        <v>19.2490478916821</v>
      </c>
    </row>
    <row r="59" customFormat="false" ht="15" hidden="false" customHeight="true" outlineLevel="0" collapsed="false">
      <c r="B59" s="35" t="s">
        <v>324</v>
      </c>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c r="AC59" s="36"/>
      <c r="AD59" s="36"/>
      <c r="AE59" s="36"/>
      <c r="AF59" s="36"/>
      <c r="AG59" s="36"/>
      <c r="AH59" s="36"/>
      <c r="AI59" s="36"/>
      <c r="AJ59" s="36"/>
      <c r="AK59" s="36"/>
      <c r="AL59" s="36"/>
      <c r="AM59" s="36"/>
      <c r="AN59" s="36"/>
      <c r="AO59" s="36"/>
      <c r="AP59" s="36"/>
      <c r="AQ59" s="36"/>
      <c r="AR59" s="36"/>
      <c r="AS59" s="36"/>
      <c r="AT59" s="36"/>
      <c r="AU59" s="36"/>
      <c r="AV59" s="36"/>
      <c r="AW59" s="36"/>
      <c r="AX59" s="36"/>
      <c r="AY59" s="36"/>
      <c r="AZ59" s="36"/>
      <c r="BA59" s="36"/>
      <c r="BB59" s="36"/>
      <c r="BC59" s="36"/>
      <c r="BD59" s="36"/>
      <c r="BE59" s="36"/>
      <c r="BF59" s="36"/>
      <c r="BG59" s="36"/>
      <c r="BH59" s="36"/>
      <c r="BI59" s="36"/>
      <c r="BJ59" s="36"/>
      <c r="BK59" s="36"/>
      <c r="BL59" s="36"/>
      <c r="BM59" s="36"/>
      <c r="BN59" s="36"/>
      <c r="BO59" s="36"/>
      <c r="BP59" s="36"/>
      <c r="BQ59" s="36"/>
      <c r="BR59" s="36"/>
      <c r="BS59" s="36"/>
      <c r="BT59" s="36"/>
      <c r="BU59" s="36"/>
      <c r="BV59" s="36"/>
      <c r="BW59" s="36"/>
      <c r="BX59" s="36"/>
      <c r="BY59" s="36"/>
      <c r="BZ59" s="36"/>
      <c r="CA59" s="36"/>
      <c r="CB59" s="36"/>
      <c r="CC59" s="36"/>
      <c r="CD59" s="36"/>
      <c r="CE59" s="36"/>
      <c r="CF59" s="36"/>
      <c r="CG59" s="36"/>
      <c r="CH59" s="36"/>
      <c r="CI59" s="36"/>
      <c r="CJ59" s="36"/>
      <c r="CK59" s="36"/>
      <c r="CL59" s="36"/>
      <c r="CM59" s="36"/>
      <c r="CN59" s="36"/>
      <c r="CO59" s="36"/>
      <c r="CP59" s="36"/>
      <c r="CQ59" s="36"/>
      <c r="CR59" s="36"/>
      <c r="CS59" s="36"/>
      <c r="CT59" s="36"/>
    </row>
    <row r="60" customFormat="false" ht="15" hidden="false" customHeight="true" outlineLevel="0" collapsed="false">
      <c r="B60" s="15" t="s">
        <v>325</v>
      </c>
      <c r="C60" s="46" t="n">
        <f aca="false">Recursos!C20-Recursos!C12</f>
        <v>27754237744.343</v>
      </c>
      <c r="D60" s="46" t="n">
        <f aca="false">Recursos!D20-Recursos!D12</f>
        <v>25710320968.0849</v>
      </c>
      <c r="E60" s="46" t="n">
        <f aca="false">Recursos!E20-Recursos!E12</f>
        <v>26900713072.2157</v>
      </c>
      <c r="F60" s="46" t="n">
        <f aca="false">Recursos!F20-Recursos!F12</f>
        <v>26512570000.921</v>
      </c>
      <c r="G60" s="46" t="n">
        <f aca="false">Recursos!G20-Recursos!G12</f>
        <v>26124426929.6263</v>
      </c>
      <c r="H60" s="46" t="n">
        <f aca="false">Recursos!H20-Recursos!H12</f>
        <v>26512570000.921</v>
      </c>
      <c r="I60" s="46" t="n">
        <f aca="false">Recursos!I20-Recursos!I12</f>
        <v>26900713072.2157</v>
      </c>
      <c r="J60" s="46" t="n">
        <f aca="false">Recursos!J20-Recursos!J12</f>
        <v>26512570000.921</v>
      </c>
      <c r="K60" s="46" t="n">
        <f aca="false">Recursos!K20-Recursos!K12</f>
        <v>26124426929.6263</v>
      </c>
      <c r="L60" s="46" t="n">
        <f aca="false">Recursos!L20-Recursos!L12</f>
        <v>26512570000.921</v>
      </c>
      <c r="M60" s="46" t="n">
        <f aca="false">Recursos!M20-Recursos!M12</f>
        <v>26124426929.6263</v>
      </c>
      <c r="N60" s="46" t="n">
        <f aca="false">Recursos!N20-Recursos!N12</f>
        <v>26253591239.6572</v>
      </c>
      <c r="O60" s="46" t="n">
        <f aca="false">Recursos!O20-Recursos!O12</f>
        <v>28579281256.361</v>
      </c>
      <c r="P60" s="46" t="n">
        <f aca="false">Recursos!P20-Recursos!P12</f>
        <v>26487908444.4836</v>
      </c>
      <c r="Q60" s="46" t="n">
        <f aca="false">Recursos!Q20-Recursos!Q12</f>
        <v>27716712511.6094</v>
      </c>
      <c r="R60" s="46" t="n">
        <f aca="false">Recursos!R20-Recursos!R12</f>
        <v>27317200821.1833</v>
      </c>
      <c r="S60" s="46" t="n">
        <f aca="false">Recursos!S20-Recursos!S12</f>
        <v>26917689130.7572</v>
      </c>
      <c r="T60" s="46" t="n">
        <f aca="false">Recursos!T20-Recursos!T12</f>
        <v>27317200821.1833</v>
      </c>
      <c r="U60" s="46" t="n">
        <f aca="false">Recursos!U20-Recursos!U12</f>
        <v>27716712511.6094</v>
      </c>
      <c r="V60" s="46" t="n">
        <f aca="false">Recursos!V20-Recursos!V12</f>
        <v>27317200821.1833</v>
      </c>
      <c r="W60" s="46" t="n">
        <f aca="false">Recursos!W20-Recursos!W12</f>
        <v>26917689130.7572</v>
      </c>
      <c r="X60" s="46" t="n">
        <f aca="false">Recursos!X20-Recursos!X12</f>
        <v>27317200821.1833</v>
      </c>
      <c r="Y60" s="46" t="n">
        <f aca="false">Recursos!Y20-Recursos!Y12</f>
        <v>26917689130.7572</v>
      </c>
      <c r="Z60" s="46" t="n">
        <f aca="false">Recursos!Z20-Recursos!Z12</f>
        <v>27041772486.3515</v>
      </c>
      <c r="AA60" s="46" t="n">
        <f aca="false">Recursos!AA20-Recursos!AA12</f>
        <v>29427255977.4142</v>
      </c>
      <c r="AB60" s="46" t="n">
        <f aca="false">Recursos!AB20-Recursos!AB12</f>
        <v>27287353543.8825</v>
      </c>
      <c r="AC60" s="46" t="n">
        <f aca="false">Recursos!AC20-Recursos!AC12</f>
        <v>28555614993.9627</v>
      </c>
      <c r="AD60" s="46" t="n">
        <f aca="false">Recursos!AD20-Recursos!AD12</f>
        <v>28144438899.6619</v>
      </c>
      <c r="AE60" s="46" t="n">
        <f aca="false">Recursos!AE20-Recursos!AE12</f>
        <v>27733262805.3612</v>
      </c>
      <c r="AF60" s="46" t="n">
        <f aca="false">Recursos!AF20-Recursos!AF12</f>
        <v>28144438899.6619</v>
      </c>
      <c r="AG60" s="46" t="n">
        <f aca="false">Recursos!AG20-Recursos!AG12</f>
        <v>28555614993.9627</v>
      </c>
      <c r="AH60" s="46" t="n">
        <f aca="false">Recursos!AH20-Recursos!AH12</f>
        <v>28144438899.6619</v>
      </c>
      <c r="AI60" s="46" t="n">
        <f aca="false">Recursos!AI20-Recursos!AI12</f>
        <v>27733262805.3612</v>
      </c>
      <c r="AJ60" s="46" t="n">
        <f aca="false">Recursos!AJ20-Recursos!AJ12</f>
        <v>28144438899.6619</v>
      </c>
      <c r="AK60" s="46" t="n">
        <f aca="false">Recursos!AK20-Recursos!AK12</f>
        <v>27733262805.3612</v>
      </c>
      <c r="AL60" s="46" t="n">
        <f aca="false">Recursos!AL20-Recursos!AL12</f>
        <v>27852017934.5669</v>
      </c>
      <c r="AM60" s="46" t="n">
        <f aca="false">Recursos!AM20-Recursos!AM12</f>
        <v>30298713776.8408</v>
      </c>
      <c r="AN60" s="46" t="n">
        <f aca="false">Recursos!AN20-Recursos!AN12</f>
        <v>28109184310.9221</v>
      </c>
      <c r="AO60" s="46" t="n">
        <f aca="false">Recursos!AO20-Recursos!AO12</f>
        <v>29417974729.1453</v>
      </c>
      <c r="AP60" s="46" t="n">
        <f aca="false">Recursos!AP20-Recursos!AP12</f>
        <v>28994831233.539</v>
      </c>
      <c r="AQ60" s="46" t="n">
        <f aca="false">Recursos!AQ20-Recursos!AQ12</f>
        <v>28571687737.9328</v>
      </c>
      <c r="AR60" s="46" t="n">
        <f aca="false">Recursos!AR20-Recursos!AR12</f>
        <v>28994831233.539</v>
      </c>
      <c r="AS60" s="46" t="n">
        <f aca="false">Recursos!AS20-Recursos!AS12</f>
        <v>29417974729.1453</v>
      </c>
      <c r="AT60" s="46" t="n">
        <f aca="false">Recursos!AT20-Recursos!AT12</f>
        <v>28994831233.539</v>
      </c>
      <c r="AU60" s="46" t="n">
        <f aca="false">Recursos!AU20-Recursos!AU12</f>
        <v>28571687737.9328</v>
      </c>
      <c r="AV60" s="46" t="n">
        <f aca="false">Recursos!AV20-Recursos!AV12</f>
        <v>28994831233.539</v>
      </c>
      <c r="AW60" s="46" t="n">
        <f aca="false">Recursos!AW20-Recursos!AW12</f>
        <v>28571687737.9328</v>
      </c>
      <c r="AX60" s="46" t="n">
        <f aca="false">Recursos!AX20-Recursos!AX12</f>
        <v>28684859657.2248</v>
      </c>
      <c r="AY60" s="46" t="n">
        <f aca="false">Recursos!AY20-Recursos!AY12</f>
        <v>30860021945.2691</v>
      </c>
      <c r="AZ60" s="46" t="n">
        <f aca="false">Recursos!AZ20-Recursos!AZ12</f>
        <v>28627796654.7649</v>
      </c>
      <c r="BA60" s="46" t="n">
        <f aca="false">Recursos!BA20-Recursos!BA12</f>
        <v>29962108486.1434</v>
      </c>
      <c r="BB60" s="46" t="n">
        <f aca="false">Recursos!BB20-Recursos!BB12</f>
        <v>29530713692.3729</v>
      </c>
      <c r="BC60" s="46" t="n">
        <f aca="false">Recursos!BC20-Recursos!BC12</f>
        <v>29099318898.6023</v>
      </c>
      <c r="BD60" s="46" t="n">
        <f aca="false">Recursos!BD20-Recursos!BD12</f>
        <v>29530713692.3729</v>
      </c>
      <c r="BE60" s="46" t="n">
        <f aca="false">Recursos!BE20-Recursos!BE12</f>
        <v>29962108486.1434</v>
      </c>
      <c r="BF60" s="46" t="n">
        <f aca="false">Recursos!BF20-Recursos!BF12</f>
        <v>29530713692.3729</v>
      </c>
      <c r="BG60" s="46" t="n">
        <f aca="false">Recursos!BG20-Recursos!BG12</f>
        <v>29099318898.6023</v>
      </c>
      <c r="BH60" s="46" t="n">
        <f aca="false">Recursos!BH20-Recursos!BH12</f>
        <v>29530713692.3729</v>
      </c>
      <c r="BI60" s="46" t="n">
        <f aca="false">Recursos!BI20-Recursos!BI12</f>
        <v>29099318898.6023</v>
      </c>
      <c r="BJ60" s="46" t="n">
        <f aca="false">Recursos!BJ20-Recursos!BJ12</f>
        <v>29214697670.3205</v>
      </c>
      <c r="BK60" s="46" t="n">
        <f aca="false">Recursos!BK20-Recursos!BK12</f>
        <v>31432923810.8165</v>
      </c>
      <c r="BL60" s="46" t="n">
        <f aca="false">Recursos!BL20-Recursos!BL12</f>
        <v>29157170127.1475</v>
      </c>
      <c r="BM60" s="46" t="n">
        <f aca="false">Recursos!BM20-Recursos!BM12</f>
        <v>30517501039.2379</v>
      </c>
      <c r="BN60" s="46" t="n">
        <f aca="false">Recursos!BN20-Recursos!BN12</f>
        <v>30077694046.9888</v>
      </c>
      <c r="BO60" s="46" t="n">
        <f aca="false">Recursos!BO20-Recursos!BO12</f>
        <v>29637887054.7397</v>
      </c>
      <c r="BP60" s="46" t="n">
        <f aca="false">Recursos!BP20-Recursos!BP12</f>
        <v>30077694046.9888</v>
      </c>
      <c r="BQ60" s="46" t="n">
        <f aca="false">Recursos!BQ20-Recursos!BQ12</f>
        <v>30517501039.2379</v>
      </c>
      <c r="BR60" s="46" t="n">
        <f aca="false">Recursos!BR20-Recursos!BR12</f>
        <v>30077694046.9888</v>
      </c>
      <c r="BS60" s="46" t="n">
        <f aca="false">Recursos!BS20-Recursos!BS12</f>
        <v>29637887054.7397</v>
      </c>
      <c r="BT60" s="46" t="n">
        <f aca="false">Recursos!BT20-Recursos!BT12</f>
        <v>30077694046.9888</v>
      </c>
      <c r="BU60" s="46" t="n">
        <f aca="false">Recursos!BU20-Recursos!BU12</f>
        <v>29637887054.7397</v>
      </c>
      <c r="BV60" s="46" t="n">
        <f aca="false">Recursos!BV20-Recursos!BV12</f>
        <v>29755515712.5064</v>
      </c>
      <c r="BW60" s="46" t="n">
        <f aca="false">Recursos!BW20-Recursos!BW12</f>
        <v>32017631216.3721</v>
      </c>
      <c r="BX60" s="46" t="n">
        <f aca="false">Recursos!BX20-Recursos!BX12</f>
        <v>29697500335.8715</v>
      </c>
      <c r="BY60" s="46" t="n">
        <f aca="false">Recursos!BY20-Recursos!BY12</f>
        <v>31084357700.7477</v>
      </c>
      <c r="BZ60" s="46" t="n">
        <f aca="false">Recursos!BZ20-Recursos!BZ12</f>
        <v>30635974472.1498</v>
      </c>
      <c r="CA60" s="46" t="n">
        <f aca="false">Recursos!CA20-Recursos!CA12</f>
        <v>30187591243.5518</v>
      </c>
      <c r="CB60" s="46" t="n">
        <f aca="false">Recursos!CB20-Recursos!CB12</f>
        <v>30635974472.1498</v>
      </c>
      <c r="CC60" s="46" t="n">
        <f aca="false">Recursos!CC20-Recursos!CC12</f>
        <v>31084357700.7477</v>
      </c>
      <c r="CD60" s="46" t="n">
        <f aca="false">Recursos!CD20-Recursos!CD12</f>
        <v>30635974472.1498</v>
      </c>
      <c r="CE60" s="46" t="n">
        <f aca="false">Recursos!CE20-Recursos!CE12</f>
        <v>30187591243.5518</v>
      </c>
      <c r="CF60" s="46" t="n">
        <f aca="false">Recursos!CF20-Recursos!CF12</f>
        <v>30635974472.1498</v>
      </c>
      <c r="CG60" s="46" t="n">
        <f aca="false">Recursos!CG20-Recursos!CG12</f>
        <v>30187591243.5518</v>
      </c>
      <c r="CH60" s="46" t="n">
        <f aca="false">Recursos!CH20-Recursos!CH12</f>
        <v>30307513660.145</v>
      </c>
      <c r="CI60" s="46" t="n">
        <f aca="false">Recursos!CI20-Recursos!CI12</f>
        <v>32614360448.3443</v>
      </c>
      <c r="CJ60" s="46" t="n">
        <f aca="false">Recursos!CJ20-Recursos!CJ12</f>
        <v>30248987015.674</v>
      </c>
      <c r="CK60" s="46" t="n">
        <f aca="false">Recursos!CK20-Recursos!CK12</f>
        <v>31662888099.1652</v>
      </c>
      <c r="CL60" s="46" t="n">
        <f aca="false">Recursos!CL20-Recursos!CL12</f>
        <v>31205761397.6096</v>
      </c>
      <c r="CM60" s="46" t="n">
        <f aca="false">Recursos!CM20-Recursos!CM12</f>
        <v>30748634696.054</v>
      </c>
      <c r="CN60" s="46" t="n">
        <f aca="false">Recursos!CN20-Recursos!CN12</f>
        <v>31205761397.6096</v>
      </c>
      <c r="CO60" s="46" t="n">
        <f aca="false">Recursos!CO20-Recursos!CO12</f>
        <v>31662888099.1652</v>
      </c>
      <c r="CP60" s="46" t="n">
        <f aca="false">Recursos!CP20-Recursos!CP12</f>
        <v>31205761397.6096</v>
      </c>
      <c r="CQ60" s="46" t="n">
        <f aca="false">Recursos!CQ20-Recursos!CQ12</f>
        <v>30748634696.054</v>
      </c>
      <c r="CR60" s="46" t="n">
        <f aca="false">Recursos!CR20-Recursos!CR12</f>
        <v>31205761397.6096</v>
      </c>
      <c r="CS60" s="46" t="n">
        <f aca="false">Recursos!CS20-Recursos!CS12</f>
        <v>30748634696.054</v>
      </c>
      <c r="CT60" s="46" t="n">
        <f aca="false">Recursos!CT20-Recursos!CT12</f>
        <v>30870895599.7707</v>
      </c>
    </row>
    <row r="61" customFormat="false" ht="15" hidden="false" customHeight="true" outlineLevel="0" collapsed="false">
      <c r="B61" s="15" t="s">
        <v>326</v>
      </c>
      <c r="C61" s="46" t="n">
        <f aca="false">'Gastos objeto'!C17-'Gastos objeto'!C12</f>
        <v>20712755803.2281</v>
      </c>
      <c r="D61" s="46" t="n">
        <f aca="false">'Gastos objeto'!D17-'Gastos objeto'!D12</f>
        <v>20999831783.6466</v>
      </c>
      <c r="E61" s="46" t="n">
        <f aca="false">'Gastos objeto'!E17-'Gastos objeto'!E12</f>
        <v>21397360693.4954</v>
      </c>
      <c r="F61" s="46" t="n">
        <f aca="false">'Gastos objeto'!F17-'Gastos objeto'!F12</f>
        <v>21397360693.4954</v>
      </c>
      <c r="G61" s="46" t="n">
        <f aca="false">'Gastos objeto'!G17-'Gastos objeto'!G12</f>
        <v>21397360693.4954</v>
      </c>
      <c r="H61" s="46" t="n">
        <f aca="false">'Gastos objeto'!H17-'Gastos objeto'!H12</f>
        <v>25689278563.1396</v>
      </c>
      <c r="I61" s="46" t="n">
        <f aca="false">'Gastos objeto'!I17-'Gastos objeto'!I12</f>
        <v>21397360693.4954</v>
      </c>
      <c r="J61" s="46" t="n">
        <f aca="false">'Gastos objeto'!J17-'Gastos objeto'!J12</f>
        <v>21397360693.4954</v>
      </c>
      <c r="K61" s="46" t="n">
        <f aca="false">'Gastos objeto'!K17-'Gastos objeto'!K12</f>
        <v>21397360693.4954</v>
      </c>
      <c r="L61" s="46" t="n">
        <f aca="false">'Gastos objeto'!L17-'Gastos objeto'!L12</f>
        <v>21441516456.2424</v>
      </c>
      <c r="M61" s="46" t="n">
        <f aca="false">'Gastos objeto'!M17-'Gastos objeto'!M12</f>
        <v>21441516456.2424</v>
      </c>
      <c r="N61" s="46" t="n">
        <f aca="false">'Gastos objeto'!N17-'Gastos objeto'!N12</f>
        <v>25092985198.3664</v>
      </c>
      <c r="O61" s="46" t="n">
        <f aca="false">'Gastos objeto'!O17-'Gastos objeto'!O12</f>
        <v>20863280768.021</v>
      </c>
      <c r="P61" s="46" t="n">
        <f aca="false">'Gastos objeto'!P17-'Gastos objeto'!P12</f>
        <v>21150356748.4395</v>
      </c>
      <c r="Q61" s="46" t="n">
        <f aca="false">'Gastos objeto'!Q17-'Gastos objeto'!Q12</f>
        <v>21547885658.2883</v>
      </c>
      <c r="R61" s="46" t="n">
        <f aca="false">'Gastos objeto'!R17-'Gastos objeto'!R12</f>
        <v>21547885658.2883</v>
      </c>
      <c r="S61" s="46" t="n">
        <f aca="false">'Gastos objeto'!S17-'Gastos objeto'!S12</f>
        <v>21547885658.2883</v>
      </c>
      <c r="T61" s="46" t="n">
        <f aca="false">'Gastos objeto'!T17-'Gastos objeto'!T12</f>
        <v>25839803527.9326</v>
      </c>
      <c r="U61" s="46" t="n">
        <f aca="false">'Gastos objeto'!U17-'Gastos objeto'!U12</f>
        <v>21547885658.2883</v>
      </c>
      <c r="V61" s="46" t="n">
        <f aca="false">'Gastos objeto'!V17-'Gastos objeto'!V12</f>
        <v>21547885658.2883</v>
      </c>
      <c r="W61" s="46" t="n">
        <f aca="false">'Gastos objeto'!W17-'Gastos objeto'!W12</f>
        <v>21547885658.2883</v>
      </c>
      <c r="X61" s="46" t="n">
        <f aca="false">'Gastos objeto'!X17-'Gastos objeto'!X12</f>
        <v>20342041421.0353</v>
      </c>
      <c r="Y61" s="46" t="n">
        <f aca="false">'Gastos objeto'!Y17-'Gastos objeto'!Y12</f>
        <v>20342041421.0353</v>
      </c>
      <c r="Z61" s="46" t="n">
        <f aca="false">'Gastos objeto'!Z17-'Gastos objeto'!Z12</f>
        <v>23993510163.1593</v>
      </c>
      <c r="AA61" s="46" t="n">
        <f aca="false">'Gastos objeto'!AA17-'Gastos objeto'!AA12</f>
        <v>19763805732.8139</v>
      </c>
      <c r="AB61" s="46" t="n">
        <f aca="false">'Gastos objeto'!AB17-'Gastos objeto'!AB12</f>
        <v>20050881713.2324</v>
      </c>
      <c r="AC61" s="46" t="n">
        <f aca="false">'Gastos objeto'!AC17-'Gastos objeto'!AC12</f>
        <v>20448410623.0812</v>
      </c>
      <c r="AD61" s="46" t="n">
        <f aca="false">'Gastos objeto'!AD17-'Gastos objeto'!AD12</f>
        <v>20448410623.0812</v>
      </c>
      <c r="AE61" s="46" t="n">
        <f aca="false">'Gastos objeto'!AE17-'Gastos objeto'!AE12</f>
        <v>20448410623.0812</v>
      </c>
      <c r="AF61" s="46" t="n">
        <f aca="false">'Gastos objeto'!AF17-'Gastos objeto'!AF12</f>
        <v>24740328492.7255</v>
      </c>
      <c r="AG61" s="46" t="n">
        <f aca="false">'Gastos objeto'!AG17-'Gastos objeto'!AG12</f>
        <v>20448410623.0812</v>
      </c>
      <c r="AH61" s="46" t="n">
        <f aca="false">'Gastos objeto'!AH17-'Gastos objeto'!AH12</f>
        <v>20373687348.7479</v>
      </c>
      <c r="AI61" s="46" t="n">
        <f aca="false">'Gastos objeto'!AI17-'Gastos objeto'!AI12</f>
        <v>20166065255.1646</v>
      </c>
      <c r="AJ61" s="46" t="n">
        <f aca="false">'Gastos objeto'!AJ17-'Gastos objeto'!AJ12</f>
        <v>20210221017.9116</v>
      </c>
      <c r="AK61" s="46" t="n">
        <f aca="false">'Gastos objeto'!AK17-'Gastos objeto'!AK12</f>
        <v>20210221017.9116</v>
      </c>
      <c r="AL61" s="46" t="n">
        <f aca="false">'Gastos objeto'!AL17-'Gastos objeto'!AL12</f>
        <v>23861689760.0355</v>
      </c>
      <c r="AM61" s="46" t="n">
        <f aca="false">'Gastos objeto'!AM17-'Gastos objeto'!AM12</f>
        <v>19631985329.6902</v>
      </c>
      <c r="AN61" s="46" t="n">
        <f aca="false">'Gastos objeto'!AN17-'Gastos objeto'!AN12</f>
        <v>19919061310.1086</v>
      </c>
      <c r="AO61" s="46" t="n">
        <f aca="false">'Gastos objeto'!AO17-'Gastos objeto'!AO12</f>
        <v>20316590219.9575</v>
      </c>
      <c r="AP61" s="46" t="n">
        <f aca="false">'Gastos objeto'!AP17-'Gastos objeto'!AP12</f>
        <v>20316590219.9575</v>
      </c>
      <c r="AQ61" s="46" t="n">
        <f aca="false">'Gastos objeto'!AQ17-'Gastos objeto'!AQ12</f>
        <v>20316590219.9575</v>
      </c>
      <c r="AR61" s="46" t="n">
        <f aca="false">'Gastos objeto'!AR17-'Gastos objeto'!AR12</f>
        <v>24608508089.6017</v>
      </c>
      <c r="AS61" s="46" t="n">
        <f aca="false">'Gastos objeto'!AS17-'Gastos objeto'!AS12</f>
        <v>20316590219.9575</v>
      </c>
      <c r="AT61" s="46" t="n">
        <f aca="false">'Gastos objeto'!AT17-'Gastos objeto'!AT12</f>
        <v>20316590219.9575</v>
      </c>
      <c r="AU61" s="46" t="n">
        <f aca="false">'Gastos objeto'!AU17-'Gastos objeto'!AU12</f>
        <v>20316590219.9575</v>
      </c>
      <c r="AV61" s="46" t="n">
        <f aca="false">'Gastos objeto'!AV17-'Gastos objeto'!AV12</f>
        <v>20360745982.7045</v>
      </c>
      <c r="AW61" s="46" t="n">
        <f aca="false">'Gastos objeto'!AW17-'Gastos objeto'!AW12</f>
        <v>20360745982.7045</v>
      </c>
      <c r="AX61" s="46" t="n">
        <f aca="false">'Gastos objeto'!AX17-'Gastos objeto'!AX12</f>
        <v>24012214724.8284</v>
      </c>
      <c r="AY61" s="46" t="n">
        <f aca="false">'Gastos objeto'!AY17-'Gastos objeto'!AY12</f>
        <v>19631985329.6902</v>
      </c>
      <c r="AZ61" s="46" t="n">
        <f aca="false">'Gastos objeto'!AZ17-'Gastos objeto'!AZ12</f>
        <v>19919061310.1086</v>
      </c>
      <c r="BA61" s="46" t="n">
        <f aca="false">'Gastos objeto'!BA17-'Gastos objeto'!BA12</f>
        <v>20316590219.9575</v>
      </c>
      <c r="BB61" s="46" t="n">
        <f aca="false">'Gastos objeto'!BB17-'Gastos objeto'!BB12</f>
        <v>20316590219.9575</v>
      </c>
      <c r="BC61" s="46" t="n">
        <f aca="false">'Gastos objeto'!BC17-'Gastos objeto'!BC12</f>
        <v>20316590219.9575</v>
      </c>
      <c r="BD61" s="46" t="n">
        <f aca="false">'Gastos objeto'!BD17-'Gastos objeto'!BD12</f>
        <v>24608508089.6017</v>
      </c>
      <c r="BE61" s="46" t="n">
        <f aca="false">'Gastos objeto'!BE17-'Gastos objeto'!BE12</f>
        <v>20316590219.9575</v>
      </c>
      <c r="BF61" s="46" t="n">
        <f aca="false">'Gastos objeto'!BF17-'Gastos objeto'!BF12</f>
        <v>20316590219.9575</v>
      </c>
      <c r="BG61" s="46" t="n">
        <f aca="false">'Gastos objeto'!BG17-'Gastos objeto'!BG12</f>
        <v>20316590219.9575</v>
      </c>
      <c r="BH61" s="46" t="n">
        <f aca="false">'Gastos objeto'!BH17-'Gastos objeto'!BH12</f>
        <v>20360745982.7045</v>
      </c>
      <c r="BI61" s="46" t="n">
        <f aca="false">'Gastos objeto'!BI17-'Gastos objeto'!BI12</f>
        <v>20360745982.7045</v>
      </c>
      <c r="BJ61" s="46" t="n">
        <f aca="false">'Gastos objeto'!BJ17-'Gastos objeto'!BJ12</f>
        <v>24012214724.8284</v>
      </c>
      <c r="BK61" s="46" t="n">
        <f aca="false">'Gastos objeto'!BK17-'Gastos objeto'!BK12</f>
        <v>19631985329.6902</v>
      </c>
      <c r="BL61" s="46" t="n">
        <f aca="false">'Gastos objeto'!BL17-'Gastos objeto'!BL12</f>
        <v>19919061310.1086</v>
      </c>
      <c r="BM61" s="46" t="n">
        <f aca="false">'Gastos objeto'!BM17-'Gastos objeto'!BM12</f>
        <v>20316590219.9575</v>
      </c>
      <c r="BN61" s="46" t="n">
        <f aca="false">'Gastos objeto'!BN17-'Gastos objeto'!BN12</f>
        <v>20316590219.9575</v>
      </c>
      <c r="BO61" s="46" t="n">
        <f aca="false">'Gastos objeto'!BO17-'Gastos objeto'!BO12</f>
        <v>20316590219.9575</v>
      </c>
      <c r="BP61" s="46" t="n">
        <f aca="false">'Gastos objeto'!BP17-'Gastos objeto'!BP12</f>
        <v>24608508089.6017</v>
      </c>
      <c r="BQ61" s="46" t="n">
        <f aca="false">'Gastos objeto'!BQ17-'Gastos objeto'!BQ12</f>
        <v>20316590219.9575</v>
      </c>
      <c r="BR61" s="46" t="n">
        <f aca="false">'Gastos objeto'!BR17-'Gastos objeto'!BR12</f>
        <v>20316590219.9575</v>
      </c>
      <c r="BS61" s="46" t="n">
        <f aca="false">'Gastos objeto'!BS17-'Gastos objeto'!BS12</f>
        <v>20316590219.9575</v>
      </c>
      <c r="BT61" s="46" t="n">
        <f aca="false">'Gastos objeto'!BT17-'Gastos objeto'!BT12</f>
        <v>20360745982.7045</v>
      </c>
      <c r="BU61" s="46" t="n">
        <f aca="false">'Gastos objeto'!BU17-'Gastos objeto'!BU12</f>
        <v>20360745982.7045</v>
      </c>
      <c r="BV61" s="46" t="n">
        <f aca="false">'Gastos objeto'!BV17-'Gastos objeto'!BV12</f>
        <v>24012214724.8284</v>
      </c>
      <c r="BW61" s="46" t="n">
        <f aca="false">'Gastos objeto'!BW17-'Gastos objeto'!BW12</f>
        <v>19631985329.6902</v>
      </c>
      <c r="BX61" s="46" t="n">
        <f aca="false">'Gastos objeto'!BX17-'Gastos objeto'!BX12</f>
        <v>19919061310.1086</v>
      </c>
      <c r="BY61" s="46" t="n">
        <f aca="false">'Gastos objeto'!BY17-'Gastos objeto'!BY12</f>
        <v>20316590219.9575</v>
      </c>
      <c r="BZ61" s="46" t="n">
        <f aca="false">'Gastos objeto'!BZ17-'Gastos objeto'!BZ12</f>
        <v>20316590219.9575</v>
      </c>
      <c r="CA61" s="46" t="n">
        <f aca="false">'Gastos objeto'!CA17-'Gastos objeto'!CA12</f>
        <v>20316590219.9575</v>
      </c>
      <c r="CB61" s="46" t="n">
        <f aca="false">'Gastos objeto'!CB17-'Gastos objeto'!CB12</f>
        <v>24608508089.6017</v>
      </c>
      <c r="CC61" s="46" t="n">
        <f aca="false">'Gastos objeto'!CC17-'Gastos objeto'!CC12</f>
        <v>20316590219.9575</v>
      </c>
      <c r="CD61" s="46" t="n">
        <f aca="false">'Gastos objeto'!CD17-'Gastos objeto'!CD12</f>
        <v>20316590219.9575</v>
      </c>
      <c r="CE61" s="46" t="n">
        <f aca="false">'Gastos objeto'!CE17-'Gastos objeto'!CE12</f>
        <v>20316590219.9575</v>
      </c>
      <c r="CF61" s="46" t="n">
        <f aca="false">'Gastos objeto'!CF17-'Gastos objeto'!CF12</f>
        <v>20360745982.7045</v>
      </c>
      <c r="CG61" s="46" t="n">
        <f aca="false">'Gastos objeto'!CG17-'Gastos objeto'!CG12</f>
        <v>20360745982.7045</v>
      </c>
      <c r="CH61" s="46" t="n">
        <f aca="false">'Gastos objeto'!CH17-'Gastos objeto'!CH12</f>
        <v>24012214724.8284</v>
      </c>
      <c r="CI61" s="46" t="n">
        <f aca="false">'Gastos objeto'!CI17-'Gastos objeto'!CI12</f>
        <v>19631985329.6902</v>
      </c>
      <c r="CJ61" s="46" t="n">
        <f aca="false">'Gastos objeto'!CJ17-'Gastos objeto'!CJ12</f>
        <v>19919061310.1086</v>
      </c>
      <c r="CK61" s="46" t="n">
        <f aca="false">'Gastos objeto'!CK17-'Gastos objeto'!CK12</f>
        <v>20316590219.9575</v>
      </c>
      <c r="CL61" s="46" t="n">
        <f aca="false">'Gastos objeto'!CL17-'Gastos objeto'!CL12</f>
        <v>20316590219.9575</v>
      </c>
      <c r="CM61" s="46" t="n">
        <f aca="false">'Gastos objeto'!CM17-'Gastos objeto'!CM12</f>
        <v>20316590219.9575</v>
      </c>
      <c r="CN61" s="46" t="n">
        <f aca="false">'Gastos objeto'!CN17-'Gastos objeto'!CN12</f>
        <v>24608508089.6017</v>
      </c>
      <c r="CO61" s="46" t="n">
        <f aca="false">'Gastos objeto'!CO17-'Gastos objeto'!CO12</f>
        <v>20316590219.9575</v>
      </c>
      <c r="CP61" s="46" t="n">
        <f aca="false">'Gastos objeto'!CP17-'Gastos objeto'!CP12</f>
        <v>20316590219.9575</v>
      </c>
      <c r="CQ61" s="46" t="n">
        <f aca="false">'Gastos objeto'!CQ17-'Gastos objeto'!CQ12</f>
        <v>20316590219.9575</v>
      </c>
      <c r="CR61" s="46" t="n">
        <f aca="false">'Gastos objeto'!CR17-'Gastos objeto'!CR12</f>
        <v>20360745982.7045</v>
      </c>
      <c r="CS61" s="46" t="n">
        <f aca="false">'Gastos objeto'!CS17-'Gastos objeto'!CS12</f>
        <v>20360745982.7045</v>
      </c>
      <c r="CT61" s="46" t="n">
        <f aca="false">'Gastos objeto'!CT17-'Gastos objeto'!CT12</f>
        <v>24012214724.8284</v>
      </c>
    </row>
    <row r="62" customFormat="false" ht="15" hidden="false" customHeight="true" outlineLevel="0" collapsed="false">
      <c r="B62" s="38" t="s">
        <v>327</v>
      </c>
      <c r="C62" s="39" t="n">
        <f aca="false">C60-C61</f>
        <v>7041481941.11496</v>
      </c>
      <c r="D62" s="39" t="n">
        <f aca="false">D60-D61</f>
        <v>4710489184.4384</v>
      </c>
      <c r="E62" s="39" t="n">
        <f aca="false">E60-E61</f>
        <v>5503352378.72034</v>
      </c>
      <c r="F62" s="39" t="n">
        <f aca="false">F60-F61</f>
        <v>5115209307.42559</v>
      </c>
      <c r="G62" s="39" t="n">
        <f aca="false">G60-G61</f>
        <v>4727066236.13085</v>
      </c>
      <c r="H62" s="39" t="n">
        <f aca="false">H60-H61</f>
        <v>823291437.781361</v>
      </c>
      <c r="I62" s="39" t="n">
        <f aca="false">I60-I61</f>
        <v>5503352378.72034</v>
      </c>
      <c r="J62" s="39" t="n">
        <f aca="false">J60-J61</f>
        <v>5115209307.42559</v>
      </c>
      <c r="K62" s="39" t="n">
        <f aca="false">K60-K61</f>
        <v>4727066236.13085</v>
      </c>
      <c r="L62" s="39" t="n">
        <f aca="false">L60-L61</f>
        <v>5071053544.67857</v>
      </c>
      <c r="M62" s="39" t="n">
        <f aca="false">M60-M61</f>
        <v>4682910473.38383</v>
      </c>
      <c r="N62" s="39" t="n">
        <f aca="false">N60-N61</f>
        <v>1160606041.29086</v>
      </c>
      <c r="O62" s="39" t="n">
        <f aca="false">O60-O61</f>
        <v>7716000488.33996</v>
      </c>
      <c r="P62" s="39" t="n">
        <f aca="false">P60-P61</f>
        <v>5337551696.04409</v>
      </c>
      <c r="Q62" s="39" t="n">
        <f aca="false">Q60-Q61</f>
        <v>6168826853.32112</v>
      </c>
      <c r="R62" s="39" t="n">
        <f aca="false">R60-R61</f>
        <v>5769315162.89499</v>
      </c>
      <c r="S62" s="39" t="n">
        <f aca="false">S60-S61</f>
        <v>5369803472.46887</v>
      </c>
      <c r="T62" s="39" t="n">
        <f aca="false">T60-T61</f>
        <v>1477397293.25076</v>
      </c>
      <c r="U62" s="39" t="n">
        <f aca="false">U60-U61</f>
        <v>6168826853.32112</v>
      </c>
      <c r="V62" s="39" t="n">
        <f aca="false">V60-V61</f>
        <v>5769315162.895</v>
      </c>
      <c r="W62" s="39" t="n">
        <f aca="false">W60-W61</f>
        <v>5369803472.46887</v>
      </c>
      <c r="X62" s="39" t="n">
        <f aca="false">X60-X61</f>
        <v>6975159400.14797</v>
      </c>
      <c r="Y62" s="39" t="n">
        <f aca="false">Y60-Y61</f>
        <v>6575647709.72185</v>
      </c>
      <c r="Z62" s="39" t="n">
        <f aca="false">Z60-Z61</f>
        <v>3048262323.19222</v>
      </c>
      <c r="AA62" s="39" t="n">
        <f aca="false">AA60-AA61</f>
        <v>9663450244.60029</v>
      </c>
      <c r="AB62" s="39" t="n">
        <f aca="false">AB60-AB61</f>
        <v>7236471830.65014</v>
      </c>
      <c r="AC62" s="39" t="n">
        <f aca="false">AC60-AC61</f>
        <v>8107204370.88148</v>
      </c>
      <c r="AD62" s="39" t="n">
        <f aca="false">AD60-AD61</f>
        <v>7696028276.5807</v>
      </c>
      <c r="AE62" s="39" t="n">
        <f aca="false">AE60-AE61</f>
        <v>7284852182.27993</v>
      </c>
      <c r="AF62" s="39" t="n">
        <f aca="false">AF60-AF61</f>
        <v>3404110406.93647</v>
      </c>
      <c r="AG62" s="39" t="n">
        <f aca="false">AG60-AG61</f>
        <v>8107204370.88148</v>
      </c>
      <c r="AH62" s="39" t="n">
        <f aca="false">AH60-AH61</f>
        <v>7770751550.91405</v>
      </c>
      <c r="AI62" s="39" t="n">
        <f aca="false">AI60-AI61</f>
        <v>7567197550.1966</v>
      </c>
      <c r="AJ62" s="39" t="n">
        <f aca="false">AJ60-AJ61</f>
        <v>7934217881.75035</v>
      </c>
      <c r="AK62" s="39" t="n">
        <f aca="false">AK60-AK61</f>
        <v>7523041787.44958</v>
      </c>
      <c r="AL62" s="39" t="n">
        <f aca="false">AL60-AL61</f>
        <v>3990328174.53136</v>
      </c>
      <c r="AM62" s="39" t="n">
        <f aca="false">AM60-AM61</f>
        <v>10666728447.1507</v>
      </c>
      <c r="AN62" s="39" t="n">
        <f aca="false">AN60-AN61</f>
        <v>8190123000.81344</v>
      </c>
      <c r="AO62" s="39" t="n">
        <f aca="false">AO60-AO61</f>
        <v>9101384509.18777</v>
      </c>
      <c r="AP62" s="39" t="n">
        <f aca="false">AP60-AP61</f>
        <v>8678241013.58152</v>
      </c>
      <c r="AQ62" s="39" t="n">
        <f aca="false">AQ60-AQ61</f>
        <v>8255097517.97528</v>
      </c>
      <c r="AR62" s="39" t="n">
        <f aca="false">AR60-AR61</f>
        <v>4386323143.93729</v>
      </c>
      <c r="AS62" s="39" t="n">
        <f aca="false">AS60-AS61</f>
        <v>9101384509.18776</v>
      </c>
      <c r="AT62" s="39" t="n">
        <f aca="false">AT60-AT61</f>
        <v>8678241013.58152</v>
      </c>
      <c r="AU62" s="39" t="n">
        <f aca="false">AU60-AU61</f>
        <v>8255097517.97528</v>
      </c>
      <c r="AV62" s="39" t="n">
        <f aca="false">AV60-AV61</f>
        <v>8634085250.83451</v>
      </c>
      <c r="AW62" s="39" t="n">
        <f aca="false">AW60-AW61</f>
        <v>8210941755.22826</v>
      </c>
      <c r="AX62" s="39" t="n">
        <f aca="false">AX60-AX61</f>
        <v>4672644932.39633</v>
      </c>
      <c r="AY62" s="39" t="n">
        <f aca="false">AY60-AY61</f>
        <v>11228036615.5789</v>
      </c>
      <c r="AZ62" s="39" t="n">
        <f aca="false">AZ60-AZ61</f>
        <v>8708735344.65627</v>
      </c>
      <c r="BA62" s="39" t="n">
        <f aca="false">BA60-BA61</f>
        <v>9645518266.18596</v>
      </c>
      <c r="BB62" s="39" t="n">
        <f aca="false">BB60-BB61</f>
        <v>9214123472.41538</v>
      </c>
      <c r="BC62" s="39" t="n">
        <f aca="false">BC60-BC61</f>
        <v>8782728678.64481</v>
      </c>
      <c r="BD62" s="39" t="n">
        <f aca="false">BD60-BD61</f>
        <v>4922205602.77115</v>
      </c>
      <c r="BE62" s="39" t="n">
        <f aca="false">BE60-BE61</f>
        <v>9645518266.18595</v>
      </c>
      <c r="BF62" s="39" t="n">
        <f aca="false">BF60-BF61</f>
        <v>9214123472.41538</v>
      </c>
      <c r="BG62" s="39" t="n">
        <f aca="false">BG60-BG61</f>
        <v>8782728678.64481</v>
      </c>
      <c r="BH62" s="39" t="n">
        <f aca="false">BH60-BH61</f>
        <v>9169967709.66837</v>
      </c>
      <c r="BI62" s="39" t="n">
        <f aca="false">BI60-BI61</f>
        <v>8738572915.89779</v>
      </c>
      <c r="BJ62" s="39" t="n">
        <f aca="false">BJ60-BJ61</f>
        <v>5202482945.49206</v>
      </c>
      <c r="BK62" s="39" t="n">
        <f aca="false">BK60-BK61</f>
        <v>11800938481.1264</v>
      </c>
      <c r="BL62" s="39" t="n">
        <f aca="false">BL60-BL61</f>
        <v>9238108817.03887</v>
      </c>
      <c r="BM62" s="39" t="n">
        <f aca="false">BM60-BM61</f>
        <v>10200910819.2804</v>
      </c>
      <c r="BN62" s="39" t="n">
        <f aca="false">BN60-BN61</f>
        <v>9761103827.03133</v>
      </c>
      <c r="BO62" s="39" t="n">
        <f aca="false">BO60-BO61</f>
        <v>9321296834.78224</v>
      </c>
      <c r="BP62" s="39" t="n">
        <f aca="false">BP60-BP61</f>
        <v>5469185957.3871</v>
      </c>
      <c r="BQ62" s="39" t="n">
        <f aca="false">BQ60-BQ61</f>
        <v>10200910819.2804</v>
      </c>
      <c r="BR62" s="39" t="n">
        <f aca="false">BR60-BR61</f>
        <v>9761103827.03133</v>
      </c>
      <c r="BS62" s="39" t="n">
        <f aca="false">BS60-BS61</f>
        <v>9321296834.78224</v>
      </c>
      <c r="BT62" s="39" t="n">
        <f aca="false">BT60-BT61</f>
        <v>9716948064.28432</v>
      </c>
      <c r="BU62" s="39" t="n">
        <f aca="false">BU60-BU61</f>
        <v>9277141072.03522</v>
      </c>
      <c r="BV62" s="39" t="n">
        <f aca="false">BV60-BV61</f>
        <v>5743300987.67799</v>
      </c>
      <c r="BW62" s="39" t="n">
        <f aca="false">BW60-BW61</f>
        <v>12385645886.6819</v>
      </c>
      <c r="BX62" s="39" t="n">
        <f aca="false">BX60-BX61</f>
        <v>9778439025.76291</v>
      </c>
      <c r="BY62" s="39" t="n">
        <f aca="false">BY60-BY61</f>
        <v>10767767480.7902</v>
      </c>
      <c r="BZ62" s="39" t="n">
        <f aca="false">BZ60-BZ61</f>
        <v>10319384252.1923</v>
      </c>
      <c r="CA62" s="39" t="n">
        <f aca="false">CA60-CA61</f>
        <v>9871001023.59433</v>
      </c>
      <c r="CB62" s="39" t="n">
        <f aca="false">CB60-CB61</f>
        <v>6027466382.54805</v>
      </c>
      <c r="CC62" s="39" t="n">
        <f aca="false">CC60-CC61</f>
        <v>10767767480.7902</v>
      </c>
      <c r="CD62" s="39" t="n">
        <f aca="false">CD60-CD61</f>
        <v>10319384252.1923</v>
      </c>
      <c r="CE62" s="39" t="n">
        <f aca="false">CE60-CE61</f>
        <v>9871001023.59433</v>
      </c>
      <c r="CF62" s="39" t="n">
        <f aca="false">CF60-CF61</f>
        <v>10275228489.4453</v>
      </c>
      <c r="CG62" s="39" t="n">
        <f aca="false">CG60-CG61</f>
        <v>9826845260.84731</v>
      </c>
      <c r="CH62" s="39" t="n">
        <f aca="false">CH60-CH61</f>
        <v>6295298935.31653</v>
      </c>
      <c r="CI62" s="39" t="n">
        <f aca="false">CI60-CI61</f>
        <v>12982375118.6541</v>
      </c>
      <c r="CJ62" s="39" t="n">
        <f aca="false">CJ60-CJ61</f>
        <v>10329925705.5653</v>
      </c>
      <c r="CK62" s="39" t="n">
        <f aca="false">CK60-CK61</f>
        <v>11346297879.2078</v>
      </c>
      <c r="CL62" s="39" t="n">
        <f aca="false">CL60-CL61</f>
        <v>10889171177.6521</v>
      </c>
      <c r="CM62" s="39" t="n">
        <f aca="false">CM60-CM61</f>
        <v>10432044476.0965</v>
      </c>
      <c r="CN62" s="39" t="n">
        <f aca="false">CN60-CN61</f>
        <v>6597253308.00791</v>
      </c>
      <c r="CO62" s="39" t="n">
        <f aca="false">CO60-CO61</f>
        <v>11346297879.2077</v>
      </c>
      <c r="CP62" s="39" t="n">
        <f aca="false">CP60-CP61</f>
        <v>10889171177.6521</v>
      </c>
      <c r="CQ62" s="39" t="n">
        <f aca="false">CQ60-CQ61</f>
        <v>10432044476.0965</v>
      </c>
      <c r="CR62" s="39" t="n">
        <f aca="false">CR60-CR61</f>
        <v>10845015414.9051</v>
      </c>
      <c r="CS62" s="39" t="n">
        <f aca="false">CS60-CS61</f>
        <v>10387888713.3495</v>
      </c>
      <c r="CT62" s="39" t="n">
        <f aca="false">CT60-CT61</f>
        <v>6858680874.9423</v>
      </c>
    </row>
    <row r="63" customFormat="false" ht="15" hidden="false" customHeight="true" outlineLevel="0" collapsed="false">
      <c r="B63" s="38" t="s">
        <v>328</v>
      </c>
      <c r="C63" s="39" t="n">
        <f aca="false">Recursos!C20-'Gastos objeto'!C17</f>
        <v>5414570289.82143</v>
      </c>
      <c r="D63" s="39" t="n">
        <f aca="false">Recursos!D20-'Gastos objeto'!D17</f>
        <v>2505420439.64227</v>
      </c>
      <c r="E63" s="39" t="n">
        <f aca="false">Recursos!E20-'Gastos objeto'!E17</f>
        <v>1050191037.44237</v>
      </c>
      <c r="F63" s="39" t="n">
        <f aca="false">Recursos!F20-'Gastos objeto'!F17</f>
        <v>83890872.6450272</v>
      </c>
      <c r="G63" s="39" t="n">
        <f aca="false">Recursos!G20-'Gastos objeto'!G17</f>
        <v>-860897366.30946</v>
      </c>
      <c r="H63" s="39" t="n">
        <f aca="false">Recursos!H20-'Gastos objeto'!H17</f>
        <v>-4743160238.8161</v>
      </c>
      <c r="I63" s="39" t="n">
        <f aca="false">Recursos!I20-'Gastos objeto'!I17</f>
        <v>-84611223.7199745</v>
      </c>
      <c r="J63" s="39" t="n">
        <f aca="false">Recursos!J20-'Gastos objeto'!J17</f>
        <v>-472754295.014717</v>
      </c>
      <c r="K63" s="39" t="n">
        <f aca="false">Recursos!K20-'Gastos objeto'!K17</f>
        <v>-860897366.30946</v>
      </c>
      <c r="L63" s="39" t="n">
        <f aca="false">Recursos!L20-'Gastos objeto'!L17</f>
        <v>-495398131.918884</v>
      </c>
      <c r="M63" s="39" t="n">
        <f aca="false">Recursos!M20-'Gastos objeto'!M17</f>
        <v>-305384109.711025</v>
      </c>
      <c r="N63" s="39" t="n">
        <f aca="false">Recursos!N20-'Gastos objeto'!N17</f>
        <v>-2714398206.48451</v>
      </c>
      <c r="O63" s="39" t="n">
        <f aca="false">Recursos!O20-'Gastos objeto'!O17</f>
        <v>6091186249.81611</v>
      </c>
      <c r="P63" s="39" t="n">
        <f aca="false">Recursos!P20-'Gastos objeto'!P17</f>
        <v>3134580364.01764</v>
      </c>
      <c r="Q63" s="39" t="n">
        <f aca="false">Recursos!Q20-'Gastos objeto'!Q17</f>
        <v>1719021372.47464</v>
      </c>
      <c r="R63" s="39" t="n">
        <f aca="false">Recursos!R20-'Gastos objeto'!R17</f>
        <v>741352588.545914</v>
      </c>
      <c r="S63" s="39" t="n">
        <f aca="false">Recursos!S20-'Gastos objeto'!S17</f>
        <v>-214384786.986019</v>
      </c>
      <c r="T63" s="39" t="n">
        <f aca="false">Recursos!T20-'Gastos objeto'!T17</f>
        <v>-4084859557.80734</v>
      </c>
      <c r="U63" s="39" t="n">
        <f aca="false">Recursos!U20-'Gastos objeto'!U17</f>
        <v>584638593.86623</v>
      </c>
      <c r="V63" s="39" t="n">
        <f aca="false">Recursos!V20-'Gastos objeto'!V17</f>
        <v>185126903.440105</v>
      </c>
      <c r="W63" s="39" t="n">
        <f aca="false">Recursos!W20-'Gastos objeto'!W17</f>
        <v>-214384786.986019</v>
      </c>
      <c r="X63" s="39" t="n">
        <f aca="false">Recursos!X20-'Gastos objeto'!X17</f>
        <v>1412902549.08987</v>
      </c>
      <c r="Y63" s="39" t="n">
        <f aca="false">Recursos!Y20-'Gastos objeto'!Y17</f>
        <v>1591547952.16635</v>
      </c>
      <c r="Z63" s="39" t="n">
        <f aca="false">Recursos!Z20-'Gastos objeto'!Z17</f>
        <v>-823386064.151665</v>
      </c>
      <c r="AA63" s="39" t="n">
        <f aca="false">Recursos!AA20-'Gastos objeto'!AA17</f>
        <v>8040774318.39513</v>
      </c>
      <c r="AB63" s="39" t="n">
        <f aca="false">Recursos!AB20-'Gastos objeto'!AB17</f>
        <v>5035638810.94238</v>
      </c>
      <c r="AC63" s="39" t="n">
        <f aca="false">Recursos!AC20-'Gastos objeto'!AC17</f>
        <v>3660820189.7449</v>
      </c>
      <c r="AD63" s="39" t="n">
        <f aca="false">Recursos!AD20-'Gastos objeto'!AD17</f>
        <v>2671487001.94152</v>
      </c>
      <c r="AE63" s="39" t="n">
        <f aca="false">Recursos!AE20-'Gastos objeto'!AE17</f>
        <v>1704512884.99868</v>
      </c>
      <c r="AF63" s="39" t="n">
        <f aca="false">Recursos!AF20-'Gastos objeto'!AF17</f>
        <v>-2153869819.48426</v>
      </c>
      <c r="AG63" s="39" t="n">
        <f aca="false">Recursos!AG20-'Gastos objeto'!AG17</f>
        <v>2526865073.60022</v>
      </c>
      <c r="AH63" s="39" t="n">
        <f aca="false">Recursos!AH20-'Gastos objeto'!AH17</f>
        <v>2190412253.63279</v>
      </c>
      <c r="AI63" s="39" t="n">
        <f aca="false">Recursos!AI20-'Gastos objeto'!AI17</f>
        <v>1986858252.91534</v>
      </c>
      <c r="AJ63" s="39" t="n">
        <f aca="false">Recursos!AJ20-'Gastos objeto'!AJ17</f>
        <v>2376237655.32962</v>
      </c>
      <c r="AK63" s="39" t="n">
        <f aca="false">Recursos!AK20-'Gastos objeto'!AK17</f>
        <v>2543218654.53145</v>
      </c>
      <c r="AL63" s="39" t="n">
        <f aca="false">Recursos!AL20-'Gastos objeto'!AL17</f>
        <v>122101086.897381</v>
      </c>
      <c r="AM63" s="39" t="n">
        <f aca="false">Recursos!AM20-'Gastos objeto'!AM17</f>
        <v>9046232530.35442</v>
      </c>
      <c r="AN63" s="39" t="n">
        <f aca="false">Recursos!AN20-'Gastos objeto'!AN17</f>
        <v>5991469990.51458</v>
      </c>
      <c r="AO63" s="39" t="n">
        <f aca="false">Recursos!AO20-'Gastos objeto'!AO17</f>
        <v>4658488343.10543</v>
      </c>
      <c r="AP63" s="39" t="n">
        <f aca="false">Recursos!AP20-'Gastos objeto'!AP17</f>
        <v>3657187753.99659</v>
      </c>
      <c r="AQ63" s="39" t="n">
        <f aca="false">Recursos!AQ20-'Gastos objeto'!AQ17</f>
        <v>2678682237.63005</v>
      </c>
      <c r="AR63" s="39" t="n">
        <f aca="false">Recursos!AR20-'Gastos objeto'!AR17</f>
        <v>-1167297063.66563</v>
      </c>
      <c r="AS63" s="39" t="n">
        <f aca="false">Recursos!AS20-'Gastos objeto'!AS17</f>
        <v>3524969228.84253</v>
      </c>
      <c r="AT63" s="39" t="n">
        <f aca="false">Recursos!AT20-'Gastos objeto'!AT17</f>
        <v>3101825733.23629</v>
      </c>
      <c r="AU63" s="39" t="n">
        <f aca="false">Recursos!AU20-'Gastos objeto'!AU17</f>
        <v>2678682237.63005</v>
      </c>
      <c r="AV63" s="39" t="n">
        <f aca="false">Recursos!AV20-'Gastos objeto'!AV17</f>
        <v>3080465043.23158</v>
      </c>
      <c r="AW63" s="39" t="n">
        <f aca="false">Recursos!AW20-'Gastos objeto'!AW17</f>
        <v>3235478641.12794</v>
      </c>
      <c r="AX63" s="39" t="n">
        <f aca="false">Recursos!AX20-'Gastos objeto'!AX17</f>
        <v>807905859.816589</v>
      </c>
      <c r="AY63" s="39" t="n">
        <f aca="false">Recursos!AY20-'Gastos objeto'!AY17</f>
        <v>9609763218.37503</v>
      </c>
      <c r="AZ63" s="39" t="n">
        <f aca="false">Recursos!AZ20-'Gastos objeto'!AZ17</f>
        <v>6512304853.94978</v>
      </c>
      <c r="BA63" s="39" t="n">
        <f aca="false">Recursos!BA20-'Gastos objeto'!BA17</f>
        <v>5206178131.45142</v>
      </c>
      <c r="BB63" s="39" t="n">
        <f aca="false">Recursos!BB20-'Gastos objeto'!BB17</f>
        <v>4196626244.17825</v>
      </c>
      <c r="BC63" s="39" t="n">
        <f aca="false">Recursos!BC20-'Gastos objeto'!BC17</f>
        <v>3210313933.56586</v>
      </c>
      <c r="BD63" s="39" t="n">
        <f aca="false">Recursos!BD20-'Gastos objeto'!BD17</f>
        <v>-626969565.647018</v>
      </c>
      <c r="BE63" s="39" t="n">
        <f aca="false">Recursos!BE20-'Gastos objeto'!BE17</f>
        <v>4073103521.10699</v>
      </c>
      <c r="BF63" s="39" t="n">
        <f aca="false">Recursos!BF20-'Gastos objeto'!BF17</f>
        <v>3641708727.33643</v>
      </c>
      <c r="BG63" s="39" t="n">
        <f aca="false">Recursos!BG20-'Gastos objeto'!BG17</f>
        <v>3210313933.56586</v>
      </c>
      <c r="BH63" s="39" t="n">
        <f aca="false">Recursos!BH20-'Gastos objeto'!BH17</f>
        <v>3620792541.25019</v>
      </c>
      <c r="BI63" s="39" t="n">
        <f aca="false">Recursos!BI20-'Gastos objeto'!BI17</f>
        <v>3767554840.98222</v>
      </c>
      <c r="BJ63" s="39" t="n">
        <f aca="false">Recursos!BJ20-'Gastos objeto'!BJ17</f>
        <v>1341299904.26012</v>
      </c>
      <c r="BK63" s="39" t="n">
        <f aca="false">Recursos!BK20-'Gastos objeto'!BK17</f>
        <v>10184930942.6469</v>
      </c>
      <c r="BL63" s="39" t="n">
        <f aca="false">Recursos!BL20-'Gastos objeto'!BL17</f>
        <v>7043944185.05681</v>
      </c>
      <c r="BM63" s="39" t="n">
        <f aca="false">Recursos!BM20-'Gastos objeto'!BM17</f>
        <v>5765196058.50498</v>
      </c>
      <c r="BN63" s="39" t="n">
        <f aca="false">Recursos!BN20-'Gastos objeto'!BN17</f>
        <v>4747231972.75328</v>
      </c>
      <c r="BO63" s="39" t="n">
        <f aca="false">Recursos!BO20-'Gastos objeto'!BO17</f>
        <v>3752960635.40725</v>
      </c>
      <c r="BP63" s="39" t="n">
        <f aca="false">Recursos!BP20-'Gastos objeto'!BP17</f>
        <v>-75457493.5822144</v>
      </c>
      <c r="BQ63" s="39" t="n">
        <f aca="false">Recursos!BQ20-'Gastos objeto'!BQ17</f>
        <v>4632574619.90544</v>
      </c>
      <c r="BR63" s="39" t="n">
        <f aca="false">Recursos!BR20-'Gastos objeto'!BR17</f>
        <v>4192767627.65635</v>
      </c>
      <c r="BS63" s="39" t="n">
        <f aca="false">Recursos!BS20-'Gastos objeto'!BS17</f>
        <v>3752960635.40725</v>
      </c>
      <c r="BT63" s="39" t="n">
        <f aca="false">Recursos!BT20-'Gastos objeto'!BT17</f>
        <v>4172304613.315</v>
      </c>
      <c r="BU63" s="39" t="n">
        <f aca="false">Recursos!BU20-'Gastos objeto'!BU17</f>
        <v>4310654714.5685</v>
      </c>
      <c r="BV63" s="39" t="n">
        <f aca="false">Recursos!BV20-'Gastos objeto'!BV17</f>
        <v>1885743320.40514</v>
      </c>
      <c r="BW63" s="39" t="n">
        <f aca="false">Recursos!BW20-'Gastos objeto'!BW17</f>
        <v>10771948391.172</v>
      </c>
      <c r="BX63" s="39" t="n">
        <f aca="false">Recursos!BX20-'Gastos objeto'!BX17</f>
        <v>7586584436.7504</v>
      </c>
      <c r="BY63" s="39" t="n">
        <f aca="false">Recursos!BY20-'Gastos objeto'!BY17</f>
        <v>6335748788.76607</v>
      </c>
      <c r="BZ63" s="39" t="n">
        <f aca="false">Recursos!BZ20-'Gastos objeto'!BZ17</f>
        <v>5309208466.66551</v>
      </c>
      <c r="CA63" s="39" t="n">
        <f aca="false">Recursos!CA20-'Gastos objeto'!CA17</f>
        <v>4306822901.56454</v>
      </c>
      <c r="CB63" s="39" t="n">
        <f aca="false">Recursos!CB20-'Gastos objeto'!CB17</f>
        <v>487443017.517838</v>
      </c>
      <c r="CC63" s="39" t="n">
        <f aca="false">Recursos!CC20-'Gastos objeto'!CC17</f>
        <v>5203589358.76044</v>
      </c>
      <c r="CD63" s="39" t="n">
        <f aca="false">Recursos!CD20-'Gastos objeto'!CD17</f>
        <v>4755206130.16249</v>
      </c>
      <c r="CE63" s="39" t="n">
        <f aca="false">Recursos!CE20-'Gastos objeto'!CE17</f>
        <v>4306822901.56454</v>
      </c>
      <c r="CF63" s="39" t="n">
        <f aca="false">Recursos!CF20-'Gastos objeto'!CF17</f>
        <v>4735205124.41505</v>
      </c>
      <c r="CG63" s="39" t="n">
        <f aca="false">Recursos!CG20-'Gastos objeto'!CG17</f>
        <v>4864978989.3197</v>
      </c>
      <c r="CH63" s="39" t="n">
        <f aca="false">Recursos!CH20-'Gastos objeto'!CH17</f>
        <v>2441437336.79496</v>
      </c>
      <c r="CI63" s="39" t="n">
        <f aca="false">Recursos!CI20-'Gastos objeto'!CI17</f>
        <v>11371032711.9517</v>
      </c>
      <c r="CJ63" s="39" t="n">
        <f aca="false">Recursos!CJ20-'Gastos objeto'!CJ17</f>
        <v>8140426205.36029</v>
      </c>
      <c r="CK63" s="39" t="n">
        <f aca="false">Recursos!CK20-'Gastos objeto'!CK17</f>
        <v>6918047329.27551</v>
      </c>
      <c r="CL63" s="39" t="n">
        <f aca="false">Recursos!CL20-'Gastos objeto'!CL17</f>
        <v>5882763534.2173</v>
      </c>
      <c r="CM63" s="39" t="n">
        <f aca="false">Recursos!CM20-'Gastos objeto'!CM17</f>
        <v>4872105513.92016</v>
      </c>
      <c r="CN63" s="39" t="n">
        <f aca="false">Recursos!CN20-'Gastos objeto'!CN17</f>
        <v>1061940120.59261</v>
      </c>
      <c r="CO63" s="39" t="n">
        <f aca="false">Recursos!CO20-'Gastos objeto'!CO17</f>
        <v>5786358917.03138</v>
      </c>
      <c r="CP63" s="39" t="n">
        <f aca="false">Recursos!CP20-'Gastos objeto'!CP17</f>
        <v>5329232215.47577</v>
      </c>
      <c r="CQ63" s="39" t="n">
        <f aca="false">Recursos!CQ20-'Gastos objeto'!CQ17</f>
        <v>4872105513.92016</v>
      </c>
      <c r="CR63" s="39" t="n">
        <f aca="false">Recursos!CR20-'Gastos objeto'!CR17</f>
        <v>5309702227.48982</v>
      </c>
      <c r="CS63" s="39" t="n">
        <f aca="false">Recursos!CS20-'Gastos objeto'!CS17</f>
        <v>5430732619.43681</v>
      </c>
      <c r="CT63" s="39" t="n">
        <f aca="false">Recursos!CT20-'Gastos objeto'!CT17</f>
        <v>3008587418.51266</v>
      </c>
    </row>
    <row r="65" customFormat="false" ht="24" hidden="false" customHeight="true" outlineLevel="0" collapsed="false">
      <c r="B65" s="17" t="s">
        <v>329</v>
      </c>
    </row>
    <row r="66" customFormat="false" ht="24" hidden="false" customHeight="true" outlineLevel="0" collapsed="false">
      <c r="B66" s="17" t="s">
        <v>330</v>
      </c>
    </row>
    <row r="67" customFormat="false" ht="24" hidden="false" customHeight="true" outlineLevel="0" collapsed="false">
      <c r="B67" s="17" t="s">
        <v>331</v>
      </c>
    </row>
    <row r="68" customFormat="false" ht="24" hidden="false" customHeight="true" outlineLevel="0" collapsed="false">
      <c r="B68" s="17" t="s">
        <v>332</v>
      </c>
    </row>
    <row r="70" customFormat="false" ht="24" hidden="false" customHeight="true" outlineLevel="0" collapsed="false">
      <c r="B70" s="17" t="s">
        <v>333</v>
      </c>
    </row>
  </sheetData>
  <conditionalFormatting sqref="C53:CT53">
    <cfRule type="cellIs" priority="2" operator="equal" aboveAverage="0" equalAverage="0" bottom="0" percent="0" rank="0" text="" dxfId="0">
      <formula>"ALERTA"</formula>
    </cfRule>
  </conditionalFormatting>
  <conditionalFormatting sqref="C55:CT55">
    <cfRule type="cellIs" priority="3" operator="equal" aboveAverage="0" equalAverage="0" bottom="0" percent="0" rank="0" text="" dxfId="0">
      <formula>"USA AFECTADOS"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T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6"/>
    <col collapsed="false" customWidth="true" hidden="false" outlineLevel="0" max="98" min="3" style="1" width="11"/>
  </cols>
  <sheetData>
    <row r="2" customFormat="false" ht="15.75" hidden="false" customHeight="true" outlineLevel="0" collapsed="false">
      <c r="B2" s="13" t="s">
        <v>334</v>
      </c>
    </row>
    <row r="3" customFormat="false" ht="15" hidden="false" customHeight="true" outlineLevel="0" collapsed="false">
      <c r="B3" s="3" t="s">
        <v>335</v>
      </c>
    </row>
    <row r="5" customFormat="false" ht="15" hidden="false" customHeight="true" outlineLevel="0" collapsed="false">
      <c r="B5" s="32" t="s">
        <v>236</v>
      </c>
      <c r="C5" s="32" t="s">
        <v>237</v>
      </c>
      <c r="D5" s="32"/>
      <c r="E5" s="32"/>
      <c r="F5" s="32"/>
      <c r="G5" s="32"/>
      <c r="H5" s="32"/>
      <c r="I5" s="32"/>
      <c r="J5" s="32"/>
      <c r="K5" s="32"/>
      <c r="L5" s="32"/>
      <c r="M5" s="32"/>
      <c r="N5" s="32"/>
      <c r="O5" s="32" t="s">
        <v>238</v>
      </c>
      <c r="P5" s="32"/>
      <c r="Q5" s="32"/>
      <c r="R5" s="32"/>
      <c r="S5" s="32"/>
      <c r="T5" s="32"/>
      <c r="U5" s="32"/>
      <c r="V5" s="32"/>
      <c r="W5" s="32"/>
      <c r="X5" s="32"/>
      <c r="Y5" s="32"/>
      <c r="Z5" s="32"/>
      <c r="AA5" s="32" t="s">
        <v>239</v>
      </c>
      <c r="AB5" s="32"/>
      <c r="AC5" s="32"/>
      <c r="AD5" s="32"/>
      <c r="AE5" s="32"/>
      <c r="AF5" s="32"/>
      <c r="AG5" s="32"/>
      <c r="AH5" s="32"/>
      <c r="AI5" s="32"/>
      <c r="AJ5" s="32"/>
      <c r="AK5" s="32"/>
      <c r="AL5" s="32"/>
      <c r="AM5" s="32" t="s">
        <v>240</v>
      </c>
      <c r="AN5" s="32"/>
      <c r="AO5" s="32"/>
      <c r="AP5" s="32"/>
      <c r="AQ5" s="32"/>
      <c r="AR5" s="32"/>
      <c r="AS5" s="32"/>
      <c r="AT5" s="32"/>
      <c r="AU5" s="32"/>
      <c r="AV5" s="32"/>
      <c r="AW5" s="32"/>
      <c r="AX5" s="32"/>
      <c r="AY5" s="32" t="s">
        <v>241</v>
      </c>
      <c r="AZ5" s="32"/>
      <c r="BA5" s="32"/>
      <c r="BB5" s="32"/>
      <c r="BC5" s="32"/>
      <c r="BD5" s="32"/>
      <c r="BE5" s="32"/>
      <c r="BF5" s="32"/>
      <c r="BG5" s="32"/>
      <c r="BH5" s="32"/>
      <c r="BI5" s="32"/>
      <c r="BJ5" s="32"/>
      <c r="BK5" s="32" t="s">
        <v>242</v>
      </c>
      <c r="BL5" s="32"/>
      <c r="BM5" s="32"/>
      <c r="BN5" s="32"/>
      <c r="BO5" s="32"/>
      <c r="BP5" s="32"/>
      <c r="BQ5" s="32"/>
      <c r="BR5" s="32"/>
      <c r="BS5" s="32"/>
      <c r="BT5" s="32"/>
      <c r="BU5" s="32"/>
      <c r="BV5" s="32"/>
      <c r="BW5" s="32" t="s">
        <v>243</v>
      </c>
      <c r="BX5" s="32"/>
      <c r="BY5" s="32"/>
      <c r="BZ5" s="32"/>
      <c r="CA5" s="32"/>
      <c r="CB5" s="32"/>
      <c r="CC5" s="32"/>
      <c r="CD5" s="32"/>
      <c r="CE5" s="32"/>
      <c r="CF5" s="32"/>
      <c r="CG5" s="32"/>
      <c r="CH5" s="32"/>
      <c r="CI5" s="32" t="s">
        <v>244</v>
      </c>
      <c r="CJ5" s="32"/>
      <c r="CK5" s="32"/>
      <c r="CL5" s="32"/>
      <c r="CM5" s="32"/>
      <c r="CN5" s="32"/>
      <c r="CO5" s="32"/>
      <c r="CP5" s="32"/>
      <c r="CQ5" s="32"/>
      <c r="CR5" s="32"/>
      <c r="CS5" s="32"/>
      <c r="CT5" s="32"/>
    </row>
    <row r="6" customFormat="false" ht="15" hidden="false" customHeight="true" outlineLevel="0" collapsed="false">
      <c r="B6" s="33" t="s">
        <v>245</v>
      </c>
      <c r="C6" s="34" t="s">
        <v>200</v>
      </c>
      <c r="D6" s="34" t="s">
        <v>201</v>
      </c>
      <c r="E6" s="34" t="s">
        <v>202</v>
      </c>
      <c r="F6" s="34" t="s">
        <v>203</v>
      </c>
      <c r="G6" s="34" t="s">
        <v>204</v>
      </c>
      <c r="H6" s="34" t="s">
        <v>205</v>
      </c>
      <c r="I6" s="34" t="s">
        <v>206</v>
      </c>
      <c r="J6" s="34" t="s">
        <v>207</v>
      </c>
      <c r="K6" s="34" t="s">
        <v>208</v>
      </c>
      <c r="L6" s="34" t="s">
        <v>209</v>
      </c>
      <c r="M6" s="34" t="s">
        <v>210</v>
      </c>
      <c r="N6" s="34" t="s">
        <v>211</v>
      </c>
      <c r="O6" s="34" t="s">
        <v>200</v>
      </c>
      <c r="P6" s="34" t="s">
        <v>201</v>
      </c>
      <c r="Q6" s="34" t="s">
        <v>202</v>
      </c>
      <c r="R6" s="34" t="s">
        <v>203</v>
      </c>
      <c r="S6" s="34" t="s">
        <v>204</v>
      </c>
      <c r="T6" s="34" t="s">
        <v>205</v>
      </c>
      <c r="U6" s="34" t="s">
        <v>206</v>
      </c>
      <c r="V6" s="34" t="s">
        <v>207</v>
      </c>
      <c r="W6" s="34" t="s">
        <v>208</v>
      </c>
      <c r="X6" s="34" t="s">
        <v>209</v>
      </c>
      <c r="Y6" s="34" t="s">
        <v>210</v>
      </c>
      <c r="Z6" s="34" t="s">
        <v>211</v>
      </c>
      <c r="AA6" s="34" t="s">
        <v>200</v>
      </c>
      <c r="AB6" s="34" t="s">
        <v>201</v>
      </c>
      <c r="AC6" s="34" t="s">
        <v>202</v>
      </c>
      <c r="AD6" s="34" t="s">
        <v>203</v>
      </c>
      <c r="AE6" s="34" t="s">
        <v>204</v>
      </c>
      <c r="AF6" s="34" t="s">
        <v>205</v>
      </c>
      <c r="AG6" s="34" t="s">
        <v>206</v>
      </c>
      <c r="AH6" s="34" t="s">
        <v>207</v>
      </c>
      <c r="AI6" s="34" t="s">
        <v>208</v>
      </c>
      <c r="AJ6" s="34" t="s">
        <v>209</v>
      </c>
      <c r="AK6" s="34" t="s">
        <v>210</v>
      </c>
      <c r="AL6" s="34" t="s">
        <v>211</v>
      </c>
      <c r="AM6" s="34" t="s">
        <v>200</v>
      </c>
      <c r="AN6" s="34" t="s">
        <v>201</v>
      </c>
      <c r="AO6" s="34" t="s">
        <v>202</v>
      </c>
      <c r="AP6" s="34" t="s">
        <v>203</v>
      </c>
      <c r="AQ6" s="34" t="s">
        <v>204</v>
      </c>
      <c r="AR6" s="34" t="s">
        <v>205</v>
      </c>
      <c r="AS6" s="34" t="s">
        <v>206</v>
      </c>
      <c r="AT6" s="34" t="s">
        <v>207</v>
      </c>
      <c r="AU6" s="34" t="s">
        <v>208</v>
      </c>
      <c r="AV6" s="34" t="s">
        <v>209</v>
      </c>
      <c r="AW6" s="34" t="s">
        <v>210</v>
      </c>
      <c r="AX6" s="34" t="s">
        <v>211</v>
      </c>
      <c r="AY6" s="34" t="s">
        <v>200</v>
      </c>
      <c r="AZ6" s="34" t="s">
        <v>201</v>
      </c>
      <c r="BA6" s="34" t="s">
        <v>202</v>
      </c>
      <c r="BB6" s="34" t="s">
        <v>203</v>
      </c>
      <c r="BC6" s="34" t="s">
        <v>204</v>
      </c>
      <c r="BD6" s="34" t="s">
        <v>205</v>
      </c>
      <c r="BE6" s="34" t="s">
        <v>206</v>
      </c>
      <c r="BF6" s="34" t="s">
        <v>207</v>
      </c>
      <c r="BG6" s="34" t="s">
        <v>208</v>
      </c>
      <c r="BH6" s="34" t="s">
        <v>209</v>
      </c>
      <c r="BI6" s="34" t="s">
        <v>210</v>
      </c>
      <c r="BJ6" s="34" t="s">
        <v>211</v>
      </c>
      <c r="BK6" s="34" t="s">
        <v>200</v>
      </c>
      <c r="BL6" s="34" t="s">
        <v>201</v>
      </c>
      <c r="BM6" s="34" t="s">
        <v>202</v>
      </c>
      <c r="BN6" s="34" t="s">
        <v>203</v>
      </c>
      <c r="BO6" s="34" t="s">
        <v>204</v>
      </c>
      <c r="BP6" s="34" t="s">
        <v>205</v>
      </c>
      <c r="BQ6" s="34" t="s">
        <v>206</v>
      </c>
      <c r="BR6" s="34" t="s">
        <v>207</v>
      </c>
      <c r="BS6" s="34" t="s">
        <v>208</v>
      </c>
      <c r="BT6" s="34" t="s">
        <v>209</v>
      </c>
      <c r="BU6" s="34" t="s">
        <v>210</v>
      </c>
      <c r="BV6" s="34" t="s">
        <v>211</v>
      </c>
      <c r="BW6" s="34" t="s">
        <v>200</v>
      </c>
      <c r="BX6" s="34" t="s">
        <v>201</v>
      </c>
      <c r="BY6" s="34" t="s">
        <v>202</v>
      </c>
      <c r="BZ6" s="34" t="s">
        <v>203</v>
      </c>
      <c r="CA6" s="34" t="s">
        <v>204</v>
      </c>
      <c r="CB6" s="34" t="s">
        <v>205</v>
      </c>
      <c r="CC6" s="34" t="s">
        <v>206</v>
      </c>
      <c r="CD6" s="34" t="s">
        <v>207</v>
      </c>
      <c r="CE6" s="34" t="s">
        <v>208</v>
      </c>
      <c r="CF6" s="34" t="s">
        <v>209</v>
      </c>
      <c r="CG6" s="34" t="s">
        <v>210</v>
      </c>
      <c r="CH6" s="34" t="s">
        <v>211</v>
      </c>
      <c r="CI6" s="34" t="s">
        <v>200</v>
      </c>
      <c r="CJ6" s="34" t="s">
        <v>201</v>
      </c>
      <c r="CK6" s="34" t="s">
        <v>202</v>
      </c>
      <c r="CL6" s="34" t="s">
        <v>203</v>
      </c>
      <c r="CM6" s="34" t="s">
        <v>204</v>
      </c>
      <c r="CN6" s="34" t="s">
        <v>205</v>
      </c>
      <c r="CO6" s="34" t="s">
        <v>206</v>
      </c>
      <c r="CP6" s="34" t="s">
        <v>207</v>
      </c>
      <c r="CQ6" s="34" t="s">
        <v>208</v>
      </c>
      <c r="CR6" s="34" t="s">
        <v>209</v>
      </c>
      <c r="CS6" s="34" t="s">
        <v>210</v>
      </c>
      <c r="CT6" s="34" t="s">
        <v>211</v>
      </c>
    </row>
    <row r="7" customFormat="false" ht="15" hidden="false" customHeight="true" outlineLevel="0" collapsed="false">
      <c r="B7" s="35" t="s">
        <v>336</v>
      </c>
      <c r="C7" s="36"/>
      <c r="D7" s="36"/>
      <c r="E7" s="36"/>
      <c r="F7" s="36"/>
      <c r="G7" s="36"/>
      <c r="H7" s="36"/>
      <c r="I7" s="36"/>
      <c r="J7" s="36"/>
      <c r="K7" s="36"/>
      <c r="L7" s="36"/>
      <c r="M7" s="36"/>
      <c r="N7" s="36"/>
      <c r="O7" s="36"/>
      <c r="P7" s="36"/>
      <c r="Q7" s="36"/>
      <c r="R7" s="36"/>
      <c r="S7" s="36"/>
      <c r="T7" s="36"/>
      <c r="U7" s="36"/>
      <c r="V7" s="36"/>
      <c r="W7" s="36"/>
      <c r="X7" s="36"/>
      <c r="Y7" s="36"/>
      <c r="Z7" s="36"/>
      <c r="AA7" s="36"/>
      <c r="AB7" s="36"/>
      <c r="AC7" s="36"/>
      <c r="AD7" s="36"/>
      <c r="AE7" s="36"/>
      <c r="AF7" s="36"/>
      <c r="AG7" s="36"/>
      <c r="AH7" s="36"/>
      <c r="AI7" s="36"/>
      <c r="AJ7" s="36"/>
      <c r="AK7" s="36"/>
      <c r="AL7" s="36"/>
      <c r="AM7" s="36"/>
      <c r="AN7" s="36"/>
      <c r="AO7" s="36"/>
      <c r="AP7" s="36"/>
      <c r="AQ7" s="36"/>
      <c r="AR7" s="36"/>
      <c r="AS7" s="36"/>
      <c r="AT7" s="36"/>
      <c r="AU7" s="36"/>
      <c r="AV7" s="36"/>
      <c r="AW7" s="36"/>
      <c r="AX7" s="36"/>
      <c r="AY7" s="36"/>
      <c r="AZ7" s="36"/>
      <c r="BA7" s="36"/>
      <c r="BB7" s="36"/>
      <c r="BC7" s="36"/>
      <c r="BD7" s="36"/>
      <c r="BE7" s="36"/>
      <c r="BF7" s="36"/>
      <c r="BG7" s="36"/>
      <c r="BH7" s="36"/>
      <c r="BI7" s="36"/>
      <c r="BJ7" s="36"/>
      <c r="BK7" s="36"/>
      <c r="BL7" s="36"/>
      <c r="BM7" s="36"/>
      <c r="BN7" s="36"/>
      <c r="BO7" s="36"/>
      <c r="BP7" s="36"/>
      <c r="BQ7" s="36"/>
      <c r="BR7" s="36"/>
      <c r="BS7" s="36"/>
      <c r="BT7" s="36"/>
      <c r="BU7" s="36"/>
      <c r="BV7" s="36"/>
      <c r="BW7" s="36"/>
      <c r="BX7" s="36"/>
      <c r="BY7" s="36"/>
      <c r="BZ7" s="36"/>
      <c r="CA7" s="36"/>
      <c r="CB7" s="36"/>
      <c r="CC7" s="36"/>
      <c r="CD7" s="36"/>
      <c r="CE7" s="36"/>
      <c r="CF7" s="36"/>
      <c r="CG7" s="36"/>
      <c r="CH7" s="36"/>
      <c r="CI7" s="36"/>
      <c r="CJ7" s="36"/>
      <c r="CK7" s="36"/>
      <c r="CL7" s="36"/>
      <c r="CM7" s="36"/>
      <c r="CN7" s="36"/>
      <c r="CO7" s="36"/>
      <c r="CP7" s="36"/>
      <c r="CQ7" s="36"/>
      <c r="CR7" s="36"/>
      <c r="CS7" s="36"/>
      <c r="CT7" s="36"/>
    </row>
    <row r="8" customFormat="false" ht="15" hidden="false" customHeight="true" outlineLevel="0" collapsed="false">
      <c r="B8" s="15" t="s">
        <v>337</v>
      </c>
      <c r="C8" s="37" t="n">
        <f aca="false">4598000000*(1+Supuestos!$C$36)^3*Estacionalidad!C$13</f>
        <v>372438000</v>
      </c>
      <c r="D8" s="37" t="n">
        <f aca="false">4598000000*(1+Supuestos!$C$36)^3*Estacionalidad!D$13</f>
        <v>377036000</v>
      </c>
      <c r="E8" s="37" t="n">
        <f aca="false">4598000000*(1+Supuestos!$C$36)^3*Estacionalidad!E$13</f>
        <v>386232000</v>
      </c>
      <c r="F8" s="37" t="n">
        <f aca="false">4598000000*(1+Supuestos!$C$36)^3*Estacionalidad!F$13</f>
        <v>386232000</v>
      </c>
      <c r="G8" s="37" t="n">
        <f aca="false">4598000000*(1+Supuestos!$C$36)^3*Estacionalidad!G$13</f>
        <v>386232000</v>
      </c>
      <c r="H8" s="37" t="n">
        <f aca="false">4598000000*(1+Supuestos!$C$36)^3*Estacionalidad!H$13</f>
        <v>386232000</v>
      </c>
      <c r="I8" s="37" t="n">
        <f aca="false">4598000000*(1+Supuestos!$C$36)^3*Estacionalidad!I$13</f>
        <v>386232000</v>
      </c>
      <c r="J8" s="37" t="n">
        <f aca="false">4598000000*(1+Supuestos!$C$36)^3*Estacionalidad!J$13</f>
        <v>386232000</v>
      </c>
      <c r="K8" s="37" t="n">
        <f aca="false">4598000000*(1+Supuestos!$C$36)^3*Estacionalidad!K$13</f>
        <v>386232000</v>
      </c>
      <c r="L8" s="37" t="n">
        <f aca="false">4598000000*(1+Supuestos!$C$36)^3*Estacionalidad!L$13</f>
        <v>386232000</v>
      </c>
      <c r="M8" s="37" t="n">
        <f aca="false">4598000000*(1+Supuestos!$C$36)^3*Estacionalidad!M$13</f>
        <v>386232000</v>
      </c>
      <c r="N8" s="37" t="n">
        <f aca="false">4598000000*(1+Supuestos!$C$36)^3*Estacionalidad!N$13</f>
        <v>372438000</v>
      </c>
      <c r="O8" s="37" t="n">
        <f aca="false">4598000000*(1+Supuestos!$C$36)^4*Estacionalidad!C$13</f>
        <v>372438000</v>
      </c>
      <c r="P8" s="37" t="n">
        <f aca="false">4598000000*(1+Supuestos!$C$36)^4*Estacionalidad!D$13</f>
        <v>377036000</v>
      </c>
      <c r="Q8" s="37" t="n">
        <f aca="false">4598000000*(1+Supuestos!$C$36)^4*Estacionalidad!E$13</f>
        <v>386232000</v>
      </c>
      <c r="R8" s="37" t="n">
        <f aca="false">4598000000*(1+Supuestos!$C$36)^4*Estacionalidad!F$13</f>
        <v>386232000</v>
      </c>
      <c r="S8" s="37" t="n">
        <f aca="false">4598000000*(1+Supuestos!$C$36)^4*Estacionalidad!G$13</f>
        <v>386232000</v>
      </c>
      <c r="T8" s="37" t="n">
        <f aca="false">4598000000*(1+Supuestos!$C$36)^4*Estacionalidad!H$13</f>
        <v>386232000</v>
      </c>
      <c r="U8" s="37" t="n">
        <f aca="false">4598000000*(1+Supuestos!$C$36)^4*Estacionalidad!I$13</f>
        <v>386232000</v>
      </c>
      <c r="V8" s="37" t="n">
        <f aca="false">4598000000*(1+Supuestos!$C$36)^4*Estacionalidad!J$13</f>
        <v>386232000</v>
      </c>
      <c r="W8" s="37" t="n">
        <f aca="false">4598000000*(1+Supuestos!$C$36)^4*Estacionalidad!K$13</f>
        <v>386232000</v>
      </c>
      <c r="X8" s="37" t="n">
        <f aca="false">4598000000*(1+Supuestos!$C$36)^4*Estacionalidad!L$13</f>
        <v>386232000</v>
      </c>
      <c r="Y8" s="37" t="n">
        <f aca="false">4598000000*(1+Supuestos!$C$36)^4*Estacionalidad!M$13</f>
        <v>386232000</v>
      </c>
      <c r="Z8" s="37" t="n">
        <f aca="false">4598000000*(1+Supuestos!$C$36)^4*Estacionalidad!N$13</f>
        <v>372438000</v>
      </c>
      <c r="AA8" s="37" t="n">
        <f aca="false">4598000000*(1+Supuestos!$C$36)^5*Estacionalidad!C$13</f>
        <v>372438000</v>
      </c>
      <c r="AB8" s="37" t="n">
        <f aca="false">4598000000*(1+Supuestos!$C$36)^5*Estacionalidad!D$13</f>
        <v>377036000</v>
      </c>
      <c r="AC8" s="37" t="n">
        <f aca="false">4598000000*(1+Supuestos!$C$36)^5*Estacionalidad!E$13</f>
        <v>386232000</v>
      </c>
      <c r="AD8" s="37" t="n">
        <f aca="false">4598000000*(1+Supuestos!$C$36)^5*Estacionalidad!F$13</f>
        <v>386232000</v>
      </c>
      <c r="AE8" s="37" t="n">
        <f aca="false">4598000000*(1+Supuestos!$C$36)^5*Estacionalidad!G$13</f>
        <v>386232000</v>
      </c>
      <c r="AF8" s="37" t="n">
        <f aca="false">4598000000*(1+Supuestos!$C$36)^5*Estacionalidad!H$13</f>
        <v>386232000</v>
      </c>
      <c r="AG8" s="37" t="n">
        <f aca="false">4598000000*(1+Supuestos!$C$36)^5*Estacionalidad!I$13</f>
        <v>386232000</v>
      </c>
      <c r="AH8" s="37" t="n">
        <f aca="false">4598000000*(1+Supuestos!$C$36)^5*Estacionalidad!J$13</f>
        <v>386232000</v>
      </c>
      <c r="AI8" s="37" t="n">
        <f aca="false">4598000000*(1+Supuestos!$C$36)^5*Estacionalidad!K$13</f>
        <v>386232000</v>
      </c>
      <c r="AJ8" s="37" t="n">
        <f aca="false">4598000000*(1+Supuestos!$C$36)^5*Estacionalidad!L$13</f>
        <v>386232000</v>
      </c>
      <c r="AK8" s="37" t="n">
        <f aca="false">4598000000*(1+Supuestos!$C$36)^5*Estacionalidad!M$13</f>
        <v>386232000</v>
      </c>
      <c r="AL8" s="37" t="n">
        <f aca="false">4598000000*(1+Supuestos!$C$36)^5*Estacionalidad!N$13</f>
        <v>372438000</v>
      </c>
      <c r="AM8" s="37" t="n">
        <f aca="false">4598000000*(1+Supuestos!$C$36)^6*Estacionalidad!C$13</f>
        <v>372438000</v>
      </c>
      <c r="AN8" s="37" t="n">
        <f aca="false">4598000000*(1+Supuestos!$C$36)^6*Estacionalidad!D$13</f>
        <v>377036000</v>
      </c>
      <c r="AO8" s="37" t="n">
        <f aca="false">4598000000*(1+Supuestos!$C$36)^6*Estacionalidad!E$13</f>
        <v>386232000</v>
      </c>
      <c r="AP8" s="37" t="n">
        <f aca="false">4598000000*(1+Supuestos!$C$36)^6*Estacionalidad!F$13</f>
        <v>386232000</v>
      </c>
      <c r="AQ8" s="37" t="n">
        <f aca="false">4598000000*(1+Supuestos!$C$36)^6*Estacionalidad!G$13</f>
        <v>386232000</v>
      </c>
      <c r="AR8" s="37" t="n">
        <f aca="false">4598000000*(1+Supuestos!$C$36)^6*Estacionalidad!H$13</f>
        <v>386232000</v>
      </c>
      <c r="AS8" s="37" t="n">
        <f aca="false">4598000000*(1+Supuestos!$C$36)^6*Estacionalidad!I$13</f>
        <v>386232000</v>
      </c>
      <c r="AT8" s="37" t="n">
        <f aca="false">4598000000*(1+Supuestos!$C$36)^6*Estacionalidad!J$13</f>
        <v>386232000</v>
      </c>
      <c r="AU8" s="37" t="n">
        <f aca="false">4598000000*(1+Supuestos!$C$36)^6*Estacionalidad!K$13</f>
        <v>386232000</v>
      </c>
      <c r="AV8" s="37" t="n">
        <f aca="false">4598000000*(1+Supuestos!$C$36)^6*Estacionalidad!L$13</f>
        <v>386232000</v>
      </c>
      <c r="AW8" s="37" t="n">
        <f aca="false">4598000000*(1+Supuestos!$C$36)^6*Estacionalidad!M$13</f>
        <v>386232000</v>
      </c>
      <c r="AX8" s="37" t="n">
        <f aca="false">4598000000*(1+Supuestos!$C$36)^6*Estacionalidad!N$13</f>
        <v>372438000</v>
      </c>
      <c r="AY8" s="37" t="n">
        <f aca="false">4598000000*(1+Supuestos!$C$36)^7*Estacionalidad!C$13</f>
        <v>372438000</v>
      </c>
      <c r="AZ8" s="37" t="n">
        <f aca="false">4598000000*(1+Supuestos!$C$36)^7*Estacionalidad!D$13</f>
        <v>377036000</v>
      </c>
      <c r="BA8" s="37" t="n">
        <f aca="false">4598000000*(1+Supuestos!$C$36)^7*Estacionalidad!E$13</f>
        <v>386232000</v>
      </c>
      <c r="BB8" s="37" t="n">
        <f aca="false">4598000000*(1+Supuestos!$C$36)^7*Estacionalidad!F$13</f>
        <v>386232000</v>
      </c>
      <c r="BC8" s="37" t="n">
        <f aca="false">4598000000*(1+Supuestos!$C$36)^7*Estacionalidad!G$13</f>
        <v>386232000</v>
      </c>
      <c r="BD8" s="37" t="n">
        <f aca="false">4598000000*(1+Supuestos!$C$36)^7*Estacionalidad!H$13</f>
        <v>386232000</v>
      </c>
      <c r="BE8" s="37" t="n">
        <f aca="false">4598000000*(1+Supuestos!$C$36)^7*Estacionalidad!I$13</f>
        <v>386232000</v>
      </c>
      <c r="BF8" s="37" t="n">
        <f aca="false">4598000000*(1+Supuestos!$C$36)^7*Estacionalidad!J$13</f>
        <v>386232000</v>
      </c>
      <c r="BG8" s="37" t="n">
        <f aca="false">4598000000*(1+Supuestos!$C$36)^7*Estacionalidad!K$13</f>
        <v>386232000</v>
      </c>
      <c r="BH8" s="37" t="n">
        <f aca="false">4598000000*(1+Supuestos!$C$36)^7*Estacionalidad!L$13</f>
        <v>386232000</v>
      </c>
      <c r="BI8" s="37" t="n">
        <f aca="false">4598000000*(1+Supuestos!$C$36)^7*Estacionalidad!M$13</f>
        <v>386232000</v>
      </c>
      <c r="BJ8" s="37" t="n">
        <f aca="false">4598000000*(1+Supuestos!$C$36)^7*Estacionalidad!N$13</f>
        <v>372438000</v>
      </c>
      <c r="BK8" s="37" t="n">
        <f aca="false">4598000000*(1+Supuestos!$C$36)^8*Estacionalidad!C$13</f>
        <v>372438000</v>
      </c>
      <c r="BL8" s="37" t="n">
        <f aca="false">4598000000*(1+Supuestos!$C$36)^8*Estacionalidad!D$13</f>
        <v>377036000</v>
      </c>
      <c r="BM8" s="37" t="n">
        <f aca="false">4598000000*(1+Supuestos!$C$36)^8*Estacionalidad!E$13</f>
        <v>386232000</v>
      </c>
      <c r="BN8" s="37" t="n">
        <f aca="false">4598000000*(1+Supuestos!$C$36)^8*Estacionalidad!F$13</f>
        <v>386232000</v>
      </c>
      <c r="BO8" s="37" t="n">
        <f aca="false">4598000000*(1+Supuestos!$C$36)^8*Estacionalidad!G$13</f>
        <v>386232000</v>
      </c>
      <c r="BP8" s="37" t="n">
        <f aca="false">4598000000*(1+Supuestos!$C$36)^8*Estacionalidad!H$13</f>
        <v>386232000</v>
      </c>
      <c r="BQ8" s="37" t="n">
        <f aca="false">4598000000*(1+Supuestos!$C$36)^8*Estacionalidad!I$13</f>
        <v>386232000</v>
      </c>
      <c r="BR8" s="37" t="n">
        <f aca="false">4598000000*(1+Supuestos!$C$36)^8*Estacionalidad!J$13</f>
        <v>386232000</v>
      </c>
      <c r="BS8" s="37" t="n">
        <f aca="false">4598000000*(1+Supuestos!$C$36)^8*Estacionalidad!K$13</f>
        <v>386232000</v>
      </c>
      <c r="BT8" s="37" t="n">
        <f aca="false">4598000000*(1+Supuestos!$C$36)^8*Estacionalidad!L$13</f>
        <v>386232000</v>
      </c>
      <c r="BU8" s="37" t="n">
        <f aca="false">4598000000*(1+Supuestos!$C$36)^8*Estacionalidad!M$13</f>
        <v>386232000</v>
      </c>
      <c r="BV8" s="37" t="n">
        <f aca="false">4598000000*(1+Supuestos!$C$36)^8*Estacionalidad!N$13</f>
        <v>372438000</v>
      </c>
      <c r="BW8" s="37" t="n">
        <f aca="false">4598000000*(1+Supuestos!$C$36)^9*Estacionalidad!C$13</f>
        <v>372438000</v>
      </c>
      <c r="BX8" s="37" t="n">
        <f aca="false">4598000000*(1+Supuestos!$C$36)^9*Estacionalidad!D$13</f>
        <v>377036000</v>
      </c>
      <c r="BY8" s="37" t="n">
        <f aca="false">4598000000*(1+Supuestos!$C$36)^9*Estacionalidad!E$13</f>
        <v>386232000</v>
      </c>
      <c r="BZ8" s="37" t="n">
        <f aca="false">4598000000*(1+Supuestos!$C$36)^9*Estacionalidad!F$13</f>
        <v>386232000</v>
      </c>
      <c r="CA8" s="37" t="n">
        <f aca="false">4598000000*(1+Supuestos!$C$36)^9*Estacionalidad!G$13</f>
        <v>386232000</v>
      </c>
      <c r="CB8" s="37" t="n">
        <f aca="false">4598000000*(1+Supuestos!$C$36)^9*Estacionalidad!H$13</f>
        <v>386232000</v>
      </c>
      <c r="CC8" s="37" t="n">
        <f aca="false">4598000000*(1+Supuestos!$C$36)^9*Estacionalidad!I$13</f>
        <v>386232000</v>
      </c>
      <c r="CD8" s="37" t="n">
        <f aca="false">4598000000*(1+Supuestos!$C$36)^9*Estacionalidad!J$13</f>
        <v>386232000</v>
      </c>
      <c r="CE8" s="37" t="n">
        <f aca="false">4598000000*(1+Supuestos!$C$36)^9*Estacionalidad!K$13</f>
        <v>386232000</v>
      </c>
      <c r="CF8" s="37" t="n">
        <f aca="false">4598000000*(1+Supuestos!$C$36)^9*Estacionalidad!L$13</f>
        <v>386232000</v>
      </c>
      <c r="CG8" s="37" t="n">
        <f aca="false">4598000000*(1+Supuestos!$C$36)^9*Estacionalidad!M$13</f>
        <v>386232000</v>
      </c>
      <c r="CH8" s="37" t="n">
        <f aca="false">4598000000*(1+Supuestos!$C$36)^9*Estacionalidad!N$13</f>
        <v>372438000</v>
      </c>
      <c r="CI8" s="37" t="n">
        <f aca="false">4598000000*(1+Supuestos!$C$36)^10*Estacionalidad!C$13</f>
        <v>372438000</v>
      </c>
      <c r="CJ8" s="37" t="n">
        <f aca="false">4598000000*(1+Supuestos!$C$36)^10*Estacionalidad!D$13</f>
        <v>377036000</v>
      </c>
      <c r="CK8" s="37" t="n">
        <f aca="false">4598000000*(1+Supuestos!$C$36)^10*Estacionalidad!E$13</f>
        <v>386232000</v>
      </c>
      <c r="CL8" s="37" t="n">
        <f aca="false">4598000000*(1+Supuestos!$C$36)^10*Estacionalidad!F$13</f>
        <v>386232000</v>
      </c>
      <c r="CM8" s="37" t="n">
        <f aca="false">4598000000*(1+Supuestos!$C$36)^10*Estacionalidad!G$13</f>
        <v>386232000</v>
      </c>
      <c r="CN8" s="37" t="n">
        <f aca="false">4598000000*(1+Supuestos!$C$36)^10*Estacionalidad!H$13</f>
        <v>386232000</v>
      </c>
      <c r="CO8" s="37" t="n">
        <f aca="false">4598000000*(1+Supuestos!$C$36)^10*Estacionalidad!I$13</f>
        <v>386232000</v>
      </c>
      <c r="CP8" s="37" t="n">
        <f aca="false">4598000000*(1+Supuestos!$C$36)^10*Estacionalidad!J$13</f>
        <v>386232000</v>
      </c>
      <c r="CQ8" s="37" t="n">
        <f aca="false">4598000000*(1+Supuestos!$C$36)^10*Estacionalidad!K$13</f>
        <v>386232000</v>
      </c>
      <c r="CR8" s="37" t="n">
        <f aca="false">4598000000*(1+Supuestos!$C$36)^10*Estacionalidad!L$13</f>
        <v>386232000</v>
      </c>
      <c r="CS8" s="37" t="n">
        <f aca="false">4598000000*(1+Supuestos!$C$36)^10*Estacionalidad!M$13</f>
        <v>386232000</v>
      </c>
      <c r="CT8" s="37" t="n">
        <f aca="false">4598000000*(1+Supuestos!$C$36)^10*Estacionalidad!N$13</f>
        <v>372438000</v>
      </c>
    </row>
    <row r="9" customFormat="false" ht="15" hidden="false" customHeight="true" outlineLevel="0" collapsed="false">
      <c r="B9" s="15" t="s">
        <v>338</v>
      </c>
      <c r="C9" s="37" t="n">
        <f aca="false">32637000000*(1+Supuestos!$C$36)^3*Estacionalidad!C$13</f>
        <v>2643597000</v>
      </c>
      <c r="D9" s="37" t="n">
        <f aca="false">32637000000*(1+Supuestos!$C$36)^3*Estacionalidad!D$13</f>
        <v>2676234000</v>
      </c>
      <c r="E9" s="37" t="n">
        <f aca="false">32637000000*(1+Supuestos!$C$36)^3*Estacionalidad!E$13</f>
        <v>2741508000</v>
      </c>
      <c r="F9" s="37" t="n">
        <f aca="false">32637000000*(1+Supuestos!$C$36)^3*Estacionalidad!F$13</f>
        <v>2741508000</v>
      </c>
      <c r="G9" s="37" t="n">
        <f aca="false">32637000000*(1+Supuestos!$C$36)^3*Estacionalidad!G$13</f>
        <v>2741508000</v>
      </c>
      <c r="H9" s="37" t="n">
        <f aca="false">32637000000*(1+Supuestos!$C$36)^3*Estacionalidad!H$13</f>
        <v>2741508000</v>
      </c>
      <c r="I9" s="37" t="n">
        <f aca="false">32637000000*(1+Supuestos!$C$36)^3*Estacionalidad!I$13</f>
        <v>2741508000</v>
      </c>
      <c r="J9" s="37" t="n">
        <f aca="false">32637000000*(1+Supuestos!$C$36)^3*Estacionalidad!J$13</f>
        <v>2741508000</v>
      </c>
      <c r="K9" s="37" t="n">
        <f aca="false">32637000000*(1+Supuestos!$C$36)^3*Estacionalidad!K$13</f>
        <v>2741508000</v>
      </c>
      <c r="L9" s="37" t="n">
        <f aca="false">32637000000*(1+Supuestos!$C$36)^3*Estacionalidad!L$13</f>
        <v>2741508000</v>
      </c>
      <c r="M9" s="37" t="n">
        <f aca="false">32637000000*(1+Supuestos!$C$36)^3*Estacionalidad!M$13</f>
        <v>2741508000</v>
      </c>
      <c r="N9" s="37" t="n">
        <f aca="false">32637000000*(1+Supuestos!$C$36)^3*Estacionalidad!N$13</f>
        <v>2643597000</v>
      </c>
      <c r="O9" s="37" t="n">
        <f aca="false">32637000000*(1+Supuestos!$C$36)^4*Estacionalidad!C$13</f>
        <v>2643597000</v>
      </c>
      <c r="P9" s="37" t="n">
        <f aca="false">32637000000*(1+Supuestos!$C$36)^4*Estacionalidad!D$13</f>
        <v>2676234000</v>
      </c>
      <c r="Q9" s="37" t="n">
        <f aca="false">32637000000*(1+Supuestos!$C$36)^4*Estacionalidad!E$13</f>
        <v>2741508000</v>
      </c>
      <c r="R9" s="37" t="n">
        <f aca="false">32637000000*(1+Supuestos!$C$36)^4*Estacionalidad!F$13</f>
        <v>2741508000</v>
      </c>
      <c r="S9" s="37" t="n">
        <f aca="false">32637000000*(1+Supuestos!$C$36)^4*Estacionalidad!G$13</f>
        <v>2741508000</v>
      </c>
      <c r="T9" s="37" t="n">
        <f aca="false">32637000000*(1+Supuestos!$C$36)^4*Estacionalidad!H$13</f>
        <v>2741508000</v>
      </c>
      <c r="U9" s="37" t="n">
        <f aca="false">32637000000*(1+Supuestos!$C$36)^4*Estacionalidad!I$13</f>
        <v>2741508000</v>
      </c>
      <c r="V9" s="37" t="n">
        <f aca="false">32637000000*(1+Supuestos!$C$36)^4*Estacionalidad!J$13</f>
        <v>2741508000</v>
      </c>
      <c r="W9" s="37" t="n">
        <f aca="false">32637000000*(1+Supuestos!$C$36)^4*Estacionalidad!K$13</f>
        <v>2741508000</v>
      </c>
      <c r="X9" s="37" t="n">
        <f aca="false">32637000000*(1+Supuestos!$C$36)^4*Estacionalidad!L$13</f>
        <v>2741508000</v>
      </c>
      <c r="Y9" s="37" t="n">
        <f aca="false">32637000000*(1+Supuestos!$C$36)^4*Estacionalidad!M$13</f>
        <v>2741508000</v>
      </c>
      <c r="Z9" s="37" t="n">
        <f aca="false">32637000000*(1+Supuestos!$C$36)^4*Estacionalidad!N$13</f>
        <v>2643597000</v>
      </c>
      <c r="AA9" s="37" t="n">
        <f aca="false">32637000000*(1+Supuestos!$C$36)^5*Estacionalidad!C$13</f>
        <v>2643597000</v>
      </c>
      <c r="AB9" s="37" t="n">
        <f aca="false">32637000000*(1+Supuestos!$C$36)^5*Estacionalidad!D$13</f>
        <v>2676234000</v>
      </c>
      <c r="AC9" s="37" t="n">
        <f aca="false">32637000000*(1+Supuestos!$C$36)^5*Estacionalidad!E$13</f>
        <v>2741508000</v>
      </c>
      <c r="AD9" s="37" t="n">
        <f aca="false">32637000000*(1+Supuestos!$C$36)^5*Estacionalidad!F$13</f>
        <v>2741508000</v>
      </c>
      <c r="AE9" s="37" t="n">
        <f aca="false">32637000000*(1+Supuestos!$C$36)^5*Estacionalidad!G$13</f>
        <v>2741508000</v>
      </c>
      <c r="AF9" s="37" t="n">
        <f aca="false">32637000000*(1+Supuestos!$C$36)^5*Estacionalidad!H$13</f>
        <v>2741508000</v>
      </c>
      <c r="AG9" s="37" t="n">
        <f aca="false">32637000000*(1+Supuestos!$C$36)^5*Estacionalidad!I$13</f>
        <v>2741508000</v>
      </c>
      <c r="AH9" s="37" t="n">
        <f aca="false">32637000000*(1+Supuestos!$C$36)^5*Estacionalidad!J$13</f>
        <v>2741508000</v>
      </c>
      <c r="AI9" s="37" t="n">
        <f aca="false">32637000000*(1+Supuestos!$C$36)^5*Estacionalidad!K$13</f>
        <v>2741508000</v>
      </c>
      <c r="AJ9" s="37" t="n">
        <f aca="false">32637000000*(1+Supuestos!$C$36)^5*Estacionalidad!L$13</f>
        <v>2741508000</v>
      </c>
      <c r="AK9" s="37" t="n">
        <f aca="false">32637000000*(1+Supuestos!$C$36)^5*Estacionalidad!M$13</f>
        <v>2741508000</v>
      </c>
      <c r="AL9" s="37" t="n">
        <f aca="false">32637000000*(1+Supuestos!$C$36)^5*Estacionalidad!N$13</f>
        <v>2643597000</v>
      </c>
      <c r="AM9" s="37" t="n">
        <f aca="false">32637000000*(1+Supuestos!$C$36)^6*Estacionalidad!C$13</f>
        <v>2643597000</v>
      </c>
      <c r="AN9" s="37" t="n">
        <f aca="false">32637000000*(1+Supuestos!$C$36)^6*Estacionalidad!D$13</f>
        <v>2676234000</v>
      </c>
      <c r="AO9" s="37" t="n">
        <f aca="false">32637000000*(1+Supuestos!$C$36)^6*Estacionalidad!E$13</f>
        <v>2741508000</v>
      </c>
      <c r="AP9" s="37" t="n">
        <f aca="false">32637000000*(1+Supuestos!$C$36)^6*Estacionalidad!F$13</f>
        <v>2741508000</v>
      </c>
      <c r="AQ9" s="37" t="n">
        <f aca="false">32637000000*(1+Supuestos!$C$36)^6*Estacionalidad!G$13</f>
        <v>2741508000</v>
      </c>
      <c r="AR9" s="37" t="n">
        <f aca="false">32637000000*(1+Supuestos!$C$36)^6*Estacionalidad!H$13</f>
        <v>2741508000</v>
      </c>
      <c r="AS9" s="37" t="n">
        <f aca="false">32637000000*(1+Supuestos!$C$36)^6*Estacionalidad!I$13</f>
        <v>2741508000</v>
      </c>
      <c r="AT9" s="37" t="n">
        <f aca="false">32637000000*(1+Supuestos!$C$36)^6*Estacionalidad!J$13</f>
        <v>2741508000</v>
      </c>
      <c r="AU9" s="37" t="n">
        <f aca="false">32637000000*(1+Supuestos!$C$36)^6*Estacionalidad!K$13</f>
        <v>2741508000</v>
      </c>
      <c r="AV9" s="37" t="n">
        <f aca="false">32637000000*(1+Supuestos!$C$36)^6*Estacionalidad!L$13</f>
        <v>2741508000</v>
      </c>
      <c r="AW9" s="37" t="n">
        <f aca="false">32637000000*(1+Supuestos!$C$36)^6*Estacionalidad!M$13</f>
        <v>2741508000</v>
      </c>
      <c r="AX9" s="37" t="n">
        <f aca="false">32637000000*(1+Supuestos!$C$36)^6*Estacionalidad!N$13</f>
        <v>2643597000</v>
      </c>
      <c r="AY9" s="37" t="n">
        <f aca="false">32637000000*(1+Supuestos!$C$36)^7*Estacionalidad!C$13</f>
        <v>2643597000</v>
      </c>
      <c r="AZ9" s="37" t="n">
        <f aca="false">32637000000*(1+Supuestos!$C$36)^7*Estacionalidad!D$13</f>
        <v>2676234000</v>
      </c>
      <c r="BA9" s="37" t="n">
        <f aca="false">32637000000*(1+Supuestos!$C$36)^7*Estacionalidad!E$13</f>
        <v>2741508000</v>
      </c>
      <c r="BB9" s="37" t="n">
        <f aca="false">32637000000*(1+Supuestos!$C$36)^7*Estacionalidad!F$13</f>
        <v>2741508000</v>
      </c>
      <c r="BC9" s="37" t="n">
        <f aca="false">32637000000*(1+Supuestos!$C$36)^7*Estacionalidad!G$13</f>
        <v>2741508000</v>
      </c>
      <c r="BD9" s="37" t="n">
        <f aca="false">32637000000*(1+Supuestos!$C$36)^7*Estacionalidad!H$13</f>
        <v>2741508000</v>
      </c>
      <c r="BE9" s="37" t="n">
        <f aca="false">32637000000*(1+Supuestos!$C$36)^7*Estacionalidad!I$13</f>
        <v>2741508000</v>
      </c>
      <c r="BF9" s="37" t="n">
        <f aca="false">32637000000*(1+Supuestos!$C$36)^7*Estacionalidad!J$13</f>
        <v>2741508000</v>
      </c>
      <c r="BG9" s="37" t="n">
        <f aca="false">32637000000*(1+Supuestos!$C$36)^7*Estacionalidad!K$13</f>
        <v>2741508000</v>
      </c>
      <c r="BH9" s="37" t="n">
        <f aca="false">32637000000*(1+Supuestos!$C$36)^7*Estacionalidad!L$13</f>
        <v>2741508000</v>
      </c>
      <c r="BI9" s="37" t="n">
        <f aca="false">32637000000*(1+Supuestos!$C$36)^7*Estacionalidad!M$13</f>
        <v>2741508000</v>
      </c>
      <c r="BJ9" s="37" t="n">
        <f aca="false">32637000000*(1+Supuestos!$C$36)^7*Estacionalidad!N$13</f>
        <v>2643597000</v>
      </c>
      <c r="BK9" s="37" t="n">
        <f aca="false">32637000000*(1+Supuestos!$C$36)^8*Estacionalidad!C$13</f>
        <v>2643597000</v>
      </c>
      <c r="BL9" s="37" t="n">
        <f aca="false">32637000000*(1+Supuestos!$C$36)^8*Estacionalidad!D$13</f>
        <v>2676234000</v>
      </c>
      <c r="BM9" s="37" t="n">
        <f aca="false">32637000000*(1+Supuestos!$C$36)^8*Estacionalidad!E$13</f>
        <v>2741508000</v>
      </c>
      <c r="BN9" s="37" t="n">
        <f aca="false">32637000000*(1+Supuestos!$C$36)^8*Estacionalidad!F$13</f>
        <v>2741508000</v>
      </c>
      <c r="BO9" s="37" t="n">
        <f aca="false">32637000000*(1+Supuestos!$C$36)^8*Estacionalidad!G$13</f>
        <v>2741508000</v>
      </c>
      <c r="BP9" s="37" t="n">
        <f aca="false">32637000000*(1+Supuestos!$C$36)^8*Estacionalidad!H$13</f>
        <v>2741508000</v>
      </c>
      <c r="BQ9" s="37" t="n">
        <f aca="false">32637000000*(1+Supuestos!$C$36)^8*Estacionalidad!I$13</f>
        <v>2741508000</v>
      </c>
      <c r="BR9" s="37" t="n">
        <f aca="false">32637000000*(1+Supuestos!$C$36)^8*Estacionalidad!J$13</f>
        <v>2741508000</v>
      </c>
      <c r="BS9" s="37" t="n">
        <f aca="false">32637000000*(1+Supuestos!$C$36)^8*Estacionalidad!K$13</f>
        <v>2741508000</v>
      </c>
      <c r="BT9" s="37" t="n">
        <f aca="false">32637000000*(1+Supuestos!$C$36)^8*Estacionalidad!L$13</f>
        <v>2741508000</v>
      </c>
      <c r="BU9" s="37" t="n">
        <f aca="false">32637000000*(1+Supuestos!$C$36)^8*Estacionalidad!M$13</f>
        <v>2741508000</v>
      </c>
      <c r="BV9" s="37" t="n">
        <f aca="false">32637000000*(1+Supuestos!$C$36)^8*Estacionalidad!N$13</f>
        <v>2643597000</v>
      </c>
      <c r="BW9" s="37" t="n">
        <f aca="false">32637000000*(1+Supuestos!$C$36)^9*Estacionalidad!C$13</f>
        <v>2643597000</v>
      </c>
      <c r="BX9" s="37" t="n">
        <f aca="false">32637000000*(1+Supuestos!$C$36)^9*Estacionalidad!D$13</f>
        <v>2676234000</v>
      </c>
      <c r="BY9" s="37" t="n">
        <f aca="false">32637000000*(1+Supuestos!$C$36)^9*Estacionalidad!E$13</f>
        <v>2741508000</v>
      </c>
      <c r="BZ9" s="37" t="n">
        <f aca="false">32637000000*(1+Supuestos!$C$36)^9*Estacionalidad!F$13</f>
        <v>2741508000</v>
      </c>
      <c r="CA9" s="37" t="n">
        <f aca="false">32637000000*(1+Supuestos!$C$36)^9*Estacionalidad!G$13</f>
        <v>2741508000</v>
      </c>
      <c r="CB9" s="37" t="n">
        <f aca="false">32637000000*(1+Supuestos!$C$36)^9*Estacionalidad!H$13</f>
        <v>2741508000</v>
      </c>
      <c r="CC9" s="37" t="n">
        <f aca="false">32637000000*(1+Supuestos!$C$36)^9*Estacionalidad!I$13</f>
        <v>2741508000</v>
      </c>
      <c r="CD9" s="37" t="n">
        <f aca="false">32637000000*(1+Supuestos!$C$36)^9*Estacionalidad!J$13</f>
        <v>2741508000</v>
      </c>
      <c r="CE9" s="37" t="n">
        <f aca="false">32637000000*(1+Supuestos!$C$36)^9*Estacionalidad!K$13</f>
        <v>2741508000</v>
      </c>
      <c r="CF9" s="37" t="n">
        <f aca="false">32637000000*(1+Supuestos!$C$36)^9*Estacionalidad!L$13</f>
        <v>2741508000</v>
      </c>
      <c r="CG9" s="37" t="n">
        <f aca="false">32637000000*(1+Supuestos!$C$36)^9*Estacionalidad!M$13</f>
        <v>2741508000</v>
      </c>
      <c r="CH9" s="37" t="n">
        <f aca="false">32637000000*(1+Supuestos!$C$36)^9*Estacionalidad!N$13</f>
        <v>2643597000</v>
      </c>
      <c r="CI9" s="37" t="n">
        <f aca="false">32637000000*(1+Supuestos!$C$36)^10*Estacionalidad!C$13</f>
        <v>2643597000</v>
      </c>
      <c r="CJ9" s="37" t="n">
        <f aca="false">32637000000*(1+Supuestos!$C$36)^10*Estacionalidad!D$13</f>
        <v>2676234000</v>
      </c>
      <c r="CK9" s="37" t="n">
        <f aca="false">32637000000*(1+Supuestos!$C$36)^10*Estacionalidad!E$13</f>
        <v>2741508000</v>
      </c>
      <c r="CL9" s="37" t="n">
        <f aca="false">32637000000*(1+Supuestos!$C$36)^10*Estacionalidad!F$13</f>
        <v>2741508000</v>
      </c>
      <c r="CM9" s="37" t="n">
        <f aca="false">32637000000*(1+Supuestos!$C$36)^10*Estacionalidad!G$13</f>
        <v>2741508000</v>
      </c>
      <c r="CN9" s="37" t="n">
        <f aca="false">32637000000*(1+Supuestos!$C$36)^10*Estacionalidad!H$13</f>
        <v>2741508000</v>
      </c>
      <c r="CO9" s="37" t="n">
        <f aca="false">32637000000*(1+Supuestos!$C$36)^10*Estacionalidad!I$13</f>
        <v>2741508000</v>
      </c>
      <c r="CP9" s="37" t="n">
        <f aca="false">32637000000*(1+Supuestos!$C$36)^10*Estacionalidad!J$13</f>
        <v>2741508000</v>
      </c>
      <c r="CQ9" s="37" t="n">
        <f aca="false">32637000000*(1+Supuestos!$C$36)^10*Estacionalidad!K$13</f>
        <v>2741508000</v>
      </c>
      <c r="CR9" s="37" t="n">
        <f aca="false">32637000000*(1+Supuestos!$C$36)^10*Estacionalidad!L$13</f>
        <v>2741508000</v>
      </c>
      <c r="CS9" s="37" t="n">
        <f aca="false">32637000000*(1+Supuestos!$C$36)^10*Estacionalidad!M$13</f>
        <v>2741508000</v>
      </c>
      <c r="CT9" s="37" t="n">
        <f aca="false">32637000000*(1+Supuestos!$C$36)^10*Estacionalidad!N$13</f>
        <v>2643597000</v>
      </c>
    </row>
    <row r="10" customFormat="false" ht="15" hidden="false" customHeight="true" outlineLevel="0" collapsed="false">
      <c r="B10" s="15" t="s">
        <v>339</v>
      </c>
      <c r="C10" s="37" t="n">
        <f aca="false">3959000000*(1+Supuestos!$C$36)^3*Estacionalidad!C$13</f>
        <v>320679000</v>
      </c>
      <c r="D10" s="37" t="n">
        <f aca="false">3959000000*(1+Supuestos!$C$36)^3*Estacionalidad!D$13</f>
        <v>324638000</v>
      </c>
      <c r="E10" s="37" t="n">
        <f aca="false">3959000000*(1+Supuestos!$C$36)^3*Estacionalidad!E$13</f>
        <v>332556000</v>
      </c>
      <c r="F10" s="37" t="n">
        <f aca="false">3959000000*(1+Supuestos!$C$36)^3*Estacionalidad!F$13</f>
        <v>332556000</v>
      </c>
      <c r="G10" s="37" t="n">
        <f aca="false">3959000000*(1+Supuestos!$C$36)^3*Estacionalidad!G$13</f>
        <v>332556000</v>
      </c>
      <c r="H10" s="37" t="n">
        <f aca="false">3959000000*(1+Supuestos!$C$36)^3*Estacionalidad!H$13</f>
        <v>332556000</v>
      </c>
      <c r="I10" s="37" t="n">
        <f aca="false">3959000000*(1+Supuestos!$C$36)^3*Estacionalidad!I$13</f>
        <v>332556000</v>
      </c>
      <c r="J10" s="37" t="n">
        <f aca="false">3959000000*(1+Supuestos!$C$36)^3*Estacionalidad!J$13</f>
        <v>332556000</v>
      </c>
      <c r="K10" s="37" t="n">
        <f aca="false">3959000000*(1+Supuestos!$C$36)^3*Estacionalidad!K$13</f>
        <v>332556000</v>
      </c>
      <c r="L10" s="37" t="n">
        <f aca="false">3959000000*(1+Supuestos!$C$36)^3*Estacionalidad!L$13</f>
        <v>332556000</v>
      </c>
      <c r="M10" s="37" t="n">
        <f aca="false">3959000000*(1+Supuestos!$C$36)^3*Estacionalidad!M$13</f>
        <v>332556000</v>
      </c>
      <c r="N10" s="37" t="n">
        <f aca="false">3959000000*(1+Supuestos!$C$36)^3*Estacionalidad!N$13</f>
        <v>320679000</v>
      </c>
      <c r="O10" s="37" t="n">
        <f aca="false">3959000000*(1+Supuestos!$C$36)^4*Estacionalidad!C$13</f>
        <v>320679000</v>
      </c>
      <c r="P10" s="37" t="n">
        <f aca="false">3959000000*(1+Supuestos!$C$36)^4*Estacionalidad!D$13</f>
        <v>324638000</v>
      </c>
      <c r="Q10" s="37" t="n">
        <f aca="false">3959000000*(1+Supuestos!$C$36)^4*Estacionalidad!E$13</f>
        <v>332556000</v>
      </c>
      <c r="R10" s="37" t="n">
        <f aca="false">3959000000*(1+Supuestos!$C$36)^4*Estacionalidad!F$13</f>
        <v>332556000</v>
      </c>
      <c r="S10" s="37" t="n">
        <f aca="false">3959000000*(1+Supuestos!$C$36)^4*Estacionalidad!G$13</f>
        <v>332556000</v>
      </c>
      <c r="T10" s="37" t="n">
        <f aca="false">3959000000*(1+Supuestos!$C$36)^4*Estacionalidad!H$13</f>
        <v>332556000</v>
      </c>
      <c r="U10" s="37" t="n">
        <f aca="false">3959000000*(1+Supuestos!$C$36)^4*Estacionalidad!I$13</f>
        <v>332556000</v>
      </c>
      <c r="V10" s="37" t="n">
        <f aca="false">3959000000*(1+Supuestos!$C$36)^4*Estacionalidad!J$13</f>
        <v>332556000</v>
      </c>
      <c r="W10" s="37" t="n">
        <f aca="false">3959000000*(1+Supuestos!$C$36)^4*Estacionalidad!K$13</f>
        <v>332556000</v>
      </c>
      <c r="X10" s="37" t="n">
        <f aca="false">3959000000*(1+Supuestos!$C$36)^4*Estacionalidad!L$13</f>
        <v>332556000</v>
      </c>
      <c r="Y10" s="37" t="n">
        <f aca="false">3959000000*(1+Supuestos!$C$36)^4*Estacionalidad!M$13</f>
        <v>332556000</v>
      </c>
      <c r="Z10" s="37" t="n">
        <f aca="false">3959000000*(1+Supuestos!$C$36)^4*Estacionalidad!N$13</f>
        <v>320679000</v>
      </c>
      <c r="AA10" s="37" t="n">
        <f aca="false">3959000000*(1+Supuestos!$C$36)^5*Estacionalidad!C$13</f>
        <v>320679000</v>
      </c>
      <c r="AB10" s="37" t="n">
        <f aca="false">3959000000*(1+Supuestos!$C$36)^5*Estacionalidad!D$13</f>
        <v>324638000</v>
      </c>
      <c r="AC10" s="37" t="n">
        <f aca="false">3959000000*(1+Supuestos!$C$36)^5*Estacionalidad!E$13</f>
        <v>332556000</v>
      </c>
      <c r="AD10" s="37" t="n">
        <f aca="false">3959000000*(1+Supuestos!$C$36)^5*Estacionalidad!F$13</f>
        <v>332556000</v>
      </c>
      <c r="AE10" s="37" t="n">
        <f aca="false">3959000000*(1+Supuestos!$C$36)^5*Estacionalidad!G$13</f>
        <v>332556000</v>
      </c>
      <c r="AF10" s="37" t="n">
        <f aca="false">3959000000*(1+Supuestos!$C$36)^5*Estacionalidad!H$13</f>
        <v>332556000</v>
      </c>
      <c r="AG10" s="37" t="n">
        <f aca="false">3959000000*(1+Supuestos!$C$36)^5*Estacionalidad!I$13</f>
        <v>332556000</v>
      </c>
      <c r="AH10" s="37" t="n">
        <f aca="false">3959000000*(1+Supuestos!$C$36)^5*Estacionalidad!J$13</f>
        <v>332556000</v>
      </c>
      <c r="AI10" s="37" t="n">
        <f aca="false">3959000000*(1+Supuestos!$C$36)^5*Estacionalidad!K$13</f>
        <v>332556000</v>
      </c>
      <c r="AJ10" s="37" t="n">
        <f aca="false">3959000000*(1+Supuestos!$C$36)^5*Estacionalidad!L$13</f>
        <v>332556000</v>
      </c>
      <c r="AK10" s="37" t="n">
        <f aca="false">3959000000*(1+Supuestos!$C$36)^5*Estacionalidad!M$13</f>
        <v>332556000</v>
      </c>
      <c r="AL10" s="37" t="n">
        <f aca="false">3959000000*(1+Supuestos!$C$36)^5*Estacionalidad!N$13</f>
        <v>320679000</v>
      </c>
      <c r="AM10" s="37" t="n">
        <f aca="false">3959000000*(1+Supuestos!$C$36)^6*Estacionalidad!C$13</f>
        <v>320679000</v>
      </c>
      <c r="AN10" s="37" t="n">
        <f aca="false">3959000000*(1+Supuestos!$C$36)^6*Estacionalidad!D$13</f>
        <v>324638000</v>
      </c>
      <c r="AO10" s="37" t="n">
        <f aca="false">3959000000*(1+Supuestos!$C$36)^6*Estacionalidad!E$13</f>
        <v>332556000</v>
      </c>
      <c r="AP10" s="37" t="n">
        <f aca="false">3959000000*(1+Supuestos!$C$36)^6*Estacionalidad!F$13</f>
        <v>332556000</v>
      </c>
      <c r="AQ10" s="37" t="n">
        <f aca="false">3959000000*(1+Supuestos!$C$36)^6*Estacionalidad!G$13</f>
        <v>332556000</v>
      </c>
      <c r="AR10" s="37" t="n">
        <f aca="false">3959000000*(1+Supuestos!$C$36)^6*Estacionalidad!H$13</f>
        <v>332556000</v>
      </c>
      <c r="AS10" s="37" t="n">
        <f aca="false">3959000000*(1+Supuestos!$C$36)^6*Estacionalidad!I$13</f>
        <v>332556000</v>
      </c>
      <c r="AT10" s="37" t="n">
        <f aca="false">3959000000*(1+Supuestos!$C$36)^6*Estacionalidad!J$13</f>
        <v>332556000</v>
      </c>
      <c r="AU10" s="37" t="n">
        <f aca="false">3959000000*(1+Supuestos!$C$36)^6*Estacionalidad!K$13</f>
        <v>332556000</v>
      </c>
      <c r="AV10" s="37" t="n">
        <f aca="false">3959000000*(1+Supuestos!$C$36)^6*Estacionalidad!L$13</f>
        <v>332556000</v>
      </c>
      <c r="AW10" s="37" t="n">
        <f aca="false">3959000000*(1+Supuestos!$C$36)^6*Estacionalidad!M$13</f>
        <v>332556000</v>
      </c>
      <c r="AX10" s="37" t="n">
        <f aca="false">3959000000*(1+Supuestos!$C$36)^6*Estacionalidad!N$13</f>
        <v>320679000</v>
      </c>
      <c r="AY10" s="37" t="n">
        <f aca="false">3959000000*(1+Supuestos!$C$36)^7*Estacionalidad!C$13</f>
        <v>320679000</v>
      </c>
      <c r="AZ10" s="37" t="n">
        <f aca="false">3959000000*(1+Supuestos!$C$36)^7*Estacionalidad!D$13</f>
        <v>324638000</v>
      </c>
      <c r="BA10" s="37" t="n">
        <f aca="false">3959000000*(1+Supuestos!$C$36)^7*Estacionalidad!E$13</f>
        <v>332556000</v>
      </c>
      <c r="BB10" s="37" t="n">
        <f aca="false">3959000000*(1+Supuestos!$C$36)^7*Estacionalidad!F$13</f>
        <v>332556000</v>
      </c>
      <c r="BC10" s="37" t="n">
        <f aca="false">3959000000*(1+Supuestos!$C$36)^7*Estacionalidad!G$13</f>
        <v>332556000</v>
      </c>
      <c r="BD10" s="37" t="n">
        <f aca="false">3959000000*(1+Supuestos!$C$36)^7*Estacionalidad!H$13</f>
        <v>332556000</v>
      </c>
      <c r="BE10" s="37" t="n">
        <f aca="false">3959000000*(1+Supuestos!$C$36)^7*Estacionalidad!I$13</f>
        <v>332556000</v>
      </c>
      <c r="BF10" s="37" t="n">
        <f aca="false">3959000000*(1+Supuestos!$C$36)^7*Estacionalidad!J$13</f>
        <v>332556000</v>
      </c>
      <c r="BG10" s="37" t="n">
        <f aca="false">3959000000*(1+Supuestos!$C$36)^7*Estacionalidad!K$13</f>
        <v>332556000</v>
      </c>
      <c r="BH10" s="37" t="n">
        <f aca="false">3959000000*(1+Supuestos!$C$36)^7*Estacionalidad!L$13</f>
        <v>332556000</v>
      </c>
      <c r="BI10" s="37" t="n">
        <f aca="false">3959000000*(1+Supuestos!$C$36)^7*Estacionalidad!M$13</f>
        <v>332556000</v>
      </c>
      <c r="BJ10" s="37" t="n">
        <f aca="false">3959000000*(1+Supuestos!$C$36)^7*Estacionalidad!N$13</f>
        <v>320679000</v>
      </c>
      <c r="BK10" s="37" t="n">
        <f aca="false">3959000000*(1+Supuestos!$C$36)^8*Estacionalidad!C$13</f>
        <v>320679000</v>
      </c>
      <c r="BL10" s="37" t="n">
        <f aca="false">3959000000*(1+Supuestos!$C$36)^8*Estacionalidad!D$13</f>
        <v>324638000</v>
      </c>
      <c r="BM10" s="37" t="n">
        <f aca="false">3959000000*(1+Supuestos!$C$36)^8*Estacionalidad!E$13</f>
        <v>332556000</v>
      </c>
      <c r="BN10" s="37" t="n">
        <f aca="false">3959000000*(1+Supuestos!$C$36)^8*Estacionalidad!F$13</f>
        <v>332556000</v>
      </c>
      <c r="BO10" s="37" t="n">
        <f aca="false">3959000000*(1+Supuestos!$C$36)^8*Estacionalidad!G$13</f>
        <v>332556000</v>
      </c>
      <c r="BP10" s="37" t="n">
        <f aca="false">3959000000*(1+Supuestos!$C$36)^8*Estacionalidad!H$13</f>
        <v>332556000</v>
      </c>
      <c r="BQ10" s="37" t="n">
        <f aca="false">3959000000*(1+Supuestos!$C$36)^8*Estacionalidad!I$13</f>
        <v>332556000</v>
      </c>
      <c r="BR10" s="37" t="n">
        <f aca="false">3959000000*(1+Supuestos!$C$36)^8*Estacionalidad!J$13</f>
        <v>332556000</v>
      </c>
      <c r="BS10" s="37" t="n">
        <f aca="false">3959000000*(1+Supuestos!$C$36)^8*Estacionalidad!K$13</f>
        <v>332556000</v>
      </c>
      <c r="BT10" s="37" t="n">
        <f aca="false">3959000000*(1+Supuestos!$C$36)^8*Estacionalidad!L$13</f>
        <v>332556000</v>
      </c>
      <c r="BU10" s="37" t="n">
        <f aca="false">3959000000*(1+Supuestos!$C$36)^8*Estacionalidad!M$13</f>
        <v>332556000</v>
      </c>
      <c r="BV10" s="37" t="n">
        <f aca="false">3959000000*(1+Supuestos!$C$36)^8*Estacionalidad!N$13</f>
        <v>320679000</v>
      </c>
      <c r="BW10" s="37" t="n">
        <f aca="false">3959000000*(1+Supuestos!$C$36)^9*Estacionalidad!C$13</f>
        <v>320679000</v>
      </c>
      <c r="BX10" s="37" t="n">
        <f aca="false">3959000000*(1+Supuestos!$C$36)^9*Estacionalidad!D$13</f>
        <v>324638000</v>
      </c>
      <c r="BY10" s="37" t="n">
        <f aca="false">3959000000*(1+Supuestos!$C$36)^9*Estacionalidad!E$13</f>
        <v>332556000</v>
      </c>
      <c r="BZ10" s="37" t="n">
        <f aca="false">3959000000*(1+Supuestos!$C$36)^9*Estacionalidad!F$13</f>
        <v>332556000</v>
      </c>
      <c r="CA10" s="37" t="n">
        <f aca="false">3959000000*(1+Supuestos!$C$36)^9*Estacionalidad!G$13</f>
        <v>332556000</v>
      </c>
      <c r="CB10" s="37" t="n">
        <f aca="false">3959000000*(1+Supuestos!$C$36)^9*Estacionalidad!H$13</f>
        <v>332556000</v>
      </c>
      <c r="CC10" s="37" t="n">
        <f aca="false">3959000000*(1+Supuestos!$C$36)^9*Estacionalidad!I$13</f>
        <v>332556000</v>
      </c>
      <c r="CD10" s="37" t="n">
        <f aca="false">3959000000*(1+Supuestos!$C$36)^9*Estacionalidad!J$13</f>
        <v>332556000</v>
      </c>
      <c r="CE10" s="37" t="n">
        <f aca="false">3959000000*(1+Supuestos!$C$36)^9*Estacionalidad!K$13</f>
        <v>332556000</v>
      </c>
      <c r="CF10" s="37" t="n">
        <f aca="false">3959000000*(1+Supuestos!$C$36)^9*Estacionalidad!L$13</f>
        <v>332556000</v>
      </c>
      <c r="CG10" s="37" t="n">
        <f aca="false">3959000000*(1+Supuestos!$C$36)^9*Estacionalidad!M$13</f>
        <v>332556000</v>
      </c>
      <c r="CH10" s="37" t="n">
        <f aca="false">3959000000*(1+Supuestos!$C$36)^9*Estacionalidad!N$13</f>
        <v>320679000</v>
      </c>
      <c r="CI10" s="37" t="n">
        <f aca="false">3959000000*(1+Supuestos!$C$36)^10*Estacionalidad!C$13</f>
        <v>320679000</v>
      </c>
      <c r="CJ10" s="37" t="n">
        <f aca="false">3959000000*(1+Supuestos!$C$36)^10*Estacionalidad!D$13</f>
        <v>324638000</v>
      </c>
      <c r="CK10" s="37" t="n">
        <f aca="false">3959000000*(1+Supuestos!$C$36)^10*Estacionalidad!E$13</f>
        <v>332556000</v>
      </c>
      <c r="CL10" s="37" t="n">
        <f aca="false">3959000000*(1+Supuestos!$C$36)^10*Estacionalidad!F$13</f>
        <v>332556000</v>
      </c>
      <c r="CM10" s="37" t="n">
        <f aca="false">3959000000*(1+Supuestos!$C$36)^10*Estacionalidad!G$13</f>
        <v>332556000</v>
      </c>
      <c r="CN10" s="37" t="n">
        <f aca="false">3959000000*(1+Supuestos!$C$36)^10*Estacionalidad!H$13</f>
        <v>332556000</v>
      </c>
      <c r="CO10" s="37" t="n">
        <f aca="false">3959000000*(1+Supuestos!$C$36)^10*Estacionalidad!I$13</f>
        <v>332556000</v>
      </c>
      <c r="CP10" s="37" t="n">
        <f aca="false">3959000000*(1+Supuestos!$C$36)^10*Estacionalidad!J$13</f>
        <v>332556000</v>
      </c>
      <c r="CQ10" s="37" t="n">
        <f aca="false">3959000000*(1+Supuestos!$C$36)^10*Estacionalidad!K$13</f>
        <v>332556000</v>
      </c>
      <c r="CR10" s="37" t="n">
        <f aca="false">3959000000*(1+Supuestos!$C$36)^10*Estacionalidad!L$13</f>
        <v>332556000</v>
      </c>
      <c r="CS10" s="37" t="n">
        <f aca="false">3959000000*(1+Supuestos!$C$36)^10*Estacionalidad!M$13</f>
        <v>332556000</v>
      </c>
      <c r="CT10" s="37" t="n">
        <f aca="false">3959000000*(1+Supuestos!$C$36)^10*Estacionalidad!N$13</f>
        <v>320679000</v>
      </c>
    </row>
    <row r="11" customFormat="false" ht="15" hidden="false" customHeight="true" outlineLevel="0" collapsed="false">
      <c r="B11" s="15" t="s">
        <v>340</v>
      </c>
      <c r="C11" s="37" t="n">
        <f aca="false">2249000000*(1+Supuestos!$C$36)^3*Estacionalidad!C$13</f>
        <v>182169000</v>
      </c>
      <c r="D11" s="37" t="n">
        <f aca="false">2249000000*(1+Supuestos!$C$36)^3*Estacionalidad!D$13</f>
        <v>184418000</v>
      </c>
      <c r="E11" s="37" t="n">
        <f aca="false">2249000000*(1+Supuestos!$C$36)^3*Estacionalidad!E$13</f>
        <v>188916000</v>
      </c>
      <c r="F11" s="37" t="n">
        <f aca="false">2249000000*(1+Supuestos!$C$36)^3*Estacionalidad!F$13</f>
        <v>188916000</v>
      </c>
      <c r="G11" s="37" t="n">
        <f aca="false">2249000000*(1+Supuestos!$C$36)^3*Estacionalidad!G$13</f>
        <v>188916000</v>
      </c>
      <c r="H11" s="37" t="n">
        <f aca="false">2249000000*(1+Supuestos!$C$36)^3*Estacionalidad!H$13</f>
        <v>188916000</v>
      </c>
      <c r="I11" s="37" t="n">
        <f aca="false">2249000000*(1+Supuestos!$C$36)^3*Estacionalidad!I$13</f>
        <v>188916000</v>
      </c>
      <c r="J11" s="37" t="n">
        <f aca="false">2249000000*(1+Supuestos!$C$36)^3*Estacionalidad!J$13</f>
        <v>188916000</v>
      </c>
      <c r="K11" s="37" t="n">
        <f aca="false">2249000000*(1+Supuestos!$C$36)^3*Estacionalidad!K$13</f>
        <v>188916000</v>
      </c>
      <c r="L11" s="37" t="n">
        <f aca="false">2249000000*(1+Supuestos!$C$36)^3*Estacionalidad!L$13</f>
        <v>188916000</v>
      </c>
      <c r="M11" s="37" t="n">
        <f aca="false">2249000000*(1+Supuestos!$C$36)^3*Estacionalidad!M$13</f>
        <v>188916000</v>
      </c>
      <c r="N11" s="37" t="n">
        <f aca="false">2249000000*(1+Supuestos!$C$36)^3*Estacionalidad!N$13</f>
        <v>182169000</v>
      </c>
      <c r="O11" s="37" t="n">
        <f aca="false">2249000000*(1+Supuestos!$C$36)^4*Estacionalidad!C$13</f>
        <v>182169000</v>
      </c>
      <c r="P11" s="37" t="n">
        <f aca="false">2249000000*(1+Supuestos!$C$36)^4*Estacionalidad!D$13</f>
        <v>184418000</v>
      </c>
      <c r="Q11" s="37" t="n">
        <f aca="false">2249000000*(1+Supuestos!$C$36)^4*Estacionalidad!E$13</f>
        <v>188916000</v>
      </c>
      <c r="R11" s="37" t="n">
        <f aca="false">2249000000*(1+Supuestos!$C$36)^4*Estacionalidad!F$13</f>
        <v>188916000</v>
      </c>
      <c r="S11" s="37" t="n">
        <f aca="false">2249000000*(1+Supuestos!$C$36)^4*Estacionalidad!G$13</f>
        <v>188916000</v>
      </c>
      <c r="T11" s="37" t="n">
        <f aca="false">2249000000*(1+Supuestos!$C$36)^4*Estacionalidad!H$13</f>
        <v>188916000</v>
      </c>
      <c r="U11" s="37" t="n">
        <f aca="false">2249000000*(1+Supuestos!$C$36)^4*Estacionalidad!I$13</f>
        <v>188916000</v>
      </c>
      <c r="V11" s="37" t="n">
        <f aca="false">2249000000*(1+Supuestos!$C$36)^4*Estacionalidad!J$13</f>
        <v>188916000</v>
      </c>
      <c r="W11" s="37" t="n">
        <f aca="false">2249000000*(1+Supuestos!$C$36)^4*Estacionalidad!K$13</f>
        <v>188916000</v>
      </c>
      <c r="X11" s="37" t="n">
        <f aca="false">2249000000*(1+Supuestos!$C$36)^4*Estacionalidad!L$13</f>
        <v>188916000</v>
      </c>
      <c r="Y11" s="37" t="n">
        <f aca="false">2249000000*(1+Supuestos!$C$36)^4*Estacionalidad!M$13</f>
        <v>188916000</v>
      </c>
      <c r="Z11" s="37" t="n">
        <f aca="false">2249000000*(1+Supuestos!$C$36)^4*Estacionalidad!N$13</f>
        <v>182169000</v>
      </c>
      <c r="AA11" s="37" t="n">
        <f aca="false">2249000000*(1+Supuestos!$C$36)^5*Estacionalidad!C$13</f>
        <v>182169000</v>
      </c>
      <c r="AB11" s="37" t="n">
        <f aca="false">2249000000*(1+Supuestos!$C$36)^5*Estacionalidad!D$13</f>
        <v>184418000</v>
      </c>
      <c r="AC11" s="37" t="n">
        <f aca="false">2249000000*(1+Supuestos!$C$36)^5*Estacionalidad!E$13</f>
        <v>188916000</v>
      </c>
      <c r="AD11" s="37" t="n">
        <f aca="false">2249000000*(1+Supuestos!$C$36)^5*Estacionalidad!F$13</f>
        <v>188916000</v>
      </c>
      <c r="AE11" s="37" t="n">
        <f aca="false">2249000000*(1+Supuestos!$C$36)^5*Estacionalidad!G$13</f>
        <v>188916000</v>
      </c>
      <c r="AF11" s="37" t="n">
        <f aca="false">2249000000*(1+Supuestos!$C$36)^5*Estacionalidad!H$13</f>
        <v>188916000</v>
      </c>
      <c r="AG11" s="37" t="n">
        <f aca="false">2249000000*(1+Supuestos!$C$36)^5*Estacionalidad!I$13</f>
        <v>188916000</v>
      </c>
      <c r="AH11" s="37" t="n">
        <f aca="false">2249000000*(1+Supuestos!$C$36)^5*Estacionalidad!J$13</f>
        <v>188916000</v>
      </c>
      <c r="AI11" s="37" t="n">
        <f aca="false">2249000000*(1+Supuestos!$C$36)^5*Estacionalidad!K$13</f>
        <v>188916000</v>
      </c>
      <c r="AJ11" s="37" t="n">
        <f aca="false">2249000000*(1+Supuestos!$C$36)^5*Estacionalidad!L$13</f>
        <v>188916000</v>
      </c>
      <c r="AK11" s="37" t="n">
        <f aca="false">2249000000*(1+Supuestos!$C$36)^5*Estacionalidad!M$13</f>
        <v>188916000</v>
      </c>
      <c r="AL11" s="37" t="n">
        <f aca="false">2249000000*(1+Supuestos!$C$36)^5*Estacionalidad!N$13</f>
        <v>182169000</v>
      </c>
      <c r="AM11" s="37" t="n">
        <f aca="false">2249000000*(1+Supuestos!$C$36)^6*Estacionalidad!C$13</f>
        <v>182169000</v>
      </c>
      <c r="AN11" s="37" t="n">
        <f aca="false">2249000000*(1+Supuestos!$C$36)^6*Estacionalidad!D$13</f>
        <v>184418000</v>
      </c>
      <c r="AO11" s="37" t="n">
        <f aca="false">2249000000*(1+Supuestos!$C$36)^6*Estacionalidad!E$13</f>
        <v>188916000</v>
      </c>
      <c r="AP11" s="37" t="n">
        <f aca="false">2249000000*(1+Supuestos!$C$36)^6*Estacionalidad!F$13</f>
        <v>188916000</v>
      </c>
      <c r="AQ11" s="37" t="n">
        <f aca="false">2249000000*(1+Supuestos!$C$36)^6*Estacionalidad!G$13</f>
        <v>188916000</v>
      </c>
      <c r="AR11" s="37" t="n">
        <f aca="false">2249000000*(1+Supuestos!$C$36)^6*Estacionalidad!H$13</f>
        <v>188916000</v>
      </c>
      <c r="AS11" s="37" t="n">
        <f aca="false">2249000000*(1+Supuestos!$C$36)^6*Estacionalidad!I$13</f>
        <v>188916000</v>
      </c>
      <c r="AT11" s="37" t="n">
        <f aca="false">2249000000*(1+Supuestos!$C$36)^6*Estacionalidad!J$13</f>
        <v>188916000</v>
      </c>
      <c r="AU11" s="37" t="n">
        <f aca="false">2249000000*(1+Supuestos!$C$36)^6*Estacionalidad!K$13</f>
        <v>188916000</v>
      </c>
      <c r="AV11" s="37" t="n">
        <f aca="false">2249000000*(1+Supuestos!$C$36)^6*Estacionalidad!L$13</f>
        <v>188916000</v>
      </c>
      <c r="AW11" s="37" t="n">
        <f aca="false">2249000000*(1+Supuestos!$C$36)^6*Estacionalidad!M$13</f>
        <v>188916000</v>
      </c>
      <c r="AX11" s="37" t="n">
        <f aca="false">2249000000*(1+Supuestos!$C$36)^6*Estacionalidad!N$13</f>
        <v>182169000</v>
      </c>
      <c r="AY11" s="37" t="n">
        <f aca="false">2249000000*(1+Supuestos!$C$36)^7*Estacionalidad!C$13</f>
        <v>182169000</v>
      </c>
      <c r="AZ11" s="37" t="n">
        <f aca="false">2249000000*(1+Supuestos!$C$36)^7*Estacionalidad!D$13</f>
        <v>184418000</v>
      </c>
      <c r="BA11" s="37" t="n">
        <f aca="false">2249000000*(1+Supuestos!$C$36)^7*Estacionalidad!E$13</f>
        <v>188916000</v>
      </c>
      <c r="BB11" s="37" t="n">
        <f aca="false">2249000000*(1+Supuestos!$C$36)^7*Estacionalidad!F$13</f>
        <v>188916000</v>
      </c>
      <c r="BC11" s="37" t="n">
        <f aca="false">2249000000*(1+Supuestos!$C$36)^7*Estacionalidad!G$13</f>
        <v>188916000</v>
      </c>
      <c r="BD11" s="37" t="n">
        <f aca="false">2249000000*(1+Supuestos!$C$36)^7*Estacionalidad!H$13</f>
        <v>188916000</v>
      </c>
      <c r="BE11" s="37" t="n">
        <f aca="false">2249000000*(1+Supuestos!$C$36)^7*Estacionalidad!I$13</f>
        <v>188916000</v>
      </c>
      <c r="BF11" s="37" t="n">
        <f aca="false">2249000000*(1+Supuestos!$C$36)^7*Estacionalidad!J$13</f>
        <v>188916000</v>
      </c>
      <c r="BG11" s="37" t="n">
        <f aca="false">2249000000*(1+Supuestos!$C$36)^7*Estacionalidad!K$13</f>
        <v>188916000</v>
      </c>
      <c r="BH11" s="37" t="n">
        <f aca="false">2249000000*(1+Supuestos!$C$36)^7*Estacionalidad!L$13</f>
        <v>188916000</v>
      </c>
      <c r="BI11" s="37" t="n">
        <f aca="false">2249000000*(1+Supuestos!$C$36)^7*Estacionalidad!M$13</f>
        <v>188916000</v>
      </c>
      <c r="BJ11" s="37" t="n">
        <f aca="false">2249000000*(1+Supuestos!$C$36)^7*Estacionalidad!N$13</f>
        <v>182169000</v>
      </c>
      <c r="BK11" s="37" t="n">
        <f aca="false">2249000000*(1+Supuestos!$C$36)^8*Estacionalidad!C$13</f>
        <v>182169000</v>
      </c>
      <c r="BL11" s="37" t="n">
        <f aca="false">2249000000*(1+Supuestos!$C$36)^8*Estacionalidad!D$13</f>
        <v>184418000</v>
      </c>
      <c r="BM11" s="37" t="n">
        <f aca="false">2249000000*(1+Supuestos!$C$36)^8*Estacionalidad!E$13</f>
        <v>188916000</v>
      </c>
      <c r="BN11" s="37" t="n">
        <f aca="false">2249000000*(1+Supuestos!$C$36)^8*Estacionalidad!F$13</f>
        <v>188916000</v>
      </c>
      <c r="BO11" s="37" t="n">
        <f aca="false">2249000000*(1+Supuestos!$C$36)^8*Estacionalidad!G$13</f>
        <v>188916000</v>
      </c>
      <c r="BP11" s="37" t="n">
        <f aca="false">2249000000*(1+Supuestos!$C$36)^8*Estacionalidad!H$13</f>
        <v>188916000</v>
      </c>
      <c r="BQ11" s="37" t="n">
        <f aca="false">2249000000*(1+Supuestos!$C$36)^8*Estacionalidad!I$13</f>
        <v>188916000</v>
      </c>
      <c r="BR11" s="37" t="n">
        <f aca="false">2249000000*(1+Supuestos!$C$36)^8*Estacionalidad!J$13</f>
        <v>188916000</v>
      </c>
      <c r="BS11" s="37" t="n">
        <f aca="false">2249000000*(1+Supuestos!$C$36)^8*Estacionalidad!K$13</f>
        <v>188916000</v>
      </c>
      <c r="BT11" s="37" t="n">
        <f aca="false">2249000000*(1+Supuestos!$C$36)^8*Estacionalidad!L$13</f>
        <v>188916000</v>
      </c>
      <c r="BU11" s="37" t="n">
        <f aca="false">2249000000*(1+Supuestos!$C$36)^8*Estacionalidad!M$13</f>
        <v>188916000</v>
      </c>
      <c r="BV11" s="37" t="n">
        <f aca="false">2249000000*(1+Supuestos!$C$36)^8*Estacionalidad!N$13</f>
        <v>182169000</v>
      </c>
      <c r="BW11" s="37" t="n">
        <f aca="false">2249000000*(1+Supuestos!$C$36)^9*Estacionalidad!C$13</f>
        <v>182169000</v>
      </c>
      <c r="BX11" s="37" t="n">
        <f aca="false">2249000000*(1+Supuestos!$C$36)^9*Estacionalidad!D$13</f>
        <v>184418000</v>
      </c>
      <c r="BY11" s="37" t="n">
        <f aca="false">2249000000*(1+Supuestos!$C$36)^9*Estacionalidad!E$13</f>
        <v>188916000</v>
      </c>
      <c r="BZ11" s="37" t="n">
        <f aca="false">2249000000*(1+Supuestos!$C$36)^9*Estacionalidad!F$13</f>
        <v>188916000</v>
      </c>
      <c r="CA11" s="37" t="n">
        <f aca="false">2249000000*(1+Supuestos!$C$36)^9*Estacionalidad!G$13</f>
        <v>188916000</v>
      </c>
      <c r="CB11" s="37" t="n">
        <f aca="false">2249000000*(1+Supuestos!$C$36)^9*Estacionalidad!H$13</f>
        <v>188916000</v>
      </c>
      <c r="CC11" s="37" t="n">
        <f aca="false">2249000000*(1+Supuestos!$C$36)^9*Estacionalidad!I$13</f>
        <v>188916000</v>
      </c>
      <c r="CD11" s="37" t="n">
        <f aca="false">2249000000*(1+Supuestos!$C$36)^9*Estacionalidad!J$13</f>
        <v>188916000</v>
      </c>
      <c r="CE11" s="37" t="n">
        <f aca="false">2249000000*(1+Supuestos!$C$36)^9*Estacionalidad!K$13</f>
        <v>188916000</v>
      </c>
      <c r="CF11" s="37" t="n">
        <f aca="false">2249000000*(1+Supuestos!$C$36)^9*Estacionalidad!L$13</f>
        <v>188916000</v>
      </c>
      <c r="CG11" s="37" t="n">
        <f aca="false">2249000000*(1+Supuestos!$C$36)^9*Estacionalidad!M$13</f>
        <v>188916000</v>
      </c>
      <c r="CH11" s="37" t="n">
        <f aca="false">2249000000*(1+Supuestos!$C$36)^9*Estacionalidad!N$13</f>
        <v>182169000</v>
      </c>
      <c r="CI11" s="37" t="n">
        <f aca="false">2249000000*(1+Supuestos!$C$36)^10*Estacionalidad!C$13</f>
        <v>182169000</v>
      </c>
      <c r="CJ11" s="37" t="n">
        <f aca="false">2249000000*(1+Supuestos!$C$36)^10*Estacionalidad!D$13</f>
        <v>184418000</v>
      </c>
      <c r="CK11" s="37" t="n">
        <f aca="false">2249000000*(1+Supuestos!$C$36)^10*Estacionalidad!E$13</f>
        <v>188916000</v>
      </c>
      <c r="CL11" s="37" t="n">
        <f aca="false">2249000000*(1+Supuestos!$C$36)^10*Estacionalidad!F$13</f>
        <v>188916000</v>
      </c>
      <c r="CM11" s="37" t="n">
        <f aca="false">2249000000*(1+Supuestos!$C$36)^10*Estacionalidad!G$13</f>
        <v>188916000</v>
      </c>
      <c r="CN11" s="37" t="n">
        <f aca="false">2249000000*(1+Supuestos!$C$36)^10*Estacionalidad!H$13</f>
        <v>188916000</v>
      </c>
      <c r="CO11" s="37" t="n">
        <f aca="false">2249000000*(1+Supuestos!$C$36)^10*Estacionalidad!I$13</f>
        <v>188916000</v>
      </c>
      <c r="CP11" s="37" t="n">
        <f aca="false">2249000000*(1+Supuestos!$C$36)^10*Estacionalidad!J$13</f>
        <v>188916000</v>
      </c>
      <c r="CQ11" s="37" t="n">
        <f aca="false">2249000000*(1+Supuestos!$C$36)^10*Estacionalidad!K$13</f>
        <v>188916000</v>
      </c>
      <c r="CR11" s="37" t="n">
        <f aca="false">2249000000*(1+Supuestos!$C$36)^10*Estacionalidad!L$13</f>
        <v>188916000</v>
      </c>
      <c r="CS11" s="37" t="n">
        <f aca="false">2249000000*(1+Supuestos!$C$36)^10*Estacionalidad!M$13</f>
        <v>188916000</v>
      </c>
      <c r="CT11" s="37" t="n">
        <f aca="false">2249000000*(1+Supuestos!$C$36)^10*Estacionalidad!N$13</f>
        <v>182169000</v>
      </c>
    </row>
    <row r="12" customFormat="false" ht="15" hidden="false" customHeight="true" outlineLevel="0" collapsed="false">
      <c r="B12" s="15" t="s">
        <v>341</v>
      </c>
      <c r="C12" s="37" t="n">
        <f aca="false">1022000000*(1+Supuestos!$C$36)^3*Estacionalidad!C$13</f>
        <v>82782000</v>
      </c>
      <c r="D12" s="37" t="n">
        <f aca="false">1022000000*(1+Supuestos!$C$36)^3*Estacionalidad!D$13</f>
        <v>83804000</v>
      </c>
      <c r="E12" s="37" t="n">
        <f aca="false">1022000000*(1+Supuestos!$C$36)^3*Estacionalidad!E$13</f>
        <v>85848000</v>
      </c>
      <c r="F12" s="37" t="n">
        <f aca="false">1022000000*(1+Supuestos!$C$36)^3*Estacionalidad!F$13</f>
        <v>85848000</v>
      </c>
      <c r="G12" s="37" t="n">
        <f aca="false">1022000000*(1+Supuestos!$C$36)^3*Estacionalidad!G$13</f>
        <v>85848000</v>
      </c>
      <c r="H12" s="37" t="n">
        <f aca="false">1022000000*(1+Supuestos!$C$36)^3*Estacionalidad!H$13</f>
        <v>85848000</v>
      </c>
      <c r="I12" s="37" t="n">
        <f aca="false">1022000000*(1+Supuestos!$C$36)^3*Estacionalidad!I$13</f>
        <v>85848000</v>
      </c>
      <c r="J12" s="37" t="n">
        <f aca="false">1022000000*(1+Supuestos!$C$36)^3*Estacionalidad!J$13</f>
        <v>85848000</v>
      </c>
      <c r="K12" s="37" t="n">
        <f aca="false">1022000000*(1+Supuestos!$C$36)^3*Estacionalidad!K$13</f>
        <v>85848000</v>
      </c>
      <c r="L12" s="37" t="n">
        <f aca="false">1022000000*(1+Supuestos!$C$36)^3*Estacionalidad!L$13</f>
        <v>85848000</v>
      </c>
      <c r="M12" s="37" t="n">
        <f aca="false">1022000000*(1+Supuestos!$C$36)^3*Estacionalidad!M$13</f>
        <v>85848000</v>
      </c>
      <c r="N12" s="37" t="n">
        <f aca="false">1022000000*(1+Supuestos!$C$36)^3*Estacionalidad!N$13</f>
        <v>82782000</v>
      </c>
      <c r="O12" s="37" t="n">
        <f aca="false">1022000000*(1+Supuestos!$C$36)^4*Estacionalidad!C$13</f>
        <v>82782000</v>
      </c>
      <c r="P12" s="37" t="n">
        <f aca="false">1022000000*(1+Supuestos!$C$36)^4*Estacionalidad!D$13</f>
        <v>83804000</v>
      </c>
      <c r="Q12" s="37" t="n">
        <f aca="false">1022000000*(1+Supuestos!$C$36)^4*Estacionalidad!E$13</f>
        <v>85848000</v>
      </c>
      <c r="R12" s="37" t="n">
        <f aca="false">1022000000*(1+Supuestos!$C$36)^4*Estacionalidad!F$13</f>
        <v>85848000</v>
      </c>
      <c r="S12" s="37" t="n">
        <f aca="false">1022000000*(1+Supuestos!$C$36)^4*Estacionalidad!G$13</f>
        <v>85848000</v>
      </c>
      <c r="T12" s="37" t="n">
        <f aca="false">1022000000*(1+Supuestos!$C$36)^4*Estacionalidad!H$13</f>
        <v>85848000</v>
      </c>
      <c r="U12" s="37" t="n">
        <f aca="false">1022000000*(1+Supuestos!$C$36)^4*Estacionalidad!I$13</f>
        <v>85848000</v>
      </c>
      <c r="V12" s="37" t="n">
        <f aca="false">1022000000*(1+Supuestos!$C$36)^4*Estacionalidad!J$13</f>
        <v>85848000</v>
      </c>
      <c r="W12" s="37" t="n">
        <f aca="false">1022000000*(1+Supuestos!$C$36)^4*Estacionalidad!K$13</f>
        <v>85848000</v>
      </c>
      <c r="X12" s="37" t="n">
        <f aca="false">1022000000*(1+Supuestos!$C$36)^4*Estacionalidad!L$13</f>
        <v>85848000</v>
      </c>
      <c r="Y12" s="37" t="n">
        <f aca="false">1022000000*(1+Supuestos!$C$36)^4*Estacionalidad!M$13</f>
        <v>85848000</v>
      </c>
      <c r="Z12" s="37" t="n">
        <f aca="false">1022000000*(1+Supuestos!$C$36)^4*Estacionalidad!N$13</f>
        <v>82782000</v>
      </c>
      <c r="AA12" s="37" t="n">
        <f aca="false">1022000000*(1+Supuestos!$C$36)^5*Estacionalidad!C$13</f>
        <v>82782000</v>
      </c>
      <c r="AB12" s="37" t="n">
        <f aca="false">1022000000*(1+Supuestos!$C$36)^5*Estacionalidad!D$13</f>
        <v>83804000</v>
      </c>
      <c r="AC12" s="37" t="n">
        <f aca="false">1022000000*(1+Supuestos!$C$36)^5*Estacionalidad!E$13</f>
        <v>85848000</v>
      </c>
      <c r="AD12" s="37" t="n">
        <f aca="false">1022000000*(1+Supuestos!$C$36)^5*Estacionalidad!F$13</f>
        <v>85848000</v>
      </c>
      <c r="AE12" s="37" t="n">
        <f aca="false">1022000000*(1+Supuestos!$C$36)^5*Estacionalidad!G$13</f>
        <v>85848000</v>
      </c>
      <c r="AF12" s="37" t="n">
        <f aca="false">1022000000*(1+Supuestos!$C$36)^5*Estacionalidad!H$13</f>
        <v>85848000</v>
      </c>
      <c r="AG12" s="37" t="n">
        <f aca="false">1022000000*(1+Supuestos!$C$36)^5*Estacionalidad!I$13</f>
        <v>85848000</v>
      </c>
      <c r="AH12" s="37" t="n">
        <f aca="false">1022000000*(1+Supuestos!$C$36)^5*Estacionalidad!J$13</f>
        <v>85848000</v>
      </c>
      <c r="AI12" s="37" t="n">
        <f aca="false">1022000000*(1+Supuestos!$C$36)^5*Estacionalidad!K$13</f>
        <v>85848000</v>
      </c>
      <c r="AJ12" s="37" t="n">
        <f aca="false">1022000000*(1+Supuestos!$C$36)^5*Estacionalidad!L$13</f>
        <v>85848000</v>
      </c>
      <c r="AK12" s="37" t="n">
        <f aca="false">1022000000*(1+Supuestos!$C$36)^5*Estacionalidad!M$13</f>
        <v>85848000</v>
      </c>
      <c r="AL12" s="37" t="n">
        <f aca="false">1022000000*(1+Supuestos!$C$36)^5*Estacionalidad!N$13</f>
        <v>82782000</v>
      </c>
      <c r="AM12" s="37" t="n">
        <f aca="false">1022000000*(1+Supuestos!$C$36)^6*Estacionalidad!C$13</f>
        <v>82782000</v>
      </c>
      <c r="AN12" s="37" t="n">
        <f aca="false">1022000000*(1+Supuestos!$C$36)^6*Estacionalidad!D$13</f>
        <v>83804000</v>
      </c>
      <c r="AO12" s="37" t="n">
        <f aca="false">1022000000*(1+Supuestos!$C$36)^6*Estacionalidad!E$13</f>
        <v>85848000</v>
      </c>
      <c r="AP12" s="37" t="n">
        <f aca="false">1022000000*(1+Supuestos!$C$36)^6*Estacionalidad!F$13</f>
        <v>85848000</v>
      </c>
      <c r="AQ12" s="37" t="n">
        <f aca="false">1022000000*(1+Supuestos!$C$36)^6*Estacionalidad!G$13</f>
        <v>85848000</v>
      </c>
      <c r="AR12" s="37" t="n">
        <f aca="false">1022000000*(1+Supuestos!$C$36)^6*Estacionalidad!H$13</f>
        <v>85848000</v>
      </c>
      <c r="AS12" s="37" t="n">
        <f aca="false">1022000000*(1+Supuestos!$C$36)^6*Estacionalidad!I$13</f>
        <v>85848000</v>
      </c>
      <c r="AT12" s="37" t="n">
        <f aca="false">1022000000*(1+Supuestos!$C$36)^6*Estacionalidad!J$13</f>
        <v>85848000</v>
      </c>
      <c r="AU12" s="37" t="n">
        <f aca="false">1022000000*(1+Supuestos!$C$36)^6*Estacionalidad!K$13</f>
        <v>85848000</v>
      </c>
      <c r="AV12" s="37" t="n">
        <f aca="false">1022000000*(1+Supuestos!$C$36)^6*Estacionalidad!L$13</f>
        <v>85848000</v>
      </c>
      <c r="AW12" s="37" t="n">
        <f aca="false">1022000000*(1+Supuestos!$C$36)^6*Estacionalidad!M$13</f>
        <v>85848000</v>
      </c>
      <c r="AX12" s="37" t="n">
        <f aca="false">1022000000*(1+Supuestos!$C$36)^6*Estacionalidad!N$13</f>
        <v>82782000</v>
      </c>
      <c r="AY12" s="37" t="n">
        <f aca="false">1022000000*(1+Supuestos!$C$36)^7*Estacionalidad!C$13</f>
        <v>82782000</v>
      </c>
      <c r="AZ12" s="37" t="n">
        <f aca="false">1022000000*(1+Supuestos!$C$36)^7*Estacionalidad!D$13</f>
        <v>83804000</v>
      </c>
      <c r="BA12" s="37" t="n">
        <f aca="false">1022000000*(1+Supuestos!$C$36)^7*Estacionalidad!E$13</f>
        <v>85848000</v>
      </c>
      <c r="BB12" s="37" t="n">
        <f aca="false">1022000000*(1+Supuestos!$C$36)^7*Estacionalidad!F$13</f>
        <v>85848000</v>
      </c>
      <c r="BC12" s="37" t="n">
        <f aca="false">1022000000*(1+Supuestos!$C$36)^7*Estacionalidad!G$13</f>
        <v>85848000</v>
      </c>
      <c r="BD12" s="37" t="n">
        <f aca="false">1022000000*(1+Supuestos!$C$36)^7*Estacionalidad!H$13</f>
        <v>85848000</v>
      </c>
      <c r="BE12" s="37" t="n">
        <f aca="false">1022000000*(1+Supuestos!$C$36)^7*Estacionalidad!I$13</f>
        <v>85848000</v>
      </c>
      <c r="BF12" s="37" t="n">
        <f aca="false">1022000000*(1+Supuestos!$C$36)^7*Estacionalidad!J$13</f>
        <v>85848000</v>
      </c>
      <c r="BG12" s="37" t="n">
        <f aca="false">1022000000*(1+Supuestos!$C$36)^7*Estacionalidad!K$13</f>
        <v>85848000</v>
      </c>
      <c r="BH12" s="37" t="n">
        <f aca="false">1022000000*(1+Supuestos!$C$36)^7*Estacionalidad!L$13</f>
        <v>85848000</v>
      </c>
      <c r="BI12" s="37" t="n">
        <f aca="false">1022000000*(1+Supuestos!$C$36)^7*Estacionalidad!M$13</f>
        <v>85848000</v>
      </c>
      <c r="BJ12" s="37" t="n">
        <f aca="false">1022000000*(1+Supuestos!$C$36)^7*Estacionalidad!N$13</f>
        <v>82782000</v>
      </c>
      <c r="BK12" s="37" t="n">
        <f aca="false">1022000000*(1+Supuestos!$C$36)^8*Estacionalidad!C$13</f>
        <v>82782000</v>
      </c>
      <c r="BL12" s="37" t="n">
        <f aca="false">1022000000*(1+Supuestos!$C$36)^8*Estacionalidad!D$13</f>
        <v>83804000</v>
      </c>
      <c r="BM12" s="37" t="n">
        <f aca="false">1022000000*(1+Supuestos!$C$36)^8*Estacionalidad!E$13</f>
        <v>85848000</v>
      </c>
      <c r="BN12" s="37" t="n">
        <f aca="false">1022000000*(1+Supuestos!$C$36)^8*Estacionalidad!F$13</f>
        <v>85848000</v>
      </c>
      <c r="BO12" s="37" t="n">
        <f aca="false">1022000000*(1+Supuestos!$C$36)^8*Estacionalidad!G$13</f>
        <v>85848000</v>
      </c>
      <c r="BP12" s="37" t="n">
        <f aca="false">1022000000*(1+Supuestos!$C$36)^8*Estacionalidad!H$13</f>
        <v>85848000</v>
      </c>
      <c r="BQ12" s="37" t="n">
        <f aca="false">1022000000*(1+Supuestos!$C$36)^8*Estacionalidad!I$13</f>
        <v>85848000</v>
      </c>
      <c r="BR12" s="37" t="n">
        <f aca="false">1022000000*(1+Supuestos!$C$36)^8*Estacionalidad!J$13</f>
        <v>85848000</v>
      </c>
      <c r="BS12" s="37" t="n">
        <f aca="false">1022000000*(1+Supuestos!$C$36)^8*Estacionalidad!K$13</f>
        <v>85848000</v>
      </c>
      <c r="BT12" s="37" t="n">
        <f aca="false">1022000000*(1+Supuestos!$C$36)^8*Estacionalidad!L$13</f>
        <v>85848000</v>
      </c>
      <c r="BU12" s="37" t="n">
        <f aca="false">1022000000*(1+Supuestos!$C$36)^8*Estacionalidad!M$13</f>
        <v>85848000</v>
      </c>
      <c r="BV12" s="37" t="n">
        <f aca="false">1022000000*(1+Supuestos!$C$36)^8*Estacionalidad!N$13</f>
        <v>82782000</v>
      </c>
      <c r="BW12" s="37" t="n">
        <f aca="false">1022000000*(1+Supuestos!$C$36)^9*Estacionalidad!C$13</f>
        <v>82782000</v>
      </c>
      <c r="BX12" s="37" t="n">
        <f aca="false">1022000000*(1+Supuestos!$C$36)^9*Estacionalidad!D$13</f>
        <v>83804000</v>
      </c>
      <c r="BY12" s="37" t="n">
        <f aca="false">1022000000*(1+Supuestos!$C$36)^9*Estacionalidad!E$13</f>
        <v>85848000</v>
      </c>
      <c r="BZ12" s="37" t="n">
        <f aca="false">1022000000*(1+Supuestos!$C$36)^9*Estacionalidad!F$13</f>
        <v>85848000</v>
      </c>
      <c r="CA12" s="37" t="n">
        <f aca="false">1022000000*(1+Supuestos!$C$36)^9*Estacionalidad!G$13</f>
        <v>85848000</v>
      </c>
      <c r="CB12" s="37" t="n">
        <f aca="false">1022000000*(1+Supuestos!$C$36)^9*Estacionalidad!H$13</f>
        <v>85848000</v>
      </c>
      <c r="CC12" s="37" t="n">
        <f aca="false">1022000000*(1+Supuestos!$C$36)^9*Estacionalidad!I$13</f>
        <v>85848000</v>
      </c>
      <c r="CD12" s="37" t="n">
        <f aca="false">1022000000*(1+Supuestos!$C$36)^9*Estacionalidad!J$13</f>
        <v>85848000</v>
      </c>
      <c r="CE12" s="37" t="n">
        <f aca="false">1022000000*(1+Supuestos!$C$36)^9*Estacionalidad!K$13</f>
        <v>85848000</v>
      </c>
      <c r="CF12" s="37" t="n">
        <f aca="false">1022000000*(1+Supuestos!$C$36)^9*Estacionalidad!L$13</f>
        <v>85848000</v>
      </c>
      <c r="CG12" s="37" t="n">
        <f aca="false">1022000000*(1+Supuestos!$C$36)^9*Estacionalidad!M$13</f>
        <v>85848000</v>
      </c>
      <c r="CH12" s="37" t="n">
        <f aca="false">1022000000*(1+Supuestos!$C$36)^9*Estacionalidad!N$13</f>
        <v>82782000</v>
      </c>
      <c r="CI12" s="37" t="n">
        <f aca="false">1022000000*(1+Supuestos!$C$36)^10*Estacionalidad!C$13</f>
        <v>82782000</v>
      </c>
      <c r="CJ12" s="37" t="n">
        <f aca="false">1022000000*(1+Supuestos!$C$36)^10*Estacionalidad!D$13</f>
        <v>83804000</v>
      </c>
      <c r="CK12" s="37" t="n">
        <f aca="false">1022000000*(1+Supuestos!$C$36)^10*Estacionalidad!E$13</f>
        <v>85848000</v>
      </c>
      <c r="CL12" s="37" t="n">
        <f aca="false">1022000000*(1+Supuestos!$C$36)^10*Estacionalidad!F$13</f>
        <v>85848000</v>
      </c>
      <c r="CM12" s="37" t="n">
        <f aca="false">1022000000*(1+Supuestos!$C$36)^10*Estacionalidad!G$13</f>
        <v>85848000</v>
      </c>
      <c r="CN12" s="37" t="n">
        <f aca="false">1022000000*(1+Supuestos!$C$36)^10*Estacionalidad!H$13</f>
        <v>85848000</v>
      </c>
      <c r="CO12" s="37" t="n">
        <f aca="false">1022000000*(1+Supuestos!$C$36)^10*Estacionalidad!I$13</f>
        <v>85848000</v>
      </c>
      <c r="CP12" s="37" t="n">
        <f aca="false">1022000000*(1+Supuestos!$C$36)^10*Estacionalidad!J$13</f>
        <v>85848000</v>
      </c>
      <c r="CQ12" s="37" t="n">
        <f aca="false">1022000000*(1+Supuestos!$C$36)^10*Estacionalidad!K$13</f>
        <v>85848000</v>
      </c>
      <c r="CR12" s="37" t="n">
        <f aca="false">1022000000*(1+Supuestos!$C$36)^10*Estacionalidad!L$13</f>
        <v>85848000</v>
      </c>
      <c r="CS12" s="37" t="n">
        <f aca="false">1022000000*(1+Supuestos!$C$36)^10*Estacionalidad!M$13</f>
        <v>85848000</v>
      </c>
      <c r="CT12" s="37" t="n">
        <f aca="false">1022000000*(1+Supuestos!$C$36)^10*Estacionalidad!N$13</f>
        <v>82782000</v>
      </c>
    </row>
    <row r="13" customFormat="false" ht="15" hidden="false" customHeight="true" outlineLevel="0" collapsed="false">
      <c r="B13" s="15" t="s">
        <v>342</v>
      </c>
      <c r="C13" s="37" t="n">
        <f aca="false">32446000000*(1+Supuestos!$C$36)^3*Estacionalidad!C$13</f>
        <v>2628126000</v>
      </c>
      <c r="D13" s="37" t="n">
        <f aca="false">32446000000*(1+Supuestos!$C$36)^3*Estacionalidad!D$13</f>
        <v>2660572000</v>
      </c>
      <c r="E13" s="37" t="n">
        <f aca="false">32446000000*(1+Supuestos!$C$36)^3*Estacionalidad!E$13</f>
        <v>2725464000</v>
      </c>
      <c r="F13" s="37" t="n">
        <f aca="false">32446000000*(1+Supuestos!$C$36)^3*Estacionalidad!F$13</f>
        <v>2725464000</v>
      </c>
      <c r="G13" s="37" t="n">
        <f aca="false">32446000000*(1+Supuestos!$C$36)^3*Estacionalidad!G$13</f>
        <v>2725464000</v>
      </c>
      <c r="H13" s="37" t="n">
        <f aca="false">32446000000*(1+Supuestos!$C$36)^3*Estacionalidad!H$13</f>
        <v>2725464000</v>
      </c>
      <c r="I13" s="37" t="n">
        <f aca="false">32446000000*(1+Supuestos!$C$36)^3*Estacionalidad!I$13</f>
        <v>2725464000</v>
      </c>
      <c r="J13" s="37" t="n">
        <f aca="false">32446000000*(1+Supuestos!$C$36)^3*Estacionalidad!J$13</f>
        <v>2725464000</v>
      </c>
      <c r="K13" s="37" t="n">
        <f aca="false">32446000000*(1+Supuestos!$C$36)^3*Estacionalidad!K$13</f>
        <v>2725464000</v>
      </c>
      <c r="L13" s="37" t="n">
        <f aca="false">32446000000*(1+Supuestos!$C$36)^3*Estacionalidad!L$13</f>
        <v>2725464000</v>
      </c>
      <c r="M13" s="37" t="n">
        <f aca="false">32446000000*(1+Supuestos!$C$36)^3*Estacionalidad!M$13</f>
        <v>2725464000</v>
      </c>
      <c r="N13" s="37" t="n">
        <f aca="false">32446000000*(1+Supuestos!$C$36)^3*Estacionalidad!N$13</f>
        <v>2628126000</v>
      </c>
      <c r="O13" s="37" t="n">
        <f aca="false">32446000000*(1+Supuestos!$C$36)^4*Estacionalidad!C$13</f>
        <v>2628126000</v>
      </c>
      <c r="P13" s="37" t="n">
        <f aca="false">32446000000*(1+Supuestos!$C$36)^4*Estacionalidad!D$13</f>
        <v>2660572000</v>
      </c>
      <c r="Q13" s="37" t="n">
        <f aca="false">32446000000*(1+Supuestos!$C$36)^4*Estacionalidad!E$13</f>
        <v>2725464000</v>
      </c>
      <c r="R13" s="37" t="n">
        <f aca="false">32446000000*(1+Supuestos!$C$36)^4*Estacionalidad!F$13</f>
        <v>2725464000</v>
      </c>
      <c r="S13" s="37" t="n">
        <f aca="false">32446000000*(1+Supuestos!$C$36)^4*Estacionalidad!G$13</f>
        <v>2725464000</v>
      </c>
      <c r="T13" s="37" t="n">
        <f aca="false">32446000000*(1+Supuestos!$C$36)^4*Estacionalidad!H$13</f>
        <v>2725464000</v>
      </c>
      <c r="U13" s="37" t="n">
        <f aca="false">32446000000*(1+Supuestos!$C$36)^4*Estacionalidad!I$13</f>
        <v>2725464000</v>
      </c>
      <c r="V13" s="37" t="n">
        <f aca="false">32446000000*(1+Supuestos!$C$36)^4*Estacionalidad!J$13</f>
        <v>2725464000</v>
      </c>
      <c r="W13" s="37" t="n">
        <f aca="false">32446000000*(1+Supuestos!$C$36)^4*Estacionalidad!K$13</f>
        <v>2725464000</v>
      </c>
      <c r="X13" s="37" t="n">
        <f aca="false">32446000000*(1+Supuestos!$C$36)^4*Estacionalidad!L$13</f>
        <v>2725464000</v>
      </c>
      <c r="Y13" s="37" t="n">
        <f aca="false">32446000000*(1+Supuestos!$C$36)^4*Estacionalidad!M$13</f>
        <v>2725464000</v>
      </c>
      <c r="Z13" s="37" t="n">
        <f aca="false">32446000000*(1+Supuestos!$C$36)^4*Estacionalidad!N$13</f>
        <v>2628126000</v>
      </c>
      <c r="AA13" s="37" t="n">
        <f aca="false">32446000000*(1+Supuestos!$C$36)^5*Estacionalidad!C$13</f>
        <v>2628126000</v>
      </c>
      <c r="AB13" s="37" t="n">
        <f aca="false">32446000000*(1+Supuestos!$C$36)^5*Estacionalidad!D$13</f>
        <v>2660572000</v>
      </c>
      <c r="AC13" s="37" t="n">
        <f aca="false">32446000000*(1+Supuestos!$C$36)^5*Estacionalidad!E$13</f>
        <v>2725464000</v>
      </c>
      <c r="AD13" s="37" t="n">
        <f aca="false">32446000000*(1+Supuestos!$C$36)^5*Estacionalidad!F$13</f>
        <v>2725464000</v>
      </c>
      <c r="AE13" s="37" t="n">
        <f aca="false">32446000000*(1+Supuestos!$C$36)^5*Estacionalidad!G$13</f>
        <v>2725464000</v>
      </c>
      <c r="AF13" s="37" t="n">
        <f aca="false">32446000000*(1+Supuestos!$C$36)^5*Estacionalidad!H$13</f>
        <v>2725464000</v>
      </c>
      <c r="AG13" s="37" t="n">
        <f aca="false">32446000000*(1+Supuestos!$C$36)^5*Estacionalidad!I$13</f>
        <v>2725464000</v>
      </c>
      <c r="AH13" s="37" t="n">
        <f aca="false">32446000000*(1+Supuestos!$C$36)^5*Estacionalidad!J$13</f>
        <v>2725464000</v>
      </c>
      <c r="AI13" s="37" t="n">
        <f aca="false">32446000000*(1+Supuestos!$C$36)^5*Estacionalidad!K$13</f>
        <v>2725464000</v>
      </c>
      <c r="AJ13" s="37" t="n">
        <f aca="false">32446000000*(1+Supuestos!$C$36)^5*Estacionalidad!L$13</f>
        <v>2725464000</v>
      </c>
      <c r="AK13" s="37" t="n">
        <f aca="false">32446000000*(1+Supuestos!$C$36)^5*Estacionalidad!M$13</f>
        <v>2725464000</v>
      </c>
      <c r="AL13" s="37" t="n">
        <f aca="false">32446000000*(1+Supuestos!$C$36)^5*Estacionalidad!N$13</f>
        <v>2628126000</v>
      </c>
      <c r="AM13" s="37" t="n">
        <f aca="false">32446000000*(1+Supuestos!$C$36)^6*Estacionalidad!C$13</f>
        <v>2628126000</v>
      </c>
      <c r="AN13" s="37" t="n">
        <f aca="false">32446000000*(1+Supuestos!$C$36)^6*Estacionalidad!D$13</f>
        <v>2660572000</v>
      </c>
      <c r="AO13" s="37" t="n">
        <f aca="false">32446000000*(1+Supuestos!$C$36)^6*Estacionalidad!E$13</f>
        <v>2725464000</v>
      </c>
      <c r="AP13" s="37" t="n">
        <f aca="false">32446000000*(1+Supuestos!$C$36)^6*Estacionalidad!F$13</f>
        <v>2725464000</v>
      </c>
      <c r="AQ13" s="37" t="n">
        <f aca="false">32446000000*(1+Supuestos!$C$36)^6*Estacionalidad!G$13</f>
        <v>2725464000</v>
      </c>
      <c r="AR13" s="37" t="n">
        <f aca="false">32446000000*(1+Supuestos!$C$36)^6*Estacionalidad!H$13</f>
        <v>2725464000</v>
      </c>
      <c r="AS13" s="37" t="n">
        <f aca="false">32446000000*(1+Supuestos!$C$36)^6*Estacionalidad!I$13</f>
        <v>2725464000</v>
      </c>
      <c r="AT13" s="37" t="n">
        <f aca="false">32446000000*(1+Supuestos!$C$36)^6*Estacionalidad!J$13</f>
        <v>2725464000</v>
      </c>
      <c r="AU13" s="37" t="n">
        <f aca="false">32446000000*(1+Supuestos!$C$36)^6*Estacionalidad!K$13</f>
        <v>2725464000</v>
      </c>
      <c r="AV13" s="37" t="n">
        <f aca="false">32446000000*(1+Supuestos!$C$36)^6*Estacionalidad!L$13</f>
        <v>2725464000</v>
      </c>
      <c r="AW13" s="37" t="n">
        <f aca="false">32446000000*(1+Supuestos!$C$36)^6*Estacionalidad!M$13</f>
        <v>2725464000</v>
      </c>
      <c r="AX13" s="37" t="n">
        <f aca="false">32446000000*(1+Supuestos!$C$36)^6*Estacionalidad!N$13</f>
        <v>2628126000</v>
      </c>
      <c r="AY13" s="37" t="n">
        <f aca="false">32446000000*(1+Supuestos!$C$36)^7*Estacionalidad!C$13</f>
        <v>2628126000</v>
      </c>
      <c r="AZ13" s="37" t="n">
        <f aca="false">32446000000*(1+Supuestos!$C$36)^7*Estacionalidad!D$13</f>
        <v>2660572000</v>
      </c>
      <c r="BA13" s="37" t="n">
        <f aca="false">32446000000*(1+Supuestos!$C$36)^7*Estacionalidad!E$13</f>
        <v>2725464000</v>
      </c>
      <c r="BB13" s="37" t="n">
        <f aca="false">32446000000*(1+Supuestos!$C$36)^7*Estacionalidad!F$13</f>
        <v>2725464000</v>
      </c>
      <c r="BC13" s="37" t="n">
        <f aca="false">32446000000*(1+Supuestos!$C$36)^7*Estacionalidad!G$13</f>
        <v>2725464000</v>
      </c>
      <c r="BD13" s="37" t="n">
        <f aca="false">32446000000*(1+Supuestos!$C$36)^7*Estacionalidad!H$13</f>
        <v>2725464000</v>
      </c>
      <c r="BE13" s="37" t="n">
        <f aca="false">32446000000*(1+Supuestos!$C$36)^7*Estacionalidad!I$13</f>
        <v>2725464000</v>
      </c>
      <c r="BF13" s="37" t="n">
        <f aca="false">32446000000*(1+Supuestos!$C$36)^7*Estacionalidad!J$13</f>
        <v>2725464000</v>
      </c>
      <c r="BG13" s="37" t="n">
        <f aca="false">32446000000*(1+Supuestos!$C$36)^7*Estacionalidad!K$13</f>
        <v>2725464000</v>
      </c>
      <c r="BH13" s="37" t="n">
        <f aca="false">32446000000*(1+Supuestos!$C$36)^7*Estacionalidad!L$13</f>
        <v>2725464000</v>
      </c>
      <c r="BI13" s="37" t="n">
        <f aca="false">32446000000*(1+Supuestos!$C$36)^7*Estacionalidad!M$13</f>
        <v>2725464000</v>
      </c>
      <c r="BJ13" s="37" t="n">
        <f aca="false">32446000000*(1+Supuestos!$C$36)^7*Estacionalidad!N$13</f>
        <v>2628126000</v>
      </c>
      <c r="BK13" s="37" t="n">
        <f aca="false">32446000000*(1+Supuestos!$C$36)^8*Estacionalidad!C$13</f>
        <v>2628126000</v>
      </c>
      <c r="BL13" s="37" t="n">
        <f aca="false">32446000000*(1+Supuestos!$C$36)^8*Estacionalidad!D$13</f>
        <v>2660572000</v>
      </c>
      <c r="BM13" s="37" t="n">
        <f aca="false">32446000000*(1+Supuestos!$C$36)^8*Estacionalidad!E$13</f>
        <v>2725464000</v>
      </c>
      <c r="BN13" s="37" t="n">
        <f aca="false">32446000000*(1+Supuestos!$C$36)^8*Estacionalidad!F$13</f>
        <v>2725464000</v>
      </c>
      <c r="BO13" s="37" t="n">
        <f aca="false">32446000000*(1+Supuestos!$C$36)^8*Estacionalidad!G$13</f>
        <v>2725464000</v>
      </c>
      <c r="BP13" s="37" t="n">
        <f aca="false">32446000000*(1+Supuestos!$C$36)^8*Estacionalidad!H$13</f>
        <v>2725464000</v>
      </c>
      <c r="BQ13" s="37" t="n">
        <f aca="false">32446000000*(1+Supuestos!$C$36)^8*Estacionalidad!I$13</f>
        <v>2725464000</v>
      </c>
      <c r="BR13" s="37" t="n">
        <f aca="false">32446000000*(1+Supuestos!$C$36)^8*Estacionalidad!J$13</f>
        <v>2725464000</v>
      </c>
      <c r="BS13" s="37" t="n">
        <f aca="false">32446000000*(1+Supuestos!$C$36)^8*Estacionalidad!K$13</f>
        <v>2725464000</v>
      </c>
      <c r="BT13" s="37" t="n">
        <f aca="false">32446000000*(1+Supuestos!$C$36)^8*Estacionalidad!L$13</f>
        <v>2725464000</v>
      </c>
      <c r="BU13" s="37" t="n">
        <f aca="false">32446000000*(1+Supuestos!$C$36)^8*Estacionalidad!M$13</f>
        <v>2725464000</v>
      </c>
      <c r="BV13" s="37" t="n">
        <f aca="false">32446000000*(1+Supuestos!$C$36)^8*Estacionalidad!N$13</f>
        <v>2628126000</v>
      </c>
      <c r="BW13" s="37" t="n">
        <f aca="false">32446000000*(1+Supuestos!$C$36)^9*Estacionalidad!C$13</f>
        <v>2628126000</v>
      </c>
      <c r="BX13" s="37" t="n">
        <f aca="false">32446000000*(1+Supuestos!$C$36)^9*Estacionalidad!D$13</f>
        <v>2660572000</v>
      </c>
      <c r="BY13" s="37" t="n">
        <f aca="false">32446000000*(1+Supuestos!$C$36)^9*Estacionalidad!E$13</f>
        <v>2725464000</v>
      </c>
      <c r="BZ13" s="37" t="n">
        <f aca="false">32446000000*(1+Supuestos!$C$36)^9*Estacionalidad!F$13</f>
        <v>2725464000</v>
      </c>
      <c r="CA13" s="37" t="n">
        <f aca="false">32446000000*(1+Supuestos!$C$36)^9*Estacionalidad!G$13</f>
        <v>2725464000</v>
      </c>
      <c r="CB13" s="37" t="n">
        <f aca="false">32446000000*(1+Supuestos!$C$36)^9*Estacionalidad!H$13</f>
        <v>2725464000</v>
      </c>
      <c r="CC13" s="37" t="n">
        <f aca="false">32446000000*(1+Supuestos!$C$36)^9*Estacionalidad!I$13</f>
        <v>2725464000</v>
      </c>
      <c r="CD13" s="37" t="n">
        <f aca="false">32446000000*(1+Supuestos!$C$36)^9*Estacionalidad!J$13</f>
        <v>2725464000</v>
      </c>
      <c r="CE13" s="37" t="n">
        <f aca="false">32446000000*(1+Supuestos!$C$36)^9*Estacionalidad!K$13</f>
        <v>2725464000</v>
      </c>
      <c r="CF13" s="37" t="n">
        <f aca="false">32446000000*(1+Supuestos!$C$36)^9*Estacionalidad!L$13</f>
        <v>2725464000</v>
      </c>
      <c r="CG13" s="37" t="n">
        <f aca="false">32446000000*(1+Supuestos!$C$36)^9*Estacionalidad!M$13</f>
        <v>2725464000</v>
      </c>
      <c r="CH13" s="37" t="n">
        <f aca="false">32446000000*(1+Supuestos!$C$36)^9*Estacionalidad!N$13</f>
        <v>2628126000</v>
      </c>
      <c r="CI13" s="37" t="n">
        <f aca="false">32446000000*(1+Supuestos!$C$36)^10*Estacionalidad!C$13</f>
        <v>2628126000</v>
      </c>
      <c r="CJ13" s="37" t="n">
        <f aca="false">32446000000*(1+Supuestos!$C$36)^10*Estacionalidad!D$13</f>
        <v>2660572000</v>
      </c>
      <c r="CK13" s="37" t="n">
        <f aca="false">32446000000*(1+Supuestos!$C$36)^10*Estacionalidad!E$13</f>
        <v>2725464000</v>
      </c>
      <c r="CL13" s="37" t="n">
        <f aca="false">32446000000*(1+Supuestos!$C$36)^10*Estacionalidad!F$13</f>
        <v>2725464000</v>
      </c>
      <c r="CM13" s="37" t="n">
        <f aca="false">32446000000*(1+Supuestos!$C$36)^10*Estacionalidad!G$13</f>
        <v>2725464000</v>
      </c>
      <c r="CN13" s="37" t="n">
        <f aca="false">32446000000*(1+Supuestos!$C$36)^10*Estacionalidad!H$13</f>
        <v>2725464000</v>
      </c>
      <c r="CO13" s="37" t="n">
        <f aca="false">32446000000*(1+Supuestos!$C$36)^10*Estacionalidad!I$13</f>
        <v>2725464000</v>
      </c>
      <c r="CP13" s="37" t="n">
        <f aca="false">32446000000*(1+Supuestos!$C$36)^10*Estacionalidad!J$13</f>
        <v>2725464000</v>
      </c>
      <c r="CQ13" s="37" t="n">
        <f aca="false">32446000000*(1+Supuestos!$C$36)^10*Estacionalidad!K$13</f>
        <v>2725464000</v>
      </c>
      <c r="CR13" s="37" t="n">
        <f aca="false">32446000000*(1+Supuestos!$C$36)^10*Estacionalidad!L$13</f>
        <v>2725464000</v>
      </c>
      <c r="CS13" s="37" t="n">
        <f aca="false">32446000000*(1+Supuestos!$C$36)^10*Estacionalidad!M$13</f>
        <v>2725464000</v>
      </c>
      <c r="CT13" s="37" t="n">
        <f aca="false">32446000000*(1+Supuestos!$C$36)^10*Estacionalidad!N$13</f>
        <v>2628126000</v>
      </c>
    </row>
    <row r="14" customFormat="false" ht="15" hidden="false" customHeight="true" outlineLevel="0" collapsed="false">
      <c r="B14" s="15" t="s">
        <v>343</v>
      </c>
      <c r="C14" s="37" t="n">
        <f aca="false">78217000000*(1+Supuestos!$C$36)^3*Estacionalidad!C$13+Programas!C$14</f>
        <v>6335577000</v>
      </c>
      <c r="D14" s="37" t="n">
        <f aca="false">78217000000*(1+Supuestos!$C$36)^3*Estacionalidad!D$13+Programas!D$14</f>
        <v>6413794000</v>
      </c>
      <c r="E14" s="37" t="n">
        <f aca="false">78217000000*(1+Supuestos!$C$36)^3*Estacionalidad!E$13+Programas!E$14</f>
        <v>6570228000</v>
      </c>
      <c r="F14" s="37" t="n">
        <f aca="false">78217000000*(1+Supuestos!$C$36)^3*Estacionalidad!F$13+Programas!F$14</f>
        <v>6570228000</v>
      </c>
      <c r="G14" s="37" t="n">
        <f aca="false">78217000000*(1+Supuestos!$C$36)^3*Estacionalidad!G$13+Programas!G$14</f>
        <v>6570228000</v>
      </c>
      <c r="H14" s="37" t="n">
        <f aca="false">78217000000*(1+Supuestos!$C$36)^3*Estacionalidad!H$13+Programas!H$14</f>
        <v>6570228000</v>
      </c>
      <c r="I14" s="37" t="n">
        <f aca="false">78217000000*(1+Supuestos!$C$36)^3*Estacionalidad!I$13+Programas!I$14</f>
        <v>6570228000</v>
      </c>
      <c r="J14" s="37" t="n">
        <f aca="false">78217000000*(1+Supuestos!$C$36)^3*Estacionalidad!J$13+Programas!J$14</f>
        <v>6570228000</v>
      </c>
      <c r="K14" s="37" t="n">
        <f aca="false">78217000000*(1+Supuestos!$C$36)^3*Estacionalidad!K$13+Programas!K$14</f>
        <v>6570228000</v>
      </c>
      <c r="L14" s="37" t="n">
        <f aca="false">78217000000*(1+Supuestos!$C$36)^3*Estacionalidad!L$13+Programas!L$14</f>
        <v>6570228000</v>
      </c>
      <c r="M14" s="37" t="n">
        <f aca="false">78217000000*(1+Supuestos!$C$36)^3*Estacionalidad!M$13+Programas!M$14</f>
        <v>6570228000</v>
      </c>
      <c r="N14" s="37" t="n">
        <f aca="false">78217000000*(1+Supuestos!$C$36)^3*Estacionalidad!N$13+Programas!N$14</f>
        <v>6335577000</v>
      </c>
      <c r="O14" s="37" t="n">
        <f aca="false">78217000000*(1+Supuestos!$C$36)^4*Estacionalidad!C$13+Programas!O$14</f>
        <v>6335577000</v>
      </c>
      <c r="P14" s="37" t="n">
        <f aca="false">78217000000*(1+Supuestos!$C$36)^4*Estacionalidad!D$13+Programas!P$14</f>
        <v>6413794000</v>
      </c>
      <c r="Q14" s="37" t="n">
        <f aca="false">78217000000*(1+Supuestos!$C$36)^4*Estacionalidad!E$13+Programas!Q$14</f>
        <v>6570228000</v>
      </c>
      <c r="R14" s="37" t="n">
        <f aca="false">78217000000*(1+Supuestos!$C$36)^4*Estacionalidad!F$13+Programas!R$14</f>
        <v>6570228000</v>
      </c>
      <c r="S14" s="37" t="n">
        <f aca="false">78217000000*(1+Supuestos!$C$36)^4*Estacionalidad!G$13+Programas!S$14</f>
        <v>6570228000</v>
      </c>
      <c r="T14" s="37" t="n">
        <f aca="false">78217000000*(1+Supuestos!$C$36)^4*Estacionalidad!H$13+Programas!T$14</f>
        <v>6570228000</v>
      </c>
      <c r="U14" s="37" t="n">
        <f aca="false">78217000000*(1+Supuestos!$C$36)^4*Estacionalidad!I$13+Programas!U$14</f>
        <v>6570228000</v>
      </c>
      <c r="V14" s="37" t="n">
        <f aca="false">78217000000*(1+Supuestos!$C$36)^4*Estacionalidad!J$13+Programas!V$14</f>
        <v>6570228000</v>
      </c>
      <c r="W14" s="37" t="n">
        <f aca="false">78217000000*(1+Supuestos!$C$36)^4*Estacionalidad!K$13+Programas!W$14</f>
        <v>6570228000</v>
      </c>
      <c r="X14" s="37" t="n">
        <f aca="false">78217000000*(1+Supuestos!$C$36)^4*Estacionalidad!L$13+Programas!X$14</f>
        <v>6570228000</v>
      </c>
      <c r="Y14" s="37" t="n">
        <f aca="false">78217000000*(1+Supuestos!$C$36)^4*Estacionalidad!M$13+Programas!Y$14</f>
        <v>6570228000</v>
      </c>
      <c r="Z14" s="37" t="n">
        <f aca="false">78217000000*(1+Supuestos!$C$36)^4*Estacionalidad!N$13+Programas!Z$14</f>
        <v>6335577000</v>
      </c>
      <c r="AA14" s="37" t="n">
        <f aca="false">78217000000*(1+Supuestos!$C$36)^5*Estacionalidad!C$13+Programas!AA$14</f>
        <v>6335577000</v>
      </c>
      <c r="AB14" s="37" t="n">
        <f aca="false">78217000000*(1+Supuestos!$C$36)^5*Estacionalidad!D$13+Programas!AB$14</f>
        <v>6413794000</v>
      </c>
      <c r="AC14" s="37" t="n">
        <f aca="false">78217000000*(1+Supuestos!$C$36)^5*Estacionalidad!E$13+Programas!AC$14</f>
        <v>6570228000</v>
      </c>
      <c r="AD14" s="37" t="n">
        <f aca="false">78217000000*(1+Supuestos!$C$36)^5*Estacionalidad!F$13+Programas!AD$14</f>
        <v>6570228000</v>
      </c>
      <c r="AE14" s="37" t="n">
        <f aca="false">78217000000*(1+Supuestos!$C$36)^5*Estacionalidad!G$13+Programas!AE$14</f>
        <v>6570228000</v>
      </c>
      <c r="AF14" s="37" t="n">
        <f aca="false">78217000000*(1+Supuestos!$C$36)^5*Estacionalidad!H$13+Programas!AF$14</f>
        <v>6570228000</v>
      </c>
      <c r="AG14" s="37" t="n">
        <f aca="false">78217000000*(1+Supuestos!$C$36)^5*Estacionalidad!I$13+Programas!AG$14</f>
        <v>6570228000</v>
      </c>
      <c r="AH14" s="37" t="n">
        <f aca="false">78217000000*(1+Supuestos!$C$36)^5*Estacionalidad!J$13+Programas!AH$14</f>
        <v>6570228000</v>
      </c>
      <c r="AI14" s="37" t="n">
        <f aca="false">78217000000*(1+Supuestos!$C$36)^5*Estacionalidad!K$13+Programas!AI$14</f>
        <v>6570228000</v>
      </c>
      <c r="AJ14" s="37" t="n">
        <f aca="false">78217000000*(1+Supuestos!$C$36)^5*Estacionalidad!L$13+Programas!AJ$14</f>
        <v>6570228000</v>
      </c>
      <c r="AK14" s="37" t="n">
        <f aca="false">78217000000*(1+Supuestos!$C$36)^5*Estacionalidad!M$13+Programas!AK$14</f>
        <v>6570228000</v>
      </c>
      <c r="AL14" s="37" t="n">
        <f aca="false">78217000000*(1+Supuestos!$C$36)^5*Estacionalidad!N$13+Programas!AL$14</f>
        <v>6335577000</v>
      </c>
      <c r="AM14" s="37" t="n">
        <f aca="false">78217000000*(1+Supuestos!$C$36)^6*Estacionalidad!C$13+Programas!AM$14</f>
        <v>6335577000</v>
      </c>
      <c r="AN14" s="37" t="n">
        <f aca="false">78217000000*(1+Supuestos!$C$36)^6*Estacionalidad!D$13+Programas!AN$14</f>
        <v>6413794000</v>
      </c>
      <c r="AO14" s="37" t="n">
        <f aca="false">78217000000*(1+Supuestos!$C$36)^6*Estacionalidad!E$13+Programas!AO$14</f>
        <v>6570228000</v>
      </c>
      <c r="AP14" s="37" t="n">
        <f aca="false">78217000000*(1+Supuestos!$C$36)^6*Estacionalidad!F$13+Programas!AP$14</f>
        <v>6570228000</v>
      </c>
      <c r="AQ14" s="37" t="n">
        <f aca="false">78217000000*(1+Supuestos!$C$36)^6*Estacionalidad!G$13+Programas!AQ$14</f>
        <v>6570228000</v>
      </c>
      <c r="AR14" s="37" t="n">
        <f aca="false">78217000000*(1+Supuestos!$C$36)^6*Estacionalidad!H$13+Programas!AR$14</f>
        <v>6570228000</v>
      </c>
      <c r="AS14" s="37" t="n">
        <f aca="false">78217000000*(1+Supuestos!$C$36)^6*Estacionalidad!I$13+Programas!AS$14</f>
        <v>6570228000</v>
      </c>
      <c r="AT14" s="37" t="n">
        <f aca="false">78217000000*(1+Supuestos!$C$36)^6*Estacionalidad!J$13+Programas!AT$14</f>
        <v>6570228000</v>
      </c>
      <c r="AU14" s="37" t="n">
        <f aca="false">78217000000*(1+Supuestos!$C$36)^6*Estacionalidad!K$13+Programas!AU$14</f>
        <v>6570228000</v>
      </c>
      <c r="AV14" s="37" t="n">
        <f aca="false">78217000000*(1+Supuestos!$C$36)^6*Estacionalidad!L$13+Programas!AV$14</f>
        <v>6570228000</v>
      </c>
      <c r="AW14" s="37" t="n">
        <f aca="false">78217000000*(1+Supuestos!$C$36)^6*Estacionalidad!M$13+Programas!AW$14</f>
        <v>6570228000</v>
      </c>
      <c r="AX14" s="37" t="n">
        <f aca="false">78217000000*(1+Supuestos!$C$36)^6*Estacionalidad!N$13+Programas!AX$14</f>
        <v>6335577000</v>
      </c>
      <c r="AY14" s="37" t="n">
        <f aca="false">78217000000*(1+Supuestos!$C$36)^7*Estacionalidad!C$13+Programas!AY$14</f>
        <v>6335577000</v>
      </c>
      <c r="AZ14" s="37" t="n">
        <f aca="false">78217000000*(1+Supuestos!$C$36)^7*Estacionalidad!D$13+Programas!AZ$14</f>
        <v>6413794000</v>
      </c>
      <c r="BA14" s="37" t="n">
        <f aca="false">78217000000*(1+Supuestos!$C$36)^7*Estacionalidad!E$13+Programas!BA$14</f>
        <v>6570228000</v>
      </c>
      <c r="BB14" s="37" t="n">
        <f aca="false">78217000000*(1+Supuestos!$C$36)^7*Estacionalidad!F$13+Programas!BB$14</f>
        <v>6570228000</v>
      </c>
      <c r="BC14" s="37" t="n">
        <f aca="false">78217000000*(1+Supuestos!$C$36)^7*Estacionalidad!G$13+Programas!BC$14</f>
        <v>6570228000</v>
      </c>
      <c r="BD14" s="37" t="n">
        <f aca="false">78217000000*(1+Supuestos!$C$36)^7*Estacionalidad!H$13+Programas!BD$14</f>
        <v>6570228000</v>
      </c>
      <c r="BE14" s="37" t="n">
        <f aca="false">78217000000*(1+Supuestos!$C$36)^7*Estacionalidad!I$13+Programas!BE$14</f>
        <v>6570228000</v>
      </c>
      <c r="BF14" s="37" t="n">
        <f aca="false">78217000000*(1+Supuestos!$C$36)^7*Estacionalidad!J$13+Programas!BF$14</f>
        <v>6570228000</v>
      </c>
      <c r="BG14" s="37" t="n">
        <f aca="false">78217000000*(1+Supuestos!$C$36)^7*Estacionalidad!K$13+Programas!BG$14</f>
        <v>6570228000</v>
      </c>
      <c r="BH14" s="37" t="n">
        <f aca="false">78217000000*(1+Supuestos!$C$36)^7*Estacionalidad!L$13+Programas!BH$14</f>
        <v>6570228000</v>
      </c>
      <c r="BI14" s="37" t="n">
        <f aca="false">78217000000*(1+Supuestos!$C$36)^7*Estacionalidad!M$13+Programas!BI$14</f>
        <v>6570228000</v>
      </c>
      <c r="BJ14" s="37" t="n">
        <f aca="false">78217000000*(1+Supuestos!$C$36)^7*Estacionalidad!N$13+Programas!BJ$14</f>
        <v>6335577000</v>
      </c>
      <c r="BK14" s="37" t="n">
        <f aca="false">78217000000*(1+Supuestos!$C$36)^8*Estacionalidad!C$13+Programas!BK$14</f>
        <v>6335577000</v>
      </c>
      <c r="BL14" s="37" t="n">
        <f aca="false">78217000000*(1+Supuestos!$C$36)^8*Estacionalidad!D$13+Programas!BL$14</f>
        <v>6413794000</v>
      </c>
      <c r="BM14" s="37" t="n">
        <f aca="false">78217000000*(1+Supuestos!$C$36)^8*Estacionalidad!E$13+Programas!BM$14</f>
        <v>6570228000</v>
      </c>
      <c r="BN14" s="37" t="n">
        <f aca="false">78217000000*(1+Supuestos!$C$36)^8*Estacionalidad!F$13+Programas!BN$14</f>
        <v>6570228000</v>
      </c>
      <c r="BO14" s="37" t="n">
        <f aca="false">78217000000*(1+Supuestos!$C$36)^8*Estacionalidad!G$13+Programas!BO$14</f>
        <v>6570228000</v>
      </c>
      <c r="BP14" s="37" t="n">
        <f aca="false">78217000000*(1+Supuestos!$C$36)^8*Estacionalidad!H$13+Programas!BP$14</f>
        <v>6570228000</v>
      </c>
      <c r="BQ14" s="37" t="n">
        <f aca="false">78217000000*(1+Supuestos!$C$36)^8*Estacionalidad!I$13+Programas!BQ$14</f>
        <v>6570228000</v>
      </c>
      <c r="BR14" s="37" t="n">
        <f aca="false">78217000000*(1+Supuestos!$C$36)^8*Estacionalidad!J$13+Programas!BR$14</f>
        <v>6570228000</v>
      </c>
      <c r="BS14" s="37" t="n">
        <f aca="false">78217000000*(1+Supuestos!$C$36)^8*Estacionalidad!K$13+Programas!BS$14</f>
        <v>6570228000</v>
      </c>
      <c r="BT14" s="37" t="n">
        <f aca="false">78217000000*(1+Supuestos!$C$36)^8*Estacionalidad!L$13+Programas!BT$14</f>
        <v>6570228000</v>
      </c>
      <c r="BU14" s="37" t="n">
        <f aca="false">78217000000*(1+Supuestos!$C$36)^8*Estacionalidad!M$13+Programas!BU$14</f>
        <v>6570228000</v>
      </c>
      <c r="BV14" s="37" t="n">
        <f aca="false">78217000000*(1+Supuestos!$C$36)^8*Estacionalidad!N$13+Programas!BV$14</f>
        <v>6335577000</v>
      </c>
      <c r="BW14" s="37" t="n">
        <f aca="false">78217000000*(1+Supuestos!$C$36)^9*Estacionalidad!C$13+Programas!BW$14</f>
        <v>6335577000</v>
      </c>
      <c r="BX14" s="37" t="n">
        <f aca="false">78217000000*(1+Supuestos!$C$36)^9*Estacionalidad!D$13+Programas!BX$14</f>
        <v>6413794000</v>
      </c>
      <c r="BY14" s="37" t="n">
        <f aca="false">78217000000*(1+Supuestos!$C$36)^9*Estacionalidad!E$13+Programas!BY$14</f>
        <v>6570228000</v>
      </c>
      <c r="BZ14" s="37" t="n">
        <f aca="false">78217000000*(1+Supuestos!$C$36)^9*Estacionalidad!F$13+Programas!BZ$14</f>
        <v>6570228000</v>
      </c>
      <c r="CA14" s="37" t="n">
        <f aca="false">78217000000*(1+Supuestos!$C$36)^9*Estacionalidad!G$13+Programas!CA$14</f>
        <v>6570228000</v>
      </c>
      <c r="CB14" s="37" t="n">
        <f aca="false">78217000000*(1+Supuestos!$C$36)^9*Estacionalidad!H$13+Programas!CB$14</f>
        <v>6570228000</v>
      </c>
      <c r="CC14" s="37" t="n">
        <f aca="false">78217000000*(1+Supuestos!$C$36)^9*Estacionalidad!I$13+Programas!CC$14</f>
        <v>6570228000</v>
      </c>
      <c r="CD14" s="37" t="n">
        <f aca="false">78217000000*(1+Supuestos!$C$36)^9*Estacionalidad!J$13+Programas!CD$14</f>
        <v>6570228000</v>
      </c>
      <c r="CE14" s="37" t="n">
        <f aca="false">78217000000*(1+Supuestos!$C$36)^9*Estacionalidad!K$13+Programas!CE$14</f>
        <v>6570228000</v>
      </c>
      <c r="CF14" s="37" t="n">
        <f aca="false">78217000000*(1+Supuestos!$C$36)^9*Estacionalidad!L$13+Programas!CF$14</f>
        <v>6570228000</v>
      </c>
      <c r="CG14" s="37" t="n">
        <f aca="false">78217000000*(1+Supuestos!$C$36)^9*Estacionalidad!M$13+Programas!CG$14</f>
        <v>6570228000</v>
      </c>
      <c r="CH14" s="37" t="n">
        <f aca="false">78217000000*(1+Supuestos!$C$36)^9*Estacionalidad!N$13+Programas!CH$14</f>
        <v>6335577000</v>
      </c>
      <c r="CI14" s="37" t="n">
        <f aca="false">78217000000*(1+Supuestos!$C$36)^10*Estacionalidad!C$13+Programas!CI$14</f>
        <v>6335577000</v>
      </c>
      <c r="CJ14" s="37" t="n">
        <f aca="false">78217000000*(1+Supuestos!$C$36)^10*Estacionalidad!D$13+Programas!CJ$14</f>
        <v>6413794000</v>
      </c>
      <c r="CK14" s="37" t="n">
        <f aca="false">78217000000*(1+Supuestos!$C$36)^10*Estacionalidad!E$13+Programas!CK$14</f>
        <v>6570228000</v>
      </c>
      <c r="CL14" s="37" t="n">
        <f aca="false">78217000000*(1+Supuestos!$C$36)^10*Estacionalidad!F$13+Programas!CL$14</f>
        <v>6570228000</v>
      </c>
      <c r="CM14" s="37" t="n">
        <f aca="false">78217000000*(1+Supuestos!$C$36)^10*Estacionalidad!G$13+Programas!CM$14</f>
        <v>6570228000</v>
      </c>
      <c r="CN14" s="37" t="n">
        <f aca="false">78217000000*(1+Supuestos!$C$36)^10*Estacionalidad!H$13+Programas!CN$14</f>
        <v>6570228000</v>
      </c>
      <c r="CO14" s="37" t="n">
        <f aca="false">78217000000*(1+Supuestos!$C$36)^10*Estacionalidad!I$13+Programas!CO$14</f>
        <v>6570228000</v>
      </c>
      <c r="CP14" s="37" t="n">
        <f aca="false">78217000000*(1+Supuestos!$C$36)^10*Estacionalidad!J$13+Programas!CP$14</f>
        <v>6570228000</v>
      </c>
      <c r="CQ14" s="37" t="n">
        <f aca="false">78217000000*(1+Supuestos!$C$36)^10*Estacionalidad!K$13+Programas!CQ$14</f>
        <v>6570228000</v>
      </c>
      <c r="CR14" s="37" t="n">
        <f aca="false">78217000000*(1+Supuestos!$C$36)^10*Estacionalidad!L$13+Programas!CR$14</f>
        <v>6570228000</v>
      </c>
      <c r="CS14" s="37" t="n">
        <f aca="false">78217000000*(1+Supuestos!$C$36)^10*Estacionalidad!M$13+Programas!CS$14</f>
        <v>6570228000</v>
      </c>
      <c r="CT14" s="37" t="n">
        <f aca="false">78217000000*(1+Supuestos!$C$36)^10*Estacionalidad!N$13+Programas!CT$14</f>
        <v>6335577000</v>
      </c>
    </row>
    <row r="15" customFormat="false" ht="15" hidden="false" customHeight="true" outlineLevel="0" collapsed="false">
      <c r="B15" s="15" t="s">
        <v>344</v>
      </c>
      <c r="C15" s="37" t="n">
        <f aca="false">5906000000*(1+Supuestos!$C$36)^3*Estacionalidad!C$13</f>
        <v>478386000</v>
      </c>
      <c r="D15" s="37" t="n">
        <f aca="false">5906000000*(1+Supuestos!$C$36)^3*Estacionalidad!D$13</f>
        <v>484292000</v>
      </c>
      <c r="E15" s="37" t="n">
        <f aca="false">5906000000*(1+Supuestos!$C$36)^3*Estacionalidad!E$13</f>
        <v>496104000</v>
      </c>
      <c r="F15" s="37" t="n">
        <f aca="false">5906000000*(1+Supuestos!$C$36)^3*Estacionalidad!F$13</f>
        <v>496104000</v>
      </c>
      <c r="G15" s="37" t="n">
        <f aca="false">5906000000*(1+Supuestos!$C$36)^3*Estacionalidad!G$13</f>
        <v>496104000</v>
      </c>
      <c r="H15" s="37" t="n">
        <f aca="false">5906000000*(1+Supuestos!$C$36)^3*Estacionalidad!H$13</f>
        <v>496104000</v>
      </c>
      <c r="I15" s="37" t="n">
        <f aca="false">5906000000*(1+Supuestos!$C$36)^3*Estacionalidad!I$13</f>
        <v>496104000</v>
      </c>
      <c r="J15" s="37" t="n">
        <f aca="false">5906000000*(1+Supuestos!$C$36)^3*Estacionalidad!J$13</f>
        <v>496104000</v>
      </c>
      <c r="K15" s="37" t="n">
        <f aca="false">5906000000*(1+Supuestos!$C$36)^3*Estacionalidad!K$13</f>
        <v>496104000</v>
      </c>
      <c r="L15" s="37" t="n">
        <f aca="false">5906000000*(1+Supuestos!$C$36)^3*Estacionalidad!L$13</f>
        <v>496104000</v>
      </c>
      <c r="M15" s="37" t="n">
        <f aca="false">5906000000*(1+Supuestos!$C$36)^3*Estacionalidad!M$13</f>
        <v>496104000</v>
      </c>
      <c r="N15" s="37" t="n">
        <f aca="false">5906000000*(1+Supuestos!$C$36)^3*Estacionalidad!N$13</f>
        <v>478386000</v>
      </c>
      <c r="O15" s="37" t="n">
        <f aca="false">5906000000*(1+Supuestos!$C$36)^4*Estacionalidad!C$13</f>
        <v>478386000</v>
      </c>
      <c r="P15" s="37" t="n">
        <f aca="false">5906000000*(1+Supuestos!$C$36)^4*Estacionalidad!D$13</f>
        <v>484292000</v>
      </c>
      <c r="Q15" s="37" t="n">
        <f aca="false">5906000000*(1+Supuestos!$C$36)^4*Estacionalidad!E$13</f>
        <v>496104000</v>
      </c>
      <c r="R15" s="37" t="n">
        <f aca="false">5906000000*(1+Supuestos!$C$36)^4*Estacionalidad!F$13</f>
        <v>496104000</v>
      </c>
      <c r="S15" s="37" t="n">
        <f aca="false">5906000000*(1+Supuestos!$C$36)^4*Estacionalidad!G$13</f>
        <v>496104000</v>
      </c>
      <c r="T15" s="37" t="n">
        <f aca="false">5906000000*(1+Supuestos!$C$36)^4*Estacionalidad!H$13</f>
        <v>496104000</v>
      </c>
      <c r="U15" s="37" t="n">
        <f aca="false">5906000000*(1+Supuestos!$C$36)^4*Estacionalidad!I$13</f>
        <v>496104000</v>
      </c>
      <c r="V15" s="37" t="n">
        <f aca="false">5906000000*(1+Supuestos!$C$36)^4*Estacionalidad!J$13</f>
        <v>496104000</v>
      </c>
      <c r="W15" s="37" t="n">
        <f aca="false">5906000000*(1+Supuestos!$C$36)^4*Estacionalidad!K$13</f>
        <v>496104000</v>
      </c>
      <c r="X15" s="37" t="n">
        <f aca="false">5906000000*(1+Supuestos!$C$36)^4*Estacionalidad!L$13</f>
        <v>496104000</v>
      </c>
      <c r="Y15" s="37" t="n">
        <f aca="false">5906000000*(1+Supuestos!$C$36)^4*Estacionalidad!M$13</f>
        <v>496104000</v>
      </c>
      <c r="Z15" s="37" t="n">
        <f aca="false">5906000000*(1+Supuestos!$C$36)^4*Estacionalidad!N$13</f>
        <v>478386000</v>
      </c>
      <c r="AA15" s="37" t="n">
        <f aca="false">5906000000*(1+Supuestos!$C$36)^5*Estacionalidad!C$13</f>
        <v>478386000</v>
      </c>
      <c r="AB15" s="37" t="n">
        <f aca="false">5906000000*(1+Supuestos!$C$36)^5*Estacionalidad!D$13</f>
        <v>484292000</v>
      </c>
      <c r="AC15" s="37" t="n">
        <f aca="false">5906000000*(1+Supuestos!$C$36)^5*Estacionalidad!E$13</f>
        <v>496104000</v>
      </c>
      <c r="AD15" s="37" t="n">
        <f aca="false">5906000000*(1+Supuestos!$C$36)^5*Estacionalidad!F$13</f>
        <v>496104000</v>
      </c>
      <c r="AE15" s="37" t="n">
        <f aca="false">5906000000*(1+Supuestos!$C$36)^5*Estacionalidad!G$13</f>
        <v>496104000</v>
      </c>
      <c r="AF15" s="37" t="n">
        <f aca="false">5906000000*(1+Supuestos!$C$36)^5*Estacionalidad!H$13</f>
        <v>496104000</v>
      </c>
      <c r="AG15" s="37" t="n">
        <f aca="false">5906000000*(1+Supuestos!$C$36)^5*Estacionalidad!I$13</f>
        <v>496104000</v>
      </c>
      <c r="AH15" s="37" t="n">
        <f aca="false">5906000000*(1+Supuestos!$C$36)^5*Estacionalidad!J$13</f>
        <v>496104000</v>
      </c>
      <c r="AI15" s="37" t="n">
        <f aca="false">5906000000*(1+Supuestos!$C$36)^5*Estacionalidad!K$13</f>
        <v>496104000</v>
      </c>
      <c r="AJ15" s="37" t="n">
        <f aca="false">5906000000*(1+Supuestos!$C$36)^5*Estacionalidad!L$13</f>
        <v>496104000</v>
      </c>
      <c r="AK15" s="37" t="n">
        <f aca="false">5906000000*(1+Supuestos!$C$36)^5*Estacionalidad!M$13</f>
        <v>496104000</v>
      </c>
      <c r="AL15" s="37" t="n">
        <f aca="false">5906000000*(1+Supuestos!$C$36)^5*Estacionalidad!N$13</f>
        <v>478386000</v>
      </c>
      <c r="AM15" s="37" t="n">
        <f aca="false">5906000000*(1+Supuestos!$C$36)^6*Estacionalidad!C$13</f>
        <v>478386000</v>
      </c>
      <c r="AN15" s="37" t="n">
        <f aca="false">5906000000*(1+Supuestos!$C$36)^6*Estacionalidad!D$13</f>
        <v>484292000</v>
      </c>
      <c r="AO15" s="37" t="n">
        <f aca="false">5906000000*(1+Supuestos!$C$36)^6*Estacionalidad!E$13</f>
        <v>496104000</v>
      </c>
      <c r="AP15" s="37" t="n">
        <f aca="false">5906000000*(1+Supuestos!$C$36)^6*Estacionalidad!F$13</f>
        <v>496104000</v>
      </c>
      <c r="AQ15" s="37" t="n">
        <f aca="false">5906000000*(1+Supuestos!$C$36)^6*Estacionalidad!G$13</f>
        <v>496104000</v>
      </c>
      <c r="AR15" s="37" t="n">
        <f aca="false">5906000000*(1+Supuestos!$C$36)^6*Estacionalidad!H$13</f>
        <v>496104000</v>
      </c>
      <c r="AS15" s="37" t="n">
        <f aca="false">5906000000*(1+Supuestos!$C$36)^6*Estacionalidad!I$13</f>
        <v>496104000</v>
      </c>
      <c r="AT15" s="37" t="n">
        <f aca="false">5906000000*(1+Supuestos!$C$36)^6*Estacionalidad!J$13</f>
        <v>496104000</v>
      </c>
      <c r="AU15" s="37" t="n">
        <f aca="false">5906000000*(1+Supuestos!$C$36)^6*Estacionalidad!K$13</f>
        <v>496104000</v>
      </c>
      <c r="AV15" s="37" t="n">
        <f aca="false">5906000000*(1+Supuestos!$C$36)^6*Estacionalidad!L$13</f>
        <v>496104000</v>
      </c>
      <c r="AW15" s="37" t="n">
        <f aca="false">5906000000*(1+Supuestos!$C$36)^6*Estacionalidad!M$13</f>
        <v>496104000</v>
      </c>
      <c r="AX15" s="37" t="n">
        <f aca="false">5906000000*(1+Supuestos!$C$36)^6*Estacionalidad!N$13</f>
        <v>478386000</v>
      </c>
      <c r="AY15" s="37" t="n">
        <f aca="false">5906000000*(1+Supuestos!$C$36)^7*Estacionalidad!C$13</f>
        <v>478386000</v>
      </c>
      <c r="AZ15" s="37" t="n">
        <f aca="false">5906000000*(1+Supuestos!$C$36)^7*Estacionalidad!D$13</f>
        <v>484292000</v>
      </c>
      <c r="BA15" s="37" t="n">
        <f aca="false">5906000000*(1+Supuestos!$C$36)^7*Estacionalidad!E$13</f>
        <v>496104000</v>
      </c>
      <c r="BB15" s="37" t="n">
        <f aca="false">5906000000*(1+Supuestos!$C$36)^7*Estacionalidad!F$13</f>
        <v>496104000</v>
      </c>
      <c r="BC15" s="37" t="n">
        <f aca="false">5906000000*(1+Supuestos!$C$36)^7*Estacionalidad!G$13</f>
        <v>496104000</v>
      </c>
      <c r="BD15" s="37" t="n">
        <f aca="false">5906000000*(1+Supuestos!$C$36)^7*Estacionalidad!H$13</f>
        <v>496104000</v>
      </c>
      <c r="BE15" s="37" t="n">
        <f aca="false">5906000000*(1+Supuestos!$C$36)^7*Estacionalidad!I$13</f>
        <v>496104000</v>
      </c>
      <c r="BF15" s="37" t="n">
        <f aca="false">5906000000*(1+Supuestos!$C$36)^7*Estacionalidad!J$13</f>
        <v>496104000</v>
      </c>
      <c r="BG15" s="37" t="n">
        <f aca="false">5906000000*(1+Supuestos!$C$36)^7*Estacionalidad!K$13</f>
        <v>496104000</v>
      </c>
      <c r="BH15" s="37" t="n">
        <f aca="false">5906000000*(1+Supuestos!$C$36)^7*Estacionalidad!L$13</f>
        <v>496104000</v>
      </c>
      <c r="BI15" s="37" t="n">
        <f aca="false">5906000000*(1+Supuestos!$C$36)^7*Estacionalidad!M$13</f>
        <v>496104000</v>
      </c>
      <c r="BJ15" s="37" t="n">
        <f aca="false">5906000000*(1+Supuestos!$C$36)^7*Estacionalidad!N$13</f>
        <v>478386000</v>
      </c>
      <c r="BK15" s="37" t="n">
        <f aca="false">5906000000*(1+Supuestos!$C$36)^8*Estacionalidad!C$13</f>
        <v>478386000</v>
      </c>
      <c r="BL15" s="37" t="n">
        <f aca="false">5906000000*(1+Supuestos!$C$36)^8*Estacionalidad!D$13</f>
        <v>484292000</v>
      </c>
      <c r="BM15" s="37" t="n">
        <f aca="false">5906000000*(1+Supuestos!$C$36)^8*Estacionalidad!E$13</f>
        <v>496104000</v>
      </c>
      <c r="BN15" s="37" t="n">
        <f aca="false">5906000000*(1+Supuestos!$C$36)^8*Estacionalidad!F$13</f>
        <v>496104000</v>
      </c>
      <c r="BO15" s="37" t="n">
        <f aca="false">5906000000*(1+Supuestos!$C$36)^8*Estacionalidad!G$13</f>
        <v>496104000</v>
      </c>
      <c r="BP15" s="37" t="n">
        <f aca="false">5906000000*(1+Supuestos!$C$36)^8*Estacionalidad!H$13</f>
        <v>496104000</v>
      </c>
      <c r="BQ15" s="37" t="n">
        <f aca="false">5906000000*(1+Supuestos!$C$36)^8*Estacionalidad!I$13</f>
        <v>496104000</v>
      </c>
      <c r="BR15" s="37" t="n">
        <f aca="false">5906000000*(1+Supuestos!$C$36)^8*Estacionalidad!J$13</f>
        <v>496104000</v>
      </c>
      <c r="BS15" s="37" t="n">
        <f aca="false">5906000000*(1+Supuestos!$C$36)^8*Estacionalidad!K$13</f>
        <v>496104000</v>
      </c>
      <c r="BT15" s="37" t="n">
        <f aca="false">5906000000*(1+Supuestos!$C$36)^8*Estacionalidad!L$13</f>
        <v>496104000</v>
      </c>
      <c r="BU15" s="37" t="n">
        <f aca="false">5906000000*(1+Supuestos!$C$36)^8*Estacionalidad!M$13</f>
        <v>496104000</v>
      </c>
      <c r="BV15" s="37" t="n">
        <f aca="false">5906000000*(1+Supuestos!$C$36)^8*Estacionalidad!N$13</f>
        <v>478386000</v>
      </c>
      <c r="BW15" s="37" t="n">
        <f aca="false">5906000000*(1+Supuestos!$C$36)^9*Estacionalidad!C$13</f>
        <v>478386000</v>
      </c>
      <c r="BX15" s="37" t="n">
        <f aca="false">5906000000*(1+Supuestos!$C$36)^9*Estacionalidad!D$13</f>
        <v>484292000</v>
      </c>
      <c r="BY15" s="37" t="n">
        <f aca="false">5906000000*(1+Supuestos!$C$36)^9*Estacionalidad!E$13</f>
        <v>496104000</v>
      </c>
      <c r="BZ15" s="37" t="n">
        <f aca="false">5906000000*(1+Supuestos!$C$36)^9*Estacionalidad!F$13</f>
        <v>496104000</v>
      </c>
      <c r="CA15" s="37" t="n">
        <f aca="false">5906000000*(1+Supuestos!$C$36)^9*Estacionalidad!G$13</f>
        <v>496104000</v>
      </c>
      <c r="CB15" s="37" t="n">
        <f aca="false">5906000000*(1+Supuestos!$C$36)^9*Estacionalidad!H$13</f>
        <v>496104000</v>
      </c>
      <c r="CC15" s="37" t="n">
        <f aca="false">5906000000*(1+Supuestos!$C$36)^9*Estacionalidad!I$13</f>
        <v>496104000</v>
      </c>
      <c r="CD15" s="37" t="n">
        <f aca="false">5906000000*(1+Supuestos!$C$36)^9*Estacionalidad!J$13</f>
        <v>496104000</v>
      </c>
      <c r="CE15" s="37" t="n">
        <f aca="false">5906000000*(1+Supuestos!$C$36)^9*Estacionalidad!K$13</f>
        <v>496104000</v>
      </c>
      <c r="CF15" s="37" t="n">
        <f aca="false">5906000000*(1+Supuestos!$C$36)^9*Estacionalidad!L$13</f>
        <v>496104000</v>
      </c>
      <c r="CG15" s="37" t="n">
        <f aca="false">5906000000*(1+Supuestos!$C$36)^9*Estacionalidad!M$13</f>
        <v>496104000</v>
      </c>
      <c r="CH15" s="37" t="n">
        <f aca="false">5906000000*(1+Supuestos!$C$36)^9*Estacionalidad!N$13</f>
        <v>478386000</v>
      </c>
      <c r="CI15" s="37" t="n">
        <f aca="false">5906000000*(1+Supuestos!$C$36)^10*Estacionalidad!C$13</f>
        <v>478386000</v>
      </c>
      <c r="CJ15" s="37" t="n">
        <f aca="false">5906000000*(1+Supuestos!$C$36)^10*Estacionalidad!D$13</f>
        <v>484292000</v>
      </c>
      <c r="CK15" s="37" t="n">
        <f aca="false">5906000000*(1+Supuestos!$C$36)^10*Estacionalidad!E$13</f>
        <v>496104000</v>
      </c>
      <c r="CL15" s="37" t="n">
        <f aca="false">5906000000*(1+Supuestos!$C$36)^10*Estacionalidad!F$13</f>
        <v>496104000</v>
      </c>
      <c r="CM15" s="37" t="n">
        <f aca="false">5906000000*(1+Supuestos!$C$36)^10*Estacionalidad!G$13</f>
        <v>496104000</v>
      </c>
      <c r="CN15" s="37" t="n">
        <f aca="false">5906000000*(1+Supuestos!$C$36)^10*Estacionalidad!H$13</f>
        <v>496104000</v>
      </c>
      <c r="CO15" s="37" t="n">
        <f aca="false">5906000000*(1+Supuestos!$C$36)^10*Estacionalidad!I$13</f>
        <v>496104000</v>
      </c>
      <c r="CP15" s="37" t="n">
        <f aca="false">5906000000*(1+Supuestos!$C$36)^10*Estacionalidad!J$13</f>
        <v>496104000</v>
      </c>
      <c r="CQ15" s="37" t="n">
        <f aca="false">5906000000*(1+Supuestos!$C$36)^10*Estacionalidad!K$13</f>
        <v>496104000</v>
      </c>
      <c r="CR15" s="37" t="n">
        <f aca="false">5906000000*(1+Supuestos!$C$36)^10*Estacionalidad!L$13</f>
        <v>496104000</v>
      </c>
      <c r="CS15" s="37" t="n">
        <f aca="false">5906000000*(1+Supuestos!$C$36)^10*Estacionalidad!M$13</f>
        <v>496104000</v>
      </c>
      <c r="CT15" s="37" t="n">
        <f aca="false">5906000000*(1+Supuestos!$C$36)^10*Estacionalidad!N$13</f>
        <v>478386000</v>
      </c>
    </row>
    <row r="16" customFormat="false" ht="15" hidden="false" customHeight="true" outlineLevel="0" collapsed="false">
      <c r="B16" s="15" t="s">
        <v>345</v>
      </c>
      <c r="C16" s="37" t="n">
        <f aca="false">13971000000*(1+Supuestos!$C$36)^3*Estacionalidad!C$13+Programas!C$11+Programas!C$12</f>
        <v>1204546833.33333</v>
      </c>
      <c r="D16" s="37" t="n">
        <f aca="false">13971000000*(1+Supuestos!$C$36)^3*Estacionalidad!D$13+Programas!D$11+Programas!D$12</f>
        <v>1218517833.33333</v>
      </c>
      <c r="E16" s="37" t="n">
        <f aca="false">13971000000*(1+Supuestos!$C$36)^3*Estacionalidad!E$13+Programas!E$11+Programas!E$12</f>
        <v>1246459833.33333</v>
      </c>
      <c r="F16" s="37" t="n">
        <f aca="false">13971000000*(1+Supuestos!$C$36)^3*Estacionalidad!F$13+Programas!F$11+Programas!F$12</f>
        <v>1246459833.33333</v>
      </c>
      <c r="G16" s="37" t="n">
        <f aca="false">13971000000*(1+Supuestos!$C$36)^3*Estacionalidad!G$13+Programas!G$11+Programas!G$12</f>
        <v>1246459833.33333</v>
      </c>
      <c r="H16" s="37" t="n">
        <f aca="false">13971000000*(1+Supuestos!$C$36)^3*Estacionalidad!H$13+Programas!H$11+Programas!H$12</f>
        <v>1246459833.33333</v>
      </c>
      <c r="I16" s="37" t="n">
        <f aca="false">13971000000*(1+Supuestos!$C$36)^3*Estacionalidad!I$13+Programas!I$11+Programas!I$12</f>
        <v>1246459833.33333</v>
      </c>
      <c r="J16" s="37" t="n">
        <f aca="false">13971000000*(1+Supuestos!$C$36)^3*Estacionalidad!J$13+Programas!J$11+Programas!J$12</f>
        <v>1246459833.33333</v>
      </c>
      <c r="K16" s="37" t="n">
        <f aca="false">13971000000*(1+Supuestos!$C$36)^3*Estacionalidad!K$13+Programas!K$11+Programas!K$12</f>
        <v>1246459833.33333</v>
      </c>
      <c r="L16" s="37" t="n">
        <f aca="false">13971000000*(1+Supuestos!$C$36)^3*Estacionalidad!L$13+Programas!L$11+Programas!L$12</f>
        <v>1246459833.33333</v>
      </c>
      <c r="M16" s="37" t="n">
        <f aca="false">13971000000*(1+Supuestos!$C$36)^3*Estacionalidad!M$13+Programas!M$11+Programas!M$12</f>
        <v>1246459833.33333</v>
      </c>
      <c r="N16" s="37" t="n">
        <f aca="false">13971000000*(1+Supuestos!$C$36)^3*Estacionalidad!N$13+Programas!N$11+Programas!N$12</f>
        <v>1204546833.33333</v>
      </c>
      <c r="O16" s="37" t="n">
        <f aca="false">13971000000*(1+Supuestos!$C$36)^4*Estacionalidad!C$13+Programas!O$11+Programas!O$12</f>
        <v>1277442666.66667</v>
      </c>
      <c r="P16" s="37" t="n">
        <f aca="false">13971000000*(1+Supuestos!$C$36)^4*Estacionalidad!D$13+Programas!P$11+Programas!P$12</f>
        <v>1291413666.66667</v>
      </c>
      <c r="Q16" s="37" t="n">
        <f aca="false">13971000000*(1+Supuestos!$C$36)^4*Estacionalidad!E$13+Programas!Q$11+Programas!Q$12</f>
        <v>1319355666.66667</v>
      </c>
      <c r="R16" s="37" t="n">
        <f aca="false">13971000000*(1+Supuestos!$C$36)^4*Estacionalidad!F$13+Programas!R$11+Programas!R$12</f>
        <v>1319355666.66667</v>
      </c>
      <c r="S16" s="37" t="n">
        <f aca="false">13971000000*(1+Supuestos!$C$36)^4*Estacionalidad!G$13+Programas!S$11+Programas!S$12</f>
        <v>1319355666.66667</v>
      </c>
      <c r="T16" s="37" t="n">
        <f aca="false">13971000000*(1+Supuestos!$C$36)^4*Estacionalidad!H$13+Programas!T$11+Programas!T$12</f>
        <v>1319355666.66667</v>
      </c>
      <c r="U16" s="37" t="n">
        <f aca="false">13971000000*(1+Supuestos!$C$36)^4*Estacionalidad!I$13+Programas!U$11+Programas!U$12</f>
        <v>1319355666.66667</v>
      </c>
      <c r="V16" s="37" t="n">
        <f aca="false">13971000000*(1+Supuestos!$C$36)^4*Estacionalidad!J$13+Programas!V$11+Programas!V$12</f>
        <v>1319355666.66667</v>
      </c>
      <c r="W16" s="37" t="n">
        <f aca="false">13971000000*(1+Supuestos!$C$36)^4*Estacionalidad!K$13+Programas!W$11+Programas!W$12</f>
        <v>1319355666.66667</v>
      </c>
      <c r="X16" s="37" t="n">
        <f aca="false">13971000000*(1+Supuestos!$C$36)^4*Estacionalidad!L$13+Programas!X$11+Programas!X$12</f>
        <v>1319355666.66667</v>
      </c>
      <c r="Y16" s="37" t="n">
        <f aca="false">13971000000*(1+Supuestos!$C$36)^4*Estacionalidad!M$13+Programas!Y$11+Programas!Y$12</f>
        <v>1319355666.66667</v>
      </c>
      <c r="Z16" s="37" t="n">
        <f aca="false">13971000000*(1+Supuestos!$C$36)^4*Estacionalidad!N$13+Programas!Z$11+Programas!Z$12</f>
        <v>1277442666.66667</v>
      </c>
      <c r="AA16" s="37" t="n">
        <f aca="false">13971000000*(1+Supuestos!$C$36)^5*Estacionalidad!C$13+Programas!AA$11+Programas!AA$12</f>
        <v>1350338500</v>
      </c>
      <c r="AB16" s="37" t="n">
        <f aca="false">13971000000*(1+Supuestos!$C$36)^5*Estacionalidad!D$13+Programas!AB$11+Programas!AB$12</f>
        <v>1364309500</v>
      </c>
      <c r="AC16" s="37" t="n">
        <f aca="false">13971000000*(1+Supuestos!$C$36)^5*Estacionalidad!E$13+Programas!AC$11+Programas!AC$12</f>
        <v>1392251500</v>
      </c>
      <c r="AD16" s="37" t="n">
        <f aca="false">13971000000*(1+Supuestos!$C$36)^5*Estacionalidad!F$13+Programas!AD$11+Programas!AD$12</f>
        <v>1392251500</v>
      </c>
      <c r="AE16" s="37" t="n">
        <f aca="false">13971000000*(1+Supuestos!$C$36)^5*Estacionalidad!G$13+Programas!AE$11+Programas!AE$12</f>
        <v>1392251500</v>
      </c>
      <c r="AF16" s="37" t="n">
        <f aca="false">13971000000*(1+Supuestos!$C$36)^5*Estacionalidad!H$13+Programas!AF$11+Programas!AF$12</f>
        <v>1392251500</v>
      </c>
      <c r="AG16" s="37" t="n">
        <f aca="false">13971000000*(1+Supuestos!$C$36)^5*Estacionalidad!I$13+Programas!AG$11+Programas!AG$12</f>
        <v>1392251500</v>
      </c>
      <c r="AH16" s="37" t="n">
        <f aca="false">13971000000*(1+Supuestos!$C$36)^5*Estacionalidad!J$13+Programas!AH$11+Programas!AH$12</f>
        <v>1392251500</v>
      </c>
      <c r="AI16" s="37" t="n">
        <f aca="false">13971000000*(1+Supuestos!$C$36)^5*Estacionalidad!K$13+Programas!AI$11+Programas!AI$12</f>
        <v>1392251500</v>
      </c>
      <c r="AJ16" s="37" t="n">
        <f aca="false">13971000000*(1+Supuestos!$C$36)^5*Estacionalidad!L$13+Programas!AJ$11+Programas!AJ$12</f>
        <v>1392251500</v>
      </c>
      <c r="AK16" s="37" t="n">
        <f aca="false">13971000000*(1+Supuestos!$C$36)^5*Estacionalidad!M$13+Programas!AK$11+Programas!AK$12</f>
        <v>1392251500</v>
      </c>
      <c r="AL16" s="37" t="n">
        <f aca="false">13971000000*(1+Supuestos!$C$36)^5*Estacionalidad!N$13+Programas!AL$11+Programas!AL$12</f>
        <v>1350338500</v>
      </c>
      <c r="AM16" s="37" t="n">
        <f aca="false">13971000000*(1+Supuestos!$C$36)^6*Estacionalidad!C$13+Programas!AM$11+Programas!AM$12</f>
        <v>1393234333.33333</v>
      </c>
      <c r="AN16" s="37" t="n">
        <f aca="false">13971000000*(1+Supuestos!$C$36)^6*Estacionalidad!D$13+Programas!AN$11+Programas!AN$12</f>
        <v>1407205333.33333</v>
      </c>
      <c r="AO16" s="37" t="n">
        <f aca="false">13971000000*(1+Supuestos!$C$36)^6*Estacionalidad!E$13+Programas!AO$11+Programas!AO$12</f>
        <v>1435147333.33333</v>
      </c>
      <c r="AP16" s="37" t="n">
        <f aca="false">13971000000*(1+Supuestos!$C$36)^6*Estacionalidad!F$13+Programas!AP$11+Programas!AP$12</f>
        <v>1435147333.33333</v>
      </c>
      <c r="AQ16" s="37" t="n">
        <f aca="false">13971000000*(1+Supuestos!$C$36)^6*Estacionalidad!G$13+Programas!AQ$11+Programas!AQ$12</f>
        <v>1435147333.33333</v>
      </c>
      <c r="AR16" s="37" t="n">
        <f aca="false">13971000000*(1+Supuestos!$C$36)^6*Estacionalidad!H$13+Programas!AR$11+Programas!AR$12</f>
        <v>1435147333.33333</v>
      </c>
      <c r="AS16" s="37" t="n">
        <f aca="false">13971000000*(1+Supuestos!$C$36)^6*Estacionalidad!I$13+Programas!AS$11+Programas!AS$12</f>
        <v>1435147333.33333</v>
      </c>
      <c r="AT16" s="37" t="n">
        <f aca="false">13971000000*(1+Supuestos!$C$36)^6*Estacionalidad!J$13+Programas!AT$11+Programas!AT$12</f>
        <v>1435147333.33333</v>
      </c>
      <c r="AU16" s="37" t="n">
        <f aca="false">13971000000*(1+Supuestos!$C$36)^6*Estacionalidad!K$13+Programas!AU$11+Programas!AU$12</f>
        <v>1435147333.33333</v>
      </c>
      <c r="AV16" s="37" t="n">
        <f aca="false">13971000000*(1+Supuestos!$C$36)^6*Estacionalidad!L$13+Programas!AV$11+Programas!AV$12</f>
        <v>1435147333.33333</v>
      </c>
      <c r="AW16" s="37" t="n">
        <f aca="false">13971000000*(1+Supuestos!$C$36)^6*Estacionalidad!M$13+Programas!AW$11+Programas!AW$12</f>
        <v>1435147333.33333</v>
      </c>
      <c r="AX16" s="37" t="n">
        <f aca="false">13971000000*(1+Supuestos!$C$36)^6*Estacionalidad!N$13+Programas!AX$11+Programas!AX$12</f>
        <v>1393234333.33333</v>
      </c>
      <c r="AY16" s="37" t="n">
        <f aca="false">13971000000*(1+Supuestos!$C$36)^7*Estacionalidad!C$13+Programas!AY$11+Programas!AY$12</f>
        <v>1393234333.33333</v>
      </c>
      <c r="AZ16" s="37" t="n">
        <f aca="false">13971000000*(1+Supuestos!$C$36)^7*Estacionalidad!D$13+Programas!AZ$11+Programas!AZ$12</f>
        <v>1407205333.33333</v>
      </c>
      <c r="BA16" s="37" t="n">
        <f aca="false">13971000000*(1+Supuestos!$C$36)^7*Estacionalidad!E$13+Programas!BA$11+Programas!BA$12</f>
        <v>1435147333.33333</v>
      </c>
      <c r="BB16" s="37" t="n">
        <f aca="false">13971000000*(1+Supuestos!$C$36)^7*Estacionalidad!F$13+Programas!BB$11+Programas!BB$12</f>
        <v>1435147333.33333</v>
      </c>
      <c r="BC16" s="37" t="n">
        <f aca="false">13971000000*(1+Supuestos!$C$36)^7*Estacionalidad!G$13+Programas!BC$11+Programas!BC$12</f>
        <v>1435147333.33333</v>
      </c>
      <c r="BD16" s="37" t="n">
        <f aca="false">13971000000*(1+Supuestos!$C$36)^7*Estacionalidad!H$13+Programas!BD$11+Programas!BD$12</f>
        <v>1435147333.33333</v>
      </c>
      <c r="BE16" s="37" t="n">
        <f aca="false">13971000000*(1+Supuestos!$C$36)^7*Estacionalidad!I$13+Programas!BE$11+Programas!BE$12</f>
        <v>1435147333.33333</v>
      </c>
      <c r="BF16" s="37" t="n">
        <f aca="false">13971000000*(1+Supuestos!$C$36)^7*Estacionalidad!J$13+Programas!BF$11+Programas!BF$12</f>
        <v>1435147333.33333</v>
      </c>
      <c r="BG16" s="37" t="n">
        <f aca="false">13971000000*(1+Supuestos!$C$36)^7*Estacionalidad!K$13+Programas!BG$11+Programas!BG$12</f>
        <v>1435147333.33333</v>
      </c>
      <c r="BH16" s="37" t="n">
        <f aca="false">13971000000*(1+Supuestos!$C$36)^7*Estacionalidad!L$13+Programas!BH$11+Programas!BH$12</f>
        <v>1435147333.33333</v>
      </c>
      <c r="BI16" s="37" t="n">
        <f aca="false">13971000000*(1+Supuestos!$C$36)^7*Estacionalidad!M$13+Programas!BI$11+Programas!BI$12</f>
        <v>1435147333.33333</v>
      </c>
      <c r="BJ16" s="37" t="n">
        <f aca="false">13971000000*(1+Supuestos!$C$36)^7*Estacionalidad!N$13+Programas!BJ$11+Programas!BJ$12</f>
        <v>1393234333.33333</v>
      </c>
      <c r="BK16" s="37" t="n">
        <f aca="false">13971000000*(1+Supuestos!$C$36)^8*Estacionalidad!C$13+Programas!BK$11+Programas!BK$12</f>
        <v>1393234333.33333</v>
      </c>
      <c r="BL16" s="37" t="n">
        <f aca="false">13971000000*(1+Supuestos!$C$36)^8*Estacionalidad!D$13+Programas!BL$11+Programas!BL$12</f>
        <v>1407205333.33333</v>
      </c>
      <c r="BM16" s="37" t="n">
        <f aca="false">13971000000*(1+Supuestos!$C$36)^8*Estacionalidad!E$13+Programas!BM$11+Programas!BM$12</f>
        <v>1435147333.33333</v>
      </c>
      <c r="BN16" s="37" t="n">
        <f aca="false">13971000000*(1+Supuestos!$C$36)^8*Estacionalidad!F$13+Programas!BN$11+Programas!BN$12</f>
        <v>1435147333.33333</v>
      </c>
      <c r="BO16" s="37" t="n">
        <f aca="false">13971000000*(1+Supuestos!$C$36)^8*Estacionalidad!G$13+Programas!BO$11+Programas!BO$12</f>
        <v>1435147333.33333</v>
      </c>
      <c r="BP16" s="37" t="n">
        <f aca="false">13971000000*(1+Supuestos!$C$36)^8*Estacionalidad!H$13+Programas!BP$11+Programas!BP$12</f>
        <v>1435147333.33333</v>
      </c>
      <c r="BQ16" s="37" t="n">
        <f aca="false">13971000000*(1+Supuestos!$C$36)^8*Estacionalidad!I$13+Programas!BQ$11+Programas!BQ$12</f>
        <v>1435147333.33333</v>
      </c>
      <c r="BR16" s="37" t="n">
        <f aca="false">13971000000*(1+Supuestos!$C$36)^8*Estacionalidad!J$13+Programas!BR$11+Programas!BR$12</f>
        <v>1435147333.33333</v>
      </c>
      <c r="BS16" s="37" t="n">
        <f aca="false">13971000000*(1+Supuestos!$C$36)^8*Estacionalidad!K$13+Programas!BS$11+Programas!BS$12</f>
        <v>1435147333.33333</v>
      </c>
      <c r="BT16" s="37" t="n">
        <f aca="false">13971000000*(1+Supuestos!$C$36)^8*Estacionalidad!L$13+Programas!BT$11+Programas!BT$12</f>
        <v>1435147333.33333</v>
      </c>
      <c r="BU16" s="37" t="n">
        <f aca="false">13971000000*(1+Supuestos!$C$36)^8*Estacionalidad!M$13+Programas!BU$11+Programas!BU$12</f>
        <v>1435147333.33333</v>
      </c>
      <c r="BV16" s="37" t="n">
        <f aca="false">13971000000*(1+Supuestos!$C$36)^8*Estacionalidad!N$13+Programas!BV$11+Programas!BV$12</f>
        <v>1393234333.33333</v>
      </c>
      <c r="BW16" s="37" t="n">
        <f aca="false">13971000000*(1+Supuestos!$C$36)^9*Estacionalidad!C$13+Programas!BW$11+Programas!BW$12</f>
        <v>1393234333.33333</v>
      </c>
      <c r="BX16" s="37" t="n">
        <f aca="false">13971000000*(1+Supuestos!$C$36)^9*Estacionalidad!D$13+Programas!BX$11+Programas!BX$12</f>
        <v>1407205333.33333</v>
      </c>
      <c r="BY16" s="37" t="n">
        <f aca="false">13971000000*(1+Supuestos!$C$36)^9*Estacionalidad!E$13+Programas!BY$11+Programas!BY$12</f>
        <v>1435147333.33333</v>
      </c>
      <c r="BZ16" s="37" t="n">
        <f aca="false">13971000000*(1+Supuestos!$C$36)^9*Estacionalidad!F$13+Programas!BZ$11+Programas!BZ$12</f>
        <v>1435147333.33333</v>
      </c>
      <c r="CA16" s="37" t="n">
        <f aca="false">13971000000*(1+Supuestos!$C$36)^9*Estacionalidad!G$13+Programas!CA$11+Programas!CA$12</f>
        <v>1435147333.33333</v>
      </c>
      <c r="CB16" s="37" t="n">
        <f aca="false">13971000000*(1+Supuestos!$C$36)^9*Estacionalidad!H$13+Programas!CB$11+Programas!CB$12</f>
        <v>1435147333.33333</v>
      </c>
      <c r="CC16" s="37" t="n">
        <f aca="false">13971000000*(1+Supuestos!$C$36)^9*Estacionalidad!I$13+Programas!CC$11+Programas!CC$12</f>
        <v>1435147333.33333</v>
      </c>
      <c r="CD16" s="37" t="n">
        <f aca="false">13971000000*(1+Supuestos!$C$36)^9*Estacionalidad!J$13+Programas!CD$11+Programas!CD$12</f>
        <v>1435147333.33333</v>
      </c>
      <c r="CE16" s="37" t="n">
        <f aca="false">13971000000*(1+Supuestos!$C$36)^9*Estacionalidad!K$13+Programas!CE$11+Programas!CE$12</f>
        <v>1435147333.33333</v>
      </c>
      <c r="CF16" s="37" t="n">
        <f aca="false">13971000000*(1+Supuestos!$C$36)^9*Estacionalidad!L$13+Programas!CF$11+Programas!CF$12</f>
        <v>1435147333.33333</v>
      </c>
      <c r="CG16" s="37" t="n">
        <f aca="false">13971000000*(1+Supuestos!$C$36)^9*Estacionalidad!M$13+Programas!CG$11+Programas!CG$12</f>
        <v>1435147333.33333</v>
      </c>
      <c r="CH16" s="37" t="n">
        <f aca="false">13971000000*(1+Supuestos!$C$36)^9*Estacionalidad!N$13+Programas!CH$11+Programas!CH$12</f>
        <v>1393234333.33333</v>
      </c>
      <c r="CI16" s="37" t="n">
        <f aca="false">13971000000*(1+Supuestos!$C$36)^10*Estacionalidad!C$13+Programas!CI$11+Programas!CI$12</f>
        <v>1393234333.33333</v>
      </c>
      <c r="CJ16" s="37" t="n">
        <f aca="false">13971000000*(1+Supuestos!$C$36)^10*Estacionalidad!D$13+Programas!CJ$11+Programas!CJ$12</f>
        <v>1407205333.33333</v>
      </c>
      <c r="CK16" s="37" t="n">
        <f aca="false">13971000000*(1+Supuestos!$C$36)^10*Estacionalidad!E$13+Programas!CK$11+Programas!CK$12</f>
        <v>1435147333.33333</v>
      </c>
      <c r="CL16" s="37" t="n">
        <f aca="false">13971000000*(1+Supuestos!$C$36)^10*Estacionalidad!F$13+Programas!CL$11+Programas!CL$12</f>
        <v>1435147333.33333</v>
      </c>
      <c r="CM16" s="37" t="n">
        <f aca="false">13971000000*(1+Supuestos!$C$36)^10*Estacionalidad!G$13+Programas!CM$11+Programas!CM$12</f>
        <v>1435147333.33333</v>
      </c>
      <c r="CN16" s="37" t="n">
        <f aca="false">13971000000*(1+Supuestos!$C$36)^10*Estacionalidad!H$13+Programas!CN$11+Programas!CN$12</f>
        <v>1435147333.33333</v>
      </c>
      <c r="CO16" s="37" t="n">
        <f aca="false">13971000000*(1+Supuestos!$C$36)^10*Estacionalidad!I$13+Programas!CO$11+Programas!CO$12</f>
        <v>1435147333.33333</v>
      </c>
      <c r="CP16" s="37" t="n">
        <f aca="false">13971000000*(1+Supuestos!$C$36)^10*Estacionalidad!J$13+Programas!CP$11+Programas!CP$12</f>
        <v>1435147333.33333</v>
      </c>
      <c r="CQ16" s="37" t="n">
        <f aca="false">13971000000*(1+Supuestos!$C$36)^10*Estacionalidad!K$13+Programas!CQ$11+Programas!CQ$12</f>
        <v>1435147333.33333</v>
      </c>
      <c r="CR16" s="37" t="n">
        <f aca="false">13971000000*(1+Supuestos!$C$36)^10*Estacionalidad!L$13+Programas!CR$11+Programas!CR$12</f>
        <v>1435147333.33333</v>
      </c>
      <c r="CS16" s="37" t="n">
        <f aca="false">13971000000*(1+Supuestos!$C$36)^10*Estacionalidad!M$13+Programas!CS$11+Programas!CS$12</f>
        <v>1435147333.33333</v>
      </c>
      <c r="CT16" s="37" t="n">
        <f aca="false">13971000000*(1+Supuestos!$C$36)^10*Estacionalidad!N$13+Programas!CT$11+Programas!CT$12</f>
        <v>1393234333.33333</v>
      </c>
    </row>
    <row r="17" customFormat="false" ht="15" hidden="false" customHeight="true" outlineLevel="0" collapsed="false">
      <c r="B17" s="15" t="s">
        <v>346</v>
      </c>
      <c r="C17" s="37" t="n">
        <f aca="false">8205000000*(1+Supuestos!$C$36)^3*Estacionalidad!C$13</f>
        <v>664605000</v>
      </c>
      <c r="D17" s="37" t="n">
        <f aca="false">8205000000*(1+Supuestos!$C$36)^3*Estacionalidad!D$13</f>
        <v>672810000</v>
      </c>
      <c r="E17" s="37" t="n">
        <f aca="false">8205000000*(1+Supuestos!$C$36)^3*Estacionalidad!E$13</f>
        <v>689220000</v>
      </c>
      <c r="F17" s="37" t="n">
        <f aca="false">8205000000*(1+Supuestos!$C$36)^3*Estacionalidad!F$13</f>
        <v>689220000</v>
      </c>
      <c r="G17" s="37" t="n">
        <f aca="false">8205000000*(1+Supuestos!$C$36)^3*Estacionalidad!G$13</f>
        <v>689220000</v>
      </c>
      <c r="H17" s="37" t="n">
        <f aca="false">8205000000*(1+Supuestos!$C$36)^3*Estacionalidad!H$13</f>
        <v>689220000</v>
      </c>
      <c r="I17" s="37" t="n">
        <f aca="false">8205000000*(1+Supuestos!$C$36)^3*Estacionalidad!I$13</f>
        <v>689220000</v>
      </c>
      <c r="J17" s="37" t="n">
        <f aca="false">8205000000*(1+Supuestos!$C$36)^3*Estacionalidad!J$13</f>
        <v>689220000</v>
      </c>
      <c r="K17" s="37" t="n">
        <f aca="false">8205000000*(1+Supuestos!$C$36)^3*Estacionalidad!K$13</f>
        <v>689220000</v>
      </c>
      <c r="L17" s="37" t="n">
        <f aca="false">8205000000*(1+Supuestos!$C$36)^3*Estacionalidad!L$13</f>
        <v>689220000</v>
      </c>
      <c r="M17" s="37" t="n">
        <f aca="false">8205000000*(1+Supuestos!$C$36)^3*Estacionalidad!M$13</f>
        <v>689220000</v>
      </c>
      <c r="N17" s="37" t="n">
        <f aca="false">8205000000*(1+Supuestos!$C$36)^3*Estacionalidad!N$13</f>
        <v>664605000</v>
      </c>
      <c r="O17" s="37" t="n">
        <f aca="false">8205000000*(1+Supuestos!$C$36)^4*Estacionalidad!C$13</f>
        <v>664605000</v>
      </c>
      <c r="P17" s="37" t="n">
        <f aca="false">8205000000*(1+Supuestos!$C$36)^4*Estacionalidad!D$13</f>
        <v>672810000</v>
      </c>
      <c r="Q17" s="37" t="n">
        <f aca="false">8205000000*(1+Supuestos!$C$36)^4*Estacionalidad!E$13</f>
        <v>689220000</v>
      </c>
      <c r="R17" s="37" t="n">
        <f aca="false">8205000000*(1+Supuestos!$C$36)^4*Estacionalidad!F$13</f>
        <v>689220000</v>
      </c>
      <c r="S17" s="37" t="n">
        <f aca="false">8205000000*(1+Supuestos!$C$36)^4*Estacionalidad!G$13</f>
        <v>689220000</v>
      </c>
      <c r="T17" s="37" t="n">
        <f aca="false">8205000000*(1+Supuestos!$C$36)^4*Estacionalidad!H$13</f>
        <v>689220000</v>
      </c>
      <c r="U17" s="37" t="n">
        <f aca="false">8205000000*(1+Supuestos!$C$36)^4*Estacionalidad!I$13</f>
        <v>689220000</v>
      </c>
      <c r="V17" s="37" t="n">
        <f aca="false">8205000000*(1+Supuestos!$C$36)^4*Estacionalidad!J$13</f>
        <v>689220000</v>
      </c>
      <c r="W17" s="37" t="n">
        <f aca="false">8205000000*(1+Supuestos!$C$36)^4*Estacionalidad!K$13</f>
        <v>689220000</v>
      </c>
      <c r="X17" s="37" t="n">
        <f aca="false">8205000000*(1+Supuestos!$C$36)^4*Estacionalidad!L$13</f>
        <v>689220000</v>
      </c>
      <c r="Y17" s="37" t="n">
        <f aca="false">8205000000*(1+Supuestos!$C$36)^4*Estacionalidad!M$13</f>
        <v>689220000</v>
      </c>
      <c r="Z17" s="37" t="n">
        <f aca="false">8205000000*(1+Supuestos!$C$36)^4*Estacionalidad!N$13</f>
        <v>664605000</v>
      </c>
      <c r="AA17" s="37" t="n">
        <f aca="false">8205000000*(1+Supuestos!$C$36)^5*Estacionalidad!C$13</f>
        <v>664605000</v>
      </c>
      <c r="AB17" s="37" t="n">
        <f aca="false">8205000000*(1+Supuestos!$C$36)^5*Estacionalidad!D$13</f>
        <v>672810000</v>
      </c>
      <c r="AC17" s="37" t="n">
        <f aca="false">8205000000*(1+Supuestos!$C$36)^5*Estacionalidad!E$13</f>
        <v>689220000</v>
      </c>
      <c r="AD17" s="37" t="n">
        <f aca="false">8205000000*(1+Supuestos!$C$36)^5*Estacionalidad!F$13</f>
        <v>689220000</v>
      </c>
      <c r="AE17" s="37" t="n">
        <f aca="false">8205000000*(1+Supuestos!$C$36)^5*Estacionalidad!G$13</f>
        <v>689220000</v>
      </c>
      <c r="AF17" s="37" t="n">
        <f aca="false">8205000000*(1+Supuestos!$C$36)^5*Estacionalidad!H$13</f>
        <v>689220000</v>
      </c>
      <c r="AG17" s="37" t="n">
        <f aca="false">8205000000*(1+Supuestos!$C$36)^5*Estacionalidad!I$13</f>
        <v>689220000</v>
      </c>
      <c r="AH17" s="37" t="n">
        <f aca="false">8205000000*(1+Supuestos!$C$36)^5*Estacionalidad!J$13</f>
        <v>689220000</v>
      </c>
      <c r="AI17" s="37" t="n">
        <f aca="false">8205000000*(1+Supuestos!$C$36)^5*Estacionalidad!K$13</f>
        <v>689220000</v>
      </c>
      <c r="AJ17" s="37" t="n">
        <f aca="false">8205000000*(1+Supuestos!$C$36)^5*Estacionalidad!L$13</f>
        <v>689220000</v>
      </c>
      <c r="AK17" s="37" t="n">
        <f aca="false">8205000000*(1+Supuestos!$C$36)^5*Estacionalidad!M$13</f>
        <v>689220000</v>
      </c>
      <c r="AL17" s="37" t="n">
        <f aca="false">8205000000*(1+Supuestos!$C$36)^5*Estacionalidad!N$13</f>
        <v>664605000</v>
      </c>
      <c r="AM17" s="37" t="n">
        <f aca="false">8205000000*(1+Supuestos!$C$36)^6*Estacionalidad!C$13</f>
        <v>664605000</v>
      </c>
      <c r="AN17" s="37" t="n">
        <f aca="false">8205000000*(1+Supuestos!$C$36)^6*Estacionalidad!D$13</f>
        <v>672810000</v>
      </c>
      <c r="AO17" s="37" t="n">
        <f aca="false">8205000000*(1+Supuestos!$C$36)^6*Estacionalidad!E$13</f>
        <v>689220000</v>
      </c>
      <c r="AP17" s="37" t="n">
        <f aca="false">8205000000*(1+Supuestos!$C$36)^6*Estacionalidad!F$13</f>
        <v>689220000</v>
      </c>
      <c r="AQ17" s="37" t="n">
        <f aca="false">8205000000*(1+Supuestos!$C$36)^6*Estacionalidad!G$13</f>
        <v>689220000</v>
      </c>
      <c r="AR17" s="37" t="n">
        <f aca="false">8205000000*(1+Supuestos!$C$36)^6*Estacionalidad!H$13</f>
        <v>689220000</v>
      </c>
      <c r="AS17" s="37" t="n">
        <f aca="false">8205000000*(1+Supuestos!$C$36)^6*Estacionalidad!I$13</f>
        <v>689220000</v>
      </c>
      <c r="AT17" s="37" t="n">
        <f aca="false">8205000000*(1+Supuestos!$C$36)^6*Estacionalidad!J$13</f>
        <v>689220000</v>
      </c>
      <c r="AU17" s="37" t="n">
        <f aca="false">8205000000*(1+Supuestos!$C$36)^6*Estacionalidad!K$13</f>
        <v>689220000</v>
      </c>
      <c r="AV17" s="37" t="n">
        <f aca="false">8205000000*(1+Supuestos!$C$36)^6*Estacionalidad!L$13</f>
        <v>689220000</v>
      </c>
      <c r="AW17" s="37" t="n">
        <f aca="false">8205000000*(1+Supuestos!$C$36)^6*Estacionalidad!M$13</f>
        <v>689220000</v>
      </c>
      <c r="AX17" s="37" t="n">
        <f aca="false">8205000000*(1+Supuestos!$C$36)^6*Estacionalidad!N$13</f>
        <v>664605000</v>
      </c>
      <c r="AY17" s="37" t="n">
        <f aca="false">8205000000*(1+Supuestos!$C$36)^7*Estacionalidad!C$13</f>
        <v>664605000</v>
      </c>
      <c r="AZ17" s="37" t="n">
        <f aca="false">8205000000*(1+Supuestos!$C$36)^7*Estacionalidad!D$13</f>
        <v>672810000</v>
      </c>
      <c r="BA17" s="37" t="n">
        <f aca="false">8205000000*(1+Supuestos!$C$36)^7*Estacionalidad!E$13</f>
        <v>689220000</v>
      </c>
      <c r="BB17" s="37" t="n">
        <f aca="false">8205000000*(1+Supuestos!$C$36)^7*Estacionalidad!F$13</f>
        <v>689220000</v>
      </c>
      <c r="BC17" s="37" t="n">
        <f aca="false">8205000000*(1+Supuestos!$C$36)^7*Estacionalidad!G$13</f>
        <v>689220000</v>
      </c>
      <c r="BD17" s="37" t="n">
        <f aca="false">8205000000*(1+Supuestos!$C$36)^7*Estacionalidad!H$13</f>
        <v>689220000</v>
      </c>
      <c r="BE17" s="37" t="n">
        <f aca="false">8205000000*(1+Supuestos!$C$36)^7*Estacionalidad!I$13</f>
        <v>689220000</v>
      </c>
      <c r="BF17" s="37" t="n">
        <f aca="false">8205000000*(1+Supuestos!$C$36)^7*Estacionalidad!J$13</f>
        <v>689220000</v>
      </c>
      <c r="BG17" s="37" t="n">
        <f aca="false">8205000000*(1+Supuestos!$C$36)^7*Estacionalidad!K$13</f>
        <v>689220000</v>
      </c>
      <c r="BH17" s="37" t="n">
        <f aca="false">8205000000*(1+Supuestos!$C$36)^7*Estacionalidad!L$13</f>
        <v>689220000</v>
      </c>
      <c r="BI17" s="37" t="n">
        <f aca="false">8205000000*(1+Supuestos!$C$36)^7*Estacionalidad!M$13</f>
        <v>689220000</v>
      </c>
      <c r="BJ17" s="37" t="n">
        <f aca="false">8205000000*(1+Supuestos!$C$36)^7*Estacionalidad!N$13</f>
        <v>664605000</v>
      </c>
      <c r="BK17" s="37" t="n">
        <f aca="false">8205000000*(1+Supuestos!$C$36)^8*Estacionalidad!C$13</f>
        <v>664605000</v>
      </c>
      <c r="BL17" s="37" t="n">
        <f aca="false">8205000000*(1+Supuestos!$C$36)^8*Estacionalidad!D$13</f>
        <v>672810000</v>
      </c>
      <c r="BM17" s="37" t="n">
        <f aca="false">8205000000*(1+Supuestos!$C$36)^8*Estacionalidad!E$13</f>
        <v>689220000</v>
      </c>
      <c r="BN17" s="37" t="n">
        <f aca="false">8205000000*(1+Supuestos!$C$36)^8*Estacionalidad!F$13</f>
        <v>689220000</v>
      </c>
      <c r="BO17" s="37" t="n">
        <f aca="false">8205000000*(1+Supuestos!$C$36)^8*Estacionalidad!G$13</f>
        <v>689220000</v>
      </c>
      <c r="BP17" s="37" t="n">
        <f aca="false">8205000000*(1+Supuestos!$C$36)^8*Estacionalidad!H$13</f>
        <v>689220000</v>
      </c>
      <c r="BQ17" s="37" t="n">
        <f aca="false">8205000000*(1+Supuestos!$C$36)^8*Estacionalidad!I$13</f>
        <v>689220000</v>
      </c>
      <c r="BR17" s="37" t="n">
        <f aca="false">8205000000*(1+Supuestos!$C$36)^8*Estacionalidad!J$13</f>
        <v>689220000</v>
      </c>
      <c r="BS17" s="37" t="n">
        <f aca="false">8205000000*(1+Supuestos!$C$36)^8*Estacionalidad!K$13</f>
        <v>689220000</v>
      </c>
      <c r="BT17" s="37" t="n">
        <f aca="false">8205000000*(1+Supuestos!$C$36)^8*Estacionalidad!L$13</f>
        <v>689220000</v>
      </c>
      <c r="BU17" s="37" t="n">
        <f aca="false">8205000000*(1+Supuestos!$C$36)^8*Estacionalidad!M$13</f>
        <v>689220000</v>
      </c>
      <c r="BV17" s="37" t="n">
        <f aca="false">8205000000*(1+Supuestos!$C$36)^8*Estacionalidad!N$13</f>
        <v>664605000</v>
      </c>
      <c r="BW17" s="37" t="n">
        <f aca="false">8205000000*(1+Supuestos!$C$36)^9*Estacionalidad!C$13</f>
        <v>664605000</v>
      </c>
      <c r="BX17" s="37" t="n">
        <f aca="false">8205000000*(1+Supuestos!$C$36)^9*Estacionalidad!D$13</f>
        <v>672810000</v>
      </c>
      <c r="BY17" s="37" t="n">
        <f aca="false">8205000000*(1+Supuestos!$C$36)^9*Estacionalidad!E$13</f>
        <v>689220000</v>
      </c>
      <c r="BZ17" s="37" t="n">
        <f aca="false">8205000000*(1+Supuestos!$C$36)^9*Estacionalidad!F$13</f>
        <v>689220000</v>
      </c>
      <c r="CA17" s="37" t="n">
        <f aca="false">8205000000*(1+Supuestos!$C$36)^9*Estacionalidad!G$13</f>
        <v>689220000</v>
      </c>
      <c r="CB17" s="37" t="n">
        <f aca="false">8205000000*(1+Supuestos!$C$36)^9*Estacionalidad!H$13</f>
        <v>689220000</v>
      </c>
      <c r="CC17" s="37" t="n">
        <f aca="false">8205000000*(1+Supuestos!$C$36)^9*Estacionalidad!I$13</f>
        <v>689220000</v>
      </c>
      <c r="CD17" s="37" t="n">
        <f aca="false">8205000000*(1+Supuestos!$C$36)^9*Estacionalidad!J$13</f>
        <v>689220000</v>
      </c>
      <c r="CE17" s="37" t="n">
        <f aca="false">8205000000*(1+Supuestos!$C$36)^9*Estacionalidad!K$13</f>
        <v>689220000</v>
      </c>
      <c r="CF17" s="37" t="n">
        <f aca="false">8205000000*(1+Supuestos!$C$36)^9*Estacionalidad!L$13</f>
        <v>689220000</v>
      </c>
      <c r="CG17" s="37" t="n">
        <f aca="false">8205000000*(1+Supuestos!$C$36)^9*Estacionalidad!M$13</f>
        <v>689220000</v>
      </c>
      <c r="CH17" s="37" t="n">
        <f aca="false">8205000000*(1+Supuestos!$C$36)^9*Estacionalidad!N$13</f>
        <v>664605000</v>
      </c>
      <c r="CI17" s="37" t="n">
        <f aca="false">8205000000*(1+Supuestos!$C$36)^10*Estacionalidad!C$13</f>
        <v>664605000</v>
      </c>
      <c r="CJ17" s="37" t="n">
        <f aca="false">8205000000*(1+Supuestos!$C$36)^10*Estacionalidad!D$13</f>
        <v>672810000</v>
      </c>
      <c r="CK17" s="37" t="n">
        <f aca="false">8205000000*(1+Supuestos!$C$36)^10*Estacionalidad!E$13</f>
        <v>689220000</v>
      </c>
      <c r="CL17" s="37" t="n">
        <f aca="false">8205000000*(1+Supuestos!$C$36)^10*Estacionalidad!F$13</f>
        <v>689220000</v>
      </c>
      <c r="CM17" s="37" t="n">
        <f aca="false">8205000000*(1+Supuestos!$C$36)^10*Estacionalidad!G$13</f>
        <v>689220000</v>
      </c>
      <c r="CN17" s="37" t="n">
        <f aca="false">8205000000*(1+Supuestos!$C$36)^10*Estacionalidad!H$13</f>
        <v>689220000</v>
      </c>
      <c r="CO17" s="37" t="n">
        <f aca="false">8205000000*(1+Supuestos!$C$36)^10*Estacionalidad!I$13</f>
        <v>689220000</v>
      </c>
      <c r="CP17" s="37" t="n">
        <f aca="false">8205000000*(1+Supuestos!$C$36)^10*Estacionalidad!J$13</f>
        <v>689220000</v>
      </c>
      <c r="CQ17" s="37" t="n">
        <f aca="false">8205000000*(1+Supuestos!$C$36)^10*Estacionalidad!K$13</f>
        <v>689220000</v>
      </c>
      <c r="CR17" s="37" t="n">
        <f aca="false">8205000000*(1+Supuestos!$C$36)^10*Estacionalidad!L$13</f>
        <v>689220000</v>
      </c>
      <c r="CS17" s="37" t="n">
        <f aca="false">8205000000*(1+Supuestos!$C$36)^10*Estacionalidad!M$13</f>
        <v>689220000</v>
      </c>
      <c r="CT17" s="37" t="n">
        <f aca="false">8205000000*(1+Supuestos!$C$36)^10*Estacionalidad!N$13</f>
        <v>664605000</v>
      </c>
    </row>
    <row r="18" customFormat="false" ht="15" hidden="false" customHeight="true" outlineLevel="0" collapsed="false">
      <c r="B18" s="15" t="s">
        <v>347</v>
      </c>
      <c r="C18" s="37" t="n">
        <f aca="false">170000000*(1+Supuestos!$C$36)^3*Estacionalidad!C$13+Programas!C$9*0.34</f>
        <v>64948488.0295917</v>
      </c>
      <c r="D18" s="37" t="n">
        <f aca="false">170000000*(1+Supuestos!$C$36)^3*Estacionalidad!D$13+Programas!D$9*0.34</f>
        <v>65118488.0295917</v>
      </c>
      <c r="E18" s="37" t="n">
        <f aca="false">170000000*(1+Supuestos!$C$36)^3*Estacionalidad!E$13+Programas!E$9*0.34</f>
        <v>65458488.0295917</v>
      </c>
      <c r="F18" s="37" t="n">
        <f aca="false">170000000*(1+Supuestos!$C$36)^3*Estacionalidad!F$13+Programas!F$9*0.34</f>
        <v>65458488.0295917</v>
      </c>
      <c r="G18" s="37" t="n">
        <f aca="false">170000000*(1+Supuestos!$C$36)^3*Estacionalidad!G$13+Programas!G$9*0.34</f>
        <v>65458488.0295917</v>
      </c>
      <c r="H18" s="37" t="n">
        <f aca="false">170000000*(1+Supuestos!$C$36)^3*Estacionalidad!H$13+Programas!H$9*0.34</f>
        <v>65458488.0295917</v>
      </c>
      <c r="I18" s="37" t="n">
        <f aca="false">170000000*(1+Supuestos!$C$36)^3*Estacionalidad!I$13+Programas!I$9*0.34</f>
        <v>65458488.0295917</v>
      </c>
      <c r="J18" s="37" t="n">
        <f aca="false">170000000*(1+Supuestos!$C$36)^3*Estacionalidad!J$13+Programas!J$9*0.34</f>
        <v>65458488.0295917</v>
      </c>
      <c r="K18" s="37" t="n">
        <f aca="false">170000000*(1+Supuestos!$C$36)^3*Estacionalidad!K$13+Programas!K$9*0.34</f>
        <v>65458488.0295917</v>
      </c>
      <c r="L18" s="37" t="n">
        <f aca="false">170000000*(1+Supuestos!$C$36)^3*Estacionalidad!L$13+Programas!L$9*0.34</f>
        <v>65458488.0295917</v>
      </c>
      <c r="M18" s="37" t="n">
        <f aca="false">170000000*(1+Supuestos!$C$36)^3*Estacionalidad!M$13+Programas!M$9*0.34</f>
        <v>65458488.0295917</v>
      </c>
      <c r="N18" s="37" t="n">
        <f aca="false">170000000*(1+Supuestos!$C$36)^3*Estacionalidad!N$13+Programas!N$9*0.34</f>
        <v>64948488.0295917</v>
      </c>
      <c r="O18" s="37" t="n">
        <f aca="false">170000000*(1+Supuestos!$C$36)^4*Estacionalidad!C$13+Programas!O$9*0.34</f>
        <v>116126976.059183</v>
      </c>
      <c r="P18" s="37" t="n">
        <f aca="false">170000000*(1+Supuestos!$C$36)^4*Estacionalidad!D$13+Programas!P$9*0.34</f>
        <v>116296976.059183</v>
      </c>
      <c r="Q18" s="37" t="n">
        <f aca="false">170000000*(1+Supuestos!$C$36)^4*Estacionalidad!E$13+Programas!Q$9*0.34</f>
        <v>116636976.059183</v>
      </c>
      <c r="R18" s="37" t="n">
        <f aca="false">170000000*(1+Supuestos!$C$36)^4*Estacionalidad!F$13+Programas!R$9*0.34</f>
        <v>116636976.059183</v>
      </c>
      <c r="S18" s="37" t="n">
        <f aca="false">170000000*(1+Supuestos!$C$36)^4*Estacionalidad!G$13+Programas!S$9*0.34</f>
        <v>116636976.059183</v>
      </c>
      <c r="T18" s="37" t="n">
        <f aca="false">170000000*(1+Supuestos!$C$36)^4*Estacionalidad!H$13+Programas!T$9*0.34</f>
        <v>116636976.059183</v>
      </c>
      <c r="U18" s="37" t="n">
        <f aca="false">170000000*(1+Supuestos!$C$36)^4*Estacionalidad!I$13+Programas!U$9*0.34</f>
        <v>116636976.059183</v>
      </c>
      <c r="V18" s="37" t="n">
        <f aca="false">170000000*(1+Supuestos!$C$36)^4*Estacionalidad!J$13+Programas!V$9*0.34</f>
        <v>116636976.059183</v>
      </c>
      <c r="W18" s="37" t="n">
        <f aca="false">170000000*(1+Supuestos!$C$36)^4*Estacionalidad!K$13+Programas!W$9*0.34</f>
        <v>116636976.059183</v>
      </c>
      <c r="X18" s="37" t="n">
        <f aca="false">170000000*(1+Supuestos!$C$36)^4*Estacionalidad!L$13+Programas!X$9*0.34</f>
        <v>116636976.059183</v>
      </c>
      <c r="Y18" s="37" t="n">
        <f aca="false">170000000*(1+Supuestos!$C$36)^4*Estacionalidad!M$13+Programas!Y$9*0.34</f>
        <v>116636976.059183</v>
      </c>
      <c r="Z18" s="37" t="n">
        <f aca="false">170000000*(1+Supuestos!$C$36)^4*Estacionalidad!N$13+Programas!Z$9*0.34</f>
        <v>116126976.059183</v>
      </c>
      <c r="AA18" s="37" t="n">
        <f aca="false">170000000*(1+Supuestos!$C$36)^5*Estacionalidad!C$13+Programas!AA$9*0.34</f>
        <v>167305464.088775</v>
      </c>
      <c r="AB18" s="37" t="n">
        <f aca="false">170000000*(1+Supuestos!$C$36)^5*Estacionalidad!D$13+Programas!AB$9*0.34</f>
        <v>167475464.088775</v>
      </c>
      <c r="AC18" s="37" t="n">
        <f aca="false">170000000*(1+Supuestos!$C$36)^5*Estacionalidad!E$13+Programas!AC$9*0.34</f>
        <v>167815464.088775</v>
      </c>
      <c r="AD18" s="37" t="n">
        <f aca="false">170000000*(1+Supuestos!$C$36)^5*Estacionalidad!F$13+Programas!AD$9*0.34</f>
        <v>167815464.088775</v>
      </c>
      <c r="AE18" s="37" t="n">
        <f aca="false">170000000*(1+Supuestos!$C$36)^5*Estacionalidad!G$13+Programas!AE$9*0.34</f>
        <v>167815464.088775</v>
      </c>
      <c r="AF18" s="37" t="n">
        <f aca="false">170000000*(1+Supuestos!$C$36)^5*Estacionalidad!H$13+Programas!AF$9*0.34</f>
        <v>167815464.088775</v>
      </c>
      <c r="AG18" s="37" t="n">
        <f aca="false">170000000*(1+Supuestos!$C$36)^5*Estacionalidad!I$13+Programas!AG$9*0.34</f>
        <v>167815464.088775</v>
      </c>
      <c r="AH18" s="37" t="n">
        <f aca="false">170000000*(1+Supuestos!$C$36)^5*Estacionalidad!J$13+Programas!AH$9*0.34</f>
        <v>167815464.088775</v>
      </c>
      <c r="AI18" s="37" t="n">
        <f aca="false">170000000*(1+Supuestos!$C$36)^5*Estacionalidad!K$13+Programas!AI$9*0.34</f>
        <v>167815464.088775</v>
      </c>
      <c r="AJ18" s="37" t="n">
        <f aca="false">170000000*(1+Supuestos!$C$36)^5*Estacionalidad!L$13+Programas!AJ$9*0.34</f>
        <v>167815464.088775</v>
      </c>
      <c r="AK18" s="37" t="n">
        <f aca="false">170000000*(1+Supuestos!$C$36)^5*Estacionalidad!M$13+Programas!AK$9*0.34</f>
        <v>167815464.088775</v>
      </c>
      <c r="AL18" s="37" t="n">
        <f aca="false">170000000*(1+Supuestos!$C$36)^5*Estacionalidad!N$13+Programas!AL$9*0.34</f>
        <v>167305464.088775</v>
      </c>
      <c r="AM18" s="37" t="n">
        <f aca="false">170000000*(1+Supuestos!$C$36)^6*Estacionalidad!C$13+Programas!AM$9*0.34</f>
        <v>218483952.118367</v>
      </c>
      <c r="AN18" s="37" t="n">
        <f aca="false">170000000*(1+Supuestos!$C$36)^6*Estacionalidad!D$13+Programas!AN$9*0.34</f>
        <v>218653952.118367</v>
      </c>
      <c r="AO18" s="37" t="n">
        <f aca="false">170000000*(1+Supuestos!$C$36)^6*Estacionalidad!E$13+Programas!AO$9*0.34</f>
        <v>218993952.118367</v>
      </c>
      <c r="AP18" s="37" t="n">
        <f aca="false">170000000*(1+Supuestos!$C$36)^6*Estacionalidad!F$13+Programas!AP$9*0.34</f>
        <v>218993952.118367</v>
      </c>
      <c r="AQ18" s="37" t="n">
        <f aca="false">170000000*(1+Supuestos!$C$36)^6*Estacionalidad!G$13+Programas!AQ$9*0.34</f>
        <v>218993952.118367</v>
      </c>
      <c r="AR18" s="37" t="n">
        <f aca="false">170000000*(1+Supuestos!$C$36)^6*Estacionalidad!H$13+Programas!AR$9*0.34</f>
        <v>218993952.118367</v>
      </c>
      <c r="AS18" s="37" t="n">
        <f aca="false">170000000*(1+Supuestos!$C$36)^6*Estacionalidad!I$13+Programas!AS$9*0.34</f>
        <v>218993952.118367</v>
      </c>
      <c r="AT18" s="37" t="n">
        <f aca="false">170000000*(1+Supuestos!$C$36)^6*Estacionalidad!J$13+Programas!AT$9*0.34</f>
        <v>218993952.118367</v>
      </c>
      <c r="AU18" s="37" t="n">
        <f aca="false">170000000*(1+Supuestos!$C$36)^6*Estacionalidad!K$13+Programas!AU$9*0.34</f>
        <v>218993952.118367</v>
      </c>
      <c r="AV18" s="37" t="n">
        <f aca="false">170000000*(1+Supuestos!$C$36)^6*Estacionalidad!L$13+Programas!AV$9*0.34</f>
        <v>218993952.118367</v>
      </c>
      <c r="AW18" s="37" t="n">
        <f aca="false">170000000*(1+Supuestos!$C$36)^6*Estacionalidad!M$13+Programas!AW$9*0.34</f>
        <v>218993952.118367</v>
      </c>
      <c r="AX18" s="37" t="n">
        <f aca="false">170000000*(1+Supuestos!$C$36)^6*Estacionalidad!N$13+Programas!AX$9*0.34</f>
        <v>218483952.118367</v>
      </c>
      <c r="AY18" s="37" t="n">
        <f aca="false">170000000*(1+Supuestos!$C$36)^7*Estacionalidad!C$13+Programas!AY$9*0.34</f>
        <v>218483952.118367</v>
      </c>
      <c r="AZ18" s="37" t="n">
        <f aca="false">170000000*(1+Supuestos!$C$36)^7*Estacionalidad!D$13+Programas!AZ$9*0.34</f>
        <v>218653952.118367</v>
      </c>
      <c r="BA18" s="37" t="n">
        <f aca="false">170000000*(1+Supuestos!$C$36)^7*Estacionalidad!E$13+Programas!BA$9*0.34</f>
        <v>218993952.118367</v>
      </c>
      <c r="BB18" s="37" t="n">
        <f aca="false">170000000*(1+Supuestos!$C$36)^7*Estacionalidad!F$13+Programas!BB$9*0.34</f>
        <v>218993952.118367</v>
      </c>
      <c r="BC18" s="37" t="n">
        <f aca="false">170000000*(1+Supuestos!$C$36)^7*Estacionalidad!G$13+Programas!BC$9*0.34</f>
        <v>218993952.118367</v>
      </c>
      <c r="BD18" s="37" t="n">
        <f aca="false">170000000*(1+Supuestos!$C$36)^7*Estacionalidad!H$13+Programas!BD$9*0.34</f>
        <v>218993952.118367</v>
      </c>
      <c r="BE18" s="37" t="n">
        <f aca="false">170000000*(1+Supuestos!$C$36)^7*Estacionalidad!I$13+Programas!BE$9*0.34</f>
        <v>218993952.118367</v>
      </c>
      <c r="BF18" s="37" t="n">
        <f aca="false">170000000*(1+Supuestos!$C$36)^7*Estacionalidad!J$13+Programas!BF$9*0.34</f>
        <v>218993952.118367</v>
      </c>
      <c r="BG18" s="37" t="n">
        <f aca="false">170000000*(1+Supuestos!$C$36)^7*Estacionalidad!K$13+Programas!BG$9*0.34</f>
        <v>218993952.118367</v>
      </c>
      <c r="BH18" s="37" t="n">
        <f aca="false">170000000*(1+Supuestos!$C$36)^7*Estacionalidad!L$13+Programas!BH$9*0.34</f>
        <v>218993952.118367</v>
      </c>
      <c r="BI18" s="37" t="n">
        <f aca="false">170000000*(1+Supuestos!$C$36)^7*Estacionalidad!M$13+Programas!BI$9*0.34</f>
        <v>218993952.118367</v>
      </c>
      <c r="BJ18" s="37" t="n">
        <f aca="false">170000000*(1+Supuestos!$C$36)^7*Estacionalidad!N$13+Programas!BJ$9*0.34</f>
        <v>218483952.118367</v>
      </c>
      <c r="BK18" s="37" t="n">
        <f aca="false">170000000*(1+Supuestos!$C$36)^8*Estacionalidad!C$13+Programas!BK$9*0.34</f>
        <v>218483952.118367</v>
      </c>
      <c r="BL18" s="37" t="n">
        <f aca="false">170000000*(1+Supuestos!$C$36)^8*Estacionalidad!D$13+Programas!BL$9*0.34</f>
        <v>218653952.118367</v>
      </c>
      <c r="BM18" s="37" t="n">
        <f aca="false">170000000*(1+Supuestos!$C$36)^8*Estacionalidad!E$13+Programas!BM$9*0.34</f>
        <v>218993952.118367</v>
      </c>
      <c r="BN18" s="37" t="n">
        <f aca="false">170000000*(1+Supuestos!$C$36)^8*Estacionalidad!F$13+Programas!BN$9*0.34</f>
        <v>218993952.118367</v>
      </c>
      <c r="BO18" s="37" t="n">
        <f aca="false">170000000*(1+Supuestos!$C$36)^8*Estacionalidad!G$13+Programas!BO$9*0.34</f>
        <v>218993952.118367</v>
      </c>
      <c r="BP18" s="37" t="n">
        <f aca="false">170000000*(1+Supuestos!$C$36)^8*Estacionalidad!H$13+Programas!BP$9*0.34</f>
        <v>218993952.118367</v>
      </c>
      <c r="BQ18" s="37" t="n">
        <f aca="false">170000000*(1+Supuestos!$C$36)^8*Estacionalidad!I$13+Programas!BQ$9*0.34</f>
        <v>218993952.118367</v>
      </c>
      <c r="BR18" s="37" t="n">
        <f aca="false">170000000*(1+Supuestos!$C$36)^8*Estacionalidad!J$13+Programas!BR$9*0.34</f>
        <v>218993952.118367</v>
      </c>
      <c r="BS18" s="37" t="n">
        <f aca="false">170000000*(1+Supuestos!$C$36)^8*Estacionalidad!K$13+Programas!BS$9*0.34</f>
        <v>218993952.118367</v>
      </c>
      <c r="BT18" s="37" t="n">
        <f aca="false">170000000*(1+Supuestos!$C$36)^8*Estacionalidad!L$13+Programas!BT$9*0.34</f>
        <v>218993952.118367</v>
      </c>
      <c r="BU18" s="37" t="n">
        <f aca="false">170000000*(1+Supuestos!$C$36)^8*Estacionalidad!M$13+Programas!BU$9*0.34</f>
        <v>218993952.118367</v>
      </c>
      <c r="BV18" s="37" t="n">
        <f aca="false">170000000*(1+Supuestos!$C$36)^8*Estacionalidad!N$13+Programas!BV$9*0.34</f>
        <v>218483952.118367</v>
      </c>
      <c r="BW18" s="37" t="n">
        <f aca="false">170000000*(1+Supuestos!$C$36)^9*Estacionalidad!C$13+Programas!BW$9*0.34</f>
        <v>218483952.118367</v>
      </c>
      <c r="BX18" s="37" t="n">
        <f aca="false">170000000*(1+Supuestos!$C$36)^9*Estacionalidad!D$13+Programas!BX$9*0.34</f>
        <v>218653952.118367</v>
      </c>
      <c r="BY18" s="37" t="n">
        <f aca="false">170000000*(1+Supuestos!$C$36)^9*Estacionalidad!E$13+Programas!BY$9*0.34</f>
        <v>218993952.118367</v>
      </c>
      <c r="BZ18" s="37" t="n">
        <f aca="false">170000000*(1+Supuestos!$C$36)^9*Estacionalidad!F$13+Programas!BZ$9*0.34</f>
        <v>218993952.118367</v>
      </c>
      <c r="CA18" s="37" t="n">
        <f aca="false">170000000*(1+Supuestos!$C$36)^9*Estacionalidad!G$13+Programas!CA$9*0.34</f>
        <v>218993952.118367</v>
      </c>
      <c r="CB18" s="37" t="n">
        <f aca="false">170000000*(1+Supuestos!$C$36)^9*Estacionalidad!H$13+Programas!CB$9*0.34</f>
        <v>218993952.118367</v>
      </c>
      <c r="CC18" s="37" t="n">
        <f aca="false">170000000*(1+Supuestos!$C$36)^9*Estacionalidad!I$13+Programas!CC$9*0.34</f>
        <v>218993952.118367</v>
      </c>
      <c r="CD18" s="37" t="n">
        <f aca="false">170000000*(1+Supuestos!$C$36)^9*Estacionalidad!J$13+Programas!CD$9*0.34</f>
        <v>218993952.118367</v>
      </c>
      <c r="CE18" s="37" t="n">
        <f aca="false">170000000*(1+Supuestos!$C$36)^9*Estacionalidad!K$13+Programas!CE$9*0.34</f>
        <v>218993952.118367</v>
      </c>
      <c r="CF18" s="37" t="n">
        <f aca="false">170000000*(1+Supuestos!$C$36)^9*Estacionalidad!L$13+Programas!CF$9*0.34</f>
        <v>218993952.118367</v>
      </c>
      <c r="CG18" s="37" t="n">
        <f aca="false">170000000*(1+Supuestos!$C$36)^9*Estacionalidad!M$13+Programas!CG$9*0.34</f>
        <v>218993952.118367</v>
      </c>
      <c r="CH18" s="37" t="n">
        <f aca="false">170000000*(1+Supuestos!$C$36)^9*Estacionalidad!N$13+Programas!CH$9*0.34</f>
        <v>218483952.118367</v>
      </c>
      <c r="CI18" s="37" t="n">
        <f aca="false">170000000*(1+Supuestos!$C$36)^10*Estacionalidad!C$13+Programas!CI$9*0.34</f>
        <v>218483952.118367</v>
      </c>
      <c r="CJ18" s="37" t="n">
        <f aca="false">170000000*(1+Supuestos!$C$36)^10*Estacionalidad!D$13+Programas!CJ$9*0.34</f>
        <v>218653952.118367</v>
      </c>
      <c r="CK18" s="37" t="n">
        <f aca="false">170000000*(1+Supuestos!$C$36)^10*Estacionalidad!E$13+Programas!CK$9*0.34</f>
        <v>218993952.118367</v>
      </c>
      <c r="CL18" s="37" t="n">
        <f aca="false">170000000*(1+Supuestos!$C$36)^10*Estacionalidad!F$13+Programas!CL$9*0.34</f>
        <v>218993952.118367</v>
      </c>
      <c r="CM18" s="37" t="n">
        <f aca="false">170000000*(1+Supuestos!$C$36)^10*Estacionalidad!G$13+Programas!CM$9*0.34</f>
        <v>218993952.118367</v>
      </c>
      <c r="CN18" s="37" t="n">
        <f aca="false">170000000*(1+Supuestos!$C$36)^10*Estacionalidad!H$13+Programas!CN$9*0.34</f>
        <v>218993952.118367</v>
      </c>
      <c r="CO18" s="37" t="n">
        <f aca="false">170000000*(1+Supuestos!$C$36)^10*Estacionalidad!I$13+Programas!CO$9*0.34</f>
        <v>218993952.118367</v>
      </c>
      <c r="CP18" s="37" t="n">
        <f aca="false">170000000*(1+Supuestos!$C$36)^10*Estacionalidad!J$13+Programas!CP$9*0.34</f>
        <v>218993952.118367</v>
      </c>
      <c r="CQ18" s="37" t="n">
        <f aca="false">170000000*(1+Supuestos!$C$36)^10*Estacionalidad!K$13+Programas!CQ$9*0.34</f>
        <v>218993952.118367</v>
      </c>
      <c r="CR18" s="37" t="n">
        <f aca="false">170000000*(1+Supuestos!$C$36)^10*Estacionalidad!L$13+Programas!CR$9*0.34</f>
        <v>218993952.118367</v>
      </c>
      <c r="CS18" s="37" t="n">
        <f aca="false">170000000*(1+Supuestos!$C$36)^10*Estacionalidad!M$13+Programas!CS$9*0.34</f>
        <v>218993952.118367</v>
      </c>
      <c r="CT18" s="37" t="n">
        <f aca="false">170000000*(1+Supuestos!$C$36)^10*Estacionalidad!N$13+Programas!CT$9*0.34</f>
        <v>218483952.118367</v>
      </c>
    </row>
    <row r="19" customFormat="false" ht="15" hidden="false" customHeight="true" outlineLevel="0" collapsed="false">
      <c r="B19" s="15" t="s">
        <v>348</v>
      </c>
      <c r="C19" s="37" t="n">
        <f aca="false">12336000000*(1+Supuestos!$C$36)^3*Estacionalidad!C$13+Programas!C$9*0.66</f>
        <v>1098562476.76333</v>
      </c>
      <c r="D19" s="37" t="n">
        <f aca="false">12336000000*(1+Supuestos!$C$36)^3*Estacionalidad!D$13+Programas!D$9*0.66</f>
        <v>1110898476.76333</v>
      </c>
      <c r="E19" s="37" t="n">
        <f aca="false">12336000000*(1+Supuestos!$C$36)^3*Estacionalidad!E$13+Programas!E$9*0.66</f>
        <v>1135570476.76333</v>
      </c>
      <c r="F19" s="37" t="n">
        <f aca="false">12336000000*(1+Supuestos!$C$36)^3*Estacionalidad!F$13+Programas!F$9*0.66</f>
        <v>1135570476.76333</v>
      </c>
      <c r="G19" s="37" t="n">
        <f aca="false">12336000000*(1+Supuestos!$C$36)^3*Estacionalidad!G$13+Programas!G$9*0.66</f>
        <v>1135570476.76333</v>
      </c>
      <c r="H19" s="37" t="n">
        <f aca="false">12336000000*(1+Supuestos!$C$36)^3*Estacionalidad!H$13+Programas!H$9*0.66</f>
        <v>1135570476.76333</v>
      </c>
      <c r="I19" s="37" t="n">
        <f aca="false">12336000000*(1+Supuestos!$C$36)^3*Estacionalidad!I$13+Programas!I$9*0.66</f>
        <v>1135570476.76333</v>
      </c>
      <c r="J19" s="37" t="n">
        <f aca="false">12336000000*(1+Supuestos!$C$36)^3*Estacionalidad!J$13+Programas!J$9*0.66</f>
        <v>1135570476.76333</v>
      </c>
      <c r="K19" s="37" t="n">
        <f aca="false">12336000000*(1+Supuestos!$C$36)^3*Estacionalidad!K$13+Programas!K$9*0.66</f>
        <v>1135570476.76333</v>
      </c>
      <c r="L19" s="37" t="n">
        <f aca="false">12336000000*(1+Supuestos!$C$36)^3*Estacionalidad!L$13+Programas!L$9*0.66</f>
        <v>1135570476.76333</v>
      </c>
      <c r="M19" s="37" t="n">
        <f aca="false">12336000000*(1+Supuestos!$C$36)^3*Estacionalidad!M$13+Programas!M$9*0.66</f>
        <v>1135570476.76333</v>
      </c>
      <c r="N19" s="37" t="n">
        <f aca="false">12336000000*(1+Supuestos!$C$36)^3*Estacionalidad!N$13+Programas!N$9*0.66</f>
        <v>1098562476.76333</v>
      </c>
      <c r="O19" s="37" t="n">
        <f aca="false">12336000000*(1+Supuestos!$C$36)^4*Estacionalidad!C$13+Programas!O$9*0.66</f>
        <v>1197908953.52665</v>
      </c>
      <c r="P19" s="37" t="n">
        <f aca="false">12336000000*(1+Supuestos!$C$36)^4*Estacionalidad!D$13+Programas!P$9*0.66</f>
        <v>1210244953.52665</v>
      </c>
      <c r="Q19" s="37" t="n">
        <f aca="false">12336000000*(1+Supuestos!$C$36)^4*Estacionalidad!E$13+Programas!Q$9*0.66</f>
        <v>1234916953.52665</v>
      </c>
      <c r="R19" s="37" t="n">
        <f aca="false">12336000000*(1+Supuestos!$C$36)^4*Estacionalidad!F$13+Programas!R$9*0.66</f>
        <v>1234916953.52665</v>
      </c>
      <c r="S19" s="37" t="n">
        <f aca="false">12336000000*(1+Supuestos!$C$36)^4*Estacionalidad!G$13+Programas!S$9*0.66</f>
        <v>1234916953.52665</v>
      </c>
      <c r="T19" s="37" t="n">
        <f aca="false">12336000000*(1+Supuestos!$C$36)^4*Estacionalidad!H$13+Programas!T$9*0.66</f>
        <v>1234916953.52665</v>
      </c>
      <c r="U19" s="37" t="n">
        <f aca="false">12336000000*(1+Supuestos!$C$36)^4*Estacionalidad!I$13+Programas!U$9*0.66</f>
        <v>1234916953.52665</v>
      </c>
      <c r="V19" s="37" t="n">
        <f aca="false">12336000000*(1+Supuestos!$C$36)^4*Estacionalidad!J$13+Programas!V$9*0.66</f>
        <v>1234916953.52665</v>
      </c>
      <c r="W19" s="37" t="n">
        <f aca="false">12336000000*(1+Supuestos!$C$36)^4*Estacionalidad!K$13+Programas!W$9*0.66</f>
        <v>1234916953.52665</v>
      </c>
      <c r="X19" s="37" t="n">
        <f aca="false">12336000000*(1+Supuestos!$C$36)^4*Estacionalidad!L$13+Programas!X$9*0.66</f>
        <v>1234916953.52665</v>
      </c>
      <c r="Y19" s="37" t="n">
        <f aca="false">12336000000*(1+Supuestos!$C$36)^4*Estacionalidad!M$13+Programas!Y$9*0.66</f>
        <v>1234916953.52665</v>
      </c>
      <c r="Z19" s="37" t="n">
        <f aca="false">12336000000*(1+Supuestos!$C$36)^4*Estacionalidad!N$13+Programas!Z$9*0.66</f>
        <v>1197908953.52665</v>
      </c>
      <c r="AA19" s="37" t="n">
        <f aca="false">12336000000*(1+Supuestos!$C$36)^5*Estacionalidad!C$13+Programas!AA$9*0.66</f>
        <v>1297255430.28998</v>
      </c>
      <c r="AB19" s="37" t="n">
        <f aca="false">12336000000*(1+Supuestos!$C$36)^5*Estacionalidad!D$13+Programas!AB$9*0.66</f>
        <v>1309591430.28998</v>
      </c>
      <c r="AC19" s="37" t="n">
        <f aca="false">12336000000*(1+Supuestos!$C$36)^5*Estacionalidad!E$13+Programas!AC$9*0.66</f>
        <v>1334263430.28998</v>
      </c>
      <c r="AD19" s="37" t="n">
        <f aca="false">12336000000*(1+Supuestos!$C$36)^5*Estacionalidad!F$13+Programas!AD$9*0.66</f>
        <v>1334263430.28998</v>
      </c>
      <c r="AE19" s="37" t="n">
        <f aca="false">12336000000*(1+Supuestos!$C$36)^5*Estacionalidad!G$13+Programas!AE$9*0.66</f>
        <v>1334263430.28998</v>
      </c>
      <c r="AF19" s="37" t="n">
        <f aca="false">12336000000*(1+Supuestos!$C$36)^5*Estacionalidad!H$13+Programas!AF$9*0.66</f>
        <v>1334263430.28998</v>
      </c>
      <c r="AG19" s="37" t="n">
        <f aca="false">12336000000*(1+Supuestos!$C$36)^5*Estacionalidad!I$13+Programas!AG$9*0.66</f>
        <v>1334263430.28998</v>
      </c>
      <c r="AH19" s="37" t="n">
        <f aca="false">12336000000*(1+Supuestos!$C$36)^5*Estacionalidad!J$13+Programas!AH$9*0.66</f>
        <v>1334263430.28998</v>
      </c>
      <c r="AI19" s="37" t="n">
        <f aca="false">12336000000*(1+Supuestos!$C$36)^5*Estacionalidad!K$13+Programas!AI$9*0.66</f>
        <v>1334263430.28998</v>
      </c>
      <c r="AJ19" s="37" t="n">
        <f aca="false">12336000000*(1+Supuestos!$C$36)^5*Estacionalidad!L$13+Programas!AJ$9*0.66</f>
        <v>1334263430.28998</v>
      </c>
      <c r="AK19" s="37" t="n">
        <f aca="false">12336000000*(1+Supuestos!$C$36)^5*Estacionalidad!M$13+Programas!AK$9*0.66</f>
        <v>1334263430.28998</v>
      </c>
      <c r="AL19" s="37" t="n">
        <f aca="false">12336000000*(1+Supuestos!$C$36)^5*Estacionalidad!N$13+Programas!AL$9*0.66</f>
        <v>1297255430.28998</v>
      </c>
      <c r="AM19" s="37" t="n">
        <f aca="false">12336000000*(1+Supuestos!$C$36)^6*Estacionalidad!C$13+Programas!AM$9*0.66</f>
        <v>1396601907.0533</v>
      </c>
      <c r="AN19" s="37" t="n">
        <f aca="false">12336000000*(1+Supuestos!$C$36)^6*Estacionalidad!D$13+Programas!AN$9*0.66</f>
        <v>1408937907.0533</v>
      </c>
      <c r="AO19" s="37" t="n">
        <f aca="false">12336000000*(1+Supuestos!$C$36)^6*Estacionalidad!E$13+Programas!AO$9*0.66</f>
        <v>1433609907.0533</v>
      </c>
      <c r="AP19" s="37" t="n">
        <f aca="false">12336000000*(1+Supuestos!$C$36)^6*Estacionalidad!F$13+Programas!AP$9*0.66</f>
        <v>1433609907.0533</v>
      </c>
      <c r="AQ19" s="37" t="n">
        <f aca="false">12336000000*(1+Supuestos!$C$36)^6*Estacionalidad!G$13+Programas!AQ$9*0.66</f>
        <v>1433609907.0533</v>
      </c>
      <c r="AR19" s="37" t="n">
        <f aca="false">12336000000*(1+Supuestos!$C$36)^6*Estacionalidad!H$13+Programas!AR$9*0.66</f>
        <v>1433609907.0533</v>
      </c>
      <c r="AS19" s="37" t="n">
        <f aca="false">12336000000*(1+Supuestos!$C$36)^6*Estacionalidad!I$13+Programas!AS$9*0.66</f>
        <v>1433609907.0533</v>
      </c>
      <c r="AT19" s="37" t="n">
        <f aca="false">12336000000*(1+Supuestos!$C$36)^6*Estacionalidad!J$13+Programas!AT$9*0.66</f>
        <v>1433609907.0533</v>
      </c>
      <c r="AU19" s="37" t="n">
        <f aca="false">12336000000*(1+Supuestos!$C$36)^6*Estacionalidad!K$13+Programas!AU$9*0.66</f>
        <v>1433609907.0533</v>
      </c>
      <c r="AV19" s="37" t="n">
        <f aca="false">12336000000*(1+Supuestos!$C$36)^6*Estacionalidad!L$13+Programas!AV$9*0.66</f>
        <v>1433609907.0533</v>
      </c>
      <c r="AW19" s="37" t="n">
        <f aca="false">12336000000*(1+Supuestos!$C$36)^6*Estacionalidad!M$13+Programas!AW$9*0.66</f>
        <v>1433609907.0533</v>
      </c>
      <c r="AX19" s="37" t="n">
        <f aca="false">12336000000*(1+Supuestos!$C$36)^6*Estacionalidad!N$13+Programas!AX$9*0.66</f>
        <v>1396601907.0533</v>
      </c>
      <c r="AY19" s="37" t="n">
        <f aca="false">12336000000*(1+Supuestos!$C$36)^7*Estacionalidad!C$13+Programas!AY$9*0.66</f>
        <v>1396601907.0533</v>
      </c>
      <c r="AZ19" s="37" t="n">
        <f aca="false">12336000000*(1+Supuestos!$C$36)^7*Estacionalidad!D$13+Programas!AZ$9*0.66</f>
        <v>1408937907.0533</v>
      </c>
      <c r="BA19" s="37" t="n">
        <f aca="false">12336000000*(1+Supuestos!$C$36)^7*Estacionalidad!E$13+Programas!BA$9*0.66</f>
        <v>1433609907.0533</v>
      </c>
      <c r="BB19" s="37" t="n">
        <f aca="false">12336000000*(1+Supuestos!$C$36)^7*Estacionalidad!F$13+Programas!BB$9*0.66</f>
        <v>1433609907.0533</v>
      </c>
      <c r="BC19" s="37" t="n">
        <f aca="false">12336000000*(1+Supuestos!$C$36)^7*Estacionalidad!G$13+Programas!BC$9*0.66</f>
        <v>1433609907.0533</v>
      </c>
      <c r="BD19" s="37" t="n">
        <f aca="false">12336000000*(1+Supuestos!$C$36)^7*Estacionalidad!H$13+Programas!BD$9*0.66</f>
        <v>1433609907.0533</v>
      </c>
      <c r="BE19" s="37" t="n">
        <f aca="false">12336000000*(1+Supuestos!$C$36)^7*Estacionalidad!I$13+Programas!BE$9*0.66</f>
        <v>1433609907.0533</v>
      </c>
      <c r="BF19" s="37" t="n">
        <f aca="false">12336000000*(1+Supuestos!$C$36)^7*Estacionalidad!J$13+Programas!BF$9*0.66</f>
        <v>1433609907.0533</v>
      </c>
      <c r="BG19" s="37" t="n">
        <f aca="false">12336000000*(1+Supuestos!$C$36)^7*Estacionalidad!K$13+Programas!BG$9*0.66</f>
        <v>1433609907.0533</v>
      </c>
      <c r="BH19" s="37" t="n">
        <f aca="false">12336000000*(1+Supuestos!$C$36)^7*Estacionalidad!L$13+Programas!BH$9*0.66</f>
        <v>1433609907.0533</v>
      </c>
      <c r="BI19" s="37" t="n">
        <f aca="false">12336000000*(1+Supuestos!$C$36)^7*Estacionalidad!M$13+Programas!BI$9*0.66</f>
        <v>1433609907.0533</v>
      </c>
      <c r="BJ19" s="37" t="n">
        <f aca="false">12336000000*(1+Supuestos!$C$36)^7*Estacionalidad!N$13+Programas!BJ$9*0.66</f>
        <v>1396601907.0533</v>
      </c>
      <c r="BK19" s="37" t="n">
        <f aca="false">12336000000*(1+Supuestos!$C$36)^8*Estacionalidad!C$13+Programas!BK$9*0.66</f>
        <v>1396601907.0533</v>
      </c>
      <c r="BL19" s="37" t="n">
        <f aca="false">12336000000*(1+Supuestos!$C$36)^8*Estacionalidad!D$13+Programas!BL$9*0.66</f>
        <v>1408937907.0533</v>
      </c>
      <c r="BM19" s="37" t="n">
        <f aca="false">12336000000*(1+Supuestos!$C$36)^8*Estacionalidad!E$13+Programas!BM$9*0.66</f>
        <v>1433609907.0533</v>
      </c>
      <c r="BN19" s="37" t="n">
        <f aca="false">12336000000*(1+Supuestos!$C$36)^8*Estacionalidad!F$13+Programas!BN$9*0.66</f>
        <v>1433609907.0533</v>
      </c>
      <c r="BO19" s="37" t="n">
        <f aca="false">12336000000*(1+Supuestos!$C$36)^8*Estacionalidad!G$13+Programas!BO$9*0.66</f>
        <v>1433609907.0533</v>
      </c>
      <c r="BP19" s="37" t="n">
        <f aca="false">12336000000*(1+Supuestos!$C$36)^8*Estacionalidad!H$13+Programas!BP$9*0.66</f>
        <v>1433609907.0533</v>
      </c>
      <c r="BQ19" s="37" t="n">
        <f aca="false">12336000000*(1+Supuestos!$C$36)^8*Estacionalidad!I$13+Programas!BQ$9*0.66</f>
        <v>1433609907.0533</v>
      </c>
      <c r="BR19" s="37" t="n">
        <f aca="false">12336000000*(1+Supuestos!$C$36)^8*Estacionalidad!J$13+Programas!BR$9*0.66</f>
        <v>1433609907.0533</v>
      </c>
      <c r="BS19" s="37" t="n">
        <f aca="false">12336000000*(1+Supuestos!$C$36)^8*Estacionalidad!K$13+Programas!BS$9*0.66</f>
        <v>1433609907.0533</v>
      </c>
      <c r="BT19" s="37" t="n">
        <f aca="false">12336000000*(1+Supuestos!$C$36)^8*Estacionalidad!L$13+Programas!BT$9*0.66</f>
        <v>1433609907.0533</v>
      </c>
      <c r="BU19" s="37" t="n">
        <f aca="false">12336000000*(1+Supuestos!$C$36)^8*Estacionalidad!M$13+Programas!BU$9*0.66</f>
        <v>1433609907.0533</v>
      </c>
      <c r="BV19" s="37" t="n">
        <f aca="false">12336000000*(1+Supuestos!$C$36)^8*Estacionalidad!N$13+Programas!BV$9*0.66</f>
        <v>1396601907.0533</v>
      </c>
      <c r="BW19" s="37" t="n">
        <f aca="false">12336000000*(1+Supuestos!$C$36)^9*Estacionalidad!C$13+Programas!BW$9*0.66</f>
        <v>1396601907.0533</v>
      </c>
      <c r="BX19" s="37" t="n">
        <f aca="false">12336000000*(1+Supuestos!$C$36)^9*Estacionalidad!D$13+Programas!BX$9*0.66</f>
        <v>1408937907.0533</v>
      </c>
      <c r="BY19" s="37" t="n">
        <f aca="false">12336000000*(1+Supuestos!$C$36)^9*Estacionalidad!E$13+Programas!BY$9*0.66</f>
        <v>1433609907.0533</v>
      </c>
      <c r="BZ19" s="37" t="n">
        <f aca="false">12336000000*(1+Supuestos!$C$36)^9*Estacionalidad!F$13+Programas!BZ$9*0.66</f>
        <v>1433609907.0533</v>
      </c>
      <c r="CA19" s="37" t="n">
        <f aca="false">12336000000*(1+Supuestos!$C$36)^9*Estacionalidad!G$13+Programas!CA$9*0.66</f>
        <v>1433609907.0533</v>
      </c>
      <c r="CB19" s="37" t="n">
        <f aca="false">12336000000*(1+Supuestos!$C$36)^9*Estacionalidad!H$13+Programas!CB$9*0.66</f>
        <v>1433609907.0533</v>
      </c>
      <c r="CC19" s="37" t="n">
        <f aca="false">12336000000*(1+Supuestos!$C$36)^9*Estacionalidad!I$13+Programas!CC$9*0.66</f>
        <v>1433609907.0533</v>
      </c>
      <c r="CD19" s="37" t="n">
        <f aca="false">12336000000*(1+Supuestos!$C$36)^9*Estacionalidad!J$13+Programas!CD$9*0.66</f>
        <v>1433609907.0533</v>
      </c>
      <c r="CE19" s="37" t="n">
        <f aca="false">12336000000*(1+Supuestos!$C$36)^9*Estacionalidad!K$13+Programas!CE$9*0.66</f>
        <v>1433609907.0533</v>
      </c>
      <c r="CF19" s="37" t="n">
        <f aca="false">12336000000*(1+Supuestos!$C$36)^9*Estacionalidad!L$13+Programas!CF$9*0.66</f>
        <v>1433609907.0533</v>
      </c>
      <c r="CG19" s="37" t="n">
        <f aca="false">12336000000*(1+Supuestos!$C$36)^9*Estacionalidad!M$13+Programas!CG$9*0.66</f>
        <v>1433609907.0533</v>
      </c>
      <c r="CH19" s="37" t="n">
        <f aca="false">12336000000*(1+Supuestos!$C$36)^9*Estacionalidad!N$13+Programas!CH$9*0.66</f>
        <v>1396601907.0533</v>
      </c>
      <c r="CI19" s="37" t="n">
        <f aca="false">12336000000*(1+Supuestos!$C$36)^10*Estacionalidad!C$13+Programas!CI$9*0.66</f>
        <v>1396601907.0533</v>
      </c>
      <c r="CJ19" s="37" t="n">
        <f aca="false">12336000000*(1+Supuestos!$C$36)^10*Estacionalidad!D$13+Programas!CJ$9*0.66</f>
        <v>1408937907.0533</v>
      </c>
      <c r="CK19" s="37" t="n">
        <f aca="false">12336000000*(1+Supuestos!$C$36)^10*Estacionalidad!E$13+Programas!CK$9*0.66</f>
        <v>1433609907.0533</v>
      </c>
      <c r="CL19" s="37" t="n">
        <f aca="false">12336000000*(1+Supuestos!$C$36)^10*Estacionalidad!F$13+Programas!CL$9*0.66</f>
        <v>1433609907.0533</v>
      </c>
      <c r="CM19" s="37" t="n">
        <f aca="false">12336000000*(1+Supuestos!$C$36)^10*Estacionalidad!G$13+Programas!CM$9*0.66</f>
        <v>1433609907.0533</v>
      </c>
      <c r="CN19" s="37" t="n">
        <f aca="false">12336000000*(1+Supuestos!$C$36)^10*Estacionalidad!H$13+Programas!CN$9*0.66</f>
        <v>1433609907.0533</v>
      </c>
      <c r="CO19" s="37" t="n">
        <f aca="false">12336000000*(1+Supuestos!$C$36)^10*Estacionalidad!I$13+Programas!CO$9*0.66</f>
        <v>1433609907.0533</v>
      </c>
      <c r="CP19" s="37" t="n">
        <f aca="false">12336000000*(1+Supuestos!$C$36)^10*Estacionalidad!J$13+Programas!CP$9*0.66</f>
        <v>1433609907.0533</v>
      </c>
      <c r="CQ19" s="37" t="n">
        <f aca="false">12336000000*(1+Supuestos!$C$36)^10*Estacionalidad!K$13+Programas!CQ$9*0.66</f>
        <v>1433609907.0533</v>
      </c>
      <c r="CR19" s="37" t="n">
        <f aca="false">12336000000*(1+Supuestos!$C$36)^10*Estacionalidad!L$13+Programas!CR$9*0.66</f>
        <v>1433609907.0533</v>
      </c>
      <c r="CS19" s="37" t="n">
        <f aca="false">12336000000*(1+Supuestos!$C$36)^10*Estacionalidad!M$13+Programas!CS$9*0.66</f>
        <v>1433609907.0533</v>
      </c>
      <c r="CT19" s="37" t="n">
        <f aca="false">12336000000*(1+Supuestos!$C$36)^10*Estacionalidad!N$13+Programas!CT$9*0.66</f>
        <v>1396601907.0533</v>
      </c>
    </row>
    <row r="20" customFormat="false" ht="15" hidden="false" customHeight="true" outlineLevel="0" collapsed="false">
      <c r="B20" s="15" t="s">
        <v>349</v>
      </c>
      <c r="C20" s="37" t="n">
        <f aca="false">3320000000*(1+Supuestos!$C$36)^3*Estacionalidad!C$13</f>
        <v>268920000</v>
      </c>
      <c r="D20" s="37" t="n">
        <f aca="false">3320000000*(1+Supuestos!$C$36)^3*Estacionalidad!D$13</f>
        <v>272240000</v>
      </c>
      <c r="E20" s="37" t="n">
        <f aca="false">3320000000*(1+Supuestos!$C$36)^3*Estacionalidad!E$13</f>
        <v>278880000</v>
      </c>
      <c r="F20" s="37" t="n">
        <f aca="false">3320000000*(1+Supuestos!$C$36)^3*Estacionalidad!F$13</f>
        <v>278880000</v>
      </c>
      <c r="G20" s="37" t="n">
        <f aca="false">3320000000*(1+Supuestos!$C$36)^3*Estacionalidad!G$13</f>
        <v>278880000</v>
      </c>
      <c r="H20" s="37" t="n">
        <f aca="false">3320000000*(1+Supuestos!$C$36)^3*Estacionalidad!H$13</f>
        <v>278880000</v>
      </c>
      <c r="I20" s="37" t="n">
        <f aca="false">3320000000*(1+Supuestos!$C$36)^3*Estacionalidad!I$13</f>
        <v>278880000</v>
      </c>
      <c r="J20" s="37" t="n">
        <f aca="false">3320000000*(1+Supuestos!$C$36)^3*Estacionalidad!J$13</f>
        <v>278880000</v>
      </c>
      <c r="K20" s="37" t="n">
        <f aca="false">3320000000*(1+Supuestos!$C$36)^3*Estacionalidad!K$13</f>
        <v>278880000</v>
      </c>
      <c r="L20" s="37" t="n">
        <f aca="false">3320000000*(1+Supuestos!$C$36)^3*Estacionalidad!L$13</f>
        <v>278880000</v>
      </c>
      <c r="M20" s="37" t="n">
        <f aca="false">3320000000*(1+Supuestos!$C$36)^3*Estacionalidad!M$13</f>
        <v>278880000</v>
      </c>
      <c r="N20" s="37" t="n">
        <f aca="false">3320000000*(1+Supuestos!$C$36)^3*Estacionalidad!N$13</f>
        <v>268920000</v>
      </c>
      <c r="O20" s="37" t="n">
        <f aca="false">3320000000*(1+Supuestos!$C$36)^4*Estacionalidad!C$13</f>
        <v>268920000</v>
      </c>
      <c r="P20" s="37" t="n">
        <f aca="false">3320000000*(1+Supuestos!$C$36)^4*Estacionalidad!D$13</f>
        <v>272240000</v>
      </c>
      <c r="Q20" s="37" t="n">
        <f aca="false">3320000000*(1+Supuestos!$C$36)^4*Estacionalidad!E$13</f>
        <v>278880000</v>
      </c>
      <c r="R20" s="37" t="n">
        <f aca="false">3320000000*(1+Supuestos!$C$36)^4*Estacionalidad!F$13</f>
        <v>278880000</v>
      </c>
      <c r="S20" s="37" t="n">
        <f aca="false">3320000000*(1+Supuestos!$C$36)^4*Estacionalidad!G$13</f>
        <v>278880000</v>
      </c>
      <c r="T20" s="37" t="n">
        <f aca="false">3320000000*(1+Supuestos!$C$36)^4*Estacionalidad!H$13</f>
        <v>278880000</v>
      </c>
      <c r="U20" s="37" t="n">
        <f aca="false">3320000000*(1+Supuestos!$C$36)^4*Estacionalidad!I$13</f>
        <v>278880000</v>
      </c>
      <c r="V20" s="37" t="n">
        <f aca="false">3320000000*(1+Supuestos!$C$36)^4*Estacionalidad!J$13</f>
        <v>278880000</v>
      </c>
      <c r="W20" s="37" t="n">
        <f aca="false">3320000000*(1+Supuestos!$C$36)^4*Estacionalidad!K$13</f>
        <v>278880000</v>
      </c>
      <c r="X20" s="37" t="n">
        <f aca="false">3320000000*(1+Supuestos!$C$36)^4*Estacionalidad!L$13</f>
        <v>278880000</v>
      </c>
      <c r="Y20" s="37" t="n">
        <f aca="false">3320000000*(1+Supuestos!$C$36)^4*Estacionalidad!M$13</f>
        <v>278880000</v>
      </c>
      <c r="Z20" s="37" t="n">
        <f aca="false">3320000000*(1+Supuestos!$C$36)^4*Estacionalidad!N$13</f>
        <v>268920000</v>
      </c>
      <c r="AA20" s="37" t="n">
        <f aca="false">3320000000*(1+Supuestos!$C$36)^5*Estacionalidad!C$13</f>
        <v>268920000</v>
      </c>
      <c r="AB20" s="37" t="n">
        <f aca="false">3320000000*(1+Supuestos!$C$36)^5*Estacionalidad!D$13</f>
        <v>272240000</v>
      </c>
      <c r="AC20" s="37" t="n">
        <f aca="false">3320000000*(1+Supuestos!$C$36)^5*Estacionalidad!E$13</f>
        <v>278880000</v>
      </c>
      <c r="AD20" s="37" t="n">
        <f aca="false">3320000000*(1+Supuestos!$C$36)^5*Estacionalidad!F$13</f>
        <v>278880000</v>
      </c>
      <c r="AE20" s="37" t="n">
        <f aca="false">3320000000*(1+Supuestos!$C$36)^5*Estacionalidad!G$13</f>
        <v>278880000</v>
      </c>
      <c r="AF20" s="37" t="n">
        <f aca="false">3320000000*(1+Supuestos!$C$36)^5*Estacionalidad!H$13</f>
        <v>278880000</v>
      </c>
      <c r="AG20" s="37" t="n">
        <f aca="false">3320000000*(1+Supuestos!$C$36)^5*Estacionalidad!I$13</f>
        <v>278880000</v>
      </c>
      <c r="AH20" s="37" t="n">
        <f aca="false">3320000000*(1+Supuestos!$C$36)^5*Estacionalidad!J$13</f>
        <v>278880000</v>
      </c>
      <c r="AI20" s="37" t="n">
        <f aca="false">3320000000*(1+Supuestos!$C$36)^5*Estacionalidad!K$13</f>
        <v>278880000</v>
      </c>
      <c r="AJ20" s="37" t="n">
        <f aca="false">3320000000*(1+Supuestos!$C$36)^5*Estacionalidad!L$13</f>
        <v>278880000</v>
      </c>
      <c r="AK20" s="37" t="n">
        <f aca="false">3320000000*(1+Supuestos!$C$36)^5*Estacionalidad!M$13</f>
        <v>278880000</v>
      </c>
      <c r="AL20" s="37" t="n">
        <f aca="false">3320000000*(1+Supuestos!$C$36)^5*Estacionalidad!N$13</f>
        <v>268920000</v>
      </c>
      <c r="AM20" s="37" t="n">
        <f aca="false">3320000000*(1+Supuestos!$C$36)^6*Estacionalidad!C$13</f>
        <v>268920000</v>
      </c>
      <c r="AN20" s="37" t="n">
        <f aca="false">3320000000*(1+Supuestos!$C$36)^6*Estacionalidad!D$13</f>
        <v>272240000</v>
      </c>
      <c r="AO20" s="37" t="n">
        <f aca="false">3320000000*(1+Supuestos!$C$36)^6*Estacionalidad!E$13</f>
        <v>278880000</v>
      </c>
      <c r="AP20" s="37" t="n">
        <f aca="false">3320000000*(1+Supuestos!$C$36)^6*Estacionalidad!F$13</f>
        <v>278880000</v>
      </c>
      <c r="AQ20" s="37" t="n">
        <f aca="false">3320000000*(1+Supuestos!$C$36)^6*Estacionalidad!G$13</f>
        <v>278880000</v>
      </c>
      <c r="AR20" s="37" t="n">
        <f aca="false">3320000000*(1+Supuestos!$C$36)^6*Estacionalidad!H$13</f>
        <v>278880000</v>
      </c>
      <c r="AS20" s="37" t="n">
        <f aca="false">3320000000*(1+Supuestos!$C$36)^6*Estacionalidad!I$13</f>
        <v>278880000</v>
      </c>
      <c r="AT20" s="37" t="n">
        <f aca="false">3320000000*(1+Supuestos!$C$36)^6*Estacionalidad!J$13</f>
        <v>278880000</v>
      </c>
      <c r="AU20" s="37" t="n">
        <f aca="false">3320000000*(1+Supuestos!$C$36)^6*Estacionalidad!K$13</f>
        <v>278880000</v>
      </c>
      <c r="AV20" s="37" t="n">
        <f aca="false">3320000000*(1+Supuestos!$C$36)^6*Estacionalidad!L$13</f>
        <v>278880000</v>
      </c>
      <c r="AW20" s="37" t="n">
        <f aca="false">3320000000*(1+Supuestos!$C$36)^6*Estacionalidad!M$13</f>
        <v>278880000</v>
      </c>
      <c r="AX20" s="37" t="n">
        <f aca="false">3320000000*(1+Supuestos!$C$36)^6*Estacionalidad!N$13</f>
        <v>268920000</v>
      </c>
      <c r="AY20" s="37" t="n">
        <f aca="false">3320000000*(1+Supuestos!$C$36)^7*Estacionalidad!C$13</f>
        <v>268920000</v>
      </c>
      <c r="AZ20" s="37" t="n">
        <f aca="false">3320000000*(1+Supuestos!$C$36)^7*Estacionalidad!D$13</f>
        <v>272240000</v>
      </c>
      <c r="BA20" s="37" t="n">
        <f aca="false">3320000000*(1+Supuestos!$C$36)^7*Estacionalidad!E$13</f>
        <v>278880000</v>
      </c>
      <c r="BB20" s="37" t="n">
        <f aca="false">3320000000*(1+Supuestos!$C$36)^7*Estacionalidad!F$13</f>
        <v>278880000</v>
      </c>
      <c r="BC20" s="37" t="n">
        <f aca="false">3320000000*(1+Supuestos!$C$36)^7*Estacionalidad!G$13</f>
        <v>278880000</v>
      </c>
      <c r="BD20" s="37" t="n">
        <f aca="false">3320000000*(1+Supuestos!$C$36)^7*Estacionalidad!H$13</f>
        <v>278880000</v>
      </c>
      <c r="BE20" s="37" t="n">
        <f aca="false">3320000000*(1+Supuestos!$C$36)^7*Estacionalidad!I$13</f>
        <v>278880000</v>
      </c>
      <c r="BF20" s="37" t="n">
        <f aca="false">3320000000*(1+Supuestos!$C$36)^7*Estacionalidad!J$13</f>
        <v>278880000</v>
      </c>
      <c r="BG20" s="37" t="n">
        <f aca="false">3320000000*(1+Supuestos!$C$36)^7*Estacionalidad!K$13</f>
        <v>278880000</v>
      </c>
      <c r="BH20" s="37" t="n">
        <f aca="false">3320000000*(1+Supuestos!$C$36)^7*Estacionalidad!L$13</f>
        <v>278880000</v>
      </c>
      <c r="BI20" s="37" t="n">
        <f aca="false">3320000000*(1+Supuestos!$C$36)^7*Estacionalidad!M$13</f>
        <v>278880000</v>
      </c>
      <c r="BJ20" s="37" t="n">
        <f aca="false">3320000000*(1+Supuestos!$C$36)^7*Estacionalidad!N$13</f>
        <v>268920000</v>
      </c>
      <c r="BK20" s="37" t="n">
        <f aca="false">3320000000*(1+Supuestos!$C$36)^8*Estacionalidad!C$13</f>
        <v>268920000</v>
      </c>
      <c r="BL20" s="37" t="n">
        <f aca="false">3320000000*(1+Supuestos!$C$36)^8*Estacionalidad!D$13</f>
        <v>272240000</v>
      </c>
      <c r="BM20" s="37" t="n">
        <f aca="false">3320000000*(1+Supuestos!$C$36)^8*Estacionalidad!E$13</f>
        <v>278880000</v>
      </c>
      <c r="BN20" s="37" t="n">
        <f aca="false">3320000000*(1+Supuestos!$C$36)^8*Estacionalidad!F$13</f>
        <v>278880000</v>
      </c>
      <c r="BO20" s="37" t="n">
        <f aca="false">3320000000*(1+Supuestos!$C$36)^8*Estacionalidad!G$13</f>
        <v>278880000</v>
      </c>
      <c r="BP20" s="37" t="n">
        <f aca="false">3320000000*(1+Supuestos!$C$36)^8*Estacionalidad!H$13</f>
        <v>278880000</v>
      </c>
      <c r="BQ20" s="37" t="n">
        <f aca="false">3320000000*(1+Supuestos!$C$36)^8*Estacionalidad!I$13</f>
        <v>278880000</v>
      </c>
      <c r="BR20" s="37" t="n">
        <f aca="false">3320000000*(1+Supuestos!$C$36)^8*Estacionalidad!J$13</f>
        <v>278880000</v>
      </c>
      <c r="BS20" s="37" t="n">
        <f aca="false">3320000000*(1+Supuestos!$C$36)^8*Estacionalidad!K$13</f>
        <v>278880000</v>
      </c>
      <c r="BT20" s="37" t="n">
        <f aca="false">3320000000*(1+Supuestos!$C$36)^8*Estacionalidad!L$13</f>
        <v>278880000</v>
      </c>
      <c r="BU20" s="37" t="n">
        <f aca="false">3320000000*(1+Supuestos!$C$36)^8*Estacionalidad!M$13</f>
        <v>278880000</v>
      </c>
      <c r="BV20" s="37" t="n">
        <f aca="false">3320000000*(1+Supuestos!$C$36)^8*Estacionalidad!N$13</f>
        <v>268920000</v>
      </c>
      <c r="BW20" s="37" t="n">
        <f aca="false">3320000000*(1+Supuestos!$C$36)^9*Estacionalidad!C$13</f>
        <v>268920000</v>
      </c>
      <c r="BX20" s="37" t="n">
        <f aca="false">3320000000*(1+Supuestos!$C$36)^9*Estacionalidad!D$13</f>
        <v>272240000</v>
      </c>
      <c r="BY20" s="37" t="n">
        <f aca="false">3320000000*(1+Supuestos!$C$36)^9*Estacionalidad!E$13</f>
        <v>278880000</v>
      </c>
      <c r="BZ20" s="37" t="n">
        <f aca="false">3320000000*(1+Supuestos!$C$36)^9*Estacionalidad!F$13</f>
        <v>278880000</v>
      </c>
      <c r="CA20" s="37" t="n">
        <f aca="false">3320000000*(1+Supuestos!$C$36)^9*Estacionalidad!G$13</f>
        <v>278880000</v>
      </c>
      <c r="CB20" s="37" t="n">
        <f aca="false">3320000000*(1+Supuestos!$C$36)^9*Estacionalidad!H$13</f>
        <v>278880000</v>
      </c>
      <c r="CC20" s="37" t="n">
        <f aca="false">3320000000*(1+Supuestos!$C$36)^9*Estacionalidad!I$13</f>
        <v>278880000</v>
      </c>
      <c r="CD20" s="37" t="n">
        <f aca="false">3320000000*(1+Supuestos!$C$36)^9*Estacionalidad!J$13</f>
        <v>278880000</v>
      </c>
      <c r="CE20" s="37" t="n">
        <f aca="false">3320000000*(1+Supuestos!$C$36)^9*Estacionalidad!K$13</f>
        <v>278880000</v>
      </c>
      <c r="CF20" s="37" t="n">
        <f aca="false">3320000000*(1+Supuestos!$C$36)^9*Estacionalidad!L$13</f>
        <v>278880000</v>
      </c>
      <c r="CG20" s="37" t="n">
        <f aca="false">3320000000*(1+Supuestos!$C$36)^9*Estacionalidad!M$13</f>
        <v>278880000</v>
      </c>
      <c r="CH20" s="37" t="n">
        <f aca="false">3320000000*(1+Supuestos!$C$36)^9*Estacionalidad!N$13</f>
        <v>268920000</v>
      </c>
      <c r="CI20" s="37" t="n">
        <f aca="false">3320000000*(1+Supuestos!$C$36)^10*Estacionalidad!C$13</f>
        <v>268920000</v>
      </c>
      <c r="CJ20" s="37" t="n">
        <f aca="false">3320000000*(1+Supuestos!$C$36)^10*Estacionalidad!D$13</f>
        <v>272240000</v>
      </c>
      <c r="CK20" s="37" t="n">
        <f aca="false">3320000000*(1+Supuestos!$C$36)^10*Estacionalidad!E$13</f>
        <v>278880000</v>
      </c>
      <c r="CL20" s="37" t="n">
        <f aca="false">3320000000*(1+Supuestos!$C$36)^10*Estacionalidad!F$13</f>
        <v>278880000</v>
      </c>
      <c r="CM20" s="37" t="n">
        <f aca="false">3320000000*(1+Supuestos!$C$36)^10*Estacionalidad!G$13</f>
        <v>278880000</v>
      </c>
      <c r="CN20" s="37" t="n">
        <f aca="false">3320000000*(1+Supuestos!$C$36)^10*Estacionalidad!H$13</f>
        <v>278880000</v>
      </c>
      <c r="CO20" s="37" t="n">
        <f aca="false">3320000000*(1+Supuestos!$C$36)^10*Estacionalidad!I$13</f>
        <v>278880000</v>
      </c>
      <c r="CP20" s="37" t="n">
        <f aca="false">3320000000*(1+Supuestos!$C$36)^10*Estacionalidad!J$13</f>
        <v>278880000</v>
      </c>
      <c r="CQ20" s="37" t="n">
        <f aca="false">3320000000*(1+Supuestos!$C$36)^10*Estacionalidad!K$13</f>
        <v>278880000</v>
      </c>
      <c r="CR20" s="37" t="n">
        <f aca="false">3320000000*(1+Supuestos!$C$36)^10*Estacionalidad!L$13</f>
        <v>278880000</v>
      </c>
      <c r="CS20" s="37" t="n">
        <f aca="false">3320000000*(1+Supuestos!$C$36)^10*Estacionalidad!M$13</f>
        <v>278880000</v>
      </c>
      <c r="CT20" s="37" t="n">
        <f aca="false">3320000000*(1+Supuestos!$C$36)^10*Estacionalidad!N$13</f>
        <v>268920000</v>
      </c>
    </row>
    <row r="21" customFormat="false" ht="15" hidden="false" customHeight="true" outlineLevel="0" collapsed="false">
      <c r="B21" s="15" t="s">
        <v>350</v>
      </c>
      <c r="C21" s="37" t="n">
        <f aca="false">70310000000*(1+Supuestos!$C$36)^3*Estacionalidad!C$13</f>
        <v>5695110000</v>
      </c>
      <c r="D21" s="37" t="n">
        <f aca="false">70310000000*(1+Supuestos!$C$36)^3*Estacionalidad!D$13</f>
        <v>5765420000</v>
      </c>
      <c r="E21" s="37" t="n">
        <f aca="false">70310000000*(1+Supuestos!$C$36)^3*Estacionalidad!E$13</f>
        <v>5906040000</v>
      </c>
      <c r="F21" s="37" t="n">
        <f aca="false">70310000000*(1+Supuestos!$C$36)^3*Estacionalidad!F$13</f>
        <v>5906040000</v>
      </c>
      <c r="G21" s="37" t="n">
        <f aca="false">70310000000*(1+Supuestos!$C$36)^3*Estacionalidad!G$13</f>
        <v>5906040000</v>
      </c>
      <c r="H21" s="37" t="n">
        <f aca="false">70310000000*(1+Supuestos!$C$36)^3*Estacionalidad!H$13</f>
        <v>5906040000</v>
      </c>
      <c r="I21" s="37" t="n">
        <f aca="false">70310000000*(1+Supuestos!$C$36)^3*Estacionalidad!I$13</f>
        <v>5906040000</v>
      </c>
      <c r="J21" s="37" t="n">
        <f aca="false">70310000000*(1+Supuestos!$C$36)^3*Estacionalidad!J$13</f>
        <v>5906040000</v>
      </c>
      <c r="K21" s="37" t="n">
        <f aca="false">70310000000*(1+Supuestos!$C$36)^3*Estacionalidad!K$13</f>
        <v>5906040000</v>
      </c>
      <c r="L21" s="37" t="n">
        <f aca="false">70310000000*(1+Supuestos!$C$36)^3*Estacionalidad!L$13</f>
        <v>5906040000</v>
      </c>
      <c r="M21" s="37" t="n">
        <f aca="false">70310000000*(1+Supuestos!$C$36)^3*Estacionalidad!M$13</f>
        <v>5906040000</v>
      </c>
      <c r="N21" s="37" t="n">
        <f aca="false">70310000000*(1+Supuestos!$C$36)^3*Estacionalidad!N$13</f>
        <v>5695110000</v>
      </c>
      <c r="O21" s="37" t="n">
        <f aca="false">70310000000*(1+Supuestos!$C$36)^4*Estacionalidad!C$13</f>
        <v>5695110000</v>
      </c>
      <c r="P21" s="37" t="n">
        <f aca="false">70310000000*(1+Supuestos!$C$36)^4*Estacionalidad!D$13</f>
        <v>5765420000</v>
      </c>
      <c r="Q21" s="37" t="n">
        <f aca="false">70310000000*(1+Supuestos!$C$36)^4*Estacionalidad!E$13</f>
        <v>5906040000</v>
      </c>
      <c r="R21" s="37" t="n">
        <f aca="false">70310000000*(1+Supuestos!$C$36)^4*Estacionalidad!F$13</f>
        <v>5906040000</v>
      </c>
      <c r="S21" s="37" t="n">
        <f aca="false">70310000000*(1+Supuestos!$C$36)^4*Estacionalidad!G$13</f>
        <v>5906040000</v>
      </c>
      <c r="T21" s="37" t="n">
        <f aca="false">70310000000*(1+Supuestos!$C$36)^4*Estacionalidad!H$13</f>
        <v>5906040000</v>
      </c>
      <c r="U21" s="37" t="n">
        <f aca="false">70310000000*(1+Supuestos!$C$36)^4*Estacionalidad!I$13</f>
        <v>5906040000</v>
      </c>
      <c r="V21" s="37" t="n">
        <f aca="false">70310000000*(1+Supuestos!$C$36)^4*Estacionalidad!J$13</f>
        <v>5906040000</v>
      </c>
      <c r="W21" s="37" t="n">
        <f aca="false">70310000000*(1+Supuestos!$C$36)^4*Estacionalidad!K$13</f>
        <v>5906040000</v>
      </c>
      <c r="X21" s="37" t="n">
        <f aca="false">70310000000*(1+Supuestos!$C$36)^4*Estacionalidad!L$13</f>
        <v>5906040000</v>
      </c>
      <c r="Y21" s="37" t="n">
        <f aca="false">70310000000*(1+Supuestos!$C$36)^4*Estacionalidad!M$13</f>
        <v>5906040000</v>
      </c>
      <c r="Z21" s="37" t="n">
        <f aca="false">70310000000*(1+Supuestos!$C$36)^4*Estacionalidad!N$13</f>
        <v>5695110000</v>
      </c>
      <c r="AA21" s="37" t="n">
        <f aca="false">70310000000*(1+Supuestos!$C$36)^5*Estacionalidad!C$13</f>
        <v>5695110000</v>
      </c>
      <c r="AB21" s="37" t="n">
        <f aca="false">70310000000*(1+Supuestos!$C$36)^5*Estacionalidad!D$13</f>
        <v>5765420000</v>
      </c>
      <c r="AC21" s="37" t="n">
        <f aca="false">70310000000*(1+Supuestos!$C$36)^5*Estacionalidad!E$13</f>
        <v>5906040000</v>
      </c>
      <c r="AD21" s="37" t="n">
        <f aca="false">70310000000*(1+Supuestos!$C$36)^5*Estacionalidad!F$13</f>
        <v>5906040000</v>
      </c>
      <c r="AE21" s="37" t="n">
        <f aca="false">70310000000*(1+Supuestos!$C$36)^5*Estacionalidad!G$13</f>
        <v>5906040000</v>
      </c>
      <c r="AF21" s="37" t="n">
        <f aca="false">70310000000*(1+Supuestos!$C$36)^5*Estacionalidad!H$13</f>
        <v>5906040000</v>
      </c>
      <c r="AG21" s="37" t="n">
        <f aca="false">70310000000*(1+Supuestos!$C$36)^5*Estacionalidad!I$13</f>
        <v>5906040000</v>
      </c>
      <c r="AH21" s="37" t="n">
        <f aca="false">70310000000*(1+Supuestos!$C$36)^5*Estacionalidad!J$13</f>
        <v>5906040000</v>
      </c>
      <c r="AI21" s="37" t="n">
        <f aca="false">70310000000*(1+Supuestos!$C$36)^5*Estacionalidad!K$13</f>
        <v>5906040000</v>
      </c>
      <c r="AJ21" s="37" t="n">
        <f aca="false">70310000000*(1+Supuestos!$C$36)^5*Estacionalidad!L$13</f>
        <v>5906040000</v>
      </c>
      <c r="AK21" s="37" t="n">
        <f aca="false">70310000000*(1+Supuestos!$C$36)^5*Estacionalidad!M$13</f>
        <v>5906040000</v>
      </c>
      <c r="AL21" s="37" t="n">
        <f aca="false">70310000000*(1+Supuestos!$C$36)^5*Estacionalidad!N$13</f>
        <v>5695110000</v>
      </c>
      <c r="AM21" s="37" t="n">
        <f aca="false">70310000000*(1+Supuestos!$C$36)^6*Estacionalidad!C$13</f>
        <v>5695110000</v>
      </c>
      <c r="AN21" s="37" t="n">
        <f aca="false">70310000000*(1+Supuestos!$C$36)^6*Estacionalidad!D$13</f>
        <v>5765420000</v>
      </c>
      <c r="AO21" s="37" t="n">
        <f aca="false">70310000000*(1+Supuestos!$C$36)^6*Estacionalidad!E$13</f>
        <v>5906040000</v>
      </c>
      <c r="AP21" s="37" t="n">
        <f aca="false">70310000000*(1+Supuestos!$C$36)^6*Estacionalidad!F$13</f>
        <v>5906040000</v>
      </c>
      <c r="AQ21" s="37" t="n">
        <f aca="false">70310000000*(1+Supuestos!$C$36)^6*Estacionalidad!G$13</f>
        <v>5906040000</v>
      </c>
      <c r="AR21" s="37" t="n">
        <f aca="false">70310000000*(1+Supuestos!$C$36)^6*Estacionalidad!H$13</f>
        <v>5906040000</v>
      </c>
      <c r="AS21" s="37" t="n">
        <f aca="false">70310000000*(1+Supuestos!$C$36)^6*Estacionalidad!I$13</f>
        <v>5906040000</v>
      </c>
      <c r="AT21" s="37" t="n">
        <f aca="false">70310000000*(1+Supuestos!$C$36)^6*Estacionalidad!J$13</f>
        <v>5906040000</v>
      </c>
      <c r="AU21" s="37" t="n">
        <f aca="false">70310000000*(1+Supuestos!$C$36)^6*Estacionalidad!K$13</f>
        <v>5906040000</v>
      </c>
      <c r="AV21" s="37" t="n">
        <f aca="false">70310000000*(1+Supuestos!$C$36)^6*Estacionalidad!L$13</f>
        <v>5906040000</v>
      </c>
      <c r="AW21" s="37" t="n">
        <f aca="false">70310000000*(1+Supuestos!$C$36)^6*Estacionalidad!M$13</f>
        <v>5906040000</v>
      </c>
      <c r="AX21" s="37" t="n">
        <f aca="false">70310000000*(1+Supuestos!$C$36)^6*Estacionalidad!N$13</f>
        <v>5695110000</v>
      </c>
      <c r="AY21" s="37" t="n">
        <f aca="false">70310000000*(1+Supuestos!$C$36)^7*Estacionalidad!C$13</f>
        <v>5695110000</v>
      </c>
      <c r="AZ21" s="37" t="n">
        <f aca="false">70310000000*(1+Supuestos!$C$36)^7*Estacionalidad!D$13</f>
        <v>5765420000</v>
      </c>
      <c r="BA21" s="37" t="n">
        <f aca="false">70310000000*(1+Supuestos!$C$36)^7*Estacionalidad!E$13</f>
        <v>5906040000</v>
      </c>
      <c r="BB21" s="37" t="n">
        <f aca="false">70310000000*(1+Supuestos!$C$36)^7*Estacionalidad!F$13</f>
        <v>5906040000</v>
      </c>
      <c r="BC21" s="37" t="n">
        <f aca="false">70310000000*(1+Supuestos!$C$36)^7*Estacionalidad!G$13</f>
        <v>5906040000</v>
      </c>
      <c r="BD21" s="37" t="n">
        <f aca="false">70310000000*(1+Supuestos!$C$36)^7*Estacionalidad!H$13</f>
        <v>5906040000</v>
      </c>
      <c r="BE21" s="37" t="n">
        <f aca="false">70310000000*(1+Supuestos!$C$36)^7*Estacionalidad!I$13</f>
        <v>5906040000</v>
      </c>
      <c r="BF21" s="37" t="n">
        <f aca="false">70310000000*(1+Supuestos!$C$36)^7*Estacionalidad!J$13</f>
        <v>5906040000</v>
      </c>
      <c r="BG21" s="37" t="n">
        <f aca="false">70310000000*(1+Supuestos!$C$36)^7*Estacionalidad!K$13</f>
        <v>5906040000</v>
      </c>
      <c r="BH21" s="37" t="n">
        <f aca="false">70310000000*(1+Supuestos!$C$36)^7*Estacionalidad!L$13</f>
        <v>5906040000</v>
      </c>
      <c r="BI21" s="37" t="n">
        <f aca="false">70310000000*(1+Supuestos!$C$36)^7*Estacionalidad!M$13</f>
        <v>5906040000</v>
      </c>
      <c r="BJ21" s="37" t="n">
        <f aca="false">70310000000*(1+Supuestos!$C$36)^7*Estacionalidad!N$13</f>
        <v>5695110000</v>
      </c>
      <c r="BK21" s="37" t="n">
        <f aca="false">70310000000*(1+Supuestos!$C$36)^8*Estacionalidad!C$13</f>
        <v>5695110000</v>
      </c>
      <c r="BL21" s="37" t="n">
        <f aca="false">70310000000*(1+Supuestos!$C$36)^8*Estacionalidad!D$13</f>
        <v>5765420000</v>
      </c>
      <c r="BM21" s="37" t="n">
        <f aca="false">70310000000*(1+Supuestos!$C$36)^8*Estacionalidad!E$13</f>
        <v>5906040000</v>
      </c>
      <c r="BN21" s="37" t="n">
        <f aca="false">70310000000*(1+Supuestos!$C$36)^8*Estacionalidad!F$13</f>
        <v>5906040000</v>
      </c>
      <c r="BO21" s="37" t="n">
        <f aca="false">70310000000*(1+Supuestos!$C$36)^8*Estacionalidad!G$13</f>
        <v>5906040000</v>
      </c>
      <c r="BP21" s="37" t="n">
        <f aca="false">70310000000*(1+Supuestos!$C$36)^8*Estacionalidad!H$13</f>
        <v>5906040000</v>
      </c>
      <c r="BQ21" s="37" t="n">
        <f aca="false">70310000000*(1+Supuestos!$C$36)^8*Estacionalidad!I$13</f>
        <v>5906040000</v>
      </c>
      <c r="BR21" s="37" t="n">
        <f aca="false">70310000000*(1+Supuestos!$C$36)^8*Estacionalidad!J$13</f>
        <v>5906040000</v>
      </c>
      <c r="BS21" s="37" t="n">
        <f aca="false">70310000000*(1+Supuestos!$C$36)^8*Estacionalidad!K$13</f>
        <v>5906040000</v>
      </c>
      <c r="BT21" s="37" t="n">
        <f aca="false">70310000000*(1+Supuestos!$C$36)^8*Estacionalidad!L$13</f>
        <v>5906040000</v>
      </c>
      <c r="BU21" s="37" t="n">
        <f aca="false">70310000000*(1+Supuestos!$C$36)^8*Estacionalidad!M$13</f>
        <v>5906040000</v>
      </c>
      <c r="BV21" s="37" t="n">
        <f aca="false">70310000000*(1+Supuestos!$C$36)^8*Estacionalidad!N$13</f>
        <v>5695110000</v>
      </c>
      <c r="BW21" s="37" t="n">
        <f aca="false">70310000000*(1+Supuestos!$C$36)^9*Estacionalidad!C$13</f>
        <v>5695110000</v>
      </c>
      <c r="BX21" s="37" t="n">
        <f aca="false">70310000000*(1+Supuestos!$C$36)^9*Estacionalidad!D$13</f>
        <v>5765420000</v>
      </c>
      <c r="BY21" s="37" t="n">
        <f aca="false">70310000000*(1+Supuestos!$C$36)^9*Estacionalidad!E$13</f>
        <v>5906040000</v>
      </c>
      <c r="BZ21" s="37" t="n">
        <f aca="false">70310000000*(1+Supuestos!$C$36)^9*Estacionalidad!F$13</f>
        <v>5906040000</v>
      </c>
      <c r="CA21" s="37" t="n">
        <f aca="false">70310000000*(1+Supuestos!$C$36)^9*Estacionalidad!G$13</f>
        <v>5906040000</v>
      </c>
      <c r="CB21" s="37" t="n">
        <f aca="false">70310000000*(1+Supuestos!$C$36)^9*Estacionalidad!H$13</f>
        <v>5906040000</v>
      </c>
      <c r="CC21" s="37" t="n">
        <f aca="false">70310000000*(1+Supuestos!$C$36)^9*Estacionalidad!I$13</f>
        <v>5906040000</v>
      </c>
      <c r="CD21" s="37" t="n">
        <f aca="false">70310000000*(1+Supuestos!$C$36)^9*Estacionalidad!J$13</f>
        <v>5906040000</v>
      </c>
      <c r="CE21" s="37" t="n">
        <f aca="false">70310000000*(1+Supuestos!$C$36)^9*Estacionalidad!K$13</f>
        <v>5906040000</v>
      </c>
      <c r="CF21" s="37" t="n">
        <f aca="false">70310000000*(1+Supuestos!$C$36)^9*Estacionalidad!L$13</f>
        <v>5906040000</v>
      </c>
      <c r="CG21" s="37" t="n">
        <f aca="false">70310000000*(1+Supuestos!$C$36)^9*Estacionalidad!M$13</f>
        <v>5906040000</v>
      </c>
      <c r="CH21" s="37" t="n">
        <f aca="false">70310000000*(1+Supuestos!$C$36)^9*Estacionalidad!N$13</f>
        <v>5695110000</v>
      </c>
      <c r="CI21" s="37" t="n">
        <f aca="false">70310000000*(1+Supuestos!$C$36)^10*Estacionalidad!C$13</f>
        <v>5695110000</v>
      </c>
      <c r="CJ21" s="37" t="n">
        <f aca="false">70310000000*(1+Supuestos!$C$36)^10*Estacionalidad!D$13</f>
        <v>5765420000</v>
      </c>
      <c r="CK21" s="37" t="n">
        <f aca="false">70310000000*(1+Supuestos!$C$36)^10*Estacionalidad!E$13</f>
        <v>5906040000</v>
      </c>
      <c r="CL21" s="37" t="n">
        <f aca="false">70310000000*(1+Supuestos!$C$36)^10*Estacionalidad!F$13</f>
        <v>5906040000</v>
      </c>
      <c r="CM21" s="37" t="n">
        <f aca="false">70310000000*(1+Supuestos!$C$36)^10*Estacionalidad!G$13</f>
        <v>5906040000</v>
      </c>
      <c r="CN21" s="37" t="n">
        <f aca="false">70310000000*(1+Supuestos!$C$36)^10*Estacionalidad!H$13</f>
        <v>5906040000</v>
      </c>
      <c r="CO21" s="37" t="n">
        <f aca="false">70310000000*(1+Supuestos!$C$36)^10*Estacionalidad!I$13</f>
        <v>5906040000</v>
      </c>
      <c r="CP21" s="37" t="n">
        <f aca="false">70310000000*(1+Supuestos!$C$36)^10*Estacionalidad!J$13</f>
        <v>5906040000</v>
      </c>
      <c r="CQ21" s="37" t="n">
        <f aca="false">70310000000*(1+Supuestos!$C$36)^10*Estacionalidad!K$13</f>
        <v>5906040000</v>
      </c>
      <c r="CR21" s="37" t="n">
        <f aca="false">70310000000*(1+Supuestos!$C$36)^10*Estacionalidad!L$13</f>
        <v>5906040000</v>
      </c>
      <c r="CS21" s="37" t="n">
        <f aca="false">70310000000*(1+Supuestos!$C$36)^10*Estacionalidad!M$13</f>
        <v>5906040000</v>
      </c>
      <c r="CT21" s="37" t="n">
        <f aca="false">70310000000*(1+Supuestos!$C$36)^10*Estacionalidad!N$13</f>
        <v>5695110000</v>
      </c>
    </row>
    <row r="22" customFormat="false" ht="15" hidden="false" customHeight="true" outlineLevel="0" collapsed="false">
      <c r="B22" s="15" t="s">
        <v>351</v>
      </c>
      <c r="C22" s="37" t="n">
        <f aca="false">36403000000*(1+Supuestos!$C$36)^3*Estacionalidad!C$13</f>
        <v>2948643000</v>
      </c>
      <c r="D22" s="37" t="n">
        <f aca="false">36403000000*(1+Supuestos!$C$36)^3*Estacionalidad!D$13</f>
        <v>2985046000</v>
      </c>
      <c r="E22" s="37" t="n">
        <f aca="false">36403000000*(1+Supuestos!$C$36)^3*Estacionalidad!E$13</f>
        <v>3057852000</v>
      </c>
      <c r="F22" s="37" t="n">
        <f aca="false">36403000000*(1+Supuestos!$C$36)^3*Estacionalidad!F$13</f>
        <v>3057852000</v>
      </c>
      <c r="G22" s="37" t="n">
        <f aca="false">36403000000*(1+Supuestos!$C$36)^3*Estacionalidad!G$13</f>
        <v>3057852000</v>
      </c>
      <c r="H22" s="37" t="n">
        <f aca="false">36403000000*(1+Supuestos!$C$36)^3*Estacionalidad!H$13</f>
        <v>3057852000</v>
      </c>
      <c r="I22" s="37" t="n">
        <f aca="false">36403000000*(1+Supuestos!$C$36)^3*Estacionalidad!I$13</f>
        <v>3057852000</v>
      </c>
      <c r="J22" s="37" t="n">
        <f aca="false">36403000000*(1+Supuestos!$C$36)^3*Estacionalidad!J$13</f>
        <v>3057852000</v>
      </c>
      <c r="K22" s="37" t="n">
        <f aca="false">36403000000*(1+Supuestos!$C$36)^3*Estacionalidad!K$13</f>
        <v>3057852000</v>
      </c>
      <c r="L22" s="37" t="n">
        <f aca="false">36403000000*(1+Supuestos!$C$36)^3*Estacionalidad!L$13</f>
        <v>3057852000</v>
      </c>
      <c r="M22" s="37" t="n">
        <f aca="false">36403000000*(1+Supuestos!$C$36)^3*Estacionalidad!M$13</f>
        <v>3057852000</v>
      </c>
      <c r="N22" s="37" t="n">
        <f aca="false">36403000000*(1+Supuestos!$C$36)^3*Estacionalidad!N$13</f>
        <v>2948643000</v>
      </c>
      <c r="O22" s="37" t="n">
        <f aca="false">36403000000*(1+Supuestos!$C$36)^4*Estacionalidad!C$13</f>
        <v>2948643000</v>
      </c>
      <c r="P22" s="37" t="n">
        <f aca="false">36403000000*(1+Supuestos!$C$36)^4*Estacionalidad!D$13</f>
        <v>2985046000</v>
      </c>
      <c r="Q22" s="37" t="n">
        <f aca="false">36403000000*(1+Supuestos!$C$36)^4*Estacionalidad!E$13</f>
        <v>3057852000</v>
      </c>
      <c r="R22" s="37" t="n">
        <f aca="false">36403000000*(1+Supuestos!$C$36)^4*Estacionalidad!F$13</f>
        <v>3057852000</v>
      </c>
      <c r="S22" s="37" t="n">
        <f aca="false">36403000000*(1+Supuestos!$C$36)^4*Estacionalidad!G$13</f>
        <v>3057852000</v>
      </c>
      <c r="T22" s="37" t="n">
        <f aca="false">36403000000*(1+Supuestos!$C$36)^4*Estacionalidad!H$13</f>
        <v>3057852000</v>
      </c>
      <c r="U22" s="37" t="n">
        <f aca="false">36403000000*(1+Supuestos!$C$36)^4*Estacionalidad!I$13</f>
        <v>3057852000</v>
      </c>
      <c r="V22" s="37" t="n">
        <f aca="false">36403000000*(1+Supuestos!$C$36)^4*Estacionalidad!J$13</f>
        <v>3057852000</v>
      </c>
      <c r="W22" s="37" t="n">
        <f aca="false">36403000000*(1+Supuestos!$C$36)^4*Estacionalidad!K$13</f>
        <v>3057852000</v>
      </c>
      <c r="X22" s="37" t="n">
        <f aca="false">36403000000*(1+Supuestos!$C$36)^4*Estacionalidad!L$13</f>
        <v>3057852000</v>
      </c>
      <c r="Y22" s="37" t="n">
        <f aca="false">36403000000*(1+Supuestos!$C$36)^4*Estacionalidad!M$13</f>
        <v>3057852000</v>
      </c>
      <c r="Z22" s="37" t="n">
        <f aca="false">36403000000*(1+Supuestos!$C$36)^4*Estacionalidad!N$13</f>
        <v>2948643000</v>
      </c>
      <c r="AA22" s="37" t="n">
        <f aca="false">36403000000*(1+Supuestos!$C$36)^5*Estacionalidad!C$13</f>
        <v>2948643000</v>
      </c>
      <c r="AB22" s="37" t="n">
        <f aca="false">36403000000*(1+Supuestos!$C$36)^5*Estacionalidad!D$13</f>
        <v>2985046000</v>
      </c>
      <c r="AC22" s="37" t="n">
        <f aca="false">36403000000*(1+Supuestos!$C$36)^5*Estacionalidad!E$13</f>
        <v>3057852000</v>
      </c>
      <c r="AD22" s="37" t="n">
        <f aca="false">36403000000*(1+Supuestos!$C$36)^5*Estacionalidad!F$13</f>
        <v>3057852000</v>
      </c>
      <c r="AE22" s="37" t="n">
        <f aca="false">36403000000*(1+Supuestos!$C$36)^5*Estacionalidad!G$13</f>
        <v>3057852000</v>
      </c>
      <c r="AF22" s="37" t="n">
        <f aca="false">36403000000*(1+Supuestos!$C$36)^5*Estacionalidad!H$13</f>
        <v>3057852000</v>
      </c>
      <c r="AG22" s="37" t="n">
        <f aca="false">36403000000*(1+Supuestos!$C$36)^5*Estacionalidad!I$13</f>
        <v>3057852000</v>
      </c>
      <c r="AH22" s="37" t="n">
        <f aca="false">36403000000*(1+Supuestos!$C$36)^5*Estacionalidad!J$13</f>
        <v>3057852000</v>
      </c>
      <c r="AI22" s="37" t="n">
        <f aca="false">36403000000*(1+Supuestos!$C$36)^5*Estacionalidad!K$13</f>
        <v>3057852000</v>
      </c>
      <c r="AJ22" s="37" t="n">
        <f aca="false">36403000000*(1+Supuestos!$C$36)^5*Estacionalidad!L$13</f>
        <v>3057852000</v>
      </c>
      <c r="AK22" s="37" t="n">
        <f aca="false">36403000000*(1+Supuestos!$C$36)^5*Estacionalidad!M$13</f>
        <v>3057852000</v>
      </c>
      <c r="AL22" s="37" t="n">
        <f aca="false">36403000000*(1+Supuestos!$C$36)^5*Estacionalidad!N$13</f>
        <v>2948643000</v>
      </c>
      <c r="AM22" s="37" t="n">
        <f aca="false">36403000000*(1+Supuestos!$C$36)^6*Estacionalidad!C$13</f>
        <v>2948643000</v>
      </c>
      <c r="AN22" s="37" t="n">
        <f aca="false">36403000000*(1+Supuestos!$C$36)^6*Estacionalidad!D$13</f>
        <v>2985046000</v>
      </c>
      <c r="AO22" s="37" t="n">
        <f aca="false">36403000000*(1+Supuestos!$C$36)^6*Estacionalidad!E$13</f>
        <v>3057852000</v>
      </c>
      <c r="AP22" s="37" t="n">
        <f aca="false">36403000000*(1+Supuestos!$C$36)^6*Estacionalidad!F$13</f>
        <v>3057852000</v>
      </c>
      <c r="AQ22" s="37" t="n">
        <f aca="false">36403000000*(1+Supuestos!$C$36)^6*Estacionalidad!G$13</f>
        <v>3057852000</v>
      </c>
      <c r="AR22" s="37" t="n">
        <f aca="false">36403000000*(1+Supuestos!$C$36)^6*Estacionalidad!H$13</f>
        <v>3057852000</v>
      </c>
      <c r="AS22" s="37" t="n">
        <f aca="false">36403000000*(1+Supuestos!$C$36)^6*Estacionalidad!I$13</f>
        <v>3057852000</v>
      </c>
      <c r="AT22" s="37" t="n">
        <f aca="false">36403000000*(1+Supuestos!$C$36)^6*Estacionalidad!J$13</f>
        <v>3057852000</v>
      </c>
      <c r="AU22" s="37" t="n">
        <f aca="false">36403000000*(1+Supuestos!$C$36)^6*Estacionalidad!K$13</f>
        <v>3057852000</v>
      </c>
      <c r="AV22" s="37" t="n">
        <f aca="false">36403000000*(1+Supuestos!$C$36)^6*Estacionalidad!L$13</f>
        <v>3057852000</v>
      </c>
      <c r="AW22" s="37" t="n">
        <f aca="false">36403000000*(1+Supuestos!$C$36)^6*Estacionalidad!M$13</f>
        <v>3057852000</v>
      </c>
      <c r="AX22" s="37" t="n">
        <f aca="false">36403000000*(1+Supuestos!$C$36)^6*Estacionalidad!N$13</f>
        <v>2948643000</v>
      </c>
      <c r="AY22" s="37" t="n">
        <f aca="false">36403000000*(1+Supuestos!$C$36)^7*Estacionalidad!C$13</f>
        <v>2948643000</v>
      </c>
      <c r="AZ22" s="37" t="n">
        <f aca="false">36403000000*(1+Supuestos!$C$36)^7*Estacionalidad!D$13</f>
        <v>2985046000</v>
      </c>
      <c r="BA22" s="37" t="n">
        <f aca="false">36403000000*(1+Supuestos!$C$36)^7*Estacionalidad!E$13</f>
        <v>3057852000</v>
      </c>
      <c r="BB22" s="37" t="n">
        <f aca="false">36403000000*(1+Supuestos!$C$36)^7*Estacionalidad!F$13</f>
        <v>3057852000</v>
      </c>
      <c r="BC22" s="37" t="n">
        <f aca="false">36403000000*(1+Supuestos!$C$36)^7*Estacionalidad!G$13</f>
        <v>3057852000</v>
      </c>
      <c r="BD22" s="37" t="n">
        <f aca="false">36403000000*(1+Supuestos!$C$36)^7*Estacionalidad!H$13</f>
        <v>3057852000</v>
      </c>
      <c r="BE22" s="37" t="n">
        <f aca="false">36403000000*(1+Supuestos!$C$36)^7*Estacionalidad!I$13</f>
        <v>3057852000</v>
      </c>
      <c r="BF22" s="37" t="n">
        <f aca="false">36403000000*(1+Supuestos!$C$36)^7*Estacionalidad!J$13</f>
        <v>3057852000</v>
      </c>
      <c r="BG22" s="37" t="n">
        <f aca="false">36403000000*(1+Supuestos!$C$36)^7*Estacionalidad!K$13</f>
        <v>3057852000</v>
      </c>
      <c r="BH22" s="37" t="n">
        <f aca="false">36403000000*(1+Supuestos!$C$36)^7*Estacionalidad!L$13</f>
        <v>3057852000</v>
      </c>
      <c r="BI22" s="37" t="n">
        <f aca="false">36403000000*(1+Supuestos!$C$36)^7*Estacionalidad!M$13</f>
        <v>3057852000</v>
      </c>
      <c r="BJ22" s="37" t="n">
        <f aca="false">36403000000*(1+Supuestos!$C$36)^7*Estacionalidad!N$13</f>
        <v>2948643000</v>
      </c>
      <c r="BK22" s="37" t="n">
        <f aca="false">36403000000*(1+Supuestos!$C$36)^8*Estacionalidad!C$13</f>
        <v>2948643000</v>
      </c>
      <c r="BL22" s="37" t="n">
        <f aca="false">36403000000*(1+Supuestos!$C$36)^8*Estacionalidad!D$13</f>
        <v>2985046000</v>
      </c>
      <c r="BM22" s="37" t="n">
        <f aca="false">36403000000*(1+Supuestos!$C$36)^8*Estacionalidad!E$13</f>
        <v>3057852000</v>
      </c>
      <c r="BN22" s="37" t="n">
        <f aca="false">36403000000*(1+Supuestos!$C$36)^8*Estacionalidad!F$13</f>
        <v>3057852000</v>
      </c>
      <c r="BO22" s="37" t="n">
        <f aca="false">36403000000*(1+Supuestos!$C$36)^8*Estacionalidad!G$13</f>
        <v>3057852000</v>
      </c>
      <c r="BP22" s="37" t="n">
        <f aca="false">36403000000*(1+Supuestos!$C$36)^8*Estacionalidad!H$13</f>
        <v>3057852000</v>
      </c>
      <c r="BQ22" s="37" t="n">
        <f aca="false">36403000000*(1+Supuestos!$C$36)^8*Estacionalidad!I$13</f>
        <v>3057852000</v>
      </c>
      <c r="BR22" s="37" t="n">
        <f aca="false">36403000000*(1+Supuestos!$C$36)^8*Estacionalidad!J$13</f>
        <v>3057852000</v>
      </c>
      <c r="BS22" s="37" t="n">
        <f aca="false">36403000000*(1+Supuestos!$C$36)^8*Estacionalidad!K$13</f>
        <v>3057852000</v>
      </c>
      <c r="BT22" s="37" t="n">
        <f aca="false">36403000000*(1+Supuestos!$C$36)^8*Estacionalidad!L$13</f>
        <v>3057852000</v>
      </c>
      <c r="BU22" s="37" t="n">
        <f aca="false">36403000000*(1+Supuestos!$C$36)^8*Estacionalidad!M$13</f>
        <v>3057852000</v>
      </c>
      <c r="BV22" s="37" t="n">
        <f aca="false">36403000000*(1+Supuestos!$C$36)^8*Estacionalidad!N$13</f>
        <v>2948643000</v>
      </c>
      <c r="BW22" s="37" t="n">
        <f aca="false">36403000000*(1+Supuestos!$C$36)^9*Estacionalidad!C$13</f>
        <v>2948643000</v>
      </c>
      <c r="BX22" s="37" t="n">
        <f aca="false">36403000000*(1+Supuestos!$C$36)^9*Estacionalidad!D$13</f>
        <v>2985046000</v>
      </c>
      <c r="BY22" s="37" t="n">
        <f aca="false">36403000000*(1+Supuestos!$C$36)^9*Estacionalidad!E$13</f>
        <v>3057852000</v>
      </c>
      <c r="BZ22" s="37" t="n">
        <f aca="false">36403000000*(1+Supuestos!$C$36)^9*Estacionalidad!F$13</f>
        <v>3057852000</v>
      </c>
      <c r="CA22" s="37" t="n">
        <f aca="false">36403000000*(1+Supuestos!$C$36)^9*Estacionalidad!G$13</f>
        <v>3057852000</v>
      </c>
      <c r="CB22" s="37" t="n">
        <f aca="false">36403000000*(1+Supuestos!$C$36)^9*Estacionalidad!H$13</f>
        <v>3057852000</v>
      </c>
      <c r="CC22" s="37" t="n">
        <f aca="false">36403000000*(1+Supuestos!$C$36)^9*Estacionalidad!I$13</f>
        <v>3057852000</v>
      </c>
      <c r="CD22" s="37" t="n">
        <f aca="false">36403000000*(1+Supuestos!$C$36)^9*Estacionalidad!J$13</f>
        <v>3057852000</v>
      </c>
      <c r="CE22" s="37" t="n">
        <f aca="false">36403000000*(1+Supuestos!$C$36)^9*Estacionalidad!K$13</f>
        <v>3057852000</v>
      </c>
      <c r="CF22" s="37" t="n">
        <f aca="false">36403000000*(1+Supuestos!$C$36)^9*Estacionalidad!L$13</f>
        <v>3057852000</v>
      </c>
      <c r="CG22" s="37" t="n">
        <f aca="false">36403000000*(1+Supuestos!$C$36)^9*Estacionalidad!M$13</f>
        <v>3057852000</v>
      </c>
      <c r="CH22" s="37" t="n">
        <f aca="false">36403000000*(1+Supuestos!$C$36)^9*Estacionalidad!N$13</f>
        <v>2948643000</v>
      </c>
      <c r="CI22" s="37" t="n">
        <f aca="false">36403000000*(1+Supuestos!$C$36)^10*Estacionalidad!C$13</f>
        <v>2948643000</v>
      </c>
      <c r="CJ22" s="37" t="n">
        <f aca="false">36403000000*(1+Supuestos!$C$36)^10*Estacionalidad!D$13</f>
        <v>2985046000</v>
      </c>
      <c r="CK22" s="37" t="n">
        <f aca="false">36403000000*(1+Supuestos!$C$36)^10*Estacionalidad!E$13</f>
        <v>3057852000</v>
      </c>
      <c r="CL22" s="37" t="n">
        <f aca="false">36403000000*(1+Supuestos!$C$36)^10*Estacionalidad!F$13</f>
        <v>3057852000</v>
      </c>
      <c r="CM22" s="37" t="n">
        <f aca="false">36403000000*(1+Supuestos!$C$36)^10*Estacionalidad!G$13</f>
        <v>3057852000</v>
      </c>
      <c r="CN22" s="37" t="n">
        <f aca="false">36403000000*(1+Supuestos!$C$36)^10*Estacionalidad!H$13</f>
        <v>3057852000</v>
      </c>
      <c r="CO22" s="37" t="n">
        <f aca="false">36403000000*(1+Supuestos!$C$36)^10*Estacionalidad!I$13</f>
        <v>3057852000</v>
      </c>
      <c r="CP22" s="37" t="n">
        <f aca="false">36403000000*(1+Supuestos!$C$36)^10*Estacionalidad!J$13</f>
        <v>3057852000</v>
      </c>
      <c r="CQ22" s="37" t="n">
        <f aca="false">36403000000*(1+Supuestos!$C$36)^10*Estacionalidad!K$13</f>
        <v>3057852000</v>
      </c>
      <c r="CR22" s="37" t="n">
        <f aca="false">36403000000*(1+Supuestos!$C$36)^10*Estacionalidad!L$13</f>
        <v>3057852000</v>
      </c>
      <c r="CS22" s="37" t="n">
        <f aca="false">36403000000*(1+Supuestos!$C$36)^10*Estacionalidad!M$13</f>
        <v>3057852000</v>
      </c>
      <c r="CT22" s="37" t="n">
        <f aca="false">36403000000*(1+Supuestos!$C$36)^10*Estacionalidad!N$13</f>
        <v>2948643000</v>
      </c>
    </row>
    <row r="23" customFormat="false" ht="15" hidden="false" customHeight="true" outlineLevel="0" collapsed="false">
      <c r="B23" s="15" t="s">
        <v>352</v>
      </c>
      <c r="C23" s="37" t="n">
        <f aca="false">1355000000*(1+Supuestos!$C$36)^3*Estacionalidad!C$13+Programas!C$10</f>
        <v>184057708.333333</v>
      </c>
      <c r="D23" s="37" t="n">
        <f aca="false">1355000000*(1+Supuestos!$C$36)^3*Estacionalidad!D$13+Programas!D$10</f>
        <v>185412708.333333</v>
      </c>
      <c r="E23" s="37" t="n">
        <f aca="false">1355000000*(1+Supuestos!$C$36)^3*Estacionalidad!E$13+Programas!E$10</f>
        <v>188122708.333333</v>
      </c>
      <c r="F23" s="37" t="n">
        <f aca="false">1355000000*(1+Supuestos!$C$36)^3*Estacionalidad!F$13+Programas!F$10</f>
        <v>188122708.333333</v>
      </c>
      <c r="G23" s="37" t="n">
        <f aca="false">1355000000*(1+Supuestos!$C$36)^3*Estacionalidad!G$13+Programas!G$10</f>
        <v>188122708.333333</v>
      </c>
      <c r="H23" s="37" t="n">
        <f aca="false">1355000000*(1+Supuestos!$C$36)^3*Estacionalidad!H$13+Programas!H$10</f>
        <v>188122708.333333</v>
      </c>
      <c r="I23" s="37" t="n">
        <f aca="false">1355000000*(1+Supuestos!$C$36)^3*Estacionalidad!I$13+Programas!I$10</f>
        <v>188122708.333333</v>
      </c>
      <c r="J23" s="37" t="n">
        <f aca="false">1355000000*(1+Supuestos!$C$36)^3*Estacionalidad!J$13+Programas!J$10</f>
        <v>188122708.333333</v>
      </c>
      <c r="K23" s="37" t="n">
        <f aca="false">1355000000*(1+Supuestos!$C$36)^3*Estacionalidad!K$13+Programas!K$10</f>
        <v>188122708.333333</v>
      </c>
      <c r="L23" s="37" t="n">
        <f aca="false">1355000000*(1+Supuestos!$C$36)^3*Estacionalidad!L$13+Programas!L$10</f>
        <v>188122708.333333</v>
      </c>
      <c r="M23" s="37" t="n">
        <f aca="false">1355000000*(1+Supuestos!$C$36)^3*Estacionalidad!M$13+Programas!M$10</f>
        <v>188122708.333333</v>
      </c>
      <c r="N23" s="37" t="n">
        <f aca="false">1355000000*(1+Supuestos!$C$36)^3*Estacionalidad!N$13+Programas!N$10</f>
        <v>184057708.333333</v>
      </c>
      <c r="O23" s="37" t="n">
        <f aca="false">1355000000*(1+Supuestos!$C$36)^4*Estacionalidad!C$13+Programas!O$10</f>
        <v>258360416.666667</v>
      </c>
      <c r="P23" s="37" t="n">
        <f aca="false">1355000000*(1+Supuestos!$C$36)^4*Estacionalidad!D$13+Programas!P$10</f>
        <v>259715416.666667</v>
      </c>
      <c r="Q23" s="37" t="n">
        <f aca="false">1355000000*(1+Supuestos!$C$36)^4*Estacionalidad!E$13+Programas!Q$10</f>
        <v>262425416.666667</v>
      </c>
      <c r="R23" s="37" t="n">
        <f aca="false">1355000000*(1+Supuestos!$C$36)^4*Estacionalidad!F$13+Programas!R$10</f>
        <v>262425416.666667</v>
      </c>
      <c r="S23" s="37" t="n">
        <f aca="false">1355000000*(1+Supuestos!$C$36)^4*Estacionalidad!G$13+Programas!S$10</f>
        <v>262425416.666667</v>
      </c>
      <c r="T23" s="37" t="n">
        <f aca="false">1355000000*(1+Supuestos!$C$36)^4*Estacionalidad!H$13+Programas!T$10</f>
        <v>262425416.666667</v>
      </c>
      <c r="U23" s="37" t="n">
        <f aca="false">1355000000*(1+Supuestos!$C$36)^4*Estacionalidad!I$13+Programas!U$10</f>
        <v>262425416.666667</v>
      </c>
      <c r="V23" s="37" t="n">
        <f aca="false">1355000000*(1+Supuestos!$C$36)^4*Estacionalidad!J$13+Programas!V$10</f>
        <v>262425416.666667</v>
      </c>
      <c r="W23" s="37" t="n">
        <f aca="false">1355000000*(1+Supuestos!$C$36)^4*Estacionalidad!K$13+Programas!W$10</f>
        <v>262425416.666667</v>
      </c>
      <c r="X23" s="37" t="n">
        <f aca="false">1355000000*(1+Supuestos!$C$36)^4*Estacionalidad!L$13+Programas!X$10</f>
        <v>262425416.666667</v>
      </c>
      <c r="Y23" s="37" t="n">
        <f aca="false">1355000000*(1+Supuestos!$C$36)^4*Estacionalidad!M$13+Programas!Y$10</f>
        <v>262425416.666667</v>
      </c>
      <c r="Z23" s="37" t="n">
        <f aca="false">1355000000*(1+Supuestos!$C$36)^4*Estacionalidad!N$13+Programas!Z$10</f>
        <v>258360416.666667</v>
      </c>
      <c r="AA23" s="37" t="n">
        <f aca="false">1355000000*(1+Supuestos!$C$36)^5*Estacionalidad!C$13+Programas!AA$10</f>
        <v>332663125</v>
      </c>
      <c r="AB23" s="37" t="n">
        <f aca="false">1355000000*(1+Supuestos!$C$36)^5*Estacionalidad!D$13+Programas!AB$10</f>
        <v>334018125</v>
      </c>
      <c r="AC23" s="37" t="n">
        <f aca="false">1355000000*(1+Supuestos!$C$36)^5*Estacionalidad!E$13+Programas!AC$10</f>
        <v>336728125</v>
      </c>
      <c r="AD23" s="37" t="n">
        <f aca="false">1355000000*(1+Supuestos!$C$36)^5*Estacionalidad!F$13+Programas!AD$10</f>
        <v>336728125</v>
      </c>
      <c r="AE23" s="37" t="n">
        <f aca="false">1355000000*(1+Supuestos!$C$36)^5*Estacionalidad!G$13+Programas!AE$10</f>
        <v>336728125</v>
      </c>
      <c r="AF23" s="37" t="n">
        <f aca="false">1355000000*(1+Supuestos!$C$36)^5*Estacionalidad!H$13+Programas!AF$10</f>
        <v>336728125</v>
      </c>
      <c r="AG23" s="37" t="n">
        <f aca="false">1355000000*(1+Supuestos!$C$36)^5*Estacionalidad!I$13+Programas!AG$10</f>
        <v>336728125</v>
      </c>
      <c r="AH23" s="37" t="n">
        <f aca="false">1355000000*(1+Supuestos!$C$36)^5*Estacionalidad!J$13+Programas!AH$10</f>
        <v>336728125</v>
      </c>
      <c r="AI23" s="37" t="n">
        <f aca="false">1355000000*(1+Supuestos!$C$36)^5*Estacionalidad!K$13+Programas!AI$10</f>
        <v>336728125</v>
      </c>
      <c r="AJ23" s="37" t="n">
        <f aca="false">1355000000*(1+Supuestos!$C$36)^5*Estacionalidad!L$13+Programas!AJ$10</f>
        <v>336728125</v>
      </c>
      <c r="AK23" s="37" t="n">
        <f aca="false">1355000000*(1+Supuestos!$C$36)^5*Estacionalidad!M$13+Programas!AK$10</f>
        <v>336728125</v>
      </c>
      <c r="AL23" s="37" t="n">
        <f aca="false">1355000000*(1+Supuestos!$C$36)^5*Estacionalidad!N$13+Programas!AL$10</f>
        <v>332663125</v>
      </c>
      <c r="AM23" s="37" t="n">
        <f aca="false">1355000000*(1+Supuestos!$C$36)^6*Estacionalidad!C$13+Programas!AM$10</f>
        <v>406965833.333333</v>
      </c>
      <c r="AN23" s="37" t="n">
        <f aca="false">1355000000*(1+Supuestos!$C$36)^6*Estacionalidad!D$13+Programas!AN$10</f>
        <v>408320833.333333</v>
      </c>
      <c r="AO23" s="37" t="n">
        <f aca="false">1355000000*(1+Supuestos!$C$36)^6*Estacionalidad!E$13+Programas!AO$10</f>
        <v>411030833.333333</v>
      </c>
      <c r="AP23" s="37" t="n">
        <f aca="false">1355000000*(1+Supuestos!$C$36)^6*Estacionalidad!F$13+Programas!AP$10</f>
        <v>411030833.333333</v>
      </c>
      <c r="AQ23" s="37" t="n">
        <f aca="false">1355000000*(1+Supuestos!$C$36)^6*Estacionalidad!G$13+Programas!AQ$10</f>
        <v>411030833.333333</v>
      </c>
      <c r="AR23" s="37" t="n">
        <f aca="false">1355000000*(1+Supuestos!$C$36)^6*Estacionalidad!H$13+Programas!AR$10</f>
        <v>411030833.333333</v>
      </c>
      <c r="AS23" s="37" t="n">
        <f aca="false">1355000000*(1+Supuestos!$C$36)^6*Estacionalidad!I$13+Programas!AS$10</f>
        <v>411030833.333333</v>
      </c>
      <c r="AT23" s="37" t="n">
        <f aca="false">1355000000*(1+Supuestos!$C$36)^6*Estacionalidad!J$13+Programas!AT$10</f>
        <v>411030833.333333</v>
      </c>
      <c r="AU23" s="37" t="n">
        <f aca="false">1355000000*(1+Supuestos!$C$36)^6*Estacionalidad!K$13+Programas!AU$10</f>
        <v>411030833.333333</v>
      </c>
      <c r="AV23" s="37" t="n">
        <f aca="false">1355000000*(1+Supuestos!$C$36)^6*Estacionalidad!L$13+Programas!AV$10</f>
        <v>411030833.333333</v>
      </c>
      <c r="AW23" s="37" t="n">
        <f aca="false">1355000000*(1+Supuestos!$C$36)^6*Estacionalidad!M$13+Programas!AW$10</f>
        <v>411030833.333333</v>
      </c>
      <c r="AX23" s="37" t="n">
        <f aca="false">1355000000*(1+Supuestos!$C$36)^6*Estacionalidad!N$13+Programas!AX$10</f>
        <v>406965833.333333</v>
      </c>
      <c r="AY23" s="37" t="n">
        <f aca="false">1355000000*(1+Supuestos!$C$36)^7*Estacionalidad!C$13+Programas!AY$10</f>
        <v>406965833.333333</v>
      </c>
      <c r="AZ23" s="37" t="n">
        <f aca="false">1355000000*(1+Supuestos!$C$36)^7*Estacionalidad!D$13+Programas!AZ$10</f>
        <v>408320833.333333</v>
      </c>
      <c r="BA23" s="37" t="n">
        <f aca="false">1355000000*(1+Supuestos!$C$36)^7*Estacionalidad!E$13+Programas!BA$10</f>
        <v>411030833.333333</v>
      </c>
      <c r="BB23" s="37" t="n">
        <f aca="false">1355000000*(1+Supuestos!$C$36)^7*Estacionalidad!F$13+Programas!BB$10</f>
        <v>411030833.333333</v>
      </c>
      <c r="BC23" s="37" t="n">
        <f aca="false">1355000000*(1+Supuestos!$C$36)^7*Estacionalidad!G$13+Programas!BC$10</f>
        <v>411030833.333333</v>
      </c>
      <c r="BD23" s="37" t="n">
        <f aca="false">1355000000*(1+Supuestos!$C$36)^7*Estacionalidad!H$13+Programas!BD$10</f>
        <v>411030833.333333</v>
      </c>
      <c r="BE23" s="37" t="n">
        <f aca="false">1355000000*(1+Supuestos!$C$36)^7*Estacionalidad!I$13+Programas!BE$10</f>
        <v>411030833.333333</v>
      </c>
      <c r="BF23" s="37" t="n">
        <f aca="false">1355000000*(1+Supuestos!$C$36)^7*Estacionalidad!J$13+Programas!BF$10</f>
        <v>411030833.333333</v>
      </c>
      <c r="BG23" s="37" t="n">
        <f aca="false">1355000000*(1+Supuestos!$C$36)^7*Estacionalidad!K$13+Programas!BG$10</f>
        <v>411030833.333333</v>
      </c>
      <c r="BH23" s="37" t="n">
        <f aca="false">1355000000*(1+Supuestos!$C$36)^7*Estacionalidad!L$13+Programas!BH$10</f>
        <v>411030833.333333</v>
      </c>
      <c r="BI23" s="37" t="n">
        <f aca="false">1355000000*(1+Supuestos!$C$36)^7*Estacionalidad!M$13+Programas!BI$10</f>
        <v>411030833.333333</v>
      </c>
      <c r="BJ23" s="37" t="n">
        <f aca="false">1355000000*(1+Supuestos!$C$36)^7*Estacionalidad!N$13+Programas!BJ$10</f>
        <v>406965833.333333</v>
      </c>
      <c r="BK23" s="37" t="n">
        <f aca="false">1355000000*(1+Supuestos!$C$36)^8*Estacionalidad!C$13+Programas!BK$10</f>
        <v>406965833.333333</v>
      </c>
      <c r="BL23" s="37" t="n">
        <f aca="false">1355000000*(1+Supuestos!$C$36)^8*Estacionalidad!D$13+Programas!BL$10</f>
        <v>408320833.333333</v>
      </c>
      <c r="BM23" s="37" t="n">
        <f aca="false">1355000000*(1+Supuestos!$C$36)^8*Estacionalidad!E$13+Programas!BM$10</f>
        <v>411030833.333333</v>
      </c>
      <c r="BN23" s="37" t="n">
        <f aca="false">1355000000*(1+Supuestos!$C$36)^8*Estacionalidad!F$13+Programas!BN$10</f>
        <v>411030833.333333</v>
      </c>
      <c r="BO23" s="37" t="n">
        <f aca="false">1355000000*(1+Supuestos!$C$36)^8*Estacionalidad!G$13+Programas!BO$10</f>
        <v>411030833.333333</v>
      </c>
      <c r="BP23" s="37" t="n">
        <f aca="false">1355000000*(1+Supuestos!$C$36)^8*Estacionalidad!H$13+Programas!BP$10</f>
        <v>411030833.333333</v>
      </c>
      <c r="BQ23" s="37" t="n">
        <f aca="false">1355000000*(1+Supuestos!$C$36)^8*Estacionalidad!I$13+Programas!BQ$10</f>
        <v>411030833.333333</v>
      </c>
      <c r="BR23" s="37" t="n">
        <f aca="false">1355000000*(1+Supuestos!$C$36)^8*Estacionalidad!J$13+Programas!BR$10</f>
        <v>411030833.333333</v>
      </c>
      <c r="BS23" s="37" t="n">
        <f aca="false">1355000000*(1+Supuestos!$C$36)^8*Estacionalidad!K$13+Programas!BS$10</f>
        <v>411030833.333333</v>
      </c>
      <c r="BT23" s="37" t="n">
        <f aca="false">1355000000*(1+Supuestos!$C$36)^8*Estacionalidad!L$13+Programas!BT$10</f>
        <v>411030833.333333</v>
      </c>
      <c r="BU23" s="37" t="n">
        <f aca="false">1355000000*(1+Supuestos!$C$36)^8*Estacionalidad!M$13+Programas!BU$10</f>
        <v>411030833.333333</v>
      </c>
      <c r="BV23" s="37" t="n">
        <f aca="false">1355000000*(1+Supuestos!$C$36)^8*Estacionalidad!N$13+Programas!BV$10</f>
        <v>406965833.333333</v>
      </c>
      <c r="BW23" s="37" t="n">
        <f aca="false">1355000000*(1+Supuestos!$C$36)^9*Estacionalidad!C$13+Programas!BW$10</f>
        <v>406965833.333333</v>
      </c>
      <c r="BX23" s="37" t="n">
        <f aca="false">1355000000*(1+Supuestos!$C$36)^9*Estacionalidad!D$13+Programas!BX$10</f>
        <v>408320833.333333</v>
      </c>
      <c r="BY23" s="37" t="n">
        <f aca="false">1355000000*(1+Supuestos!$C$36)^9*Estacionalidad!E$13+Programas!BY$10</f>
        <v>411030833.333333</v>
      </c>
      <c r="BZ23" s="37" t="n">
        <f aca="false">1355000000*(1+Supuestos!$C$36)^9*Estacionalidad!F$13+Programas!BZ$10</f>
        <v>411030833.333333</v>
      </c>
      <c r="CA23" s="37" t="n">
        <f aca="false">1355000000*(1+Supuestos!$C$36)^9*Estacionalidad!G$13+Programas!CA$10</f>
        <v>411030833.333333</v>
      </c>
      <c r="CB23" s="37" t="n">
        <f aca="false">1355000000*(1+Supuestos!$C$36)^9*Estacionalidad!H$13+Programas!CB$10</f>
        <v>411030833.333333</v>
      </c>
      <c r="CC23" s="37" t="n">
        <f aca="false">1355000000*(1+Supuestos!$C$36)^9*Estacionalidad!I$13+Programas!CC$10</f>
        <v>411030833.333333</v>
      </c>
      <c r="CD23" s="37" t="n">
        <f aca="false">1355000000*(1+Supuestos!$C$36)^9*Estacionalidad!J$13+Programas!CD$10</f>
        <v>411030833.333333</v>
      </c>
      <c r="CE23" s="37" t="n">
        <f aca="false">1355000000*(1+Supuestos!$C$36)^9*Estacionalidad!K$13+Programas!CE$10</f>
        <v>411030833.333333</v>
      </c>
      <c r="CF23" s="37" t="n">
        <f aca="false">1355000000*(1+Supuestos!$C$36)^9*Estacionalidad!L$13+Programas!CF$10</f>
        <v>411030833.333333</v>
      </c>
      <c r="CG23" s="37" t="n">
        <f aca="false">1355000000*(1+Supuestos!$C$36)^9*Estacionalidad!M$13+Programas!CG$10</f>
        <v>411030833.333333</v>
      </c>
      <c r="CH23" s="37" t="n">
        <f aca="false">1355000000*(1+Supuestos!$C$36)^9*Estacionalidad!N$13+Programas!CH$10</f>
        <v>406965833.333333</v>
      </c>
      <c r="CI23" s="37" t="n">
        <f aca="false">1355000000*(1+Supuestos!$C$36)^10*Estacionalidad!C$13+Programas!CI$10</f>
        <v>406965833.333333</v>
      </c>
      <c r="CJ23" s="37" t="n">
        <f aca="false">1355000000*(1+Supuestos!$C$36)^10*Estacionalidad!D$13+Programas!CJ$10</f>
        <v>408320833.333333</v>
      </c>
      <c r="CK23" s="37" t="n">
        <f aca="false">1355000000*(1+Supuestos!$C$36)^10*Estacionalidad!E$13+Programas!CK$10</f>
        <v>411030833.333333</v>
      </c>
      <c r="CL23" s="37" t="n">
        <f aca="false">1355000000*(1+Supuestos!$C$36)^10*Estacionalidad!F$13+Programas!CL$10</f>
        <v>411030833.333333</v>
      </c>
      <c r="CM23" s="37" t="n">
        <f aca="false">1355000000*(1+Supuestos!$C$36)^10*Estacionalidad!G$13+Programas!CM$10</f>
        <v>411030833.333333</v>
      </c>
      <c r="CN23" s="37" t="n">
        <f aca="false">1355000000*(1+Supuestos!$C$36)^10*Estacionalidad!H$13+Programas!CN$10</f>
        <v>411030833.333333</v>
      </c>
      <c r="CO23" s="37" t="n">
        <f aca="false">1355000000*(1+Supuestos!$C$36)^10*Estacionalidad!I$13+Programas!CO$10</f>
        <v>411030833.333333</v>
      </c>
      <c r="CP23" s="37" t="n">
        <f aca="false">1355000000*(1+Supuestos!$C$36)^10*Estacionalidad!J$13+Programas!CP$10</f>
        <v>411030833.333333</v>
      </c>
      <c r="CQ23" s="37" t="n">
        <f aca="false">1355000000*(1+Supuestos!$C$36)^10*Estacionalidad!K$13+Programas!CQ$10</f>
        <v>411030833.333333</v>
      </c>
      <c r="CR23" s="37" t="n">
        <f aca="false">1355000000*(1+Supuestos!$C$36)^10*Estacionalidad!L$13+Programas!CR$10</f>
        <v>411030833.333333</v>
      </c>
      <c r="CS23" s="37" t="n">
        <f aca="false">1355000000*(1+Supuestos!$C$36)^10*Estacionalidad!M$13+Programas!CS$10</f>
        <v>411030833.333333</v>
      </c>
      <c r="CT23" s="37" t="n">
        <f aca="false">1355000000*(1+Supuestos!$C$36)^10*Estacionalidad!N$13+Programas!CT$10</f>
        <v>406965833.333333</v>
      </c>
    </row>
    <row r="24" customFormat="false" ht="15" hidden="false" customHeight="true" outlineLevel="0" collapsed="false">
      <c r="B24" s="15" t="s">
        <v>353</v>
      </c>
      <c r="C24" s="37" t="n">
        <f aca="false">2160000000*(1+Supuestos!$C$36)^3*Estacionalidad!C$13</f>
        <v>174960000</v>
      </c>
      <c r="D24" s="37" t="n">
        <f aca="false">2160000000*(1+Supuestos!$C$36)^3*Estacionalidad!D$13</f>
        <v>177120000</v>
      </c>
      <c r="E24" s="37" t="n">
        <f aca="false">2160000000*(1+Supuestos!$C$36)^3*Estacionalidad!E$13</f>
        <v>181440000</v>
      </c>
      <c r="F24" s="37" t="n">
        <f aca="false">2160000000*(1+Supuestos!$C$36)^3*Estacionalidad!F$13</f>
        <v>181440000</v>
      </c>
      <c r="G24" s="37" t="n">
        <f aca="false">2160000000*(1+Supuestos!$C$36)^3*Estacionalidad!G$13</f>
        <v>181440000</v>
      </c>
      <c r="H24" s="37" t="n">
        <f aca="false">2160000000*(1+Supuestos!$C$36)^3*Estacionalidad!H$13</f>
        <v>181440000</v>
      </c>
      <c r="I24" s="37" t="n">
        <f aca="false">2160000000*(1+Supuestos!$C$36)^3*Estacionalidad!I$13</f>
        <v>181440000</v>
      </c>
      <c r="J24" s="37" t="n">
        <f aca="false">2160000000*(1+Supuestos!$C$36)^3*Estacionalidad!J$13</f>
        <v>181440000</v>
      </c>
      <c r="K24" s="37" t="n">
        <f aca="false">2160000000*(1+Supuestos!$C$36)^3*Estacionalidad!K$13</f>
        <v>181440000</v>
      </c>
      <c r="L24" s="37" t="n">
        <f aca="false">2160000000*(1+Supuestos!$C$36)^3*Estacionalidad!L$13</f>
        <v>181440000</v>
      </c>
      <c r="M24" s="37" t="n">
        <f aca="false">2160000000*(1+Supuestos!$C$36)^3*Estacionalidad!M$13</f>
        <v>181440000</v>
      </c>
      <c r="N24" s="37" t="n">
        <f aca="false">2160000000*(1+Supuestos!$C$36)^3*Estacionalidad!N$13</f>
        <v>174960000</v>
      </c>
      <c r="O24" s="37" t="n">
        <f aca="false">2160000000*(1+Supuestos!$C$36)^4*Estacionalidad!C$13</f>
        <v>174960000</v>
      </c>
      <c r="P24" s="37" t="n">
        <f aca="false">2160000000*(1+Supuestos!$C$36)^4*Estacionalidad!D$13</f>
        <v>177120000</v>
      </c>
      <c r="Q24" s="37" t="n">
        <f aca="false">2160000000*(1+Supuestos!$C$36)^4*Estacionalidad!E$13</f>
        <v>181440000</v>
      </c>
      <c r="R24" s="37" t="n">
        <f aca="false">2160000000*(1+Supuestos!$C$36)^4*Estacionalidad!F$13</f>
        <v>181440000</v>
      </c>
      <c r="S24" s="37" t="n">
        <f aca="false">2160000000*(1+Supuestos!$C$36)^4*Estacionalidad!G$13</f>
        <v>181440000</v>
      </c>
      <c r="T24" s="37" t="n">
        <f aca="false">2160000000*(1+Supuestos!$C$36)^4*Estacionalidad!H$13</f>
        <v>181440000</v>
      </c>
      <c r="U24" s="37" t="n">
        <f aca="false">2160000000*(1+Supuestos!$C$36)^4*Estacionalidad!I$13</f>
        <v>181440000</v>
      </c>
      <c r="V24" s="37" t="n">
        <f aca="false">2160000000*(1+Supuestos!$C$36)^4*Estacionalidad!J$13</f>
        <v>181440000</v>
      </c>
      <c r="W24" s="37" t="n">
        <f aca="false">2160000000*(1+Supuestos!$C$36)^4*Estacionalidad!K$13</f>
        <v>181440000</v>
      </c>
      <c r="X24" s="37" t="n">
        <f aca="false">2160000000*(1+Supuestos!$C$36)^4*Estacionalidad!L$13</f>
        <v>181440000</v>
      </c>
      <c r="Y24" s="37" t="n">
        <f aca="false">2160000000*(1+Supuestos!$C$36)^4*Estacionalidad!M$13</f>
        <v>181440000</v>
      </c>
      <c r="Z24" s="37" t="n">
        <f aca="false">2160000000*(1+Supuestos!$C$36)^4*Estacionalidad!N$13</f>
        <v>174960000</v>
      </c>
      <c r="AA24" s="37" t="n">
        <f aca="false">2160000000*(1+Supuestos!$C$36)^5*Estacionalidad!C$13</f>
        <v>174960000</v>
      </c>
      <c r="AB24" s="37" t="n">
        <f aca="false">2160000000*(1+Supuestos!$C$36)^5*Estacionalidad!D$13</f>
        <v>177120000</v>
      </c>
      <c r="AC24" s="37" t="n">
        <f aca="false">2160000000*(1+Supuestos!$C$36)^5*Estacionalidad!E$13</f>
        <v>181440000</v>
      </c>
      <c r="AD24" s="37" t="n">
        <f aca="false">2160000000*(1+Supuestos!$C$36)^5*Estacionalidad!F$13</f>
        <v>181440000</v>
      </c>
      <c r="AE24" s="37" t="n">
        <f aca="false">2160000000*(1+Supuestos!$C$36)^5*Estacionalidad!G$13</f>
        <v>181440000</v>
      </c>
      <c r="AF24" s="37" t="n">
        <f aca="false">2160000000*(1+Supuestos!$C$36)^5*Estacionalidad!H$13</f>
        <v>181440000</v>
      </c>
      <c r="AG24" s="37" t="n">
        <f aca="false">2160000000*(1+Supuestos!$C$36)^5*Estacionalidad!I$13</f>
        <v>181440000</v>
      </c>
      <c r="AH24" s="37" t="n">
        <f aca="false">2160000000*(1+Supuestos!$C$36)^5*Estacionalidad!J$13</f>
        <v>181440000</v>
      </c>
      <c r="AI24" s="37" t="n">
        <f aca="false">2160000000*(1+Supuestos!$C$36)^5*Estacionalidad!K$13</f>
        <v>181440000</v>
      </c>
      <c r="AJ24" s="37" t="n">
        <f aca="false">2160000000*(1+Supuestos!$C$36)^5*Estacionalidad!L$13</f>
        <v>181440000</v>
      </c>
      <c r="AK24" s="37" t="n">
        <f aca="false">2160000000*(1+Supuestos!$C$36)^5*Estacionalidad!M$13</f>
        <v>181440000</v>
      </c>
      <c r="AL24" s="37" t="n">
        <f aca="false">2160000000*(1+Supuestos!$C$36)^5*Estacionalidad!N$13</f>
        <v>174960000</v>
      </c>
      <c r="AM24" s="37" t="n">
        <f aca="false">2160000000*(1+Supuestos!$C$36)^6*Estacionalidad!C$13</f>
        <v>174960000</v>
      </c>
      <c r="AN24" s="37" t="n">
        <f aca="false">2160000000*(1+Supuestos!$C$36)^6*Estacionalidad!D$13</f>
        <v>177120000</v>
      </c>
      <c r="AO24" s="37" t="n">
        <f aca="false">2160000000*(1+Supuestos!$C$36)^6*Estacionalidad!E$13</f>
        <v>181440000</v>
      </c>
      <c r="AP24" s="37" t="n">
        <f aca="false">2160000000*(1+Supuestos!$C$36)^6*Estacionalidad!F$13</f>
        <v>181440000</v>
      </c>
      <c r="AQ24" s="37" t="n">
        <f aca="false">2160000000*(1+Supuestos!$C$36)^6*Estacionalidad!G$13</f>
        <v>181440000</v>
      </c>
      <c r="AR24" s="37" t="n">
        <f aca="false">2160000000*(1+Supuestos!$C$36)^6*Estacionalidad!H$13</f>
        <v>181440000</v>
      </c>
      <c r="AS24" s="37" t="n">
        <f aca="false">2160000000*(1+Supuestos!$C$36)^6*Estacionalidad!I$13</f>
        <v>181440000</v>
      </c>
      <c r="AT24" s="37" t="n">
        <f aca="false">2160000000*(1+Supuestos!$C$36)^6*Estacionalidad!J$13</f>
        <v>181440000</v>
      </c>
      <c r="AU24" s="37" t="n">
        <f aca="false">2160000000*(1+Supuestos!$C$36)^6*Estacionalidad!K$13</f>
        <v>181440000</v>
      </c>
      <c r="AV24" s="37" t="n">
        <f aca="false">2160000000*(1+Supuestos!$C$36)^6*Estacionalidad!L$13</f>
        <v>181440000</v>
      </c>
      <c r="AW24" s="37" t="n">
        <f aca="false">2160000000*(1+Supuestos!$C$36)^6*Estacionalidad!M$13</f>
        <v>181440000</v>
      </c>
      <c r="AX24" s="37" t="n">
        <f aca="false">2160000000*(1+Supuestos!$C$36)^6*Estacionalidad!N$13</f>
        <v>174960000</v>
      </c>
      <c r="AY24" s="37" t="n">
        <f aca="false">2160000000*(1+Supuestos!$C$36)^7*Estacionalidad!C$13</f>
        <v>174960000</v>
      </c>
      <c r="AZ24" s="37" t="n">
        <f aca="false">2160000000*(1+Supuestos!$C$36)^7*Estacionalidad!D$13</f>
        <v>177120000</v>
      </c>
      <c r="BA24" s="37" t="n">
        <f aca="false">2160000000*(1+Supuestos!$C$36)^7*Estacionalidad!E$13</f>
        <v>181440000</v>
      </c>
      <c r="BB24" s="37" t="n">
        <f aca="false">2160000000*(1+Supuestos!$C$36)^7*Estacionalidad!F$13</f>
        <v>181440000</v>
      </c>
      <c r="BC24" s="37" t="n">
        <f aca="false">2160000000*(1+Supuestos!$C$36)^7*Estacionalidad!G$13</f>
        <v>181440000</v>
      </c>
      <c r="BD24" s="37" t="n">
        <f aca="false">2160000000*(1+Supuestos!$C$36)^7*Estacionalidad!H$13</f>
        <v>181440000</v>
      </c>
      <c r="BE24" s="37" t="n">
        <f aca="false">2160000000*(1+Supuestos!$C$36)^7*Estacionalidad!I$13</f>
        <v>181440000</v>
      </c>
      <c r="BF24" s="37" t="n">
        <f aca="false">2160000000*(1+Supuestos!$C$36)^7*Estacionalidad!J$13</f>
        <v>181440000</v>
      </c>
      <c r="BG24" s="37" t="n">
        <f aca="false">2160000000*(1+Supuestos!$C$36)^7*Estacionalidad!K$13</f>
        <v>181440000</v>
      </c>
      <c r="BH24" s="37" t="n">
        <f aca="false">2160000000*(1+Supuestos!$C$36)^7*Estacionalidad!L$13</f>
        <v>181440000</v>
      </c>
      <c r="BI24" s="37" t="n">
        <f aca="false">2160000000*(1+Supuestos!$C$36)^7*Estacionalidad!M$13</f>
        <v>181440000</v>
      </c>
      <c r="BJ24" s="37" t="n">
        <f aca="false">2160000000*(1+Supuestos!$C$36)^7*Estacionalidad!N$13</f>
        <v>174960000</v>
      </c>
      <c r="BK24" s="37" t="n">
        <f aca="false">2160000000*(1+Supuestos!$C$36)^8*Estacionalidad!C$13</f>
        <v>174960000</v>
      </c>
      <c r="BL24" s="37" t="n">
        <f aca="false">2160000000*(1+Supuestos!$C$36)^8*Estacionalidad!D$13</f>
        <v>177120000</v>
      </c>
      <c r="BM24" s="37" t="n">
        <f aca="false">2160000000*(1+Supuestos!$C$36)^8*Estacionalidad!E$13</f>
        <v>181440000</v>
      </c>
      <c r="BN24" s="37" t="n">
        <f aca="false">2160000000*(1+Supuestos!$C$36)^8*Estacionalidad!F$13</f>
        <v>181440000</v>
      </c>
      <c r="BO24" s="37" t="n">
        <f aca="false">2160000000*(1+Supuestos!$C$36)^8*Estacionalidad!G$13</f>
        <v>181440000</v>
      </c>
      <c r="BP24" s="37" t="n">
        <f aca="false">2160000000*(1+Supuestos!$C$36)^8*Estacionalidad!H$13</f>
        <v>181440000</v>
      </c>
      <c r="BQ24" s="37" t="n">
        <f aca="false">2160000000*(1+Supuestos!$C$36)^8*Estacionalidad!I$13</f>
        <v>181440000</v>
      </c>
      <c r="BR24" s="37" t="n">
        <f aca="false">2160000000*(1+Supuestos!$C$36)^8*Estacionalidad!J$13</f>
        <v>181440000</v>
      </c>
      <c r="BS24" s="37" t="n">
        <f aca="false">2160000000*(1+Supuestos!$C$36)^8*Estacionalidad!K$13</f>
        <v>181440000</v>
      </c>
      <c r="BT24" s="37" t="n">
        <f aca="false">2160000000*(1+Supuestos!$C$36)^8*Estacionalidad!L$13</f>
        <v>181440000</v>
      </c>
      <c r="BU24" s="37" t="n">
        <f aca="false">2160000000*(1+Supuestos!$C$36)^8*Estacionalidad!M$13</f>
        <v>181440000</v>
      </c>
      <c r="BV24" s="37" t="n">
        <f aca="false">2160000000*(1+Supuestos!$C$36)^8*Estacionalidad!N$13</f>
        <v>174960000</v>
      </c>
      <c r="BW24" s="37" t="n">
        <f aca="false">2160000000*(1+Supuestos!$C$36)^9*Estacionalidad!C$13</f>
        <v>174960000</v>
      </c>
      <c r="BX24" s="37" t="n">
        <f aca="false">2160000000*(1+Supuestos!$C$36)^9*Estacionalidad!D$13</f>
        <v>177120000</v>
      </c>
      <c r="BY24" s="37" t="n">
        <f aca="false">2160000000*(1+Supuestos!$C$36)^9*Estacionalidad!E$13</f>
        <v>181440000</v>
      </c>
      <c r="BZ24" s="37" t="n">
        <f aca="false">2160000000*(1+Supuestos!$C$36)^9*Estacionalidad!F$13</f>
        <v>181440000</v>
      </c>
      <c r="CA24" s="37" t="n">
        <f aca="false">2160000000*(1+Supuestos!$C$36)^9*Estacionalidad!G$13</f>
        <v>181440000</v>
      </c>
      <c r="CB24" s="37" t="n">
        <f aca="false">2160000000*(1+Supuestos!$C$36)^9*Estacionalidad!H$13</f>
        <v>181440000</v>
      </c>
      <c r="CC24" s="37" t="n">
        <f aca="false">2160000000*(1+Supuestos!$C$36)^9*Estacionalidad!I$13</f>
        <v>181440000</v>
      </c>
      <c r="CD24" s="37" t="n">
        <f aca="false">2160000000*(1+Supuestos!$C$36)^9*Estacionalidad!J$13</f>
        <v>181440000</v>
      </c>
      <c r="CE24" s="37" t="n">
        <f aca="false">2160000000*(1+Supuestos!$C$36)^9*Estacionalidad!K$13</f>
        <v>181440000</v>
      </c>
      <c r="CF24" s="37" t="n">
        <f aca="false">2160000000*(1+Supuestos!$C$36)^9*Estacionalidad!L$13</f>
        <v>181440000</v>
      </c>
      <c r="CG24" s="37" t="n">
        <f aca="false">2160000000*(1+Supuestos!$C$36)^9*Estacionalidad!M$13</f>
        <v>181440000</v>
      </c>
      <c r="CH24" s="37" t="n">
        <f aca="false">2160000000*(1+Supuestos!$C$36)^9*Estacionalidad!N$13</f>
        <v>174960000</v>
      </c>
      <c r="CI24" s="37" t="n">
        <f aca="false">2160000000*(1+Supuestos!$C$36)^10*Estacionalidad!C$13</f>
        <v>174960000</v>
      </c>
      <c r="CJ24" s="37" t="n">
        <f aca="false">2160000000*(1+Supuestos!$C$36)^10*Estacionalidad!D$13</f>
        <v>177120000</v>
      </c>
      <c r="CK24" s="37" t="n">
        <f aca="false">2160000000*(1+Supuestos!$C$36)^10*Estacionalidad!E$13</f>
        <v>181440000</v>
      </c>
      <c r="CL24" s="37" t="n">
        <f aca="false">2160000000*(1+Supuestos!$C$36)^10*Estacionalidad!F$13</f>
        <v>181440000</v>
      </c>
      <c r="CM24" s="37" t="n">
        <f aca="false">2160000000*(1+Supuestos!$C$36)^10*Estacionalidad!G$13</f>
        <v>181440000</v>
      </c>
      <c r="CN24" s="37" t="n">
        <f aca="false">2160000000*(1+Supuestos!$C$36)^10*Estacionalidad!H$13</f>
        <v>181440000</v>
      </c>
      <c r="CO24" s="37" t="n">
        <f aca="false">2160000000*(1+Supuestos!$C$36)^10*Estacionalidad!I$13</f>
        <v>181440000</v>
      </c>
      <c r="CP24" s="37" t="n">
        <f aca="false">2160000000*(1+Supuestos!$C$36)^10*Estacionalidad!J$13</f>
        <v>181440000</v>
      </c>
      <c r="CQ24" s="37" t="n">
        <f aca="false">2160000000*(1+Supuestos!$C$36)^10*Estacionalidad!K$13</f>
        <v>181440000</v>
      </c>
      <c r="CR24" s="37" t="n">
        <f aca="false">2160000000*(1+Supuestos!$C$36)^10*Estacionalidad!L$13</f>
        <v>181440000</v>
      </c>
      <c r="CS24" s="37" t="n">
        <f aca="false">2160000000*(1+Supuestos!$C$36)^10*Estacionalidad!M$13</f>
        <v>181440000</v>
      </c>
      <c r="CT24" s="37" t="n">
        <f aca="false">2160000000*(1+Supuestos!$C$36)^10*Estacionalidad!N$13</f>
        <v>174960000</v>
      </c>
    </row>
    <row r="25" customFormat="false" ht="15" hidden="false" customHeight="true" outlineLevel="0" collapsed="false">
      <c r="B25" s="15" t="s">
        <v>354</v>
      </c>
      <c r="C25" s="37" t="n">
        <f aca="false">Deuda!C$9</f>
        <v>1532345367.91667</v>
      </c>
      <c r="D25" s="37" t="n">
        <f aca="false">Deuda!D$9</f>
        <v>1532345367.91667</v>
      </c>
      <c r="E25" s="37" t="n">
        <f aca="false">Deuda!E$9</f>
        <v>1532345367.91667</v>
      </c>
      <c r="F25" s="37" t="n">
        <f aca="false">Deuda!F$9</f>
        <v>1532345367.91667</v>
      </c>
      <c r="G25" s="37" t="n">
        <f aca="false">Deuda!G$9</f>
        <v>1532345367.91667</v>
      </c>
      <c r="H25" s="37" t="n">
        <f aca="false">Deuda!H$9</f>
        <v>1532345367.91667</v>
      </c>
      <c r="I25" s="37" t="n">
        <f aca="false">Deuda!I$9</f>
        <v>1532345367.91667</v>
      </c>
      <c r="J25" s="37" t="n">
        <f aca="false">Deuda!J$9</f>
        <v>1532345367.91667</v>
      </c>
      <c r="K25" s="37" t="n">
        <f aca="false">Deuda!K$9</f>
        <v>1532345367.91667</v>
      </c>
      <c r="L25" s="37" t="n">
        <f aca="false">Deuda!L$9</f>
        <v>1532345367.91667</v>
      </c>
      <c r="M25" s="37" t="n">
        <f aca="false">Deuda!M$9</f>
        <v>1532345367.91667</v>
      </c>
      <c r="N25" s="37" t="n">
        <f aca="false">Deuda!N$9</f>
        <v>1532345367.91667</v>
      </c>
      <c r="O25" s="37" t="n">
        <f aca="false">Deuda!O$9</f>
        <v>1532345367.91667</v>
      </c>
      <c r="P25" s="37" t="n">
        <f aca="false">Deuda!P$9</f>
        <v>1532345367.91667</v>
      </c>
      <c r="Q25" s="37" t="n">
        <f aca="false">Deuda!Q$9</f>
        <v>1532345367.91667</v>
      </c>
      <c r="R25" s="37" t="n">
        <f aca="false">Deuda!R$9</f>
        <v>1532345367.91667</v>
      </c>
      <c r="S25" s="37" t="n">
        <f aca="false">Deuda!S$9</f>
        <v>1532345367.91667</v>
      </c>
      <c r="T25" s="37" t="n">
        <f aca="false">Deuda!T$9</f>
        <v>1532345367.91667</v>
      </c>
      <c r="U25" s="37" t="n">
        <f aca="false">Deuda!U$9</f>
        <v>1532345367.91667</v>
      </c>
      <c r="V25" s="37" t="n">
        <f aca="false">Deuda!V$9</f>
        <v>1532345367.91667</v>
      </c>
      <c r="W25" s="37" t="n">
        <f aca="false">Deuda!W$9</f>
        <v>1532345367.91667</v>
      </c>
      <c r="X25" s="37" t="n">
        <f aca="false">Deuda!X$9</f>
        <v>282345367.916667</v>
      </c>
      <c r="Y25" s="37" t="n">
        <f aca="false">Deuda!Y$9</f>
        <v>282345367.916667</v>
      </c>
      <c r="Z25" s="37" t="n">
        <f aca="false">Deuda!Z$9</f>
        <v>282345367.916667</v>
      </c>
      <c r="AA25" s="37" t="n">
        <f aca="false">Deuda!AA$9</f>
        <v>282345367.916667</v>
      </c>
      <c r="AB25" s="37" t="n">
        <f aca="false">Deuda!AB$9</f>
        <v>282345367.916667</v>
      </c>
      <c r="AC25" s="37" t="n">
        <f aca="false">Deuda!AC$9</f>
        <v>282345367.916667</v>
      </c>
      <c r="AD25" s="37" t="n">
        <f aca="false">Deuda!AD$9</f>
        <v>282345367.916667</v>
      </c>
      <c r="AE25" s="37" t="n">
        <f aca="false">Deuda!AE$9</f>
        <v>282345367.916667</v>
      </c>
      <c r="AF25" s="37" t="n">
        <f aca="false">Deuda!AF$9</f>
        <v>282345367.916667</v>
      </c>
      <c r="AG25" s="37" t="n">
        <f aca="false">Deuda!AG$9</f>
        <v>282345367.916667</v>
      </c>
      <c r="AH25" s="37" t="n">
        <f aca="false">Deuda!AH$9</f>
        <v>207622093.583322</v>
      </c>
      <c r="AI25" s="37" t="n">
        <f aca="false">Deuda!AI$9</f>
        <v>0</v>
      </c>
      <c r="AJ25" s="37" t="n">
        <f aca="false">Deuda!AJ$9</f>
        <v>0</v>
      </c>
      <c r="AK25" s="37" t="n">
        <f aca="false">Deuda!AK$9</f>
        <v>0</v>
      </c>
      <c r="AL25" s="37" t="n">
        <f aca="false">Deuda!AL$9</f>
        <v>0</v>
      </c>
      <c r="AM25" s="37" t="n">
        <f aca="false">Deuda!AM$9</f>
        <v>0</v>
      </c>
      <c r="AN25" s="37" t="n">
        <f aca="false">Deuda!AN$9</f>
        <v>0</v>
      </c>
      <c r="AO25" s="37" t="n">
        <f aca="false">Deuda!AO$9</f>
        <v>0</v>
      </c>
      <c r="AP25" s="37" t="n">
        <f aca="false">Deuda!AP$9</f>
        <v>0</v>
      </c>
      <c r="AQ25" s="37" t="n">
        <f aca="false">Deuda!AQ$9</f>
        <v>0</v>
      </c>
      <c r="AR25" s="37" t="n">
        <f aca="false">Deuda!AR$9</f>
        <v>0</v>
      </c>
      <c r="AS25" s="37" t="n">
        <f aca="false">Deuda!AS$9</f>
        <v>0</v>
      </c>
      <c r="AT25" s="37" t="n">
        <f aca="false">Deuda!AT$9</f>
        <v>0</v>
      </c>
      <c r="AU25" s="37" t="n">
        <f aca="false">Deuda!AU$9</f>
        <v>0</v>
      </c>
      <c r="AV25" s="37" t="n">
        <f aca="false">Deuda!AV$9</f>
        <v>0</v>
      </c>
      <c r="AW25" s="37" t="n">
        <f aca="false">Deuda!AW$9</f>
        <v>0</v>
      </c>
      <c r="AX25" s="37" t="n">
        <f aca="false">Deuda!AX$9</f>
        <v>0</v>
      </c>
      <c r="AY25" s="37" t="n">
        <f aca="false">Deuda!AY$9</f>
        <v>0</v>
      </c>
      <c r="AZ25" s="37" t="n">
        <f aca="false">Deuda!AZ$9</f>
        <v>0</v>
      </c>
      <c r="BA25" s="37" t="n">
        <f aca="false">Deuda!BA$9</f>
        <v>0</v>
      </c>
      <c r="BB25" s="37" t="n">
        <f aca="false">Deuda!BB$9</f>
        <v>0</v>
      </c>
      <c r="BC25" s="37" t="n">
        <f aca="false">Deuda!BC$9</f>
        <v>0</v>
      </c>
      <c r="BD25" s="37" t="n">
        <f aca="false">Deuda!BD$9</f>
        <v>0</v>
      </c>
      <c r="BE25" s="37" t="n">
        <f aca="false">Deuda!BE$9</f>
        <v>0</v>
      </c>
      <c r="BF25" s="37" t="n">
        <f aca="false">Deuda!BF$9</f>
        <v>0</v>
      </c>
      <c r="BG25" s="37" t="n">
        <f aca="false">Deuda!BG$9</f>
        <v>0</v>
      </c>
      <c r="BH25" s="37" t="n">
        <f aca="false">Deuda!BH$9</f>
        <v>0</v>
      </c>
      <c r="BI25" s="37" t="n">
        <f aca="false">Deuda!BI$9</f>
        <v>0</v>
      </c>
      <c r="BJ25" s="37" t="n">
        <f aca="false">Deuda!BJ$9</f>
        <v>0</v>
      </c>
      <c r="BK25" s="37" t="n">
        <f aca="false">Deuda!BK$9</f>
        <v>0</v>
      </c>
      <c r="BL25" s="37" t="n">
        <f aca="false">Deuda!BL$9</f>
        <v>0</v>
      </c>
      <c r="BM25" s="37" t="n">
        <f aca="false">Deuda!BM$9</f>
        <v>0</v>
      </c>
      <c r="BN25" s="37" t="n">
        <f aca="false">Deuda!BN$9</f>
        <v>0</v>
      </c>
      <c r="BO25" s="37" t="n">
        <f aca="false">Deuda!BO$9</f>
        <v>0</v>
      </c>
      <c r="BP25" s="37" t="n">
        <f aca="false">Deuda!BP$9</f>
        <v>0</v>
      </c>
      <c r="BQ25" s="37" t="n">
        <f aca="false">Deuda!BQ$9</f>
        <v>0</v>
      </c>
      <c r="BR25" s="37" t="n">
        <f aca="false">Deuda!BR$9</f>
        <v>0</v>
      </c>
      <c r="BS25" s="37" t="n">
        <f aca="false">Deuda!BS$9</f>
        <v>0</v>
      </c>
      <c r="BT25" s="37" t="n">
        <f aca="false">Deuda!BT$9</f>
        <v>0</v>
      </c>
      <c r="BU25" s="37" t="n">
        <f aca="false">Deuda!BU$9</f>
        <v>0</v>
      </c>
      <c r="BV25" s="37" t="n">
        <f aca="false">Deuda!BV$9</f>
        <v>0</v>
      </c>
      <c r="BW25" s="37" t="n">
        <f aca="false">Deuda!BW$9</f>
        <v>0</v>
      </c>
      <c r="BX25" s="37" t="n">
        <f aca="false">Deuda!BX$9</f>
        <v>0</v>
      </c>
      <c r="BY25" s="37" t="n">
        <f aca="false">Deuda!BY$9</f>
        <v>0</v>
      </c>
      <c r="BZ25" s="37" t="n">
        <f aca="false">Deuda!BZ$9</f>
        <v>0</v>
      </c>
      <c r="CA25" s="37" t="n">
        <f aca="false">Deuda!CA$9</f>
        <v>0</v>
      </c>
      <c r="CB25" s="37" t="n">
        <f aca="false">Deuda!CB$9</f>
        <v>0</v>
      </c>
      <c r="CC25" s="37" t="n">
        <f aca="false">Deuda!CC$9</f>
        <v>0</v>
      </c>
      <c r="CD25" s="37" t="n">
        <f aca="false">Deuda!CD$9</f>
        <v>0</v>
      </c>
      <c r="CE25" s="37" t="n">
        <f aca="false">Deuda!CE$9</f>
        <v>0</v>
      </c>
      <c r="CF25" s="37" t="n">
        <f aca="false">Deuda!CF$9</f>
        <v>0</v>
      </c>
      <c r="CG25" s="37" t="n">
        <f aca="false">Deuda!CG$9</f>
        <v>0</v>
      </c>
      <c r="CH25" s="37" t="n">
        <f aca="false">Deuda!CH$9</f>
        <v>0</v>
      </c>
      <c r="CI25" s="37" t="n">
        <f aca="false">Deuda!CI$9</f>
        <v>0</v>
      </c>
      <c r="CJ25" s="37" t="n">
        <f aca="false">Deuda!CJ$9</f>
        <v>0</v>
      </c>
      <c r="CK25" s="37" t="n">
        <f aca="false">Deuda!CK$9</f>
        <v>0</v>
      </c>
      <c r="CL25" s="37" t="n">
        <f aca="false">Deuda!CL$9</f>
        <v>0</v>
      </c>
      <c r="CM25" s="37" t="n">
        <f aca="false">Deuda!CM$9</f>
        <v>0</v>
      </c>
      <c r="CN25" s="37" t="n">
        <f aca="false">Deuda!CN$9</f>
        <v>0</v>
      </c>
      <c r="CO25" s="37" t="n">
        <f aca="false">Deuda!CO$9</f>
        <v>0</v>
      </c>
      <c r="CP25" s="37" t="n">
        <f aca="false">Deuda!CP$9</f>
        <v>0</v>
      </c>
      <c r="CQ25" s="37" t="n">
        <f aca="false">Deuda!CQ$9</f>
        <v>0</v>
      </c>
      <c r="CR25" s="37" t="n">
        <f aca="false">Deuda!CR$9</f>
        <v>0</v>
      </c>
      <c r="CS25" s="37" t="n">
        <f aca="false">Deuda!CS$9</f>
        <v>0</v>
      </c>
      <c r="CT25" s="37" t="n">
        <f aca="false">Deuda!CT$9</f>
        <v>0</v>
      </c>
    </row>
    <row r="26" customFormat="false" ht="15" hidden="false" customHeight="true" outlineLevel="0" collapsed="false">
      <c r="B26" s="33" t="s">
        <v>355</v>
      </c>
      <c r="C26" s="41" t="n">
        <f aca="false">SUM(C8:C25)</f>
        <v>26880452874.3763</v>
      </c>
      <c r="D26" s="41" t="n">
        <f aca="false">SUM(D8:D25)</f>
        <v>27189716874.3763</v>
      </c>
      <c r="E26" s="41" t="n">
        <f aca="false">SUM(E8:E25)</f>
        <v>27808244874.3763</v>
      </c>
      <c r="F26" s="41" t="n">
        <f aca="false">SUM(F8:F25)</f>
        <v>27808244874.3763</v>
      </c>
      <c r="G26" s="41" t="n">
        <f aca="false">SUM(G8:G25)</f>
        <v>27808244874.3763</v>
      </c>
      <c r="H26" s="41" t="n">
        <f aca="false">SUM(H8:H25)</f>
        <v>27808244874.3763</v>
      </c>
      <c r="I26" s="41" t="n">
        <f aca="false">SUM(I8:I25)</f>
        <v>27808244874.3763</v>
      </c>
      <c r="J26" s="41" t="n">
        <f aca="false">SUM(J8:J25)</f>
        <v>27808244874.3763</v>
      </c>
      <c r="K26" s="41" t="n">
        <f aca="false">SUM(K8:K25)</f>
        <v>27808244874.3763</v>
      </c>
      <c r="L26" s="41" t="n">
        <f aca="false">SUM(L8:L25)</f>
        <v>27808244874.3763</v>
      </c>
      <c r="M26" s="41" t="n">
        <f aca="false">SUM(M8:M25)</f>
        <v>27808244874.3763</v>
      </c>
      <c r="N26" s="41" t="n">
        <f aca="false">SUM(N8:N25)</f>
        <v>26880452874.3763</v>
      </c>
      <c r="O26" s="41" t="n">
        <f aca="false">SUM(O8:O25)</f>
        <v>27178176380.8358</v>
      </c>
      <c r="P26" s="41" t="n">
        <f aca="false">SUM(P8:P25)</f>
        <v>27487440380.8358</v>
      </c>
      <c r="Q26" s="41" t="n">
        <f aca="false">SUM(Q8:Q25)</f>
        <v>28105968380.8358</v>
      </c>
      <c r="R26" s="41" t="n">
        <f aca="false">SUM(R8:R25)</f>
        <v>28105968380.8358</v>
      </c>
      <c r="S26" s="41" t="n">
        <f aca="false">SUM(S8:S25)</f>
        <v>28105968380.8358</v>
      </c>
      <c r="T26" s="41" t="n">
        <f aca="false">SUM(T8:T25)</f>
        <v>28105968380.8358</v>
      </c>
      <c r="U26" s="41" t="n">
        <f aca="false">SUM(U8:U25)</f>
        <v>28105968380.8358</v>
      </c>
      <c r="V26" s="41" t="n">
        <f aca="false">SUM(V8:V25)</f>
        <v>28105968380.8358</v>
      </c>
      <c r="W26" s="41" t="n">
        <f aca="false">SUM(W8:W25)</f>
        <v>28105968380.8358</v>
      </c>
      <c r="X26" s="41" t="n">
        <f aca="false">SUM(X8:X25)</f>
        <v>26855968380.8358</v>
      </c>
      <c r="Y26" s="41" t="n">
        <f aca="false">SUM(Y8:Y25)</f>
        <v>26855968380.8358</v>
      </c>
      <c r="Z26" s="41" t="n">
        <f aca="false">SUM(Z8:Z25)</f>
        <v>25928176380.8358</v>
      </c>
      <c r="AA26" s="41" t="n">
        <f aca="false">SUM(AA8:AA25)</f>
        <v>26225899887.2954</v>
      </c>
      <c r="AB26" s="41" t="n">
        <f aca="false">SUM(AB8:AB25)</f>
        <v>26535163887.2954</v>
      </c>
      <c r="AC26" s="41" t="n">
        <f aca="false">SUM(AC8:AC25)</f>
        <v>27153691887.2954</v>
      </c>
      <c r="AD26" s="41" t="n">
        <f aca="false">SUM(AD8:AD25)</f>
        <v>27153691887.2954</v>
      </c>
      <c r="AE26" s="41" t="n">
        <f aca="false">SUM(AE8:AE25)</f>
        <v>27153691887.2954</v>
      </c>
      <c r="AF26" s="41" t="n">
        <f aca="false">SUM(AF8:AF25)</f>
        <v>27153691887.2954</v>
      </c>
      <c r="AG26" s="41" t="n">
        <f aca="false">SUM(AG8:AG25)</f>
        <v>27153691887.2954</v>
      </c>
      <c r="AH26" s="41" t="n">
        <f aca="false">SUM(AH8:AH25)</f>
        <v>27078968612.9621</v>
      </c>
      <c r="AI26" s="41" t="n">
        <f aca="false">SUM(AI8:AI25)</f>
        <v>26871346519.3788</v>
      </c>
      <c r="AJ26" s="41" t="n">
        <f aca="false">SUM(AJ8:AJ25)</f>
        <v>26871346519.3788</v>
      </c>
      <c r="AK26" s="41" t="n">
        <f aca="false">SUM(AK8:AK25)</f>
        <v>26871346519.3788</v>
      </c>
      <c r="AL26" s="41" t="n">
        <f aca="false">SUM(AL8:AL25)</f>
        <v>25943554519.3788</v>
      </c>
      <c r="AM26" s="41" t="n">
        <f aca="false">SUM(AM8:AM25)</f>
        <v>26211278025.8383</v>
      </c>
      <c r="AN26" s="41" t="n">
        <f aca="false">SUM(AN8:AN25)</f>
        <v>26520542025.8383</v>
      </c>
      <c r="AO26" s="41" t="n">
        <f aca="false">SUM(AO8:AO25)</f>
        <v>27139070025.8383</v>
      </c>
      <c r="AP26" s="41" t="n">
        <f aca="false">SUM(AP8:AP25)</f>
        <v>27139070025.8383</v>
      </c>
      <c r="AQ26" s="41" t="n">
        <f aca="false">SUM(AQ8:AQ25)</f>
        <v>27139070025.8383</v>
      </c>
      <c r="AR26" s="41" t="n">
        <f aca="false">SUM(AR8:AR25)</f>
        <v>27139070025.8383</v>
      </c>
      <c r="AS26" s="41" t="n">
        <f aca="false">SUM(AS8:AS25)</f>
        <v>27139070025.8383</v>
      </c>
      <c r="AT26" s="41" t="n">
        <f aca="false">SUM(AT8:AT25)</f>
        <v>27139070025.8383</v>
      </c>
      <c r="AU26" s="41" t="n">
        <f aca="false">SUM(AU8:AU25)</f>
        <v>27139070025.8383</v>
      </c>
      <c r="AV26" s="41" t="n">
        <f aca="false">SUM(AV8:AV25)</f>
        <v>27139070025.8383</v>
      </c>
      <c r="AW26" s="41" t="n">
        <f aca="false">SUM(AW8:AW25)</f>
        <v>27139070025.8383</v>
      </c>
      <c r="AX26" s="41" t="n">
        <f aca="false">SUM(AX8:AX25)</f>
        <v>26211278025.8383</v>
      </c>
      <c r="AY26" s="41" t="n">
        <f aca="false">SUM(AY8:AY25)</f>
        <v>26211278025.8383</v>
      </c>
      <c r="AZ26" s="41" t="n">
        <f aca="false">SUM(AZ8:AZ25)</f>
        <v>26520542025.8383</v>
      </c>
      <c r="BA26" s="41" t="n">
        <f aca="false">SUM(BA8:BA25)</f>
        <v>27139070025.8383</v>
      </c>
      <c r="BB26" s="41" t="n">
        <f aca="false">SUM(BB8:BB25)</f>
        <v>27139070025.8383</v>
      </c>
      <c r="BC26" s="41" t="n">
        <f aca="false">SUM(BC8:BC25)</f>
        <v>27139070025.8383</v>
      </c>
      <c r="BD26" s="41" t="n">
        <f aca="false">SUM(BD8:BD25)</f>
        <v>27139070025.8383</v>
      </c>
      <c r="BE26" s="41" t="n">
        <f aca="false">SUM(BE8:BE25)</f>
        <v>27139070025.8383</v>
      </c>
      <c r="BF26" s="41" t="n">
        <f aca="false">SUM(BF8:BF25)</f>
        <v>27139070025.8383</v>
      </c>
      <c r="BG26" s="41" t="n">
        <f aca="false">SUM(BG8:BG25)</f>
        <v>27139070025.8383</v>
      </c>
      <c r="BH26" s="41" t="n">
        <f aca="false">SUM(BH8:BH25)</f>
        <v>27139070025.8383</v>
      </c>
      <c r="BI26" s="41" t="n">
        <f aca="false">SUM(BI8:BI25)</f>
        <v>27139070025.8383</v>
      </c>
      <c r="BJ26" s="41" t="n">
        <f aca="false">SUM(BJ8:BJ25)</f>
        <v>26211278025.8383</v>
      </c>
      <c r="BK26" s="41" t="n">
        <f aca="false">SUM(BK8:BK25)</f>
        <v>26211278025.8383</v>
      </c>
      <c r="BL26" s="41" t="n">
        <f aca="false">SUM(BL8:BL25)</f>
        <v>26520542025.8383</v>
      </c>
      <c r="BM26" s="41" t="n">
        <f aca="false">SUM(BM8:BM25)</f>
        <v>27139070025.8383</v>
      </c>
      <c r="BN26" s="41" t="n">
        <f aca="false">SUM(BN8:BN25)</f>
        <v>27139070025.8383</v>
      </c>
      <c r="BO26" s="41" t="n">
        <f aca="false">SUM(BO8:BO25)</f>
        <v>27139070025.8383</v>
      </c>
      <c r="BP26" s="41" t="n">
        <f aca="false">SUM(BP8:BP25)</f>
        <v>27139070025.8383</v>
      </c>
      <c r="BQ26" s="41" t="n">
        <f aca="false">SUM(BQ8:BQ25)</f>
        <v>27139070025.8383</v>
      </c>
      <c r="BR26" s="41" t="n">
        <f aca="false">SUM(BR8:BR25)</f>
        <v>27139070025.8383</v>
      </c>
      <c r="BS26" s="41" t="n">
        <f aca="false">SUM(BS8:BS25)</f>
        <v>27139070025.8383</v>
      </c>
      <c r="BT26" s="41" t="n">
        <f aca="false">SUM(BT8:BT25)</f>
        <v>27139070025.8383</v>
      </c>
      <c r="BU26" s="41" t="n">
        <f aca="false">SUM(BU8:BU25)</f>
        <v>27139070025.8383</v>
      </c>
      <c r="BV26" s="41" t="n">
        <f aca="false">SUM(BV8:BV25)</f>
        <v>26211278025.8383</v>
      </c>
      <c r="BW26" s="41" t="n">
        <f aca="false">SUM(BW8:BW25)</f>
        <v>26211278025.8383</v>
      </c>
      <c r="BX26" s="41" t="n">
        <f aca="false">SUM(BX8:BX25)</f>
        <v>26520542025.8383</v>
      </c>
      <c r="BY26" s="41" t="n">
        <f aca="false">SUM(BY8:BY25)</f>
        <v>27139070025.8383</v>
      </c>
      <c r="BZ26" s="41" t="n">
        <f aca="false">SUM(BZ8:BZ25)</f>
        <v>27139070025.8383</v>
      </c>
      <c r="CA26" s="41" t="n">
        <f aca="false">SUM(CA8:CA25)</f>
        <v>27139070025.8383</v>
      </c>
      <c r="CB26" s="41" t="n">
        <f aca="false">SUM(CB8:CB25)</f>
        <v>27139070025.8383</v>
      </c>
      <c r="CC26" s="41" t="n">
        <f aca="false">SUM(CC8:CC25)</f>
        <v>27139070025.8383</v>
      </c>
      <c r="CD26" s="41" t="n">
        <f aca="false">SUM(CD8:CD25)</f>
        <v>27139070025.8383</v>
      </c>
      <c r="CE26" s="41" t="n">
        <f aca="false">SUM(CE8:CE25)</f>
        <v>27139070025.8383</v>
      </c>
      <c r="CF26" s="41" t="n">
        <f aca="false">SUM(CF8:CF25)</f>
        <v>27139070025.8383</v>
      </c>
      <c r="CG26" s="41" t="n">
        <f aca="false">SUM(CG8:CG25)</f>
        <v>27139070025.8383</v>
      </c>
      <c r="CH26" s="41" t="n">
        <f aca="false">SUM(CH8:CH25)</f>
        <v>26211278025.8383</v>
      </c>
      <c r="CI26" s="41" t="n">
        <f aca="false">SUM(CI8:CI25)</f>
        <v>26211278025.8383</v>
      </c>
      <c r="CJ26" s="41" t="n">
        <f aca="false">SUM(CJ8:CJ25)</f>
        <v>26520542025.8383</v>
      </c>
      <c r="CK26" s="41" t="n">
        <f aca="false">SUM(CK8:CK25)</f>
        <v>27139070025.8383</v>
      </c>
      <c r="CL26" s="41" t="n">
        <f aca="false">SUM(CL8:CL25)</f>
        <v>27139070025.8383</v>
      </c>
      <c r="CM26" s="41" t="n">
        <f aca="false">SUM(CM8:CM25)</f>
        <v>27139070025.8383</v>
      </c>
      <c r="CN26" s="41" t="n">
        <f aca="false">SUM(CN8:CN25)</f>
        <v>27139070025.8383</v>
      </c>
      <c r="CO26" s="41" t="n">
        <f aca="false">SUM(CO8:CO25)</f>
        <v>27139070025.8383</v>
      </c>
      <c r="CP26" s="41" t="n">
        <f aca="false">SUM(CP8:CP25)</f>
        <v>27139070025.8383</v>
      </c>
      <c r="CQ26" s="41" t="n">
        <f aca="false">SUM(CQ8:CQ25)</f>
        <v>27139070025.8383</v>
      </c>
      <c r="CR26" s="41" t="n">
        <f aca="false">SUM(CR8:CR25)</f>
        <v>27139070025.8383</v>
      </c>
      <c r="CS26" s="41" t="n">
        <f aca="false">SUM(CS8:CS25)</f>
        <v>27139070025.8383</v>
      </c>
      <c r="CT26" s="41" t="n">
        <f aca="false">SUM(CT8:CT25)</f>
        <v>26211278025.8383</v>
      </c>
    </row>
    <row r="28" customFormat="false" ht="15" hidden="false" customHeight="true" outlineLevel="0" collapsed="false">
      <c r="B28" s="42" t="s">
        <v>356</v>
      </c>
      <c r="C28" s="47" t="n">
        <f aca="false">IFERROR(C14/C26,0)</f>
        <v>0.235694578123696</v>
      </c>
      <c r="D28" s="47" t="n">
        <f aca="false">IFERROR(D14/D26,0)</f>
        <v>0.235890429813353</v>
      </c>
      <c r="E28" s="47" t="n">
        <f aca="false">IFERROR(E14/E26,0)</f>
        <v>0.236269064433265</v>
      </c>
      <c r="F28" s="47" t="n">
        <f aca="false">IFERROR(F14/F26,0)</f>
        <v>0.236269064433265</v>
      </c>
      <c r="G28" s="47" t="n">
        <f aca="false">IFERROR(G14/G26,0)</f>
        <v>0.236269064433265</v>
      </c>
      <c r="H28" s="47" t="n">
        <f aca="false">IFERROR(H14/H26,0)</f>
        <v>0.236269064433265</v>
      </c>
      <c r="I28" s="47" t="n">
        <f aca="false">IFERROR(I14/I26,0)</f>
        <v>0.236269064433265</v>
      </c>
      <c r="J28" s="47" t="n">
        <f aca="false">IFERROR(J14/J26,0)</f>
        <v>0.236269064433265</v>
      </c>
      <c r="K28" s="47" t="n">
        <f aca="false">IFERROR(K14/K26,0)</f>
        <v>0.236269064433265</v>
      </c>
      <c r="L28" s="47" t="n">
        <f aca="false">IFERROR(L14/L26,0)</f>
        <v>0.236269064433265</v>
      </c>
      <c r="M28" s="47" t="n">
        <f aca="false">IFERROR(M14/M26,0)</f>
        <v>0.236269064433265</v>
      </c>
      <c r="N28" s="47" t="n">
        <f aca="false">IFERROR(N14/N26,0)</f>
        <v>0.235694578123696</v>
      </c>
      <c r="O28" s="47" t="n">
        <f aca="false">IFERROR(O14/O26,0)</f>
        <v>0.233112660364785</v>
      </c>
      <c r="P28" s="47" t="n">
        <f aca="false">IFERROR(P14/P26,0)</f>
        <v>0.233335440155122</v>
      </c>
      <c r="Q28" s="47" t="n">
        <f aca="false">IFERROR(Q14/Q26,0)</f>
        <v>0.233766291592356</v>
      </c>
      <c r="R28" s="47" t="n">
        <f aca="false">IFERROR(R14/R26,0)</f>
        <v>0.233766291592356</v>
      </c>
      <c r="S28" s="47" t="n">
        <f aca="false">IFERROR(S14/S26,0)</f>
        <v>0.233766291592356</v>
      </c>
      <c r="T28" s="47" t="n">
        <f aca="false">IFERROR(T14/T26,0)</f>
        <v>0.233766291592356</v>
      </c>
      <c r="U28" s="47" t="n">
        <f aca="false">IFERROR(U14/U26,0)</f>
        <v>0.233766291592356</v>
      </c>
      <c r="V28" s="47" t="n">
        <f aca="false">IFERROR(V14/V26,0)</f>
        <v>0.233766291592356</v>
      </c>
      <c r="W28" s="47" t="n">
        <f aca="false">IFERROR(W14/W26,0)</f>
        <v>0.233766291592356</v>
      </c>
      <c r="X28" s="47" t="n">
        <f aca="false">IFERROR(X14/X26,0)</f>
        <v>0.244646847465327</v>
      </c>
      <c r="Y28" s="47" t="n">
        <f aca="false">IFERROR(Y14/Y26,0)</f>
        <v>0.244646847465327</v>
      </c>
      <c r="Z28" s="47" t="n">
        <f aca="false">IFERROR(Z14/Z26,0)</f>
        <v>0.244351045246776</v>
      </c>
      <c r="AA28" s="47" t="n">
        <f aca="false">IFERROR(AA14/AA26,0)</f>
        <v>0.241577106113683</v>
      </c>
      <c r="AB28" s="47" t="n">
        <f aca="false">IFERROR(AB14/AB26,0)</f>
        <v>0.241709228827142</v>
      </c>
      <c r="AC28" s="47" t="n">
        <f aca="false">IFERROR(AC14/AC26,0)</f>
        <v>0.241964445471006</v>
      </c>
      <c r="AD28" s="47" t="n">
        <f aca="false">IFERROR(AD14/AD26,0)</f>
        <v>0.241964445471006</v>
      </c>
      <c r="AE28" s="47" t="n">
        <f aca="false">IFERROR(AE14/AE26,0)</f>
        <v>0.241964445471006</v>
      </c>
      <c r="AF28" s="47" t="n">
        <f aca="false">IFERROR(AF14/AF26,0)</f>
        <v>0.241964445471006</v>
      </c>
      <c r="AG28" s="47" t="n">
        <f aca="false">IFERROR(AG14/AG26,0)</f>
        <v>0.241964445471006</v>
      </c>
      <c r="AH28" s="47" t="n">
        <f aca="false">IFERROR(AH14/AH26,0)</f>
        <v>0.242632136175784</v>
      </c>
      <c r="AI28" s="47" t="n">
        <f aca="false">IFERROR(AI14/AI26,0)</f>
        <v>0.244506839106919</v>
      </c>
      <c r="AJ28" s="47" t="n">
        <f aca="false">IFERROR(AJ14/AJ26,0)</f>
        <v>0.244506839106919</v>
      </c>
      <c r="AK28" s="47" t="n">
        <f aca="false">IFERROR(AK14/AK26,0)</f>
        <v>0.244506839106919</v>
      </c>
      <c r="AL28" s="47" t="n">
        <f aca="false">IFERROR(AL14/AL26,0)</f>
        <v>0.244206205254858</v>
      </c>
      <c r="AM28" s="47" t="n">
        <f aca="false">IFERROR(AM14/AM26,0)</f>
        <v>0.241711868980771</v>
      </c>
      <c r="AN28" s="47" t="n">
        <f aca="false">IFERROR(AN14/AN26,0)</f>
        <v>0.241842493028657</v>
      </c>
      <c r="AO28" s="47" t="n">
        <f aca="false">IFERROR(AO14/AO26,0)</f>
        <v>0.242094809945391</v>
      </c>
      <c r="AP28" s="47" t="n">
        <f aca="false">IFERROR(AP14/AP26,0)</f>
        <v>0.242094809945391</v>
      </c>
      <c r="AQ28" s="47" t="n">
        <f aca="false">IFERROR(AQ14/AQ26,0)</f>
        <v>0.242094809945391</v>
      </c>
      <c r="AR28" s="47" t="n">
        <f aca="false">IFERROR(AR14/AR26,0)</f>
        <v>0.242094809945391</v>
      </c>
      <c r="AS28" s="47" t="n">
        <f aca="false">IFERROR(AS14/AS26,0)</f>
        <v>0.242094809945391</v>
      </c>
      <c r="AT28" s="47" t="n">
        <f aca="false">IFERROR(AT14/AT26,0)</f>
        <v>0.242094809945391</v>
      </c>
      <c r="AU28" s="47" t="n">
        <f aca="false">IFERROR(AU14/AU26,0)</f>
        <v>0.242094809945391</v>
      </c>
      <c r="AV28" s="47" t="n">
        <f aca="false">IFERROR(AV14/AV26,0)</f>
        <v>0.242094809945391</v>
      </c>
      <c r="AW28" s="47" t="n">
        <f aca="false">IFERROR(AW14/AW26,0)</f>
        <v>0.242094809945391</v>
      </c>
      <c r="AX28" s="47" t="n">
        <f aca="false">IFERROR(AX14/AX26,0)</f>
        <v>0.241711868980771</v>
      </c>
      <c r="AY28" s="47" t="n">
        <f aca="false">IFERROR(AY14/AY26,0)</f>
        <v>0.241711868980771</v>
      </c>
      <c r="AZ28" s="47" t="n">
        <f aca="false">IFERROR(AZ14/AZ26,0)</f>
        <v>0.241842493028657</v>
      </c>
      <c r="BA28" s="47" t="n">
        <f aca="false">IFERROR(BA14/BA26,0)</f>
        <v>0.242094809945391</v>
      </c>
      <c r="BB28" s="47" t="n">
        <f aca="false">IFERROR(BB14/BB26,0)</f>
        <v>0.242094809945391</v>
      </c>
      <c r="BC28" s="47" t="n">
        <f aca="false">IFERROR(BC14/BC26,0)</f>
        <v>0.242094809945391</v>
      </c>
      <c r="BD28" s="47" t="n">
        <f aca="false">IFERROR(BD14/BD26,0)</f>
        <v>0.242094809945391</v>
      </c>
      <c r="BE28" s="47" t="n">
        <f aca="false">IFERROR(BE14/BE26,0)</f>
        <v>0.242094809945391</v>
      </c>
      <c r="BF28" s="47" t="n">
        <f aca="false">IFERROR(BF14/BF26,0)</f>
        <v>0.242094809945391</v>
      </c>
      <c r="BG28" s="47" t="n">
        <f aca="false">IFERROR(BG14/BG26,0)</f>
        <v>0.242094809945391</v>
      </c>
      <c r="BH28" s="47" t="n">
        <f aca="false">IFERROR(BH14/BH26,0)</f>
        <v>0.242094809945391</v>
      </c>
      <c r="BI28" s="47" t="n">
        <f aca="false">IFERROR(BI14/BI26,0)</f>
        <v>0.242094809945391</v>
      </c>
      <c r="BJ28" s="47" t="n">
        <f aca="false">IFERROR(BJ14/BJ26,0)</f>
        <v>0.241711868980771</v>
      </c>
      <c r="BK28" s="47" t="n">
        <f aca="false">IFERROR(BK14/BK26,0)</f>
        <v>0.241711868980771</v>
      </c>
      <c r="BL28" s="47" t="n">
        <f aca="false">IFERROR(BL14/BL26,0)</f>
        <v>0.241842493028657</v>
      </c>
      <c r="BM28" s="47" t="n">
        <f aca="false">IFERROR(BM14/BM26,0)</f>
        <v>0.242094809945391</v>
      </c>
      <c r="BN28" s="47" t="n">
        <f aca="false">IFERROR(BN14/BN26,0)</f>
        <v>0.242094809945391</v>
      </c>
      <c r="BO28" s="47" t="n">
        <f aca="false">IFERROR(BO14/BO26,0)</f>
        <v>0.242094809945391</v>
      </c>
      <c r="BP28" s="47" t="n">
        <f aca="false">IFERROR(BP14/BP26,0)</f>
        <v>0.242094809945391</v>
      </c>
      <c r="BQ28" s="47" t="n">
        <f aca="false">IFERROR(BQ14/BQ26,0)</f>
        <v>0.242094809945391</v>
      </c>
      <c r="BR28" s="47" t="n">
        <f aca="false">IFERROR(BR14/BR26,0)</f>
        <v>0.242094809945391</v>
      </c>
      <c r="BS28" s="47" t="n">
        <f aca="false">IFERROR(BS14/BS26,0)</f>
        <v>0.242094809945391</v>
      </c>
      <c r="BT28" s="47" t="n">
        <f aca="false">IFERROR(BT14/BT26,0)</f>
        <v>0.242094809945391</v>
      </c>
      <c r="BU28" s="47" t="n">
        <f aca="false">IFERROR(BU14/BU26,0)</f>
        <v>0.242094809945391</v>
      </c>
      <c r="BV28" s="47" t="n">
        <f aca="false">IFERROR(BV14/BV26,0)</f>
        <v>0.241711868980771</v>
      </c>
      <c r="BW28" s="47" t="n">
        <f aca="false">IFERROR(BW14/BW26,0)</f>
        <v>0.241711868980771</v>
      </c>
      <c r="BX28" s="47" t="n">
        <f aca="false">IFERROR(BX14/BX26,0)</f>
        <v>0.241842493028657</v>
      </c>
      <c r="BY28" s="47" t="n">
        <f aca="false">IFERROR(BY14/BY26,0)</f>
        <v>0.242094809945391</v>
      </c>
      <c r="BZ28" s="47" t="n">
        <f aca="false">IFERROR(BZ14/BZ26,0)</f>
        <v>0.242094809945391</v>
      </c>
      <c r="CA28" s="47" t="n">
        <f aca="false">IFERROR(CA14/CA26,0)</f>
        <v>0.242094809945391</v>
      </c>
      <c r="CB28" s="47" t="n">
        <f aca="false">IFERROR(CB14/CB26,0)</f>
        <v>0.242094809945391</v>
      </c>
      <c r="CC28" s="47" t="n">
        <f aca="false">IFERROR(CC14/CC26,0)</f>
        <v>0.242094809945391</v>
      </c>
      <c r="CD28" s="47" t="n">
        <f aca="false">IFERROR(CD14/CD26,0)</f>
        <v>0.242094809945391</v>
      </c>
      <c r="CE28" s="47" t="n">
        <f aca="false">IFERROR(CE14/CE26,0)</f>
        <v>0.242094809945391</v>
      </c>
      <c r="CF28" s="47" t="n">
        <f aca="false">IFERROR(CF14/CF26,0)</f>
        <v>0.242094809945391</v>
      </c>
      <c r="CG28" s="47" t="n">
        <f aca="false">IFERROR(CG14/CG26,0)</f>
        <v>0.242094809945391</v>
      </c>
      <c r="CH28" s="47" t="n">
        <f aca="false">IFERROR(CH14/CH26,0)</f>
        <v>0.241711868980771</v>
      </c>
      <c r="CI28" s="47" t="n">
        <f aca="false">IFERROR(CI14/CI26,0)</f>
        <v>0.241711868980771</v>
      </c>
      <c r="CJ28" s="47" t="n">
        <f aca="false">IFERROR(CJ14/CJ26,0)</f>
        <v>0.241842493028657</v>
      </c>
      <c r="CK28" s="47" t="n">
        <f aca="false">IFERROR(CK14/CK26,0)</f>
        <v>0.242094809945391</v>
      </c>
      <c r="CL28" s="47" t="n">
        <f aca="false">IFERROR(CL14/CL26,0)</f>
        <v>0.242094809945391</v>
      </c>
      <c r="CM28" s="47" t="n">
        <f aca="false">IFERROR(CM14/CM26,0)</f>
        <v>0.242094809945391</v>
      </c>
      <c r="CN28" s="47" t="n">
        <f aca="false">IFERROR(CN14/CN26,0)</f>
        <v>0.242094809945391</v>
      </c>
      <c r="CO28" s="47" t="n">
        <f aca="false">IFERROR(CO14/CO26,0)</f>
        <v>0.242094809945391</v>
      </c>
      <c r="CP28" s="47" t="n">
        <f aca="false">IFERROR(CP14/CP26,0)</f>
        <v>0.242094809945391</v>
      </c>
      <c r="CQ28" s="47" t="n">
        <f aca="false">IFERROR(CQ14/CQ26,0)</f>
        <v>0.242094809945391</v>
      </c>
      <c r="CR28" s="47" t="n">
        <f aca="false">IFERROR(CR14/CR26,0)</f>
        <v>0.242094809945391</v>
      </c>
      <c r="CS28" s="47" t="n">
        <f aca="false">IFERROR(CS14/CS26,0)</f>
        <v>0.242094809945391</v>
      </c>
      <c r="CT28" s="47" t="n">
        <f aca="false">IFERROR(CT14/CT26,0)</f>
        <v>0.241711868980771</v>
      </c>
    </row>
    <row r="29" customFormat="false" ht="15" hidden="false" customHeight="true" outlineLevel="0" collapsed="false">
      <c r="B29" s="42" t="s">
        <v>357</v>
      </c>
      <c r="C29" s="50" t="n">
        <f aca="false">IFERROR(C20/(C21*0.1467),0)</f>
        <v>0.321877687060624</v>
      </c>
      <c r="D29" s="50" t="n">
        <f aca="false">IFERROR(D20/(D21*0.1467),0)</f>
        <v>0.321877687060624</v>
      </c>
      <c r="E29" s="50" t="n">
        <f aca="false">IFERROR(E20/(E21*0.1467),0)</f>
        <v>0.321877687060624</v>
      </c>
      <c r="F29" s="50" t="n">
        <f aca="false">IFERROR(F20/(F21*0.1467),0)</f>
        <v>0.321877687060624</v>
      </c>
      <c r="G29" s="50" t="n">
        <f aca="false">IFERROR(G20/(G21*0.1467),0)</f>
        <v>0.321877687060624</v>
      </c>
      <c r="H29" s="50" t="n">
        <f aca="false">IFERROR(H20/(H21*0.1467),0)</f>
        <v>0.321877687060624</v>
      </c>
      <c r="I29" s="50" t="n">
        <f aca="false">IFERROR(I20/(I21*0.1467),0)</f>
        <v>0.321877687060624</v>
      </c>
      <c r="J29" s="50" t="n">
        <f aca="false">IFERROR(J20/(J21*0.1467),0)</f>
        <v>0.321877687060624</v>
      </c>
      <c r="K29" s="50" t="n">
        <f aca="false">IFERROR(K20/(K21*0.1467),0)</f>
        <v>0.321877687060624</v>
      </c>
      <c r="L29" s="50" t="n">
        <f aca="false">IFERROR(L20/(L21*0.1467),0)</f>
        <v>0.321877687060624</v>
      </c>
      <c r="M29" s="50" t="n">
        <f aca="false">IFERROR(M20/(M21*0.1467),0)</f>
        <v>0.321877687060624</v>
      </c>
      <c r="N29" s="50" t="n">
        <f aca="false">IFERROR(N20/(N21*0.1467),0)</f>
        <v>0.321877687060624</v>
      </c>
      <c r="O29" s="50" t="n">
        <f aca="false">IFERROR(O20/(O21*0.1467),0)</f>
        <v>0.321877687060624</v>
      </c>
      <c r="P29" s="50" t="n">
        <f aca="false">IFERROR(P20/(P21*0.1467),0)</f>
        <v>0.321877687060624</v>
      </c>
      <c r="Q29" s="50" t="n">
        <f aca="false">IFERROR(Q20/(Q21*0.1467),0)</f>
        <v>0.321877687060624</v>
      </c>
      <c r="R29" s="50" t="n">
        <f aca="false">IFERROR(R20/(R21*0.1467),0)</f>
        <v>0.321877687060624</v>
      </c>
      <c r="S29" s="50" t="n">
        <f aca="false">IFERROR(S20/(S21*0.1467),0)</f>
        <v>0.321877687060624</v>
      </c>
      <c r="T29" s="50" t="n">
        <f aca="false">IFERROR(T20/(T21*0.1467),0)</f>
        <v>0.321877687060624</v>
      </c>
      <c r="U29" s="50" t="n">
        <f aca="false">IFERROR(U20/(U21*0.1467),0)</f>
        <v>0.321877687060624</v>
      </c>
      <c r="V29" s="50" t="n">
        <f aca="false">IFERROR(V20/(V21*0.1467),0)</f>
        <v>0.321877687060624</v>
      </c>
      <c r="W29" s="50" t="n">
        <f aca="false">IFERROR(W20/(W21*0.1467),0)</f>
        <v>0.321877687060624</v>
      </c>
      <c r="X29" s="50" t="n">
        <f aca="false">IFERROR(X20/(X21*0.1467),0)</f>
        <v>0.321877687060624</v>
      </c>
      <c r="Y29" s="50" t="n">
        <f aca="false">IFERROR(Y20/(Y21*0.1467),0)</f>
        <v>0.321877687060624</v>
      </c>
      <c r="Z29" s="50" t="n">
        <f aca="false">IFERROR(Z20/(Z21*0.1467),0)</f>
        <v>0.321877687060624</v>
      </c>
      <c r="AA29" s="50" t="n">
        <f aca="false">IFERROR(AA20/(AA21*0.1467),0)</f>
        <v>0.321877687060624</v>
      </c>
      <c r="AB29" s="50" t="n">
        <f aca="false">IFERROR(AB20/(AB21*0.1467),0)</f>
        <v>0.321877687060624</v>
      </c>
      <c r="AC29" s="50" t="n">
        <f aca="false">IFERROR(AC20/(AC21*0.1467),0)</f>
        <v>0.321877687060624</v>
      </c>
      <c r="AD29" s="50" t="n">
        <f aca="false">IFERROR(AD20/(AD21*0.1467),0)</f>
        <v>0.321877687060624</v>
      </c>
      <c r="AE29" s="50" t="n">
        <f aca="false">IFERROR(AE20/(AE21*0.1467),0)</f>
        <v>0.321877687060624</v>
      </c>
      <c r="AF29" s="50" t="n">
        <f aca="false">IFERROR(AF20/(AF21*0.1467),0)</f>
        <v>0.321877687060624</v>
      </c>
      <c r="AG29" s="50" t="n">
        <f aca="false">IFERROR(AG20/(AG21*0.1467),0)</f>
        <v>0.321877687060624</v>
      </c>
      <c r="AH29" s="50" t="n">
        <f aca="false">IFERROR(AH20/(AH21*0.1467),0)</f>
        <v>0.321877687060624</v>
      </c>
      <c r="AI29" s="50" t="n">
        <f aca="false">IFERROR(AI20/(AI21*0.1467),0)</f>
        <v>0.321877687060624</v>
      </c>
      <c r="AJ29" s="50" t="n">
        <f aca="false">IFERROR(AJ20/(AJ21*0.1467),0)</f>
        <v>0.321877687060624</v>
      </c>
      <c r="AK29" s="50" t="n">
        <f aca="false">IFERROR(AK20/(AK21*0.1467),0)</f>
        <v>0.321877687060624</v>
      </c>
      <c r="AL29" s="50" t="n">
        <f aca="false">IFERROR(AL20/(AL21*0.1467),0)</f>
        <v>0.321877687060624</v>
      </c>
      <c r="AM29" s="50" t="n">
        <f aca="false">IFERROR(AM20/(AM21*0.1467),0)</f>
        <v>0.321877687060624</v>
      </c>
      <c r="AN29" s="50" t="n">
        <f aca="false">IFERROR(AN20/(AN21*0.1467),0)</f>
        <v>0.321877687060624</v>
      </c>
      <c r="AO29" s="50" t="n">
        <f aca="false">IFERROR(AO20/(AO21*0.1467),0)</f>
        <v>0.321877687060624</v>
      </c>
      <c r="AP29" s="50" t="n">
        <f aca="false">IFERROR(AP20/(AP21*0.1467),0)</f>
        <v>0.321877687060624</v>
      </c>
      <c r="AQ29" s="50" t="n">
        <f aca="false">IFERROR(AQ20/(AQ21*0.1467),0)</f>
        <v>0.321877687060624</v>
      </c>
      <c r="AR29" s="50" t="n">
        <f aca="false">IFERROR(AR20/(AR21*0.1467),0)</f>
        <v>0.321877687060624</v>
      </c>
      <c r="AS29" s="50" t="n">
        <f aca="false">IFERROR(AS20/(AS21*0.1467),0)</f>
        <v>0.321877687060624</v>
      </c>
      <c r="AT29" s="50" t="n">
        <f aca="false">IFERROR(AT20/(AT21*0.1467),0)</f>
        <v>0.321877687060624</v>
      </c>
      <c r="AU29" s="50" t="n">
        <f aca="false">IFERROR(AU20/(AU21*0.1467),0)</f>
        <v>0.321877687060624</v>
      </c>
      <c r="AV29" s="50" t="n">
        <f aca="false">IFERROR(AV20/(AV21*0.1467),0)</f>
        <v>0.321877687060624</v>
      </c>
      <c r="AW29" s="50" t="n">
        <f aca="false">IFERROR(AW20/(AW21*0.1467),0)</f>
        <v>0.321877687060624</v>
      </c>
      <c r="AX29" s="50" t="n">
        <f aca="false">IFERROR(AX20/(AX21*0.1467),0)</f>
        <v>0.321877687060624</v>
      </c>
      <c r="AY29" s="50" t="n">
        <f aca="false">IFERROR(AY20/(AY21*0.1467),0)</f>
        <v>0.321877687060624</v>
      </c>
      <c r="AZ29" s="50" t="n">
        <f aca="false">IFERROR(AZ20/(AZ21*0.1467),0)</f>
        <v>0.321877687060624</v>
      </c>
      <c r="BA29" s="50" t="n">
        <f aca="false">IFERROR(BA20/(BA21*0.1467),0)</f>
        <v>0.321877687060624</v>
      </c>
      <c r="BB29" s="50" t="n">
        <f aca="false">IFERROR(BB20/(BB21*0.1467),0)</f>
        <v>0.321877687060624</v>
      </c>
      <c r="BC29" s="50" t="n">
        <f aca="false">IFERROR(BC20/(BC21*0.1467),0)</f>
        <v>0.321877687060624</v>
      </c>
      <c r="BD29" s="50" t="n">
        <f aca="false">IFERROR(BD20/(BD21*0.1467),0)</f>
        <v>0.321877687060624</v>
      </c>
      <c r="BE29" s="50" t="n">
        <f aca="false">IFERROR(BE20/(BE21*0.1467),0)</f>
        <v>0.321877687060624</v>
      </c>
      <c r="BF29" s="50" t="n">
        <f aca="false">IFERROR(BF20/(BF21*0.1467),0)</f>
        <v>0.321877687060624</v>
      </c>
      <c r="BG29" s="50" t="n">
        <f aca="false">IFERROR(BG20/(BG21*0.1467),0)</f>
        <v>0.321877687060624</v>
      </c>
      <c r="BH29" s="50" t="n">
        <f aca="false">IFERROR(BH20/(BH21*0.1467),0)</f>
        <v>0.321877687060624</v>
      </c>
      <c r="BI29" s="50" t="n">
        <f aca="false">IFERROR(BI20/(BI21*0.1467),0)</f>
        <v>0.321877687060624</v>
      </c>
      <c r="BJ29" s="50" t="n">
        <f aca="false">IFERROR(BJ20/(BJ21*0.1467),0)</f>
        <v>0.321877687060624</v>
      </c>
      <c r="BK29" s="50" t="n">
        <f aca="false">IFERROR(BK20/(BK21*0.1467),0)</f>
        <v>0.321877687060624</v>
      </c>
      <c r="BL29" s="50" t="n">
        <f aca="false">IFERROR(BL20/(BL21*0.1467),0)</f>
        <v>0.321877687060624</v>
      </c>
      <c r="BM29" s="50" t="n">
        <f aca="false">IFERROR(BM20/(BM21*0.1467),0)</f>
        <v>0.321877687060624</v>
      </c>
      <c r="BN29" s="50" t="n">
        <f aca="false">IFERROR(BN20/(BN21*0.1467),0)</f>
        <v>0.321877687060624</v>
      </c>
      <c r="BO29" s="50" t="n">
        <f aca="false">IFERROR(BO20/(BO21*0.1467),0)</f>
        <v>0.321877687060624</v>
      </c>
      <c r="BP29" s="50" t="n">
        <f aca="false">IFERROR(BP20/(BP21*0.1467),0)</f>
        <v>0.321877687060624</v>
      </c>
      <c r="BQ29" s="50" t="n">
        <f aca="false">IFERROR(BQ20/(BQ21*0.1467),0)</f>
        <v>0.321877687060624</v>
      </c>
      <c r="BR29" s="50" t="n">
        <f aca="false">IFERROR(BR20/(BR21*0.1467),0)</f>
        <v>0.321877687060624</v>
      </c>
      <c r="BS29" s="50" t="n">
        <f aca="false">IFERROR(BS20/(BS21*0.1467),0)</f>
        <v>0.321877687060624</v>
      </c>
      <c r="BT29" s="50" t="n">
        <f aca="false">IFERROR(BT20/(BT21*0.1467),0)</f>
        <v>0.321877687060624</v>
      </c>
      <c r="BU29" s="50" t="n">
        <f aca="false">IFERROR(BU20/(BU21*0.1467),0)</f>
        <v>0.321877687060624</v>
      </c>
      <c r="BV29" s="50" t="n">
        <f aca="false">IFERROR(BV20/(BV21*0.1467),0)</f>
        <v>0.321877687060624</v>
      </c>
      <c r="BW29" s="50" t="n">
        <f aca="false">IFERROR(BW20/(BW21*0.1467),0)</f>
        <v>0.321877687060624</v>
      </c>
      <c r="BX29" s="50" t="n">
        <f aca="false">IFERROR(BX20/(BX21*0.1467),0)</f>
        <v>0.321877687060624</v>
      </c>
      <c r="BY29" s="50" t="n">
        <f aca="false">IFERROR(BY20/(BY21*0.1467),0)</f>
        <v>0.321877687060624</v>
      </c>
      <c r="BZ29" s="50" t="n">
        <f aca="false">IFERROR(BZ20/(BZ21*0.1467),0)</f>
        <v>0.321877687060624</v>
      </c>
      <c r="CA29" s="50" t="n">
        <f aca="false">IFERROR(CA20/(CA21*0.1467),0)</f>
        <v>0.321877687060624</v>
      </c>
      <c r="CB29" s="50" t="n">
        <f aca="false">IFERROR(CB20/(CB21*0.1467),0)</f>
        <v>0.321877687060624</v>
      </c>
      <c r="CC29" s="50" t="n">
        <f aca="false">IFERROR(CC20/(CC21*0.1467),0)</f>
        <v>0.321877687060624</v>
      </c>
      <c r="CD29" s="50" t="n">
        <f aca="false">IFERROR(CD20/(CD21*0.1467),0)</f>
        <v>0.321877687060624</v>
      </c>
      <c r="CE29" s="50" t="n">
        <f aca="false">IFERROR(CE20/(CE21*0.1467),0)</f>
        <v>0.321877687060624</v>
      </c>
      <c r="CF29" s="50" t="n">
        <f aca="false">IFERROR(CF20/(CF21*0.1467),0)</f>
        <v>0.321877687060624</v>
      </c>
      <c r="CG29" s="50" t="n">
        <f aca="false">IFERROR(CG20/(CG21*0.1467),0)</f>
        <v>0.321877687060624</v>
      </c>
      <c r="CH29" s="50" t="n">
        <f aca="false">IFERROR(CH20/(CH21*0.1467),0)</f>
        <v>0.321877687060624</v>
      </c>
      <c r="CI29" s="50" t="n">
        <f aca="false">IFERROR(CI20/(CI21*0.1467),0)</f>
        <v>0.321877687060624</v>
      </c>
      <c r="CJ29" s="50" t="n">
        <f aca="false">IFERROR(CJ20/(CJ21*0.1467),0)</f>
        <v>0.321877687060624</v>
      </c>
      <c r="CK29" s="50" t="n">
        <f aca="false">IFERROR(CK20/(CK21*0.1467),0)</f>
        <v>0.321877687060624</v>
      </c>
      <c r="CL29" s="50" t="n">
        <f aca="false">IFERROR(CL20/(CL21*0.1467),0)</f>
        <v>0.321877687060624</v>
      </c>
      <c r="CM29" s="50" t="n">
        <f aca="false">IFERROR(CM20/(CM21*0.1467),0)</f>
        <v>0.321877687060624</v>
      </c>
      <c r="CN29" s="50" t="n">
        <f aca="false">IFERROR(CN20/(CN21*0.1467),0)</f>
        <v>0.321877687060624</v>
      </c>
      <c r="CO29" s="50" t="n">
        <f aca="false">IFERROR(CO20/(CO21*0.1467),0)</f>
        <v>0.321877687060624</v>
      </c>
      <c r="CP29" s="50" t="n">
        <f aca="false">IFERROR(CP20/(CP21*0.1467),0)</f>
        <v>0.321877687060624</v>
      </c>
      <c r="CQ29" s="50" t="n">
        <f aca="false">IFERROR(CQ20/(CQ21*0.1467),0)</f>
        <v>0.321877687060624</v>
      </c>
      <c r="CR29" s="50" t="n">
        <f aca="false">IFERROR(CR20/(CR21*0.1467),0)</f>
        <v>0.321877687060624</v>
      </c>
      <c r="CS29" s="50" t="n">
        <f aca="false">IFERROR(CS20/(CS21*0.1467),0)</f>
        <v>0.321877687060624</v>
      </c>
      <c r="CT29" s="50" t="n">
        <f aca="false">IFERROR(CT20/(CT21*0.1467),0)</f>
        <v>0.321877687060624</v>
      </c>
    </row>
    <row r="31" customFormat="false" ht="15" hidden="false" customHeight="true" outlineLevel="0" collapsed="false">
      <c r="B31" s="42" t="s">
        <v>358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T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3" t="s">
        <v>359</v>
      </c>
    </row>
    <row r="3" customFormat="false" ht="15" hidden="false" customHeight="true" outlineLevel="0" collapsed="false">
      <c r="B3" s="3" t="s">
        <v>360</v>
      </c>
    </row>
    <row r="5" customFormat="false" ht="15" hidden="false" customHeight="true" outlineLevel="0" collapsed="false">
      <c r="B5" s="32" t="s">
        <v>236</v>
      </c>
      <c r="C5" s="32" t="s">
        <v>237</v>
      </c>
      <c r="D5" s="32"/>
      <c r="E5" s="32"/>
      <c r="F5" s="32"/>
      <c r="G5" s="32"/>
      <c r="H5" s="32"/>
      <c r="I5" s="32"/>
      <c r="J5" s="32"/>
      <c r="K5" s="32"/>
      <c r="L5" s="32"/>
      <c r="M5" s="32"/>
      <c r="N5" s="32"/>
      <c r="O5" s="32" t="s">
        <v>238</v>
      </c>
      <c r="P5" s="32"/>
      <c r="Q5" s="32"/>
      <c r="R5" s="32"/>
      <c r="S5" s="32"/>
      <c r="T5" s="32"/>
      <c r="U5" s="32"/>
      <c r="V5" s="32"/>
      <c r="W5" s="32"/>
      <c r="X5" s="32"/>
      <c r="Y5" s="32"/>
      <c r="Z5" s="32"/>
      <c r="AA5" s="32" t="s">
        <v>239</v>
      </c>
      <c r="AB5" s="32"/>
      <c r="AC5" s="32"/>
      <c r="AD5" s="32"/>
      <c r="AE5" s="32"/>
      <c r="AF5" s="32"/>
      <c r="AG5" s="32"/>
      <c r="AH5" s="32"/>
      <c r="AI5" s="32"/>
      <c r="AJ5" s="32"/>
      <c r="AK5" s="32"/>
      <c r="AL5" s="32"/>
      <c r="AM5" s="32" t="s">
        <v>240</v>
      </c>
      <c r="AN5" s="32"/>
      <c r="AO5" s="32"/>
      <c r="AP5" s="32"/>
      <c r="AQ5" s="32"/>
      <c r="AR5" s="32"/>
      <c r="AS5" s="32"/>
      <c r="AT5" s="32"/>
      <c r="AU5" s="32"/>
      <c r="AV5" s="32"/>
      <c r="AW5" s="32"/>
      <c r="AX5" s="32"/>
      <c r="AY5" s="32" t="s">
        <v>241</v>
      </c>
      <c r="AZ5" s="32"/>
      <c r="BA5" s="32"/>
      <c r="BB5" s="32"/>
      <c r="BC5" s="32"/>
      <c r="BD5" s="32"/>
      <c r="BE5" s="32"/>
      <c r="BF5" s="32"/>
      <c r="BG5" s="32"/>
      <c r="BH5" s="32"/>
      <c r="BI5" s="32"/>
      <c r="BJ5" s="32"/>
      <c r="BK5" s="32" t="s">
        <v>242</v>
      </c>
      <c r="BL5" s="32"/>
      <c r="BM5" s="32"/>
      <c r="BN5" s="32"/>
      <c r="BO5" s="32"/>
      <c r="BP5" s="32"/>
      <c r="BQ5" s="32"/>
      <c r="BR5" s="32"/>
      <c r="BS5" s="32"/>
      <c r="BT5" s="32"/>
      <c r="BU5" s="32"/>
      <c r="BV5" s="32"/>
      <c r="BW5" s="32" t="s">
        <v>243</v>
      </c>
      <c r="BX5" s="32"/>
      <c r="BY5" s="32"/>
      <c r="BZ5" s="32"/>
      <c r="CA5" s="32"/>
      <c r="CB5" s="32"/>
      <c r="CC5" s="32"/>
      <c r="CD5" s="32"/>
      <c r="CE5" s="32"/>
      <c r="CF5" s="32"/>
      <c r="CG5" s="32"/>
      <c r="CH5" s="32"/>
      <c r="CI5" s="32" t="s">
        <v>244</v>
      </c>
      <c r="CJ5" s="32"/>
      <c r="CK5" s="32"/>
      <c r="CL5" s="32"/>
      <c r="CM5" s="32"/>
      <c r="CN5" s="32"/>
      <c r="CO5" s="32"/>
      <c r="CP5" s="32"/>
      <c r="CQ5" s="32"/>
      <c r="CR5" s="32"/>
      <c r="CS5" s="32"/>
      <c r="CT5" s="32"/>
    </row>
    <row r="6" customFormat="false" ht="15" hidden="false" customHeight="true" outlineLevel="0" collapsed="false">
      <c r="B6" s="33" t="s">
        <v>245</v>
      </c>
      <c r="C6" s="34" t="s">
        <v>200</v>
      </c>
      <c r="D6" s="34" t="s">
        <v>201</v>
      </c>
      <c r="E6" s="34" t="s">
        <v>202</v>
      </c>
      <c r="F6" s="34" t="s">
        <v>203</v>
      </c>
      <c r="G6" s="34" t="s">
        <v>204</v>
      </c>
      <c r="H6" s="34" t="s">
        <v>205</v>
      </c>
      <c r="I6" s="34" t="s">
        <v>206</v>
      </c>
      <c r="J6" s="34" t="s">
        <v>207</v>
      </c>
      <c r="K6" s="34" t="s">
        <v>208</v>
      </c>
      <c r="L6" s="34" t="s">
        <v>209</v>
      </c>
      <c r="M6" s="34" t="s">
        <v>210</v>
      </c>
      <c r="N6" s="34" t="s">
        <v>211</v>
      </c>
      <c r="O6" s="34" t="s">
        <v>200</v>
      </c>
      <c r="P6" s="34" t="s">
        <v>201</v>
      </c>
      <c r="Q6" s="34" t="s">
        <v>202</v>
      </c>
      <c r="R6" s="34" t="s">
        <v>203</v>
      </c>
      <c r="S6" s="34" t="s">
        <v>204</v>
      </c>
      <c r="T6" s="34" t="s">
        <v>205</v>
      </c>
      <c r="U6" s="34" t="s">
        <v>206</v>
      </c>
      <c r="V6" s="34" t="s">
        <v>207</v>
      </c>
      <c r="W6" s="34" t="s">
        <v>208</v>
      </c>
      <c r="X6" s="34" t="s">
        <v>209</v>
      </c>
      <c r="Y6" s="34" t="s">
        <v>210</v>
      </c>
      <c r="Z6" s="34" t="s">
        <v>211</v>
      </c>
      <c r="AA6" s="34" t="s">
        <v>200</v>
      </c>
      <c r="AB6" s="34" t="s">
        <v>201</v>
      </c>
      <c r="AC6" s="34" t="s">
        <v>202</v>
      </c>
      <c r="AD6" s="34" t="s">
        <v>203</v>
      </c>
      <c r="AE6" s="34" t="s">
        <v>204</v>
      </c>
      <c r="AF6" s="34" t="s">
        <v>205</v>
      </c>
      <c r="AG6" s="34" t="s">
        <v>206</v>
      </c>
      <c r="AH6" s="34" t="s">
        <v>207</v>
      </c>
      <c r="AI6" s="34" t="s">
        <v>208</v>
      </c>
      <c r="AJ6" s="34" t="s">
        <v>209</v>
      </c>
      <c r="AK6" s="34" t="s">
        <v>210</v>
      </c>
      <c r="AL6" s="34" t="s">
        <v>211</v>
      </c>
      <c r="AM6" s="34" t="s">
        <v>200</v>
      </c>
      <c r="AN6" s="34" t="s">
        <v>201</v>
      </c>
      <c r="AO6" s="34" t="s">
        <v>202</v>
      </c>
      <c r="AP6" s="34" t="s">
        <v>203</v>
      </c>
      <c r="AQ6" s="34" t="s">
        <v>204</v>
      </c>
      <c r="AR6" s="34" t="s">
        <v>205</v>
      </c>
      <c r="AS6" s="34" t="s">
        <v>206</v>
      </c>
      <c r="AT6" s="34" t="s">
        <v>207</v>
      </c>
      <c r="AU6" s="34" t="s">
        <v>208</v>
      </c>
      <c r="AV6" s="34" t="s">
        <v>209</v>
      </c>
      <c r="AW6" s="34" t="s">
        <v>210</v>
      </c>
      <c r="AX6" s="34" t="s">
        <v>211</v>
      </c>
      <c r="AY6" s="34" t="s">
        <v>200</v>
      </c>
      <c r="AZ6" s="34" t="s">
        <v>201</v>
      </c>
      <c r="BA6" s="34" t="s">
        <v>202</v>
      </c>
      <c r="BB6" s="34" t="s">
        <v>203</v>
      </c>
      <c r="BC6" s="34" t="s">
        <v>204</v>
      </c>
      <c r="BD6" s="34" t="s">
        <v>205</v>
      </c>
      <c r="BE6" s="34" t="s">
        <v>206</v>
      </c>
      <c r="BF6" s="34" t="s">
        <v>207</v>
      </c>
      <c r="BG6" s="34" t="s">
        <v>208</v>
      </c>
      <c r="BH6" s="34" t="s">
        <v>209</v>
      </c>
      <c r="BI6" s="34" t="s">
        <v>210</v>
      </c>
      <c r="BJ6" s="34" t="s">
        <v>211</v>
      </c>
      <c r="BK6" s="34" t="s">
        <v>200</v>
      </c>
      <c r="BL6" s="34" t="s">
        <v>201</v>
      </c>
      <c r="BM6" s="34" t="s">
        <v>202</v>
      </c>
      <c r="BN6" s="34" t="s">
        <v>203</v>
      </c>
      <c r="BO6" s="34" t="s">
        <v>204</v>
      </c>
      <c r="BP6" s="34" t="s">
        <v>205</v>
      </c>
      <c r="BQ6" s="34" t="s">
        <v>206</v>
      </c>
      <c r="BR6" s="34" t="s">
        <v>207</v>
      </c>
      <c r="BS6" s="34" t="s">
        <v>208</v>
      </c>
      <c r="BT6" s="34" t="s">
        <v>209</v>
      </c>
      <c r="BU6" s="34" t="s">
        <v>210</v>
      </c>
      <c r="BV6" s="34" t="s">
        <v>211</v>
      </c>
      <c r="BW6" s="34" t="s">
        <v>200</v>
      </c>
      <c r="BX6" s="34" t="s">
        <v>201</v>
      </c>
      <c r="BY6" s="34" t="s">
        <v>202</v>
      </c>
      <c r="BZ6" s="34" t="s">
        <v>203</v>
      </c>
      <c r="CA6" s="34" t="s">
        <v>204</v>
      </c>
      <c r="CB6" s="34" t="s">
        <v>205</v>
      </c>
      <c r="CC6" s="34" t="s">
        <v>206</v>
      </c>
      <c r="CD6" s="34" t="s">
        <v>207</v>
      </c>
      <c r="CE6" s="34" t="s">
        <v>208</v>
      </c>
      <c r="CF6" s="34" t="s">
        <v>209</v>
      </c>
      <c r="CG6" s="34" t="s">
        <v>210</v>
      </c>
      <c r="CH6" s="34" t="s">
        <v>211</v>
      </c>
      <c r="CI6" s="34" t="s">
        <v>200</v>
      </c>
      <c r="CJ6" s="34" t="s">
        <v>201</v>
      </c>
      <c r="CK6" s="34" t="s">
        <v>202</v>
      </c>
      <c r="CL6" s="34" t="s">
        <v>203</v>
      </c>
      <c r="CM6" s="34" t="s">
        <v>204</v>
      </c>
      <c r="CN6" s="34" t="s">
        <v>205</v>
      </c>
      <c r="CO6" s="34" t="s">
        <v>206</v>
      </c>
      <c r="CP6" s="34" t="s">
        <v>207</v>
      </c>
      <c r="CQ6" s="34" t="s">
        <v>208</v>
      </c>
      <c r="CR6" s="34" t="s">
        <v>209</v>
      </c>
      <c r="CS6" s="34" t="s">
        <v>210</v>
      </c>
      <c r="CT6" s="34" t="s">
        <v>211</v>
      </c>
    </row>
    <row r="8" customFormat="false" ht="15" hidden="false" customHeight="true" outlineLevel="0" collapsed="false">
      <c r="B8" s="15" t="s">
        <v>361</v>
      </c>
      <c r="C8" s="37" t="n">
        <f aca="false">Supuestos!$C$21*(1+Supuestos!$C$36)^3*Estacionalidad!C$14</f>
        <v>1734471280.5078</v>
      </c>
      <c r="D8" s="37" t="n">
        <f aca="false">Supuestos!$C$21*(1+Supuestos!$C$36)^3*Estacionalidad!D$14</f>
        <v>2312628374.0104</v>
      </c>
      <c r="E8" s="37" t="n">
        <f aca="false">Supuestos!$C$21*(1+Supuestos!$C$36)^3*Estacionalidad!E$14</f>
        <v>4625256748.0208</v>
      </c>
      <c r="F8" s="37" t="n">
        <f aca="false">Supuestos!$C$21*(1+Supuestos!$C$36)^3*Estacionalidad!F$14</f>
        <v>5203413841.5234</v>
      </c>
      <c r="G8" s="37" t="n">
        <f aca="false">Supuestos!$C$21*(1+Supuestos!$C$36)^3*Estacionalidad!G$14</f>
        <v>5781570935.026</v>
      </c>
      <c r="H8" s="37" t="n">
        <f aca="false">Supuestos!$C$21*(1+Supuestos!$C$36)^3*Estacionalidad!H$14</f>
        <v>5781570935.026</v>
      </c>
      <c r="I8" s="37" t="n">
        <f aca="false">Supuestos!$C$21*(1+Supuestos!$C$36)^3*Estacionalidad!I$14</f>
        <v>5781570935.026</v>
      </c>
      <c r="J8" s="37" t="n">
        <f aca="false">Supuestos!$C$21*(1+Supuestos!$C$36)^3*Estacionalidad!J$14</f>
        <v>5781570935.026</v>
      </c>
      <c r="K8" s="37" t="n">
        <f aca="false">Supuestos!$C$21*(1+Supuestos!$C$36)^3*Estacionalidad!K$14</f>
        <v>5781570935.026</v>
      </c>
      <c r="L8" s="37" t="n">
        <f aca="false">Supuestos!$C$21*(1+Supuestos!$C$36)^3*Estacionalidad!L$14</f>
        <v>5781570935.026</v>
      </c>
      <c r="M8" s="37" t="n">
        <f aca="false">Supuestos!$C$21*(1+Supuestos!$C$36)^3*Estacionalidad!M$14</f>
        <v>5203413841.5234</v>
      </c>
      <c r="N8" s="37" t="n">
        <f aca="false">Supuestos!$C$21*(1+Supuestos!$C$36)^3*Estacionalidad!N$14</f>
        <v>4047099654.5182</v>
      </c>
      <c r="O8" s="37" t="n">
        <f aca="false">Supuestos!$C$21*(1+Supuestos!$C$36)^4*Estacionalidad!C$14</f>
        <v>1734471280.5078</v>
      </c>
      <c r="P8" s="37" t="n">
        <f aca="false">Supuestos!$C$21*(1+Supuestos!$C$36)^4*Estacionalidad!D$14</f>
        <v>2312628374.0104</v>
      </c>
      <c r="Q8" s="37" t="n">
        <f aca="false">Supuestos!$C$21*(1+Supuestos!$C$36)^4*Estacionalidad!E$14</f>
        <v>4625256748.0208</v>
      </c>
      <c r="R8" s="37" t="n">
        <f aca="false">Supuestos!$C$21*(1+Supuestos!$C$36)^4*Estacionalidad!F$14</f>
        <v>5203413841.5234</v>
      </c>
      <c r="S8" s="37" t="n">
        <f aca="false">Supuestos!$C$21*(1+Supuestos!$C$36)^4*Estacionalidad!G$14</f>
        <v>5781570935.026</v>
      </c>
      <c r="T8" s="37" t="n">
        <f aca="false">Supuestos!$C$21*(1+Supuestos!$C$36)^4*Estacionalidad!H$14</f>
        <v>5781570935.026</v>
      </c>
      <c r="U8" s="37" t="n">
        <f aca="false">Supuestos!$C$21*(1+Supuestos!$C$36)^4*Estacionalidad!I$14</f>
        <v>5781570935.026</v>
      </c>
      <c r="V8" s="37" t="n">
        <f aca="false">Supuestos!$C$21*(1+Supuestos!$C$36)^4*Estacionalidad!J$14</f>
        <v>5781570935.026</v>
      </c>
      <c r="W8" s="37" t="n">
        <f aca="false">Supuestos!$C$21*(1+Supuestos!$C$36)^4*Estacionalidad!K$14</f>
        <v>5781570935.026</v>
      </c>
      <c r="X8" s="37" t="n">
        <f aca="false">Supuestos!$C$21*(1+Supuestos!$C$36)^4*Estacionalidad!L$14</f>
        <v>5781570935.026</v>
      </c>
      <c r="Y8" s="37" t="n">
        <f aca="false">Supuestos!$C$21*(1+Supuestos!$C$36)^4*Estacionalidad!M$14</f>
        <v>5203413841.5234</v>
      </c>
      <c r="Z8" s="37" t="n">
        <f aca="false">Supuestos!$C$21*(1+Supuestos!$C$36)^4*Estacionalidad!N$14</f>
        <v>4047099654.5182</v>
      </c>
      <c r="AA8" s="37" t="n">
        <f aca="false">Supuestos!$C$21*(1+Supuestos!$C$36)^5*Estacionalidad!C$14</f>
        <v>1734471280.5078</v>
      </c>
      <c r="AB8" s="37" t="n">
        <f aca="false">Supuestos!$C$21*(1+Supuestos!$C$36)^5*Estacionalidad!D$14</f>
        <v>2312628374.0104</v>
      </c>
      <c r="AC8" s="37" t="n">
        <f aca="false">Supuestos!$C$21*(1+Supuestos!$C$36)^5*Estacionalidad!E$14</f>
        <v>4625256748.0208</v>
      </c>
      <c r="AD8" s="37" t="n">
        <f aca="false">Supuestos!$C$21*(1+Supuestos!$C$36)^5*Estacionalidad!F$14</f>
        <v>5203413841.5234</v>
      </c>
      <c r="AE8" s="37" t="n">
        <f aca="false">Supuestos!$C$21*(1+Supuestos!$C$36)^5*Estacionalidad!G$14</f>
        <v>5781570935.026</v>
      </c>
      <c r="AF8" s="37" t="n">
        <f aca="false">Supuestos!$C$21*(1+Supuestos!$C$36)^5*Estacionalidad!H$14</f>
        <v>5781570935.026</v>
      </c>
      <c r="AG8" s="37" t="n">
        <f aca="false">Supuestos!$C$21*(1+Supuestos!$C$36)^5*Estacionalidad!I$14</f>
        <v>5781570935.026</v>
      </c>
      <c r="AH8" s="37" t="n">
        <f aca="false">Supuestos!$C$21*(1+Supuestos!$C$36)^5*Estacionalidad!J$14</f>
        <v>5781570935.026</v>
      </c>
      <c r="AI8" s="37" t="n">
        <f aca="false">Supuestos!$C$21*(1+Supuestos!$C$36)^5*Estacionalidad!K$14</f>
        <v>5781570935.026</v>
      </c>
      <c r="AJ8" s="37" t="n">
        <f aca="false">Supuestos!$C$21*(1+Supuestos!$C$36)^5*Estacionalidad!L$14</f>
        <v>5781570935.026</v>
      </c>
      <c r="AK8" s="37" t="n">
        <f aca="false">Supuestos!$C$21*(1+Supuestos!$C$36)^5*Estacionalidad!M$14</f>
        <v>5203413841.5234</v>
      </c>
      <c r="AL8" s="37" t="n">
        <f aca="false">Supuestos!$C$21*(1+Supuestos!$C$36)^5*Estacionalidad!N$14</f>
        <v>4047099654.5182</v>
      </c>
      <c r="AM8" s="37" t="n">
        <f aca="false">Supuestos!$C$21*(1+Supuestos!$C$36)^6*Estacionalidad!C$14</f>
        <v>1734471280.5078</v>
      </c>
      <c r="AN8" s="37" t="n">
        <f aca="false">Supuestos!$C$21*(1+Supuestos!$C$36)^6*Estacionalidad!D$14</f>
        <v>2312628374.0104</v>
      </c>
      <c r="AO8" s="37" t="n">
        <f aca="false">Supuestos!$C$21*(1+Supuestos!$C$36)^6*Estacionalidad!E$14</f>
        <v>4625256748.0208</v>
      </c>
      <c r="AP8" s="37" t="n">
        <f aca="false">Supuestos!$C$21*(1+Supuestos!$C$36)^6*Estacionalidad!F$14</f>
        <v>5203413841.5234</v>
      </c>
      <c r="AQ8" s="37" t="n">
        <f aca="false">Supuestos!$C$21*(1+Supuestos!$C$36)^6*Estacionalidad!G$14</f>
        <v>5781570935.026</v>
      </c>
      <c r="AR8" s="37" t="n">
        <f aca="false">Supuestos!$C$21*(1+Supuestos!$C$36)^6*Estacionalidad!H$14</f>
        <v>5781570935.026</v>
      </c>
      <c r="AS8" s="37" t="n">
        <f aca="false">Supuestos!$C$21*(1+Supuestos!$C$36)^6*Estacionalidad!I$14</f>
        <v>5781570935.026</v>
      </c>
      <c r="AT8" s="37" t="n">
        <f aca="false">Supuestos!$C$21*(1+Supuestos!$C$36)^6*Estacionalidad!J$14</f>
        <v>5781570935.026</v>
      </c>
      <c r="AU8" s="37" t="n">
        <f aca="false">Supuestos!$C$21*(1+Supuestos!$C$36)^6*Estacionalidad!K$14</f>
        <v>5781570935.026</v>
      </c>
      <c r="AV8" s="37" t="n">
        <f aca="false">Supuestos!$C$21*(1+Supuestos!$C$36)^6*Estacionalidad!L$14</f>
        <v>5781570935.026</v>
      </c>
      <c r="AW8" s="37" t="n">
        <f aca="false">Supuestos!$C$21*(1+Supuestos!$C$36)^6*Estacionalidad!M$14</f>
        <v>5203413841.5234</v>
      </c>
      <c r="AX8" s="37" t="n">
        <f aca="false">Supuestos!$C$21*(1+Supuestos!$C$36)^6*Estacionalidad!N$14</f>
        <v>4047099654.5182</v>
      </c>
      <c r="AY8" s="37" t="n">
        <f aca="false">Supuestos!$C$21*(1+Supuestos!$C$36)^7*Estacionalidad!C$14</f>
        <v>1734471280.5078</v>
      </c>
      <c r="AZ8" s="37" t="n">
        <f aca="false">Supuestos!$C$21*(1+Supuestos!$C$36)^7*Estacionalidad!D$14</f>
        <v>2312628374.0104</v>
      </c>
      <c r="BA8" s="37" t="n">
        <f aca="false">Supuestos!$C$21*(1+Supuestos!$C$36)^7*Estacionalidad!E$14</f>
        <v>4625256748.0208</v>
      </c>
      <c r="BB8" s="37" t="n">
        <f aca="false">Supuestos!$C$21*(1+Supuestos!$C$36)^7*Estacionalidad!F$14</f>
        <v>5203413841.5234</v>
      </c>
      <c r="BC8" s="37" t="n">
        <f aca="false">Supuestos!$C$21*(1+Supuestos!$C$36)^7*Estacionalidad!G$14</f>
        <v>5781570935.026</v>
      </c>
      <c r="BD8" s="37" t="n">
        <f aca="false">Supuestos!$C$21*(1+Supuestos!$C$36)^7*Estacionalidad!H$14</f>
        <v>5781570935.026</v>
      </c>
      <c r="BE8" s="37" t="n">
        <f aca="false">Supuestos!$C$21*(1+Supuestos!$C$36)^7*Estacionalidad!I$14</f>
        <v>5781570935.026</v>
      </c>
      <c r="BF8" s="37" t="n">
        <f aca="false">Supuestos!$C$21*(1+Supuestos!$C$36)^7*Estacionalidad!J$14</f>
        <v>5781570935.026</v>
      </c>
      <c r="BG8" s="37" t="n">
        <f aca="false">Supuestos!$C$21*(1+Supuestos!$C$36)^7*Estacionalidad!K$14</f>
        <v>5781570935.026</v>
      </c>
      <c r="BH8" s="37" t="n">
        <f aca="false">Supuestos!$C$21*(1+Supuestos!$C$36)^7*Estacionalidad!L$14</f>
        <v>5781570935.026</v>
      </c>
      <c r="BI8" s="37" t="n">
        <f aca="false">Supuestos!$C$21*(1+Supuestos!$C$36)^7*Estacionalidad!M$14</f>
        <v>5203413841.5234</v>
      </c>
      <c r="BJ8" s="37" t="n">
        <f aca="false">Supuestos!$C$21*(1+Supuestos!$C$36)^7*Estacionalidad!N$14</f>
        <v>4047099654.5182</v>
      </c>
      <c r="BK8" s="37" t="n">
        <f aca="false">Supuestos!$C$21*(1+Supuestos!$C$36)^8*Estacionalidad!C$14</f>
        <v>1734471280.5078</v>
      </c>
      <c r="BL8" s="37" t="n">
        <f aca="false">Supuestos!$C$21*(1+Supuestos!$C$36)^8*Estacionalidad!D$14</f>
        <v>2312628374.0104</v>
      </c>
      <c r="BM8" s="37" t="n">
        <f aca="false">Supuestos!$C$21*(1+Supuestos!$C$36)^8*Estacionalidad!E$14</f>
        <v>4625256748.0208</v>
      </c>
      <c r="BN8" s="37" t="n">
        <f aca="false">Supuestos!$C$21*(1+Supuestos!$C$36)^8*Estacionalidad!F$14</f>
        <v>5203413841.5234</v>
      </c>
      <c r="BO8" s="37" t="n">
        <f aca="false">Supuestos!$C$21*(1+Supuestos!$C$36)^8*Estacionalidad!G$14</f>
        <v>5781570935.026</v>
      </c>
      <c r="BP8" s="37" t="n">
        <f aca="false">Supuestos!$C$21*(1+Supuestos!$C$36)^8*Estacionalidad!H$14</f>
        <v>5781570935.026</v>
      </c>
      <c r="BQ8" s="37" t="n">
        <f aca="false">Supuestos!$C$21*(1+Supuestos!$C$36)^8*Estacionalidad!I$14</f>
        <v>5781570935.026</v>
      </c>
      <c r="BR8" s="37" t="n">
        <f aca="false">Supuestos!$C$21*(1+Supuestos!$C$36)^8*Estacionalidad!J$14</f>
        <v>5781570935.026</v>
      </c>
      <c r="BS8" s="37" t="n">
        <f aca="false">Supuestos!$C$21*(1+Supuestos!$C$36)^8*Estacionalidad!K$14</f>
        <v>5781570935.026</v>
      </c>
      <c r="BT8" s="37" t="n">
        <f aca="false">Supuestos!$C$21*(1+Supuestos!$C$36)^8*Estacionalidad!L$14</f>
        <v>5781570935.026</v>
      </c>
      <c r="BU8" s="37" t="n">
        <f aca="false">Supuestos!$C$21*(1+Supuestos!$C$36)^8*Estacionalidad!M$14</f>
        <v>5203413841.5234</v>
      </c>
      <c r="BV8" s="37" t="n">
        <f aca="false">Supuestos!$C$21*(1+Supuestos!$C$36)^8*Estacionalidad!N$14</f>
        <v>4047099654.5182</v>
      </c>
      <c r="BW8" s="37" t="n">
        <f aca="false">Supuestos!$C$21*(1+Supuestos!$C$36)^9*Estacionalidad!C$14</f>
        <v>1734471280.5078</v>
      </c>
      <c r="BX8" s="37" t="n">
        <f aca="false">Supuestos!$C$21*(1+Supuestos!$C$36)^9*Estacionalidad!D$14</f>
        <v>2312628374.0104</v>
      </c>
      <c r="BY8" s="37" t="n">
        <f aca="false">Supuestos!$C$21*(1+Supuestos!$C$36)^9*Estacionalidad!E$14</f>
        <v>4625256748.0208</v>
      </c>
      <c r="BZ8" s="37" t="n">
        <f aca="false">Supuestos!$C$21*(1+Supuestos!$C$36)^9*Estacionalidad!F$14</f>
        <v>5203413841.5234</v>
      </c>
      <c r="CA8" s="37" t="n">
        <f aca="false">Supuestos!$C$21*(1+Supuestos!$C$36)^9*Estacionalidad!G$14</f>
        <v>5781570935.026</v>
      </c>
      <c r="CB8" s="37" t="n">
        <f aca="false">Supuestos!$C$21*(1+Supuestos!$C$36)^9*Estacionalidad!H$14</f>
        <v>5781570935.026</v>
      </c>
      <c r="CC8" s="37" t="n">
        <f aca="false">Supuestos!$C$21*(1+Supuestos!$C$36)^9*Estacionalidad!I$14</f>
        <v>5781570935.026</v>
      </c>
      <c r="CD8" s="37" t="n">
        <f aca="false">Supuestos!$C$21*(1+Supuestos!$C$36)^9*Estacionalidad!J$14</f>
        <v>5781570935.026</v>
      </c>
      <c r="CE8" s="37" t="n">
        <f aca="false">Supuestos!$C$21*(1+Supuestos!$C$36)^9*Estacionalidad!K$14</f>
        <v>5781570935.026</v>
      </c>
      <c r="CF8" s="37" t="n">
        <f aca="false">Supuestos!$C$21*(1+Supuestos!$C$36)^9*Estacionalidad!L$14</f>
        <v>5781570935.026</v>
      </c>
      <c r="CG8" s="37" t="n">
        <f aca="false">Supuestos!$C$21*(1+Supuestos!$C$36)^9*Estacionalidad!M$14</f>
        <v>5203413841.5234</v>
      </c>
      <c r="CH8" s="37" t="n">
        <f aca="false">Supuestos!$C$21*(1+Supuestos!$C$36)^9*Estacionalidad!N$14</f>
        <v>4047099654.5182</v>
      </c>
      <c r="CI8" s="37" t="n">
        <f aca="false">Supuestos!$C$21*(1+Supuestos!$C$36)^10*Estacionalidad!C$14</f>
        <v>1734471280.5078</v>
      </c>
      <c r="CJ8" s="37" t="n">
        <f aca="false">Supuestos!$C$21*(1+Supuestos!$C$36)^10*Estacionalidad!D$14</f>
        <v>2312628374.0104</v>
      </c>
      <c r="CK8" s="37" t="n">
        <f aca="false">Supuestos!$C$21*(1+Supuestos!$C$36)^10*Estacionalidad!E$14</f>
        <v>4625256748.0208</v>
      </c>
      <c r="CL8" s="37" t="n">
        <f aca="false">Supuestos!$C$21*(1+Supuestos!$C$36)^10*Estacionalidad!F$14</f>
        <v>5203413841.5234</v>
      </c>
      <c r="CM8" s="37" t="n">
        <f aca="false">Supuestos!$C$21*(1+Supuestos!$C$36)^10*Estacionalidad!G$14</f>
        <v>5781570935.026</v>
      </c>
      <c r="CN8" s="37" t="n">
        <f aca="false">Supuestos!$C$21*(1+Supuestos!$C$36)^10*Estacionalidad!H$14</f>
        <v>5781570935.026</v>
      </c>
      <c r="CO8" s="37" t="n">
        <f aca="false">Supuestos!$C$21*(1+Supuestos!$C$36)^10*Estacionalidad!I$14</f>
        <v>5781570935.026</v>
      </c>
      <c r="CP8" s="37" t="n">
        <f aca="false">Supuestos!$C$21*(1+Supuestos!$C$36)^10*Estacionalidad!J$14</f>
        <v>5781570935.026</v>
      </c>
      <c r="CQ8" s="37" t="n">
        <f aca="false">Supuestos!$C$21*(1+Supuestos!$C$36)^10*Estacionalidad!K$14</f>
        <v>5781570935.026</v>
      </c>
      <c r="CR8" s="37" t="n">
        <f aca="false">Supuestos!$C$21*(1+Supuestos!$C$36)^10*Estacionalidad!L$14</f>
        <v>5781570935.026</v>
      </c>
      <c r="CS8" s="37" t="n">
        <f aca="false">Supuestos!$C$21*(1+Supuestos!$C$36)^10*Estacionalidad!M$14</f>
        <v>5203413841.5234</v>
      </c>
      <c r="CT8" s="37" t="n">
        <f aca="false">Supuestos!$C$21*(1+Supuestos!$C$36)^10*Estacionalidad!N$14</f>
        <v>4047099654.5182</v>
      </c>
    </row>
    <row r="9" customFormat="false" ht="15" hidden="false" customHeight="true" outlineLevel="0" collapsed="false">
      <c r="B9" s="15" t="s">
        <v>362</v>
      </c>
      <c r="C9" s="51" t="n">
        <f aca="false">Supuestos!$C$42</f>
        <v>0.125</v>
      </c>
      <c r="D9" s="51" t="n">
        <f aca="false">Supuestos!$C$42</f>
        <v>0.125</v>
      </c>
      <c r="E9" s="51" t="n">
        <f aca="false">Supuestos!$C$42</f>
        <v>0.125</v>
      </c>
      <c r="F9" s="51" t="n">
        <f aca="false">Supuestos!$C$42</f>
        <v>0.125</v>
      </c>
      <c r="G9" s="51" t="n">
        <f aca="false">Supuestos!$C$42</f>
        <v>0.125</v>
      </c>
      <c r="H9" s="51" t="n">
        <f aca="false">Supuestos!$C$42</f>
        <v>0.125</v>
      </c>
      <c r="I9" s="51" t="n">
        <f aca="false">Supuestos!$C$42</f>
        <v>0.125</v>
      </c>
      <c r="J9" s="51" t="n">
        <f aca="false">Supuestos!$C$42</f>
        <v>0.125</v>
      </c>
      <c r="K9" s="51" t="n">
        <f aca="false">Supuestos!$C$42</f>
        <v>0.125</v>
      </c>
      <c r="L9" s="51" t="n">
        <f aca="false">Supuestos!$C$42</f>
        <v>0.125</v>
      </c>
      <c r="M9" s="51" t="n">
        <f aca="false">Supuestos!$C$42</f>
        <v>0.125</v>
      </c>
      <c r="N9" s="51" t="n">
        <f aca="false">Supuestos!$C$42</f>
        <v>0.125</v>
      </c>
      <c r="O9" s="51" t="n">
        <f aca="false">Supuestos!$C$43</f>
        <v>0.25</v>
      </c>
      <c r="P9" s="51" t="n">
        <f aca="false">Supuestos!$C$43</f>
        <v>0.25</v>
      </c>
      <c r="Q9" s="51" t="n">
        <f aca="false">Supuestos!$C$43</f>
        <v>0.25</v>
      </c>
      <c r="R9" s="51" t="n">
        <f aca="false">Supuestos!$C$43</f>
        <v>0.25</v>
      </c>
      <c r="S9" s="51" t="n">
        <f aca="false">Supuestos!$C$43</f>
        <v>0.25</v>
      </c>
      <c r="T9" s="51" t="n">
        <f aca="false">Supuestos!$C$43</f>
        <v>0.25</v>
      </c>
      <c r="U9" s="51" t="n">
        <f aca="false">Supuestos!$C$43</f>
        <v>0.25</v>
      </c>
      <c r="V9" s="51" t="n">
        <f aca="false">Supuestos!$C$43</f>
        <v>0.25</v>
      </c>
      <c r="W9" s="51" t="n">
        <f aca="false">Supuestos!$C$43</f>
        <v>0.25</v>
      </c>
      <c r="X9" s="51" t="n">
        <f aca="false">Supuestos!$C$43</f>
        <v>0.25</v>
      </c>
      <c r="Y9" s="51" t="n">
        <f aca="false">Supuestos!$C$43</f>
        <v>0.25</v>
      </c>
      <c r="Z9" s="51" t="n">
        <f aca="false">Supuestos!$C$43</f>
        <v>0.25</v>
      </c>
      <c r="AA9" s="51" t="n">
        <f aca="false">Supuestos!$C$44</f>
        <v>0.375</v>
      </c>
      <c r="AB9" s="51" t="n">
        <f aca="false">Supuestos!$C$44</f>
        <v>0.375</v>
      </c>
      <c r="AC9" s="51" t="n">
        <f aca="false">Supuestos!$C$44</f>
        <v>0.375</v>
      </c>
      <c r="AD9" s="51" t="n">
        <f aca="false">Supuestos!$C$44</f>
        <v>0.375</v>
      </c>
      <c r="AE9" s="51" t="n">
        <f aca="false">Supuestos!$C$44</f>
        <v>0.375</v>
      </c>
      <c r="AF9" s="51" t="n">
        <f aca="false">Supuestos!$C$44</f>
        <v>0.375</v>
      </c>
      <c r="AG9" s="51" t="n">
        <f aca="false">Supuestos!$C$44</f>
        <v>0.375</v>
      </c>
      <c r="AH9" s="51" t="n">
        <f aca="false">Supuestos!$C$44</f>
        <v>0.375</v>
      </c>
      <c r="AI9" s="51" t="n">
        <f aca="false">Supuestos!$C$44</f>
        <v>0.375</v>
      </c>
      <c r="AJ9" s="51" t="n">
        <f aca="false">Supuestos!$C$44</f>
        <v>0.375</v>
      </c>
      <c r="AK9" s="51" t="n">
        <f aca="false">Supuestos!$C$44</f>
        <v>0.375</v>
      </c>
      <c r="AL9" s="51" t="n">
        <f aca="false">Supuestos!$C$44</f>
        <v>0.375</v>
      </c>
      <c r="AM9" s="51" t="n">
        <f aca="false">Supuestos!$C$45</f>
        <v>0.5</v>
      </c>
      <c r="AN9" s="51" t="n">
        <f aca="false">Supuestos!$C$45</f>
        <v>0.5</v>
      </c>
      <c r="AO9" s="51" t="n">
        <f aca="false">Supuestos!$C$45</f>
        <v>0.5</v>
      </c>
      <c r="AP9" s="51" t="n">
        <f aca="false">Supuestos!$C$45</f>
        <v>0.5</v>
      </c>
      <c r="AQ9" s="51" t="n">
        <f aca="false">Supuestos!$C$45</f>
        <v>0.5</v>
      </c>
      <c r="AR9" s="51" t="n">
        <f aca="false">Supuestos!$C$45</f>
        <v>0.5</v>
      </c>
      <c r="AS9" s="51" t="n">
        <f aca="false">Supuestos!$C$45</f>
        <v>0.5</v>
      </c>
      <c r="AT9" s="51" t="n">
        <f aca="false">Supuestos!$C$45</f>
        <v>0.5</v>
      </c>
      <c r="AU9" s="51" t="n">
        <f aca="false">Supuestos!$C$45</f>
        <v>0.5</v>
      </c>
      <c r="AV9" s="51" t="n">
        <f aca="false">Supuestos!$C$45</f>
        <v>0.5</v>
      </c>
      <c r="AW9" s="51" t="n">
        <f aca="false">Supuestos!$C$45</f>
        <v>0.5</v>
      </c>
      <c r="AX9" s="51" t="n">
        <f aca="false">Supuestos!$C$45</f>
        <v>0.5</v>
      </c>
      <c r="AY9" s="51" t="n">
        <f aca="false">Supuestos!$C$46</f>
        <v>0.5</v>
      </c>
      <c r="AZ9" s="51" t="n">
        <f aca="false">Supuestos!$C$46</f>
        <v>0.5</v>
      </c>
      <c r="BA9" s="51" t="n">
        <f aca="false">Supuestos!$C$46</f>
        <v>0.5</v>
      </c>
      <c r="BB9" s="51" t="n">
        <f aca="false">Supuestos!$C$46</f>
        <v>0.5</v>
      </c>
      <c r="BC9" s="51" t="n">
        <f aca="false">Supuestos!$C$46</f>
        <v>0.5</v>
      </c>
      <c r="BD9" s="51" t="n">
        <f aca="false">Supuestos!$C$46</f>
        <v>0.5</v>
      </c>
      <c r="BE9" s="51" t="n">
        <f aca="false">Supuestos!$C$46</f>
        <v>0.5</v>
      </c>
      <c r="BF9" s="51" t="n">
        <f aca="false">Supuestos!$C$46</f>
        <v>0.5</v>
      </c>
      <c r="BG9" s="51" t="n">
        <f aca="false">Supuestos!$C$46</f>
        <v>0.5</v>
      </c>
      <c r="BH9" s="51" t="n">
        <f aca="false">Supuestos!$C$46</f>
        <v>0.5</v>
      </c>
      <c r="BI9" s="51" t="n">
        <f aca="false">Supuestos!$C$46</f>
        <v>0.5</v>
      </c>
      <c r="BJ9" s="51" t="n">
        <f aca="false">Supuestos!$C$46</f>
        <v>0.5</v>
      </c>
      <c r="BK9" s="51" t="n">
        <f aca="false">Supuestos!$C$46</f>
        <v>0.5</v>
      </c>
      <c r="BL9" s="51" t="n">
        <f aca="false">Supuestos!$C$46</f>
        <v>0.5</v>
      </c>
      <c r="BM9" s="51" t="n">
        <f aca="false">Supuestos!$C$46</f>
        <v>0.5</v>
      </c>
      <c r="BN9" s="51" t="n">
        <f aca="false">Supuestos!$C$46</f>
        <v>0.5</v>
      </c>
      <c r="BO9" s="51" t="n">
        <f aca="false">Supuestos!$C$46</f>
        <v>0.5</v>
      </c>
      <c r="BP9" s="51" t="n">
        <f aca="false">Supuestos!$C$46</f>
        <v>0.5</v>
      </c>
      <c r="BQ9" s="51" t="n">
        <f aca="false">Supuestos!$C$46</f>
        <v>0.5</v>
      </c>
      <c r="BR9" s="51" t="n">
        <f aca="false">Supuestos!$C$46</f>
        <v>0.5</v>
      </c>
      <c r="BS9" s="51" t="n">
        <f aca="false">Supuestos!$C$46</f>
        <v>0.5</v>
      </c>
      <c r="BT9" s="51" t="n">
        <f aca="false">Supuestos!$C$46</f>
        <v>0.5</v>
      </c>
      <c r="BU9" s="51" t="n">
        <f aca="false">Supuestos!$C$46</f>
        <v>0.5</v>
      </c>
      <c r="BV9" s="51" t="n">
        <f aca="false">Supuestos!$C$46</f>
        <v>0.5</v>
      </c>
      <c r="BW9" s="51" t="n">
        <f aca="false">Supuestos!$C$46</f>
        <v>0.5</v>
      </c>
      <c r="BX9" s="51" t="n">
        <f aca="false">Supuestos!$C$46</f>
        <v>0.5</v>
      </c>
      <c r="BY9" s="51" t="n">
        <f aca="false">Supuestos!$C$46</f>
        <v>0.5</v>
      </c>
      <c r="BZ9" s="51" t="n">
        <f aca="false">Supuestos!$C$46</f>
        <v>0.5</v>
      </c>
      <c r="CA9" s="51" t="n">
        <f aca="false">Supuestos!$C$46</f>
        <v>0.5</v>
      </c>
      <c r="CB9" s="51" t="n">
        <f aca="false">Supuestos!$C$46</f>
        <v>0.5</v>
      </c>
      <c r="CC9" s="51" t="n">
        <f aca="false">Supuestos!$C$46</f>
        <v>0.5</v>
      </c>
      <c r="CD9" s="51" t="n">
        <f aca="false">Supuestos!$C$46</f>
        <v>0.5</v>
      </c>
      <c r="CE9" s="51" t="n">
        <f aca="false">Supuestos!$C$46</f>
        <v>0.5</v>
      </c>
      <c r="CF9" s="51" t="n">
        <f aca="false">Supuestos!$C$46</f>
        <v>0.5</v>
      </c>
      <c r="CG9" s="51" t="n">
        <f aca="false">Supuestos!$C$46</f>
        <v>0.5</v>
      </c>
      <c r="CH9" s="51" t="n">
        <f aca="false">Supuestos!$C$46</f>
        <v>0.5</v>
      </c>
      <c r="CI9" s="51" t="n">
        <f aca="false">Supuestos!$C$46</f>
        <v>0.5</v>
      </c>
      <c r="CJ9" s="51" t="n">
        <f aca="false">Supuestos!$C$46</f>
        <v>0.5</v>
      </c>
      <c r="CK9" s="51" t="n">
        <f aca="false">Supuestos!$C$46</f>
        <v>0.5</v>
      </c>
      <c r="CL9" s="51" t="n">
        <f aca="false">Supuestos!$C$46</f>
        <v>0.5</v>
      </c>
      <c r="CM9" s="51" t="n">
        <f aca="false">Supuestos!$C$46</f>
        <v>0.5</v>
      </c>
      <c r="CN9" s="51" t="n">
        <f aca="false">Supuestos!$C$46</f>
        <v>0.5</v>
      </c>
      <c r="CO9" s="51" t="n">
        <f aca="false">Supuestos!$C$46</f>
        <v>0.5</v>
      </c>
      <c r="CP9" s="51" t="n">
        <f aca="false">Supuestos!$C$46</f>
        <v>0.5</v>
      </c>
      <c r="CQ9" s="51" t="n">
        <f aca="false">Supuestos!$C$46</f>
        <v>0.5</v>
      </c>
      <c r="CR9" s="51" t="n">
        <f aca="false">Supuestos!$C$46</f>
        <v>0.5</v>
      </c>
      <c r="CS9" s="51" t="n">
        <f aca="false">Supuestos!$C$46</f>
        <v>0.5</v>
      </c>
      <c r="CT9" s="51" t="n">
        <f aca="false">Supuestos!$C$46</f>
        <v>0.5</v>
      </c>
    </row>
    <row r="10" customFormat="false" ht="15" hidden="false" customHeight="true" outlineLevel="0" collapsed="false">
      <c r="B10" s="38" t="s">
        <v>363</v>
      </c>
      <c r="C10" s="39" t="n">
        <f aca="false">C8*C9</f>
        <v>216808910.063475</v>
      </c>
      <c r="D10" s="39" t="n">
        <f aca="false">D8*D9</f>
        <v>289078546.7513</v>
      </c>
      <c r="E10" s="39" t="n">
        <f aca="false">E8*E9</f>
        <v>578157093.5026</v>
      </c>
      <c r="F10" s="39" t="n">
        <f aca="false">F8*F9</f>
        <v>650426730.190425</v>
      </c>
      <c r="G10" s="39" t="n">
        <f aca="false">G8*G9</f>
        <v>722696366.87825</v>
      </c>
      <c r="H10" s="39" t="n">
        <f aca="false">H8*H9</f>
        <v>722696366.87825</v>
      </c>
      <c r="I10" s="39" t="n">
        <f aca="false">I8*I9</f>
        <v>722696366.87825</v>
      </c>
      <c r="J10" s="39" t="n">
        <f aca="false">J8*J9</f>
        <v>722696366.87825</v>
      </c>
      <c r="K10" s="39" t="n">
        <f aca="false">K8*K9</f>
        <v>722696366.87825</v>
      </c>
      <c r="L10" s="39" t="n">
        <f aca="false">L8*L9</f>
        <v>722696366.87825</v>
      </c>
      <c r="M10" s="39" t="n">
        <f aca="false">M8*M9</f>
        <v>650426730.190425</v>
      </c>
      <c r="N10" s="39" t="n">
        <f aca="false">N8*N9</f>
        <v>505887456.814775</v>
      </c>
      <c r="O10" s="39" t="n">
        <f aca="false">O8*O9</f>
        <v>433617820.12695</v>
      </c>
      <c r="P10" s="39" t="n">
        <f aca="false">P8*P9</f>
        <v>578157093.5026</v>
      </c>
      <c r="Q10" s="39" t="n">
        <f aca="false">Q8*Q9</f>
        <v>1156314187.0052</v>
      </c>
      <c r="R10" s="39" t="n">
        <f aca="false">R8*R9</f>
        <v>1300853460.38085</v>
      </c>
      <c r="S10" s="39" t="n">
        <f aca="false">S8*S9</f>
        <v>1445392733.7565</v>
      </c>
      <c r="T10" s="39" t="n">
        <f aca="false">T8*T9</f>
        <v>1445392733.7565</v>
      </c>
      <c r="U10" s="39" t="n">
        <f aca="false">U8*U9</f>
        <v>1445392733.7565</v>
      </c>
      <c r="V10" s="39" t="n">
        <f aca="false">V8*V9</f>
        <v>1445392733.7565</v>
      </c>
      <c r="W10" s="39" t="n">
        <f aca="false">W8*W9</f>
        <v>1445392733.7565</v>
      </c>
      <c r="X10" s="39" t="n">
        <f aca="false">X8*X9</f>
        <v>1445392733.7565</v>
      </c>
      <c r="Y10" s="39" t="n">
        <f aca="false">Y8*Y9</f>
        <v>1300853460.38085</v>
      </c>
      <c r="Z10" s="39" t="n">
        <f aca="false">Z8*Z9</f>
        <v>1011774913.62955</v>
      </c>
      <c r="AA10" s="39" t="n">
        <f aca="false">AA8*AA9</f>
        <v>650426730.190425</v>
      </c>
      <c r="AB10" s="39" t="n">
        <f aca="false">AB8*AB9</f>
        <v>867235640.2539</v>
      </c>
      <c r="AC10" s="39" t="n">
        <f aca="false">AC8*AC9</f>
        <v>1734471280.5078</v>
      </c>
      <c r="AD10" s="39" t="n">
        <f aca="false">AD8*AD9</f>
        <v>1951280190.57128</v>
      </c>
      <c r="AE10" s="39" t="n">
        <f aca="false">AE8*AE9</f>
        <v>2168089100.63475</v>
      </c>
      <c r="AF10" s="39" t="n">
        <f aca="false">AF8*AF9</f>
        <v>2168089100.63475</v>
      </c>
      <c r="AG10" s="39" t="n">
        <f aca="false">AG8*AG9</f>
        <v>2168089100.63475</v>
      </c>
      <c r="AH10" s="39" t="n">
        <f aca="false">AH8*AH9</f>
        <v>2168089100.63475</v>
      </c>
      <c r="AI10" s="39" t="n">
        <f aca="false">AI8*AI9</f>
        <v>2168089100.63475</v>
      </c>
      <c r="AJ10" s="39" t="n">
        <f aca="false">AJ8*AJ9</f>
        <v>2168089100.63475</v>
      </c>
      <c r="AK10" s="39" t="n">
        <f aca="false">AK8*AK9</f>
        <v>1951280190.57128</v>
      </c>
      <c r="AL10" s="39" t="n">
        <f aca="false">AL8*AL9</f>
        <v>1517662370.44433</v>
      </c>
      <c r="AM10" s="39" t="n">
        <f aca="false">AM8*AM9</f>
        <v>867235640.2539</v>
      </c>
      <c r="AN10" s="39" t="n">
        <f aca="false">AN8*AN9</f>
        <v>1156314187.0052</v>
      </c>
      <c r="AO10" s="39" t="n">
        <f aca="false">AO8*AO9</f>
        <v>2312628374.0104</v>
      </c>
      <c r="AP10" s="39" t="n">
        <f aca="false">AP8*AP9</f>
        <v>2601706920.7617</v>
      </c>
      <c r="AQ10" s="39" t="n">
        <f aca="false">AQ8*AQ9</f>
        <v>2890785467.513</v>
      </c>
      <c r="AR10" s="39" t="n">
        <f aca="false">AR8*AR9</f>
        <v>2890785467.513</v>
      </c>
      <c r="AS10" s="39" t="n">
        <f aca="false">AS8*AS9</f>
        <v>2890785467.513</v>
      </c>
      <c r="AT10" s="39" t="n">
        <f aca="false">AT8*AT9</f>
        <v>2890785467.513</v>
      </c>
      <c r="AU10" s="39" t="n">
        <f aca="false">AU8*AU9</f>
        <v>2890785467.513</v>
      </c>
      <c r="AV10" s="39" t="n">
        <f aca="false">AV8*AV9</f>
        <v>2890785467.513</v>
      </c>
      <c r="AW10" s="39" t="n">
        <f aca="false">AW8*AW9</f>
        <v>2601706920.7617</v>
      </c>
      <c r="AX10" s="39" t="n">
        <f aca="false">AX8*AX9</f>
        <v>2023549827.2591</v>
      </c>
      <c r="AY10" s="39" t="n">
        <f aca="false">AY8*AY9</f>
        <v>867235640.2539</v>
      </c>
      <c r="AZ10" s="39" t="n">
        <f aca="false">AZ8*AZ9</f>
        <v>1156314187.0052</v>
      </c>
      <c r="BA10" s="39" t="n">
        <f aca="false">BA8*BA9</f>
        <v>2312628374.0104</v>
      </c>
      <c r="BB10" s="39" t="n">
        <f aca="false">BB8*BB9</f>
        <v>2601706920.7617</v>
      </c>
      <c r="BC10" s="39" t="n">
        <f aca="false">BC8*BC9</f>
        <v>2890785467.513</v>
      </c>
      <c r="BD10" s="39" t="n">
        <f aca="false">BD8*BD9</f>
        <v>2890785467.513</v>
      </c>
      <c r="BE10" s="39" t="n">
        <f aca="false">BE8*BE9</f>
        <v>2890785467.513</v>
      </c>
      <c r="BF10" s="39" t="n">
        <f aca="false">BF8*BF9</f>
        <v>2890785467.513</v>
      </c>
      <c r="BG10" s="39" t="n">
        <f aca="false">BG8*BG9</f>
        <v>2890785467.513</v>
      </c>
      <c r="BH10" s="39" t="n">
        <f aca="false">BH8*BH9</f>
        <v>2890785467.513</v>
      </c>
      <c r="BI10" s="39" t="n">
        <f aca="false">BI8*BI9</f>
        <v>2601706920.7617</v>
      </c>
      <c r="BJ10" s="39" t="n">
        <f aca="false">BJ8*BJ9</f>
        <v>2023549827.2591</v>
      </c>
      <c r="BK10" s="39" t="n">
        <f aca="false">BK8*BK9</f>
        <v>867235640.2539</v>
      </c>
      <c r="BL10" s="39" t="n">
        <f aca="false">BL8*BL9</f>
        <v>1156314187.0052</v>
      </c>
      <c r="BM10" s="39" t="n">
        <f aca="false">BM8*BM9</f>
        <v>2312628374.0104</v>
      </c>
      <c r="BN10" s="39" t="n">
        <f aca="false">BN8*BN9</f>
        <v>2601706920.7617</v>
      </c>
      <c r="BO10" s="39" t="n">
        <f aca="false">BO8*BO9</f>
        <v>2890785467.513</v>
      </c>
      <c r="BP10" s="39" t="n">
        <f aca="false">BP8*BP9</f>
        <v>2890785467.513</v>
      </c>
      <c r="BQ10" s="39" t="n">
        <f aca="false">BQ8*BQ9</f>
        <v>2890785467.513</v>
      </c>
      <c r="BR10" s="39" t="n">
        <f aca="false">BR8*BR9</f>
        <v>2890785467.513</v>
      </c>
      <c r="BS10" s="39" t="n">
        <f aca="false">BS8*BS9</f>
        <v>2890785467.513</v>
      </c>
      <c r="BT10" s="39" t="n">
        <f aca="false">BT8*BT9</f>
        <v>2890785467.513</v>
      </c>
      <c r="BU10" s="39" t="n">
        <f aca="false">BU8*BU9</f>
        <v>2601706920.7617</v>
      </c>
      <c r="BV10" s="39" t="n">
        <f aca="false">BV8*BV9</f>
        <v>2023549827.2591</v>
      </c>
      <c r="BW10" s="39" t="n">
        <f aca="false">BW8*BW9</f>
        <v>867235640.2539</v>
      </c>
      <c r="BX10" s="39" t="n">
        <f aca="false">BX8*BX9</f>
        <v>1156314187.0052</v>
      </c>
      <c r="BY10" s="39" t="n">
        <f aca="false">BY8*BY9</f>
        <v>2312628374.0104</v>
      </c>
      <c r="BZ10" s="39" t="n">
        <f aca="false">BZ8*BZ9</f>
        <v>2601706920.7617</v>
      </c>
      <c r="CA10" s="39" t="n">
        <f aca="false">CA8*CA9</f>
        <v>2890785467.513</v>
      </c>
      <c r="CB10" s="39" t="n">
        <f aca="false">CB8*CB9</f>
        <v>2890785467.513</v>
      </c>
      <c r="CC10" s="39" t="n">
        <f aca="false">CC8*CC9</f>
        <v>2890785467.513</v>
      </c>
      <c r="CD10" s="39" t="n">
        <f aca="false">CD8*CD9</f>
        <v>2890785467.513</v>
      </c>
      <c r="CE10" s="39" t="n">
        <f aca="false">CE8*CE9</f>
        <v>2890785467.513</v>
      </c>
      <c r="CF10" s="39" t="n">
        <f aca="false">CF8*CF9</f>
        <v>2890785467.513</v>
      </c>
      <c r="CG10" s="39" t="n">
        <f aca="false">CG8*CG9</f>
        <v>2601706920.7617</v>
      </c>
      <c r="CH10" s="39" t="n">
        <f aca="false">CH8*CH9</f>
        <v>2023549827.2591</v>
      </c>
      <c r="CI10" s="39" t="n">
        <f aca="false">CI8*CI9</f>
        <v>867235640.2539</v>
      </c>
      <c r="CJ10" s="39" t="n">
        <f aca="false">CJ8*CJ9</f>
        <v>1156314187.0052</v>
      </c>
      <c r="CK10" s="39" t="n">
        <f aca="false">CK8*CK9</f>
        <v>2312628374.0104</v>
      </c>
      <c r="CL10" s="39" t="n">
        <f aca="false">CL8*CL9</f>
        <v>2601706920.7617</v>
      </c>
      <c r="CM10" s="39" t="n">
        <f aca="false">CM8*CM9</f>
        <v>2890785467.513</v>
      </c>
      <c r="CN10" s="39" t="n">
        <f aca="false">CN8*CN9</f>
        <v>2890785467.513</v>
      </c>
      <c r="CO10" s="39" t="n">
        <f aca="false">CO8*CO9</f>
        <v>2890785467.513</v>
      </c>
      <c r="CP10" s="39" t="n">
        <f aca="false">CP8*CP9</f>
        <v>2890785467.513</v>
      </c>
      <c r="CQ10" s="39" t="n">
        <f aca="false">CQ8*CQ9</f>
        <v>2890785467.513</v>
      </c>
      <c r="CR10" s="39" t="n">
        <f aca="false">CR8*CR9</f>
        <v>2890785467.513</v>
      </c>
      <c r="CS10" s="39" t="n">
        <f aca="false">CS8*CS9</f>
        <v>2601706920.7617</v>
      </c>
      <c r="CT10" s="39" t="n">
        <f aca="false">CT8*CT9</f>
        <v>2023549827.2591</v>
      </c>
    </row>
    <row r="11" customFormat="false" ht="15" hidden="false" customHeight="true" outlineLevel="0" collapsed="false">
      <c r="B11" s="15" t="s">
        <v>364</v>
      </c>
      <c r="C11" s="37" t="n">
        <f aca="false">C8-C10</f>
        <v>1517662370.44433</v>
      </c>
      <c r="D11" s="37" t="n">
        <f aca="false">D8-D10</f>
        <v>2023549827.2591</v>
      </c>
      <c r="E11" s="37" t="n">
        <f aca="false">E8-E10</f>
        <v>4047099654.5182</v>
      </c>
      <c r="F11" s="37" t="n">
        <f aca="false">F8-F10</f>
        <v>4552987111.33298</v>
      </c>
      <c r="G11" s="37" t="n">
        <f aca="false">G8-G10</f>
        <v>5058874568.14775</v>
      </c>
      <c r="H11" s="37" t="n">
        <f aca="false">H8-H10</f>
        <v>5058874568.14775</v>
      </c>
      <c r="I11" s="37" t="n">
        <f aca="false">I8-I10</f>
        <v>5058874568.14775</v>
      </c>
      <c r="J11" s="37" t="n">
        <f aca="false">J8-J10</f>
        <v>5058874568.14775</v>
      </c>
      <c r="K11" s="37" t="n">
        <f aca="false">K8-K10</f>
        <v>5058874568.14775</v>
      </c>
      <c r="L11" s="37" t="n">
        <f aca="false">L8-L10</f>
        <v>5058874568.14775</v>
      </c>
      <c r="M11" s="37" t="n">
        <f aca="false">M8-M10</f>
        <v>4552987111.33298</v>
      </c>
      <c r="N11" s="37" t="n">
        <f aca="false">N8-N10</f>
        <v>3541212197.70343</v>
      </c>
      <c r="O11" s="37" t="n">
        <f aca="false">O8-O10</f>
        <v>1300853460.38085</v>
      </c>
      <c r="P11" s="37" t="n">
        <f aca="false">P8-P10</f>
        <v>1734471280.5078</v>
      </c>
      <c r="Q11" s="37" t="n">
        <f aca="false">Q8-Q10</f>
        <v>3468942561.0156</v>
      </c>
      <c r="R11" s="37" t="n">
        <f aca="false">R8-R10</f>
        <v>3902560381.14255</v>
      </c>
      <c r="S11" s="37" t="n">
        <f aca="false">S8-S10</f>
        <v>4336178201.2695</v>
      </c>
      <c r="T11" s="37" t="n">
        <f aca="false">T8-T10</f>
        <v>4336178201.2695</v>
      </c>
      <c r="U11" s="37" t="n">
        <f aca="false">U8-U10</f>
        <v>4336178201.2695</v>
      </c>
      <c r="V11" s="37" t="n">
        <f aca="false">V8-V10</f>
        <v>4336178201.2695</v>
      </c>
      <c r="W11" s="37" t="n">
        <f aca="false">W8-W10</f>
        <v>4336178201.2695</v>
      </c>
      <c r="X11" s="37" t="n">
        <f aca="false">X8-X10</f>
        <v>4336178201.2695</v>
      </c>
      <c r="Y11" s="37" t="n">
        <f aca="false">Y8-Y10</f>
        <v>3902560381.14255</v>
      </c>
      <c r="Z11" s="37" t="n">
        <f aca="false">Z8-Z10</f>
        <v>3035324740.88865</v>
      </c>
      <c r="AA11" s="37" t="n">
        <f aca="false">AA8-AA10</f>
        <v>1084044550.31738</v>
      </c>
      <c r="AB11" s="37" t="n">
        <f aca="false">AB8-AB10</f>
        <v>1445392733.7565</v>
      </c>
      <c r="AC11" s="37" t="n">
        <f aca="false">AC8-AC10</f>
        <v>2890785467.513</v>
      </c>
      <c r="AD11" s="37" t="n">
        <f aca="false">AD8-AD10</f>
        <v>3252133650.95213</v>
      </c>
      <c r="AE11" s="37" t="n">
        <f aca="false">AE8-AE10</f>
        <v>3613481834.39125</v>
      </c>
      <c r="AF11" s="37" t="n">
        <f aca="false">AF8-AF10</f>
        <v>3613481834.39125</v>
      </c>
      <c r="AG11" s="37" t="n">
        <f aca="false">AG8-AG10</f>
        <v>3613481834.39125</v>
      </c>
      <c r="AH11" s="37" t="n">
        <f aca="false">AH8-AH10</f>
        <v>3613481834.39125</v>
      </c>
      <c r="AI11" s="37" t="n">
        <f aca="false">AI8-AI10</f>
        <v>3613481834.39125</v>
      </c>
      <c r="AJ11" s="37" t="n">
        <f aca="false">AJ8-AJ10</f>
        <v>3613481834.39125</v>
      </c>
      <c r="AK11" s="37" t="n">
        <f aca="false">AK8-AK10</f>
        <v>3252133650.95213</v>
      </c>
      <c r="AL11" s="37" t="n">
        <f aca="false">AL8-AL10</f>
        <v>2529437284.07388</v>
      </c>
      <c r="AM11" s="37" t="n">
        <f aca="false">AM8-AM10</f>
        <v>867235640.2539</v>
      </c>
      <c r="AN11" s="37" t="n">
        <f aca="false">AN8-AN10</f>
        <v>1156314187.0052</v>
      </c>
      <c r="AO11" s="37" t="n">
        <f aca="false">AO8-AO10</f>
        <v>2312628374.0104</v>
      </c>
      <c r="AP11" s="37" t="n">
        <f aca="false">AP8-AP10</f>
        <v>2601706920.7617</v>
      </c>
      <c r="AQ11" s="37" t="n">
        <f aca="false">AQ8-AQ10</f>
        <v>2890785467.513</v>
      </c>
      <c r="AR11" s="37" t="n">
        <f aca="false">AR8-AR10</f>
        <v>2890785467.513</v>
      </c>
      <c r="AS11" s="37" t="n">
        <f aca="false">AS8-AS10</f>
        <v>2890785467.513</v>
      </c>
      <c r="AT11" s="37" t="n">
        <f aca="false">AT8-AT10</f>
        <v>2890785467.513</v>
      </c>
      <c r="AU11" s="37" t="n">
        <f aca="false">AU8-AU10</f>
        <v>2890785467.513</v>
      </c>
      <c r="AV11" s="37" t="n">
        <f aca="false">AV8-AV10</f>
        <v>2890785467.513</v>
      </c>
      <c r="AW11" s="37" t="n">
        <f aca="false">AW8-AW10</f>
        <v>2601706920.7617</v>
      </c>
      <c r="AX11" s="37" t="n">
        <f aca="false">AX8-AX10</f>
        <v>2023549827.2591</v>
      </c>
      <c r="AY11" s="37" t="n">
        <f aca="false">AY8-AY10</f>
        <v>867235640.2539</v>
      </c>
      <c r="AZ11" s="37" t="n">
        <f aca="false">AZ8-AZ10</f>
        <v>1156314187.0052</v>
      </c>
      <c r="BA11" s="37" t="n">
        <f aca="false">BA8-BA10</f>
        <v>2312628374.0104</v>
      </c>
      <c r="BB11" s="37" t="n">
        <f aca="false">BB8-BB10</f>
        <v>2601706920.7617</v>
      </c>
      <c r="BC11" s="37" t="n">
        <f aca="false">BC8-BC10</f>
        <v>2890785467.513</v>
      </c>
      <c r="BD11" s="37" t="n">
        <f aca="false">BD8-BD10</f>
        <v>2890785467.513</v>
      </c>
      <c r="BE11" s="37" t="n">
        <f aca="false">BE8-BE10</f>
        <v>2890785467.513</v>
      </c>
      <c r="BF11" s="37" t="n">
        <f aca="false">BF8-BF10</f>
        <v>2890785467.513</v>
      </c>
      <c r="BG11" s="37" t="n">
        <f aca="false">BG8-BG10</f>
        <v>2890785467.513</v>
      </c>
      <c r="BH11" s="37" t="n">
        <f aca="false">BH8-BH10</f>
        <v>2890785467.513</v>
      </c>
      <c r="BI11" s="37" t="n">
        <f aca="false">BI8-BI10</f>
        <v>2601706920.7617</v>
      </c>
      <c r="BJ11" s="37" t="n">
        <f aca="false">BJ8-BJ10</f>
        <v>2023549827.2591</v>
      </c>
      <c r="BK11" s="37" t="n">
        <f aca="false">BK8-BK10</f>
        <v>867235640.2539</v>
      </c>
      <c r="BL11" s="37" t="n">
        <f aca="false">BL8-BL10</f>
        <v>1156314187.0052</v>
      </c>
      <c r="BM11" s="37" t="n">
        <f aca="false">BM8-BM10</f>
        <v>2312628374.0104</v>
      </c>
      <c r="BN11" s="37" t="n">
        <f aca="false">BN8-BN10</f>
        <v>2601706920.7617</v>
      </c>
      <c r="BO11" s="37" t="n">
        <f aca="false">BO8-BO10</f>
        <v>2890785467.513</v>
      </c>
      <c r="BP11" s="37" t="n">
        <f aca="false">BP8-BP10</f>
        <v>2890785467.513</v>
      </c>
      <c r="BQ11" s="37" t="n">
        <f aca="false">BQ8-BQ10</f>
        <v>2890785467.513</v>
      </c>
      <c r="BR11" s="37" t="n">
        <f aca="false">BR8-BR10</f>
        <v>2890785467.513</v>
      </c>
      <c r="BS11" s="37" t="n">
        <f aca="false">BS8-BS10</f>
        <v>2890785467.513</v>
      </c>
      <c r="BT11" s="37" t="n">
        <f aca="false">BT8-BT10</f>
        <v>2890785467.513</v>
      </c>
      <c r="BU11" s="37" t="n">
        <f aca="false">BU8-BU10</f>
        <v>2601706920.7617</v>
      </c>
      <c r="BV11" s="37" t="n">
        <f aca="false">BV8-BV10</f>
        <v>2023549827.2591</v>
      </c>
      <c r="BW11" s="37" t="n">
        <f aca="false">BW8-BW10</f>
        <v>867235640.2539</v>
      </c>
      <c r="BX11" s="37" t="n">
        <f aca="false">BX8-BX10</f>
        <v>1156314187.0052</v>
      </c>
      <c r="BY11" s="37" t="n">
        <f aca="false">BY8-BY10</f>
        <v>2312628374.0104</v>
      </c>
      <c r="BZ11" s="37" t="n">
        <f aca="false">BZ8-BZ10</f>
        <v>2601706920.7617</v>
      </c>
      <c r="CA11" s="37" t="n">
        <f aca="false">CA8-CA10</f>
        <v>2890785467.513</v>
      </c>
      <c r="CB11" s="37" t="n">
        <f aca="false">CB8-CB10</f>
        <v>2890785467.513</v>
      </c>
      <c r="CC11" s="37" t="n">
        <f aca="false">CC8-CC10</f>
        <v>2890785467.513</v>
      </c>
      <c r="CD11" s="37" t="n">
        <f aca="false">CD8-CD10</f>
        <v>2890785467.513</v>
      </c>
      <c r="CE11" s="37" t="n">
        <f aca="false">CE8-CE10</f>
        <v>2890785467.513</v>
      </c>
      <c r="CF11" s="37" t="n">
        <f aca="false">CF8-CF10</f>
        <v>2890785467.513</v>
      </c>
      <c r="CG11" s="37" t="n">
        <f aca="false">CG8-CG10</f>
        <v>2601706920.7617</v>
      </c>
      <c r="CH11" s="37" t="n">
        <f aca="false">CH8-CH10</f>
        <v>2023549827.2591</v>
      </c>
      <c r="CI11" s="37" t="n">
        <f aca="false">CI8-CI10</f>
        <v>867235640.2539</v>
      </c>
      <c r="CJ11" s="37" t="n">
        <f aca="false">CJ8-CJ10</f>
        <v>1156314187.0052</v>
      </c>
      <c r="CK11" s="37" t="n">
        <f aca="false">CK8-CK10</f>
        <v>2312628374.0104</v>
      </c>
      <c r="CL11" s="37" t="n">
        <f aca="false">CL8-CL10</f>
        <v>2601706920.7617</v>
      </c>
      <c r="CM11" s="37" t="n">
        <f aca="false">CM8-CM10</f>
        <v>2890785467.513</v>
      </c>
      <c r="CN11" s="37" t="n">
        <f aca="false">CN8-CN10</f>
        <v>2890785467.513</v>
      </c>
      <c r="CO11" s="37" t="n">
        <f aca="false">CO8-CO10</f>
        <v>2890785467.513</v>
      </c>
      <c r="CP11" s="37" t="n">
        <f aca="false">CP8-CP10</f>
        <v>2890785467.513</v>
      </c>
      <c r="CQ11" s="37" t="n">
        <f aca="false">CQ8-CQ10</f>
        <v>2890785467.513</v>
      </c>
      <c r="CR11" s="37" t="n">
        <f aca="false">CR8-CR10</f>
        <v>2890785467.513</v>
      </c>
      <c r="CS11" s="37" t="n">
        <f aca="false">CS8-CS10</f>
        <v>2601706920.7617</v>
      </c>
      <c r="CT11" s="37" t="n">
        <f aca="false">CT8-CT10</f>
        <v>2023549827.2591</v>
      </c>
    </row>
    <row r="14" customFormat="false" ht="15" hidden="false" customHeight="true" outlineLevel="0" collapsed="false">
      <c r="B14" s="35" t="s">
        <v>365</v>
      </c>
      <c r="C14" s="36"/>
      <c r="D14" s="36"/>
      <c r="E14" s="36"/>
      <c r="F14" s="36"/>
      <c r="G14" s="36"/>
      <c r="H14" s="36"/>
      <c r="I14" s="36"/>
      <c r="J14" s="36"/>
      <c r="K14" s="36"/>
    </row>
    <row r="15" customFormat="false" ht="18.75" hidden="false" customHeight="true" outlineLevel="0" collapsed="false">
      <c r="B15" s="52" t="s">
        <v>366</v>
      </c>
      <c r="C15" s="52" t="s">
        <v>367</v>
      </c>
      <c r="D15" s="52" t="s">
        <v>368</v>
      </c>
      <c r="E15" s="52" t="s">
        <v>369</v>
      </c>
      <c r="F15" s="52" t="s">
        <v>370</v>
      </c>
      <c r="G15" s="52" t="s">
        <v>371</v>
      </c>
      <c r="H15" s="52" t="s">
        <v>372</v>
      </c>
      <c r="I15" s="52" t="s">
        <v>373</v>
      </c>
      <c r="J15" s="52" t="s">
        <v>374</v>
      </c>
    </row>
    <row r="16" customFormat="false" ht="15" hidden="false" customHeight="true" outlineLevel="0" collapsed="false">
      <c r="B16" s="15" t="s">
        <v>375</v>
      </c>
      <c r="C16" s="53" t="n">
        <v>74832</v>
      </c>
      <c r="D16" s="54" t="n">
        <v>0.340009</v>
      </c>
      <c r="E16" s="54" t="n">
        <v>0.296419</v>
      </c>
      <c r="F16" s="37" t="n">
        <f aca="false">(C10+D10+E10+F10+G10+H10+I10+J10+K10+L10+M10+N10)*$E16</f>
        <v>2142209343.73684</v>
      </c>
      <c r="G16" s="37" t="n">
        <f aca="false">(O10+P10+Q10+R10+S10+T10+U10+V10+W10+X10+Y10+Z10)*$E16</f>
        <v>4284418687.47368</v>
      </c>
      <c r="H16" s="37" t="n">
        <f aca="false">(AA10+AB10+AC10+AD10+AE10+AF10+AG10+AH10+AI10+AJ10+AK10+AL10)*$E16</f>
        <v>6426628031.21052</v>
      </c>
      <c r="I16" s="37" t="n">
        <f aca="false">(AM10+AN10+AO10+AP10+AQ10+AR10+AS10+AT10+AU10+AV10+AW10+AX10)*$E16</f>
        <v>8568837374.94736</v>
      </c>
      <c r="J16" s="39"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16</f>
        <v>55697442937.1578</v>
      </c>
    </row>
    <row r="17" customFormat="false" ht="15" hidden="false" customHeight="true" outlineLevel="0" collapsed="false">
      <c r="B17" s="15" t="s">
        <v>376</v>
      </c>
      <c r="C17" s="53" t="n">
        <v>63719</v>
      </c>
      <c r="D17" s="54" t="n">
        <v>0.330401</v>
      </c>
      <c r="E17" s="54" t="n">
        <v>0.272842</v>
      </c>
      <c r="F17" s="37" t="n">
        <f aca="false">(C10+D10+E10+F10+G10+H10+I10+J10+K10+L10+M10+N10)*$E17</f>
        <v>1971819221.31796</v>
      </c>
      <c r="G17" s="37" t="n">
        <f aca="false">(O10+P10+Q10+R10+S10+T10+U10+V10+W10+X10+Y10+Z10)*$E17</f>
        <v>3943638442.63591</v>
      </c>
      <c r="H17" s="37" t="n">
        <f aca="false">(AA10+AB10+AC10+AD10+AE10+AF10+AG10+AH10+AI10+AJ10+AK10+AL10)*$E17</f>
        <v>5915457663.95386</v>
      </c>
      <c r="I17" s="37" t="n">
        <f aca="false">(AM10+AN10+AO10+AP10+AQ10+AR10+AS10+AT10+AU10+AV10+AW10+AX10)*$E17</f>
        <v>7887276885.27182</v>
      </c>
      <c r="J17" s="39"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17</f>
        <v>51267299754.2668</v>
      </c>
    </row>
    <row r="18" customFormat="false" ht="15" hidden="false" customHeight="true" outlineLevel="0" collapsed="false">
      <c r="B18" s="15" t="s">
        <v>377</v>
      </c>
      <c r="C18" s="53" t="n">
        <v>64978</v>
      </c>
      <c r="D18" s="54" t="n">
        <v>0.105423</v>
      </c>
      <c r="E18" s="54" t="n">
        <v>0.16248</v>
      </c>
      <c r="F18" s="37" t="n">
        <f aca="false">(C10+D10+E10+F10+G10+H10+I10+J10+K10+L10+M10+N10)*$E18</f>
        <v>1174237056.90378</v>
      </c>
      <c r="G18" s="37" t="n">
        <f aca="false">(O10+P10+Q10+R10+S10+T10+U10+V10+W10+X10+Y10+Z10)*$E18</f>
        <v>2348474113.80756</v>
      </c>
      <c r="H18" s="37" t="n">
        <f aca="false">(AA10+AB10+AC10+AD10+AE10+AF10+AG10+AH10+AI10+AJ10+AK10+AL10)*$E18</f>
        <v>3522711170.71134</v>
      </c>
      <c r="I18" s="37" t="n">
        <f aca="false">(AM10+AN10+AO10+AP10+AQ10+AR10+AS10+AT10+AU10+AV10+AW10+AX10)*$E18</f>
        <v>4696948227.61512</v>
      </c>
      <c r="J18" s="39"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18</f>
        <v>30530163479.4983</v>
      </c>
    </row>
    <row r="19" customFormat="false" ht="15" hidden="false" customHeight="true" outlineLevel="0" collapsed="false">
      <c r="B19" s="15" t="s">
        <v>378</v>
      </c>
      <c r="C19" s="53" t="n">
        <v>45872</v>
      </c>
      <c r="D19" s="54" t="n">
        <v>0.103026</v>
      </c>
      <c r="E19" s="54" t="n">
        <v>0.129005</v>
      </c>
      <c r="F19" s="37" t="n">
        <f aca="false">(C10+D10+E10+F10+G10+H10+I10+J10+K10+L10+M10+N10)*$E19</f>
        <v>932314448.091287</v>
      </c>
      <c r="G19" s="37" t="n">
        <f aca="false">(O10+P10+Q10+R10+S10+T10+U10+V10+W10+X10+Y10+Z10)*$E19</f>
        <v>1864628896.18257</v>
      </c>
      <c r="H19" s="37" t="n">
        <f aca="false">(AA10+AB10+AC10+AD10+AE10+AF10+AG10+AH10+AI10+AJ10+AK10+AL10)*$E19</f>
        <v>2796943344.27386</v>
      </c>
      <c r="I19" s="37" t="n">
        <f aca="false">(AM10+AN10+AO10+AP10+AQ10+AR10+AS10+AT10+AU10+AV10+AW10+AX10)*$E19</f>
        <v>3729257792.36515</v>
      </c>
      <c r="J19" s="39"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19</f>
        <v>24240175650.3735</v>
      </c>
    </row>
    <row r="20" customFormat="false" ht="15" hidden="false" customHeight="true" outlineLevel="0" collapsed="false">
      <c r="B20" s="15" t="s">
        <v>379</v>
      </c>
      <c r="C20" s="53" t="n">
        <v>35542</v>
      </c>
      <c r="D20" s="54" t="n">
        <v>0.101194</v>
      </c>
      <c r="E20" s="54" t="n">
        <v>0.110639</v>
      </c>
      <c r="F20" s="37" t="n">
        <f aca="false">(C10+D10+E10+F10+G10+H10+I10+J10+K10+L10+M10+N10)*$E20</f>
        <v>799584033.350427</v>
      </c>
      <c r="G20" s="37" t="n">
        <f aca="false">(O10+P10+Q10+R10+S10+T10+U10+V10+W10+X10+Y10+Z10)*$E20</f>
        <v>1599168066.70085</v>
      </c>
      <c r="H20" s="37" t="n">
        <f aca="false">(AA10+AB10+AC10+AD10+AE10+AF10+AG10+AH10+AI10+AJ10+AK10+AL10)*$E20</f>
        <v>2398752100.05128</v>
      </c>
      <c r="I20" s="37" t="n">
        <f aca="false">(AM10+AN10+AO10+AP10+AQ10+AR10+AS10+AT10+AU10+AV10+AW10+AX10)*$E20</f>
        <v>3198336133.40171</v>
      </c>
      <c r="J20" s="39"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20</f>
        <v>20789184867.1111</v>
      </c>
    </row>
    <row r="21" customFormat="false" ht="15" hidden="false" customHeight="true" outlineLevel="0" collapsed="false">
      <c r="B21" s="15" t="s">
        <v>380</v>
      </c>
      <c r="C21" s="53" t="n">
        <v>11035</v>
      </c>
      <c r="D21" s="54" t="n">
        <v>0.019947</v>
      </c>
      <c r="E21" s="54" t="n">
        <v>0.028615</v>
      </c>
      <c r="F21" s="37" t="n">
        <f aca="false">(C10+D10+E10+F10+G10+H10+I10+J10+K10+L10+M10+N10)*$E21</f>
        <v>206799565.382211</v>
      </c>
      <c r="G21" s="37" t="n">
        <f aca="false">(O10+P10+Q10+R10+S10+T10+U10+V10+W10+X10+Y10+Z10)*$E21</f>
        <v>413599130.764423</v>
      </c>
      <c r="H21" s="37" t="n">
        <f aca="false">(AA10+AB10+AC10+AD10+AE10+AF10+AG10+AH10+AI10+AJ10+AK10+AL10)*$E21</f>
        <v>620398696.146634</v>
      </c>
      <c r="I21" s="37" t="n">
        <f aca="false">(AM10+AN10+AO10+AP10+AQ10+AR10+AS10+AT10+AU10+AV10+AW10+AX10)*$E21</f>
        <v>827198261.528845</v>
      </c>
      <c r="J21" s="39"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21</f>
        <v>5376788699.93749</v>
      </c>
    </row>
    <row r="22" customFormat="false" ht="15" hidden="false" customHeight="true" outlineLevel="0" collapsed="false">
      <c r="B22" s="38" t="s">
        <v>212</v>
      </c>
      <c r="C22" s="55" t="n">
        <f aca="false">SUM(C16:C21)</f>
        <v>295978</v>
      </c>
      <c r="D22" s="56" t="n">
        <f aca="false">SUM(D16:D21)</f>
        <v>1</v>
      </c>
      <c r="E22" s="56" t="n">
        <f aca="false">SUM(E16:E21)</f>
        <v>1</v>
      </c>
      <c r="F22" s="39" t="n">
        <f aca="false">SUM(F16:F21)</f>
        <v>7226963668.7825</v>
      </c>
      <c r="G22" s="39" t="n">
        <f aca="false">SUM(G16:G21)</f>
        <v>14453927337.565</v>
      </c>
      <c r="H22" s="39" t="n">
        <f aca="false">SUM(H16:H21)</f>
        <v>21680891006.3475</v>
      </c>
      <c r="I22" s="39" t="n">
        <f aca="false">SUM(I16:I21)</f>
        <v>28907854675.13</v>
      </c>
      <c r="J22" s="39" t="n">
        <f aca="false">SUM(J16:J21)</f>
        <v>187901055388.345</v>
      </c>
    </row>
    <row r="24" customFormat="false" ht="15" hidden="false" customHeight="true" outlineLevel="0" collapsed="false">
      <c r="B24" s="42" t="s">
        <v>381</v>
      </c>
    </row>
    <row r="25" customFormat="false" ht="15" hidden="false" customHeight="true" outlineLevel="0" collapsed="false">
      <c r="B25" s="42" t="s">
        <v>382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T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3" t="s">
        <v>383</v>
      </c>
    </row>
    <row r="3" customFormat="false" ht="15" hidden="false" customHeight="true" outlineLevel="0" collapsed="false">
      <c r="B3" s="3" t="s">
        <v>384</v>
      </c>
    </row>
    <row r="5" customFormat="false" ht="15" hidden="false" customHeight="true" outlineLevel="0" collapsed="false">
      <c r="B5" s="32" t="s">
        <v>236</v>
      </c>
      <c r="C5" s="32" t="s">
        <v>237</v>
      </c>
      <c r="D5" s="32"/>
      <c r="E5" s="32"/>
      <c r="F5" s="32"/>
      <c r="G5" s="32"/>
      <c r="H5" s="32"/>
      <c r="I5" s="32"/>
      <c r="J5" s="32"/>
      <c r="K5" s="32"/>
      <c r="L5" s="32"/>
      <c r="M5" s="32"/>
      <c r="N5" s="32"/>
      <c r="O5" s="32" t="s">
        <v>238</v>
      </c>
      <c r="P5" s="32"/>
      <c r="Q5" s="32"/>
      <c r="R5" s="32"/>
      <c r="S5" s="32"/>
      <c r="T5" s="32"/>
      <c r="U5" s="32"/>
      <c r="V5" s="32"/>
      <c r="W5" s="32"/>
      <c r="X5" s="32"/>
      <c r="Y5" s="32"/>
      <c r="Z5" s="32"/>
      <c r="AA5" s="32" t="s">
        <v>239</v>
      </c>
      <c r="AB5" s="32"/>
      <c r="AC5" s="32"/>
      <c r="AD5" s="32"/>
      <c r="AE5" s="32"/>
      <c r="AF5" s="32"/>
      <c r="AG5" s="32"/>
      <c r="AH5" s="32"/>
      <c r="AI5" s="32"/>
      <c r="AJ5" s="32"/>
      <c r="AK5" s="32"/>
      <c r="AL5" s="32"/>
      <c r="AM5" s="32" t="s">
        <v>240</v>
      </c>
      <c r="AN5" s="32"/>
      <c r="AO5" s="32"/>
      <c r="AP5" s="32"/>
      <c r="AQ5" s="32"/>
      <c r="AR5" s="32"/>
      <c r="AS5" s="32"/>
      <c r="AT5" s="32"/>
      <c r="AU5" s="32"/>
      <c r="AV5" s="32"/>
      <c r="AW5" s="32"/>
      <c r="AX5" s="32"/>
      <c r="AY5" s="32" t="s">
        <v>241</v>
      </c>
      <c r="AZ5" s="32"/>
      <c r="BA5" s="32"/>
      <c r="BB5" s="32"/>
      <c r="BC5" s="32"/>
      <c r="BD5" s="32"/>
      <c r="BE5" s="32"/>
      <c r="BF5" s="32"/>
      <c r="BG5" s="32"/>
      <c r="BH5" s="32"/>
      <c r="BI5" s="32"/>
      <c r="BJ5" s="32"/>
      <c r="BK5" s="32" t="s">
        <v>242</v>
      </c>
      <c r="BL5" s="32"/>
      <c r="BM5" s="32"/>
      <c r="BN5" s="32"/>
      <c r="BO5" s="32"/>
      <c r="BP5" s="32"/>
      <c r="BQ5" s="32"/>
      <c r="BR5" s="32"/>
      <c r="BS5" s="32"/>
      <c r="BT5" s="32"/>
      <c r="BU5" s="32"/>
      <c r="BV5" s="32"/>
      <c r="BW5" s="32" t="s">
        <v>243</v>
      </c>
      <c r="BX5" s="32"/>
      <c r="BY5" s="32"/>
      <c r="BZ5" s="32"/>
      <c r="CA5" s="32"/>
      <c r="CB5" s="32"/>
      <c r="CC5" s="32"/>
      <c r="CD5" s="32"/>
      <c r="CE5" s="32"/>
      <c r="CF5" s="32"/>
      <c r="CG5" s="32"/>
      <c r="CH5" s="32"/>
      <c r="CI5" s="32" t="s">
        <v>244</v>
      </c>
      <c r="CJ5" s="32"/>
      <c r="CK5" s="32"/>
      <c r="CL5" s="32"/>
      <c r="CM5" s="32"/>
      <c r="CN5" s="32"/>
      <c r="CO5" s="32"/>
      <c r="CP5" s="32"/>
      <c r="CQ5" s="32"/>
      <c r="CR5" s="32"/>
      <c r="CS5" s="32"/>
      <c r="CT5" s="32"/>
    </row>
    <row r="6" customFormat="false" ht="15" hidden="false" customHeight="true" outlineLevel="0" collapsed="false">
      <c r="B6" s="33" t="s">
        <v>245</v>
      </c>
      <c r="C6" s="34" t="s">
        <v>200</v>
      </c>
      <c r="D6" s="34" t="s">
        <v>201</v>
      </c>
      <c r="E6" s="34" t="s">
        <v>202</v>
      </c>
      <c r="F6" s="34" t="s">
        <v>203</v>
      </c>
      <c r="G6" s="34" t="s">
        <v>204</v>
      </c>
      <c r="H6" s="34" t="s">
        <v>205</v>
      </c>
      <c r="I6" s="34" t="s">
        <v>206</v>
      </c>
      <c r="J6" s="34" t="s">
        <v>207</v>
      </c>
      <c r="K6" s="34" t="s">
        <v>208</v>
      </c>
      <c r="L6" s="34" t="s">
        <v>209</v>
      </c>
      <c r="M6" s="34" t="s">
        <v>210</v>
      </c>
      <c r="N6" s="34" t="s">
        <v>211</v>
      </c>
      <c r="O6" s="34" t="s">
        <v>200</v>
      </c>
      <c r="P6" s="34" t="s">
        <v>201</v>
      </c>
      <c r="Q6" s="34" t="s">
        <v>202</v>
      </c>
      <c r="R6" s="34" t="s">
        <v>203</v>
      </c>
      <c r="S6" s="34" t="s">
        <v>204</v>
      </c>
      <c r="T6" s="34" t="s">
        <v>205</v>
      </c>
      <c r="U6" s="34" t="s">
        <v>206</v>
      </c>
      <c r="V6" s="34" t="s">
        <v>207</v>
      </c>
      <c r="W6" s="34" t="s">
        <v>208</v>
      </c>
      <c r="X6" s="34" t="s">
        <v>209</v>
      </c>
      <c r="Y6" s="34" t="s">
        <v>210</v>
      </c>
      <c r="Z6" s="34" t="s">
        <v>211</v>
      </c>
      <c r="AA6" s="34" t="s">
        <v>200</v>
      </c>
      <c r="AB6" s="34" t="s">
        <v>201</v>
      </c>
      <c r="AC6" s="34" t="s">
        <v>202</v>
      </c>
      <c r="AD6" s="34" t="s">
        <v>203</v>
      </c>
      <c r="AE6" s="34" t="s">
        <v>204</v>
      </c>
      <c r="AF6" s="34" t="s">
        <v>205</v>
      </c>
      <c r="AG6" s="34" t="s">
        <v>206</v>
      </c>
      <c r="AH6" s="34" t="s">
        <v>207</v>
      </c>
      <c r="AI6" s="34" t="s">
        <v>208</v>
      </c>
      <c r="AJ6" s="34" t="s">
        <v>209</v>
      </c>
      <c r="AK6" s="34" t="s">
        <v>210</v>
      </c>
      <c r="AL6" s="34" t="s">
        <v>211</v>
      </c>
      <c r="AM6" s="34" t="s">
        <v>200</v>
      </c>
      <c r="AN6" s="34" t="s">
        <v>201</v>
      </c>
      <c r="AO6" s="34" t="s">
        <v>202</v>
      </c>
      <c r="AP6" s="34" t="s">
        <v>203</v>
      </c>
      <c r="AQ6" s="34" t="s">
        <v>204</v>
      </c>
      <c r="AR6" s="34" t="s">
        <v>205</v>
      </c>
      <c r="AS6" s="34" t="s">
        <v>206</v>
      </c>
      <c r="AT6" s="34" t="s">
        <v>207</v>
      </c>
      <c r="AU6" s="34" t="s">
        <v>208</v>
      </c>
      <c r="AV6" s="34" t="s">
        <v>209</v>
      </c>
      <c r="AW6" s="34" t="s">
        <v>210</v>
      </c>
      <c r="AX6" s="34" t="s">
        <v>211</v>
      </c>
      <c r="AY6" s="34" t="s">
        <v>200</v>
      </c>
      <c r="AZ6" s="34" t="s">
        <v>201</v>
      </c>
      <c r="BA6" s="34" t="s">
        <v>202</v>
      </c>
      <c r="BB6" s="34" t="s">
        <v>203</v>
      </c>
      <c r="BC6" s="34" t="s">
        <v>204</v>
      </c>
      <c r="BD6" s="34" t="s">
        <v>205</v>
      </c>
      <c r="BE6" s="34" t="s">
        <v>206</v>
      </c>
      <c r="BF6" s="34" t="s">
        <v>207</v>
      </c>
      <c r="BG6" s="34" t="s">
        <v>208</v>
      </c>
      <c r="BH6" s="34" t="s">
        <v>209</v>
      </c>
      <c r="BI6" s="34" t="s">
        <v>210</v>
      </c>
      <c r="BJ6" s="34" t="s">
        <v>211</v>
      </c>
      <c r="BK6" s="34" t="s">
        <v>200</v>
      </c>
      <c r="BL6" s="34" t="s">
        <v>201</v>
      </c>
      <c r="BM6" s="34" t="s">
        <v>202</v>
      </c>
      <c r="BN6" s="34" t="s">
        <v>203</v>
      </c>
      <c r="BO6" s="34" t="s">
        <v>204</v>
      </c>
      <c r="BP6" s="34" t="s">
        <v>205</v>
      </c>
      <c r="BQ6" s="34" t="s">
        <v>206</v>
      </c>
      <c r="BR6" s="34" t="s">
        <v>207</v>
      </c>
      <c r="BS6" s="34" t="s">
        <v>208</v>
      </c>
      <c r="BT6" s="34" t="s">
        <v>209</v>
      </c>
      <c r="BU6" s="34" t="s">
        <v>210</v>
      </c>
      <c r="BV6" s="34" t="s">
        <v>211</v>
      </c>
      <c r="BW6" s="34" t="s">
        <v>200</v>
      </c>
      <c r="BX6" s="34" t="s">
        <v>201</v>
      </c>
      <c r="BY6" s="34" t="s">
        <v>202</v>
      </c>
      <c r="BZ6" s="34" t="s">
        <v>203</v>
      </c>
      <c r="CA6" s="34" t="s">
        <v>204</v>
      </c>
      <c r="CB6" s="34" t="s">
        <v>205</v>
      </c>
      <c r="CC6" s="34" t="s">
        <v>206</v>
      </c>
      <c r="CD6" s="34" t="s">
        <v>207</v>
      </c>
      <c r="CE6" s="34" t="s">
        <v>208</v>
      </c>
      <c r="CF6" s="34" t="s">
        <v>209</v>
      </c>
      <c r="CG6" s="34" t="s">
        <v>210</v>
      </c>
      <c r="CH6" s="34" t="s">
        <v>211</v>
      </c>
      <c r="CI6" s="34" t="s">
        <v>200</v>
      </c>
      <c r="CJ6" s="34" t="s">
        <v>201</v>
      </c>
      <c r="CK6" s="34" t="s">
        <v>202</v>
      </c>
      <c r="CL6" s="34" t="s">
        <v>203</v>
      </c>
      <c r="CM6" s="34" t="s">
        <v>204</v>
      </c>
      <c r="CN6" s="34" t="s">
        <v>205</v>
      </c>
      <c r="CO6" s="34" t="s">
        <v>206</v>
      </c>
      <c r="CP6" s="34" t="s">
        <v>207</v>
      </c>
      <c r="CQ6" s="34" t="s">
        <v>208</v>
      </c>
      <c r="CR6" s="34" t="s">
        <v>209</v>
      </c>
      <c r="CS6" s="34" t="s">
        <v>210</v>
      </c>
      <c r="CT6" s="34" t="s">
        <v>211</v>
      </c>
    </row>
    <row r="7" customFormat="false" ht="15" hidden="false" customHeight="true" outlineLevel="0" collapsed="false">
      <c r="B7" s="15" t="s">
        <v>385</v>
      </c>
      <c r="C7" s="57" t="n">
        <f aca="false">MIN((0+1)/4,1)</f>
        <v>0.25</v>
      </c>
      <c r="D7" s="57" t="n">
        <f aca="false">MIN((0+1)/4,1)</f>
        <v>0.25</v>
      </c>
      <c r="E7" s="57" t="n">
        <f aca="false">MIN((0+1)/4,1)</f>
        <v>0.25</v>
      </c>
      <c r="F7" s="57" t="n">
        <f aca="false">MIN((0+1)/4,1)</f>
        <v>0.25</v>
      </c>
      <c r="G7" s="57" t="n">
        <f aca="false">MIN((0+1)/4,1)</f>
        <v>0.25</v>
      </c>
      <c r="H7" s="57" t="n">
        <f aca="false">MIN((0+1)/4,1)</f>
        <v>0.25</v>
      </c>
      <c r="I7" s="57" t="n">
        <f aca="false">MIN((0+1)/4,1)</f>
        <v>0.25</v>
      </c>
      <c r="J7" s="57" t="n">
        <f aca="false">MIN((0+1)/4,1)</f>
        <v>0.25</v>
      </c>
      <c r="K7" s="57" t="n">
        <f aca="false">MIN((0+1)/4,1)</f>
        <v>0.25</v>
      </c>
      <c r="L7" s="57" t="n">
        <f aca="false">MIN((0+1)/4,1)</f>
        <v>0.25</v>
      </c>
      <c r="M7" s="57" t="n">
        <f aca="false">MIN((0+1)/4,1)</f>
        <v>0.25</v>
      </c>
      <c r="N7" s="57" t="n">
        <f aca="false">MIN((0+1)/4,1)</f>
        <v>0.25</v>
      </c>
      <c r="O7" s="57" t="n">
        <f aca="false">MIN((1+1)/4,1)</f>
        <v>0.5</v>
      </c>
      <c r="P7" s="57" t="n">
        <f aca="false">MIN((1+1)/4,1)</f>
        <v>0.5</v>
      </c>
      <c r="Q7" s="57" t="n">
        <f aca="false">MIN((1+1)/4,1)</f>
        <v>0.5</v>
      </c>
      <c r="R7" s="57" t="n">
        <f aca="false">MIN((1+1)/4,1)</f>
        <v>0.5</v>
      </c>
      <c r="S7" s="57" t="n">
        <f aca="false">MIN((1+1)/4,1)</f>
        <v>0.5</v>
      </c>
      <c r="T7" s="57" t="n">
        <f aca="false">MIN((1+1)/4,1)</f>
        <v>0.5</v>
      </c>
      <c r="U7" s="57" t="n">
        <f aca="false">MIN((1+1)/4,1)</f>
        <v>0.5</v>
      </c>
      <c r="V7" s="57" t="n">
        <f aca="false">MIN((1+1)/4,1)</f>
        <v>0.5</v>
      </c>
      <c r="W7" s="57" t="n">
        <f aca="false">MIN((1+1)/4,1)</f>
        <v>0.5</v>
      </c>
      <c r="X7" s="57" t="n">
        <f aca="false">MIN((1+1)/4,1)</f>
        <v>0.5</v>
      </c>
      <c r="Y7" s="57" t="n">
        <f aca="false">MIN((1+1)/4,1)</f>
        <v>0.5</v>
      </c>
      <c r="Z7" s="57" t="n">
        <f aca="false">MIN((1+1)/4,1)</f>
        <v>0.5</v>
      </c>
      <c r="AA7" s="57" t="n">
        <f aca="false">MIN((2+1)/4,1)</f>
        <v>0.75</v>
      </c>
      <c r="AB7" s="57" t="n">
        <f aca="false">MIN((2+1)/4,1)</f>
        <v>0.75</v>
      </c>
      <c r="AC7" s="57" t="n">
        <f aca="false">MIN((2+1)/4,1)</f>
        <v>0.75</v>
      </c>
      <c r="AD7" s="57" t="n">
        <f aca="false">MIN((2+1)/4,1)</f>
        <v>0.75</v>
      </c>
      <c r="AE7" s="57" t="n">
        <f aca="false">MIN((2+1)/4,1)</f>
        <v>0.75</v>
      </c>
      <c r="AF7" s="57" t="n">
        <f aca="false">MIN((2+1)/4,1)</f>
        <v>0.75</v>
      </c>
      <c r="AG7" s="57" t="n">
        <f aca="false">MIN((2+1)/4,1)</f>
        <v>0.75</v>
      </c>
      <c r="AH7" s="57" t="n">
        <f aca="false">MIN((2+1)/4,1)</f>
        <v>0.75</v>
      </c>
      <c r="AI7" s="57" t="n">
        <f aca="false">MIN((2+1)/4,1)</f>
        <v>0.75</v>
      </c>
      <c r="AJ7" s="57" t="n">
        <f aca="false">MIN((2+1)/4,1)</f>
        <v>0.75</v>
      </c>
      <c r="AK7" s="57" t="n">
        <f aca="false">MIN((2+1)/4,1)</f>
        <v>0.75</v>
      </c>
      <c r="AL7" s="57" t="n">
        <f aca="false">MIN((2+1)/4,1)</f>
        <v>0.75</v>
      </c>
      <c r="AM7" s="57" t="n">
        <f aca="false">MIN((3+1)/4,1)</f>
        <v>1</v>
      </c>
      <c r="AN7" s="57" t="n">
        <f aca="false">MIN((3+1)/4,1)</f>
        <v>1</v>
      </c>
      <c r="AO7" s="57" t="n">
        <f aca="false">MIN((3+1)/4,1)</f>
        <v>1</v>
      </c>
      <c r="AP7" s="57" t="n">
        <f aca="false">MIN((3+1)/4,1)</f>
        <v>1</v>
      </c>
      <c r="AQ7" s="57" t="n">
        <f aca="false">MIN((3+1)/4,1)</f>
        <v>1</v>
      </c>
      <c r="AR7" s="57" t="n">
        <f aca="false">MIN((3+1)/4,1)</f>
        <v>1</v>
      </c>
      <c r="AS7" s="57" t="n">
        <f aca="false">MIN((3+1)/4,1)</f>
        <v>1</v>
      </c>
      <c r="AT7" s="57" t="n">
        <f aca="false">MIN((3+1)/4,1)</f>
        <v>1</v>
      </c>
      <c r="AU7" s="57" t="n">
        <f aca="false">MIN((3+1)/4,1)</f>
        <v>1</v>
      </c>
      <c r="AV7" s="57" t="n">
        <f aca="false">MIN((3+1)/4,1)</f>
        <v>1</v>
      </c>
      <c r="AW7" s="57" t="n">
        <f aca="false">MIN((3+1)/4,1)</f>
        <v>1</v>
      </c>
      <c r="AX7" s="57" t="n">
        <f aca="false">MIN((3+1)/4,1)</f>
        <v>1</v>
      </c>
      <c r="AY7" s="57" t="n">
        <f aca="false">MIN((4+1)/4,1)</f>
        <v>1</v>
      </c>
      <c r="AZ7" s="57" t="n">
        <f aca="false">MIN((4+1)/4,1)</f>
        <v>1</v>
      </c>
      <c r="BA7" s="57" t="n">
        <f aca="false">MIN((4+1)/4,1)</f>
        <v>1</v>
      </c>
      <c r="BB7" s="57" t="n">
        <f aca="false">MIN((4+1)/4,1)</f>
        <v>1</v>
      </c>
      <c r="BC7" s="57" t="n">
        <f aca="false">MIN((4+1)/4,1)</f>
        <v>1</v>
      </c>
      <c r="BD7" s="57" t="n">
        <f aca="false">MIN((4+1)/4,1)</f>
        <v>1</v>
      </c>
      <c r="BE7" s="57" t="n">
        <f aca="false">MIN((4+1)/4,1)</f>
        <v>1</v>
      </c>
      <c r="BF7" s="57" t="n">
        <f aca="false">MIN((4+1)/4,1)</f>
        <v>1</v>
      </c>
      <c r="BG7" s="57" t="n">
        <f aca="false">MIN((4+1)/4,1)</f>
        <v>1</v>
      </c>
      <c r="BH7" s="57" t="n">
        <f aca="false">MIN((4+1)/4,1)</f>
        <v>1</v>
      </c>
      <c r="BI7" s="57" t="n">
        <f aca="false">MIN((4+1)/4,1)</f>
        <v>1</v>
      </c>
      <c r="BJ7" s="57" t="n">
        <f aca="false">MIN((4+1)/4,1)</f>
        <v>1</v>
      </c>
      <c r="BK7" s="57" t="n">
        <f aca="false">MIN((5+1)/4,1)</f>
        <v>1</v>
      </c>
      <c r="BL7" s="57" t="n">
        <f aca="false">MIN((5+1)/4,1)</f>
        <v>1</v>
      </c>
      <c r="BM7" s="57" t="n">
        <f aca="false">MIN((5+1)/4,1)</f>
        <v>1</v>
      </c>
      <c r="BN7" s="57" t="n">
        <f aca="false">MIN((5+1)/4,1)</f>
        <v>1</v>
      </c>
      <c r="BO7" s="57" t="n">
        <f aca="false">MIN((5+1)/4,1)</f>
        <v>1</v>
      </c>
      <c r="BP7" s="57" t="n">
        <f aca="false">MIN((5+1)/4,1)</f>
        <v>1</v>
      </c>
      <c r="BQ7" s="57" t="n">
        <f aca="false">MIN((5+1)/4,1)</f>
        <v>1</v>
      </c>
      <c r="BR7" s="57" t="n">
        <f aca="false">MIN((5+1)/4,1)</f>
        <v>1</v>
      </c>
      <c r="BS7" s="57" t="n">
        <f aca="false">MIN((5+1)/4,1)</f>
        <v>1</v>
      </c>
      <c r="BT7" s="57" t="n">
        <f aca="false">MIN((5+1)/4,1)</f>
        <v>1</v>
      </c>
      <c r="BU7" s="57" t="n">
        <f aca="false">MIN((5+1)/4,1)</f>
        <v>1</v>
      </c>
      <c r="BV7" s="57" t="n">
        <f aca="false">MIN((5+1)/4,1)</f>
        <v>1</v>
      </c>
      <c r="BW7" s="57" t="n">
        <f aca="false">MIN((6+1)/4,1)</f>
        <v>1</v>
      </c>
      <c r="BX7" s="57" t="n">
        <f aca="false">MIN((6+1)/4,1)</f>
        <v>1</v>
      </c>
      <c r="BY7" s="57" t="n">
        <f aca="false">MIN((6+1)/4,1)</f>
        <v>1</v>
      </c>
      <c r="BZ7" s="57" t="n">
        <f aca="false">MIN((6+1)/4,1)</f>
        <v>1</v>
      </c>
      <c r="CA7" s="57" t="n">
        <f aca="false">MIN((6+1)/4,1)</f>
        <v>1</v>
      </c>
      <c r="CB7" s="57" t="n">
        <f aca="false">MIN((6+1)/4,1)</f>
        <v>1</v>
      </c>
      <c r="CC7" s="57" t="n">
        <f aca="false">MIN((6+1)/4,1)</f>
        <v>1</v>
      </c>
      <c r="CD7" s="57" t="n">
        <f aca="false">MIN((6+1)/4,1)</f>
        <v>1</v>
      </c>
      <c r="CE7" s="57" t="n">
        <f aca="false">MIN((6+1)/4,1)</f>
        <v>1</v>
      </c>
      <c r="CF7" s="57" t="n">
        <f aca="false">MIN((6+1)/4,1)</f>
        <v>1</v>
      </c>
      <c r="CG7" s="57" t="n">
        <f aca="false">MIN((6+1)/4,1)</f>
        <v>1</v>
      </c>
      <c r="CH7" s="57" t="n">
        <f aca="false">MIN((6+1)/4,1)</f>
        <v>1</v>
      </c>
      <c r="CI7" s="57" t="n">
        <f aca="false">MIN((7+1)/4,1)</f>
        <v>1</v>
      </c>
      <c r="CJ7" s="57" t="n">
        <f aca="false">MIN((7+1)/4,1)</f>
        <v>1</v>
      </c>
      <c r="CK7" s="57" t="n">
        <f aca="false">MIN((7+1)/4,1)</f>
        <v>1</v>
      </c>
      <c r="CL7" s="57" t="n">
        <f aca="false">MIN((7+1)/4,1)</f>
        <v>1</v>
      </c>
      <c r="CM7" s="57" t="n">
        <f aca="false">MIN((7+1)/4,1)</f>
        <v>1</v>
      </c>
      <c r="CN7" s="57" t="n">
        <f aca="false">MIN((7+1)/4,1)</f>
        <v>1</v>
      </c>
      <c r="CO7" s="57" t="n">
        <f aca="false">MIN((7+1)/4,1)</f>
        <v>1</v>
      </c>
      <c r="CP7" s="57" t="n">
        <f aca="false">MIN((7+1)/4,1)</f>
        <v>1</v>
      </c>
      <c r="CQ7" s="57" t="n">
        <f aca="false">MIN((7+1)/4,1)</f>
        <v>1</v>
      </c>
      <c r="CR7" s="57" t="n">
        <f aca="false">MIN((7+1)/4,1)</f>
        <v>1</v>
      </c>
      <c r="CS7" s="57" t="n">
        <f aca="false">MIN((7+1)/4,1)</f>
        <v>1</v>
      </c>
      <c r="CT7" s="57" t="n">
        <f aca="false">MIN((7+1)/4,1)</f>
        <v>1</v>
      </c>
    </row>
    <row r="9" customFormat="false" ht="15" hidden="false" customHeight="true" outlineLevel="0" collapsed="false">
      <c r="B9" s="15" t="s">
        <v>386</v>
      </c>
      <c r="C9" s="37" t="n">
        <f aca="false">(Supuestos!$C$50-Supuestos!$C$49)*C7/12</f>
        <v>150524964.792917</v>
      </c>
      <c r="D9" s="37" t="n">
        <f aca="false">(Supuestos!$C$50-Supuestos!$C$49)*D7/12</f>
        <v>150524964.792917</v>
      </c>
      <c r="E9" s="37" t="n">
        <f aca="false">(Supuestos!$C$50-Supuestos!$C$49)*E7/12</f>
        <v>150524964.792917</v>
      </c>
      <c r="F9" s="37" t="n">
        <f aca="false">(Supuestos!$C$50-Supuestos!$C$49)*F7/12</f>
        <v>150524964.792917</v>
      </c>
      <c r="G9" s="37" t="n">
        <f aca="false">(Supuestos!$C$50-Supuestos!$C$49)*G7/12</f>
        <v>150524964.792917</v>
      </c>
      <c r="H9" s="37" t="n">
        <f aca="false">(Supuestos!$C$50-Supuestos!$C$49)*H7/12</f>
        <v>150524964.792917</v>
      </c>
      <c r="I9" s="37" t="n">
        <f aca="false">(Supuestos!$C$50-Supuestos!$C$49)*I7/12</f>
        <v>150524964.792917</v>
      </c>
      <c r="J9" s="37" t="n">
        <f aca="false">(Supuestos!$C$50-Supuestos!$C$49)*J7/12</f>
        <v>150524964.792917</v>
      </c>
      <c r="K9" s="37" t="n">
        <f aca="false">(Supuestos!$C$50-Supuestos!$C$49)*K7/12</f>
        <v>150524964.792917</v>
      </c>
      <c r="L9" s="37" t="n">
        <f aca="false">(Supuestos!$C$50-Supuestos!$C$49)*L7/12</f>
        <v>150524964.792917</v>
      </c>
      <c r="M9" s="37" t="n">
        <f aca="false">(Supuestos!$C$50-Supuestos!$C$49)*M7/12</f>
        <v>150524964.792917</v>
      </c>
      <c r="N9" s="37" t="n">
        <f aca="false">(Supuestos!$C$50-Supuestos!$C$49)*N7/12</f>
        <v>150524964.792917</v>
      </c>
      <c r="O9" s="37" t="n">
        <f aca="false">(Supuestos!$C$50-Supuestos!$C$49)*O7/12</f>
        <v>301049929.585833</v>
      </c>
      <c r="P9" s="37" t="n">
        <f aca="false">(Supuestos!$C$50-Supuestos!$C$49)*P7/12</f>
        <v>301049929.585833</v>
      </c>
      <c r="Q9" s="37" t="n">
        <f aca="false">(Supuestos!$C$50-Supuestos!$C$49)*Q7/12</f>
        <v>301049929.585833</v>
      </c>
      <c r="R9" s="37" t="n">
        <f aca="false">(Supuestos!$C$50-Supuestos!$C$49)*R7/12</f>
        <v>301049929.585833</v>
      </c>
      <c r="S9" s="37" t="n">
        <f aca="false">(Supuestos!$C$50-Supuestos!$C$49)*S7/12</f>
        <v>301049929.585833</v>
      </c>
      <c r="T9" s="37" t="n">
        <f aca="false">(Supuestos!$C$50-Supuestos!$C$49)*T7/12</f>
        <v>301049929.585833</v>
      </c>
      <c r="U9" s="37" t="n">
        <f aca="false">(Supuestos!$C$50-Supuestos!$C$49)*U7/12</f>
        <v>301049929.585833</v>
      </c>
      <c r="V9" s="37" t="n">
        <f aca="false">(Supuestos!$C$50-Supuestos!$C$49)*V7/12</f>
        <v>301049929.585833</v>
      </c>
      <c r="W9" s="37" t="n">
        <f aca="false">(Supuestos!$C$50-Supuestos!$C$49)*W7/12</f>
        <v>301049929.585833</v>
      </c>
      <c r="X9" s="37" t="n">
        <f aca="false">(Supuestos!$C$50-Supuestos!$C$49)*X7/12</f>
        <v>301049929.585833</v>
      </c>
      <c r="Y9" s="37" t="n">
        <f aca="false">(Supuestos!$C$50-Supuestos!$C$49)*Y7/12</f>
        <v>301049929.585833</v>
      </c>
      <c r="Z9" s="37" t="n">
        <f aca="false">(Supuestos!$C$50-Supuestos!$C$49)*Z7/12</f>
        <v>301049929.585833</v>
      </c>
      <c r="AA9" s="37" t="n">
        <f aca="false">(Supuestos!$C$50-Supuestos!$C$49)*AA7/12</f>
        <v>451574894.37875</v>
      </c>
      <c r="AB9" s="37" t="n">
        <f aca="false">(Supuestos!$C$50-Supuestos!$C$49)*AB7/12</f>
        <v>451574894.37875</v>
      </c>
      <c r="AC9" s="37" t="n">
        <f aca="false">(Supuestos!$C$50-Supuestos!$C$49)*AC7/12</f>
        <v>451574894.37875</v>
      </c>
      <c r="AD9" s="37" t="n">
        <f aca="false">(Supuestos!$C$50-Supuestos!$C$49)*AD7/12</f>
        <v>451574894.37875</v>
      </c>
      <c r="AE9" s="37" t="n">
        <f aca="false">(Supuestos!$C$50-Supuestos!$C$49)*AE7/12</f>
        <v>451574894.37875</v>
      </c>
      <c r="AF9" s="37" t="n">
        <f aca="false">(Supuestos!$C$50-Supuestos!$C$49)*AF7/12</f>
        <v>451574894.37875</v>
      </c>
      <c r="AG9" s="37" t="n">
        <f aca="false">(Supuestos!$C$50-Supuestos!$C$49)*AG7/12</f>
        <v>451574894.37875</v>
      </c>
      <c r="AH9" s="37" t="n">
        <f aca="false">(Supuestos!$C$50-Supuestos!$C$49)*AH7/12</f>
        <v>451574894.37875</v>
      </c>
      <c r="AI9" s="37" t="n">
        <f aca="false">(Supuestos!$C$50-Supuestos!$C$49)*AI7/12</f>
        <v>451574894.37875</v>
      </c>
      <c r="AJ9" s="37" t="n">
        <f aca="false">(Supuestos!$C$50-Supuestos!$C$49)*AJ7/12</f>
        <v>451574894.37875</v>
      </c>
      <c r="AK9" s="37" t="n">
        <f aca="false">(Supuestos!$C$50-Supuestos!$C$49)*AK7/12</f>
        <v>451574894.37875</v>
      </c>
      <c r="AL9" s="37" t="n">
        <f aca="false">(Supuestos!$C$50-Supuestos!$C$49)*AL7/12</f>
        <v>451574894.37875</v>
      </c>
      <c r="AM9" s="37" t="n">
        <f aca="false">(Supuestos!$C$50-Supuestos!$C$49)*AM7/12</f>
        <v>602099859.171667</v>
      </c>
      <c r="AN9" s="37" t="n">
        <f aca="false">(Supuestos!$C$50-Supuestos!$C$49)*AN7/12</f>
        <v>602099859.171667</v>
      </c>
      <c r="AO9" s="37" t="n">
        <f aca="false">(Supuestos!$C$50-Supuestos!$C$49)*AO7/12</f>
        <v>602099859.171667</v>
      </c>
      <c r="AP9" s="37" t="n">
        <f aca="false">(Supuestos!$C$50-Supuestos!$C$49)*AP7/12</f>
        <v>602099859.171667</v>
      </c>
      <c r="AQ9" s="37" t="n">
        <f aca="false">(Supuestos!$C$50-Supuestos!$C$49)*AQ7/12</f>
        <v>602099859.171667</v>
      </c>
      <c r="AR9" s="37" t="n">
        <f aca="false">(Supuestos!$C$50-Supuestos!$C$49)*AR7/12</f>
        <v>602099859.171667</v>
      </c>
      <c r="AS9" s="37" t="n">
        <f aca="false">(Supuestos!$C$50-Supuestos!$C$49)*AS7/12</f>
        <v>602099859.171667</v>
      </c>
      <c r="AT9" s="37" t="n">
        <f aca="false">(Supuestos!$C$50-Supuestos!$C$49)*AT7/12</f>
        <v>602099859.171667</v>
      </c>
      <c r="AU9" s="37" t="n">
        <f aca="false">(Supuestos!$C$50-Supuestos!$C$49)*AU7/12</f>
        <v>602099859.171667</v>
      </c>
      <c r="AV9" s="37" t="n">
        <f aca="false">(Supuestos!$C$50-Supuestos!$C$49)*AV7/12</f>
        <v>602099859.171667</v>
      </c>
      <c r="AW9" s="37" t="n">
        <f aca="false">(Supuestos!$C$50-Supuestos!$C$49)*AW7/12</f>
        <v>602099859.171667</v>
      </c>
      <c r="AX9" s="37" t="n">
        <f aca="false">(Supuestos!$C$50-Supuestos!$C$49)*AX7/12</f>
        <v>602099859.171667</v>
      </c>
      <c r="AY9" s="37" t="n">
        <f aca="false">(Supuestos!$C$50-Supuestos!$C$49)*AY7/12</f>
        <v>602099859.171667</v>
      </c>
      <c r="AZ9" s="37" t="n">
        <f aca="false">(Supuestos!$C$50-Supuestos!$C$49)*AZ7/12</f>
        <v>602099859.171667</v>
      </c>
      <c r="BA9" s="37" t="n">
        <f aca="false">(Supuestos!$C$50-Supuestos!$C$49)*BA7/12</f>
        <v>602099859.171667</v>
      </c>
      <c r="BB9" s="37" t="n">
        <f aca="false">(Supuestos!$C$50-Supuestos!$C$49)*BB7/12</f>
        <v>602099859.171667</v>
      </c>
      <c r="BC9" s="37" t="n">
        <f aca="false">(Supuestos!$C$50-Supuestos!$C$49)*BC7/12</f>
        <v>602099859.171667</v>
      </c>
      <c r="BD9" s="37" t="n">
        <f aca="false">(Supuestos!$C$50-Supuestos!$C$49)*BD7/12</f>
        <v>602099859.171667</v>
      </c>
      <c r="BE9" s="37" t="n">
        <f aca="false">(Supuestos!$C$50-Supuestos!$C$49)*BE7/12</f>
        <v>602099859.171667</v>
      </c>
      <c r="BF9" s="37" t="n">
        <f aca="false">(Supuestos!$C$50-Supuestos!$C$49)*BF7/12</f>
        <v>602099859.171667</v>
      </c>
      <c r="BG9" s="37" t="n">
        <f aca="false">(Supuestos!$C$50-Supuestos!$C$49)*BG7/12</f>
        <v>602099859.171667</v>
      </c>
      <c r="BH9" s="37" t="n">
        <f aca="false">(Supuestos!$C$50-Supuestos!$C$49)*BH7/12</f>
        <v>602099859.171667</v>
      </c>
      <c r="BI9" s="37" t="n">
        <f aca="false">(Supuestos!$C$50-Supuestos!$C$49)*BI7/12</f>
        <v>602099859.171667</v>
      </c>
      <c r="BJ9" s="37" t="n">
        <f aca="false">(Supuestos!$C$50-Supuestos!$C$49)*BJ7/12</f>
        <v>602099859.171667</v>
      </c>
      <c r="BK9" s="37" t="n">
        <f aca="false">(Supuestos!$C$50-Supuestos!$C$49)*BK7/12</f>
        <v>602099859.171667</v>
      </c>
      <c r="BL9" s="37" t="n">
        <f aca="false">(Supuestos!$C$50-Supuestos!$C$49)*BL7/12</f>
        <v>602099859.171667</v>
      </c>
      <c r="BM9" s="37" t="n">
        <f aca="false">(Supuestos!$C$50-Supuestos!$C$49)*BM7/12</f>
        <v>602099859.171667</v>
      </c>
      <c r="BN9" s="37" t="n">
        <f aca="false">(Supuestos!$C$50-Supuestos!$C$49)*BN7/12</f>
        <v>602099859.171667</v>
      </c>
      <c r="BO9" s="37" t="n">
        <f aca="false">(Supuestos!$C$50-Supuestos!$C$49)*BO7/12</f>
        <v>602099859.171667</v>
      </c>
      <c r="BP9" s="37" t="n">
        <f aca="false">(Supuestos!$C$50-Supuestos!$C$49)*BP7/12</f>
        <v>602099859.171667</v>
      </c>
      <c r="BQ9" s="37" t="n">
        <f aca="false">(Supuestos!$C$50-Supuestos!$C$49)*BQ7/12</f>
        <v>602099859.171667</v>
      </c>
      <c r="BR9" s="37" t="n">
        <f aca="false">(Supuestos!$C$50-Supuestos!$C$49)*BR7/12</f>
        <v>602099859.171667</v>
      </c>
      <c r="BS9" s="37" t="n">
        <f aca="false">(Supuestos!$C$50-Supuestos!$C$49)*BS7/12</f>
        <v>602099859.171667</v>
      </c>
      <c r="BT9" s="37" t="n">
        <f aca="false">(Supuestos!$C$50-Supuestos!$C$49)*BT7/12</f>
        <v>602099859.171667</v>
      </c>
      <c r="BU9" s="37" t="n">
        <f aca="false">(Supuestos!$C$50-Supuestos!$C$49)*BU7/12</f>
        <v>602099859.171667</v>
      </c>
      <c r="BV9" s="37" t="n">
        <f aca="false">(Supuestos!$C$50-Supuestos!$C$49)*BV7/12</f>
        <v>602099859.171667</v>
      </c>
      <c r="BW9" s="37" t="n">
        <f aca="false">(Supuestos!$C$50-Supuestos!$C$49)*BW7/12</f>
        <v>602099859.171667</v>
      </c>
      <c r="BX9" s="37" t="n">
        <f aca="false">(Supuestos!$C$50-Supuestos!$C$49)*BX7/12</f>
        <v>602099859.171667</v>
      </c>
      <c r="BY9" s="37" t="n">
        <f aca="false">(Supuestos!$C$50-Supuestos!$C$49)*BY7/12</f>
        <v>602099859.171667</v>
      </c>
      <c r="BZ9" s="37" t="n">
        <f aca="false">(Supuestos!$C$50-Supuestos!$C$49)*BZ7/12</f>
        <v>602099859.171667</v>
      </c>
      <c r="CA9" s="37" t="n">
        <f aca="false">(Supuestos!$C$50-Supuestos!$C$49)*CA7/12</f>
        <v>602099859.171667</v>
      </c>
      <c r="CB9" s="37" t="n">
        <f aca="false">(Supuestos!$C$50-Supuestos!$C$49)*CB7/12</f>
        <v>602099859.171667</v>
      </c>
      <c r="CC9" s="37" t="n">
        <f aca="false">(Supuestos!$C$50-Supuestos!$C$49)*CC7/12</f>
        <v>602099859.171667</v>
      </c>
      <c r="CD9" s="37" t="n">
        <f aca="false">(Supuestos!$C$50-Supuestos!$C$49)*CD7/12</f>
        <v>602099859.171667</v>
      </c>
      <c r="CE9" s="37" t="n">
        <f aca="false">(Supuestos!$C$50-Supuestos!$C$49)*CE7/12</f>
        <v>602099859.171667</v>
      </c>
      <c r="CF9" s="37" t="n">
        <f aca="false">(Supuestos!$C$50-Supuestos!$C$49)*CF7/12</f>
        <v>602099859.171667</v>
      </c>
      <c r="CG9" s="37" t="n">
        <f aca="false">(Supuestos!$C$50-Supuestos!$C$49)*CG7/12</f>
        <v>602099859.171667</v>
      </c>
      <c r="CH9" s="37" t="n">
        <f aca="false">(Supuestos!$C$50-Supuestos!$C$49)*CH7/12</f>
        <v>602099859.171667</v>
      </c>
      <c r="CI9" s="37" t="n">
        <f aca="false">(Supuestos!$C$50-Supuestos!$C$49)*CI7/12</f>
        <v>602099859.171667</v>
      </c>
      <c r="CJ9" s="37" t="n">
        <f aca="false">(Supuestos!$C$50-Supuestos!$C$49)*CJ7/12</f>
        <v>602099859.171667</v>
      </c>
      <c r="CK9" s="37" t="n">
        <f aca="false">(Supuestos!$C$50-Supuestos!$C$49)*CK7/12</f>
        <v>602099859.171667</v>
      </c>
      <c r="CL9" s="37" t="n">
        <f aca="false">(Supuestos!$C$50-Supuestos!$C$49)*CL7/12</f>
        <v>602099859.171667</v>
      </c>
      <c r="CM9" s="37" t="n">
        <f aca="false">(Supuestos!$C$50-Supuestos!$C$49)*CM7/12</f>
        <v>602099859.171667</v>
      </c>
      <c r="CN9" s="37" t="n">
        <f aca="false">(Supuestos!$C$50-Supuestos!$C$49)*CN7/12</f>
        <v>602099859.171667</v>
      </c>
      <c r="CO9" s="37" t="n">
        <f aca="false">(Supuestos!$C$50-Supuestos!$C$49)*CO7/12</f>
        <v>602099859.171667</v>
      </c>
      <c r="CP9" s="37" t="n">
        <f aca="false">(Supuestos!$C$50-Supuestos!$C$49)*CP7/12</f>
        <v>602099859.171667</v>
      </c>
      <c r="CQ9" s="37" t="n">
        <f aca="false">(Supuestos!$C$50-Supuestos!$C$49)*CQ7/12</f>
        <v>602099859.171667</v>
      </c>
      <c r="CR9" s="37" t="n">
        <f aca="false">(Supuestos!$C$50-Supuestos!$C$49)*CR7/12</f>
        <v>602099859.171667</v>
      </c>
      <c r="CS9" s="37" t="n">
        <f aca="false">(Supuestos!$C$50-Supuestos!$C$49)*CS7/12</f>
        <v>602099859.171667</v>
      </c>
      <c r="CT9" s="37" t="n">
        <f aca="false">(Supuestos!$C$50-Supuestos!$C$49)*CT7/12</f>
        <v>602099859.171667</v>
      </c>
    </row>
    <row r="10" customFormat="false" ht="15" hidden="false" customHeight="true" outlineLevel="0" collapsed="false">
      <c r="B10" s="15" t="s">
        <v>387</v>
      </c>
      <c r="C10" s="37" t="n">
        <f aca="false">(Supuestos!$C$52-Supuestos!$C$51)*324230000000*C7/12</f>
        <v>74302708.3333333</v>
      </c>
      <c r="D10" s="37" t="n">
        <f aca="false">(Supuestos!$C$52-Supuestos!$C$51)*324230000000*D7/12</f>
        <v>74302708.3333333</v>
      </c>
      <c r="E10" s="37" t="n">
        <f aca="false">(Supuestos!$C$52-Supuestos!$C$51)*324230000000*E7/12</f>
        <v>74302708.3333333</v>
      </c>
      <c r="F10" s="37" t="n">
        <f aca="false">(Supuestos!$C$52-Supuestos!$C$51)*324230000000*F7/12</f>
        <v>74302708.3333333</v>
      </c>
      <c r="G10" s="37" t="n">
        <f aca="false">(Supuestos!$C$52-Supuestos!$C$51)*324230000000*G7/12</f>
        <v>74302708.3333333</v>
      </c>
      <c r="H10" s="37" t="n">
        <f aca="false">(Supuestos!$C$52-Supuestos!$C$51)*324230000000*H7/12</f>
        <v>74302708.3333333</v>
      </c>
      <c r="I10" s="37" t="n">
        <f aca="false">(Supuestos!$C$52-Supuestos!$C$51)*324230000000*I7/12</f>
        <v>74302708.3333333</v>
      </c>
      <c r="J10" s="37" t="n">
        <f aca="false">(Supuestos!$C$52-Supuestos!$C$51)*324230000000*J7/12</f>
        <v>74302708.3333333</v>
      </c>
      <c r="K10" s="37" t="n">
        <f aca="false">(Supuestos!$C$52-Supuestos!$C$51)*324230000000*K7/12</f>
        <v>74302708.3333333</v>
      </c>
      <c r="L10" s="37" t="n">
        <f aca="false">(Supuestos!$C$52-Supuestos!$C$51)*324230000000*L7/12</f>
        <v>74302708.3333333</v>
      </c>
      <c r="M10" s="37" t="n">
        <f aca="false">(Supuestos!$C$52-Supuestos!$C$51)*324230000000*M7/12</f>
        <v>74302708.3333333</v>
      </c>
      <c r="N10" s="37" t="n">
        <f aca="false">(Supuestos!$C$52-Supuestos!$C$51)*324230000000*N7/12</f>
        <v>74302708.3333333</v>
      </c>
      <c r="O10" s="37" t="n">
        <f aca="false">(Supuestos!$C$52-Supuestos!$C$51)*324230000000*O7/12</f>
        <v>148605416.666667</v>
      </c>
      <c r="P10" s="37" t="n">
        <f aca="false">(Supuestos!$C$52-Supuestos!$C$51)*324230000000*P7/12</f>
        <v>148605416.666667</v>
      </c>
      <c r="Q10" s="37" t="n">
        <f aca="false">(Supuestos!$C$52-Supuestos!$C$51)*324230000000*Q7/12</f>
        <v>148605416.666667</v>
      </c>
      <c r="R10" s="37" t="n">
        <f aca="false">(Supuestos!$C$52-Supuestos!$C$51)*324230000000*R7/12</f>
        <v>148605416.666667</v>
      </c>
      <c r="S10" s="37" t="n">
        <f aca="false">(Supuestos!$C$52-Supuestos!$C$51)*324230000000*S7/12</f>
        <v>148605416.666667</v>
      </c>
      <c r="T10" s="37" t="n">
        <f aca="false">(Supuestos!$C$52-Supuestos!$C$51)*324230000000*T7/12</f>
        <v>148605416.666667</v>
      </c>
      <c r="U10" s="37" t="n">
        <f aca="false">(Supuestos!$C$52-Supuestos!$C$51)*324230000000*U7/12</f>
        <v>148605416.666667</v>
      </c>
      <c r="V10" s="37" t="n">
        <f aca="false">(Supuestos!$C$52-Supuestos!$C$51)*324230000000*V7/12</f>
        <v>148605416.666667</v>
      </c>
      <c r="W10" s="37" t="n">
        <f aca="false">(Supuestos!$C$52-Supuestos!$C$51)*324230000000*W7/12</f>
        <v>148605416.666667</v>
      </c>
      <c r="X10" s="37" t="n">
        <f aca="false">(Supuestos!$C$52-Supuestos!$C$51)*324230000000*X7/12</f>
        <v>148605416.666667</v>
      </c>
      <c r="Y10" s="37" t="n">
        <f aca="false">(Supuestos!$C$52-Supuestos!$C$51)*324230000000*Y7/12</f>
        <v>148605416.666667</v>
      </c>
      <c r="Z10" s="37" t="n">
        <f aca="false">(Supuestos!$C$52-Supuestos!$C$51)*324230000000*Z7/12</f>
        <v>148605416.666667</v>
      </c>
      <c r="AA10" s="37" t="n">
        <f aca="false">(Supuestos!$C$52-Supuestos!$C$51)*324230000000*AA7/12</f>
        <v>222908125</v>
      </c>
      <c r="AB10" s="37" t="n">
        <f aca="false">(Supuestos!$C$52-Supuestos!$C$51)*324230000000*AB7/12</f>
        <v>222908125</v>
      </c>
      <c r="AC10" s="37" t="n">
        <f aca="false">(Supuestos!$C$52-Supuestos!$C$51)*324230000000*AC7/12</f>
        <v>222908125</v>
      </c>
      <c r="AD10" s="37" t="n">
        <f aca="false">(Supuestos!$C$52-Supuestos!$C$51)*324230000000*AD7/12</f>
        <v>222908125</v>
      </c>
      <c r="AE10" s="37" t="n">
        <f aca="false">(Supuestos!$C$52-Supuestos!$C$51)*324230000000*AE7/12</f>
        <v>222908125</v>
      </c>
      <c r="AF10" s="37" t="n">
        <f aca="false">(Supuestos!$C$52-Supuestos!$C$51)*324230000000*AF7/12</f>
        <v>222908125</v>
      </c>
      <c r="AG10" s="37" t="n">
        <f aca="false">(Supuestos!$C$52-Supuestos!$C$51)*324230000000*AG7/12</f>
        <v>222908125</v>
      </c>
      <c r="AH10" s="37" t="n">
        <f aca="false">(Supuestos!$C$52-Supuestos!$C$51)*324230000000*AH7/12</f>
        <v>222908125</v>
      </c>
      <c r="AI10" s="37" t="n">
        <f aca="false">(Supuestos!$C$52-Supuestos!$C$51)*324230000000*AI7/12</f>
        <v>222908125</v>
      </c>
      <c r="AJ10" s="37" t="n">
        <f aca="false">(Supuestos!$C$52-Supuestos!$C$51)*324230000000*AJ7/12</f>
        <v>222908125</v>
      </c>
      <c r="AK10" s="37" t="n">
        <f aca="false">(Supuestos!$C$52-Supuestos!$C$51)*324230000000*AK7/12</f>
        <v>222908125</v>
      </c>
      <c r="AL10" s="37" t="n">
        <f aca="false">(Supuestos!$C$52-Supuestos!$C$51)*324230000000*AL7/12</f>
        <v>222908125</v>
      </c>
      <c r="AM10" s="37" t="n">
        <f aca="false">(Supuestos!$C$52-Supuestos!$C$51)*324230000000*AM7/12</f>
        <v>297210833.333333</v>
      </c>
      <c r="AN10" s="37" t="n">
        <f aca="false">(Supuestos!$C$52-Supuestos!$C$51)*324230000000*AN7/12</f>
        <v>297210833.333333</v>
      </c>
      <c r="AO10" s="37" t="n">
        <f aca="false">(Supuestos!$C$52-Supuestos!$C$51)*324230000000*AO7/12</f>
        <v>297210833.333333</v>
      </c>
      <c r="AP10" s="37" t="n">
        <f aca="false">(Supuestos!$C$52-Supuestos!$C$51)*324230000000*AP7/12</f>
        <v>297210833.333333</v>
      </c>
      <c r="AQ10" s="37" t="n">
        <f aca="false">(Supuestos!$C$52-Supuestos!$C$51)*324230000000*AQ7/12</f>
        <v>297210833.333333</v>
      </c>
      <c r="AR10" s="37" t="n">
        <f aca="false">(Supuestos!$C$52-Supuestos!$C$51)*324230000000*AR7/12</f>
        <v>297210833.333333</v>
      </c>
      <c r="AS10" s="37" t="n">
        <f aca="false">(Supuestos!$C$52-Supuestos!$C$51)*324230000000*AS7/12</f>
        <v>297210833.333333</v>
      </c>
      <c r="AT10" s="37" t="n">
        <f aca="false">(Supuestos!$C$52-Supuestos!$C$51)*324230000000*AT7/12</f>
        <v>297210833.333333</v>
      </c>
      <c r="AU10" s="37" t="n">
        <f aca="false">(Supuestos!$C$52-Supuestos!$C$51)*324230000000*AU7/12</f>
        <v>297210833.333333</v>
      </c>
      <c r="AV10" s="37" t="n">
        <f aca="false">(Supuestos!$C$52-Supuestos!$C$51)*324230000000*AV7/12</f>
        <v>297210833.333333</v>
      </c>
      <c r="AW10" s="37" t="n">
        <f aca="false">(Supuestos!$C$52-Supuestos!$C$51)*324230000000*AW7/12</f>
        <v>297210833.333333</v>
      </c>
      <c r="AX10" s="37" t="n">
        <f aca="false">(Supuestos!$C$52-Supuestos!$C$51)*324230000000*AX7/12</f>
        <v>297210833.333333</v>
      </c>
      <c r="AY10" s="37" t="n">
        <f aca="false">(Supuestos!$C$52-Supuestos!$C$51)*324230000000*AY7/12</f>
        <v>297210833.333333</v>
      </c>
      <c r="AZ10" s="37" t="n">
        <f aca="false">(Supuestos!$C$52-Supuestos!$C$51)*324230000000*AZ7/12</f>
        <v>297210833.333333</v>
      </c>
      <c r="BA10" s="37" t="n">
        <f aca="false">(Supuestos!$C$52-Supuestos!$C$51)*324230000000*BA7/12</f>
        <v>297210833.333333</v>
      </c>
      <c r="BB10" s="37" t="n">
        <f aca="false">(Supuestos!$C$52-Supuestos!$C$51)*324230000000*BB7/12</f>
        <v>297210833.333333</v>
      </c>
      <c r="BC10" s="37" t="n">
        <f aca="false">(Supuestos!$C$52-Supuestos!$C$51)*324230000000*BC7/12</f>
        <v>297210833.333333</v>
      </c>
      <c r="BD10" s="37" t="n">
        <f aca="false">(Supuestos!$C$52-Supuestos!$C$51)*324230000000*BD7/12</f>
        <v>297210833.333333</v>
      </c>
      <c r="BE10" s="37" t="n">
        <f aca="false">(Supuestos!$C$52-Supuestos!$C$51)*324230000000*BE7/12</f>
        <v>297210833.333333</v>
      </c>
      <c r="BF10" s="37" t="n">
        <f aca="false">(Supuestos!$C$52-Supuestos!$C$51)*324230000000*BF7/12</f>
        <v>297210833.333333</v>
      </c>
      <c r="BG10" s="37" t="n">
        <f aca="false">(Supuestos!$C$52-Supuestos!$C$51)*324230000000*BG7/12</f>
        <v>297210833.333333</v>
      </c>
      <c r="BH10" s="37" t="n">
        <f aca="false">(Supuestos!$C$52-Supuestos!$C$51)*324230000000*BH7/12</f>
        <v>297210833.333333</v>
      </c>
      <c r="BI10" s="37" t="n">
        <f aca="false">(Supuestos!$C$52-Supuestos!$C$51)*324230000000*BI7/12</f>
        <v>297210833.333333</v>
      </c>
      <c r="BJ10" s="37" t="n">
        <f aca="false">(Supuestos!$C$52-Supuestos!$C$51)*324230000000*BJ7/12</f>
        <v>297210833.333333</v>
      </c>
      <c r="BK10" s="37" t="n">
        <f aca="false">(Supuestos!$C$52-Supuestos!$C$51)*324230000000*BK7/12</f>
        <v>297210833.333333</v>
      </c>
      <c r="BL10" s="37" t="n">
        <f aca="false">(Supuestos!$C$52-Supuestos!$C$51)*324230000000*BL7/12</f>
        <v>297210833.333333</v>
      </c>
      <c r="BM10" s="37" t="n">
        <f aca="false">(Supuestos!$C$52-Supuestos!$C$51)*324230000000*BM7/12</f>
        <v>297210833.333333</v>
      </c>
      <c r="BN10" s="37" t="n">
        <f aca="false">(Supuestos!$C$52-Supuestos!$C$51)*324230000000*BN7/12</f>
        <v>297210833.333333</v>
      </c>
      <c r="BO10" s="37" t="n">
        <f aca="false">(Supuestos!$C$52-Supuestos!$C$51)*324230000000*BO7/12</f>
        <v>297210833.333333</v>
      </c>
      <c r="BP10" s="37" t="n">
        <f aca="false">(Supuestos!$C$52-Supuestos!$C$51)*324230000000*BP7/12</f>
        <v>297210833.333333</v>
      </c>
      <c r="BQ10" s="37" t="n">
        <f aca="false">(Supuestos!$C$52-Supuestos!$C$51)*324230000000*BQ7/12</f>
        <v>297210833.333333</v>
      </c>
      <c r="BR10" s="37" t="n">
        <f aca="false">(Supuestos!$C$52-Supuestos!$C$51)*324230000000*BR7/12</f>
        <v>297210833.333333</v>
      </c>
      <c r="BS10" s="37" t="n">
        <f aca="false">(Supuestos!$C$52-Supuestos!$C$51)*324230000000*BS7/12</f>
        <v>297210833.333333</v>
      </c>
      <c r="BT10" s="37" t="n">
        <f aca="false">(Supuestos!$C$52-Supuestos!$C$51)*324230000000*BT7/12</f>
        <v>297210833.333333</v>
      </c>
      <c r="BU10" s="37" t="n">
        <f aca="false">(Supuestos!$C$52-Supuestos!$C$51)*324230000000*BU7/12</f>
        <v>297210833.333333</v>
      </c>
      <c r="BV10" s="37" t="n">
        <f aca="false">(Supuestos!$C$52-Supuestos!$C$51)*324230000000*BV7/12</f>
        <v>297210833.333333</v>
      </c>
      <c r="BW10" s="37" t="n">
        <f aca="false">(Supuestos!$C$52-Supuestos!$C$51)*324230000000*BW7/12</f>
        <v>297210833.333333</v>
      </c>
      <c r="BX10" s="37" t="n">
        <f aca="false">(Supuestos!$C$52-Supuestos!$C$51)*324230000000*BX7/12</f>
        <v>297210833.333333</v>
      </c>
      <c r="BY10" s="37" t="n">
        <f aca="false">(Supuestos!$C$52-Supuestos!$C$51)*324230000000*BY7/12</f>
        <v>297210833.333333</v>
      </c>
      <c r="BZ10" s="37" t="n">
        <f aca="false">(Supuestos!$C$52-Supuestos!$C$51)*324230000000*BZ7/12</f>
        <v>297210833.333333</v>
      </c>
      <c r="CA10" s="37" t="n">
        <f aca="false">(Supuestos!$C$52-Supuestos!$C$51)*324230000000*CA7/12</f>
        <v>297210833.333333</v>
      </c>
      <c r="CB10" s="37" t="n">
        <f aca="false">(Supuestos!$C$52-Supuestos!$C$51)*324230000000*CB7/12</f>
        <v>297210833.333333</v>
      </c>
      <c r="CC10" s="37" t="n">
        <f aca="false">(Supuestos!$C$52-Supuestos!$C$51)*324230000000*CC7/12</f>
        <v>297210833.333333</v>
      </c>
      <c r="CD10" s="37" t="n">
        <f aca="false">(Supuestos!$C$52-Supuestos!$C$51)*324230000000*CD7/12</f>
        <v>297210833.333333</v>
      </c>
      <c r="CE10" s="37" t="n">
        <f aca="false">(Supuestos!$C$52-Supuestos!$C$51)*324230000000*CE7/12</f>
        <v>297210833.333333</v>
      </c>
      <c r="CF10" s="37" t="n">
        <f aca="false">(Supuestos!$C$52-Supuestos!$C$51)*324230000000*CF7/12</f>
        <v>297210833.333333</v>
      </c>
      <c r="CG10" s="37" t="n">
        <f aca="false">(Supuestos!$C$52-Supuestos!$C$51)*324230000000*CG7/12</f>
        <v>297210833.333333</v>
      </c>
      <c r="CH10" s="37" t="n">
        <f aca="false">(Supuestos!$C$52-Supuestos!$C$51)*324230000000*CH7/12</f>
        <v>297210833.333333</v>
      </c>
      <c r="CI10" s="37" t="n">
        <f aca="false">(Supuestos!$C$52-Supuestos!$C$51)*324230000000*CI7/12</f>
        <v>297210833.333333</v>
      </c>
      <c r="CJ10" s="37" t="n">
        <f aca="false">(Supuestos!$C$52-Supuestos!$C$51)*324230000000*CJ7/12</f>
        <v>297210833.333333</v>
      </c>
      <c r="CK10" s="37" t="n">
        <f aca="false">(Supuestos!$C$52-Supuestos!$C$51)*324230000000*CK7/12</f>
        <v>297210833.333333</v>
      </c>
      <c r="CL10" s="37" t="n">
        <f aca="false">(Supuestos!$C$52-Supuestos!$C$51)*324230000000*CL7/12</f>
        <v>297210833.333333</v>
      </c>
      <c r="CM10" s="37" t="n">
        <f aca="false">(Supuestos!$C$52-Supuestos!$C$51)*324230000000*CM7/12</f>
        <v>297210833.333333</v>
      </c>
      <c r="CN10" s="37" t="n">
        <f aca="false">(Supuestos!$C$52-Supuestos!$C$51)*324230000000*CN7/12</f>
        <v>297210833.333333</v>
      </c>
      <c r="CO10" s="37" t="n">
        <f aca="false">(Supuestos!$C$52-Supuestos!$C$51)*324230000000*CO7/12</f>
        <v>297210833.333333</v>
      </c>
      <c r="CP10" s="37" t="n">
        <f aca="false">(Supuestos!$C$52-Supuestos!$C$51)*324230000000*CP7/12</f>
        <v>297210833.333333</v>
      </c>
      <c r="CQ10" s="37" t="n">
        <f aca="false">(Supuestos!$C$52-Supuestos!$C$51)*324230000000*CQ7/12</f>
        <v>297210833.333333</v>
      </c>
      <c r="CR10" s="37" t="n">
        <f aca="false">(Supuestos!$C$52-Supuestos!$C$51)*324230000000*CR7/12</f>
        <v>297210833.333333</v>
      </c>
      <c r="CS10" s="37" t="n">
        <f aca="false">(Supuestos!$C$52-Supuestos!$C$51)*324230000000*CS7/12</f>
        <v>297210833.333333</v>
      </c>
      <c r="CT10" s="37" t="n">
        <f aca="false">(Supuestos!$C$52-Supuestos!$C$51)*324230000000*CT7/12</f>
        <v>297210833.333333</v>
      </c>
    </row>
    <row r="11" customFormat="false" ht="15" hidden="false" customHeight="true" outlineLevel="0" collapsed="false">
      <c r="B11" s="15" t="s">
        <v>388</v>
      </c>
      <c r="C11" s="37" t="n">
        <f aca="false">Supuestos!$C$53*C7/12</f>
        <v>42895833.3333333</v>
      </c>
      <c r="D11" s="37" t="n">
        <f aca="false">Supuestos!$C$53*D7/12</f>
        <v>42895833.3333333</v>
      </c>
      <c r="E11" s="37" t="n">
        <f aca="false">Supuestos!$C$53*E7/12</f>
        <v>42895833.3333333</v>
      </c>
      <c r="F11" s="37" t="n">
        <f aca="false">Supuestos!$C$53*F7/12</f>
        <v>42895833.3333333</v>
      </c>
      <c r="G11" s="37" t="n">
        <f aca="false">Supuestos!$C$53*G7/12</f>
        <v>42895833.3333333</v>
      </c>
      <c r="H11" s="37" t="n">
        <f aca="false">Supuestos!$C$53*H7/12</f>
        <v>42895833.3333333</v>
      </c>
      <c r="I11" s="37" t="n">
        <f aca="false">Supuestos!$C$53*I7/12</f>
        <v>42895833.3333333</v>
      </c>
      <c r="J11" s="37" t="n">
        <f aca="false">Supuestos!$C$53*J7/12</f>
        <v>42895833.3333333</v>
      </c>
      <c r="K11" s="37" t="n">
        <f aca="false">Supuestos!$C$53*K7/12</f>
        <v>42895833.3333333</v>
      </c>
      <c r="L11" s="37" t="n">
        <f aca="false">Supuestos!$C$53*L7/12</f>
        <v>42895833.3333333</v>
      </c>
      <c r="M11" s="37" t="n">
        <f aca="false">Supuestos!$C$53*M7/12</f>
        <v>42895833.3333333</v>
      </c>
      <c r="N11" s="37" t="n">
        <f aca="false">Supuestos!$C$53*N7/12</f>
        <v>42895833.3333333</v>
      </c>
      <c r="O11" s="37" t="n">
        <f aca="false">Supuestos!$C$53*O7/12</f>
        <v>85791666.6666667</v>
      </c>
      <c r="P11" s="37" t="n">
        <f aca="false">Supuestos!$C$53*P7/12</f>
        <v>85791666.6666667</v>
      </c>
      <c r="Q11" s="37" t="n">
        <f aca="false">Supuestos!$C$53*Q7/12</f>
        <v>85791666.6666667</v>
      </c>
      <c r="R11" s="37" t="n">
        <f aca="false">Supuestos!$C$53*R7/12</f>
        <v>85791666.6666667</v>
      </c>
      <c r="S11" s="37" t="n">
        <f aca="false">Supuestos!$C$53*S7/12</f>
        <v>85791666.6666667</v>
      </c>
      <c r="T11" s="37" t="n">
        <f aca="false">Supuestos!$C$53*T7/12</f>
        <v>85791666.6666667</v>
      </c>
      <c r="U11" s="37" t="n">
        <f aca="false">Supuestos!$C$53*U7/12</f>
        <v>85791666.6666667</v>
      </c>
      <c r="V11" s="37" t="n">
        <f aca="false">Supuestos!$C$53*V7/12</f>
        <v>85791666.6666667</v>
      </c>
      <c r="W11" s="37" t="n">
        <f aca="false">Supuestos!$C$53*W7/12</f>
        <v>85791666.6666667</v>
      </c>
      <c r="X11" s="37" t="n">
        <f aca="false">Supuestos!$C$53*X7/12</f>
        <v>85791666.6666667</v>
      </c>
      <c r="Y11" s="37" t="n">
        <f aca="false">Supuestos!$C$53*Y7/12</f>
        <v>85791666.6666667</v>
      </c>
      <c r="Z11" s="37" t="n">
        <f aca="false">Supuestos!$C$53*Z7/12</f>
        <v>85791666.6666667</v>
      </c>
      <c r="AA11" s="37" t="n">
        <f aca="false">Supuestos!$C$53*AA7/12</f>
        <v>128687500</v>
      </c>
      <c r="AB11" s="37" t="n">
        <f aca="false">Supuestos!$C$53*AB7/12</f>
        <v>128687500</v>
      </c>
      <c r="AC11" s="37" t="n">
        <f aca="false">Supuestos!$C$53*AC7/12</f>
        <v>128687500</v>
      </c>
      <c r="AD11" s="37" t="n">
        <f aca="false">Supuestos!$C$53*AD7/12</f>
        <v>128687500</v>
      </c>
      <c r="AE11" s="37" t="n">
        <f aca="false">Supuestos!$C$53*AE7/12</f>
        <v>128687500</v>
      </c>
      <c r="AF11" s="37" t="n">
        <f aca="false">Supuestos!$C$53*AF7/12</f>
        <v>128687500</v>
      </c>
      <c r="AG11" s="37" t="n">
        <f aca="false">Supuestos!$C$53*AG7/12</f>
        <v>128687500</v>
      </c>
      <c r="AH11" s="37" t="n">
        <f aca="false">Supuestos!$C$53*AH7/12</f>
        <v>128687500</v>
      </c>
      <c r="AI11" s="37" t="n">
        <f aca="false">Supuestos!$C$53*AI7/12</f>
        <v>128687500</v>
      </c>
      <c r="AJ11" s="37" t="n">
        <f aca="false">Supuestos!$C$53*AJ7/12</f>
        <v>128687500</v>
      </c>
      <c r="AK11" s="37" t="n">
        <f aca="false">Supuestos!$C$53*AK7/12</f>
        <v>128687500</v>
      </c>
      <c r="AL11" s="37" t="n">
        <f aca="false">Supuestos!$C$53*AL7/12</f>
        <v>128687500</v>
      </c>
      <c r="AM11" s="37" t="n">
        <f aca="false">Supuestos!$C$53*AM7/12</f>
        <v>171583333.333333</v>
      </c>
      <c r="AN11" s="37" t="n">
        <f aca="false">Supuestos!$C$53*AN7/12</f>
        <v>171583333.333333</v>
      </c>
      <c r="AO11" s="37" t="n">
        <f aca="false">Supuestos!$C$53*AO7/12</f>
        <v>171583333.333333</v>
      </c>
      <c r="AP11" s="37" t="n">
        <f aca="false">Supuestos!$C$53*AP7/12</f>
        <v>171583333.333333</v>
      </c>
      <c r="AQ11" s="37" t="n">
        <f aca="false">Supuestos!$C$53*AQ7/12</f>
        <v>171583333.333333</v>
      </c>
      <c r="AR11" s="37" t="n">
        <f aca="false">Supuestos!$C$53*AR7/12</f>
        <v>171583333.333333</v>
      </c>
      <c r="AS11" s="37" t="n">
        <f aca="false">Supuestos!$C$53*AS7/12</f>
        <v>171583333.333333</v>
      </c>
      <c r="AT11" s="37" t="n">
        <f aca="false">Supuestos!$C$53*AT7/12</f>
        <v>171583333.333333</v>
      </c>
      <c r="AU11" s="37" t="n">
        <f aca="false">Supuestos!$C$53*AU7/12</f>
        <v>171583333.333333</v>
      </c>
      <c r="AV11" s="37" t="n">
        <f aca="false">Supuestos!$C$53*AV7/12</f>
        <v>171583333.333333</v>
      </c>
      <c r="AW11" s="37" t="n">
        <f aca="false">Supuestos!$C$53*AW7/12</f>
        <v>171583333.333333</v>
      </c>
      <c r="AX11" s="37" t="n">
        <f aca="false">Supuestos!$C$53*AX7/12</f>
        <v>171583333.333333</v>
      </c>
      <c r="AY11" s="37" t="n">
        <f aca="false">Supuestos!$C$53*AY7/12</f>
        <v>171583333.333333</v>
      </c>
      <c r="AZ11" s="37" t="n">
        <f aca="false">Supuestos!$C$53*AZ7/12</f>
        <v>171583333.333333</v>
      </c>
      <c r="BA11" s="37" t="n">
        <f aca="false">Supuestos!$C$53*BA7/12</f>
        <v>171583333.333333</v>
      </c>
      <c r="BB11" s="37" t="n">
        <f aca="false">Supuestos!$C$53*BB7/12</f>
        <v>171583333.333333</v>
      </c>
      <c r="BC11" s="37" t="n">
        <f aca="false">Supuestos!$C$53*BC7/12</f>
        <v>171583333.333333</v>
      </c>
      <c r="BD11" s="37" t="n">
        <f aca="false">Supuestos!$C$53*BD7/12</f>
        <v>171583333.333333</v>
      </c>
      <c r="BE11" s="37" t="n">
        <f aca="false">Supuestos!$C$53*BE7/12</f>
        <v>171583333.333333</v>
      </c>
      <c r="BF11" s="37" t="n">
        <f aca="false">Supuestos!$C$53*BF7/12</f>
        <v>171583333.333333</v>
      </c>
      <c r="BG11" s="37" t="n">
        <f aca="false">Supuestos!$C$53*BG7/12</f>
        <v>171583333.333333</v>
      </c>
      <c r="BH11" s="37" t="n">
        <f aca="false">Supuestos!$C$53*BH7/12</f>
        <v>171583333.333333</v>
      </c>
      <c r="BI11" s="37" t="n">
        <f aca="false">Supuestos!$C$53*BI7/12</f>
        <v>171583333.333333</v>
      </c>
      <c r="BJ11" s="37" t="n">
        <f aca="false">Supuestos!$C$53*BJ7/12</f>
        <v>171583333.333333</v>
      </c>
      <c r="BK11" s="37" t="n">
        <f aca="false">Supuestos!$C$53*BK7/12</f>
        <v>171583333.333333</v>
      </c>
      <c r="BL11" s="37" t="n">
        <f aca="false">Supuestos!$C$53*BL7/12</f>
        <v>171583333.333333</v>
      </c>
      <c r="BM11" s="37" t="n">
        <f aca="false">Supuestos!$C$53*BM7/12</f>
        <v>171583333.333333</v>
      </c>
      <c r="BN11" s="37" t="n">
        <f aca="false">Supuestos!$C$53*BN7/12</f>
        <v>171583333.333333</v>
      </c>
      <c r="BO11" s="37" t="n">
        <f aca="false">Supuestos!$C$53*BO7/12</f>
        <v>171583333.333333</v>
      </c>
      <c r="BP11" s="37" t="n">
        <f aca="false">Supuestos!$C$53*BP7/12</f>
        <v>171583333.333333</v>
      </c>
      <c r="BQ11" s="37" t="n">
        <f aca="false">Supuestos!$C$53*BQ7/12</f>
        <v>171583333.333333</v>
      </c>
      <c r="BR11" s="37" t="n">
        <f aca="false">Supuestos!$C$53*BR7/12</f>
        <v>171583333.333333</v>
      </c>
      <c r="BS11" s="37" t="n">
        <f aca="false">Supuestos!$C$53*BS7/12</f>
        <v>171583333.333333</v>
      </c>
      <c r="BT11" s="37" t="n">
        <f aca="false">Supuestos!$C$53*BT7/12</f>
        <v>171583333.333333</v>
      </c>
      <c r="BU11" s="37" t="n">
        <f aca="false">Supuestos!$C$53*BU7/12</f>
        <v>171583333.333333</v>
      </c>
      <c r="BV11" s="37" t="n">
        <f aca="false">Supuestos!$C$53*BV7/12</f>
        <v>171583333.333333</v>
      </c>
      <c r="BW11" s="37" t="n">
        <f aca="false">Supuestos!$C$53*BW7/12</f>
        <v>171583333.333333</v>
      </c>
      <c r="BX11" s="37" t="n">
        <f aca="false">Supuestos!$C$53*BX7/12</f>
        <v>171583333.333333</v>
      </c>
      <c r="BY11" s="37" t="n">
        <f aca="false">Supuestos!$C$53*BY7/12</f>
        <v>171583333.333333</v>
      </c>
      <c r="BZ11" s="37" t="n">
        <f aca="false">Supuestos!$C$53*BZ7/12</f>
        <v>171583333.333333</v>
      </c>
      <c r="CA11" s="37" t="n">
        <f aca="false">Supuestos!$C$53*CA7/12</f>
        <v>171583333.333333</v>
      </c>
      <c r="CB11" s="37" t="n">
        <f aca="false">Supuestos!$C$53*CB7/12</f>
        <v>171583333.333333</v>
      </c>
      <c r="CC11" s="37" t="n">
        <f aca="false">Supuestos!$C$53*CC7/12</f>
        <v>171583333.333333</v>
      </c>
      <c r="CD11" s="37" t="n">
        <f aca="false">Supuestos!$C$53*CD7/12</f>
        <v>171583333.333333</v>
      </c>
      <c r="CE11" s="37" t="n">
        <f aca="false">Supuestos!$C$53*CE7/12</f>
        <v>171583333.333333</v>
      </c>
      <c r="CF11" s="37" t="n">
        <f aca="false">Supuestos!$C$53*CF7/12</f>
        <v>171583333.333333</v>
      </c>
      <c r="CG11" s="37" t="n">
        <f aca="false">Supuestos!$C$53*CG7/12</f>
        <v>171583333.333333</v>
      </c>
      <c r="CH11" s="37" t="n">
        <f aca="false">Supuestos!$C$53*CH7/12</f>
        <v>171583333.333333</v>
      </c>
      <c r="CI11" s="37" t="n">
        <f aca="false">Supuestos!$C$53*CI7/12</f>
        <v>171583333.333333</v>
      </c>
      <c r="CJ11" s="37" t="n">
        <f aca="false">Supuestos!$C$53*CJ7/12</f>
        <v>171583333.333333</v>
      </c>
      <c r="CK11" s="37" t="n">
        <f aca="false">Supuestos!$C$53*CK7/12</f>
        <v>171583333.333333</v>
      </c>
      <c r="CL11" s="37" t="n">
        <f aca="false">Supuestos!$C$53*CL7/12</f>
        <v>171583333.333333</v>
      </c>
      <c r="CM11" s="37" t="n">
        <f aca="false">Supuestos!$C$53*CM7/12</f>
        <v>171583333.333333</v>
      </c>
      <c r="CN11" s="37" t="n">
        <f aca="false">Supuestos!$C$53*CN7/12</f>
        <v>171583333.333333</v>
      </c>
      <c r="CO11" s="37" t="n">
        <f aca="false">Supuestos!$C$53*CO7/12</f>
        <v>171583333.333333</v>
      </c>
      <c r="CP11" s="37" t="n">
        <f aca="false">Supuestos!$C$53*CP7/12</f>
        <v>171583333.333333</v>
      </c>
      <c r="CQ11" s="37" t="n">
        <f aca="false">Supuestos!$C$53*CQ7/12</f>
        <v>171583333.333333</v>
      </c>
      <c r="CR11" s="37" t="n">
        <f aca="false">Supuestos!$C$53*CR7/12</f>
        <v>171583333.333333</v>
      </c>
      <c r="CS11" s="37" t="n">
        <f aca="false">Supuestos!$C$53*CS7/12</f>
        <v>171583333.333333</v>
      </c>
      <c r="CT11" s="37" t="n">
        <f aca="false">Supuestos!$C$53*CT7/12</f>
        <v>171583333.333333</v>
      </c>
    </row>
    <row r="12" customFormat="false" ht="15" hidden="false" customHeight="true" outlineLevel="0" collapsed="false">
      <c r="B12" s="15" t="s">
        <v>389</v>
      </c>
      <c r="C12" s="37" t="n">
        <f aca="false">Supuestos!$C$55*MIN((0+1)*2,6)/12</f>
        <v>30000000</v>
      </c>
      <c r="D12" s="37" t="n">
        <f aca="false">Supuestos!$C$55*MIN((0+1)*2,6)/12</f>
        <v>30000000</v>
      </c>
      <c r="E12" s="37" t="n">
        <f aca="false">Supuestos!$C$55*MIN((0+1)*2,6)/12</f>
        <v>30000000</v>
      </c>
      <c r="F12" s="37" t="n">
        <f aca="false">Supuestos!$C$55*MIN((0+1)*2,6)/12</f>
        <v>30000000</v>
      </c>
      <c r="G12" s="37" t="n">
        <f aca="false">Supuestos!$C$55*MIN((0+1)*2,6)/12</f>
        <v>30000000</v>
      </c>
      <c r="H12" s="37" t="n">
        <f aca="false">Supuestos!$C$55*MIN((0+1)*2,6)/12</f>
        <v>30000000</v>
      </c>
      <c r="I12" s="37" t="n">
        <f aca="false">Supuestos!$C$55*MIN((0+1)*2,6)/12</f>
        <v>30000000</v>
      </c>
      <c r="J12" s="37" t="n">
        <f aca="false">Supuestos!$C$55*MIN((0+1)*2,6)/12</f>
        <v>30000000</v>
      </c>
      <c r="K12" s="37" t="n">
        <f aca="false">Supuestos!$C$55*MIN((0+1)*2,6)/12</f>
        <v>30000000</v>
      </c>
      <c r="L12" s="37" t="n">
        <f aca="false">Supuestos!$C$55*MIN((0+1)*2,6)/12</f>
        <v>30000000</v>
      </c>
      <c r="M12" s="37" t="n">
        <f aca="false">Supuestos!$C$55*MIN((0+1)*2,6)/12</f>
        <v>30000000</v>
      </c>
      <c r="N12" s="37" t="n">
        <f aca="false">Supuestos!$C$55*MIN((0+1)*2,6)/12</f>
        <v>30000000</v>
      </c>
      <c r="O12" s="37" t="n">
        <f aca="false">Supuestos!$C$55*MIN((1+1)*2,6)/12</f>
        <v>60000000</v>
      </c>
      <c r="P12" s="37" t="n">
        <f aca="false">Supuestos!$C$55*MIN((1+1)*2,6)/12</f>
        <v>60000000</v>
      </c>
      <c r="Q12" s="37" t="n">
        <f aca="false">Supuestos!$C$55*MIN((1+1)*2,6)/12</f>
        <v>60000000</v>
      </c>
      <c r="R12" s="37" t="n">
        <f aca="false">Supuestos!$C$55*MIN((1+1)*2,6)/12</f>
        <v>60000000</v>
      </c>
      <c r="S12" s="37" t="n">
        <f aca="false">Supuestos!$C$55*MIN((1+1)*2,6)/12</f>
        <v>60000000</v>
      </c>
      <c r="T12" s="37" t="n">
        <f aca="false">Supuestos!$C$55*MIN((1+1)*2,6)/12</f>
        <v>60000000</v>
      </c>
      <c r="U12" s="37" t="n">
        <f aca="false">Supuestos!$C$55*MIN((1+1)*2,6)/12</f>
        <v>60000000</v>
      </c>
      <c r="V12" s="37" t="n">
        <f aca="false">Supuestos!$C$55*MIN((1+1)*2,6)/12</f>
        <v>60000000</v>
      </c>
      <c r="W12" s="37" t="n">
        <f aca="false">Supuestos!$C$55*MIN((1+1)*2,6)/12</f>
        <v>60000000</v>
      </c>
      <c r="X12" s="37" t="n">
        <f aca="false">Supuestos!$C$55*MIN((1+1)*2,6)/12</f>
        <v>60000000</v>
      </c>
      <c r="Y12" s="37" t="n">
        <f aca="false">Supuestos!$C$55*MIN((1+1)*2,6)/12</f>
        <v>60000000</v>
      </c>
      <c r="Z12" s="37" t="n">
        <f aca="false">Supuestos!$C$55*MIN((1+1)*2,6)/12</f>
        <v>60000000</v>
      </c>
      <c r="AA12" s="37" t="n">
        <f aca="false">Supuestos!$C$55*MIN((2+1)*2,6)/12</f>
        <v>90000000</v>
      </c>
      <c r="AB12" s="37" t="n">
        <f aca="false">Supuestos!$C$55*MIN((2+1)*2,6)/12</f>
        <v>90000000</v>
      </c>
      <c r="AC12" s="37" t="n">
        <f aca="false">Supuestos!$C$55*MIN((2+1)*2,6)/12</f>
        <v>90000000</v>
      </c>
      <c r="AD12" s="37" t="n">
        <f aca="false">Supuestos!$C$55*MIN((2+1)*2,6)/12</f>
        <v>90000000</v>
      </c>
      <c r="AE12" s="37" t="n">
        <f aca="false">Supuestos!$C$55*MIN((2+1)*2,6)/12</f>
        <v>90000000</v>
      </c>
      <c r="AF12" s="37" t="n">
        <f aca="false">Supuestos!$C$55*MIN((2+1)*2,6)/12</f>
        <v>90000000</v>
      </c>
      <c r="AG12" s="37" t="n">
        <f aca="false">Supuestos!$C$55*MIN((2+1)*2,6)/12</f>
        <v>90000000</v>
      </c>
      <c r="AH12" s="37" t="n">
        <f aca="false">Supuestos!$C$55*MIN((2+1)*2,6)/12</f>
        <v>90000000</v>
      </c>
      <c r="AI12" s="37" t="n">
        <f aca="false">Supuestos!$C$55*MIN((2+1)*2,6)/12</f>
        <v>90000000</v>
      </c>
      <c r="AJ12" s="37" t="n">
        <f aca="false">Supuestos!$C$55*MIN((2+1)*2,6)/12</f>
        <v>90000000</v>
      </c>
      <c r="AK12" s="37" t="n">
        <f aca="false">Supuestos!$C$55*MIN((2+1)*2,6)/12</f>
        <v>90000000</v>
      </c>
      <c r="AL12" s="37" t="n">
        <f aca="false">Supuestos!$C$55*MIN((2+1)*2,6)/12</f>
        <v>90000000</v>
      </c>
      <c r="AM12" s="37" t="n">
        <f aca="false">Supuestos!$C$55*MIN((3+1)*2,6)/12</f>
        <v>90000000</v>
      </c>
      <c r="AN12" s="37" t="n">
        <f aca="false">Supuestos!$C$55*MIN((3+1)*2,6)/12</f>
        <v>90000000</v>
      </c>
      <c r="AO12" s="37" t="n">
        <f aca="false">Supuestos!$C$55*MIN((3+1)*2,6)/12</f>
        <v>90000000</v>
      </c>
      <c r="AP12" s="37" t="n">
        <f aca="false">Supuestos!$C$55*MIN((3+1)*2,6)/12</f>
        <v>90000000</v>
      </c>
      <c r="AQ12" s="37" t="n">
        <f aca="false">Supuestos!$C$55*MIN((3+1)*2,6)/12</f>
        <v>90000000</v>
      </c>
      <c r="AR12" s="37" t="n">
        <f aca="false">Supuestos!$C$55*MIN((3+1)*2,6)/12</f>
        <v>90000000</v>
      </c>
      <c r="AS12" s="37" t="n">
        <f aca="false">Supuestos!$C$55*MIN((3+1)*2,6)/12</f>
        <v>90000000</v>
      </c>
      <c r="AT12" s="37" t="n">
        <f aca="false">Supuestos!$C$55*MIN((3+1)*2,6)/12</f>
        <v>90000000</v>
      </c>
      <c r="AU12" s="37" t="n">
        <f aca="false">Supuestos!$C$55*MIN((3+1)*2,6)/12</f>
        <v>90000000</v>
      </c>
      <c r="AV12" s="37" t="n">
        <f aca="false">Supuestos!$C$55*MIN((3+1)*2,6)/12</f>
        <v>90000000</v>
      </c>
      <c r="AW12" s="37" t="n">
        <f aca="false">Supuestos!$C$55*MIN((3+1)*2,6)/12</f>
        <v>90000000</v>
      </c>
      <c r="AX12" s="37" t="n">
        <f aca="false">Supuestos!$C$55*MIN((3+1)*2,6)/12</f>
        <v>90000000</v>
      </c>
      <c r="AY12" s="37" t="n">
        <f aca="false">Supuestos!$C$55*MIN((4+1)*2,6)/12</f>
        <v>90000000</v>
      </c>
      <c r="AZ12" s="37" t="n">
        <f aca="false">Supuestos!$C$55*MIN((4+1)*2,6)/12</f>
        <v>90000000</v>
      </c>
      <c r="BA12" s="37" t="n">
        <f aca="false">Supuestos!$C$55*MIN((4+1)*2,6)/12</f>
        <v>90000000</v>
      </c>
      <c r="BB12" s="37" t="n">
        <f aca="false">Supuestos!$C$55*MIN((4+1)*2,6)/12</f>
        <v>90000000</v>
      </c>
      <c r="BC12" s="37" t="n">
        <f aca="false">Supuestos!$C$55*MIN((4+1)*2,6)/12</f>
        <v>90000000</v>
      </c>
      <c r="BD12" s="37" t="n">
        <f aca="false">Supuestos!$C$55*MIN((4+1)*2,6)/12</f>
        <v>90000000</v>
      </c>
      <c r="BE12" s="37" t="n">
        <f aca="false">Supuestos!$C$55*MIN((4+1)*2,6)/12</f>
        <v>90000000</v>
      </c>
      <c r="BF12" s="37" t="n">
        <f aca="false">Supuestos!$C$55*MIN((4+1)*2,6)/12</f>
        <v>90000000</v>
      </c>
      <c r="BG12" s="37" t="n">
        <f aca="false">Supuestos!$C$55*MIN((4+1)*2,6)/12</f>
        <v>90000000</v>
      </c>
      <c r="BH12" s="37" t="n">
        <f aca="false">Supuestos!$C$55*MIN((4+1)*2,6)/12</f>
        <v>90000000</v>
      </c>
      <c r="BI12" s="37" t="n">
        <f aca="false">Supuestos!$C$55*MIN((4+1)*2,6)/12</f>
        <v>90000000</v>
      </c>
      <c r="BJ12" s="37" t="n">
        <f aca="false">Supuestos!$C$55*MIN((4+1)*2,6)/12</f>
        <v>90000000</v>
      </c>
      <c r="BK12" s="37" t="n">
        <f aca="false">Supuestos!$C$55*MIN((5+1)*2,6)/12</f>
        <v>90000000</v>
      </c>
      <c r="BL12" s="37" t="n">
        <f aca="false">Supuestos!$C$55*MIN((5+1)*2,6)/12</f>
        <v>90000000</v>
      </c>
      <c r="BM12" s="37" t="n">
        <f aca="false">Supuestos!$C$55*MIN((5+1)*2,6)/12</f>
        <v>90000000</v>
      </c>
      <c r="BN12" s="37" t="n">
        <f aca="false">Supuestos!$C$55*MIN((5+1)*2,6)/12</f>
        <v>90000000</v>
      </c>
      <c r="BO12" s="37" t="n">
        <f aca="false">Supuestos!$C$55*MIN((5+1)*2,6)/12</f>
        <v>90000000</v>
      </c>
      <c r="BP12" s="37" t="n">
        <f aca="false">Supuestos!$C$55*MIN((5+1)*2,6)/12</f>
        <v>90000000</v>
      </c>
      <c r="BQ12" s="37" t="n">
        <f aca="false">Supuestos!$C$55*MIN((5+1)*2,6)/12</f>
        <v>90000000</v>
      </c>
      <c r="BR12" s="37" t="n">
        <f aca="false">Supuestos!$C$55*MIN((5+1)*2,6)/12</f>
        <v>90000000</v>
      </c>
      <c r="BS12" s="37" t="n">
        <f aca="false">Supuestos!$C$55*MIN((5+1)*2,6)/12</f>
        <v>90000000</v>
      </c>
      <c r="BT12" s="37" t="n">
        <f aca="false">Supuestos!$C$55*MIN((5+1)*2,6)/12</f>
        <v>90000000</v>
      </c>
      <c r="BU12" s="37" t="n">
        <f aca="false">Supuestos!$C$55*MIN((5+1)*2,6)/12</f>
        <v>90000000</v>
      </c>
      <c r="BV12" s="37" t="n">
        <f aca="false">Supuestos!$C$55*MIN((5+1)*2,6)/12</f>
        <v>90000000</v>
      </c>
      <c r="BW12" s="37" t="n">
        <f aca="false">Supuestos!$C$55*MIN((6+1)*2,6)/12</f>
        <v>90000000</v>
      </c>
      <c r="BX12" s="37" t="n">
        <f aca="false">Supuestos!$C$55*MIN((6+1)*2,6)/12</f>
        <v>90000000</v>
      </c>
      <c r="BY12" s="37" t="n">
        <f aca="false">Supuestos!$C$55*MIN((6+1)*2,6)/12</f>
        <v>90000000</v>
      </c>
      <c r="BZ12" s="37" t="n">
        <f aca="false">Supuestos!$C$55*MIN((6+1)*2,6)/12</f>
        <v>90000000</v>
      </c>
      <c r="CA12" s="37" t="n">
        <f aca="false">Supuestos!$C$55*MIN((6+1)*2,6)/12</f>
        <v>90000000</v>
      </c>
      <c r="CB12" s="37" t="n">
        <f aca="false">Supuestos!$C$55*MIN((6+1)*2,6)/12</f>
        <v>90000000</v>
      </c>
      <c r="CC12" s="37" t="n">
        <f aca="false">Supuestos!$C$55*MIN((6+1)*2,6)/12</f>
        <v>90000000</v>
      </c>
      <c r="CD12" s="37" t="n">
        <f aca="false">Supuestos!$C$55*MIN((6+1)*2,6)/12</f>
        <v>90000000</v>
      </c>
      <c r="CE12" s="37" t="n">
        <f aca="false">Supuestos!$C$55*MIN((6+1)*2,6)/12</f>
        <v>90000000</v>
      </c>
      <c r="CF12" s="37" t="n">
        <f aca="false">Supuestos!$C$55*MIN((6+1)*2,6)/12</f>
        <v>90000000</v>
      </c>
      <c r="CG12" s="37" t="n">
        <f aca="false">Supuestos!$C$55*MIN((6+1)*2,6)/12</f>
        <v>90000000</v>
      </c>
      <c r="CH12" s="37" t="n">
        <f aca="false">Supuestos!$C$55*MIN((6+1)*2,6)/12</f>
        <v>90000000</v>
      </c>
      <c r="CI12" s="37" t="n">
        <f aca="false">Supuestos!$C$55*MIN((7+1)*2,6)/12</f>
        <v>90000000</v>
      </c>
      <c r="CJ12" s="37" t="n">
        <f aca="false">Supuestos!$C$55*MIN((7+1)*2,6)/12</f>
        <v>90000000</v>
      </c>
      <c r="CK12" s="37" t="n">
        <f aca="false">Supuestos!$C$55*MIN((7+1)*2,6)/12</f>
        <v>90000000</v>
      </c>
      <c r="CL12" s="37" t="n">
        <f aca="false">Supuestos!$C$55*MIN((7+1)*2,6)/12</f>
        <v>90000000</v>
      </c>
      <c r="CM12" s="37" t="n">
        <f aca="false">Supuestos!$C$55*MIN((7+1)*2,6)/12</f>
        <v>90000000</v>
      </c>
      <c r="CN12" s="37" t="n">
        <f aca="false">Supuestos!$C$55*MIN((7+1)*2,6)/12</f>
        <v>90000000</v>
      </c>
      <c r="CO12" s="37" t="n">
        <f aca="false">Supuestos!$C$55*MIN((7+1)*2,6)/12</f>
        <v>90000000</v>
      </c>
      <c r="CP12" s="37" t="n">
        <f aca="false">Supuestos!$C$55*MIN((7+1)*2,6)/12</f>
        <v>90000000</v>
      </c>
      <c r="CQ12" s="37" t="n">
        <f aca="false">Supuestos!$C$55*MIN((7+1)*2,6)/12</f>
        <v>90000000</v>
      </c>
      <c r="CR12" s="37" t="n">
        <f aca="false">Supuestos!$C$55*MIN((7+1)*2,6)/12</f>
        <v>90000000</v>
      </c>
      <c r="CS12" s="37" t="n">
        <f aca="false">Supuestos!$C$55*MIN((7+1)*2,6)/12</f>
        <v>90000000</v>
      </c>
      <c r="CT12" s="37" t="n">
        <f aca="false">Supuestos!$C$55*MIN((7+1)*2,6)/12</f>
        <v>90000000</v>
      </c>
    </row>
    <row r="13" customFormat="false" ht="15" hidden="false" customHeight="true" outlineLevel="0" collapsed="false">
      <c r="B13" s="15" t="s">
        <v>390</v>
      </c>
      <c r="C13" s="37" t="n">
        <f aca="false">IF(0=0,Supuestos!$C$54*0.6/12,IF(0=1,Supuestos!$C$54*0.4/12,Supuestos!$C$54*0.15/12))</f>
        <v>60000000</v>
      </c>
      <c r="D13" s="37" t="n">
        <f aca="false">IF(0=0,Supuestos!$C$54*0.6/12,IF(0=1,Supuestos!$C$54*0.4/12,Supuestos!$C$54*0.15/12))</f>
        <v>60000000</v>
      </c>
      <c r="E13" s="37" t="n">
        <f aca="false">IF(0=0,Supuestos!$C$54*0.6/12,IF(0=1,Supuestos!$C$54*0.4/12,Supuestos!$C$54*0.15/12))</f>
        <v>60000000</v>
      </c>
      <c r="F13" s="37" t="n">
        <f aca="false">IF(0=0,Supuestos!$C$54*0.6/12,IF(0=1,Supuestos!$C$54*0.4/12,Supuestos!$C$54*0.15/12))</f>
        <v>60000000</v>
      </c>
      <c r="G13" s="37" t="n">
        <f aca="false">IF(0=0,Supuestos!$C$54*0.6/12,IF(0=1,Supuestos!$C$54*0.4/12,Supuestos!$C$54*0.15/12))</f>
        <v>60000000</v>
      </c>
      <c r="H13" s="37" t="n">
        <f aca="false">IF(0=0,Supuestos!$C$54*0.6/12,IF(0=1,Supuestos!$C$54*0.4/12,Supuestos!$C$54*0.15/12))</f>
        <v>60000000</v>
      </c>
      <c r="I13" s="37" t="n">
        <f aca="false">IF(0=0,Supuestos!$C$54*0.6/12,IF(0=1,Supuestos!$C$54*0.4/12,Supuestos!$C$54*0.15/12))</f>
        <v>60000000</v>
      </c>
      <c r="J13" s="37" t="n">
        <f aca="false">IF(0=0,Supuestos!$C$54*0.6/12,IF(0=1,Supuestos!$C$54*0.4/12,Supuestos!$C$54*0.15/12))</f>
        <v>60000000</v>
      </c>
      <c r="K13" s="37" t="n">
        <f aca="false">IF(0=0,Supuestos!$C$54*0.6/12,IF(0=1,Supuestos!$C$54*0.4/12,Supuestos!$C$54*0.15/12))</f>
        <v>60000000</v>
      </c>
      <c r="L13" s="37" t="n">
        <f aca="false">IF(0=0,Supuestos!$C$54*0.6/12,IF(0=1,Supuestos!$C$54*0.4/12,Supuestos!$C$54*0.15/12))</f>
        <v>60000000</v>
      </c>
      <c r="M13" s="37" t="n">
        <f aca="false">IF(0=0,Supuestos!$C$54*0.6/12,IF(0=1,Supuestos!$C$54*0.4/12,Supuestos!$C$54*0.15/12))</f>
        <v>60000000</v>
      </c>
      <c r="N13" s="37" t="n">
        <f aca="false">IF(0=0,Supuestos!$C$54*0.6/12,IF(0=1,Supuestos!$C$54*0.4/12,Supuestos!$C$54*0.15/12))</f>
        <v>60000000</v>
      </c>
      <c r="O13" s="37" t="n">
        <f aca="false">IF(1=0,Supuestos!$C$54*0.6/12,IF(1=1,Supuestos!$C$54*0.4/12,Supuestos!$C$54*0.15/12))</f>
        <v>40000000</v>
      </c>
      <c r="P13" s="37" t="n">
        <f aca="false">IF(1=0,Supuestos!$C$54*0.6/12,IF(1=1,Supuestos!$C$54*0.4/12,Supuestos!$C$54*0.15/12))</f>
        <v>40000000</v>
      </c>
      <c r="Q13" s="37" t="n">
        <f aca="false">IF(1=0,Supuestos!$C$54*0.6/12,IF(1=1,Supuestos!$C$54*0.4/12,Supuestos!$C$54*0.15/12))</f>
        <v>40000000</v>
      </c>
      <c r="R13" s="37" t="n">
        <f aca="false">IF(1=0,Supuestos!$C$54*0.6/12,IF(1=1,Supuestos!$C$54*0.4/12,Supuestos!$C$54*0.15/12))</f>
        <v>40000000</v>
      </c>
      <c r="S13" s="37" t="n">
        <f aca="false">IF(1=0,Supuestos!$C$54*0.6/12,IF(1=1,Supuestos!$C$54*0.4/12,Supuestos!$C$54*0.15/12))</f>
        <v>40000000</v>
      </c>
      <c r="T13" s="37" t="n">
        <f aca="false">IF(1=0,Supuestos!$C$54*0.6/12,IF(1=1,Supuestos!$C$54*0.4/12,Supuestos!$C$54*0.15/12))</f>
        <v>40000000</v>
      </c>
      <c r="U13" s="37" t="n">
        <f aca="false">IF(1=0,Supuestos!$C$54*0.6/12,IF(1=1,Supuestos!$C$54*0.4/12,Supuestos!$C$54*0.15/12))</f>
        <v>40000000</v>
      </c>
      <c r="V13" s="37" t="n">
        <f aca="false">IF(1=0,Supuestos!$C$54*0.6/12,IF(1=1,Supuestos!$C$54*0.4/12,Supuestos!$C$54*0.15/12))</f>
        <v>40000000</v>
      </c>
      <c r="W13" s="37" t="n">
        <f aca="false">IF(1=0,Supuestos!$C$54*0.6/12,IF(1=1,Supuestos!$C$54*0.4/12,Supuestos!$C$54*0.15/12))</f>
        <v>40000000</v>
      </c>
      <c r="X13" s="37" t="n">
        <f aca="false">IF(1=0,Supuestos!$C$54*0.6/12,IF(1=1,Supuestos!$C$54*0.4/12,Supuestos!$C$54*0.15/12))</f>
        <v>40000000</v>
      </c>
      <c r="Y13" s="37" t="n">
        <f aca="false">IF(1=0,Supuestos!$C$54*0.6/12,IF(1=1,Supuestos!$C$54*0.4/12,Supuestos!$C$54*0.15/12))</f>
        <v>40000000</v>
      </c>
      <c r="Z13" s="37" t="n">
        <f aca="false">IF(1=0,Supuestos!$C$54*0.6/12,IF(1=1,Supuestos!$C$54*0.4/12,Supuestos!$C$54*0.15/12))</f>
        <v>40000000</v>
      </c>
      <c r="AA13" s="37" t="n">
        <f aca="false">IF(2=0,Supuestos!$C$54*0.6/12,IF(2=1,Supuestos!$C$54*0.4/12,Supuestos!$C$54*0.15/12))</f>
        <v>15000000</v>
      </c>
      <c r="AB13" s="37" t="n">
        <f aca="false">IF(2=0,Supuestos!$C$54*0.6/12,IF(2=1,Supuestos!$C$54*0.4/12,Supuestos!$C$54*0.15/12))</f>
        <v>15000000</v>
      </c>
      <c r="AC13" s="37" t="n">
        <f aca="false">IF(2=0,Supuestos!$C$54*0.6/12,IF(2=1,Supuestos!$C$54*0.4/12,Supuestos!$C$54*0.15/12))</f>
        <v>15000000</v>
      </c>
      <c r="AD13" s="37" t="n">
        <f aca="false">IF(2=0,Supuestos!$C$54*0.6/12,IF(2=1,Supuestos!$C$54*0.4/12,Supuestos!$C$54*0.15/12))</f>
        <v>15000000</v>
      </c>
      <c r="AE13" s="37" t="n">
        <f aca="false">IF(2=0,Supuestos!$C$54*0.6/12,IF(2=1,Supuestos!$C$54*0.4/12,Supuestos!$C$54*0.15/12))</f>
        <v>15000000</v>
      </c>
      <c r="AF13" s="37" t="n">
        <f aca="false">IF(2=0,Supuestos!$C$54*0.6/12,IF(2=1,Supuestos!$C$54*0.4/12,Supuestos!$C$54*0.15/12))</f>
        <v>15000000</v>
      </c>
      <c r="AG13" s="37" t="n">
        <f aca="false">IF(2=0,Supuestos!$C$54*0.6/12,IF(2=1,Supuestos!$C$54*0.4/12,Supuestos!$C$54*0.15/12))</f>
        <v>15000000</v>
      </c>
      <c r="AH13" s="37" t="n">
        <f aca="false">IF(2=0,Supuestos!$C$54*0.6/12,IF(2=1,Supuestos!$C$54*0.4/12,Supuestos!$C$54*0.15/12))</f>
        <v>15000000</v>
      </c>
      <c r="AI13" s="37" t="n">
        <f aca="false">IF(2=0,Supuestos!$C$54*0.6/12,IF(2=1,Supuestos!$C$54*0.4/12,Supuestos!$C$54*0.15/12))</f>
        <v>15000000</v>
      </c>
      <c r="AJ13" s="37" t="n">
        <f aca="false">IF(2=0,Supuestos!$C$54*0.6/12,IF(2=1,Supuestos!$C$54*0.4/12,Supuestos!$C$54*0.15/12))</f>
        <v>15000000</v>
      </c>
      <c r="AK13" s="37" t="n">
        <f aca="false">IF(2=0,Supuestos!$C$54*0.6/12,IF(2=1,Supuestos!$C$54*0.4/12,Supuestos!$C$54*0.15/12))</f>
        <v>15000000</v>
      </c>
      <c r="AL13" s="37" t="n">
        <f aca="false">IF(2=0,Supuestos!$C$54*0.6/12,IF(2=1,Supuestos!$C$54*0.4/12,Supuestos!$C$54*0.15/12))</f>
        <v>15000000</v>
      </c>
      <c r="AM13" s="37" t="n">
        <f aca="false">IF(3=0,Supuestos!$C$54*0.6/12,IF(3=1,Supuestos!$C$54*0.4/12,Supuestos!$C$54*0.15/12))</f>
        <v>15000000</v>
      </c>
      <c r="AN13" s="37" t="n">
        <f aca="false">IF(3=0,Supuestos!$C$54*0.6/12,IF(3=1,Supuestos!$C$54*0.4/12,Supuestos!$C$54*0.15/12))</f>
        <v>15000000</v>
      </c>
      <c r="AO13" s="37" t="n">
        <f aca="false">IF(3=0,Supuestos!$C$54*0.6/12,IF(3=1,Supuestos!$C$54*0.4/12,Supuestos!$C$54*0.15/12))</f>
        <v>15000000</v>
      </c>
      <c r="AP13" s="37" t="n">
        <f aca="false">IF(3=0,Supuestos!$C$54*0.6/12,IF(3=1,Supuestos!$C$54*0.4/12,Supuestos!$C$54*0.15/12))</f>
        <v>15000000</v>
      </c>
      <c r="AQ13" s="37" t="n">
        <f aca="false">IF(3=0,Supuestos!$C$54*0.6/12,IF(3=1,Supuestos!$C$54*0.4/12,Supuestos!$C$54*0.15/12))</f>
        <v>15000000</v>
      </c>
      <c r="AR13" s="37" t="n">
        <f aca="false">IF(3=0,Supuestos!$C$54*0.6/12,IF(3=1,Supuestos!$C$54*0.4/12,Supuestos!$C$54*0.15/12))</f>
        <v>15000000</v>
      </c>
      <c r="AS13" s="37" t="n">
        <f aca="false">IF(3=0,Supuestos!$C$54*0.6/12,IF(3=1,Supuestos!$C$54*0.4/12,Supuestos!$C$54*0.15/12))</f>
        <v>15000000</v>
      </c>
      <c r="AT13" s="37" t="n">
        <f aca="false">IF(3=0,Supuestos!$C$54*0.6/12,IF(3=1,Supuestos!$C$54*0.4/12,Supuestos!$C$54*0.15/12))</f>
        <v>15000000</v>
      </c>
      <c r="AU13" s="37" t="n">
        <f aca="false">IF(3=0,Supuestos!$C$54*0.6/12,IF(3=1,Supuestos!$C$54*0.4/12,Supuestos!$C$54*0.15/12))</f>
        <v>15000000</v>
      </c>
      <c r="AV13" s="37" t="n">
        <f aca="false">IF(3=0,Supuestos!$C$54*0.6/12,IF(3=1,Supuestos!$C$54*0.4/12,Supuestos!$C$54*0.15/12))</f>
        <v>15000000</v>
      </c>
      <c r="AW13" s="37" t="n">
        <f aca="false">IF(3=0,Supuestos!$C$54*0.6/12,IF(3=1,Supuestos!$C$54*0.4/12,Supuestos!$C$54*0.15/12))</f>
        <v>15000000</v>
      </c>
      <c r="AX13" s="37" t="n">
        <f aca="false">IF(3=0,Supuestos!$C$54*0.6/12,IF(3=1,Supuestos!$C$54*0.4/12,Supuestos!$C$54*0.15/12))</f>
        <v>15000000</v>
      </c>
      <c r="AY13" s="37" t="n">
        <f aca="false">IF(4=0,Supuestos!$C$54*0.6/12,IF(4=1,Supuestos!$C$54*0.4/12,Supuestos!$C$54*0.15/12))</f>
        <v>15000000</v>
      </c>
      <c r="AZ13" s="37" t="n">
        <f aca="false">IF(4=0,Supuestos!$C$54*0.6/12,IF(4=1,Supuestos!$C$54*0.4/12,Supuestos!$C$54*0.15/12))</f>
        <v>15000000</v>
      </c>
      <c r="BA13" s="37" t="n">
        <f aca="false">IF(4=0,Supuestos!$C$54*0.6/12,IF(4=1,Supuestos!$C$54*0.4/12,Supuestos!$C$54*0.15/12))</f>
        <v>15000000</v>
      </c>
      <c r="BB13" s="37" t="n">
        <f aca="false">IF(4=0,Supuestos!$C$54*0.6/12,IF(4=1,Supuestos!$C$54*0.4/12,Supuestos!$C$54*0.15/12))</f>
        <v>15000000</v>
      </c>
      <c r="BC13" s="37" t="n">
        <f aca="false">IF(4=0,Supuestos!$C$54*0.6/12,IF(4=1,Supuestos!$C$54*0.4/12,Supuestos!$C$54*0.15/12))</f>
        <v>15000000</v>
      </c>
      <c r="BD13" s="37" t="n">
        <f aca="false">IF(4=0,Supuestos!$C$54*0.6/12,IF(4=1,Supuestos!$C$54*0.4/12,Supuestos!$C$54*0.15/12))</f>
        <v>15000000</v>
      </c>
      <c r="BE13" s="37" t="n">
        <f aca="false">IF(4=0,Supuestos!$C$54*0.6/12,IF(4=1,Supuestos!$C$54*0.4/12,Supuestos!$C$54*0.15/12))</f>
        <v>15000000</v>
      </c>
      <c r="BF13" s="37" t="n">
        <f aca="false">IF(4=0,Supuestos!$C$54*0.6/12,IF(4=1,Supuestos!$C$54*0.4/12,Supuestos!$C$54*0.15/12))</f>
        <v>15000000</v>
      </c>
      <c r="BG13" s="37" t="n">
        <f aca="false">IF(4=0,Supuestos!$C$54*0.6/12,IF(4=1,Supuestos!$C$54*0.4/12,Supuestos!$C$54*0.15/12))</f>
        <v>15000000</v>
      </c>
      <c r="BH13" s="37" t="n">
        <f aca="false">IF(4=0,Supuestos!$C$54*0.6/12,IF(4=1,Supuestos!$C$54*0.4/12,Supuestos!$C$54*0.15/12))</f>
        <v>15000000</v>
      </c>
      <c r="BI13" s="37" t="n">
        <f aca="false">IF(4=0,Supuestos!$C$54*0.6/12,IF(4=1,Supuestos!$C$54*0.4/12,Supuestos!$C$54*0.15/12))</f>
        <v>15000000</v>
      </c>
      <c r="BJ13" s="37" t="n">
        <f aca="false">IF(4=0,Supuestos!$C$54*0.6/12,IF(4=1,Supuestos!$C$54*0.4/12,Supuestos!$C$54*0.15/12))</f>
        <v>15000000</v>
      </c>
      <c r="BK13" s="37" t="n">
        <f aca="false">IF(5=0,Supuestos!$C$54*0.6/12,IF(5=1,Supuestos!$C$54*0.4/12,Supuestos!$C$54*0.15/12))</f>
        <v>15000000</v>
      </c>
      <c r="BL13" s="37" t="n">
        <f aca="false">IF(5=0,Supuestos!$C$54*0.6/12,IF(5=1,Supuestos!$C$54*0.4/12,Supuestos!$C$54*0.15/12))</f>
        <v>15000000</v>
      </c>
      <c r="BM13" s="37" t="n">
        <f aca="false">IF(5=0,Supuestos!$C$54*0.6/12,IF(5=1,Supuestos!$C$54*0.4/12,Supuestos!$C$54*0.15/12))</f>
        <v>15000000</v>
      </c>
      <c r="BN13" s="37" t="n">
        <f aca="false">IF(5=0,Supuestos!$C$54*0.6/12,IF(5=1,Supuestos!$C$54*0.4/12,Supuestos!$C$54*0.15/12))</f>
        <v>15000000</v>
      </c>
      <c r="BO13" s="37" t="n">
        <f aca="false">IF(5=0,Supuestos!$C$54*0.6/12,IF(5=1,Supuestos!$C$54*0.4/12,Supuestos!$C$54*0.15/12))</f>
        <v>15000000</v>
      </c>
      <c r="BP13" s="37" t="n">
        <f aca="false">IF(5=0,Supuestos!$C$54*0.6/12,IF(5=1,Supuestos!$C$54*0.4/12,Supuestos!$C$54*0.15/12))</f>
        <v>15000000</v>
      </c>
      <c r="BQ13" s="37" t="n">
        <f aca="false">IF(5=0,Supuestos!$C$54*0.6/12,IF(5=1,Supuestos!$C$54*0.4/12,Supuestos!$C$54*0.15/12))</f>
        <v>15000000</v>
      </c>
      <c r="BR13" s="37" t="n">
        <f aca="false">IF(5=0,Supuestos!$C$54*0.6/12,IF(5=1,Supuestos!$C$54*0.4/12,Supuestos!$C$54*0.15/12))</f>
        <v>15000000</v>
      </c>
      <c r="BS13" s="37" t="n">
        <f aca="false">IF(5=0,Supuestos!$C$54*0.6/12,IF(5=1,Supuestos!$C$54*0.4/12,Supuestos!$C$54*0.15/12))</f>
        <v>15000000</v>
      </c>
      <c r="BT13" s="37" t="n">
        <f aca="false">IF(5=0,Supuestos!$C$54*0.6/12,IF(5=1,Supuestos!$C$54*0.4/12,Supuestos!$C$54*0.15/12))</f>
        <v>15000000</v>
      </c>
      <c r="BU13" s="37" t="n">
        <f aca="false">IF(5=0,Supuestos!$C$54*0.6/12,IF(5=1,Supuestos!$C$54*0.4/12,Supuestos!$C$54*0.15/12))</f>
        <v>15000000</v>
      </c>
      <c r="BV13" s="37" t="n">
        <f aca="false">IF(5=0,Supuestos!$C$54*0.6/12,IF(5=1,Supuestos!$C$54*0.4/12,Supuestos!$C$54*0.15/12))</f>
        <v>15000000</v>
      </c>
      <c r="BW13" s="37" t="n">
        <f aca="false">IF(6=0,Supuestos!$C$54*0.6/12,IF(6=1,Supuestos!$C$54*0.4/12,Supuestos!$C$54*0.15/12))</f>
        <v>15000000</v>
      </c>
      <c r="BX13" s="37" t="n">
        <f aca="false">IF(6=0,Supuestos!$C$54*0.6/12,IF(6=1,Supuestos!$C$54*0.4/12,Supuestos!$C$54*0.15/12))</f>
        <v>15000000</v>
      </c>
      <c r="BY13" s="37" t="n">
        <f aca="false">IF(6=0,Supuestos!$C$54*0.6/12,IF(6=1,Supuestos!$C$54*0.4/12,Supuestos!$C$54*0.15/12))</f>
        <v>15000000</v>
      </c>
      <c r="BZ13" s="37" t="n">
        <f aca="false">IF(6=0,Supuestos!$C$54*0.6/12,IF(6=1,Supuestos!$C$54*0.4/12,Supuestos!$C$54*0.15/12))</f>
        <v>15000000</v>
      </c>
      <c r="CA13" s="37" t="n">
        <f aca="false">IF(6=0,Supuestos!$C$54*0.6/12,IF(6=1,Supuestos!$C$54*0.4/12,Supuestos!$C$54*0.15/12))</f>
        <v>15000000</v>
      </c>
      <c r="CB13" s="37" t="n">
        <f aca="false">IF(6=0,Supuestos!$C$54*0.6/12,IF(6=1,Supuestos!$C$54*0.4/12,Supuestos!$C$54*0.15/12))</f>
        <v>15000000</v>
      </c>
      <c r="CC13" s="37" t="n">
        <f aca="false">IF(6=0,Supuestos!$C$54*0.6/12,IF(6=1,Supuestos!$C$54*0.4/12,Supuestos!$C$54*0.15/12))</f>
        <v>15000000</v>
      </c>
      <c r="CD13" s="37" t="n">
        <f aca="false">IF(6=0,Supuestos!$C$54*0.6/12,IF(6=1,Supuestos!$C$54*0.4/12,Supuestos!$C$54*0.15/12))</f>
        <v>15000000</v>
      </c>
      <c r="CE13" s="37" t="n">
        <f aca="false">IF(6=0,Supuestos!$C$54*0.6/12,IF(6=1,Supuestos!$C$54*0.4/12,Supuestos!$C$54*0.15/12))</f>
        <v>15000000</v>
      </c>
      <c r="CF13" s="37" t="n">
        <f aca="false">IF(6=0,Supuestos!$C$54*0.6/12,IF(6=1,Supuestos!$C$54*0.4/12,Supuestos!$C$54*0.15/12))</f>
        <v>15000000</v>
      </c>
      <c r="CG13" s="37" t="n">
        <f aca="false">IF(6=0,Supuestos!$C$54*0.6/12,IF(6=1,Supuestos!$C$54*0.4/12,Supuestos!$C$54*0.15/12))</f>
        <v>15000000</v>
      </c>
      <c r="CH13" s="37" t="n">
        <f aca="false">IF(6=0,Supuestos!$C$54*0.6/12,IF(6=1,Supuestos!$C$54*0.4/12,Supuestos!$C$54*0.15/12))</f>
        <v>15000000</v>
      </c>
      <c r="CI13" s="37" t="n">
        <f aca="false">IF(7=0,Supuestos!$C$54*0.6/12,IF(7=1,Supuestos!$C$54*0.4/12,Supuestos!$C$54*0.15/12))</f>
        <v>15000000</v>
      </c>
      <c r="CJ13" s="37" t="n">
        <f aca="false">IF(7=0,Supuestos!$C$54*0.6/12,IF(7=1,Supuestos!$C$54*0.4/12,Supuestos!$C$54*0.15/12))</f>
        <v>15000000</v>
      </c>
      <c r="CK13" s="37" t="n">
        <f aca="false">IF(7=0,Supuestos!$C$54*0.6/12,IF(7=1,Supuestos!$C$54*0.4/12,Supuestos!$C$54*0.15/12))</f>
        <v>15000000</v>
      </c>
      <c r="CL13" s="37" t="n">
        <f aca="false">IF(7=0,Supuestos!$C$54*0.6/12,IF(7=1,Supuestos!$C$54*0.4/12,Supuestos!$C$54*0.15/12))</f>
        <v>15000000</v>
      </c>
      <c r="CM13" s="37" t="n">
        <f aca="false">IF(7=0,Supuestos!$C$54*0.6/12,IF(7=1,Supuestos!$C$54*0.4/12,Supuestos!$C$54*0.15/12))</f>
        <v>15000000</v>
      </c>
      <c r="CN13" s="37" t="n">
        <f aca="false">IF(7=0,Supuestos!$C$54*0.6/12,IF(7=1,Supuestos!$C$54*0.4/12,Supuestos!$C$54*0.15/12))</f>
        <v>15000000</v>
      </c>
      <c r="CO13" s="37" t="n">
        <f aca="false">IF(7=0,Supuestos!$C$54*0.6/12,IF(7=1,Supuestos!$C$54*0.4/12,Supuestos!$C$54*0.15/12))</f>
        <v>15000000</v>
      </c>
      <c r="CP13" s="37" t="n">
        <f aca="false">IF(7=0,Supuestos!$C$54*0.6/12,IF(7=1,Supuestos!$C$54*0.4/12,Supuestos!$C$54*0.15/12))</f>
        <v>15000000</v>
      </c>
      <c r="CQ13" s="37" t="n">
        <f aca="false">IF(7=0,Supuestos!$C$54*0.6/12,IF(7=1,Supuestos!$C$54*0.4/12,Supuestos!$C$54*0.15/12))</f>
        <v>15000000</v>
      </c>
      <c r="CR13" s="37" t="n">
        <f aca="false">IF(7=0,Supuestos!$C$54*0.6/12,IF(7=1,Supuestos!$C$54*0.4/12,Supuestos!$C$54*0.15/12))</f>
        <v>15000000</v>
      </c>
      <c r="CS13" s="37" t="n">
        <f aca="false">IF(7=0,Supuestos!$C$54*0.6/12,IF(7=1,Supuestos!$C$54*0.4/12,Supuestos!$C$54*0.15/12))</f>
        <v>15000000</v>
      </c>
      <c r="CT13" s="37" t="n">
        <f aca="false">IF(7=0,Supuestos!$C$54*0.6/12,IF(7=1,Supuestos!$C$54*0.4/12,Supuestos!$C$54*0.15/12))</f>
        <v>15000000</v>
      </c>
    </row>
    <row r="14" customFormat="false" ht="15" hidden="false" customHeight="true" outlineLevel="0" collapsed="false">
      <c r="B14" s="15" t="s">
        <v>391</v>
      </c>
      <c r="C14" s="37" t="n">
        <f aca="false">Supuestos!$C$56/12</f>
        <v>0</v>
      </c>
      <c r="D14" s="37" t="n">
        <f aca="false">Supuestos!$C$56/12</f>
        <v>0</v>
      </c>
      <c r="E14" s="37" t="n">
        <f aca="false">Supuestos!$C$56/12</f>
        <v>0</v>
      </c>
      <c r="F14" s="37" t="n">
        <f aca="false">Supuestos!$C$56/12</f>
        <v>0</v>
      </c>
      <c r="G14" s="37" t="n">
        <f aca="false">Supuestos!$C$56/12</f>
        <v>0</v>
      </c>
      <c r="H14" s="37" t="n">
        <f aca="false">Supuestos!$C$56/12</f>
        <v>0</v>
      </c>
      <c r="I14" s="37" t="n">
        <f aca="false">Supuestos!$C$56/12</f>
        <v>0</v>
      </c>
      <c r="J14" s="37" t="n">
        <f aca="false">Supuestos!$C$56/12</f>
        <v>0</v>
      </c>
      <c r="K14" s="37" t="n">
        <f aca="false">Supuestos!$C$56/12</f>
        <v>0</v>
      </c>
      <c r="L14" s="37" t="n">
        <f aca="false">Supuestos!$C$56/12</f>
        <v>0</v>
      </c>
      <c r="M14" s="37" t="n">
        <f aca="false">Supuestos!$C$56/12</f>
        <v>0</v>
      </c>
      <c r="N14" s="37" t="n">
        <f aca="false">Supuestos!$C$56/12</f>
        <v>0</v>
      </c>
      <c r="O14" s="37" t="n">
        <f aca="false">Supuestos!$C$56/12</f>
        <v>0</v>
      </c>
      <c r="P14" s="37" t="n">
        <f aca="false">Supuestos!$C$56/12</f>
        <v>0</v>
      </c>
      <c r="Q14" s="37" t="n">
        <f aca="false">Supuestos!$C$56/12</f>
        <v>0</v>
      </c>
      <c r="R14" s="37" t="n">
        <f aca="false">Supuestos!$C$56/12</f>
        <v>0</v>
      </c>
      <c r="S14" s="37" t="n">
        <f aca="false">Supuestos!$C$56/12</f>
        <v>0</v>
      </c>
      <c r="T14" s="37" t="n">
        <f aca="false">Supuestos!$C$56/12</f>
        <v>0</v>
      </c>
      <c r="U14" s="37" t="n">
        <f aca="false">Supuestos!$C$56/12</f>
        <v>0</v>
      </c>
      <c r="V14" s="37" t="n">
        <f aca="false">Supuestos!$C$56/12</f>
        <v>0</v>
      </c>
      <c r="W14" s="37" t="n">
        <f aca="false">Supuestos!$C$56/12</f>
        <v>0</v>
      </c>
      <c r="X14" s="37" t="n">
        <f aca="false">Supuestos!$C$56/12</f>
        <v>0</v>
      </c>
      <c r="Y14" s="37" t="n">
        <f aca="false">Supuestos!$C$56/12</f>
        <v>0</v>
      </c>
      <c r="Z14" s="37" t="n">
        <f aca="false">Supuestos!$C$56/12</f>
        <v>0</v>
      </c>
      <c r="AA14" s="37" t="n">
        <f aca="false">Supuestos!$C$56/12</f>
        <v>0</v>
      </c>
      <c r="AB14" s="37" t="n">
        <f aca="false">Supuestos!$C$56/12</f>
        <v>0</v>
      </c>
      <c r="AC14" s="37" t="n">
        <f aca="false">Supuestos!$C$56/12</f>
        <v>0</v>
      </c>
      <c r="AD14" s="37" t="n">
        <f aca="false">Supuestos!$C$56/12</f>
        <v>0</v>
      </c>
      <c r="AE14" s="37" t="n">
        <f aca="false">Supuestos!$C$56/12</f>
        <v>0</v>
      </c>
      <c r="AF14" s="37" t="n">
        <f aca="false">Supuestos!$C$56/12</f>
        <v>0</v>
      </c>
      <c r="AG14" s="37" t="n">
        <f aca="false">Supuestos!$C$56/12</f>
        <v>0</v>
      </c>
      <c r="AH14" s="37" t="n">
        <f aca="false">Supuestos!$C$56/12</f>
        <v>0</v>
      </c>
      <c r="AI14" s="37" t="n">
        <f aca="false">Supuestos!$C$56/12</f>
        <v>0</v>
      </c>
      <c r="AJ14" s="37" t="n">
        <f aca="false">Supuestos!$C$56/12</f>
        <v>0</v>
      </c>
      <c r="AK14" s="37" t="n">
        <f aca="false">Supuestos!$C$56/12</f>
        <v>0</v>
      </c>
      <c r="AL14" s="37" t="n">
        <f aca="false">Supuestos!$C$56/12</f>
        <v>0</v>
      </c>
      <c r="AM14" s="37" t="n">
        <f aca="false">Supuestos!$C$56/12</f>
        <v>0</v>
      </c>
      <c r="AN14" s="37" t="n">
        <f aca="false">Supuestos!$C$56/12</f>
        <v>0</v>
      </c>
      <c r="AO14" s="37" t="n">
        <f aca="false">Supuestos!$C$56/12</f>
        <v>0</v>
      </c>
      <c r="AP14" s="37" t="n">
        <f aca="false">Supuestos!$C$56/12</f>
        <v>0</v>
      </c>
      <c r="AQ14" s="37" t="n">
        <f aca="false">Supuestos!$C$56/12</f>
        <v>0</v>
      </c>
      <c r="AR14" s="37" t="n">
        <f aca="false">Supuestos!$C$56/12</f>
        <v>0</v>
      </c>
      <c r="AS14" s="37" t="n">
        <f aca="false">Supuestos!$C$56/12</f>
        <v>0</v>
      </c>
      <c r="AT14" s="37" t="n">
        <f aca="false">Supuestos!$C$56/12</f>
        <v>0</v>
      </c>
      <c r="AU14" s="37" t="n">
        <f aca="false">Supuestos!$C$56/12</f>
        <v>0</v>
      </c>
      <c r="AV14" s="37" t="n">
        <f aca="false">Supuestos!$C$56/12</f>
        <v>0</v>
      </c>
      <c r="AW14" s="37" t="n">
        <f aca="false">Supuestos!$C$56/12</f>
        <v>0</v>
      </c>
      <c r="AX14" s="37" t="n">
        <f aca="false">Supuestos!$C$56/12</f>
        <v>0</v>
      </c>
      <c r="AY14" s="37" t="n">
        <f aca="false">Supuestos!$C$56/12</f>
        <v>0</v>
      </c>
      <c r="AZ14" s="37" t="n">
        <f aca="false">Supuestos!$C$56/12</f>
        <v>0</v>
      </c>
      <c r="BA14" s="37" t="n">
        <f aca="false">Supuestos!$C$56/12</f>
        <v>0</v>
      </c>
      <c r="BB14" s="37" t="n">
        <f aca="false">Supuestos!$C$56/12</f>
        <v>0</v>
      </c>
      <c r="BC14" s="37" t="n">
        <f aca="false">Supuestos!$C$56/12</f>
        <v>0</v>
      </c>
      <c r="BD14" s="37" t="n">
        <f aca="false">Supuestos!$C$56/12</f>
        <v>0</v>
      </c>
      <c r="BE14" s="37" t="n">
        <f aca="false">Supuestos!$C$56/12</f>
        <v>0</v>
      </c>
      <c r="BF14" s="37" t="n">
        <f aca="false">Supuestos!$C$56/12</f>
        <v>0</v>
      </c>
      <c r="BG14" s="37" t="n">
        <f aca="false">Supuestos!$C$56/12</f>
        <v>0</v>
      </c>
      <c r="BH14" s="37" t="n">
        <f aca="false">Supuestos!$C$56/12</f>
        <v>0</v>
      </c>
      <c r="BI14" s="37" t="n">
        <f aca="false">Supuestos!$C$56/12</f>
        <v>0</v>
      </c>
      <c r="BJ14" s="37" t="n">
        <f aca="false">Supuestos!$C$56/12</f>
        <v>0</v>
      </c>
      <c r="BK14" s="37" t="n">
        <f aca="false">Supuestos!$C$56/12</f>
        <v>0</v>
      </c>
      <c r="BL14" s="37" t="n">
        <f aca="false">Supuestos!$C$56/12</f>
        <v>0</v>
      </c>
      <c r="BM14" s="37" t="n">
        <f aca="false">Supuestos!$C$56/12</f>
        <v>0</v>
      </c>
      <c r="BN14" s="37" t="n">
        <f aca="false">Supuestos!$C$56/12</f>
        <v>0</v>
      </c>
      <c r="BO14" s="37" t="n">
        <f aca="false">Supuestos!$C$56/12</f>
        <v>0</v>
      </c>
      <c r="BP14" s="37" t="n">
        <f aca="false">Supuestos!$C$56/12</f>
        <v>0</v>
      </c>
      <c r="BQ14" s="37" t="n">
        <f aca="false">Supuestos!$C$56/12</f>
        <v>0</v>
      </c>
      <c r="BR14" s="37" t="n">
        <f aca="false">Supuestos!$C$56/12</f>
        <v>0</v>
      </c>
      <c r="BS14" s="37" t="n">
        <f aca="false">Supuestos!$C$56/12</f>
        <v>0</v>
      </c>
      <c r="BT14" s="37" t="n">
        <f aca="false">Supuestos!$C$56/12</f>
        <v>0</v>
      </c>
      <c r="BU14" s="37" t="n">
        <f aca="false">Supuestos!$C$56/12</f>
        <v>0</v>
      </c>
      <c r="BV14" s="37" t="n">
        <f aca="false">Supuestos!$C$56/12</f>
        <v>0</v>
      </c>
      <c r="BW14" s="37" t="n">
        <f aca="false">Supuestos!$C$56/12</f>
        <v>0</v>
      </c>
      <c r="BX14" s="37" t="n">
        <f aca="false">Supuestos!$C$56/12</f>
        <v>0</v>
      </c>
      <c r="BY14" s="37" t="n">
        <f aca="false">Supuestos!$C$56/12</f>
        <v>0</v>
      </c>
      <c r="BZ14" s="37" t="n">
        <f aca="false">Supuestos!$C$56/12</f>
        <v>0</v>
      </c>
      <c r="CA14" s="37" t="n">
        <f aca="false">Supuestos!$C$56/12</f>
        <v>0</v>
      </c>
      <c r="CB14" s="37" t="n">
        <f aca="false">Supuestos!$C$56/12</f>
        <v>0</v>
      </c>
      <c r="CC14" s="37" t="n">
        <f aca="false">Supuestos!$C$56/12</f>
        <v>0</v>
      </c>
      <c r="CD14" s="37" t="n">
        <f aca="false">Supuestos!$C$56/12</f>
        <v>0</v>
      </c>
      <c r="CE14" s="37" t="n">
        <f aca="false">Supuestos!$C$56/12</f>
        <v>0</v>
      </c>
      <c r="CF14" s="37" t="n">
        <f aca="false">Supuestos!$C$56/12</f>
        <v>0</v>
      </c>
      <c r="CG14" s="37" t="n">
        <f aca="false">Supuestos!$C$56/12</f>
        <v>0</v>
      </c>
      <c r="CH14" s="37" t="n">
        <f aca="false">Supuestos!$C$56/12</f>
        <v>0</v>
      </c>
      <c r="CI14" s="37" t="n">
        <f aca="false">Supuestos!$C$56/12</f>
        <v>0</v>
      </c>
      <c r="CJ14" s="37" t="n">
        <f aca="false">Supuestos!$C$56/12</f>
        <v>0</v>
      </c>
      <c r="CK14" s="37" t="n">
        <f aca="false">Supuestos!$C$56/12</f>
        <v>0</v>
      </c>
      <c r="CL14" s="37" t="n">
        <f aca="false">Supuestos!$C$56/12</f>
        <v>0</v>
      </c>
      <c r="CM14" s="37" t="n">
        <f aca="false">Supuestos!$C$56/12</f>
        <v>0</v>
      </c>
      <c r="CN14" s="37" t="n">
        <f aca="false">Supuestos!$C$56/12</f>
        <v>0</v>
      </c>
      <c r="CO14" s="37" t="n">
        <f aca="false">Supuestos!$C$56/12</f>
        <v>0</v>
      </c>
      <c r="CP14" s="37" t="n">
        <f aca="false">Supuestos!$C$56/12</f>
        <v>0</v>
      </c>
      <c r="CQ14" s="37" t="n">
        <f aca="false">Supuestos!$C$56/12</f>
        <v>0</v>
      </c>
      <c r="CR14" s="37" t="n">
        <f aca="false">Supuestos!$C$56/12</f>
        <v>0</v>
      </c>
      <c r="CS14" s="37" t="n">
        <f aca="false">Supuestos!$C$56/12</f>
        <v>0</v>
      </c>
      <c r="CT14" s="37" t="n">
        <f aca="false">Supuestos!$C$56/12</f>
        <v>0</v>
      </c>
    </row>
    <row r="16" customFormat="false" ht="15" hidden="false" customHeight="true" outlineLevel="0" collapsed="false">
      <c r="B16" s="15" t="s">
        <v>392</v>
      </c>
      <c r="C16" s="37" t="n">
        <f aca="false">-(C10+C11+C12+C13)</f>
        <v>-207198541.666667</v>
      </c>
      <c r="D16" s="37" t="n">
        <f aca="false">-(D10+D11+D12+D13)</f>
        <v>-207198541.666667</v>
      </c>
      <c r="E16" s="37" t="n">
        <f aca="false">-(E10+E11+E12+E13)</f>
        <v>-207198541.666667</v>
      </c>
      <c r="F16" s="37" t="n">
        <f aca="false">-(F10+F11+F12+F13)</f>
        <v>-207198541.666667</v>
      </c>
      <c r="G16" s="37" t="n">
        <f aca="false">-(G10+G11+G12+G13)</f>
        <v>-207198541.666667</v>
      </c>
      <c r="H16" s="37" t="n">
        <f aca="false">-(H10+H11+H12+H13)</f>
        <v>-207198541.666667</v>
      </c>
      <c r="I16" s="37" t="n">
        <f aca="false">-(I10+I11+I12+I13)</f>
        <v>-207198541.666667</v>
      </c>
      <c r="J16" s="37" t="n">
        <f aca="false">-(J10+J11+J12+J13)</f>
        <v>-207198541.666667</v>
      </c>
      <c r="K16" s="37" t="n">
        <f aca="false">-(K10+K11+K12+K13)</f>
        <v>-207198541.666667</v>
      </c>
      <c r="L16" s="37" t="n">
        <f aca="false">-(L10+L11+L12+L13)</f>
        <v>-207198541.666667</v>
      </c>
      <c r="M16" s="37" t="n">
        <f aca="false">-(M10+M11+M12+M13)</f>
        <v>-207198541.666667</v>
      </c>
      <c r="N16" s="37" t="n">
        <f aca="false">-(N10+N11+N12+N13)</f>
        <v>-207198541.666667</v>
      </c>
      <c r="O16" s="37" t="n">
        <f aca="false">-(O10+O11+O12+O13)</f>
        <v>-334397083.333333</v>
      </c>
      <c r="P16" s="37" t="n">
        <f aca="false">-(P10+P11+P12+P13)</f>
        <v>-334397083.333333</v>
      </c>
      <c r="Q16" s="37" t="n">
        <f aca="false">-(Q10+Q11+Q12+Q13)</f>
        <v>-334397083.333333</v>
      </c>
      <c r="R16" s="37" t="n">
        <f aca="false">-(R10+R11+R12+R13)</f>
        <v>-334397083.333333</v>
      </c>
      <c r="S16" s="37" t="n">
        <f aca="false">-(S10+S11+S12+S13)</f>
        <v>-334397083.333333</v>
      </c>
      <c r="T16" s="37" t="n">
        <f aca="false">-(T10+T11+T12+T13)</f>
        <v>-334397083.333333</v>
      </c>
      <c r="U16" s="37" t="n">
        <f aca="false">-(U10+U11+U12+U13)</f>
        <v>-334397083.333333</v>
      </c>
      <c r="V16" s="37" t="n">
        <f aca="false">-(V10+V11+V12+V13)</f>
        <v>-334397083.333333</v>
      </c>
      <c r="W16" s="37" t="n">
        <f aca="false">-(W10+W11+W12+W13)</f>
        <v>-334397083.333333</v>
      </c>
      <c r="X16" s="37" t="n">
        <f aca="false">-(X10+X11+X12+X13)</f>
        <v>-334397083.333333</v>
      </c>
      <c r="Y16" s="37" t="n">
        <f aca="false">-(Y10+Y11+Y12+Y13)</f>
        <v>-334397083.333333</v>
      </c>
      <c r="Z16" s="37" t="n">
        <f aca="false">-(Z10+Z11+Z12+Z13)</f>
        <v>-334397083.333333</v>
      </c>
      <c r="AA16" s="37" t="n">
        <f aca="false">-(AA10+AA11+AA12+AA13)</f>
        <v>-456595625</v>
      </c>
      <c r="AB16" s="37" t="n">
        <f aca="false">-(AB10+AB11+AB12+AB13)</f>
        <v>-456595625</v>
      </c>
      <c r="AC16" s="37" t="n">
        <f aca="false">-(AC10+AC11+AC12+AC13)</f>
        <v>-456595625</v>
      </c>
      <c r="AD16" s="37" t="n">
        <f aca="false">-(AD10+AD11+AD12+AD13)</f>
        <v>-456595625</v>
      </c>
      <c r="AE16" s="37" t="n">
        <f aca="false">-(AE10+AE11+AE12+AE13)</f>
        <v>-456595625</v>
      </c>
      <c r="AF16" s="37" t="n">
        <f aca="false">-(AF10+AF11+AF12+AF13)</f>
        <v>-456595625</v>
      </c>
      <c r="AG16" s="37" t="n">
        <f aca="false">-(AG10+AG11+AG12+AG13)</f>
        <v>-456595625</v>
      </c>
      <c r="AH16" s="37" t="n">
        <f aca="false">-(AH10+AH11+AH12+AH13)</f>
        <v>-456595625</v>
      </c>
      <c r="AI16" s="37" t="n">
        <f aca="false">-(AI10+AI11+AI12+AI13)</f>
        <v>-456595625</v>
      </c>
      <c r="AJ16" s="37" t="n">
        <f aca="false">-(AJ10+AJ11+AJ12+AJ13)</f>
        <v>-456595625</v>
      </c>
      <c r="AK16" s="37" t="n">
        <f aca="false">-(AK10+AK11+AK12+AK13)</f>
        <v>-456595625</v>
      </c>
      <c r="AL16" s="37" t="n">
        <f aca="false">-(AL10+AL11+AL12+AL13)</f>
        <v>-456595625</v>
      </c>
      <c r="AM16" s="37" t="n">
        <f aca="false">-(AM10+AM11+AM12+AM13)</f>
        <v>-573794166.666667</v>
      </c>
      <c r="AN16" s="37" t="n">
        <f aca="false">-(AN10+AN11+AN12+AN13)</f>
        <v>-573794166.666667</v>
      </c>
      <c r="AO16" s="37" t="n">
        <f aca="false">-(AO10+AO11+AO12+AO13)</f>
        <v>-573794166.666667</v>
      </c>
      <c r="AP16" s="37" t="n">
        <f aca="false">-(AP10+AP11+AP12+AP13)</f>
        <v>-573794166.666667</v>
      </c>
      <c r="AQ16" s="37" t="n">
        <f aca="false">-(AQ10+AQ11+AQ12+AQ13)</f>
        <v>-573794166.666667</v>
      </c>
      <c r="AR16" s="37" t="n">
        <f aca="false">-(AR10+AR11+AR12+AR13)</f>
        <v>-573794166.666667</v>
      </c>
      <c r="AS16" s="37" t="n">
        <f aca="false">-(AS10+AS11+AS12+AS13)</f>
        <v>-573794166.666667</v>
      </c>
      <c r="AT16" s="37" t="n">
        <f aca="false">-(AT10+AT11+AT12+AT13)</f>
        <v>-573794166.666667</v>
      </c>
      <c r="AU16" s="37" t="n">
        <f aca="false">-(AU10+AU11+AU12+AU13)</f>
        <v>-573794166.666667</v>
      </c>
      <c r="AV16" s="37" t="n">
        <f aca="false">-(AV10+AV11+AV12+AV13)</f>
        <v>-573794166.666667</v>
      </c>
      <c r="AW16" s="37" t="n">
        <f aca="false">-(AW10+AW11+AW12+AW13)</f>
        <v>-573794166.666667</v>
      </c>
      <c r="AX16" s="37" t="n">
        <f aca="false">-(AX10+AX11+AX12+AX13)</f>
        <v>-573794166.666667</v>
      </c>
      <c r="AY16" s="37" t="n">
        <f aca="false">-(AY10+AY11+AY12+AY13)</f>
        <v>-573794166.666667</v>
      </c>
      <c r="AZ16" s="37" t="n">
        <f aca="false">-(AZ10+AZ11+AZ12+AZ13)</f>
        <v>-573794166.666667</v>
      </c>
      <c r="BA16" s="37" t="n">
        <f aca="false">-(BA10+BA11+BA12+BA13)</f>
        <v>-573794166.666667</v>
      </c>
      <c r="BB16" s="37" t="n">
        <f aca="false">-(BB10+BB11+BB12+BB13)</f>
        <v>-573794166.666667</v>
      </c>
      <c r="BC16" s="37" t="n">
        <f aca="false">-(BC10+BC11+BC12+BC13)</f>
        <v>-573794166.666667</v>
      </c>
      <c r="BD16" s="37" t="n">
        <f aca="false">-(BD10+BD11+BD12+BD13)</f>
        <v>-573794166.666667</v>
      </c>
      <c r="BE16" s="37" t="n">
        <f aca="false">-(BE10+BE11+BE12+BE13)</f>
        <v>-573794166.666667</v>
      </c>
      <c r="BF16" s="37" t="n">
        <f aca="false">-(BF10+BF11+BF12+BF13)</f>
        <v>-573794166.666667</v>
      </c>
      <c r="BG16" s="37" t="n">
        <f aca="false">-(BG10+BG11+BG12+BG13)</f>
        <v>-573794166.666667</v>
      </c>
      <c r="BH16" s="37" t="n">
        <f aca="false">-(BH10+BH11+BH12+BH13)</f>
        <v>-573794166.666667</v>
      </c>
      <c r="BI16" s="37" t="n">
        <f aca="false">-(BI10+BI11+BI12+BI13)</f>
        <v>-573794166.666667</v>
      </c>
      <c r="BJ16" s="37" t="n">
        <f aca="false">-(BJ10+BJ11+BJ12+BJ13)</f>
        <v>-573794166.666667</v>
      </c>
      <c r="BK16" s="37" t="n">
        <f aca="false">-(BK10+BK11+BK12+BK13)</f>
        <v>-573794166.666667</v>
      </c>
      <c r="BL16" s="37" t="n">
        <f aca="false">-(BL10+BL11+BL12+BL13)</f>
        <v>-573794166.666667</v>
      </c>
      <c r="BM16" s="37" t="n">
        <f aca="false">-(BM10+BM11+BM12+BM13)</f>
        <v>-573794166.666667</v>
      </c>
      <c r="BN16" s="37" t="n">
        <f aca="false">-(BN10+BN11+BN12+BN13)</f>
        <v>-573794166.666667</v>
      </c>
      <c r="BO16" s="37" t="n">
        <f aca="false">-(BO10+BO11+BO12+BO13)</f>
        <v>-573794166.666667</v>
      </c>
      <c r="BP16" s="37" t="n">
        <f aca="false">-(BP10+BP11+BP12+BP13)</f>
        <v>-573794166.666667</v>
      </c>
      <c r="BQ16" s="37" t="n">
        <f aca="false">-(BQ10+BQ11+BQ12+BQ13)</f>
        <v>-573794166.666667</v>
      </c>
      <c r="BR16" s="37" t="n">
        <f aca="false">-(BR10+BR11+BR12+BR13)</f>
        <v>-573794166.666667</v>
      </c>
      <c r="BS16" s="37" t="n">
        <f aca="false">-(BS10+BS11+BS12+BS13)</f>
        <v>-573794166.666667</v>
      </c>
      <c r="BT16" s="37" t="n">
        <f aca="false">-(BT10+BT11+BT12+BT13)</f>
        <v>-573794166.666667</v>
      </c>
      <c r="BU16" s="37" t="n">
        <f aca="false">-(BU10+BU11+BU12+BU13)</f>
        <v>-573794166.666667</v>
      </c>
      <c r="BV16" s="37" t="n">
        <f aca="false">-(BV10+BV11+BV12+BV13)</f>
        <v>-573794166.666667</v>
      </c>
      <c r="BW16" s="37" t="n">
        <f aca="false">-(BW10+BW11+BW12+BW13)</f>
        <v>-573794166.666667</v>
      </c>
      <c r="BX16" s="37" t="n">
        <f aca="false">-(BX10+BX11+BX12+BX13)</f>
        <v>-573794166.666667</v>
      </c>
      <c r="BY16" s="37" t="n">
        <f aca="false">-(BY10+BY11+BY12+BY13)</f>
        <v>-573794166.666667</v>
      </c>
      <c r="BZ16" s="37" t="n">
        <f aca="false">-(BZ10+BZ11+BZ12+BZ13)</f>
        <v>-573794166.666667</v>
      </c>
      <c r="CA16" s="37" t="n">
        <f aca="false">-(CA10+CA11+CA12+CA13)</f>
        <v>-573794166.666667</v>
      </c>
      <c r="CB16" s="37" t="n">
        <f aca="false">-(CB10+CB11+CB12+CB13)</f>
        <v>-573794166.666667</v>
      </c>
      <c r="CC16" s="37" t="n">
        <f aca="false">-(CC10+CC11+CC12+CC13)</f>
        <v>-573794166.666667</v>
      </c>
      <c r="CD16" s="37" t="n">
        <f aca="false">-(CD10+CD11+CD12+CD13)</f>
        <v>-573794166.666667</v>
      </c>
      <c r="CE16" s="37" t="n">
        <f aca="false">-(CE10+CE11+CE12+CE13)</f>
        <v>-573794166.666667</v>
      </c>
      <c r="CF16" s="37" t="n">
        <f aca="false">-(CF10+CF11+CF12+CF13)</f>
        <v>-573794166.666667</v>
      </c>
      <c r="CG16" s="37" t="n">
        <f aca="false">-(CG10+CG11+CG12+CG13)</f>
        <v>-573794166.666667</v>
      </c>
      <c r="CH16" s="37" t="n">
        <f aca="false">-(CH10+CH11+CH12+CH13)</f>
        <v>-573794166.666667</v>
      </c>
      <c r="CI16" s="37" t="n">
        <f aca="false">-(CI10+CI11+CI12+CI13)</f>
        <v>-573794166.666667</v>
      </c>
      <c r="CJ16" s="37" t="n">
        <f aca="false">-(CJ10+CJ11+CJ12+CJ13)</f>
        <v>-573794166.666667</v>
      </c>
      <c r="CK16" s="37" t="n">
        <f aca="false">-(CK10+CK11+CK12+CK13)</f>
        <v>-573794166.666667</v>
      </c>
      <c r="CL16" s="37" t="n">
        <f aca="false">-(CL10+CL11+CL12+CL13)</f>
        <v>-573794166.666667</v>
      </c>
      <c r="CM16" s="37" t="n">
        <f aca="false">-(CM10+CM11+CM12+CM13)</f>
        <v>-573794166.666667</v>
      </c>
      <c r="CN16" s="37" t="n">
        <f aca="false">-(CN10+CN11+CN12+CN13)</f>
        <v>-573794166.666667</v>
      </c>
      <c r="CO16" s="37" t="n">
        <f aca="false">-(CO10+CO11+CO12+CO13)</f>
        <v>-573794166.666667</v>
      </c>
      <c r="CP16" s="37" t="n">
        <f aca="false">-(CP10+CP11+CP12+CP13)</f>
        <v>-573794166.666667</v>
      </c>
      <c r="CQ16" s="37" t="n">
        <f aca="false">-(CQ10+CQ11+CQ12+CQ13)</f>
        <v>-573794166.666667</v>
      </c>
      <c r="CR16" s="37" t="n">
        <f aca="false">-(CR10+CR11+CR12+CR13)</f>
        <v>-573794166.666667</v>
      </c>
      <c r="CS16" s="37" t="n">
        <f aca="false">-(CS10+CS11+CS12+CS13)</f>
        <v>-573794166.666667</v>
      </c>
      <c r="CT16" s="37" t="n">
        <f aca="false">-(CT10+CT11+CT12+CT13)</f>
        <v>-573794166.666667</v>
      </c>
    </row>
    <row r="20" customFormat="false" ht="15" hidden="false" customHeight="true" outlineLevel="0" collapsed="false">
      <c r="B20" s="33" t="s">
        <v>393</v>
      </c>
      <c r="C20" s="41" t="n">
        <f aca="false">SUM(C9:C14)+C16</f>
        <v>150524964.792917</v>
      </c>
      <c r="D20" s="41" t="n">
        <f aca="false">SUM(D9:D14)+D16</f>
        <v>150524964.792917</v>
      </c>
      <c r="E20" s="41" t="n">
        <f aca="false">SUM(E9:E14)+E16</f>
        <v>150524964.792917</v>
      </c>
      <c r="F20" s="41" t="n">
        <f aca="false">SUM(F9:F14)+F16</f>
        <v>150524964.792917</v>
      </c>
      <c r="G20" s="41" t="n">
        <f aca="false">SUM(G9:G14)+G16</f>
        <v>150524964.792917</v>
      </c>
      <c r="H20" s="41" t="n">
        <f aca="false">SUM(H9:H14)+H16</f>
        <v>150524964.792917</v>
      </c>
      <c r="I20" s="41" t="n">
        <f aca="false">SUM(I9:I14)+I16</f>
        <v>150524964.792917</v>
      </c>
      <c r="J20" s="41" t="n">
        <f aca="false">SUM(J9:J14)+J16</f>
        <v>150524964.792917</v>
      </c>
      <c r="K20" s="41" t="n">
        <f aca="false">SUM(K9:K14)+K16</f>
        <v>150524964.792917</v>
      </c>
      <c r="L20" s="41" t="n">
        <f aca="false">SUM(L9:L14)+L16</f>
        <v>150524964.792917</v>
      </c>
      <c r="M20" s="41" t="n">
        <f aca="false">SUM(M9:M14)+M16</f>
        <v>150524964.792917</v>
      </c>
      <c r="N20" s="41" t="n">
        <f aca="false">SUM(N9:N14)+N16</f>
        <v>150524964.792917</v>
      </c>
      <c r="O20" s="41" t="n">
        <f aca="false">SUM(O9:O14)+O16</f>
        <v>301049929.585833</v>
      </c>
      <c r="P20" s="41" t="n">
        <f aca="false">SUM(P9:P14)+P16</f>
        <v>301049929.585833</v>
      </c>
      <c r="Q20" s="41" t="n">
        <f aca="false">SUM(Q9:Q14)+Q16</f>
        <v>301049929.585833</v>
      </c>
      <c r="R20" s="41" t="n">
        <f aca="false">SUM(R9:R14)+R16</f>
        <v>301049929.585833</v>
      </c>
      <c r="S20" s="41" t="n">
        <f aca="false">SUM(S9:S14)+S16</f>
        <v>301049929.585833</v>
      </c>
      <c r="T20" s="41" t="n">
        <f aca="false">SUM(T9:T14)+T16</f>
        <v>301049929.585833</v>
      </c>
      <c r="U20" s="41" t="n">
        <f aca="false">SUM(U9:U14)+U16</f>
        <v>301049929.585833</v>
      </c>
      <c r="V20" s="41" t="n">
        <f aca="false">SUM(V9:V14)+V16</f>
        <v>301049929.585833</v>
      </c>
      <c r="W20" s="41" t="n">
        <f aca="false">SUM(W9:W14)+W16</f>
        <v>301049929.585833</v>
      </c>
      <c r="X20" s="41" t="n">
        <f aca="false">SUM(X9:X14)+X16</f>
        <v>301049929.585833</v>
      </c>
      <c r="Y20" s="41" t="n">
        <f aca="false">SUM(Y9:Y14)+Y16</f>
        <v>301049929.585833</v>
      </c>
      <c r="Z20" s="41" t="n">
        <f aca="false">SUM(Z9:Z14)+Z16</f>
        <v>301049929.585833</v>
      </c>
      <c r="AA20" s="41" t="n">
        <f aca="false">SUM(AA9:AA14)+AA16</f>
        <v>451574894.37875</v>
      </c>
      <c r="AB20" s="41" t="n">
        <f aca="false">SUM(AB9:AB14)+AB16</f>
        <v>451574894.37875</v>
      </c>
      <c r="AC20" s="41" t="n">
        <f aca="false">SUM(AC9:AC14)+AC16</f>
        <v>451574894.37875</v>
      </c>
      <c r="AD20" s="41" t="n">
        <f aca="false">SUM(AD9:AD14)+AD16</f>
        <v>451574894.37875</v>
      </c>
      <c r="AE20" s="41" t="n">
        <f aca="false">SUM(AE9:AE14)+AE16</f>
        <v>451574894.37875</v>
      </c>
      <c r="AF20" s="41" t="n">
        <f aca="false">SUM(AF9:AF14)+AF16</f>
        <v>451574894.37875</v>
      </c>
      <c r="AG20" s="41" t="n">
        <f aca="false">SUM(AG9:AG14)+AG16</f>
        <v>451574894.37875</v>
      </c>
      <c r="AH20" s="41" t="n">
        <f aca="false">SUM(AH9:AH14)+AH16</f>
        <v>451574894.37875</v>
      </c>
      <c r="AI20" s="41" t="n">
        <f aca="false">SUM(AI9:AI14)+AI16</f>
        <v>451574894.37875</v>
      </c>
      <c r="AJ20" s="41" t="n">
        <f aca="false">SUM(AJ9:AJ14)+AJ16</f>
        <v>451574894.37875</v>
      </c>
      <c r="AK20" s="41" t="n">
        <f aca="false">SUM(AK9:AK14)+AK16</f>
        <v>451574894.37875</v>
      </c>
      <c r="AL20" s="41" t="n">
        <f aca="false">SUM(AL9:AL14)+AL16</f>
        <v>451574894.37875</v>
      </c>
      <c r="AM20" s="41" t="n">
        <f aca="false">SUM(AM9:AM14)+AM16</f>
        <v>602099859.171667</v>
      </c>
      <c r="AN20" s="41" t="n">
        <f aca="false">SUM(AN9:AN14)+AN16</f>
        <v>602099859.171667</v>
      </c>
      <c r="AO20" s="41" t="n">
        <f aca="false">SUM(AO9:AO14)+AO16</f>
        <v>602099859.171667</v>
      </c>
      <c r="AP20" s="41" t="n">
        <f aca="false">SUM(AP9:AP14)+AP16</f>
        <v>602099859.171667</v>
      </c>
      <c r="AQ20" s="41" t="n">
        <f aca="false">SUM(AQ9:AQ14)+AQ16</f>
        <v>602099859.171667</v>
      </c>
      <c r="AR20" s="41" t="n">
        <f aca="false">SUM(AR9:AR14)+AR16</f>
        <v>602099859.171667</v>
      </c>
      <c r="AS20" s="41" t="n">
        <f aca="false">SUM(AS9:AS14)+AS16</f>
        <v>602099859.171667</v>
      </c>
      <c r="AT20" s="41" t="n">
        <f aca="false">SUM(AT9:AT14)+AT16</f>
        <v>602099859.171667</v>
      </c>
      <c r="AU20" s="41" t="n">
        <f aca="false">SUM(AU9:AU14)+AU16</f>
        <v>602099859.171667</v>
      </c>
      <c r="AV20" s="41" t="n">
        <f aca="false">SUM(AV9:AV14)+AV16</f>
        <v>602099859.171667</v>
      </c>
      <c r="AW20" s="41" t="n">
        <f aca="false">SUM(AW9:AW14)+AW16</f>
        <v>602099859.171667</v>
      </c>
      <c r="AX20" s="41" t="n">
        <f aca="false">SUM(AX9:AX14)+AX16</f>
        <v>602099859.171667</v>
      </c>
      <c r="AY20" s="41" t="n">
        <f aca="false">SUM(AY9:AY14)+AY16</f>
        <v>602099859.171667</v>
      </c>
      <c r="AZ20" s="41" t="n">
        <f aca="false">SUM(AZ9:AZ14)+AZ16</f>
        <v>602099859.171667</v>
      </c>
      <c r="BA20" s="41" t="n">
        <f aca="false">SUM(BA9:BA14)+BA16</f>
        <v>602099859.171667</v>
      </c>
      <c r="BB20" s="41" t="n">
        <f aca="false">SUM(BB9:BB14)+BB16</f>
        <v>602099859.171667</v>
      </c>
      <c r="BC20" s="41" t="n">
        <f aca="false">SUM(BC9:BC14)+BC16</f>
        <v>602099859.171667</v>
      </c>
      <c r="BD20" s="41" t="n">
        <f aca="false">SUM(BD9:BD14)+BD16</f>
        <v>602099859.171667</v>
      </c>
      <c r="BE20" s="41" t="n">
        <f aca="false">SUM(BE9:BE14)+BE16</f>
        <v>602099859.171667</v>
      </c>
      <c r="BF20" s="41" t="n">
        <f aca="false">SUM(BF9:BF14)+BF16</f>
        <v>602099859.171667</v>
      </c>
      <c r="BG20" s="41" t="n">
        <f aca="false">SUM(BG9:BG14)+BG16</f>
        <v>602099859.171667</v>
      </c>
      <c r="BH20" s="41" t="n">
        <f aca="false">SUM(BH9:BH14)+BH16</f>
        <v>602099859.171667</v>
      </c>
      <c r="BI20" s="41" t="n">
        <f aca="false">SUM(BI9:BI14)+BI16</f>
        <v>602099859.171667</v>
      </c>
      <c r="BJ20" s="41" t="n">
        <f aca="false">SUM(BJ9:BJ14)+BJ16</f>
        <v>602099859.171667</v>
      </c>
      <c r="BK20" s="41" t="n">
        <f aca="false">SUM(BK9:BK14)+BK16</f>
        <v>602099859.171667</v>
      </c>
      <c r="BL20" s="41" t="n">
        <f aca="false">SUM(BL9:BL14)+BL16</f>
        <v>602099859.171667</v>
      </c>
      <c r="BM20" s="41" t="n">
        <f aca="false">SUM(BM9:BM14)+BM16</f>
        <v>602099859.171667</v>
      </c>
      <c r="BN20" s="41" t="n">
        <f aca="false">SUM(BN9:BN14)+BN16</f>
        <v>602099859.171667</v>
      </c>
      <c r="BO20" s="41" t="n">
        <f aca="false">SUM(BO9:BO14)+BO16</f>
        <v>602099859.171667</v>
      </c>
      <c r="BP20" s="41" t="n">
        <f aca="false">SUM(BP9:BP14)+BP16</f>
        <v>602099859.171667</v>
      </c>
      <c r="BQ20" s="41" t="n">
        <f aca="false">SUM(BQ9:BQ14)+BQ16</f>
        <v>602099859.171667</v>
      </c>
      <c r="BR20" s="41" t="n">
        <f aca="false">SUM(BR9:BR14)+BR16</f>
        <v>602099859.171667</v>
      </c>
      <c r="BS20" s="41" t="n">
        <f aca="false">SUM(BS9:BS14)+BS16</f>
        <v>602099859.171667</v>
      </c>
      <c r="BT20" s="41" t="n">
        <f aca="false">SUM(BT9:BT14)+BT16</f>
        <v>602099859.171667</v>
      </c>
      <c r="BU20" s="41" t="n">
        <f aca="false">SUM(BU9:BU14)+BU16</f>
        <v>602099859.171667</v>
      </c>
      <c r="BV20" s="41" t="n">
        <f aca="false">SUM(BV9:BV14)+BV16</f>
        <v>602099859.171667</v>
      </c>
      <c r="BW20" s="41" t="n">
        <f aca="false">SUM(BW9:BW14)+BW16</f>
        <v>602099859.171667</v>
      </c>
      <c r="BX20" s="41" t="n">
        <f aca="false">SUM(BX9:BX14)+BX16</f>
        <v>602099859.171667</v>
      </c>
      <c r="BY20" s="41" t="n">
        <f aca="false">SUM(BY9:BY14)+BY16</f>
        <v>602099859.171667</v>
      </c>
      <c r="BZ20" s="41" t="n">
        <f aca="false">SUM(BZ9:BZ14)+BZ16</f>
        <v>602099859.171667</v>
      </c>
      <c r="CA20" s="41" t="n">
        <f aca="false">SUM(CA9:CA14)+CA16</f>
        <v>602099859.171667</v>
      </c>
      <c r="CB20" s="41" t="n">
        <f aca="false">SUM(CB9:CB14)+CB16</f>
        <v>602099859.171667</v>
      </c>
      <c r="CC20" s="41" t="n">
        <f aca="false">SUM(CC9:CC14)+CC16</f>
        <v>602099859.171667</v>
      </c>
      <c r="CD20" s="41" t="n">
        <f aca="false">SUM(CD9:CD14)+CD16</f>
        <v>602099859.171667</v>
      </c>
      <c r="CE20" s="41" t="n">
        <f aca="false">SUM(CE9:CE14)+CE16</f>
        <v>602099859.171667</v>
      </c>
      <c r="CF20" s="41" t="n">
        <f aca="false">SUM(CF9:CF14)+CF16</f>
        <v>602099859.171667</v>
      </c>
      <c r="CG20" s="41" t="n">
        <f aca="false">SUM(CG9:CG14)+CG16</f>
        <v>602099859.171667</v>
      </c>
      <c r="CH20" s="41" t="n">
        <f aca="false">SUM(CH9:CH14)+CH16</f>
        <v>602099859.171667</v>
      </c>
      <c r="CI20" s="41" t="n">
        <f aca="false">SUM(CI9:CI14)+CI16</f>
        <v>602099859.171667</v>
      </c>
      <c r="CJ20" s="41" t="n">
        <f aca="false">SUM(CJ9:CJ14)+CJ16</f>
        <v>602099859.171667</v>
      </c>
      <c r="CK20" s="41" t="n">
        <f aca="false">SUM(CK9:CK14)+CK16</f>
        <v>602099859.171667</v>
      </c>
      <c r="CL20" s="41" t="n">
        <f aca="false">SUM(CL9:CL14)+CL16</f>
        <v>602099859.171667</v>
      </c>
      <c r="CM20" s="41" t="n">
        <f aca="false">SUM(CM9:CM14)+CM16</f>
        <v>602099859.171667</v>
      </c>
      <c r="CN20" s="41" t="n">
        <f aca="false">SUM(CN9:CN14)+CN16</f>
        <v>602099859.171667</v>
      </c>
      <c r="CO20" s="41" t="n">
        <f aca="false">SUM(CO9:CO14)+CO16</f>
        <v>602099859.171667</v>
      </c>
      <c r="CP20" s="41" t="n">
        <f aca="false">SUM(CP9:CP14)+CP16</f>
        <v>602099859.171667</v>
      </c>
      <c r="CQ20" s="41" t="n">
        <f aca="false">SUM(CQ9:CQ14)+CQ16</f>
        <v>602099859.171667</v>
      </c>
      <c r="CR20" s="41" t="n">
        <f aca="false">SUM(CR9:CR14)+CR16</f>
        <v>602099859.171667</v>
      </c>
      <c r="CS20" s="41" t="n">
        <f aca="false">SUM(CS9:CS14)+CS16</f>
        <v>602099859.171667</v>
      </c>
      <c r="CT20" s="41" t="n">
        <f aca="false">SUM(CT9:CT14)+CT16</f>
        <v>602099859.171667</v>
      </c>
    </row>
    <row r="22" customFormat="false" ht="15" hidden="false" customHeight="true" outlineLevel="0" collapsed="false">
      <c r="B22" s="42" t="s">
        <v>394</v>
      </c>
    </row>
    <row r="23" customFormat="false" ht="15" hidden="false" customHeight="true" outlineLevel="0" collapsed="false">
      <c r="B23" s="42" t="s">
        <v>395</v>
      </c>
    </row>
    <row r="24" customFormat="false" ht="25.5" hidden="false" customHeight="true" outlineLevel="0" collapsed="false">
      <c r="B24" s="17" t="s">
        <v>396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T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3" t="s">
        <v>397</v>
      </c>
    </row>
    <row r="3" customFormat="false" ht="15" hidden="false" customHeight="true" outlineLevel="0" collapsed="false">
      <c r="B3" s="3" t="s">
        <v>398</v>
      </c>
    </row>
    <row r="5" customFormat="false" ht="15" hidden="false" customHeight="true" outlineLevel="0" collapsed="false">
      <c r="B5" s="32" t="s">
        <v>236</v>
      </c>
      <c r="C5" s="32" t="s">
        <v>237</v>
      </c>
      <c r="D5" s="32"/>
      <c r="E5" s="32"/>
      <c r="F5" s="32"/>
      <c r="G5" s="32"/>
      <c r="H5" s="32"/>
      <c r="I5" s="32"/>
      <c r="J5" s="32"/>
      <c r="K5" s="32"/>
      <c r="L5" s="32"/>
      <c r="M5" s="32"/>
      <c r="N5" s="32"/>
      <c r="O5" s="32" t="s">
        <v>238</v>
      </c>
      <c r="P5" s="32"/>
      <c r="Q5" s="32"/>
      <c r="R5" s="32"/>
      <c r="S5" s="32"/>
      <c r="T5" s="32"/>
      <c r="U5" s="32"/>
      <c r="V5" s="32"/>
      <c r="W5" s="32"/>
      <c r="X5" s="32"/>
      <c r="Y5" s="32"/>
      <c r="Z5" s="32"/>
      <c r="AA5" s="32" t="s">
        <v>239</v>
      </c>
      <c r="AB5" s="32"/>
      <c r="AC5" s="32"/>
      <c r="AD5" s="32"/>
      <c r="AE5" s="32"/>
      <c r="AF5" s="32"/>
      <c r="AG5" s="32"/>
      <c r="AH5" s="32"/>
      <c r="AI5" s="32"/>
      <c r="AJ5" s="32"/>
      <c r="AK5" s="32"/>
      <c r="AL5" s="32"/>
      <c r="AM5" s="32" t="s">
        <v>240</v>
      </c>
      <c r="AN5" s="32"/>
      <c r="AO5" s="32"/>
      <c r="AP5" s="32"/>
      <c r="AQ5" s="32"/>
      <c r="AR5" s="32"/>
      <c r="AS5" s="32"/>
      <c r="AT5" s="32"/>
      <c r="AU5" s="32"/>
      <c r="AV5" s="32"/>
      <c r="AW5" s="32"/>
      <c r="AX5" s="32"/>
      <c r="AY5" s="32" t="s">
        <v>241</v>
      </c>
      <c r="AZ5" s="32"/>
      <c r="BA5" s="32"/>
      <c r="BB5" s="32"/>
      <c r="BC5" s="32"/>
      <c r="BD5" s="32"/>
      <c r="BE5" s="32"/>
      <c r="BF5" s="32"/>
      <c r="BG5" s="32"/>
      <c r="BH5" s="32"/>
      <c r="BI5" s="32"/>
      <c r="BJ5" s="32"/>
      <c r="BK5" s="32" t="s">
        <v>242</v>
      </c>
      <c r="BL5" s="32"/>
      <c r="BM5" s="32"/>
      <c r="BN5" s="32"/>
      <c r="BO5" s="32"/>
      <c r="BP5" s="32"/>
      <c r="BQ5" s="32"/>
      <c r="BR5" s="32"/>
      <c r="BS5" s="32"/>
      <c r="BT5" s="32"/>
      <c r="BU5" s="32"/>
      <c r="BV5" s="32"/>
      <c r="BW5" s="32" t="s">
        <v>243</v>
      </c>
      <c r="BX5" s="32"/>
      <c r="BY5" s="32"/>
      <c r="BZ5" s="32"/>
      <c r="CA5" s="32"/>
      <c r="CB5" s="32"/>
      <c r="CC5" s="32"/>
      <c r="CD5" s="32"/>
      <c r="CE5" s="32"/>
      <c r="CF5" s="32"/>
      <c r="CG5" s="32"/>
      <c r="CH5" s="32"/>
      <c r="CI5" s="32" t="s">
        <v>244</v>
      </c>
      <c r="CJ5" s="32"/>
      <c r="CK5" s="32"/>
      <c r="CL5" s="32"/>
      <c r="CM5" s="32"/>
      <c r="CN5" s="32"/>
      <c r="CO5" s="32"/>
      <c r="CP5" s="32"/>
      <c r="CQ5" s="32"/>
      <c r="CR5" s="32"/>
      <c r="CS5" s="32"/>
      <c r="CT5" s="32"/>
    </row>
    <row r="6" customFormat="false" ht="15" hidden="false" customHeight="true" outlineLevel="0" collapsed="false">
      <c r="B6" s="33" t="s">
        <v>245</v>
      </c>
      <c r="C6" s="34" t="s">
        <v>200</v>
      </c>
      <c r="D6" s="34" t="s">
        <v>201</v>
      </c>
      <c r="E6" s="34" t="s">
        <v>202</v>
      </c>
      <c r="F6" s="34" t="s">
        <v>203</v>
      </c>
      <c r="G6" s="34" t="s">
        <v>204</v>
      </c>
      <c r="H6" s="34" t="s">
        <v>205</v>
      </c>
      <c r="I6" s="34" t="s">
        <v>206</v>
      </c>
      <c r="J6" s="34" t="s">
        <v>207</v>
      </c>
      <c r="K6" s="34" t="s">
        <v>208</v>
      </c>
      <c r="L6" s="34" t="s">
        <v>209</v>
      </c>
      <c r="M6" s="34" t="s">
        <v>210</v>
      </c>
      <c r="N6" s="34" t="s">
        <v>211</v>
      </c>
      <c r="O6" s="34" t="s">
        <v>200</v>
      </c>
      <c r="P6" s="34" t="s">
        <v>201</v>
      </c>
      <c r="Q6" s="34" t="s">
        <v>202</v>
      </c>
      <c r="R6" s="34" t="s">
        <v>203</v>
      </c>
      <c r="S6" s="34" t="s">
        <v>204</v>
      </c>
      <c r="T6" s="34" t="s">
        <v>205</v>
      </c>
      <c r="U6" s="34" t="s">
        <v>206</v>
      </c>
      <c r="V6" s="34" t="s">
        <v>207</v>
      </c>
      <c r="W6" s="34" t="s">
        <v>208</v>
      </c>
      <c r="X6" s="34" t="s">
        <v>209</v>
      </c>
      <c r="Y6" s="34" t="s">
        <v>210</v>
      </c>
      <c r="Z6" s="34" t="s">
        <v>211</v>
      </c>
      <c r="AA6" s="34" t="s">
        <v>200</v>
      </c>
      <c r="AB6" s="34" t="s">
        <v>201</v>
      </c>
      <c r="AC6" s="34" t="s">
        <v>202</v>
      </c>
      <c r="AD6" s="34" t="s">
        <v>203</v>
      </c>
      <c r="AE6" s="34" t="s">
        <v>204</v>
      </c>
      <c r="AF6" s="34" t="s">
        <v>205</v>
      </c>
      <c r="AG6" s="34" t="s">
        <v>206</v>
      </c>
      <c r="AH6" s="34" t="s">
        <v>207</v>
      </c>
      <c r="AI6" s="34" t="s">
        <v>208</v>
      </c>
      <c r="AJ6" s="34" t="s">
        <v>209</v>
      </c>
      <c r="AK6" s="34" t="s">
        <v>210</v>
      </c>
      <c r="AL6" s="34" t="s">
        <v>211</v>
      </c>
      <c r="AM6" s="34" t="s">
        <v>200</v>
      </c>
      <c r="AN6" s="34" t="s">
        <v>201</v>
      </c>
      <c r="AO6" s="34" t="s">
        <v>202</v>
      </c>
      <c r="AP6" s="34" t="s">
        <v>203</v>
      </c>
      <c r="AQ6" s="34" t="s">
        <v>204</v>
      </c>
      <c r="AR6" s="34" t="s">
        <v>205</v>
      </c>
      <c r="AS6" s="34" t="s">
        <v>206</v>
      </c>
      <c r="AT6" s="34" t="s">
        <v>207</v>
      </c>
      <c r="AU6" s="34" t="s">
        <v>208</v>
      </c>
      <c r="AV6" s="34" t="s">
        <v>209</v>
      </c>
      <c r="AW6" s="34" t="s">
        <v>210</v>
      </c>
      <c r="AX6" s="34" t="s">
        <v>211</v>
      </c>
      <c r="AY6" s="34" t="s">
        <v>200</v>
      </c>
      <c r="AZ6" s="34" t="s">
        <v>201</v>
      </c>
      <c r="BA6" s="34" t="s">
        <v>202</v>
      </c>
      <c r="BB6" s="34" t="s">
        <v>203</v>
      </c>
      <c r="BC6" s="34" t="s">
        <v>204</v>
      </c>
      <c r="BD6" s="34" t="s">
        <v>205</v>
      </c>
      <c r="BE6" s="34" t="s">
        <v>206</v>
      </c>
      <c r="BF6" s="34" t="s">
        <v>207</v>
      </c>
      <c r="BG6" s="34" t="s">
        <v>208</v>
      </c>
      <c r="BH6" s="34" t="s">
        <v>209</v>
      </c>
      <c r="BI6" s="34" t="s">
        <v>210</v>
      </c>
      <c r="BJ6" s="34" t="s">
        <v>211</v>
      </c>
      <c r="BK6" s="34" t="s">
        <v>200</v>
      </c>
      <c r="BL6" s="34" t="s">
        <v>201</v>
      </c>
      <c r="BM6" s="34" t="s">
        <v>202</v>
      </c>
      <c r="BN6" s="34" t="s">
        <v>203</v>
      </c>
      <c r="BO6" s="34" t="s">
        <v>204</v>
      </c>
      <c r="BP6" s="34" t="s">
        <v>205</v>
      </c>
      <c r="BQ6" s="34" t="s">
        <v>206</v>
      </c>
      <c r="BR6" s="34" t="s">
        <v>207</v>
      </c>
      <c r="BS6" s="34" t="s">
        <v>208</v>
      </c>
      <c r="BT6" s="34" t="s">
        <v>209</v>
      </c>
      <c r="BU6" s="34" t="s">
        <v>210</v>
      </c>
      <c r="BV6" s="34" t="s">
        <v>211</v>
      </c>
      <c r="BW6" s="34" t="s">
        <v>200</v>
      </c>
      <c r="BX6" s="34" t="s">
        <v>201</v>
      </c>
      <c r="BY6" s="34" t="s">
        <v>202</v>
      </c>
      <c r="BZ6" s="34" t="s">
        <v>203</v>
      </c>
      <c r="CA6" s="34" t="s">
        <v>204</v>
      </c>
      <c r="CB6" s="34" t="s">
        <v>205</v>
      </c>
      <c r="CC6" s="34" t="s">
        <v>206</v>
      </c>
      <c r="CD6" s="34" t="s">
        <v>207</v>
      </c>
      <c r="CE6" s="34" t="s">
        <v>208</v>
      </c>
      <c r="CF6" s="34" t="s">
        <v>209</v>
      </c>
      <c r="CG6" s="34" t="s">
        <v>210</v>
      </c>
      <c r="CH6" s="34" t="s">
        <v>211</v>
      </c>
      <c r="CI6" s="34" t="s">
        <v>200</v>
      </c>
      <c r="CJ6" s="34" t="s">
        <v>201</v>
      </c>
      <c r="CK6" s="34" t="s">
        <v>202</v>
      </c>
      <c r="CL6" s="34" t="s">
        <v>203</v>
      </c>
      <c r="CM6" s="34" t="s">
        <v>204</v>
      </c>
      <c r="CN6" s="34" t="s">
        <v>205</v>
      </c>
      <c r="CO6" s="34" t="s">
        <v>206</v>
      </c>
      <c r="CP6" s="34" t="s">
        <v>207</v>
      </c>
      <c r="CQ6" s="34" t="s">
        <v>208</v>
      </c>
      <c r="CR6" s="34" t="s">
        <v>209</v>
      </c>
      <c r="CS6" s="34" t="s">
        <v>210</v>
      </c>
      <c r="CT6" s="34" t="s">
        <v>211</v>
      </c>
    </row>
    <row r="8" customFormat="false" ht="15" hidden="false" customHeight="true" outlineLevel="0" collapsed="false">
      <c r="B8" s="15" t="s">
        <v>399</v>
      </c>
      <c r="C8" s="46" t="n">
        <f aca="false">Supuestos!$C$59+Supuestos!$C$104</f>
        <v>35210328499</v>
      </c>
      <c r="D8" s="37" t="n">
        <f aca="false">C11</f>
        <v>33677983131.0833</v>
      </c>
      <c r="E8" s="37" t="n">
        <f aca="false">D11</f>
        <v>32145637763.1667</v>
      </c>
      <c r="F8" s="37" t="n">
        <f aca="false">E11</f>
        <v>30613292395.25</v>
      </c>
      <c r="G8" s="37" t="n">
        <f aca="false">F11</f>
        <v>29080947027.3333</v>
      </c>
      <c r="H8" s="37" t="n">
        <f aca="false">G11</f>
        <v>27548601659.4167</v>
      </c>
      <c r="I8" s="37" t="n">
        <f aca="false">H11</f>
        <v>26016256291.5</v>
      </c>
      <c r="J8" s="37" t="n">
        <f aca="false">I11</f>
        <v>24483910923.5833</v>
      </c>
      <c r="K8" s="37" t="n">
        <f aca="false">J11</f>
        <v>22951565555.6667</v>
      </c>
      <c r="L8" s="37" t="n">
        <f aca="false">K11</f>
        <v>21419220187.75</v>
      </c>
      <c r="M8" s="37" t="n">
        <f aca="false">L11</f>
        <v>19886874819.8333</v>
      </c>
      <c r="N8" s="37" t="n">
        <f aca="false">M11</f>
        <v>18354529451.9167</v>
      </c>
      <c r="O8" s="37" t="n">
        <f aca="false">N11</f>
        <v>16822184084</v>
      </c>
      <c r="P8" s="37" t="n">
        <f aca="false">O11</f>
        <v>15289838716.0833</v>
      </c>
      <c r="Q8" s="37" t="n">
        <f aca="false">P11</f>
        <v>13757493348.1667</v>
      </c>
      <c r="R8" s="37" t="n">
        <f aca="false">Q11</f>
        <v>12225147980.25</v>
      </c>
      <c r="S8" s="37" t="n">
        <f aca="false">R11</f>
        <v>10692802612.3333</v>
      </c>
      <c r="T8" s="37" t="n">
        <f aca="false">S11</f>
        <v>9160457244.41666</v>
      </c>
      <c r="U8" s="37" t="n">
        <f aca="false">T11</f>
        <v>7628111876.49999</v>
      </c>
      <c r="V8" s="37" t="n">
        <f aca="false">U11</f>
        <v>6095766508.58332</v>
      </c>
      <c r="W8" s="37" t="n">
        <f aca="false">V11</f>
        <v>4563421140.66666</v>
      </c>
      <c r="X8" s="37" t="n">
        <f aca="false">W11</f>
        <v>3031075772.74999</v>
      </c>
      <c r="Y8" s="37" t="n">
        <f aca="false">X11</f>
        <v>2748730404.83332</v>
      </c>
      <c r="Z8" s="37" t="n">
        <f aca="false">Y11</f>
        <v>2466385036.91666</v>
      </c>
      <c r="AA8" s="37" t="n">
        <f aca="false">Z11</f>
        <v>2184039668.99999</v>
      </c>
      <c r="AB8" s="37" t="n">
        <f aca="false">AA11</f>
        <v>1901694301.08332</v>
      </c>
      <c r="AC8" s="37" t="n">
        <f aca="false">AB11</f>
        <v>1619348933.16666</v>
      </c>
      <c r="AD8" s="37" t="n">
        <f aca="false">AC11</f>
        <v>1337003565.24999</v>
      </c>
      <c r="AE8" s="37" t="n">
        <f aca="false">AD11</f>
        <v>1054658197.33332</v>
      </c>
      <c r="AF8" s="37" t="n">
        <f aca="false">AE11</f>
        <v>772312829.416655</v>
      </c>
      <c r="AG8" s="37" t="n">
        <f aca="false">AF11</f>
        <v>489967461.499989</v>
      </c>
      <c r="AH8" s="37" t="n">
        <f aca="false">AG11</f>
        <v>207622093.583322</v>
      </c>
      <c r="AI8" s="37" t="n">
        <f aca="false">AH11</f>
        <v>0</v>
      </c>
      <c r="AJ8" s="37" t="n">
        <f aca="false">AI11</f>
        <v>0</v>
      </c>
      <c r="AK8" s="37" t="n">
        <f aca="false">AJ11</f>
        <v>0</v>
      </c>
      <c r="AL8" s="37" t="n">
        <f aca="false">AK11</f>
        <v>0</v>
      </c>
      <c r="AM8" s="37" t="n">
        <f aca="false">AL11</f>
        <v>0</v>
      </c>
      <c r="AN8" s="37" t="n">
        <f aca="false">AM11</f>
        <v>0</v>
      </c>
      <c r="AO8" s="37" t="n">
        <f aca="false">AN11</f>
        <v>0</v>
      </c>
      <c r="AP8" s="37" t="n">
        <f aca="false">AO11</f>
        <v>0</v>
      </c>
      <c r="AQ8" s="37" t="n">
        <f aca="false">AP11</f>
        <v>0</v>
      </c>
      <c r="AR8" s="37" t="n">
        <f aca="false">AQ11</f>
        <v>0</v>
      </c>
      <c r="AS8" s="37" t="n">
        <f aca="false">AR11</f>
        <v>0</v>
      </c>
      <c r="AT8" s="37" t="n">
        <f aca="false">AS11</f>
        <v>0</v>
      </c>
      <c r="AU8" s="37" t="n">
        <f aca="false">AT11</f>
        <v>0</v>
      </c>
      <c r="AV8" s="37" t="n">
        <f aca="false">AU11</f>
        <v>0</v>
      </c>
      <c r="AW8" s="37" t="n">
        <f aca="false">AV11</f>
        <v>0</v>
      </c>
      <c r="AX8" s="37" t="n">
        <f aca="false">AW11</f>
        <v>0</v>
      </c>
      <c r="AY8" s="37" t="n">
        <f aca="false">AX11</f>
        <v>0</v>
      </c>
      <c r="AZ8" s="37" t="n">
        <f aca="false">AY11</f>
        <v>0</v>
      </c>
      <c r="BA8" s="37" t="n">
        <f aca="false">AZ11</f>
        <v>0</v>
      </c>
      <c r="BB8" s="37" t="n">
        <f aca="false">BA11</f>
        <v>0</v>
      </c>
      <c r="BC8" s="37" t="n">
        <f aca="false">BB11</f>
        <v>0</v>
      </c>
      <c r="BD8" s="37" t="n">
        <f aca="false">BC11</f>
        <v>0</v>
      </c>
      <c r="BE8" s="37" t="n">
        <f aca="false">BD11</f>
        <v>0</v>
      </c>
      <c r="BF8" s="37" t="n">
        <f aca="false">BE11</f>
        <v>0</v>
      </c>
      <c r="BG8" s="37" t="n">
        <f aca="false">BF11</f>
        <v>0</v>
      </c>
      <c r="BH8" s="37" t="n">
        <f aca="false">BG11</f>
        <v>0</v>
      </c>
      <c r="BI8" s="37" t="n">
        <f aca="false">BH11</f>
        <v>0</v>
      </c>
      <c r="BJ8" s="37" t="n">
        <f aca="false">BI11</f>
        <v>0</v>
      </c>
      <c r="BK8" s="37" t="n">
        <f aca="false">BJ11</f>
        <v>0</v>
      </c>
      <c r="BL8" s="37" t="n">
        <f aca="false">BK11</f>
        <v>0</v>
      </c>
      <c r="BM8" s="37" t="n">
        <f aca="false">BL11</f>
        <v>0</v>
      </c>
      <c r="BN8" s="37" t="n">
        <f aca="false">BM11</f>
        <v>0</v>
      </c>
      <c r="BO8" s="37" t="n">
        <f aca="false">BN11</f>
        <v>0</v>
      </c>
      <c r="BP8" s="37" t="n">
        <f aca="false">BO11</f>
        <v>0</v>
      </c>
      <c r="BQ8" s="37" t="n">
        <f aca="false">BP11</f>
        <v>0</v>
      </c>
      <c r="BR8" s="37" t="n">
        <f aca="false">BQ11</f>
        <v>0</v>
      </c>
      <c r="BS8" s="37" t="n">
        <f aca="false">BR11</f>
        <v>0</v>
      </c>
      <c r="BT8" s="37" t="n">
        <f aca="false">BS11</f>
        <v>0</v>
      </c>
      <c r="BU8" s="37" t="n">
        <f aca="false">BT11</f>
        <v>0</v>
      </c>
      <c r="BV8" s="37" t="n">
        <f aca="false">BU11</f>
        <v>0</v>
      </c>
      <c r="BW8" s="37" t="n">
        <f aca="false">BV11</f>
        <v>0</v>
      </c>
      <c r="BX8" s="37" t="n">
        <f aca="false">BW11</f>
        <v>0</v>
      </c>
      <c r="BY8" s="37" t="n">
        <f aca="false">BX11</f>
        <v>0</v>
      </c>
      <c r="BZ8" s="37" t="n">
        <f aca="false">BY11</f>
        <v>0</v>
      </c>
      <c r="CA8" s="37" t="n">
        <f aca="false">BZ11</f>
        <v>0</v>
      </c>
      <c r="CB8" s="37" t="n">
        <f aca="false">CA11</f>
        <v>0</v>
      </c>
      <c r="CC8" s="37" t="n">
        <f aca="false">CB11</f>
        <v>0</v>
      </c>
      <c r="CD8" s="37" t="n">
        <f aca="false">CC11</f>
        <v>0</v>
      </c>
      <c r="CE8" s="37" t="n">
        <f aca="false">CD11</f>
        <v>0</v>
      </c>
      <c r="CF8" s="37" t="n">
        <f aca="false">CE11</f>
        <v>0</v>
      </c>
      <c r="CG8" s="37" t="n">
        <f aca="false">CF11</f>
        <v>0</v>
      </c>
      <c r="CH8" s="37" t="n">
        <f aca="false">CG11</f>
        <v>0</v>
      </c>
      <c r="CI8" s="37" t="n">
        <f aca="false">CH11</f>
        <v>0</v>
      </c>
      <c r="CJ8" s="37" t="n">
        <f aca="false">CI11</f>
        <v>0</v>
      </c>
      <c r="CK8" s="37" t="n">
        <f aca="false">CJ11</f>
        <v>0</v>
      </c>
      <c r="CL8" s="37" t="n">
        <f aca="false">CK11</f>
        <v>0</v>
      </c>
      <c r="CM8" s="37" t="n">
        <f aca="false">CL11</f>
        <v>0</v>
      </c>
      <c r="CN8" s="37" t="n">
        <f aca="false">CM11</f>
        <v>0</v>
      </c>
      <c r="CO8" s="37" t="n">
        <f aca="false">CN11</f>
        <v>0</v>
      </c>
      <c r="CP8" s="37" t="n">
        <f aca="false">CO11</f>
        <v>0</v>
      </c>
      <c r="CQ8" s="37" t="n">
        <f aca="false">CP11</f>
        <v>0</v>
      </c>
      <c r="CR8" s="37" t="n">
        <f aca="false">CQ11</f>
        <v>0</v>
      </c>
      <c r="CS8" s="37" t="n">
        <f aca="false">CR11</f>
        <v>0</v>
      </c>
      <c r="CT8" s="37" t="n">
        <f aca="false">CS11</f>
        <v>0</v>
      </c>
    </row>
    <row r="9" customFormat="false" ht="15" hidden="false" customHeight="true" outlineLevel="0" collapsed="false">
      <c r="B9" s="15" t="s">
        <v>400</v>
      </c>
      <c r="C9" s="37" t="n">
        <f aca="false">MIN(C8,Supuestos!$C$61/12*IF(0&lt;3,1,0)+IF(AND(0&gt;=0,0&lt;21),Supuestos!$C$100*0.125/3,0))</f>
        <v>1532345367.91667</v>
      </c>
      <c r="D9" s="37" t="n">
        <f aca="false">MIN(D8,Supuestos!$C$61/12*IF(0&lt;3,1,0)+IF(AND(1&gt;=0,1&lt;21),Supuestos!$C$100*0.125/3,0))</f>
        <v>1532345367.91667</v>
      </c>
      <c r="E9" s="37" t="n">
        <f aca="false">MIN(E8,Supuestos!$C$61/12*IF(0&lt;3,1,0)+IF(AND(2&gt;=0,2&lt;21),Supuestos!$C$100*0.125/3,0))</f>
        <v>1532345367.91667</v>
      </c>
      <c r="F9" s="37" t="n">
        <f aca="false">MIN(F8,Supuestos!$C$61/12*IF(0&lt;3,1,0)+IF(AND(3&gt;=0,3&lt;21),Supuestos!$C$100*0.125/3,0))</f>
        <v>1532345367.91667</v>
      </c>
      <c r="G9" s="37" t="n">
        <f aca="false">MIN(G8,Supuestos!$C$61/12*IF(0&lt;3,1,0)+IF(AND(4&gt;=0,4&lt;21),Supuestos!$C$100*0.125/3,0))</f>
        <v>1532345367.91667</v>
      </c>
      <c r="H9" s="37" t="n">
        <f aca="false">MIN(H8,Supuestos!$C$61/12*IF(0&lt;3,1,0)+IF(AND(5&gt;=0,5&lt;21),Supuestos!$C$100*0.125/3,0))</f>
        <v>1532345367.91667</v>
      </c>
      <c r="I9" s="37" t="n">
        <f aca="false">MIN(I8,Supuestos!$C$61/12*IF(0&lt;3,1,0)+IF(AND(6&gt;=0,6&lt;21),Supuestos!$C$100*0.125/3,0))</f>
        <v>1532345367.91667</v>
      </c>
      <c r="J9" s="37" t="n">
        <f aca="false">MIN(J8,Supuestos!$C$61/12*IF(0&lt;3,1,0)+IF(AND(7&gt;=0,7&lt;21),Supuestos!$C$100*0.125/3,0))</f>
        <v>1532345367.91667</v>
      </c>
      <c r="K9" s="37" t="n">
        <f aca="false">MIN(K8,Supuestos!$C$61/12*IF(0&lt;3,1,0)+IF(AND(8&gt;=0,8&lt;21),Supuestos!$C$100*0.125/3,0))</f>
        <v>1532345367.91667</v>
      </c>
      <c r="L9" s="37" t="n">
        <f aca="false">MIN(L8,Supuestos!$C$61/12*IF(0&lt;3,1,0)+IF(AND(9&gt;=0,9&lt;21),Supuestos!$C$100*0.125/3,0))</f>
        <v>1532345367.91667</v>
      </c>
      <c r="M9" s="37" t="n">
        <f aca="false">MIN(M8,Supuestos!$C$61/12*IF(0&lt;3,1,0)+IF(AND(10&gt;=0,10&lt;21),Supuestos!$C$100*0.125/3,0))</f>
        <v>1532345367.91667</v>
      </c>
      <c r="N9" s="37" t="n">
        <f aca="false">MIN(N8,Supuestos!$C$61/12*IF(0&lt;3,1,0)+IF(AND(11&gt;=0,11&lt;21),Supuestos!$C$100*0.125/3,0))</f>
        <v>1532345367.91667</v>
      </c>
      <c r="O9" s="37" t="n">
        <f aca="false">MIN(O8,Supuestos!$C$61/12*IF(1&lt;3,1,0)+IF(AND(12&gt;=0,12&lt;21),Supuestos!$C$100*0.125/3,0))</f>
        <v>1532345367.91667</v>
      </c>
      <c r="P9" s="37" t="n">
        <f aca="false">MIN(P8,Supuestos!$C$61/12*IF(1&lt;3,1,0)+IF(AND(13&gt;=0,13&lt;21),Supuestos!$C$100*0.125/3,0))</f>
        <v>1532345367.91667</v>
      </c>
      <c r="Q9" s="37" t="n">
        <f aca="false">MIN(Q8,Supuestos!$C$61/12*IF(1&lt;3,1,0)+IF(AND(14&gt;=0,14&lt;21),Supuestos!$C$100*0.125/3,0))</f>
        <v>1532345367.91667</v>
      </c>
      <c r="R9" s="37" t="n">
        <f aca="false">MIN(R8,Supuestos!$C$61/12*IF(1&lt;3,1,0)+IF(AND(15&gt;=0,15&lt;21),Supuestos!$C$100*0.125/3,0))</f>
        <v>1532345367.91667</v>
      </c>
      <c r="S9" s="37" t="n">
        <f aca="false">MIN(S8,Supuestos!$C$61/12*IF(1&lt;3,1,0)+IF(AND(16&gt;=0,16&lt;21),Supuestos!$C$100*0.125/3,0))</f>
        <v>1532345367.91667</v>
      </c>
      <c r="T9" s="37" t="n">
        <f aca="false">MIN(T8,Supuestos!$C$61/12*IF(1&lt;3,1,0)+IF(AND(17&gt;=0,17&lt;21),Supuestos!$C$100*0.125/3,0))</f>
        <v>1532345367.91667</v>
      </c>
      <c r="U9" s="37" t="n">
        <f aca="false">MIN(U8,Supuestos!$C$61/12*IF(1&lt;3,1,0)+IF(AND(18&gt;=0,18&lt;21),Supuestos!$C$100*0.125/3,0))</f>
        <v>1532345367.91667</v>
      </c>
      <c r="V9" s="37" t="n">
        <f aca="false">MIN(V8,Supuestos!$C$61/12*IF(1&lt;3,1,0)+IF(AND(19&gt;=0,19&lt;21),Supuestos!$C$100*0.125/3,0))</f>
        <v>1532345367.91667</v>
      </c>
      <c r="W9" s="37" t="n">
        <f aca="false">MIN(W8,Supuestos!$C$61/12*IF(1&lt;3,1,0)+IF(AND(20&gt;=0,20&lt;21),Supuestos!$C$100*0.125/3,0))</f>
        <v>1532345367.91667</v>
      </c>
      <c r="X9" s="37" t="n">
        <f aca="false">MIN(X8,Supuestos!$C$61/12*IF(1&lt;3,1,0)+IF(AND(21&gt;=0,21&lt;21),Supuestos!$C$100*0.125/3,0))</f>
        <v>282345367.916667</v>
      </c>
      <c r="Y9" s="37" t="n">
        <f aca="false">MIN(Y8,Supuestos!$C$61/12*IF(1&lt;3,1,0)+IF(AND(22&gt;=0,22&lt;21),Supuestos!$C$100*0.125/3,0))</f>
        <v>282345367.916667</v>
      </c>
      <c r="Z9" s="37" t="n">
        <f aca="false">MIN(Z8,Supuestos!$C$61/12*IF(1&lt;3,1,0)+IF(AND(23&gt;=0,23&lt;21),Supuestos!$C$100*0.125/3,0))</f>
        <v>282345367.916667</v>
      </c>
      <c r="AA9" s="37" t="n">
        <f aca="false">MIN(AA8,Supuestos!$C$61/12*IF(2&lt;3,1,0)+IF(AND(24&gt;=0,24&lt;21),Supuestos!$C$100*0.125/3,0))</f>
        <v>282345367.916667</v>
      </c>
      <c r="AB9" s="37" t="n">
        <f aca="false">MIN(AB8,Supuestos!$C$61/12*IF(2&lt;3,1,0)+IF(AND(25&gt;=0,25&lt;21),Supuestos!$C$100*0.125/3,0))</f>
        <v>282345367.916667</v>
      </c>
      <c r="AC9" s="37" t="n">
        <f aca="false">MIN(AC8,Supuestos!$C$61/12*IF(2&lt;3,1,0)+IF(AND(26&gt;=0,26&lt;21),Supuestos!$C$100*0.125/3,0))</f>
        <v>282345367.916667</v>
      </c>
      <c r="AD9" s="37" t="n">
        <f aca="false">MIN(AD8,Supuestos!$C$61/12*IF(2&lt;3,1,0)+IF(AND(27&gt;=0,27&lt;21),Supuestos!$C$100*0.125/3,0))</f>
        <v>282345367.916667</v>
      </c>
      <c r="AE9" s="37" t="n">
        <f aca="false">MIN(AE8,Supuestos!$C$61/12*IF(2&lt;3,1,0)+IF(AND(28&gt;=0,28&lt;21),Supuestos!$C$100*0.125/3,0))</f>
        <v>282345367.916667</v>
      </c>
      <c r="AF9" s="37" t="n">
        <f aca="false">MIN(AF8,Supuestos!$C$61/12*IF(2&lt;3,1,0)+IF(AND(29&gt;=0,29&lt;21),Supuestos!$C$100*0.125/3,0))</f>
        <v>282345367.916667</v>
      </c>
      <c r="AG9" s="37" t="n">
        <f aca="false">MIN(AG8,Supuestos!$C$61/12*IF(2&lt;3,1,0)+IF(AND(30&gt;=0,30&lt;21),Supuestos!$C$100*0.125/3,0))</f>
        <v>282345367.916667</v>
      </c>
      <c r="AH9" s="37" t="n">
        <f aca="false">MIN(AH8,Supuestos!$C$61/12*IF(2&lt;3,1,0)+IF(AND(31&gt;=0,31&lt;21),Supuestos!$C$100*0.125/3,0))</f>
        <v>207622093.583322</v>
      </c>
      <c r="AI9" s="37" t="n">
        <f aca="false">MIN(AI8,Supuestos!$C$61/12*IF(2&lt;3,1,0)+IF(AND(32&gt;=0,32&lt;21),Supuestos!$C$100*0.125/3,0))</f>
        <v>0</v>
      </c>
      <c r="AJ9" s="37" t="n">
        <f aca="false">MIN(AJ8,Supuestos!$C$61/12*IF(2&lt;3,1,0)+IF(AND(33&gt;=0,33&lt;21),Supuestos!$C$100*0.125/3,0))</f>
        <v>0</v>
      </c>
      <c r="AK9" s="37" t="n">
        <f aca="false">MIN(AK8,Supuestos!$C$61/12*IF(2&lt;3,1,0)+IF(AND(34&gt;=0,34&lt;21),Supuestos!$C$100*0.125/3,0))</f>
        <v>0</v>
      </c>
      <c r="AL9" s="37" t="n">
        <f aca="false">MIN(AL8,Supuestos!$C$61/12*IF(2&lt;3,1,0)+IF(AND(35&gt;=0,35&lt;21),Supuestos!$C$100*0.125/3,0))</f>
        <v>0</v>
      </c>
      <c r="AM9" s="37" t="n">
        <f aca="false">MIN(AM8,Supuestos!$C$61/12*IF(3&lt;3,1,0)+IF(AND(36&gt;=0,36&lt;21),Supuestos!$C$100*0.125/3,0))</f>
        <v>0</v>
      </c>
      <c r="AN9" s="37" t="n">
        <f aca="false">MIN(AN8,Supuestos!$C$61/12*IF(3&lt;3,1,0)+IF(AND(37&gt;=0,37&lt;21),Supuestos!$C$100*0.125/3,0))</f>
        <v>0</v>
      </c>
      <c r="AO9" s="37" t="n">
        <f aca="false">MIN(AO8,Supuestos!$C$61/12*IF(3&lt;3,1,0)+IF(AND(38&gt;=0,38&lt;21),Supuestos!$C$100*0.125/3,0))</f>
        <v>0</v>
      </c>
      <c r="AP9" s="37" t="n">
        <f aca="false">MIN(AP8,Supuestos!$C$61/12*IF(3&lt;3,1,0)+IF(AND(39&gt;=0,39&lt;21),Supuestos!$C$100*0.125/3,0))</f>
        <v>0</v>
      </c>
      <c r="AQ9" s="37" t="n">
        <f aca="false">MIN(AQ8,Supuestos!$C$61/12*IF(3&lt;3,1,0)+IF(AND(40&gt;=0,40&lt;21),Supuestos!$C$100*0.125/3,0))</f>
        <v>0</v>
      </c>
      <c r="AR9" s="37" t="n">
        <f aca="false">MIN(AR8,Supuestos!$C$61/12*IF(3&lt;3,1,0)+IF(AND(41&gt;=0,41&lt;21),Supuestos!$C$100*0.125/3,0))</f>
        <v>0</v>
      </c>
      <c r="AS9" s="37" t="n">
        <f aca="false">MIN(AS8,Supuestos!$C$61/12*IF(3&lt;3,1,0)+IF(AND(42&gt;=0,42&lt;21),Supuestos!$C$100*0.125/3,0))</f>
        <v>0</v>
      </c>
      <c r="AT9" s="37" t="n">
        <f aca="false">MIN(AT8,Supuestos!$C$61/12*IF(3&lt;3,1,0)+IF(AND(43&gt;=0,43&lt;21),Supuestos!$C$100*0.125/3,0))</f>
        <v>0</v>
      </c>
      <c r="AU9" s="37" t="n">
        <f aca="false">MIN(AU8,Supuestos!$C$61/12*IF(3&lt;3,1,0)+IF(AND(44&gt;=0,44&lt;21),Supuestos!$C$100*0.125/3,0))</f>
        <v>0</v>
      </c>
      <c r="AV9" s="37" t="n">
        <f aca="false">MIN(AV8,Supuestos!$C$61/12*IF(3&lt;3,1,0)+IF(AND(45&gt;=0,45&lt;21),Supuestos!$C$100*0.125/3,0))</f>
        <v>0</v>
      </c>
      <c r="AW9" s="37" t="n">
        <f aca="false">MIN(AW8,Supuestos!$C$61/12*IF(3&lt;3,1,0)+IF(AND(46&gt;=0,46&lt;21),Supuestos!$C$100*0.125/3,0))</f>
        <v>0</v>
      </c>
      <c r="AX9" s="37" t="n">
        <f aca="false">MIN(AX8,Supuestos!$C$61/12*IF(3&lt;3,1,0)+IF(AND(47&gt;=0,47&lt;21),Supuestos!$C$100*0.125/3,0))</f>
        <v>0</v>
      </c>
      <c r="AY9" s="37" t="n">
        <f aca="false">MIN(AY8,Supuestos!$C$61/12*IF(4&lt;3,1,0)+IF(AND(48&gt;=0,48&lt;21),Supuestos!$C$100*0.125/3,0))</f>
        <v>0</v>
      </c>
      <c r="AZ9" s="37" t="n">
        <f aca="false">MIN(AZ8,Supuestos!$C$61/12*IF(4&lt;3,1,0)+IF(AND(49&gt;=0,49&lt;21),Supuestos!$C$100*0.125/3,0))</f>
        <v>0</v>
      </c>
      <c r="BA9" s="37" t="n">
        <f aca="false">MIN(BA8,Supuestos!$C$61/12*IF(4&lt;3,1,0)+IF(AND(50&gt;=0,50&lt;21),Supuestos!$C$100*0.125/3,0))</f>
        <v>0</v>
      </c>
      <c r="BB9" s="37" t="n">
        <f aca="false">MIN(BB8,Supuestos!$C$61/12*IF(4&lt;3,1,0)+IF(AND(51&gt;=0,51&lt;21),Supuestos!$C$100*0.125/3,0))</f>
        <v>0</v>
      </c>
      <c r="BC9" s="37" t="n">
        <f aca="false">MIN(BC8,Supuestos!$C$61/12*IF(4&lt;3,1,0)+IF(AND(52&gt;=0,52&lt;21),Supuestos!$C$100*0.125/3,0))</f>
        <v>0</v>
      </c>
      <c r="BD9" s="37" t="n">
        <f aca="false">MIN(BD8,Supuestos!$C$61/12*IF(4&lt;3,1,0)+IF(AND(53&gt;=0,53&lt;21),Supuestos!$C$100*0.125/3,0))</f>
        <v>0</v>
      </c>
      <c r="BE9" s="37" t="n">
        <f aca="false">MIN(BE8,Supuestos!$C$61/12*IF(4&lt;3,1,0)+IF(AND(54&gt;=0,54&lt;21),Supuestos!$C$100*0.125/3,0))</f>
        <v>0</v>
      </c>
      <c r="BF9" s="37" t="n">
        <f aca="false">MIN(BF8,Supuestos!$C$61/12*IF(4&lt;3,1,0)+IF(AND(55&gt;=0,55&lt;21),Supuestos!$C$100*0.125/3,0))</f>
        <v>0</v>
      </c>
      <c r="BG9" s="37" t="n">
        <f aca="false">MIN(BG8,Supuestos!$C$61/12*IF(4&lt;3,1,0)+IF(AND(56&gt;=0,56&lt;21),Supuestos!$C$100*0.125/3,0))</f>
        <v>0</v>
      </c>
      <c r="BH9" s="37" t="n">
        <f aca="false">MIN(BH8,Supuestos!$C$61/12*IF(4&lt;3,1,0)+IF(AND(57&gt;=0,57&lt;21),Supuestos!$C$100*0.125/3,0))</f>
        <v>0</v>
      </c>
      <c r="BI9" s="37" t="n">
        <f aca="false">MIN(BI8,Supuestos!$C$61/12*IF(4&lt;3,1,0)+IF(AND(58&gt;=0,58&lt;21),Supuestos!$C$100*0.125/3,0))</f>
        <v>0</v>
      </c>
      <c r="BJ9" s="37" t="n">
        <f aca="false">MIN(BJ8,Supuestos!$C$61/12*IF(4&lt;3,1,0)+IF(AND(59&gt;=0,59&lt;21),Supuestos!$C$100*0.125/3,0))</f>
        <v>0</v>
      </c>
      <c r="BK9" s="37" t="n">
        <f aca="false">MIN(BK8,Supuestos!$C$61/12*IF(5&lt;3,1,0)+IF(AND(60&gt;=0,60&lt;21),Supuestos!$C$100*0.125/3,0))</f>
        <v>0</v>
      </c>
      <c r="BL9" s="37" t="n">
        <f aca="false">MIN(BL8,Supuestos!$C$61/12*IF(5&lt;3,1,0)+IF(AND(61&gt;=0,61&lt;21),Supuestos!$C$100*0.125/3,0))</f>
        <v>0</v>
      </c>
      <c r="BM9" s="37" t="n">
        <f aca="false">MIN(BM8,Supuestos!$C$61/12*IF(5&lt;3,1,0)+IF(AND(62&gt;=0,62&lt;21),Supuestos!$C$100*0.125/3,0))</f>
        <v>0</v>
      </c>
      <c r="BN9" s="37" t="n">
        <f aca="false">MIN(BN8,Supuestos!$C$61/12*IF(5&lt;3,1,0)+IF(AND(63&gt;=0,63&lt;21),Supuestos!$C$100*0.125/3,0))</f>
        <v>0</v>
      </c>
      <c r="BO9" s="37" t="n">
        <f aca="false">MIN(BO8,Supuestos!$C$61/12*IF(5&lt;3,1,0)+IF(AND(64&gt;=0,64&lt;21),Supuestos!$C$100*0.125/3,0))</f>
        <v>0</v>
      </c>
      <c r="BP9" s="37" t="n">
        <f aca="false">MIN(BP8,Supuestos!$C$61/12*IF(5&lt;3,1,0)+IF(AND(65&gt;=0,65&lt;21),Supuestos!$C$100*0.125/3,0))</f>
        <v>0</v>
      </c>
      <c r="BQ9" s="37" t="n">
        <f aca="false">MIN(BQ8,Supuestos!$C$61/12*IF(5&lt;3,1,0)+IF(AND(66&gt;=0,66&lt;21),Supuestos!$C$100*0.125/3,0))</f>
        <v>0</v>
      </c>
      <c r="BR9" s="37" t="n">
        <f aca="false">MIN(BR8,Supuestos!$C$61/12*IF(5&lt;3,1,0)+IF(AND(67&gt;=0,67&lt;21),Supuestos!$C$100*0.125/3,0))</f>
        <v>0</v>
      </c>
      <c r="BS9" s="37" t="n">
        <f aca="false">MIN(BS8,Supuestos!$C$61/12*IF(5&lt;3,1,0)+IF(AND(68&gt;=0,68&lt;21),Supuestos!$C$100*0.125/3,0))</f>
        <v>0</v>
      </c>
      <c r="BT9" s="37" t="n">
        <f aca="false">MIN(BT8,Supuestos!$C$61/12*IF(5&lt;3,1,0)+IF(AND(69&gt;=0,69&lt;21),Supuestos!$C$100*0.125/3,0))</f>
        <v>0</v>
      </c>
      <c r="BU9" s="37" t="n">
        <f aca="false">MIN(BU8,Supuestos!$C$61/12*IF(5&lt;3,1,0)+IF(AND(70&gt;=0,70&lt;21),Supuestos!$C$100*0.125/3,0))</f>
        <v>0</v>
      </c>
      <c r="BV9" s="37" t="n">
        <f aca="false">MIN(BV8,Supuestos!$C$61/12*IF(5&lt;3,1,0)+IF(AND(71&gt;=0,71&lt;21),Supuestos!$C$100*0.125/3,0))</f>
        <v>0</v>
      </c>
      <c r="BW9" s="37" t="n">
        <f aca="false">MIN(BW8,Supuestos!$C$61/12*IF(6&lt;3,1,0)+IF(AND(72&gt;=0,72&lt;21),Supuestos!$C$100*0.125/3,0))</f>
        <v>0</v>
      </c>
      <c r="BX9" s="37" t="n">
        <f aca="false">MIN(BX8,Supuestos!$C$61/12*IF(6&lt;3,1,0)+IF(AND(73&gt;=0,73&lt;21),Supuestos!$C$100*0.125/3,0))</f>
        <v>0</v>
      </c>
      <c r="BY9" s="37" t="n">
        <f aca="false">MIN(BY8,Supuestos!$C$61/12*IF(6&lt;3,1,0)+IF(AND(74&gt;=0,74&lt;21),Supuestos!$C$100*0.125/3,0))</f>
        <v>0</v>
      </c>
      <c r="BZ9" s="37" t="n">
        <f aca="false">MIN(BZ8,Supuestos!$C$61/12*IF(6&lt;3,1,0)+IF(AND(75&gt;=0,75&lt;21),Supuestos!$C$100*0.125/3,0))</f>
        <v>0</v>
      </c>
      <c r="CA9" s="37" t="n">
        <f aca="false">MIN(CA8,Supuestos!$C$61/12*IF(6&lt;3,1,0)+IF(AND(76&gt;=0,76&lt;21),Supuestos!$C$100*0.125/3,0))</f>
        <v>0</v>
      </c>
      <c r="CB9" s="37" t="n">
        <f aca="false">MIN(CB8,Supuestos!$C$61/12*IF(6&lt;3,1,0)+IF(AND(77&gt;=0,77&lt;21),Supuestos!$C$100*0.125/3,0))</f>
        <v>0</v>
      </c>
      <c r="CC9" s="37" t="n">
        <f aca="false">MIN(CC8,Supuestos!$C$61/12*IF(6&lt;3,1,0)+IF(AND(78&gt;=0,78&lt;21),Supuestos!$C$100*0.125/3,0))</f>
        <v>0</v>
      </c>
      <c r="CD9" s="37" t="n">
        <f aca="false">MIN(CD8,Supuestos!$C$61/12*IF(6&lt;3,1,0)+IF(AND(79&gt;=0,79&lt;21),Supuestos!$C$100*0.125/3,0))</f>
        <v>0</v>
      </c>
      <c r="CE9" s="37" t="n">
        <f aca="false">MIN(CE8,Supuestos!$C$61/12*IF(6&lt;3,1,0)+IF(AND(80&gt;=0,80&lt;21),Supuestos!$C$100*0.125/3,0))</f>
        <v>0</v>
      </c>
      <c r="CF9" s="37" t="n">
        <f aca="false">MIN(CF8,Supuestos!$C$61/12*IF(6&lt;3,1,0)+IF(AND(81&gt;=0,81&lt;21),Supuestos!$C$100*0.125/3,0))</f>
        <v>0</v>
      </c>
      <c r="CG9" s="37" t="n">
        <f aca="false">MIN(CG8,Supuestos!$C$61/12*IF(6&lt;3,1,0)+IF(AND(82&gt;=0,82&lt;21),Supuestos!$C$100*0.125/3,0))</f>
        <v>0</v>
      </c>
      <c r="CH9" s="37" t="n">
        <f aca="false">MIN(CH8,Supuestos!$C$61/12*IF(6&lt;3,1,0)+IF(AND(83&gt;=0,83&lt;21),Supuestos!$C$100*0.125/3,0))</f>
        <v>0</v>
      </c>
      <c r="CI9" s="37" t="n">
        <f aca="false">MIN(CI8,Supuestos!$C$61/12*IF(7&lt;3,1,0)+IF(AND(84&gt;=0,84&lt;21),Supuestos!$C$100*0.125/3,0))</f>
        <v>0</v>
      </c>
      <c r="CJ9" s="37" t="n">
        <f aca="false">MIN(CJ8,Supuestos!$C$61/12*IF(7&lt;3,1,0)+IF(AND(85&gt;=0,85&lt;21),Supuestos!$C$100*0.125/3,0))</f>
        <v>0</v>
      </c>
      <c r="CK9" s="37" t="n">
        <f aca="false">MIN(CK8,Supuestos!$C$61/12*IF(7&lt;3,1,0)+IF(AND(86&gt;=0,86&lt;21),Supuestos!$C$100*0.125/3,0))</f>
        <v>0</v>
      </c>
      <c r="CL9" s="37" t="n">
        <f aca="false">MIN(CL8,Supuestos!$C$61/12*IF(7&lt;3,1,0)+IF(AND(87&gt;=0,87&lt;21),Supuestos!$C$100*0.125/3,0))</f>
        <v>0</v>
      </c>
      <c r="CM9" s="37" t="n">
        <f aca="false">MIN(CM8,Supuestos!$C$61/12*IF(7&lt;3,1,0)+IF(AND(88&gt;=0,88&lt;21),Supuestos!$C$100*0.125/3,0))</f>
        <v>0</v>
      </c>
      <c r="CN9" s="37" t="n">
        <f aca="false">MIN(CN8,Supuestos!$C$61/12*IF(7&lt;3,1,0)+IF(AND(89&gt;=0,89&lt;21),Supuestos!$C$100*0.125/3,0))</f>
        <v>0</v>
      </c>
      <c r="CO9" s="37" t="n">
        <f aca="false">MIN(CO8,Supuestos!$C$61/12*IF(7&lt;3,1,0)+IF(AND(90&gt;=0,90&lt;21),Supuestos!$C$100*0.125/3,0))</f>
        <v>0</v>
      </c>
      <c r="CP9" s="37" t="n">
        <f aca="false">MIN(CP8,Supuestos!$C$61/12*IF(7&lt;3,1,0)+IF(AND(91&gt;=0,91&lt;21),Supuestos!$C$100*0.125/3,0))</f>
        <v>0</v>
      </c>
      <c r="CQ9" s="37" t="n">
        <f aca="false">MIN(CQ8,Supuestos!$C$61/12*IF(7&lt;3,1,0)+IF(AND(92&gt;=0,92&lt;21),Supuestos!$C$100*0.125/3,0))</f>
        <v>0</v>
      </c>
      <c r="CR9" s="37" t="n">
        <f aca="false">MIN(CR8,Supuestos!$C$61/12*IF(7&lt;3,1,0)+IF(AND(93&gt;=0,93&lt;21),Supuestos!$C$100*0.125/3,0))</f>
        <v>0</v>
      </c>
      <c r="CS9" s="37" t="n">
        <f aca="false">MIN(CS8,Supuestos!$C$61/12*IF(7&lt;3,1,0)+IF(AND(94&gt;=0,94&lt;21),Supuestos!$C$100*0.125/3,0))</f>
        <v>0</v>
      </c>
      <c r="CT9" s="37" t="n">
        <f aca="false">MIN(CT8,Supuestos!$C$61/12*IF(7&lt;3,1,0)+IF(AND(95&gt;=0,95&lt;21),Supuestos!$C$100*0.125/3,0))</f>
        <v>0</v>
      </c>
    </row>
    <row r="10" customFormat="false" ht="15" hidden="false" customHeight="true" outlineLevel="0" collapsed="false">
      <c r="B10" s="15" t="s">
        <v>401</v>
      </c>
      <c r="C10" s="58" t="n">
        <v>0</v>
      </c>
      <c r="D10" s="58" t="n">
        <v>0</v>
      </c>
      <c r="E10" s="58" t="n">
        <v>0</v>
      </c>
      <c r="F10" s="58" t="n">
        <v>0</v>
      </c>
      <c r="G10" s="58" t="n">
        <v>0</v>
      </c>
      <c r="H10" s="58" t="n">
        <v>0</v>
      </c>
      <c r="I10" s="58" t="n">
        <v>0</v>
      </c>
      <c r="J10" s="58" t="n">
        <v>0</v>
      </c>
      <c r="K10" s="58" t="n">
        <v>0</v>
      </c>
      <c r="L10" s="58" t="n">
        <v>0</v>
      </c>
      <c r="M10" s="58" t="n">
        <v>0</v>
      </c>
      <c r="N10" s="58" t="n">
        <v>0</v>
      </c>
      <c r="O10" s="58" t="n">
        <v>0</v>
      </c>
      <c r="P10" s="58" t="n">
        <v>0</v>
      </c>
      <c r="Q10" s="58" t="n">
        <v>0</v>
      </c>
      <c r="R10" s="58" t="n">
        <v>0</v>
      </c>
      <c r="S10" s="58" t="n">
        <v>0</v>
      </c>
      <c r="T10" s="58" t="n">
        <v>0</v>
      </c>
      <c r="U10" s="58" t="n">
        <v>0</v>
      </c>
      <c r="V10" s="58" t="n">
        <v>0</v>
      </c>
      <c r="W10" s="58" t="n">
        <v>0</v>
      </c>
      <c r="X10" s="58" t="n">
        <v>0</v>
      </c>
      <c r="Y10" s="58" t="n">
        <v>0</v>
      </c>
      <c r="Z10" s="58" t="n">
        <v>0</v>
      </c>
      <c r="AA10" s="58" t="n">
        <v>0</v>
      </c>
      <c r="AB10" s="58" t="n">
        <v>0</v>
      </c>
      <c r="AC10" s="58" t="n">
        <v>0</v>
      </c>
      <c r="AD10" s="58" t="n">
        <v>0</v>
      </c>
      <c r="AE10" s="58" t="n">
        <v>0</v>
      </c>
      <c r="AF10" s="58" t="n">
        <v>0</v>
      </c>
      <c r="AG10" s="58" t="n">
        <v>0</v>
      </c>
      <c r="AH10" s="58" t="n">
        <v>0</v>
      </c>
      <c r="AI10" s="58" t="n">
        <v>0</v>
      </c>
      <c r="AJ10" s="58" t="n">
        <v>0</v>
      </c>
      <c r="AK10" s="58" t="n">
        <v>0</v>
      </c>
      <c r="AL10" s="58" t="n">
        <v>0</v>
      </c>
      <c r="AM10" s="58" t="n">
        <v>0</v>
      </c>
      <c r="AN10" s="58" t="n">
        <v>0</v>
      </c>
      <c r="AO10" s="58" t="n">
        <v>0</v>
      </c>
      <c r="AP10" s="58" t="n">
        <v>0</v>
      </c>
      <c r="AQ10" s="58" t="n">
        <v>0</v>
      </c>
      <c r="AR10" s="58" t="n">
        <v>0</v>
      </c>
      <c r="AS10" s="58" t="n">
        <v>0</v>
      </c>
      <c r="AT10" s="58" t="n">
        <v>0</v>
      </c>
      <c r="AU10" s="58" t="n">
        <v>0</v>
      </c>
      <c r="AV10" s="58" t="n">
        <v>0</v>
      </c>
      <c r="AW10" s="58" t="n">
        <v>0</v>
      </c>
      <c r="AX10" s="58" t="n">
        <v>0</v>
      </c>
      <c r="AY10" s="58" t="n">
        <v>0</v>
      </c>
      <c r="AZ10" s="58" t="n">
        <v>0</v>
      </c>
      <c r="BA10" s="58" t="n">
        <v>0</v>
      </c>
      <c r="BB10" s="58" t="n">
        <v>0</v>
      </c>
      <c r="BC10" s="58" t="n">
        <v>0</v>
      </c>
      <c r="BD10" s="58" t="n">
        <v>0</v>
      </c>
      <c r="BE10" s="58" t="n">
        <v>0</v>
      </c>
      <c r="BF10" s="58" t="n">
        <v>0</v>
      </c>
      <c r="BG10" s="58" t="n">
        <v>0</v>
      </c>
      <c r="BH10" s="58" t="n">
        <v>0</v>
      </c>
      <c r="BI10" s="58" t="n">
        <v>0</v>
      </c>
      <c r="BJ10" s="58" t="n">
        <v>0</v>
      </c>
      <c r="BK10" s="58" t="n">
        <v>0</v>
      </c>
      <c r="BL10" s="58" t="n">
        <v>0</v>
      </c>
      <c r="BM10" s="58" t="n">
        <v>0</v>
      </c>
      <c r="BN10" s="58" t="n">
        <v>0</v>
      </c>
      <c r="BO10" s="58" t="n">
        <v>0</v>
      </c>
      <c r="BP10" s="58" t="n">
        <v>0</v>
      </c>
      <c r="BQ10" s="58" t="n">
        <v>0</v>
      </c>
      <c r="BR10" s="58" t="n">
        <v>0</v>
      </c>
      <c r="BS10" s="58" t="n">
        <v>0</v>
      </c>
      <c r="BT10" s="58" t="n">
        <v>0</v>
      </c>
      <c r="BU10" s="58" t="n">
        <v>0</v>
      </c>
      <c r="BV10" s="58" t="n">
        <v>0</v>
      </c>
      <c r="BW10" s="58" t="n">
        <v>0</v>
      </c>
      <c r="BX10" s="58" t="n">
        <v>0</v>
      </c>
      <c r="BY10" s="58" t="n">
        <v>0</v>
      </c>
      <c r="BZ10" s="58" t="n">
        <v>0</v>
      </c>
      <c r="CA10" s="58" t="n">
        <v>0</v>
      </c>
      <c r="CB10" s="58" t="n">
        <v>0</v>
      </c>
      <c r="CC10" s="58" t="n">
        <v>0</v>
      </c>
      <c r="CD10" s="58" t="n">
        <v>0</v>
      </c>
      <c r="CE10" s="58" t="n">
        <v>0</v>
      </c>
      <c r="CF10" s="58" t="n">
        <v>0</v>
      </c>
      <c r="CG10" s="58" t="n">
        <v>0</v>
      </c>
      <c r="CH10" s="58" t="n">
        <v>0</v>
      </c>
      <c r="CI10" s="58" t="n">
        <v>0</v>
      </c>
      <c r="CJ10" s="58" t="n">
        <v>0</v>
      </c>
      <c r="CK10" s="58" t="n">
        <v>0</v>
      </c>
      <c r="CL10" s="58" t="n">
        <v>0</v>
      </c>
      <c r="CM10" s="58" t="n">
        <v>0</v>
      </c>
      <c r="CN10" s="58" t="n">
        <v>0</v>
      </c>
      <c r="CO10" s="58" t="n">
        <v>0</v>
      </c>
      <c r="CP10" s="58" t="n">
        <v>0</v>
      </c>
      <c r="CQ10" s="58" t="n">
        <v>0</v>
      </c>
      <c r="CR10" s="58" t="n">
        <v>0</v>
      </c>
      <c r="CS10" s="58" t="n">
        <v>0</v>
      </c>
      <c r="CT10" s="58" t="n">
        <v>0</v>
      </c>
    </row>
    <row r="11" customFormat="false" ht="15" hidden="false" customHeight="true" outlineLevel="0" collapsed="false">
      <c r="B11" s="38" t="s">
        <v>402</v>
      </c>
      <c r="C11" s="39" t="n">
        <f aca="false">MAX(C8-C9+C10,0)</f>
        <v>33677983131.0833</v>
      </c>
      <c r="D11" s="39" t="n">
        <f aca="false">MAX(D8-D9+D10,0)</f>
        <v>32145637763.1667</v>
      </c>
      <c r="E11" s="39" t="n">
        <f aca="false">MAX(E8-E9+E10,0)</f>
        <v>30613292395.25</v>
      </c>
      <c r="F11" s="39" t="n">
        <f aca="false">MAX(F8-F9+F10,0)</f>
        <v>29080947027.3333</v>
      </c>
      <c r="G11" s="39" t="n">
        <f aca="false">MAX(G8-G9+G10,0)</f>
        <v>27548601659.4167</v>
      </c>
      <c r="H11" s="39" t="n">
        <f aca="false">MAX(H8-H9+H10,0)</f>
        <v>26016256291.5</v>
      </c>
      <c r="I11" s="39" t="n">
        <f aca="false">MAX(I8-I9+I10,0)</f>
        <v>24483910923.5833</v>
      </c>
      <c r="J11" s="39" t="n">
        <f aca="false">MAX(J8-J9+J10,0)</f>
        <v>22951565555.6667</v>
      </c>
      <c r="K11" s="39" t="n">
        <f aca="false">MAX(K8-K9+K10,0)</f>
        <v>21419220187.75</v>
      </c>
      <c r="L11" s="39" t="n">
        <f aca="false">MAX(L8-L9+L10,0)</f>
        <v>19886874819.8333</v>
      </c>
      <c r="M11" s="39" t="n">
        <f aca="false">MAX(M8-M9+M10,0)</f>
        <v>18354529451.9167</v>
      </c>
      <c r="N11" s="39" t="n">
        <f aca="false">MAX(N8-N9+N10,0)</f>
        <v>16822184084</v>
      </c>
      <c r="O11" s="39" t="n">
        <f aca="false">MAX(O8-O9+O10,0)</f>
        <v>15289838716.0833</v>
      </c>
      <c r="P11" s="39" t="n">
        <f aca="false">MAX(P8-P9+P10,0)</f>
        <v>13757493348.1667</v>
      </c>
      <c r="Q11" s="39" t="n">
        <f aca="false">MAX(Q8-Q9+Q10,0)</f>
        <v>12225147980.25</v>
      </c>
      <c r="R11" s="39" t="n">
        <f aca="false">MAX(R8-R9+R10,0)</f>
        <v>10692802612.3333</v>
      </c>
      <c r="S11" s="39" t="n">
        <f aca="false">MAX(S8-S9+S10,0)</f>
        <v>9160457244.41666</v>
      </c>
      <c r="T11" s="39" t="n">
        <f aca="false">MAX(T8-T9+T10,0)</f>
        <v>7628111876.49999</v>
      </c>
      <c r="U11" s="39" t="n">
        <f aca="false">MAX(U8-U9+U10,0)</f>
        <v>6095766508.58332</v>
      </c>
      <c r="V11" s="39" t="n">
        <f aca="false">MAX(V8-V9+V10,0)</f>
        <v>4563421140.66666</v>
      </c>
      <c r="W11" s="39" t="n">
        <f aca="false">MAX(W8-W9+W10,0)</f>
        <v>3031075772.74999</v>
      </c>
      <c r="X11" s="39" t="n">
        <f aca="false">MAX(X8-X9+X10,0)</f>
        <v>2748730404.83332</v>
      </c>
      <c r="Y11" s="39" t="n">
        <f aca="false">MAX(Y8-Y9+Y10,0)</f>
        <v>2466385036.91666</v>
      </c>
      <c r="Z11" s="39" t="n">
        <f aca="false">MAX(Z8-Z9+Z10,0)</f>
        <v>2184039668.99999</v>
      </c>
      <c r="AA11" s="39" t="n">
        <f aca="false">MAX(AA8-AA9+AA10,0)</f>
        <v>1901694301.08332</v>
      </c>
      <c r="AB11" s="39" t="n">
        <f aca="false">MAX(AB8-AB9+AB10,0)</f>
        <v>1619348933.16666</v>
      </c>
      <c r="AC11" s="39" t="n">
        <f aca="false">MAX(AC8-AC9+AC10,0)</f>
        <v>1337003565.24999</v>
      </c>
      <c r="AD11" s="39" t="n">
        <f aca="false">MAX(AD8-AD9+AD10,0)</f>
        <v>1054658197.33332</v>
      </c>
      <c r="AE11" s="39" t="n">
        <f aca="false">MAX(AE8-AE9+AE10,0)</f>
        <v>772312829.416655</v>
      </c>
      <c r="AF11" s="39" t="n">
        <f aca="false">MAX(AF8-AF9+AF10,0)</f>
        <v>489967461.499989</v>
      </c>
      <c r="AG11" s="39" t="n">
        <f aca="false">MAX(AG8-AG9+AG10,0)</f>
        <v>207622093.583322</v>
      </c>
      <c r="AH11" s="39" t="n">
        <f aca="false">MAX(AH8-AH9+AH10,0)</f>
        <v>0</v>
      </c>
      <c r="AI11" s="39" t="n">
        <f aca="false">MAX(AI8-AI9+AI10,0)</f>
        <v>0</v>
      </c>
      <c r="AJ11" s="39" t="n">
        <f aca="false">MAX(AJ8-AJ9+AJ10,0)</f>
        <v>0</v>
      </c>
      <c r="AK11" s="39" t="n">
        <f aca="false">MAX(AK8-AK9+AK10,0)</f>
        <v>0</v>
      </c>
      <c r="AL11" s="39" t="n">
        <f aca="false">MAX(AL8-AL9+AL10,0)</f>
        <v>0</v>
      </c>
      <c r="AM11" s="39" t="n">
        <f aca="false">MAX(AM8-AM9+AM10,0)</f>
        <v>0</v>
      </c>
      <c r="AN11" s="39" t="n">
        <f aca="false">MAX(AN8-AN9+AN10,0)</f>
        <v>0</v>
      </c>
      <c r="AO11" s="39" t="n">
        <f aca="false">MAX(AO8-AO9+AO10,0)</f>
        <v>0</v>
      </c>
      <c r="AP11" s="39" t="n">
        <f aca="false">MAX(AP8-AP9+AP10,0)</f>
        <v>0</v>
      </c>
      <c r="AQ11" s="39" t="n">
        <f aca="false">MAX(AQ8-AQ9+AQ10,0)</f>
        <v>0</v>
      </c>
      <c r="AR11" s="39" t="n">
        <f aca="false">MAX(AR8-AR9+AR10,0)</f>
        <v>0</v>
      </c>
      <c r="AS11" s="39" t="n">
        <f aca="false">MAX(AS8-AS9+AS10,0)</f>
        <v>0</v>
      </c>
      <c r="AT11" s="39" t="n">
        <f aca="false">MAX(AT8-AT9+AT10,0)</f>
        <v>0</v>
      </c>
      <c r="AU11" s="39" t="n">
        <f aca="false">MAX(AU8-AU9+AU10,0)</f>
        <v>0</v>
      </c>
      <c r="AV11" s="39" t="n">
        <f aca="false">MAX(AV8-AV9+AV10,0)</f>
        <v>0</v>
      </c>
      <c r="AW11" s="39" t="n">
        <f aca="false">MAX(AW8-AW9+AW10,0)</f>
        <v>0</v>
      </c>
      <c r="AX11" s="39" t="n">
        <f aca="false">MAX(AX8-AX9+AX10,0)</f>
        <v>0</v>
      </c>
      <c r="AY11" s="39" t="n">
        <f aca="false">MAX(AY8-AY9+AY10,0)</f>
        <v>0</v>
      </c>
      <c r="AZ11" s="39" t="n">
        <f aca="false">MAX(AZ8-AZ9+AZ10,0)</f>
        <v>0</v>
      </c>
      <c r="BA11" s="39" t="n">
        <f aca="false">MAX(BA8-BA9+BA10,0)</f>
        <v>0</v>
      </c>
      <c r="BB11" s="39" t="n">
        <f aca="false">MAX(BB8-BB9+BB10,0)</f>
        <v>0</v>
      </c>
      <c r="BC11" s="39" t="n">
        <f aca="false">MAX(BC8-BC9+BC10,0)</f>
        <v>0</v>
      </c>
      <c r="BD11" s="39" t="n">
        <f aca="false">MAX(BD8-BD9+BD10,0)</f>
        <v>0</v>
      </c>
      <c r="BE11" s="39" t="n">
        <f aca="false">MAX(BE8-BE9+BE10,0)</f>
        <v>0</v>
      </c>
      <c r="BF11" s="39" t="n">
        <f aca="false">MAX(BF8-BF9+BF10,0)</f>
        <v>0</v>
      </c>
      <c r="BG11" s="39" t="n">
        <f aca="false">MAX(BG8-BG9+BG10,0)</f>
        <v>0</v>
      </c>
      <c r="BH11" s="39" t="n">
        <f aca="false">MAX(BH8-BH9+BH10,0)</f>
        <v>0</v>
      </c>
      <c r="BI11" s="39" t="n">
        <f aca="false">MAX(BI8-BI9+BI10,0)</f>
        <v>0</v>
      </c>
      <c r="BJ11" s="39" t="n">
        <f aca="false">MAX(BJ8-BJ9+BJ10,0)</f>
        <v>0</v>
      </c>
      <c r="BK11" s="39" t="n">
        <f aca="false">MAX(BK8-BK9+BK10,0)</f>
        <v>0</v>
      </c>
      <c r="BL11" s="39" t="n">
        <f aca="false">MAX(BL8-BL9+BL10,0)</f>
        <v>0</v>
      </c>
      <c r="BM11" s="39" t="n">
        <f aca="false">MAX(BM8-BM9+BM10,0)</f>
        <v>0</v>
      </c>
      <c r="BN11" s="39" t="n">
        <f aca="false">MAX(BN8-BN9+BN10,0)</f>
        <v>0</v>
      </c>
      <c r="BO11" s="39" t="n">
        <f aca="false">MAX(BO8-BO9+BO10,0)</f>
        <v>0</v>
      </c>
      <c r="BP11" s="39" t="n">
        <f aca="false">MAX(BP8-BP9+BP10,0)</f>
        <v>0</v>
      </c>
      <c r="BQ11" s="39" t="n">
        <f aca="false">MAX(BQ8-BQ9+BQ10,0)</f>
        <v>0</v>
      </c>
      <c r="BR11" s="39" t="n">
        <f aca="false">MAX(BR8-BR9+BR10,0)</f>
        <v>0</v>
      </c>
      <c r="BS11" s="39" t="n">
        <f aca="false">MAX(BS8-BS9+BS10,0)</f>
        <v>0</v>
      </c>
      <c r="BT11" s="39" t="n">
        <f aca="false">MAX(BT8-BT9+BT10,0)</f>
        <v>0</v>
      </c>
      <c r="BU11" s="39" t="n">
        <f aca="false">MAX(BU8-BU9+BU10,0)</f>
        <v>0</v>
      </c>
      <c r="BV11" s="39" t="n">
        <f aca="false">MAX(BV8-BV9+BV10,0)</f>
        <v>0</v>
      </c>
      <c r="BW11" s="39" t="n">
        <f aca="false">MAX(BW8-BW9+BW10,0)</f>
        <v>0</v>
      </c>
      <c r="BX11" s="39" t="n">
        <f aca="false">MAX(BX8-BX9+BX10,0)</f>
        <v>0</v>
      </c>
      <c r="BY11" s="39" t="n">
        <f aca="false">MAX(BY8-BY9+BY10,0)</f>
        <v>0</v>
      </c>
      <c r="BZ11" s="39" t="n">
        <f aca="false">MAX(BZ8-BZ9+BZ10,0)</f>
        <v>0</v>
      </c>
      <c r="CA11" s="39" t="n">
        <f aca="false">MAX(CA8-CA9+CA10,0)</f>
        <v>0</v>
      </c>
      <c r="CB11" s="39" t="n">
        <f aca="false">MAX(CB8-CB9+CB10,0)</f>
        <v>0</v>
      </c>
      <c r="CC11" s="39" t="n">
        <f aca="false">MAX(CC8-CC9+CC10,0)</f>
        <v>0</v>
      </c>
      <c r="CD11" s="39" t="n">
        <f aca="false">MAX(CD8-CD9+CD10,0)</f>
        <v>0</v>
      </c>
      <c r="CE11" s="39" t="n">
        <f aca="false">MAX(CE8-CE9+CE10,0)</f>
        <v>0</v>
      </c>
      <c r="CF11" s="39" t="n">
        <f aca="false">MAX(CF8-CF9+CF10,0)</f>
        <v>0</v>
      </c>
      <c r="CG11" s="39" t="n">
        <f aca="false">MAX(CG8-CG9+CG10,0)</f>
        <v>0</v>
      </c>
      <c r="CH11" s="39" t="n">
        <f aca="false">MAX(CH8-CH9+CH10,0)</f>
        <v>0</v>
      </c>
      <c r="CI11" s="39" t="n">
        <f aca="false">MAX(CI8-CI9+CI10,0)</f>
        <v>0</v>
      </c>
      <c r="CJ11" s="39" t="n">
        <f aca="false">MAX(CJ8-CJ9+CJ10,0)</f>
        <v>0</v>
      </c>
      <c r="CK11" s="39" t="n">
        <f aca="false">MAX(CK8-CK9+CK10,0)</f>
        <v>0</v>
      </c>
      <c r="CL11" s="39" t="n">
        <f aca="false">MAX(CL8-CL9+CL10,0)</f>
        <v>0</v>
      </c>
      <c r="CM11" s="39" t="n">
        <f aca="false">MAX(CM8-CM9+CM10,0)</f>
        <v>0</v>
      </c>
      <c r="CN11" s="39" t="n">
        <f aca="false">MAX(CN8-CN9+CN10,0)</f>
        <v>0</v>
      </c>
      <c r="CO11" s="39" t="n">
        <f aca="false">MAX(CO8-CO9+CO10,0)</f>
        <v>0</v>
      </c>
      <c r="CP11" s="39" t="n">
        <f aca="false">MAX(CP8-CP9+CP10,0)</f>
        <v>0</v>
      </c>
      <c r="CQ11" s="39" t="n">
        <f aca="false">MAX(CQ8-CQ9+CQ10,0)</f>
        <v>0</v>
      </c>
      <c r="CR11" s="39" t="n">
        <f aca="false">MAX(CR8-CR9+CR10,0)</f>
        <v>0</v>
      </c>
      <c r="CS11" s="39" t="n">
        <f aca="false">MAX(CS8-CS9+CS10,0)</f>
        <v>0</v>
      </c>
      <c r="CT11" s="39" t="n">
        <f aca="false">MAX(CT8-CT9+CT10,0)</f>
        <v>0</v>
      </c>
    </row>
    <row r="13" customFormat="false" ht="15" hidden="false" customHeight="true" outlineLevel="0" collapsed="false">
      <c r="B13" s="15" t="s">
        <v>403</v>
      </c>
      <c r="C13" s="46" t="n">
        <f aca="false">Supuestos!$C$60</f>
        <v>8231000000</v>
      </c>
      <c r="D13" s="37" t="n">
        <f aca="false">C15</f>
        <v>8231000000</v>
      </c>
      <c r="E13" s="37" t="n">
        <f aca="false">D15</f>
        <v>8231000000</v>
      </c>
      <c r="F13" s="37" t="n">
        <f aca="false">E15</f>
        <v>11230235830.6106</v>
      </c>
      <c r="G13" s="37" t="n">
        <f aca="false">F15</f>
        <v>12964707111.1184</v>
      </c>
      <c r="H13" s="37" t="n">
        <f aca="false">G15</f>
        <v>13831942751.3723</v>
      </c>
      <c r="I13" s="37" t="n">
        <f aca="false">H15</f>
        <v>14121021298.1236</v>
      </c>
      <c r="J13" s="37" t="n">
        <f aca="false">I15</f>
        <v>14121021298.1236</v>
      </c>
      <c r="K13" s="37" t="n">
        <f aca="false">J15</f>
        <v>14121021298.1236</v>
      </c>
      <c r="L13" s="37" t="n">
        <f aca="false">K15</f>
        <v>14121021298.1236</v>
      </c>
      <c r="M13" s="37" t="n">
        <f aca="false">L15</f>
        <v>14165177060.8706</v>
      </c>
      <c r="N13" s="37" t="n">
        <f aca="false">M15</f>
        <v>13587019967.368</v>
      </c>
      <c r="O13" s="37" t="n">
        <f aca="false">N15</f>
        <v>11501178106.0912</v>
      </c>
      <c r="P13" s="37" t="n">
        <f aca="false">O15</f>
        <v>8672606077.87704</v>
      </c>
      <c r="Q13" s="37" t="n">
        <f aca="false">P15</f>
        <v>8381524964.79291</v>
      </c>
      <c r="R13" s="37" t="n">
        <f aca="false">Q15</f>
        <v>11380760795.4035</v>
      </c>
      <c r="S13" s="37" t="n">
        <f aca="false">R15</f>
        <v>13115232075.9113</v>
      </c>
      <c r="T13" s="37" t="n">
        <f aca="false">S15</f>
        <v>13982467716.1652</v>
      </c>
      <c r="U13" s="37" t="n">
        <f aca="false">T15</f>
        <v>14271546262.9165</v>
      </c>
      <c r="V13" s="37" t="n">
        <f aca="false">U15</f>
        <v>14271546262.9165</v>
      </c>
      <c r="W13" s="37" t="n">
        <f aca="false">V15</f>
        <v>14271546262.9165</v>
      </c>
      <c r="X13" s="37" t="n">
        <f aca="false">W15</f>
        <v>14271546262.9165</v>
      </c>
      <c r="Y13" s="37" t="n">
        <f aca="false">X15</f>
        <v>14315702025.6635</v>
      </c>
      <c r="Z13" s="37" t="n">
        <f aca="false">Y15</f>
        <v>13737544932.1609</v>
      </c>
      <c r="AA13" s="37" t="n">
        <f aca="false">Z15</f>
        <v>11651703070.8841</v>
      </c>
      <c r="AB13" s="37" t="n">
        <f aca="false">AA15</f>
        <v>8823131042.66997</v>
      </c>
      <c r="AC13" s="37" t="n">
        <f aca="false">AB15</f>
        <v>8532049929.58584</v>
      </c>
      <c r="AD13" s="37" t="n">
        <f aca="false">AC15</f>
        <v>11531285760.1964</v>
      </c>
      <c r="AE13" s="37" t="n">
        <f aca="false">AD15</f>
        <v>13265757040.7042</v>
      </c>
      <c r="AF13" s="37" t="n">
        <f aca="false">AE15</f>
        <v>14132992680.9581</v>
      </c>
      <c r="AG13" s="37" t="n">
        <f aca="false">AF15</f>
        <v>14422071227.7094</v>
      </c>
      <c r="AH13" s="37" t="n">
        <f aca="false">AG15</f>
        <v>14422071227.7094</v>
      </c>
      <c r="AI13" s="37" t="n">
        <f aca="false">AH15</f>
        <v>14422071227.7094</v>
      </c>
      <c r="AJ13" s="37" t="n">
        <f aca="false">AI15</f>
        <v>14422071227.7094</v>
      </c>
      <c r="AK13" s="37" t="n">
        <f aca="false">AJ15</f>
        <v>14466226990.4564</v>
      </c>
      <c r="AL13" s="37" t="n">
        <f aca="false">AK15</f>
        <v>13888069896.9538</v>
      </c>
      <c r="AM13" s="37" t="n">
        <f aca="false">AL15</f>
        <v>11802228035.677</v>
      </c>
      <c r="AN13" s="37" t="n">
        <f aca="false">AM15</f>
        <v>8973656007.46288</v>
      </c>
      <c r="AO13" s="37" t="n">
        <f aca="false">AN15</f>
        <v>8682574894.37874</v>
      </c>
      <c r="AP13" s="37" t="n">
        <f aca="false">AO15</f>
        <v>11681810724.9893</v>
      </c>
      <c r="AQ13" s="37" t="n">
        <f aca="false">AP15</f>
        <v>13416282005.4971</v>
      </c>
      <c r="AR13" s="37" t="n">
        <f aca="false">AQ15</f>
        <v>14283517645.751</v>
      </c>
      <c r="AS13" s="37" t="n">
        <f aca="false">AR15</f>
        <v>14572596192.5023</v>
      </c>
      <c r="AT13" s="37" t="n">
        <f aca="false">AS15</f>
        <v>14572596192.5023</v>
      </c>
      <c r="AU13" s="37" t="n">
        <f aca="false">AT15</f>
        <v>14572596192.5023</v>
      </c>
      <c r="AV13" s="37" t="n">
        <f aca="false">AU15</f>
        <v>14572596192.5023</v>
      </c>
      <c r="AW13" s="37" t="n">
        <f aca="false">AV15</f>
        <v>14616751955.2493</v>
      </c>
      <c r="AX13" s="37" t="n">
        <f aca="false">AW15</f>
        <v>14038594861.7467</v>
      </c>
      <c r="AY13" s="37" t="n">
        <f aca="false">AX15</f>
        <v>11952753000.4699</v>
      </c>
      <c r="AZ13" s="37" t="n">
        <f aca="false">AY15</f>
        <v>8973656007.46284</v>
      </c>
      <c r="BA13" s="37" t="n">
        <f aca="false">AZ15</f>
        <v>8682574894.3787</v>
      </c>
      <c r="BB13" s="37" t="n">
        <f aca="false">BA15</f>
        <v>11681810724.9893</v>
      </c>
      <c r="BC13" s="37" t="n">
        <f aca="false">BB15</f>
        <v>13416282005.4971</v>
      </c>
      <c r="BD13" s="37" t="n">
        <f aca="false">BC15</f>
        <v>14283517645.7509</v>
      </c>
      <c r="BE13" s="37" t="n">
        <f aca="false">BD15</f>
        <v>14572596192.5022</v>
      </c>
      <c r="BF13" s="37" t="n">
        <f aca="false">BE15</f>
        <v>14572596192.5022</v>
      </c>
      <c r="BG13" s="37" t="n">
        <f aca="false">BF15</f>
        <v>14572596192.5022</v>
      </c>
      <c r="BH13" s="37" t="n">
        <f aca="false">BG15</f>
        <v>14572596192.5022</v>
      </c>
      <c r="BI13" s="37" t="n">
        <f aca="false">BH15</f>
        <v>14616751955.2493</v>
      </c>
      <c r="BJ13" s="37" t="n">
        <f aca="false">BI15</f>
        <v>14038594861.7467</v>
      </c>
      <c r="BK13" s="37" t="n">
        <f aca="false">BJ15</f>
        <v>11952753000.4698</v>
      </c>
      <c r="BL13" s="37" t="n">
        <f aca="false">BK15</f>
        <v>8973656007.4628</v>
      </c>
      <c r="BM13" s="37" t="n">
        <f aca="false">BL15</f>
        <v>8682574894.37867</v>
      </c>
      <c r="BN13" s="37" t="n">
        <f aca="false">BM15</f>
        <v>11681810724.9892</v>
      </c>
      <c r="BO13" s="37" t="n">
        <f aca="false">BN15</f>
        <v>13416282005.497</v>
      </c>
      <c r="BP13" s="37" t="n">
        <f aca="false">BO15</f>
        <v>14283517645.7509</v>
      </c>
      <c r="BQ13" s="37" t="n">
        <f aca="false">BP15</f>
        <v>14572596192.5022</v>
      </c>
      <c r="BR13" s="37" t="n">
        <f aca="false">BQ15</f>
        <v>14572596192.5022</v>
      </c>
      <c r="BS13" s="37" t="n">
        <f aca="false">BR15</f>
        <v>14572596192.5022</v>
      </c>
      <c r="BT13" s="37" t="n">
        <f aca="false">BS15</f>
        <v>14572596192.5022</v>
      </c>
      <c r="BU13" s="37" t="n">
        <f aca="false">BT15</f>
        <v>14616751955.2492</v>
      </c>
      <c r="BV13" s="37" t="n">
        <f aca="false">BU15</f>
        <v>14038594861.7466</v>
      </c>
      <c r="BW13" s="37" t="n">
        <f aca="false">BV15</f>
        <v>11952753000.4698</v>
      </c>
      <c r="BX13" s="37" t="n">
        <f aca="false">BW15</f>
        <v>8973656007.46276</v>
      </c>
      <c r="BY13" s="37" t="n">
        <f aca="false">BX15</f>
        <v>8682574894.37863</v>
      </c>
      <c r="BZ13" s="37" t="n">
        <f aca="false">BY15</f>
        <v>11681810724.9892</v>
      </c>
      <c r="CA13" s="37" t="n">
        <f aca="false">BZ15</f>
        <v>13416282005.497</v>
      </c>
      <c r="CB13" s="37" t="n">
        <f aca="false">CA15</f>
        <v>14283517645.7509</v>
      </c>
      <c r="CC13" s="37" t="n">
        <f aca="false">CB15</f>
        <v>14572596192.5022</v>
      </c>
      <c r="CD13" s="37" t="n">
        <f aca="false">CC15</f>
        <v>14572596192.5022</v>
      </c>
      <c r="CE13" s="37" t="n">
        <f aca="false">CD15</f>
        <v>14572596192.5022</v>
      </c>
      <c r="CF13" s="37" t="n">
        <f aca="false">CE15</f>
        <v>14572596192.5022</v>
      </c>
      <c r="CG13" s="37" t="n">
        <f aca="false">CF15</f>
        <v>14616751955.2492</v>
      </c>
      <c r="CH13" s="37" t="n">
        <f aca="false">CG15</f>
        <v>14038594861.7466</v>
      </c>
      <c r="CI13" s="37" t="n">
        <f aca="false">CH15</f>
        <v>11952753000.4698</v>
      </c>
      <c r="CJ13" s="37" t="n">
        <f aca="false">CI15</f>
        <v>8973656007.46272</v>
      </c>
      <c r="CK13" s="37" t="n">
        <f aca="false">CJ15</f>
        <v>8682574894.37859</v>
      </c>
      <c r="CL13" s="37" t="n">
        <f aca="false">CK15</f>
        <v>11681810724.9891</v>
      </c>
      <c r="CM13" s="37" t="n">
        <f aca="false">CL15</f>
        <v>13416282005.4969</v>
      </c>
      <c r="CN13" s="37" t="n">
        <f aca="false">CM15</f>
        <v>14283517645.7508</v>
      </c>
      <c r="CO13" s="37" t="n">
        <f aca="false">CN15</f>
        <v>14572596192.5021</v>
      </c>
      <c r="CP13" s="37" t="n">
        <f aca="false">CO15</f>
        <v>14572596192.5021</v>
      </c>
      <c r="CQ13" s="37" t="n">
        <f aca="false">CP15</f>
        <v>14572596192.5021</v>
      </c>
      <c r="CR13" s="37" t="n">
        <f aca="false">CQ15</f>
        <v>14572596192.5021</v>
      </c>
      <c r="CS13" s="37" t="n">
        <f aca="false">CR15</f>
        <v>14616751955.2491</v>
      </c>
      <c r="CT13" s="37" t="n">
        <f aca="false">CS15</f>
        <v>14038594861.7465</v>
      </c>
    </row>
    <row r="14" customFormat="false" ht="15" hidden="false" customHeight="true" outlineLevel="0" collapsed="false">
      <c r="B14" s="45" t="s">
        <v>404</v>
      </c>
      <c r="C14" s="46" t="n">
        <f aca="false">'Gastos objeto'!C25</f>
        <v>0</v>
      </c>
      <c r="D14" s="46" t="n">
        <f aca="false">'Gastos objeto'!D25</f>
        <v>0</v>
      </c>
      <c r="E14" s="46" t="n">
        <f aca="false">'Gastos objeto'!E25</f>
        <v>2999235830.61056</v>
      </c>
      <c r="F14" s="46" t="n">
        <f aca="false">'Gastos objeto'!F25</f>
        <v>1734471280.5078</v>
      </c>
      <c r="G14" s="46" t="n">
        <f aca="false">'Gastos objeto'!G25</f>
        <v>867235640.253899</v>
      </c>
      <c r="H14" s="46" t="n">
        <f aca="false">'Gastos objeto'!H25</f>
        <v>289078546.751301</v>
      </c>
      <c r="I14" s="46" t="n">
        <f aca="false">'Gastos objeto'!I25</f>
        <v>0</v>
      </c>
      <c r="J14" s="46" t="n">
        <f aca="false">'Gastos objeto'!J25</f>
        <v>0</v>
      </c>
      <c r="K14" s="46" t="n">
        <f aca="false">'Gastos objeto'!K25</f>
        <v>0</v>
      </c>
      <c r="L14" s="46" t="n">
        <f aca="false">'Gastos objeto'!L25</f>
        <v>44155762.7470169</v>
      </c>
      <c r="M14" s="46" t="n">
        <f aca="false">'Gastos objeto'!M25</f>
        <v>-578157093.502605</v>
      </c>
      <c r="N14" s="46" t="n">
        <f aca="false">'Gastos objeto'!N25</f>
        <v>-2085841861.27681</v>
      </c>
      <c r="O14" s="46" t="n">
        <f aca="false">'Gastos objeto'!O25</f>
        <v>-2828572028.21412</v>
      </c>
      <c r="P14" s="46" t="n">
        <f aca="false">'Gastos objeto'!P25</f>
        <v>-291081113.084129</v>
      </c>
      <c r="Q14" s="46" t="n">
        <f aca="false">'Gastos objeto'!Q25</f>
        <v>2999235830.61056</v>
      </c>
      <c r="R14" s="46" t="n">
        <f aca="false">'Gastos objeto'!R25</f>
        <v>1734471280.5078</v>
      </c>
      <c r="S14" s="46" t="n">
        <f aca="false">'Gastos objeto'!S25</f>
        <v>867235640.253902</v>
      </c>
      <c r="T14" s="46" t="n">
        <f aca="false">'Gastos objeto'!T25</f>
        <v>289078546.751305</v>
      </c>
      <c r="U14" s="46" t="n">
        <f aca="false">'Gastos objeto'!U25</f>
        <v>0</v>
      </c>
      <c r="V14" s="46" t="n">
        <f aca="false">'Gastos objeto'!V25</f>
        <v>0</v>
      </c>
      <c r="W14" s="46" t="n">
        <f aca="false">'Gastos objeto'!W25</f>
        <v>0</v>
      </c>
      <c r="X14" s="46" t="n">
        <f aca="false">'Gastos objeto'!X25</f>
        <v>44155762.7470207</v>
      </c>
      <c r="Y14" s="46" t="n">
        <f aca="false">'Gastos objeto'!Y25</f>
        <v>-578157093.502602</v>
      </c>
      <c r="Z14" s="46" t="n">
        <f aca="false">'Gastos objeto'!Z25</f>
        <v>-2085841861.27681</v>
      </c>
      <c r="AA14" s="46" t="n">
        <f aca="false">'Gastos objeto'!AA25</f>
        <v>-2828572028.21412</v>
      </c>
      <c r="AB14" s="46" t="n">
        <f aca="false">'Gastos objeto'!AB25</f>
        <v>-291081113.084129</v>
      </c>
      <c r="AC14" s="46" t="n">
        <f aca="false">'Gastos objeto'!AC25</f>
        <v>2999235830.61056</v>
      </c>
      <c r="AD14" s="46" t="n">
        <f aca="false">'Gastos objeto'!AD25</f>
        <v>1734471280.5078</v>
      </c>
      <c r="AE14" s="46" t="n">
        <f aca="false">'Gastos objeto'!AE25</f>
        <v>867235640.253895</v>
      </c>
      <c r="AF14" s="46" t="n">
        <f aca="false">'Gastos objeto'!AF25</f>
        <v>289078546.751305</v>
      </c>
      <c r="AG14" s="46" t="n">
        <f aca="false">'Gastos objeto'!AG25</f>
        <v>0</v>
      </c>
      <c r="AH14" s="46" t="n">
        <f aca="false">'Gastos objeto'!AH25</f>
        <v>0</v>
      </c>
      <c r="AI14" s="46" t="n">
        <f aca="false">'Gastos objeto'!AI25</f>
        <v>0</v>
      </c>
      <c r="AJ14" s="46" t="n">
        <f aca="false">'Gastos objeto'!AJ25</f>
        <v>44155762.7470169</v>
      </c>
      <c r="AK14" s="46" t="n">
        <f aca="false">'Gastos objeto'!AK25</f>
        <v>-578157093.502602</v>
      </c>
      <c r="AL14" s="46" t="n">
        <f aca="false">'Gastos objeto'!AL25</f>
        <v>-2085841861.27681</v>
      </c>
      <c r="AM14" s="46" t="n">
        <f aca="false">'Gastos objeto'!AM25</f>
        <v>-2828572028.21413</v>
      </c>
      <c r="AN14" s="46" t="n">
        <f aca="false">'Gastos objeto'!AN25</f>
        <v>-291081113.084133</v>
      </c>
      <c r="AO14" s="46" t="n">
        <f aca="false">'Gastos objeto'!AO25</f>
        <v>2999235830.61055</v>
      </c>
      <c r="AP14" s="46" t="n">
        <f aca="false">'Gastos objeto'!AP25</f>
        <v>1734471280.50779</v>
      </c>
      <c r="AQ14" s="46" t="n">
        <f aca="false">'Gastos objeto'!AQ25</f>
        <v>867235640.253895</v>
      </c>
      <c r="AR14" s="46" t="n">
        <f aca="false">'Gastos objeto'!AR25</f>
        <v>289078546.751301</v>
      </c>
      <c r="AS14" s="46" t="n">
        <f aca="false">'Gastos objeto'!AS25</f>
        <v>0</v>
      </c>
      <c r="AT14" s="46" t="n">
        <f aca="false">'Gastos objeto'!AT25</f>
        <v>0</v>
      </c>
      <c r="AU14" s="46" t="n">
        <f aca="false">'Gastos objeto'!AU25</f>
        <v>0</v>
      </c>
      <c r="AV14" s="46" t="n">
        <f aca="false">'Gastos objeto'!AV25</f>
        <v>44155762.7470131</v>
      </c>
      <c r="AW14" s="46" t="n">
        <f aca="false">'Gastos objeto'!AW25</f>
        <v>-578157093.502602</v>
      </c>
      <c r="AX14" s="46" t="n">
        <f aca="false">'Gastos objeto'!AX25</f>
        <v>-2085841861.27681</v>
      </c>
      <c r="AY14" s="46" t="n">
        <f aca="false">'Gastos objeto'!AY25</f>
        <v>-2979096993.00705</v>
      </c>
      <c r="AZ14" s="46" t="n">
        <f aca="false">'Gastos objeto'!AZ25</f>
        <v>-291081113.084133</v>
      </c>
      <c r="BA14" s="46" t="n">
        <f aca="false">'Gastos objeto'!BA25</f>
        <v>2999235830.61055</v>
      </c>
      <c r="BB14" s="46" t="n">
        <f aca="false">'Gastos objeto'!BB25</f>
        <v>1734471280.50779</v>
      </c>
      <c r="BC14" s="46" t="n">
        <f aca="false">'Gastos objeto'!BC25</f>
        <v>867235640.253895</v>
      </c>
      <c r="BD14" s="46" t="n">
        <f aca="false">'Gastos objeto'!BD25</f>
        <v>289078546.751301</v>
      </c>
      <c r="BE14" s="46" t="n">
        <f aca="false">'Gastos objeto'!BE25</f>
        <v>0</v>
      </c>
      <c r="BF14" s="46" t="n">
        <f aca="false">'Gastos objeto'!BF25</f>
        <v>0</v>
      </c>
      <c r="BG14" s="46" t="n">
        <f aca="false">'Gastos objeto'!BG25</f>
        <v>0</v>
      </c>
      <c r="BH14" s="46" t="n">
        <f aca="false">'Gastos objeto'!BH25</f>
        <v>44155762.7470131</v>
      </c>
      <c r="BI14" s="46" t="n">
        <f aca="false">'Gastos objeto'!BI25</f>
        <v>-578157093.502602</v>
      </c>
      <c r="BJ14" s="46" t="n">
        <f aca="false">'Gastos objeto'!BJ25</f>
        <v>-2085841861.27681</v>
      </c>
      <c r="BK14" s="46" t="n">
        <f aca="false">'Gastos objeto'!BK25</f>
        <v>-2979096993.00705</v>
      </c>
      <c r="BL14" s="46" t="n">
        <f aca="false">'Gastos objeto'!BL25</f>
        <v>-291081113.084133</v>
      </c>
      <c r="BM14" s="46" t="n">
        <f aca="false">'Gastos objeto'!BM25</f>
        <v>2999235830.61055</v>
      </c>
      <c r="BN14" s="46" t="n">
        <f aca="false">'Gastos objeto'!BN25</f>
        <v>1734471280.50779</v>
      </c>
      <c r="BO14" s="46" t="n">
        <f aca="false">'Gastos objeto'!BO25</f>
        <v>867235640.253895</v>
      </c>
      <c r="BP14" s="46" t="n">
        <f aca="false">'Gastos objeto'!BP25</f>
        <v>289078546.751301</v>
      </c>
      <c r="BQ14" s="46" t="n">
        <f aca="false">'Gastos objeto'!BQ25</f>
        <v>0</v>
      </c>
      <c r="BR14" s="46" t="n">
        <f aca="false">'Gastos objeto'!BR25</f>
        <v>0</v>
      </c>
      <c r="BS14" s="46" t="n">
        <f aca="false">'Gastos objeto'!BS25</f>
        <v>0</v>
      </c>
      <c r="BT14" s="46" t="n">
        <f aca="false">'Gastos objeto'!BT25</f>
        <v>44155762.7470131</v>
      </c>
      <c r="BU14" s="46" t="n">
        <f aca="false">'Gastos objeto'!BU25</f>
        <v>-578157093.502602</v>
      </c>
      <c r="BV14" s="46" t="n">
        <f aca="false">'Gastos objeto'!BV25</f>
        <v>-2085841861.27681</v>
      </c>
      <c r="BW14" s="46" t="n">
        <f aca="false">'Gastos objeto'!BW25</f>
        <v>-2979096993.00705</v>
      </c>
      <c r="BX14" s="46" t="n">
        <f aca="false">'Gastos objeto'!BX25</f>
        <v>-291081113.084133</v>
      </c>
      <c r="BY14" s="46" t="n">
        <f aca="false">'Gastos objeto'!BY25</f>
        <v>2999235830.61055</v>
      </c>
      <c r="BZ14" s="46" t="n">
        <f aca="false">'Gastos objeto'!BZ25</f>
        <v>1734471280.50779</v>
      </c>
      <c r="CA14" s="46" t="n">
        <f aca="false">'Gastos objeto'!CA25</f>
        <v>867235640.253895</v>
      </c>
      <c r="CB14" s="46" t="n">
        <f aca="false">'Gastos objeto'!CB25</f>
        <v>289078546.751301</v>
      </c>
      <c r="CC14" s="46" t="n">
        <f aca="false">'Gastos objeto'!CC25</f>
        <v>0</v>
      </c>
      <c r="CD14" s="46" t="n">
        <f aca="false">'Gastos objeto'!CD25</f>
        <v>0</v>
      </c>
      <c r="CE14" s="46" t="n">
        <f aca="false">'Gastos objeto'!CE25</f>
        <v>0</v>
      </c>
      <c r="CF14" s="46" t="n">
        <f aca="false">'Gastos objeto'!CF25</f>
        <v>44155762.7470131</v>
      </c>
      <c r="CG14" s="46" t="n">
        <f aca="false">'Gastos objeto'!CG25</f>
        <v>-578157093.502602</v>
      </c>
      <c r="CH14" s="46" t="n">
        <f aca="false">'Gastos objeto'!CH25</f>
        <v>-2085841861.27681</v>
      </c>
      <c r="CI14" s="46" t="n">
        <f aca="false">'Gastos objeto'!CI25</f>
        <v>-2979096993.00705</v>
      </c>
      <c r="CJ14" s="46" t="n">
        <f aca="false">'Gastos objeto'!CJ25</f>
        <v>-291081113.084133</v>
      </c>
      <c r="CK14" s="46" t="n">
        <f aca="false">'Gastos objeto'!CK25</f>
        <v>2999235830.61055</v>
      </c>
      <c r="CL14" s="46" t="n">
        <f aca="false">'Gastos objeto'!CL25</f>
        <v>1734471280.50779</v>
      </c>
      <c r="CM14" s="46" t="n">
        <f aca="false">'Gastos objeto'!CM25</f>
        <v>867235640.253895</v>
      </c>
      <c r="CN14" s="46" t="n">
        <f aca="false">'Gastos objeto'!CN25</f>
        <v>289078546.751301</v>
      </c>
      <c r="CO14" s="46" t="n">
        <f aca="false">'Gastos objeto'!CO25</f>
        <v>0</v>
      </c>
      <c r="CP14" s="46" t="n">
        <f aca="false">'Gastos objeto'!CP25</f>
        <v>0</v>
      </c>
      <c r="CQ14" s="46" t="n">
        <f aca="false">'Gastos objeto'!CQ25</f>
        <v>0</v>
      </c>
      <c r="CR14" s="46" t="n">
        <f aca="false">'Gastos objeto'!CR25</f>
        <v>44155762.7470131</v>
      </c>
      <c r="CS14" s="46" t="n">
        <f aca="false">'Gastos objeto'!CS25</f>
        <v>-578157093.502602</v>
      </c>
      <c r="CT14" s="46" t="n">
        <f aca="false">'Gastos objeto'!CT25</f>
        <v>-2085841861.27681</v>
      </c>
    </row>
    <row r="15" customFormat="false" ht="15" hidden="false" customHeight="true" outlineLevel="0" collapsed="false">
      <c r="B15" s="38" t="s">
        <v>405</v>
      </c>
      <c r="C15" s="39" t="n">
        <f aca="false">MAX(C13+C14,0)</f>
        <v>8231000000</v>
      </c>
      <c r="D15" s="39" t="n">
        <f aca="false">MAX(D13+D14,0)</f>
        <v>8231000000</v>
      </c>
      <c r="E15" s="39" t="n">
        <f aca="false">MAX(E13+E14,0)</f>
        <v>11230235830.6106</v>
      </c>
      <c r="F15" s="39" t="n">
        <f aca="false">MAX(F13+F14,0)</f>
        <v>12964707111.1184</v>
      </c>
      <c r="G15" s="39" t="n">
        <f aca="false">MAX(G13+G14,0)</f>
        <v>13831942751.3723</v>
      </c>
      <c r="H15" s="39" t="n">
        <f aca="false">MAX(H13+H14,0)</f>
        <v>14121021298.1236</v>
      </c>
      <c r="I15" s="39" t="n">
        <f aca="false">MAX(I13+I14,0)</f>
        <v>14121021298.1236</v>
      </c>
      <c r="J15" s="39" t="n">
        <f aca="false">MAX(J13+J14,0)</f>
        <v>14121021298.1236</v>
      </c>
      <c r="K15" s="39" t="n">
        <f aca="false">MAX(K13+K14,0)</f>
        <v>14121021298.1236</v>
      </c>
      <c r="L15" s="39" t="n">
        <f aca="false">MAX(L13+L14,0)</f>
        <v>14165177060.8706</v>
      </c>
      <c r="M15" s="39" t="n">
        <f aca="false">MAX(M13+M14,0)</f>
        <v>13587019967.368</v>
      </c>
      <c r="N15" s="39" t="n">
        <f aca="false">MAX(N13+N14,0)</f>
        <v>11501178106.0912</v>
      </c>
      <c r="O15" s="39" t="n">
        <f aca="false">MAX(O13+O14,0)</f>
        <v>8672606077.87704</v>
      </c>
      <c r="P15" s="39" t="n">
        <f aca="false">MAX(P13+P14,0)</f>
        <v>8381524964.79291</v>
      </c>
      <c r="Q15" s="39" t="n">
        <f aca="false">MAX(Q13+Q14,0)</f>
        <v>11380760795.4035</v>
      </c>
      <c r="R15" s="39" t="n">
        <f aca="false">MAX(R13+R14,0)</f>
        <v>13115232075.9113</v>
      </c>
      <c r="S15" s="39" t="n">
        <f aca="false">MAX(S13+S14,0)</f>
        <v>13982467716.1652</v>
      </c>
      <c r="T15" s="39" t="n">
        <f aca="false">MAX(T13+T14,0)</f>
        <v>14271546262.9165</v>
      </c>
      <c r="U15" s="39" t="n">
        <f aca="false">MAX(U13+U14,0)</f>
        <v>14271546262.9165</v>
      </c>
      <c r="V15" s="39" t="n">
        <f aca="false">MAX(V13+V14,0)</f>
        <v>14271546262.9165</v>
      </c>
      <c r="W15" s="39" t="n">
        <f aca="false">MAX(W13+W14,0)</f>
        <v>14271546262.9165</v>
      </c>
      <c r="X15" s="39" t="n">
        <f aca="false">MAX(X13+X14,0)</f>
        <v>14315702025.6635</v>
      </c>
      <c r="Y15" s="39" t="n">
        <f aca="false">MAX(Y13+Y14,0)</f>
        <v>13737544932.1609</v>
      </c>
      <c r="Z15" s="39" t="n">
        <f aca="false">MAX(Z13+Z14,0)</f>
        <v>11651703070.8841</v>
      </c>
      <c r="AA15" s="39" t="n">
        <f aca="false">MAX(AA13+AA14,0)</f>
        <v>8823131042.66997</v>
      </c>
      <c r="AB15" s="39" t="n">
        <f aca="false">MAX(AB13+AB14,0)</f>
        <v>8532049929.58584</v>
      </c>
      <c r="AC15" s="39" t="n">
        <f aca="false">MAX(AC13+AC14,0)</f>
        <v>11531285760.1964</v>
      </c>
      <c r="AD15" s="39" t="n">
        <f aca="false">MAX(AD13+AD14,0)</f>
        <v>13265757040.7042</v>
      </c>
      <c r="AE15" s="39" t="n">
        <f aca="false">MAX(AE13+AE14,0)</f>
        <v>14132992680.9581</v>
      </c>
      <c r="AF15" s="39" t="n">
        <f aca="false">MAX(AF13+AF14,0)</f>
        <v>14422071227.7094</v>
      </c>
      <c r="AG15" s="39" t="n">
        <f aca="false">MAX(AG13+AG14,0)</f>
        <v>14422071227.7094</v>
      </c>
      <c r="AH15" s="39" t="n">
        <f aca="false">MAX(AH13+AH14,0)</f>
        <v>14422071227.7094</v>
      </c>
      <c r="AI15" s="39" t="n">
        <f aca="false">MAX(AI13+AI14,0)</f>
        <v>14422071227.7094</v>
      </c>
      <c r="AJ15" s="39" t="n">
        <f aca="false">MAX(AJ13+AJ14,0)</f>
        <v>14466226990.4564</v>
      </c>
      <c r="AK15" s="39" t="n">
        <f aca="false">MAX(AK13+AK14,0)</f>
        <v>13888069896.9538</v>
      </c>
      <c r="AL15" s="39" t="n">
        <f aca="false">MAX(AL13+AL14,0)</f>
        <v>11802228035.677</v>
      </c>
      <c r="AM15" s="39" t="n">
        <f aca="false">MAX(AM13+AM14,0)</f>
        <v>8973656007.46288</v>
      </c>
      <c r="AN15" s="39" t="n">
        <f aca="false">MAX(AN13+AN14,0)</f>
        <v>8682574894.37874</v>
      </c>
      <c r="AO15" s="39" t="n">
        <f aca="false">MAX(AO13+AO14,0)</f>
        <v>11681810724.9893</v>
      </c>
      <c r="AP15" s="39" t="n">
        <f aca="false">MAX(AP13+AP14,0)</f>
        <v>13416282005.4971</v>
      </c>
      <c r="AQ15" s="39" t="n">
        <f aca="false">MAX(AQ13+AQ14,0)</f>
        <v>14283517645.751</v>
      </c>
      <c r="AR15" s="39" t="n">
        <f aca="false">MAX(AR13+AR14,0)</f>
        <v>14572596192.5023</v>
      </c>
      <c r="AS15" s="39" t="n">
        <f aca="false">MAX(AS13+AS14,0)</f>
        <v>14572596192.5023</v>
      </c>
      <c r="AT15" s="39" t="n">
        <f aca="false">MAX(AT13+AT14,0)</f>
        <v>14572596192.5023</v>
      </c>
      <c r="AU15" s="39" t="n">
        <f aca="false">MAX(AU13+AU14,0)</f>
        <v>14572596192.5023</v>
      </c>
      <c r="AV15" s="39" t="n">
        <f aca="false">MAX(AV13+AV14,0)</f>
        <v>14616751955.2493</v>
      </c>
      <c r="AW15" s="39" t="n">
        <f aca="false">MAX(AW13+AW14,0)</f>
        <v>14038594861.7467</v>
      </c>
      <c r="AX15" s="39" t="n">
        <f aca="false">MAX(AX13+AX14,0)</f>
        <v>11952753000.4699</v>
      </c>
      <c r="AY15" s="39" t="n">
        <f aca="false">MAX(AY13+AY14,0)</f>
        <v>8973656007.46284</v>
      </c>
      <c r="AZ15" s="39" t="n">
        <f aca="false">MAX(AZ13+AZ14,0)</f>
        <v>8682574894.3787</v>
      </c>
      <c r="BA15" s="39" t="n">
        <f aca="false">MAX(BA13+BA14,0)</f>
        <v>11681810724.9893</v>
      </c>
      <c r="BB15" s="39" t="n">
        <f aca="false">MAX(BB13+BB14,0)</f>
        <v>13416282005.4971</v>
      </c>
      <c r="BC15" s="39" t="n">
        <f aca="false">MAX(BC13+BC14,0)</f>
        <v>14283517645.7509</v>
      </c>
      <c r="BD15" s="39" t="n">
        <f aca="false">MAX(BD13+BD14,0)</f>
        <v>14572596192.5022</v>
      </c>
      <c r="BE15" s="39" t="n">
        <f aca="false">MAX(BE13+BE14,0)</f>
        <v>14572596192.5022</v>
      </c>
      <c r="BF15" s="39" t="n">
        <f aca="false">MAX(BF13+BF14,0)</f>
        <v>14572596192.5022</v>
      </c>
      <c r="BG15" s="39" t="n">
        <f aca="false">MAX(BG13+BG14,0)</f>
        <v>14572596192.5022</v>
      </c>
      <c r="BH15" s="39" t="n">
        <f aca="false">MAX(BH13+BH14,0)</f>
        <v>14616751955.2493</v>
      </c>
      <c r="BI15" s="39" t="n">
        <f aca="false">MAX(BI13+BI14,0)</f>
        <v>14038594861.7467</v>
      </c>
      <c r="BJ15" s="39" t="n">
        <f aca="false">MAX(BJ13+BJ14,0)</f>
        <v>11952753000.4698</v>
      </c>
      <c r="BK15" s="39" t="n">
        <f aca="false">MAX(BK13+BK14,0)</f>
        <v>8973656007.4628</v>
      </c>
      <c r="BL15" s="39" t="n">
        <f aca="false">MAX(BL13+BL14,0)</f>
        <v>8682574894.37867</v>
      </c>
      <c r="BM15" s="39" t="n">
        <f aca="false">MAX(BM13+BM14,0)</f>
        <v>11681810724.9892</v>
      </c>
      <c r="BN15" s="39" t="n">
        <f aca="false">MAX(BN13+BN14,0)</f>
        <v>13416282005.497</v>
      </c>
      <c r="BO15" s="39" t="n">
        <f aca="false">MAX(BO13+BO14,0)</f>
        <v>14283517645.7509</v>
      </c>
      <c r="BP15" s="39" t="n">
        <f aca="false">MAX(BP13+BP14,0)</f>
        <v>14572596192.5022</v>
      </c>
      <c r="BQ15" s="39" t="n">
        <f aca="false">MAX(BQ13+BQ14,0)</f>
        <v>14572596192.5022</v>
      </c>
      <c r="BR15" s="39" t="n">
        <f aca="false">MAX(BR13+BR14,0)</f>
        <v>14572596192.5022</v>
      </c>
      <c r="BS15" s="39" t="n">
        <f aca="false">MAX(BS13+BS14,0)</f>
        <v>14572596192.5022</v>
      </c>
      <c r="BT15" s="39" t="n">
        <f aca="false">MAX(BT13+BT14,0)</f>
        <v>14616751955.2492</v>
      </c>
      <c r="BU15" s="39" t="n">
        <f aca="false">MAX(BU13+BU14,0)</f>
        <v>14038594861.7466</v>
      </c>
      <c r="BV15" s="39" t="n">
        <f aca="false">MAX(BV13+BV14,0)</f>
        <v>11952753000.4698</v>
      </c>
      <c r="BW15" s="39" t="n">
        <f aca="false">MAX(BW13+BW14,0)</f>
        <v>8973656007.46276</v>
      </c>
      <c r="BX15" s="39" t="n">
        <f aca="false">MAX(BX13+BX14,0)</f>
        <v>8682574894.37863</v>
      </c>
      <c r="BY15" s="39" t="n">
        <f aca="false">MAX(BY13+BY14,0)</f>
        <v>11681810724.9892</v>
      </c>
      <c r="BZ15" s="39" t="n">
        <f aca="false">MAX(BZ13+BZ14,0)</f>
        <v>13416282005.497</v>
      </c>
      <c r="CA15" s="39" t="n">
        <f aca="false">MAX(CA13+CA14,0)</f>
        <v>14283517645.7509</v>
      </c>
      <c r="CB15" s="39" t="n">
        <f aca="false">MAX(CB13+CB14,0)</f>
        <v>14572596192.5022</v>
      </c>
      <c r="CC15" s="39" t="n">
        <f aca="false">MAX(CC13+CC14,0)</f>
        <v>14572596192.5022</v>
      </c>
      <c r="CD15" s="39" t="n">
        <f aca="false">MAX(CD13+CD14,0)</f>
        <v>14572596192.5022</v>
      </c>
      <c r="CE15" s="39" t="n">
        <f aca="false">MAX(CE13+CE14,0)</f>
        <v>14572596192.5022</v>
      </c>
      <c r="CF15" s="39" t="n">
        <f aca="false">MAX(CF13+CF14,0)</f>
        <v>14616751955.2492</v>
      </c>
      <c r="CG15" s="39" t="n">
        <f aca="false">MAX(CG13+CG14,0)</f>
        <v>14038594861.7466</v>
      </c>
      <c r="CH15" s="39" t="n">
        <f aca="false">MAX(CH13+CH14,0)</f>
        <v>11952753000.4698</v>
      </c>
      <c r="CI15" s="39" t="n">
        <f aca="false">MAX(CI13+CI14,0)</f>
        <v>8973656007.46272</v>
      </c>
      <c r="CJ15" s="39" t="n">
        <f aca="false">MAX(CJ13+CJ14,0)</f>
        <v>8682574894.37859</v>
      </c>
      <c r="CK15" s="39" t="n">
        <f aca="false">MAX(CK13+CK14,0)</f>
        <v>11681810724.9891</v>
      </c>
      <c r="CL15" s="39" t="n">
        <f aca="false">MAX(CL13+CL14,0)</f>
        <v>13416282005.4969</v>
      </c>
      <c r="CM15" s="39" t="n">
        <f aca="false">MAX(CM13+CM14,0)</f>
        <v>14283517645.7508</v>
      </c>
      <c r="CN15" s="39" t="n">
        <f aca="false">MAX(CN13+CN14,0)</f>
        <v>14572596192.5021</v>
      </c>
      <c r="CO15" s="39" t="n">
        <f aca="false">MAX(CO13+CO14,0)</f>
        <v>14572596192.5021</v>
      </c>
      <c r="CP15" s="39" t="n">
        <f aca="false">MAX(CP13+CP14,0)</f>
        <v>14572596192.5021</v>
      </c>
      <c r="CQ15" s="39" t="n">
        <f aca="false">MAX(CQ13+CQ14,0)</f>
        <v>14572596192.5021</v>
      </c>
      <c r="CR15" s="39" t="n">
        <f aca="false">MAX(CR13+CR14,0)</f>
        <v>14616751955.2491</v>
      </c>
      <c r="CS15" s="39" t="n">
        <f aca="false">MAX(CS13+CS14,0)</f>
        <v>14038594861.7465</v>
      </c>
      <c r="CT15" s="39" t="n">
        <f aca="false">MAX(CT13+CT14,0)</f>
        <v>11952753000.4697</v>
      </c>
    </row>
    <row r="17" customFormat="false" ht="15" hidden="false" customHeight="true" outlineLevel="0" collapsed="false">
      <c r="B17" s="15" t="s">
        <v>406</v>
      </c>
      <c r="C17" s="40" t="n">
        <f aca="false">IFERROR((C9+D9+E9+F9+G9+H9+I9+J9+K9+L9+M9+N9)/(Recursos!C20+Recursos!D20+Recursos!E20+Recursos!F20+Recursos!G20+Recursos!H20+Recursos!I20+Recursos!J20+Recursos!K20+Recursos!L20+Recursos!M20+Recursos!N20),0)</f>
        <v>0.0574460173826043</v>
      </c>
      <c r="O17" s="40" t="n">
        <f aca="false">IFERROR((O9+P9+Q9+R9+S9+T9+U9+V9+W9+X9+Y9+Z9)/(Recursos!O20+Recursos!P20+Recursos!Q20+Recursos!R20+Recursos!S20+Recursos!T20+Recursos!U20+Recursos!V20+Recursos!W20+Recursos!X20+Recursos!Y20+Recursos!Z20),0)</f>
        <v>0.0443906474017108</v>
      </c>
      <c r="AA17" s="40" t="n">
        <f aca="false">IFERROR((AA9+AB9+AC9+AD9+AE9+AF9+AG9+AH9+AI9+AJ9+AK9+AL9)/(Recursos!AA20+Recursos!AB20+Recursos!AC20+Recursos!AD20+Recursos!AE20+Recursos!AF20+Recursos!AG20+Recursos!AH20+Recursos!AI20+Recursos!AJ20+Recursos!AK20+Recursos!AL20),0)</f>
        <v>0.00642948351654222</v>
      </c>
      <c r="AM17" s="40" t="n">
        <f aca="false">IFERROR((AM9+AN9+AO9+AP9+AQ9+AR9+AS9+AT9+AU9+AV9+AW9+AX9)/(Recursos!AM20+Recursos!AN20+Recursos!AO20+Recursos!AP20+Recursos!AQ20+Recursos!AR20+Recursos!AS20+Recursos!AT20+Recursos!AU20+Recursos!AV20+Recursos!AW20+Recursos!AX20),0)</f>
        <v>0</v>
      </c>
      <c r="AY17" s="40" t="n">
        <f aca="false">IFERROR((AY9+AZ9+BA9+BB9+BC9+BD9+BE9+BF9+BG9+BH9+BI9+BJ9)/(Recursos!AY20+Recursos!AZ20+Recursos!BA20+Recursos!BB20+Recursos!BC20+Recursos!BD20+Recursos!BE20+Recursos!BF20+Recursos!BG20+Recursos!BH20+Recursos!BI20+Recursos!BJ20),0)</f>
        <v>0</v>
      </c>
      <c r="BK17" s="40" t="n">
        <f aca="false">IFERROR((BK9+BL9+BM9+BN9+BO9+BP9+BQ9+BR9+BS9+BT9+BU9+BV9)/(Recursos!BK20+Recursos!BL20+Recursos!BM20+Recursos!BN20+Recursos!BO20+Recursos!BP20+Recursos!BQ20+Recursos!BR20+Recursos!BS20+Recursos!BT20+Recursos!BU20+Recursos!BV20),0)</f>
        <v>0</v>
      </c>
      <c r="BW17" s="40" t="n">
        <f aca="false">IFERROR((BW9+BX9+BY9+BZ9+CA9+CB9+CC9+CD9+CE9+CF9+CG9+CH9)/(Recursos!BW20+Recursos!BX20+Recursos!BY20+Recursos!BZ20+Recursos!CA20+Recursos!CB20+Recursos!CC20+Recursos!CD20+Recursos!CE20+Recursos!CF20+Recursos!CG20+Recursos!CH20),0)</f>
        <v>0</v>
      </c>
      <c r="CI17" s="40" t="n">
        <f aca="false">IFERROR((CI9+CJ9+CK9+CL9+CM9+CN9+CO9+CP9+CQ9+CR9+CS9+CT9)/(Recursos!CI20+Recursos!CJ20+Recursos!CK20+Recursos!CL20+Recursos!CM20+Recursos!CN20+Recursos!CO20+Recursos!CP20+Recursos!CQ20+Recursos!CR20+Recursos!CS20+Recursos!CT20),0)</f>
        <v>0</v>
      </c>
    </row>
    <row r="18" customFormat="false" ht="15" hidden="false" customHeight="true" outlineLevel="0" collapsed="false">
      <c r="B18" s="38" t="s">
        <v>407</v>
      </c>
      <c r="C18" s="56" t="n">
        <f aca="false">Supuestos!$C$62-C17</f>
        <v>0.192553982617396</v>
      </c>
      <c r="O18" s="56" t="n">
        <f aca="false">Supuestos!$C$62-O17</f>
        <v>0.205609352598289</v>
      </c>
      <c r="AA18" s="56" t="n">
        <f aca="false">Supuestos!$C$62-AA17</f>
        <v>0.243570516483458</v>
      </c>
      <c r="AM18" s="56" t="n">
        <f aca="false">Supuestos!$C$62-AM17</f>
        <v>0.25</v>
      </c>
      <c r="AY18" s="56" t="n">
        <f aca="false">Supuestos!$C$62-AY17</f>
        <v>0.25</v>
      </c>
      <c r="BK18" s="56" t="n">
        <f aca="false">Supuestos!$C$62-BK17</f>
        <v>0.25</v>
      </c>
      <c r="BW18" s="56" t="n">
        <f aca="false">Supuestos!$C$62-BW17</f>
        <v>0.25</v>
      </c>
      <c r="CI18" s="56" t="n">
        <f aca="false">Supuestos!$C$62-CI17</f>
        <v>0.25</v>
      </c>
    </row>
    <row r="20" customFormat="false" ht="15" hidden="false" customHeight="true" outlineLevel="0" collapsed="false">
      <c r="B20" s="42" t="s">
        <v>408</v>
      </c>
    </row>
    <row r="22" customFormat="false" ht="39.75" hidden="false" customHeight="true" outlineLevel="0" collapsed="false">
      <c r="B22" s="17" t="s">
        <v>409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F7057"/>
    <pageSetUpPr fitToPage="false"/>
  </sheetPr>
  <dimension ref="B2:J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50"/>
    <col collapsed="false" customWidth="true" hidden="false" outlineLevel="0" max="10" min="3" style="1" width="15"/>
  </cols>
  <sheetData>
    <row r="2" customFormat="false" ht="15.75" hidden="false" customHeight="true" outlineLevel="0" collapsed="false">
      <c r="B2" s="13" t="s">
        <v>410</v>
      </c>
    </row>
    <row r="3" customFormat="false" ht="15" hidden="false" customHeight="true" outlineLevel="0" collapsed="false">
      <c r="B3" s="3" t="s">
        <v>411</v>
      </c>
    </row>
    <row r="5" customFormat="false" ht="15" hidden="false" customHeight="true" outlineLevel="0" collapsed="false">
      <c r="B5" s="59"/>
      <c r="C5" s="30" t="s">
        <v>237</v>
      </c>
      <c r="D5" s="30" t="s">
        <v>238</v>
      </c>
      <c r="E5" s="30" t="s">
        <v>239</v>
      </c>
      <c r="F5" s="30" t="s">
        <v>240</v>
      </c>
      <c r="G5" s="30" t="s">
        <v>241</v>
      </c>
      <c r="H5" s="30" t="s">
        <v>242</v>
      </c>
      <c r="I5" s="30" t="s">
        <v>243</v>
      </c>
      <c r="J5" s="30" t="s">
        <v>244</v>
      </c>
    </row>
    <row r="6" customFormat="false" ht="15" hidden="false" customHeight="true" outlineLevel="0" collapsed="false">
      <c r="B6" s="60"/>
      <c r="C6" s="61" t="s">
        <v>412</v>
      </c>
      <c r="D6" s="61" t="s">
        <v>413</v>
      </c>
      <c r="E6" s="61" t="s">
        <v>414</v>
      </c>
      <c r="F6" s="61" t="s">
        <v>415</v>
      </c>
      <c r="G6" s="61" t="s">
        <v>416</v>
      </c>
      <c r="H6" s="61" t="s">
        <v>416</v>
      </c>
      <c r="I6" s="61" t="s">
        <v>416</v>
      </c>
      <c r="J6" s="61" t="s">
        <v>416</v>
      </c>
    </row>
    <row r="7" customFormat="false" ht="15" hidden="false" customHeight="true" outlineLevel="0" collapsed="false">
      <c r="B7" s="35" t="s">
        <v>417</v>
      </c>
      <c r="C7" s="36"/>
      <c r="D7" s="36"/>
      <c r="E7" s="36"/>
      <c r="F7" s="36"/>
      <c r="G7" s="36"/>
      <c r="H7" s="36"/>
      <c r="I7" s="36"/>
      <c r="J7" s="36"/>
    </row>
    <row r="8" customFormat="false" ht="15" hidden="false" customHeight="true" outlineLevel="0" collapsed="false">
      <c r="B8" s="15" t="s">
        <v>214</v>
      </c>
      <c r="C8" s="46" t="n">
        <f aca="false">Recursos!C8+Recursos!D8+Recursos!E8+Recursos!F8+Recursos!G8+Recursos!H8+Recursos!I8+Recursos!J8+Recursos!K8+Recursos!L8+Recursos!M8+Recursos!N8</f>
        <v>90545045262.0434</v>
      </c>
      <c r="D8" s="46" t="n">
        <f aca="false">Recursos!O8+Recursos!P8+Recursos!Q8+Recursos!R8+Recursos!S8+Recursos!T8+Recursos!U8+Recursos!V8+Recursos!W8+Recursos!X8+Recursos!Y8+Recursos!Z8</f>
        <v>92310673644.6532</v>
      </c>
      <c r="E8" s="46" t="n">
        <f aca="false">Recursos!AA8+Recursos!AB8+Recursos!AC8+Recursos!AD8+Recursos!AE8+Recursos!AF8+Recursos!AG8+Recursos!AH8+Recursos!AI8+Recursos!AJ8+Recursos!AK8+Recursos!AL8</f>
        <v>94110731780.7239</v>
      </c>
      <c r="F8" s="46" t="n">
        <f aca="false">Recursos!AM8+Recursos!AN8+Recursos!AO8+Recursos!AP8+Recursos!AQ8+Recursos!AR8+Recursos!AS8+Recursos!AT8+Recursos!AU8+Recursos!AV8+Recursos!AW8+Recursos!AX8</f>
        <v>95945891050.4481</v>
      </c>
      <c r="G8" s="46" t="n">
        <f aca="false">Recursos!AY8+Recursos!AZ8+Recursos!BA8+Recursos!BB8+Recursos!BC8+Recursos!BD8+Recursos!BE8+Recursos!BF8+Recursos!BG8+Recursos!BH8+Recursos!BI8+Recursos!BJ8</f>
        <v>97816835925.9318</v>
      </c>
      <c r="H8" s="46" t="n">
        <f aca="false">Recursos!BK8+Recursos!BL8+Recursos!BM8+Recursos!BN8+Recursos!BO8+Recursos!BP8+Recursos!BQ8+Recursos!BR8+Recursos!BS8+Recursos!BT8+Recursos!BU8+Recursos!BV8</f>
        <v>99724264226.4875</v>
      </c>
      <c r="I8" s="46" t="n">
        <f aca="false">Recursos!BW8+Recursos!BX8+Recursos!BY8+Recursos!BZ8+Recursos!CA8+Recursos!CB8+Recursos!CC8+Recursos!CD8+Recursos!CE8+Recursos!CF8+Recursos!CG8+Recursos!CH8</f>
        <v>101668887378.904</v>
      </c>
      <c r="J8" s="46" t="n">
        <f aca="false">Recursos!CI8+Recursos!CJ8+Recursos!CK8+Recursos!CL8+Recursos!CM8+Recursos!CN8+Recursos!CO8+Recursos!CP8+Recursos!CQ8+Recursos!CR8+Recursos!CS8+Recursos!CT8</f>
        <v>103651430682.793</v>
      </c>
    </row>
    <row r="9" customFormat="false" ht="15" hidden="false" customHeight="true" outlineLevel="0" collapsed="false">
      <c r="B9" s="15" t="s">
        <v>418</v>
      </c>
      <c r="C9" s="46" t="n">
        <f aca="false">Recursos!C18+Recursos!D18+Recursos!E18+Recursos!F18+Recursos!G18+Recursos!H18+Recursos!I18+Recursos!J18+Recursos!K18+Recursos!L18+Recursos!M18+Recursos!N18</f>
        <v>207052980770.656</v>
      </c>
      <c r="D9" s="46" t="n">
        <f aca="false">Recursos!O18+Recursos!P18+Recursos!Q18+Recursos!R18+Recursos!S18+Recursos!T18+Recursos!U18+Recursos!V18+Recursos!W18+Recursos!X18+Recursos!Y18+Recursos!Z18</f>
        <v>214890343136.819</v>
      </c>
      <c r="E9" s="46" t="n">
        <f aca="false">Recursos!AA18+Recursos!AB18+Recursos!AC18+Recursos!AD18+Recursos!AE18+Recursos!AF18+Recursos!AG18+Recursos!AH18+Recursos!AI18+Recursos!AJ18+Recursos!AK18+Recursos!AL18</f>
        <v>222954630739.324</v>
      </c>
      <c r="F9" s="46" t="n">
        <f aca="false">Recursos!AM18+Recursos!AN18+Recursos!AO18+Recursos!AP18+Recursos!AQ18+Recursos!AR18+Recursos!AS18+Recursos!AT18+Recursos!AU18+Recursos!AV18+Recursos!AW18+Recursos!AX18</f>
        <v>231251713505.349</v>
      </c>
      <c r="G9" s="46" t="n">
        <f aca="false">Recursos!AY18+Recursos!AZ18+Recursos!BA18+Recursos!BB18+Recursos!BC18+Recursos!BD18+Recursos!BE18+Recursos!BF18+Recursos!BG18+Recursos!BH18+Recursos!BI18+Recursos!BJ18</f>
        <v>235761121918.703</v>
      </c>
      <c r="H9" s="46" t="n">
        <f aca="false">Recursos!BK18+Recursos!BL18+Recursos!BM18+Recursos!BN18+Recursos!BO18+Recursos!BP18+Recursos!BQ18+Recursos!BR18+Recursos!BS18+Recursos!BT18+Recursos!BU18+Recursos!BV18</f>
        <v>240358463796.118</v>
      </c>
      <c r="I9" s="46" t="n">
        <f aca="false">Recursos!BW18+Recursos!BX18+Recursos!BY18+Recursos!BZ18+Recursos!CA18+Recursos!CB18+Recursos!CC18+Recursos!CD18+Recursos!CE18+Recursos!CF18+Recursos!CG18+Recursos!CH18</f>
        <v>245045453840.142</v>
      </c>
      <c r="J9" s="46" t="n">
        <f aca="false">Recursos!CI18+Recursos!CJ18+Recursos!CK18+Recursos!CL18+Recursos!CM18+Recursos!CN18+Recursos!CO18+Recursos!CP18+Recursos!CQ18+Recursos!CR18+Recursos!CS18+Recursos!CT18</f>
        <v>249823840190.025</v>
      </c>
    </row>
    <row r="10" customFormat="false" ht="15" hidden="false" customHeight="true" outlineLevel="0" collapsed="false">
      <c r="B10" s="15" t="s">
        <v>59</v>
      </c>
      <c r="C10" s="46" t="n">
        <f aca="false">Recursos!C10+Recursos!D10+Recursos!E10+Recursos!F10+Recursos!G10+Recursos!H10+Recursos!I10+Recursos!J10+Recursos!K10+Recursos!L10+Recursos!M10+Recursos!N10</f>
        <v>11213431837.284</v>
      </c>
      <c r="D10" s="46" t="n">
        <f aca="false">Recursos!O10+Recursos!P10+Recursos!Q10+Recursos!R10+Recursos!S10+Recursos!T10+Recursos!U10+Recursos!V10+Recursos!W10+Recursos!X10+Recursos!Y10+Recursos!Z10</f>
        <v>11432093758.111</v>
      </c>
      <c r="E10" s="46" t="n">
        <f aca="false">Recursos!AA10+Recursos!AB10+Recursos!AC10+Recursos!AD10+Recursos!AE10+Recursos!AF10+Recursos!AG10+Recursos!AH10+Recursos!AI10+Recursos!AJ10+Recursos!AK10+Recursos!AL10</f>
        <v>11655019586.3942</v>
      </c>
      <c r="F10" s="46" t="n">
        <f aca="false">Recursos!AM10+Recursos!AN10+Recursos!AO10+Recursos!AP10+Recursos!AQ10+Recursos!AR10+Recursos!AS10+Recursos!AT10+Recursos!AU10+Recursos!AV10+Recursos!AW10+Recursos!AX10</f>
        <v>11882292468.3289</v>
      </c>
      <c r="G10" s="46" t="n">
        <f aca="false">Recursos!AY10+Recursos!AZ10+Recursos!BA10+Recursos!BB10+Recursos!BC10+Recursos!BD10+Recursos!BE10+Recursos!BF10+Recursos!BG10+Recursos!BH10+Recursos!BI10+Recursos!BJ10</f>
        <v>12113997171.4613</v>
      </c>
      <c r="H10" s="46" t="n">
        <f aca="false">Recursos!BK10+Recursos!BL10+Recursos!BM10+Recursos!BN10+Recursos!BO10+Recursos!BP10+Recursos!BQ10+Recursos!BR10+Recursos!BS10+Recursos!BT10+Recursos!BU10+Recursos!BV10</f>
        <v>12350220116.3048</v>
      </c>
      <c r="I10" s="46" t="n">
        <f aca="false">Recursos!BW10+Recursos!BX10+Recursos!BY10+Recursos!BZ10+Recursos!CA10+Recursos!CB10+Recursos!CC10+Recursos!CD10+Recursos!CE10+Recursos!CF10+Recursos!CG10+Recursos!CH10</f>
        <v>12591049408.5727</v>
      </c>
      <c r="J10" s="46" t="n">
        <f aca="false">Recursos!CI10+Recursos!CJ10+Recursos!CK10+Recursos!CL10+Recursos!CM10+Recursos!CN10+Recursos!CO10+Recursos!CP10+Recursos!CQ10+Recursos!CR10+Recursos!CS10+Recursos!CT10</f>
        <v>12836574872.0399</v>
      </c>
    </row>
    <row r="11" customFormat="false" ht="15" hidden="false" customHeight="true" outlineLevel="0" collapsed="false">
      <c r="B11" s="15" t="s">
        <v>61</v>
      </c>
      <c r="C11" s="46" t="n">
        <f aca="false">Recursos!C11+Recursos!D11+Recursos!E11+Recursos!F11+Recursos!G11+Recursos!H11+Recursos!I11+Recursos!J11+Recursos!K11+Recursos!L11+Recursos!M11+Recursos!N11</f>
        <v>9131679019.09603</v>
      </c>
      <c r="D11" s="46" t="n">
        <f aca="false">Recursos!O11+Recursos!P11+Recursos!Q11+Recursos!R11+Recursos!S11+Recursos!T11+Recursos!U11+Recursos!V11+Recursos!W11+Recursos!X11+Recursos!Y11+Recursos!Z11</f>
        <v>8931147347.83668</v>
      </c>
      <c r="E11" s="46" t="n">
        <f aca="false">Recursos!AA11+Recursos!AB11+Recursos!AC11+Recursos!AD11+Recursos!AE11+Recursos!AF11+Recursos!AG11+Recursos!AH11+Recursos!AI11+Recursos!AJ11+Recursos!AK11+Recursos!AL11</f>
        <v>8735019352.07819</v>
      </c>
      <c r="F11" s="46" t="n">
        <f aca="false">Recursos!AM11+Recursos!AN11+Recursos!AO11+Recursos!AP11+Recursos!AQ11+Recursos!AR11+Recursos!AS11+Recursos!AT11+Recursos!AU11+Recursos!AV11+Recursos!AW11+Recursos!AX11</f>
        <v>8543198327.10655</v>
      </c>
      <c r="G11" s="46" t="n">
        <f aca="false">Recursos!AY11+Recursos!AZ11+Recursos!BA11+Recursos!BB11+Recursos!BC11+Recursos!BD11+Recursos!BE11+Recursos!BF11+Recursos!BG11+Recursos!BH11+Recursos!BI11+Recursos!BJ11</f>
        <v>8355589691.84329</v>
      </c>
      <c r="H11" s="46" t="n">
        <f aca="false">Recursos!BK11+Recursos!BL11+Recursos!BM11+Recursos!BN11+Recursos!BO11+Recursos!BP11+Recursos!BQ11+Recursos!BR11+Recursos!BS11+Recursos!BT11+Recursos!BU11+Recursos!BV11</f>
        <v>8172100942.21042</v>
      </c>
      <c r="I11" s="46" t="n">
        <f aca="false">Recursos!BW11+Recursos!BX11+Recursos!BY11+Recursos!BZ11+Recursos!CA11+Recursos!CB11+Recursos!CC11+Recursos!CD11+Recursos!CE11+Recursos!CF11+Recursos!CG11+Recursos!CH11</f>
        <v>7992641605.51947</v>
      </c>
      <c r="J11" s="46" t="n">
        <f aca="false">Recursos!CI11+Recursos!CJ11+Recursos!CK11+Recursos!CL11+Recursos!CM11+Recursos!CN11+Recursos!CO11+Recursos!CP11+Recursos!CQ11+Recursos!CR11+Recursos!CS11+Recursos!CT11</f>
        <v>7817123195.86226</v>
      </c>
    </row>
    <row r="12" customFormat="false" ht="15" hidden="false" customHeight="true" outlineLevel="0" collapsed="false">
      <c r="B12" s="38" t="s">
        <v>419</v>
      </c>
      <c r="C12" s="39" t="n">
        <f aca="false">'Flujo mensual'!C60+'Flujo mensual'!D60+'Flujo mensual'!E60+'Flujo mensual'!F60+'Flujo mensual'!G60+'Flujo mensual'!H60+'Flujo mensual'!I60+'Flujo mensual'!J60+'Flujo mensual'!K60+'Flujo mensual'!L60+'Flujo mensual'!M60+'Flujo mensual'!N60</f>
        <v>317943136889.079</v>
      </c>
      <c r="D12" s="39" t="n">
        <f aca="false">'Flujo mensual'!O60+'Flujo mensual'!P60+'Flujo mensual'!Q60+'Flujo mensual'!R60+'Flujo mensual'!S60+'Flujo mensual'!T60+'Flujo mensual'!U60+'Flujo mensual'!V60+'Flujo mensual'!W60+'Flujo mensual'!X60+'Flujo mensual'!Y60+'Flujo mensual'!Z60</f>
        <v>327564257887.42</v>
      </c>
      <c r="E12" s="39" t="n">
        <f aca="false">'Flujo mensual'!AA60+'Flujo mensual'!AB60+'Flujo mensual'!AC60+'Flujo mensual'!AD60+'Flujo mensual'!AE60+'Flujo mensual'!AF60+'Flujo mensual'!AG60+'Flujo mensual'!AH60+'Flujo mensual'!AI60+'Flujo mensual'!AJ60+'Flujo mensual'!AK60+'Flujo mensual'!AL60</f>
        <v>337455401458.52</v>
      </c>
      <c r="F12" s="39" t="n">
        <f aca="false">'Flujo mensual'!AM60+'Flujo mensual'!AN60+'Flujo mensual'!AO60+'Flujo mensual'!AP60+'Flujo mensual'!AQ60+'Flujo mensual'!AR60+'Flujo mensual'!AS60+'Flujo mensual'!AT60+'Flujo mensual'!AU60+'Flujo mensual'!AV60+'Flujo mensual'!AW60+'Flujo mensual'!AX60</f>
        <v>347623095351.233</v>
      </c>
      <c r="G12" s="39" t="n">
        <f aca="false">'Flujo mensual'!AY60+'Flujo mensual'!AZ60+'Flujo mensual'!BA60+'Flujo mensual'!BB60+'Flujo mensual'!BC60+'Flujo mensual'!BD60+'Flujo mensual'!BE60+'Flujo mensual'!BF60+'Flujo mensual'!BG60+'Flujo mensual'!BH60+'Flujo mensual'!BI60+'Flujo mensual'!BJ60</f>
        <v>354047544707.94</v>
      </c>
      <c r="H12" s="39" t="n">
        <f aca="false">'Flujo mensual'!BK60+'Flujo mensual'!BL60+'Flujo mensual'!BM60+'Flujo mensual'!BN60+'Flujo mensual'!BO60+'Flujo mensual'!BP60+'Flujo mensual'!BQ60+'Flujo mensual'!BR60+'Flujo mensual'!BS60+'Flujo mensual'!BT60+'Flujo mensual'!BU60+'Flujo mensual'!BV60</f>
        <v>360605049081.121</v>
      </c>
      <c r="I12" s="39" t="n">
        <f aca="false">'Flujo mensual'!BW60+'Flujo mensual'!BX60+'Flujo mensual'!BY60+'Flujo mensual'!BZ60+'Flujo mensual'!CA60+'Flujo mensual'!CB60+'Flujo mensual'!CC60+'Flujo mensual'!CD60+'Flujo mensual'!CE60+'Flujo mensual'!CF60+'Flujo mensual'!CG60+'Flujo mensual'!CH60</f>
        <v>367298032233.139</v>
      </c>
      <c r="J12" s="39" t="n">
        <f aca="false">'Flujo mensual'!CI60+'Flujo mensual'!CJ60+'Flujo mensual'!CK60+'Flujo mensual'!CL60+'Flujo mensual'!CM60+'Flujo mensual'!CN60+'Flujo mensual'!CO60+'Flujo mensual'!CP60+'Flujo mensual'!CQ60+'Flujo mensual'!CR60+'Flujo mensual'!CS60+'Flujo mensual'!CT60</f>
        <v>374128968940.72</v>
      </c>
    </row>
    <row r="13" customFormat="false" ht="15" hidden="false" customHeight="true" outlineLevel="0" collapsed="false">
      <c r="B13" s="15" t="s">
        <v>420</v>
      </c>
      <c r="C13" s="46" t="n">
        <f aca="false">Recursos!C12+Recursos!D12+Recursos!E12+Recursos!F12+Recursos!G12+Recursos!H12+Recursos!I12+Recursos!J12+Recursos!K12+Recursos!L12+Recursos!M12+Recursos!N12</f>
        <v>2151192584.28545</v>
      </c>
      <c r="D13" s="46" t="n">
        <f aca="false">Recursos!O12+Recursos!P12+Recursos!Q12+Recursos!R12+Recursos!S12+Recursos!T12+Recursos!U12+Recursos!V12+Recursos!W12+Recursos!X12+Recursos!Y12+Recursos!Z12</f>
        <v>2193140839.67901</v>
      </c>
      <c r="E13" s="46" t="n">
        <f aca="false">Recursos!AA12+Recursos!AB12+Recursos!AC12+Recursos!AD12+Recursos!AE12+Recursos!AF12+Recursos!AG12+Recursos!AH12+Recursos!AI12+Recursos!AJ12+Recursos!AK12+Recursos!AL12</f>
        <v>2235907086.05276</v>
      </c>
      <c r="F13" s="46" t="n">
        <f aca="false">Recursos!AM12+Recursos!AN12+Recursos!AO12+Recursos!AP12+Recursos!AQ12+Recursos!AR12+Recursos!AS12+Recursos!AT12+Recursos!AU12+Recursos!AV12+Recursos!AW12+Recursos!AX12</f>
        <v>2279507274.23078</v>
      </c>
      <c r="G13" s="46" t="n">
        <f aca="false">Recursos!AY12+Recursos!AZ12+Recursos!BA12+Recursos!BB12+Recursos!BC12+Recursos!BD12+Recursos!BE12+Recursos!BF12+Recursos!BG12+Recursos!BH12+Recursos!BI12+Recursos!BJ12</f>
        <v>2323957666.07829</v>
      </c>
      <c r="H13" s="46" t="n">
        <f aca="false">Recursos!BK12+Recursos!BL12+Recursos!BM12+Recursos!BN12+Recursos!BO12+Recursos!BP12+Recursos!BQ12+Recursos!BR12+Recursos!BS12+Recursos!BT12+Recursos!BU12+Recursos!BV12</f>
        <v>2369274840.56681</v>
      </c>
      <c r="I13" s="46" t="n">
        <f aca="false">Recursos!BW12+Recursos!BX12+Recursos!BY12+Recursos!BZ12+Recursos!CA12+Recursos!CB12+Recursos!CC12+Recursos!CD12+Recursos!CE12+Recursos!CF12+Recursos!CG12+Recursos!CH12</f>
        <v>2415475699.95786</v>
      </c>
      <c r="J13" s="46" t="n">
        <f aca="false">Recursos!CI12+Recursos!CJ12+Recursos!CK12+Recursos!CL12+Recursos!CM12+Recursos!CN12+Recursos!CO12+Recursos!CP12+Recursos!CQ12+Recursos!CR12+Recursos!CS12+Recursos!CT12</f>
        <v>2462577476.10704</v>
      </c>
    </row>
    <row r="14" customFormat="false" ht="15" hidden="false" customHeight="true" outlineLevel="0" collapsed="false">
      <c r="B14" s="33" t="s">
        <v>421</v>
      </c>
      <c r="C14" s="41" t="n">
        <f aca="false">Recursos!C20+Recursos!D20+Recursos!E20+Recursos!F20+Recursos!G20+Recursos!H20+Recursos!I20+Recursos!J20+Recursos!K20+Recursos!L20+Recursos!M20+Recursos!N20</f>
        <v>320094329473.365</v>
      </c>
      <c r="D14" s="41" t="n">
        <f aca="false">Recursos!O20+Recursos!P20+Recursos!Q20+Recursos!R20+Recursos!S20+Recursos!T20+Recursos!U20+Recursos!V20+Recursos!W20+Recursos!X20+Recursos!Y20+Recursos!Z20</f>
        <v>329757398727.099</v>
      </c>
      <c r="E14" s="41" t="n">
        <f aca="false">Recursos!AA20+Recursos!AB20+Recursos!AC20+Recursos!AD20+Recursos!AE20+Recursos!AF20+Recursos!AG20+Recursos!AH20+Recursos!AI20+Recursos!AJ20+Recursos!AK20+Recursos!AL20</f>
        <v>339691308544.573</v>
      </c>
      <c r="F14" s="41" t="n">
        <f aca="false">Recursos!AM20+Recursos!AN20+Recursos!AO20+Recursos!AP20+Recursos!AQ20+Recursos!AR20+Recursos!AS20+Recursos!AT20+Recursos!AU20+Recursos!AV20+Recursos!AW20+Recursos!AX20</f>
        <v>349902602625.463</v>
      </c>
      <c r="G14" s="41" t="n">
        <f aca="false">Recursos!AY20+Recursos!AZ20+Recursos!BA20+Recursos!BB20+Recursos!BC20+Recursos!BD20+Recursos!BE20+Recursos!BF20+Recursos!BG20+Recursos!BH20+Recursos!BI20+Recursos!BJ20</f>
        <v>356371502374.018</v>
      </c>
      <c r="H14" s="41" t="n">
        <f aca="false">Recursos!BK20+Recursos!BL20+Recursos!BM20+Recursos!BN20+Recursos!BO20+Recursos!BP20+Recursos!BQ20+Recursos!BR20+Recursos!BS20+Recursos!BT20+Recursos!BU20+Recursos!BV20</f>
        <v>362974323921.688</v>
      </c>
      <c r="I14" s="41" t="n">
        <f aca="false">Recursos!BW20+Recursos!BX20+Recursos!BY20+Recursos!BZ20+Recursos!CA20+Recursos!CB20+Recursos!CC20+Recursos!CD20+Recursos!CE20+Recursos!CF20+Recursos!CG20+Recursos!CH20</f>
        <v>369713507933.097</v>
      </c>
      <c r="J14" s="41" t="n">
        <f aca="false">Recursos!CI20+Recursos!CJ20+Recursos!CK20+Recursos!CL20+Recursos!CM20+Recursos!CN20+Recursos!CO20+Recursos!CP20+Recursos!CQ20+Recursos!CR20+Recursos!CS20+Recursos!CT20</f>
        <v>376591546416.827</v>
      </c>
    </row>
    <row r="16" customFormat="false" ht="15" hidden="false" customHeight="true" outlineLevel="0" collapsed="false">
      <c r="B16" s="35" t="s">
        <v>422</v>
      </c>
      <c r="C16" s="36"/>
      <c r="D16" s="36"/>
      <c r="E16" s="36"/>
      <c r="F16" s="36"/>
      <c r="G16" s="36"/>
      <c r="H16" s="36"/>
      <c r="I16" s="36"/>
      <c r="J16" s="36"/>
    </row>
    <row r="17" customFormat="false" ht="15" hidden="false" customHeight="true" outlineLevel="0" collapsed="false">
      <c r="B17" s="15" t="s">
        <v>423</v>
      </c>
      <c r="C17" s="46" t="n">
        <f aca="false">'Gastos objeto'!C8+'Gastos objeto'!C9+'Gastos objeto'!D8+'Gastos objeto'!D9+'Gastos objeto'!E8+'Gastos objeto'!E9+'Gastos objeto'!F8+'Gastos objeto'!F9+'Gastos objeto'!G8+'Gastos objeto'!G9+'Gastos objeto'!H8+'Gastos objeto'!H9+'Gastos objeto'!I8+'Gastos objeto'!I9+'Gastos objeto'!J8+'Gastos objeto'!J9+'Gastos objeto'!K8+'Gastos objeto'!K9+'Gastos objeto'!L8+'Gastos objeto'!L9+'Gastos objeto'!M8+'Gastos objeto'!M9+'Gastos objeto'!N8+'Gastos objeto'!N9</f>
        <v>103637799181.873</v>
      </c>
      <c r="D17" s="46" t="n">
        <f aca="false">'Gastos objeto'!O8+'Gastos objeto'!O9+'Gastos objeto'!P8+'Gastos objeto'!P9+'Gastos objeto'!Q8+'Gastos objeto'!Q9+'Gastos objeto'!R8+'Gastos objeto'!R9+'Gastos objeto'!S8+'Gastos objeto'!S9+'Gastos objeto'!T8+'Gastos objeto'!T9+'Gastos objeto'!U8+'Gastos objeto'!U9+'Gastos objeto'!V8+'Gastos objeto'!V9+'Gastos objeto'!W8+'Gastos objeto'!W9+'Gastos objeto'!X8+'Gastos objeto'!X9+'Gastos objeto'!Y8+'Gastos objeto'!Y9+'Gastos objeto'!Z8+'Gastos objeto'!Z9</f>
        <v>103637799181.873</v>
      </c>
      <c r="E17" s="46" t="n">
        <f aca="false">'Gastos objeto'!AA8+'Gastos objeto'!AA9+'Gastos objeto'!AB8+'Gastos objeto'!AB9+'Gastos objeto'!AC8+'Gastos objeto'!AC9+'Gastos objeto'!AD8+'Gastos objeto'!AD9+'Gastos objeto'!AE8+'Gastos objeto'!AE9+'Gastos objeto'!AF8+'Gastos objeto'!AF9+'Gastos objeto'!AG8+'Gastos objeto'!AG9+'Gastos objeto'!AH8+'Gastos objeto'!AH9+'Gastos objeto'!AI8+'Gastos objeto'!AI9+'Gastos objeto'!AJ8+'Gastos objeto'!AJ9+'Gastos objeto'!AK8+'Gastos objeto'!AK9+'Gastos objeto'!AL8+'Gastos objeto'!AL9</f>
        <v>103637799181.873</v>
      </c>
      <c r="F17" s="46" t="n">
        <f aca="false">'Gastos objeto'!AM8+'Gastos objeto'!AM9+'Gastos objeto'!AN8+'Gastos objeto'!AN9+'Gastos objeto'!AO8+'Gastos objeto'!AO9+'Gastos objeto'!AP8+'Gastos objeto'!AP9+'Gastos objeto'!AQ8+'Gastos objeto'!AQ9+'Gastos objeto'!AR8+'Gastos objeto'!AR9+'Gastos objeto'!AS8+'Gastos objeto'!AS9+'Gastos objeto'!AT8+'Gastos objeto'!AT9+'Gastos objeto'!AU8+'Gastos objeto'!AU9+'Gastos objeto'!AV8+'Gastos objeto'!AV9+'Gastos objeto'!AW8+'Gastos objeto'!AW9+'Gastos objeto'!AX8+'Gastos objeto'!AX9</f>
        <v>103637799181.873</v>
      </c>
      <c r="G17" s="46" t="n">
        <f aca="false">'Gastos objeto'!AY8+'Gastos objeto'!AY9+'Gastos objeto'!AZ8+'Gastos objeto'!AZ9+'Gastos objeto'!BA8+'Gastos objeto'!BA9+'Gastos objeto'!BB8+'Gastos objeto'!BB9+'Gastos objeto'!BC8+'Gastos objeto'!BC9+'Gastos objeto'!BD8+'Gastos objeto'!BD9+'Gastos objeto'!BE8+'Gastos objeto'!BE9+'Gastos objeto'!BF8+'Gastos objeto'!BF9+'Gastos objeto'!BG8+'Gastos objeto'!BG9+'Gastos objeto'!BH8+'Gastos objeto'!BH9+'Gastos objeto'!BI8+'Gastos objeto'!BI9+'Gastos objeto'!BJ8+'Gastos objeto'!BJ9</f>
        <v>103637799181.873</v>
      </c>
      <c r="H17" s="46" t="n">
        <f aca="false">'Gastos objeto'!BK8+'Gastos objeto'!BK9+'Gastos objeto'!BL8+'Gastos objeto'!BL9+'Gastos objeto'!BM8+'Gastos objeto'!BM9+'Gastos objeto'!BN8+'Gastos objeto'!BN9+'Gastos objeto'!BO8+'Gastos objeto'!BO9+'Gastos objeto'!BP8+'Gastos objeto'!BP9+'Gastos objeto'!BQ8+'Gastos objeto'!BQ9+'Gastos objeto'!BR8+'Gastos objeto'!BR9+'Gastos objeto'!BS8+'Gastos objeto'!BS9+'Gastos objeto'!BT8+'Gastos objeto'!BT9+'Gastos objeto'!BU8+'Gastos objeto'!BU9+'Gastos objeto'!BV8+'Gastos objeto'!BV9</f>
        <v>103637799181.873</v>
      </c>
      <c r="I17" s="46" t="n">
        <f aca="false">'Gastos objeto'!BW8+'Gastos objeto'!BW9+'Gastos objeto'!BX8+'Gastos objeto'!BX9+'Gastos objeto'!BY8+'Gastos objeto'!BY9+'Gastos objeto'!BZ8+'Gastos objeto'!BZ9+'Gastos objeto'!CA8+'Gastos objeto'!CA9+'Gastos objeto'!CB8+'Gastos objeto'!CB9+'Gastos objeto'!CC8+'Gastos objeto'!CC9+'Gastos objeto'!CD8+'Gastos objeto'!CD9+'Gastos objeto'!CE8+'Gastos objeto'!CE9+'Gastos objeto'!CF8+'Gastos objeto'!CF9+'Gastos objeto'!CG8+'Gastos objeto'!CG9+'Gastos objeto'!CH8+'Gastos objeto'!CH9</f>
        <v>103637799181.873</v>
      </c>
      <c r="J17" s="46" t="n">
        <f aca="false">'Gastos objeto'!CI8+'Gastos objeto'!CI9+'Gastos objeto'!CJ8+'Gastos objeto'!CJ9+'Gastos objeto'!CK8+'Gastos objeto'!CK9+'Gastos objeto'!CL8+'Gastos objeto'!CL9+'Gastos objeto'!CM8+'Gastos objeto'!CM9+'Gastos objeto'!CN8+'Gastos objeto'!CN9+'Gastos objeto'!CO8+'Gastos objeto'!CO9+'Gastos objeto'!CP8+'Gastos objeto'!CP9+'Gastos objeto'!CQ8+'Gastos objeto'!CQ9+'Gastos objeto'!CR8+'Gastos objeto'!CR9+'Gastos objeto'!CS8+'Gastos objeto'!CS9+'Gastos objeto'!CT8+'Gastos objeto'!CT9</f>
        <v>103637799181.873</v>
      </c>
    </row>
    <row r="18" customFormat="false" ht="15" hidden="false" customHeight="true" outlineLevel="0" collapsed="false">
      <c r="B18" s="15" t="s">
        <v>226</v>
      </c>
      <c r="C18" s="46" t="n">
        <f aca="false">'Gastos objeto'!C10+'Gastos objeto'!D10+'Gastos objeto'!E10+'Gastos objeto'!F10+'Gastos objeto'!G10+'Gastos objeto'!H10+'Gastos objeto'!I10+'Gastos objeto'!J10+'Gastos objeto'!K10+'Gastos objeto'!L10+'Gastos objeto'!M10+'Gastos objeto'!N10</f>
        <v>22077881373.51</v>
      </c>
      <c r="D18" s="46" t="n">
        <f aca="false">'Gastos objeto'!O10+'Gastos objeto'!P10+'Gastos objeto'!Q10+'Gastos objeto'!R10+'Gastos objeto'!S10+'Gastos objeto'!T10+'Gastos objeto'!U10+'Gastos objeto'!V10+'Gastos objeto'!W10+'Gastos objeto'!X10+'Gastos objeto'!Y10+'Gastos objeto'!Z10</f>
        <v>22077881373.51</v>
      </c>
      <c r="E18" s="46" t="n">
        <f aca="false">'Gastos objeto'!AA10+'Gastos objeto'!AB10+'Gastos objeto'!AC10+'Gastos objeto'!AD10+'Gastos objeto'!AE10+'Gastos objeto'!AF10+'Gastos objeto'!AG10+'Gastos objeto'!AH10+'Gastos objeto'!AI10+'Gastos objeto'!AJ10+'Gastos objeto'!AK10+'Gastos objeto'!AL10</f>
        <v>22077881373.51</v>
      </c>
      <c r="F18" s="46" t="n">
        <f aca="false">'Gastos objeto'!AM10+'Gastos objeto'!AN10+'Gastos objeto'!AO10+'Gastos objeto'!AP10+'Gastos objeto'!AQ10+'Gastos objeto'!AR10+'Gastos objeto'!AS10+'Gastos objeto'!AT10+'Gastos objeto'!AU10+'Gastos objeto'!AV10+'Gastos objeto'!AW10+'Gastos objeto'!AX10</f>
        <v>22077881373.51</v>
      </c>
      <c r="G18" s="46" t="n">
        <f aca="false">'Gastos objeto'!AY10+'Gastos objeto'!AZ10+'Gastos objeto'!BA10+'Gastos objeto'!BB10+'Gastos objeto'!BC10+'Gastos objeto'!BD10+'Gastos objeto'!BE10+'Gastos objeto'!BF10+'Gastos objeto'!BG10+'Gastos objeto'!BH10+'Gastos objeto'!BI10+'Gastos objeto'!BJ10</f>
        <v>22077881373.51</v>
      </c>
      <c r="H18" s="46" t="n">
        <f aca="false">'Gastos objeto'!BK10+'Gastos objeto'!BL10+'Gastos objeto'!BM10+'Gastos objeto'!BN10+'Gastos objeto'!BO10+'Gastos objeto'!BP10+'Gastos objeto'!BQ10+'Gastos objeto'!BR10+'Gastos objeto'!BS10+'Gastos objeto'!BT10+'Gastos objeto'!BU10+'Gastos objeto'!BV10</f>
        <v>22077881373.51</v>
      </c>
      <c r="I18" s="46" t="n">
        <f aca="false">'Gastos objeto'!BW10+'Gastos objeto'!BX10+'Gastos objeto'!BY10+'Gastos objeto'!BZ10+'Gastos objeto'!CA10+'Gastos objeto'!CB10+'Gastos objeto'!CC10+'Gastos objeto'!CD10+'Gastos objeto'!CE10+'Gastos objeto'!CF10+'Gastos objeto'!CG10+'Gastos objeto'!CH10</f>
        <v>22077881373.51</v>
      </c>
      <c r="J18" s="46" t="n">
        <f aca="false">'Gastos objeto'!CI10+'Gastos objeto'!CJ10+'Gastos objeto'!CK10+'Gastos objeto'!CL10+'Gastos objeto'!CM10+'Gastos objeto'!CN10+'Gastos objeto'!CO10+'Gastos objeto'!CP10+'Gastos objeto'!CQ10+'Gastos objeto'!CR10+'Gastos objeto'!CS10+'Gastos objeto'!CT10</f>
        <v>22077881373.51</v>
      </c>
    </row>
    <row r="19" customFormat="false" ht="15" hidden="false" customHeight="true" outlineLevel="0" collapsed="false">
      <c r="B19" s="15" t="s">
        <v>228</v>
      </c>
      <c r="C19" s="46" t="n">
        <f aca="false">'Gastos objeto'!C11+'Gastos objeto'!D11+'Gastos objeto'!E11+'Gastos objeto'!F11+'Gastos objeto'!G11+'Gastos objeto'!H11+'Gastos objeto'!I11+'Gastos objeto'!J11+'Gastos objeto'!K11+'Gastos objeto'!L11+'Gastos objeto'!M11+'Gastos objeto'!N11</f>
        <v>110452929430.39</v>
      </c>
      <c r="D19" s="46" t="n">
        <f aca="false">'Gastos objeto'!O11+'Gastos objeto'!P11+'Gastos objeto'!Q11+'Gastos objeto'!R11+'Gastos objeto'!S11+'Gastos objeto'!T11+'Gastos objeto'!U11+'Gastos objeto'!V11+'Gastos objeto'!W11+'Gastos objeto'!X11+'Gastos objeto'!Y11+'Gastos objeto'!Z11</f>
        <v>110452929430.39</v>
      </c>
      <c r="E19" s="46" t="n">
        <f aca="false">'Gastos objeto'!AA11+'Gastos objeto'!AB11+'Gastos objeto'!AC11+'Gastos objeto'!AD11+'Gastos objeto'!AE11+'Gastos objeto'!AF11+'Gastos objeto'!AG11+'Gastos objeto'!AH11+'Gastos objeto'!AI11+'Gastos objeto'!AJ11+'Gastos objeto'!AK11+'Gastos objeto'!AL11</f>
        <v>110452929430.39</v>
      </c>
      <c r="F19" s="46" t="n">
        <f aca="false">'Gastos objeto'!AM11+'Gastos objeto'!AN11+'Gastos objeto'!AO11+'Gastos objeto'!AP11+'Gastos objeto'!AQ11+'Gastos objeto'!AR11+'Gastos objeto'!AS11+'Gastos objeto'!AT11+'Gastos objeto'!AU11+'Gastos objeto'!AV11+'Gastos objeto'!AW11+'Gastos objeto'!AX11</f>
        <v>110452929430.39</v>
      </c>
      <c r="G19" s="46" t="n">
        <f aca="false">'Gastos objeto'!AY11+'Gastos objeto'!AZ11+'Gastos objeto'!BA11+'Gastos objeto'!BB11+'Gastos objeto'!BC11+'Gastos objeto'!BD11+'Gastos objeto'!BE11+'Gastos objeto'!BF11+'Gastos objeto'!BG11+'Gastos objeto'!BH11+'Gastos objeto'!BI11+'Gastos objeto'!BJ11</f>
        <v>110452929430.39</v>
      </c>
      <c r="H19" s="46" t="n">
        <f aca="false">'Gastos objeto'!BK11+'Gastos objeto'!BL11+'Gastos objeto'!BM11+'Gastos objeto'!BN11+'Gastos objeto'!BO11+'Gastos objeto'!BP11+'Gastos objeto'!BQ11+'Gastos objeto'!BR11+'Gastos objeto'!BS11+'Gastos objeto'!BT11+'Gastos objeto'!BU11+'Gastos objeto'!BV11</f>
        <v>110452929430.39</v>
      </c>
      <c r="I19" s="46" t="n">
        <f aca="false">'Gastos objeto'!BW11+'Gastos objeto'!BX11+'Gastos objeto'!BY11+'Gastos objeto'!BZ11+'Gastos objeto'!CA11+'Gastos objeto'!CB11+'Gastos objeto'!CC11+'Gastos objeto'!CD11+'Gastos objeto'!CE11+'Gastos objeto'!CF11+'Gastos objeto'!CG11+'Gastos objeto'!CH11</f>
        <v>110452929430.39</v>
      </c>
      <c r="J19" s="46" t="n">
        <f aca="false">'Gastos objeto'!CI11+'Gastos objeto'!CJ11+'Gastos objeto'!CK11+'Gastos objeto'!CL11+'Gastos objeto'!CM11+'Gastos objeto'!CN11+'Gastos objeto'!CO11+'Gastos objeto'!CP11+'Gastos objeto'!CQ11+'Gastos objeto'!CR11+'Gastos objeto'!CS11+'Gastos objeto'!CT11</f>
        <v>110452929430.39</v>
      </c>
    </row>
    <row r="20" customFormat="false" ht="15" hidden="false" customHeight="true" outlineLevel="0" collapsed="false">
      <c r="B20" s="15" t="s">
        <v>424</v>
      </c>
      <c r="C20" s="46" t="n">
        <f aca="false">'Gastos objeto'!C13+'Gastos objeto'!D13+'Gastos objeto'!E13+'Gastos objeto'!F13+'Gastos objeto'!G13+'Gastos objeto'!H13+'Gastos objeto'!I13+'Gastos objeto'!J13+'Gastos objeto'!K13+'Gastos objeto'!L13+'Gastos objeto'!M13+'Gastos objeto'!N13</f>
        <v>7194552567.91379</v>
      </c>
      <c r="D20" s="46" t="n">
        <f aca="false">'Gastos objeto'!O13+'Gastos objeto'!P13+'Gastos objeto'!Q13+'Gastos objeto'!R13+'Gastos objeto'!S13+'Gastos objeto'!T13+'Gastos objeto'!U13+'Gastos objeto'!V13+'Gastos objeto'!W13+'Gastos objeto'!X13+'Gastos objeto'!Y13+'Gastos objeto'!Z13</f>
        <v>7194552567.91379</v>
      </c>
      <c r="E20" s="46" t="n">
        <f aca="false">'Gastos objeto'!AA13+'Gastos objeto'!AB13+'Gastos objeto'!AC13+'Gastos objeto'!AD13+'Gastos objeto'!AE13+'Gastos objeto'!AF13+'Gastos objeto'!AG13+'Gastos objeto'!AH13+'Gastos objeto'!AI13+'Gastos objeto'!AJ13+'Gastos objeto'!AK13+'Gastos objeto'!AL13</f>
        <v>7194552567.91379</v>
      </c>
      <c r="F20" s="46" t="n">
        <f aca="false">'Gastos objeto'!AM13+'Gastos objeto'!AN13+'Gastos objeto'!AO13+'Gastos objeto'!AP13+'Gastos objeto'!AQ13+'Gastos objeto'!AR13+'Gastos objeto'!AS13+'Gastos objeto'!AT13+'Gastos objeto'!AU13+'Gastos objeto'!AV13+'Gastos objeto'!AW13+'Gastos objeto'!AX13</f>
        <v>7194552567.91379</v>
      </c>
      <c r="G20" s="46" t="n">
        <f aca="false">'Gastos objeto'!AY13+'Gastos objeto'!AZ13+'Gastos objeto'!BA13+'Gastos objeto'!BB13+'Gastos objeto'!BC13+'Gastos objeto'!BD13+'Gastos objeto'!BE13+'Gastos objeto'!BF13+'Gastos objeto'!BG13+'Gastos objeto'!BH13+'Gastos objeto'!BI13+'Gastos objeto'!BJ13</f>
        <v>7194552567.91379</v>
      </c>
      <c r="H20" s="46" t="n">
        <f aca="false">'Gastos objeto'!BK13+'Gastos objeto'!BL13+'Gastos objeto'!BM13+'Gastos objeto'!BN13+'Gastos objeto'!BO13+'Gastos objeto'!BP13+'Gastos objeto'!BQ13+'Gastos objeto'!BR13+'Gastos objeto'!BS13+'Gastos objeto'!BT13+'Gastos objeto'!BU13+'Gastos objeto'!BV13</f>
        <v>7194552567.91379</v>
      </c>
      <c r="I20" s="46" t="n">
        <f aca="false">'Gastos objeto'!BW13+'Gastos objeto'!BX13+'Gastos objeto'!BY13+'Gastos objeto'!BZ13+'Gastos objeto'!CA13+'Gastos objeto'!CB13+'Gastos objeto'!CC13+'Gastos objeto'!CD13+'Gastos objeto'!CE13+'Gastos objeto'!CF13+'Gastos objeto'!CG13+'Gastos objeto'!CH13</f>
        <v>7194552567.91379</v>
      </c>
      <c r="J20" s="46" t="n">
        <f aca="false">'Gastos objeto'!CI13+'Gastos objeto'!CJ13+'Gastos objeto'!CK13+'Gastos objeto'!CL13+'Gastos objeto'!CM13+'Gastos objeto'!CN13+'Gastos objeto'!CO13+'Gastos objeto'!CP13+'Gastos objeto'!CQ13+'Gastos objeto'!CR13+'Gastos objeto'!CS13+'Gastos objeto'!CT13</f>
        <v>7194552567.91379</v>
      </c>
    </row>
    <row r="21" customFormat="false" ht="15" hidden="false" customHeight="true" outlineLevel="0" collapsed="false">
      <c r="B21" s="15" t="s">
        <v>267</v>
      </c>
      <c r="C21" s="46" t="n">
        <f aca="false">'Gastos objeto'!C16+'Gastos objeto'!D16+'Gastos objeto'!E16+'Gastos objeto'!F16+'Gastos objeto'!G16+'Gastos objeto'!H16+'Gastos objeto'!I16+'Gastos objeto'!J16+'Gastos objeto'!K16+'Gastos objeto'!L16+'Gastos objeto'!M16+'Gastos objeto'!N16</f>
        <v>1806299577.515</v>
      </c>
      <c r="D21" s="46" t="n">
        <f aca="false">'Gastos objeto'!O16+'Gastos objeto'!P16+'Gastos objeto'!Q16+'Gastos objeto'!R16+'Gastos objeto'!S16+'Gastos objeto'!T16+'Gastos objeto'!U16+'Gastos objeto'!V16+'Gastos objeto'!W16+'Gastos objeto'!X16+'Gastos objeto'!Y16+'Gastos objeto'!Z16</f>
        <v>3612599155.03</v>
      </c>
      <c r="E21" s="46" t="n">
        <f aca="false">'Gastos objeto'!AA16+'Gastos objeto'!AB16+'Gastos objeto'!AC16+'Gastos objeto'!AD16+'Gastos objeto'!AE16+'Gastos objeto'!AF16+'Gastos objeto'!AG16+'Gastos objeto'!AH16+'Gastos objeto'!AI16+'Gastos objeto'!AJ16+'Gastos objeto'!AK16+'Gastos objeto'!AL16</f>
        <v>5418898732.545</v>
      </c>
      <c r="F21" s="46" t="n">
        <f aca="false">'Gastos objeto'!AM16+'Gastos objeto'!AN16+'Gastos objeto'!AO16+'Gastos objeto'!AP16+'Gastos objeto'!AQ16+'Gastos objeto'!AR16+'Gastos objeto'!AS16+'Gastos objeto'!AT16+'Gastos objeto'!AU16+'Gastos objeto'!AV16+'Gastos objeto'!AW16+'Gastos objeto'!AX16</f>
        <v>7225198310.06</v>
      </c>
      <c r="G21" s="46" t="n">
        <f aca="false">'Gastos objeto'!AY16+'Gastos objeto'!AZ16+'Gastos objeto'!BA16+'Gastos objeto'!BB16+'Gastos objeto'!BC16+'Gastos objeto'!BD16+'Gastos objeto'!BE16+'Gastos objeto'!BF16+'Gastos objeto'!BG16+'Gastos objeto'!BH16+'Gastos objeto'!BI16+'Gastos objeto'!BJ16</f>
        <v>7225198310.06</v>
      </c>
      <c r="H21" s="46" t="n">
        <f aca="false">'Gastos objeto'!BK16+'Gastos objeto'!BL16+'Gastos objeto'!BM16+'Gastos objeto'!BN16+'Gastos objeto'!BO16+'Gastos objeto'!BP16+'Gastos objeto'!BQ16+'Gastos objeto'!BR16+'Gastos objeto'!BS16+'Gastos objeto'!BT16+'Gastos objeto'!BU16+'Gastos objeto'!BV16</f>
        <v>7225198310.06</v>
      </c>
      <c r="I21" s="46" t="n">
        <f aca="false">'Gastos objeto'!BW16+'Gastos objeto'!BX16+'Gastos objeto'!BY16+'Gastos objeto'!BZ16+'Gastos objeto'!CA16+'Gastos objeto'!CB16+'Gastos objeto'!CC16+'Gastos objeto'!CD16+'Gastos objeto'!CE16+'Gastos objeto'!CF16+'Gastos objeto'!CG16+'Gastos objeto'!CH16</f>
        <v>7225198310.06</v>
      </c>
      <c r="J21" s="46" t="n">
        <f aca="false">'Gastos objeto'!CI16+'Gastos objeto'!CJ16+'Gastos objeto'!CK16+'Gastos objeto'!CL16+'Gastos objeto'!CM16+'Gastos objeto'!CN16+'Gastos objeto'!CO16+'Gastos objeto'!CP16+'Gastos objeto'!CQ16+'Gastos objeto'!CR16+'Gastos objeto'!CS16+'Gastos objeto'!CT16</f>
        <v>7225198310.06</v>
      </c>
    </row>
    <row r="22" customFormat="false" ht="15" hidden="false" customHeight="true" outlineLevel="0" collapsed="false">
      <c r="B22" s="15" t="s">
        <v>425</v>
      </c>
      <c r="C22" s="46" t="n">
        <f aca="false">'Gastos objeto'!C15+'Gastos objeto'!D15+'Gastos objeto'!E15+'Gastos objeto'!F15+'Gastos objeto'!G15+'Gastos objeto'!H15+'Gastos objeto'!I15+'Gastos objeto'!J15+'Gastos objeto'!K15+'Gastos objeto'!L15+'Gastos objeto'!M15+'Gastos objeto'!N15</f>
        <v>18388144415</v>
      </c>
      <c r="D22" s="46" t="n">
        <f aca="false">'Gastos objeto'!O15+'Gastos objeto'!P15+'Gastos objeto'!Q15+'Gastos objeto'!R15+'Gastos objeto'!S15+'Gastos objeto'!T15+'Gastos objeto'!U15+'Gastos objeto'!V15+'Gastos objeto'!W15+'Gastos objeto'!X15+'Gastos objeto'!Y15+'Gastos objeto'!Z15</f>
        <v>14638144415</v>
      </c>
      <c r="E22" s="46" t="n">
        <f aca="false">'Gastos objeto'!AA15+'Gastos objeto'!AB15+'Gastos objeto'!AC15+'Gastos objeto'!AD15+'Gastos objeto'!AE15+'Gastos objeto'!AF15+'Gastos objeto'!AG15+'Gastos objeto'!AH15+'Gastos objeto'!AI15+'Gastos objeto'!AJ15+'Gastos objeto'!AK15+'Gastos objeto'!AL15</f>
        <v>2184039668.99999</v>
      </c>
      <c r="F22" s="46" t="n">
        <f aca="false">'Gastos objeto'!AM15+'Gastos objeto'!AN15+'Gastos objeto'!AO15+'Gastos objeto'!AP15+'Gastos objeto'!AQ15+'Gastos objeto'!AR15+'Gastos objeto'!AS15+'Gastos objeto'!AT15+'Gastos objeto'!AU15+'Gastos objeto'!AV15+'Gastos objeto'!AW15+'Gastos objeto'!AX15</f>
        <v>0</v>
      </c>
      <c r="G22" s="46" t="n">
        <f aca="false">'Gastos objeto'!AY15+'Gastos objeto'!AZ15+'Gastos objeto'!BA15+'Gastos objeto'!BB15+'Gastos objeto'!BC15+'Gastos objeto'!BD15+'Gastos objeto'!BE15+'Gastos objeto'!BF15+'Gastos objeto'!BG15+'Gastos objeto'!BH15+'Gastos objeto'!BI15+'Gastos objeto'!BJ15</f>
        <v>0</v>
      </c>
      <c r="H22" s="46" t="n">
        <f aca="false">'Gastos objeto'!BK15+'Gastos objeto'!BL15+'Gastos objeto'!BM15+'Gastos objeto'!BN15+'Gastos objeto'!BO15+'Gastos objeto'!BP15+'Gastos objeto'!BQ15+'Gastos objeto'!BR15+'Gastos objeto'!BS15+'Gastos objeto'!BT15+'Gastos objeto'!BU15+'Gastos objeto'!BV15</f>
        <v>0</v>
      </c>
      <c r="I22" s="46" t="n">
        <f aca="false">'Gastos objeto'!BW15+'Gastos objeto'!BX15+'Gastos objeto'!BY15+'Gastos objeto'!BZ15+'Gastos objeto'!CA15+'Gastos objeto'!CB15+'Gastos objeto'!CC15+'Gastos objeto'!CD15+'Gastos objeto'!CE15+'Gastos objeto'!CF15+'Gastos objeto'!CG15+'Gastos objeto'!CH15</f>
        <v>0</v>
      </c>
      <c r="J22" s="46" t="n">
        <f aca="false">'Gastos objeto'!CI15+'Gastos objeto'!CJ15+'Gastos objeto'!CK15+'Gastos objeto'!CL15+'Gastos objeto'!CM15+'Gastos objeto'!CN15+'Gastos objeto'!CO15+'Gastos objeto'!CP15+'Gastos objeto'!CQ15+'Gastos objeto'!CR15+'Gastos objeto'!CS15+'Gastos objeto'!CT15</f>
        <v>0</v>
      </c>
    </row>
    <row r="23" customFormat="false" ht="15" hidden="false" customHeight="true" outlineLevel="0" collapsed="false">
      <c r="B23" s="38" t="s">
        <v>426</v>
      </c>
      <c r="C23" s="39" t="n">
        <f aca="false">'Flujo mensual'!C61+'Flujo mensual'!D61+'Flujo mensual'!E61+'Flujo mensual'!F61+'Flujo mensual'!G61+'Flujo mensual'!H61+'Flujo mensual'!I61+'Flujo mensual'!J61+'Flujo mensual'!K61+'Flujo mensual'!L61+'Flujo mensual'!M61+'Flujo mensual'!N61</f>
        <v>263762048421.838</v>
      </c>
      <c r="D23" s="39" t="n">
        <f aca="false">'Flujo mensual'!O61+'Flujo mensual'!P61+'Flujo mensual'!Q61+'Flujo mensual'!R61+'Flujo mensual'!S61+'Flujo mensual'!T61+'Flujo mensual'!U61+'Flujo mensual'!V61+'Flujo mensual'!W61+'Flujo mensual'!X61+'Flujo mensual'!Y61+'Flujo mensual'!Z61</f>
        <v>261818347999.353</v>
      </c>
      <c r="E23" s="39" t="n">
        <f aca="false">'Flujo mensual'!AA61+'Flujo mensual'!AB61+'Flujo mensual'!AC61+'Flujo mensual'!AD61+'Flujo mensual'!AE61+'Flujo mensual'!AF61+'Flujo mensual'!AG61+'Flujo mensual'!AH61+'Flujo mensual'!AI61+'Flujo mensual'!AJ61+'Flujo mensual'!AK61+'Flujo mensual'!AL61</f>
        <v>251170542830.868</v>
      </c>
      <c r="F23" s="39" t="n">
        <f aca="false">'Flujo mensual'!AM61+'Flujo mensual'!AN61+'Flujo mensual'!AO61+'Flujo mensual'!AP61+'Flujo mensual'!AQ61+'Flujo mensual'!AR61+'Flujo mensual'!AS61+'Flujo mensual'!AT61+'Flujo mensual'!AU61+'Flujo mensual'!AV61+'Flujo mensual'!AW61+'Flujo mensual'!AX61</f>
        <v>250792802739.383</v>
      </c>
      <c r="G23" s="39" t="n">
        <f aca="false">'Flujo mensual'!AY61+'Flujo mensual'!AZ61+'Flujo mensual'!BA61+'Flujo mensual'!BB61+'Flujo mensual'!BC61+'Flujo mensual'!BD61+'Flujo mensual'!BE61+'Flujo mensual'!BF61+'Flujo mensual'!BG61+'Flujo mensual'!BH61+'Flujo mensual'!BI61+'Flujo mensual'!BJ61</f>
        <v>250792802739.383</v>
      </c>
      <c r="H23" s="39" t="n">
        <f aca="false">'Flujo mensual'!BK61+'Flujo mensual'!BL61+'Flujo mensual'!BM61+'Flujo mensual'!BN61+'Flujo mensual'!BO61+'Flujo mensual'!BP61+'Flujo mensual'!BQ61+'Flujo mensual'!BR61+'Flujo mensual'!BS61+'Flujo mensual'!BT61+'Flujo mensual'!BU61+'Flujo mensual'!BV61</f>
        <v>250792802739.383</v>
      </c>
      <c r="I23" s="39" t="n">
        <f aca="false">'Flujo mensual'!BW61+'Flujo mensual'!BX61+'Flujo mensual'!BY61+'Flujo mensual'!BZ61+'Flujo mensual'!CA61+'Flujo mensual'!CB61+'Flujo mensual'!CC61+'Flujo mensual'!CD61+'Flujo mensual'!CE61+'Flujo mensual'!CF61+'Flujo mensual'!CG61+'Flujo mensual'!CH61</f>
        <v>250792802739.383</v>
      </c>
      <c r="J23" s="39" t="n">
        <f aca="false">'Flujo mensual'!CI61+'Flujo mensual'!CJ61+'Flujo mensual'!CK61+'Flujo mensual'!CL61+'Flujo mensual'!CM61+'Flujo mensual'!CN61+'Flujo mensual'!CO61+'Flujo mensual'!CP61+'Flujo mensual'!CQ61+'Flujo mensual'!CR61+'Flujo mensual'!CS61+'Flujo mensual'!CT61</f>
        <v>250792802739.383</v>
      </c>
    </row>
    <row r="24" customFormat="false" ht="15" hidden="false" customHeight="true" outlineLevel="0" collapsed="false">
      <c r="B24" s="15" t="s">
        <v>427</v>
      </c>
      <c r="C24" s="46" t="n">
        <f aca="false">'Gastos objeto'!C12+'Gastos objeto'!D12+'Gastos objeto'!E12+'Gastos objeto'!F12+'Gastos objeto'!G12+'Gastos objeto'!H12+'Gastos objeto'!I12+'Gastos objeto'!J12+'Gastos objeto'!K12+'Gastos objeto'!L12+'Gastos objeto'!M12+'Gastos objeto'!N12</f>
        <v>57815709350.26</v>
      </c>
      <c r="D24" s="46" t="n">
        <f aca="false">'Gastos objeto'!O12+'Gastos objeto'!P12+'Gastos objeto'!Q12+'Gastos objeto'!R12+'Gastos objeto'!S12+'Gastos objeto'!T12+'Gastos objeto'!U12+'Gastos objeto'!V12+'Gastos objeto'!W12+'Gastos objeto'!X12+'Gastos objeto'!Y12+'Gastos objeto'!Z12</f>
        <v>57815709350.26</v>
      </c>
      <c r="E24" s="46" t="n">
        <f aca="false">'Gastos objeto'!AA12+'Gastos objeto'!AB12+'Gastos objeto'!AC12+'Gastos objeto'!AD12+'Gastos objeto'!AE12+'Gastos objeto'!AF12+'Gastos objeto'!AG12+'Gastos objeto'!AH12+'Gastos objeto'!AI12+'Gastos objeto'!AJ12+'Gastos objeto'!AK12+'Gastos objeto'!AL12</f>
        <v>57815709350.26</v>
      </c>
      <c r="F24" s="46" t="n">
        <f aca="false">'Gastos objeto'!AM12+'Gastos objeto'!AN12+'Gastos objeto'!AO12+'Gastos objeto'!AP12+'Gastos objeto'!AQ12+'Gastos objeto'!AR12+'Gastos objeto'!AS12+'Gastos objeto'!AT12+'Gastos objeto'!AU12+'Gastos objeto'!AV12+'Gastos objeto'!AW12+'Gastos objeto'!AX12</f>
        <v>57815709350.26</v>
      </c>
      <c r="G24" s="46" t="n">
        <f aca="false">'Gastos objeto'!AY12+'Gastos objeto'!AZ12+'Gastos objeto'!BA12+'Gastos objeto'!BB12+'Gastos objeto'!BC12+'Gastos objeto'!BD12+'Gastos objeto'!BE12+'Gastos objeto'!BF12+'Gastos objeto'!BG12+'Gastos objeto'!BH12+'Gastos objeto'!BI12+'Gastos objeto'!BJ12</f>
        <v>57815709350.26</v>
      </c>
      <c r="H24" s="46" t="n">
        <f aca="false">'Gastos objeto'!BK12+'Gastos objeto'!BL12+'Gastos objeto'!BM12+'Gastos objeto'!BN12+'Gastos objeto'!BO12+'Gastos objeto'!BP12+'Gastos objeto'!BQ12+'Gastos objeto'!BR12+'Gastos objeto'!BS12+'Gastos objeto'!BT12+'Gastos objeto'!BU12+'Gastos objeto'!BV12</f>
        <v>57815709350.26</v>
      </c>
      <c r="I24" s="46" t="n">
        <f aca="false">'Gastos objeto'!BW12+'Gastos objeto'!BX12+'Gastos objeto'!BY12+'Gastos objeto'!BZ12+'Gastos objeto'!CA12+'Gastos objeto'!CB12+'Gastos objeto'!CC12+'Gastos objeto'!CD12+'Gastos objeto'!CE12+'Gastos objeto'!CF12+'Gastos objeto'!CG12+'Gastos objeto'!CH12</f>
        <v>57815709350.26</v>
      </c>
      <c r="J24" s="46" t="n">
        <f aca="false">'Gastos objeto'!CI12+'Gastos objeto'!CJ12+'Gastos objeto'!CK12+'Gastos objeto'!CL12+'Gastos objeto'!CM12+'Gastos objeto'!CN12+'Gastos objeto'!CO12+'Gastos objeto'!CP12+'Gastos objeto'!CQ12+'Gastos objeto'!CR12+'Gastos objeto'!CS12+'Gastos objeto'!CT12</f>
        <v>57815709350.26</v>
      </c>
    </row>
    <row r="25" customFormat="false" ht="15" hidden="false" customHeight="true" outlineLevel="0" collapsed="false">
      <c r="B25" s="15" t="s">
        <v>428</v>
      </c>
      <c r="C25" s="46" t="n">
        <f aca="false">Vecinal!C10+Vecinal!D10+Vecinal!E10+Vecinal!F10+Vecinal!G10+Vecinal!H10+Vecinal!I10+Vecinal!J10+Vecinal!K10+Vecinal!L10+Vecinal!M10+Vecinal!N10</f>
        <v>7226963668.7825</v>
      </c>
      <c r="D25" s="46" t="n">
        <f aca="false">Vecinal!O10+Vecinal!P10+Vecinal!Q10+Vecinal!R10+Vecinal!S10+Vecinal!T10+Vecinal!U10+Vecinal!V10+Vecinal!W10+Vecinal!X10+Vecinal!Y10+Vecinal!Z10</f>
        <v>14453927337.565</v>
      </c>
      <c r="E25" s="46" t="n">
        <f aca="false">Vecinal!AA10+Vecinal!AB10+Vecinal!AC10+Vecinal!AD10+Vecinal!AE10+Vecinal!AF10+Vecinal!AG10+Vecinal!AH10+Vecinal!AI10+Vecinal!AJ10+Vecinal!AK10+Vecinal!AL10</f>
        <v>21680891006.3475</v>
      </c>
      <c r="F25" s="46" t="n">
        <f aca="false">Vecinal!AM10+Vecinal!AN10+Vecinal!AO10+Vecinal!AP10+Vecinal!AQ10+Vecinal!AR10+Vecinal!AS10+Vecinal!AT10+Vecinal!AU10+Vecinal!AV10+Vecinal!AW10+Vecinal!AX10</f>
        <v>28907854675.13</v>
      </c>
      <c r="G25" s="46" t="n">
        <f aca="false">Vecinal!AY10+Vecinal!AZ10+Vecinal!BA10+Vecinal!BB10+Vecinal!BC10+Vecinal!BD10+Vecinal!BE10+Vecinal!BF10+Vecinal!BG10+Vecinal!BH10+Vecinal!BI10+Vecinal!BJ10</f>
        <v>28907854675.13</v>
      </c>
      <c r="H25" s="46" t="n">
        <f aca="false">Vecinal!BK10+Vecinal!BL10+Vecinal!BM10+Vecinal!BN10+Vecinal!BO10+Vecinal!BP10+Vecinal!BQ10+Vecinal!BR10+Vecinal!BS10+Vecinal!BT10+Vecinal!BU10+Vecinal!BV10</f>
        <v>28907854675.13</v>
      </c>
      <c r="I25" s="46" t="n">
        <f aca="false">Vecinal!BW10+Vecinal!BX10+Vecinal!BY10+Vecinal!BZ10+Vecinal!CA10+Vecinal!CB10+Vecinal!CC10+Vecinal!CD10+Vecinal!CE10+Vecinal!CF10+Vecinal!CG10+Vecinal!CH10</f>
        <v>28907854675.13</v>
      </c>
      <c r="J25" s="46" t="n">
        <f aca="false">Vecinal!CI10+Vecinal!CJ10+Vecinal!CK10+Vecinal!CL10+Vecinal!CM10+Vecinal!CN10+Vecinal!CO10+Vecinal!CP10+Vecinal!CQ10+Vecinal!CR10+Vecinal!CS10+Vecinal!CT10</f>
        <v>28907854675.13</v>
      </c>
    </row>
    <row r="26" customFormat="false" ht="15" hidden="false" customHeight="true" outlineLevel="0" collapsed="false">
      <c r="B26" s="33" t="s">
        <v>429</v>
      </c>
      <c r="C26" s="41" t="n">
        <f aca="false">'Gastos objeto'!C17+'Gastos objeto'!D17+'Gastos objeto'!E17+'Gastos objeto'!F17+'Gastos objeto'!G17+'Gastos objeto'!H17+'Gastos objeto'!I17+'Gastos objeto'!J17+'Gastos objeto'!K17+'Gastos objeto'!L17+'Gastos objeto'!M17+'Gastos objeto'!N17</f>
        <v>321577757772.098</v>
      </c>
      <c r="D26" s="41" t="n">
        <f aca="false">'Gastos objeto'!O17+'Gastos objeto'!P17+'Gastos objeto'!Q17+'Gastos objeto'!R17+'Gastos objeto'!S17+'Gastos objeto'!T17+'Gastos objeto'!U17+'Gastos objeto'!V17+'Gastos objeto'!W17+'Gastos objeto'!X17+'Gastos objeto'!Y17+'Gastos objeto'!Z17</f>
        <v>319634057349.613</v>
      </c>
      <c r="E26" s="41" t="n">
        <f aca="false">'Gastos objeto'!AA17+'Gastos objeto'!AB17+'Gastos objeto'!AC17+'Gastos objeto'!AD17+'Gastos objeto'!AE17+'Gastos objeto'!AF17+'Gastos objeto'!AG17+'Gastos objeto'!AH17+'Gastos objeto'!AI17+'Gastos objeto'!AJ17+'Gastos objeto'!AK17+'Gastos objeto'!AL17</f>
        <v>308986252181.128</v>
      </c>
      <c r="F26" s="41" t="n">
        <f aca="false">'Gastos objeto'!AM17+'Gastos objeto'!AN17+'Gastos objeto'!AO17+'Gastos objeto'!AP17+'Gastos objeto'!AQ17+'Gastos objeto'!AR17+'Gastos objeto'!AS17+'Gastos objeto'!AT17+'Gastos objeto'!AU17+'Gastos objeto'!AV17+'Gastos objeto'!AW17+'Gastos objeto'!AX17</f>
        <v>308608512089.643</v>
      </c>
      <c r="G26" s="41" t="n">
        <f aca="false">'Gastos objeto'!AY17+'Gastos objeto'!AZ17+'Gastos objeto'!BA17+'Gastos objeto'!BB17+'Gastos objeto'!BC17+'Gastos objeto'!BD17+'Gastos objeto'!BE17+'Gastos objeto'!BF17+'Gastos objeto'!BG17+'Gastos objeto'!BH17+'Gastos objeto'!BI17+'Gastos objeto'!BJ17</f>
        <v>308608512089.643</v>
      </c>
      <c r="H26" s="41" t="n">
        <f aca="false">'Gastos objeto'!BK17+'Gastos objeto'!BL17+'Gastos objeto'!BM17+'Gastos objeto'!BN17+'Gastos objeto'!BO17+'Gastos objeto'!BP17+'Gastos objeto'!BQ17+'Gastos objeto'!BR17+'Gastos objeto'!BS17+'Gastos objeto'!BT17+'Gastos objeto'!BU17+'Gastos objeto'!BV17</f>
        <v>308608512089.643</v>
      </c>
      <c r="I26" s="41" t="n">
        <f aca="false">'Gastos objeto'!BW17+'Gastos objeto'!BX17+'Gastos objeto'!BY17+'Gastos objeto'!BZ17+'Gastos objeto'!CA17+'Gastos objeto'!CB17+'Gastos objeto'!CC17+'Gastos objeto'!CD17+'Gastos objeto'!CE17+'Gastos objeto'!CF17+'Gastos objeto'!CG17+'Gastos objeto'!CH17</f>
        <v>308608512089.643</v>
      </c>
      <c r="J26" s="41" t="n">
        <f aca="false">'Gastos objeto'!CI17+'Gastos objeto'!CJ17+'Gastos objeto'!CK17+'Gastos objeto'!CL17+'Gastos objeto'!CM17+'Gastos objeto'!CN17+'Gastos objeto'!CO17+'Gastos objeto'!CP17+'Gastos objeto'!CQ17+'Gastos objeto'!CR17+'Gastos objeto'!CS17+'Gastos objeto'!CT17</f>
        <v>308608512089.643</v>
      </c>
    </row>
    <row r="28" customFormat="false" ht="15" hidden="false" customHeight="true" outlineLevel="0" collapsed="false">
      <c r="B28" s="35" t="s">
        <v>430</v>
      </c>
      <c r="C28" s="36"/>
      <c r="D28" s="36"/>
      <c r="E28" s="36"/>
      <c r="F28" s="36"/>
      <c r="G28" s="36"/>
      <c r="H28" s="36"/>
      <c r="I28" s="36"/>
      <c r="J28" s="36"/>
    </row>
    <row r="29" customFormat="false" ht="15" hidden="false" customHeight="true" outlineLevel="0" collapsed="false">
      <c r="B29" s="38" t="s">
        <v>327</v>
      </c>
      <c r="C29" s="39" t="n">
        <f aca="false">'Flujo mensual'!C62+'Flujo mensual'!D62+'Flujo mensual'!E62+'Flujo mensual'!F62+'Flujo mensual'!G62+'Flujo mensual'!H62+'Flujo mensual'!I62+'Flujo mensual'!J62+'Flujo mensual'!K62+'Flujo mensual'!L62+'Flujo mensual'!M62+'Flujo mensual'!N62</f>
        <v>54181088467.2415</v>
      </c>
      <c r="D29" s="39" t="n">
        <f aca="false">'Flujo mensual'!O62+'Flujo mensual'!P62+'Flujo mensual'!Q62+'Flujo mensual'!R62+'Flujo mensual'!S62+'Flujo mensual'!T62+'Flujo mensual'!U62+'Flujo mensual'!V62+'Flujo mensual'!W62+'Flujo mensual'!X62+'Flujo mensual'!Y62+'Flujo mensual'!Z62</f>
        <v>65745909888.0668</v>
      </c>
      <c r="E29" s="39" t="n">
        <f aca="false">'Flujo mensual'!AA62+'Flujo mensual'!AB62+'Flujo mensual'!AC62+'Flujo mensual'!AD62+'Flujo mensual'!AE62+'Flujo mensual'!AF62+'Flujo mensual'!AG62+'Flujo mensual'!AH62+'Flujo mensual'!AI62+'Flujo mensual'!AJ62+'Flujo mensual'!AK62+'Flujo mensual'!AL62</f>
        <v>86284858627.6524</v>
      </c>
      <c r="F29" s="39" t="n">
        <f aca="false">'Flujo mensual'!AM62+'Flujo mensual'!AN62+'Flujo mensual'!AO62+'Flujo mensual'!AP62+'Flujo mensual'!AQ62+'Flujo mensual'!AR62+'Flujo mensual'!AS62+'Flujo mensual'!AT62+'Flujo mensual'!AU62+'Flujo mensual'!AV62+'Flujo mensual'!AW62+'Flujo mensual'!AX62</f>
        <v>96830292611.8496</v>
      </c>
      <c r="G29" s="39" t="n">
        <f aca="false">'Flujo mensual'!AY62+'Flujo mensual'!AZ62+'Flujo mensual'!BA62+'Flujo mensual'!BB62+'Flujo mensual'!BC62+'Flujo mensual'!BD62+'Flujo mensual'!BE62+'Flujo mensual'!BF62+'Flujo mensual'!BG62+'Flujo mensual'!BH62+'Flujo mensual'!BI62+'Flujo mensual'!BJ62</f>
        <v>103254741968.557</v>
      </c>
      <c r="H29" s="39" t="n">
        <f aca="false">'Flujo mensual'!BK62+'Flujo mensual'!BL62+'Flujo mensual'!BM62+'Flujo mensual'!BN62+'Flujo mensual'!BO62+'Flujo mensual'!BP62+'Flujo mensual'!BQ62+'Flujo mensual'!BR62+'Flujo mensual'!BS62+'Flujo mensual'!BT62+'Flujo mensual'!BU62+'Flujo mensual'!BV62</f>
        <v>109812246341.738</v>
      </c>
      <c r="I29" s="39" t="n">
        <f aca="false">'Flujo mensual'!BW62+'Flujo mensual'!BX62+'Flujo mensual'!BY62+'Flujo mensual'!BZ62+'Flujo mensual'!CA62+'Flujo mensual'!CB62+'Flujo mensual'!CC62+'Flujo mensual'!CD62+'Flujo mensual'!CE62+'Flujo mensual'!CF62+'Flujo mensual'!CG62+'Flujo mensual'!CH62</f>
        <v>116505229493.756</v>
      </c>
      <c r="J29" s="39" t="n">
        <f aca="false">'Flujo mensual'!CI62+'Flujo mensual'!CJ62+'Flujo mensual'!CK62+'Flujo mensual'!CL62+'Flujo mensual'!CM62+'Flujo mensual'!CN62+'Flujo mensual'!CO62+'Flujo mensual'!CP62+'Flujo mensual'!CQ62+'Flujo mensual'!CR62+'Flujo mensual'!CS62+'Flujo mensual'!CT62</f>
        <v>123336166201.337</v>
      </c>
    </row>
    <row r="30" customFormat="false" ht="15" hidden="false" customHeight="true" outlineLevel="0" collapsed="false">
      <c r="B30" s="38" t="s">
        <v>328</v>
      </c>
      <c r="C30" s="39" t="n">
        <f aca="false">'Flujo mensual'!C63+'Flujo mensual'!D63+'Flujo mensual'!E63+'Flujo mensual'!F63+'Flujo mensual'!G63+'Flujo mensual'!H63+'Flujo mensual'!I63+'Flujo mensual'!J63+'Flujo mensual'!K63+'Flujo mensual'!L63+'Flujo mensual'!M63+'Flujo mensual'!N63</f>
        <v>-1483428298.73302</v>
      </c>
      <c r="D30" s="39" t="n">
        <f aca="false">'Flujo mensual'!O63+'Flujo mensual'!P63+'Flujo mensual'!Q63+'Flujo mensual'!R63+'Flujo mensual'!S63+'Flujo mensual'!T63+'Flujo mensual'!U63+'Flujo mensual'!V63+'Flujo mensual'!W63+'Flujo mensual'!X63+'Flujo mensual'!Y63+'Flujo mensual'!Z63</f>
        <v>10123341377.4858</v>
      </c>
      <c r="E30" s="39" t="n">
        <f aca="false">'Flujo mensual'!AA63+'Flujo mensual'!AB63+'Flujo mensual'!AC63+'Flujo mensual'!AD63+'Flujo mensual'!AE63+'Flujo mensual'!AF63+'Flujo mensual'!AG63+'Flujo mensual'!AH63+'Flujo mensual'!AI63+'Flujo mensual'!AJ63+'Flujo mensual'!AK63+'Flujo mensual'!AL63</f>
        <v>30705056363.4452</v>
      </c>
      <c r="F30" s="39" t="n">
        <f aca="false">'Flujo mensual'!AM63+'Flujo mensual'!AN63+'Flujo mensual'!AO63+'Flujo mensual'!AP63+'Flujo mensual'!AQ63+'Flujo mensual'!AR63+'Flujo mensual'!AS63+'Flujo mensual'!AT63+'Flujo mensual'!AU63+'Flujo mensual'!AV63+'Flujo mensual'!AW63+'Flujo mensual'!AX63</f>
        <v>41294090535.8204</v>
      </c>
      <c r="G30" s="39" t="n">
        <f aca="false">'Flujo mensual'!AY63+'Flujo mensual'!AZ63+'Flujo mensual'!BA63+'Flujo mensual'!BB63+'Flujo mensual'!BC63+'Flujo mensual'!BD63+'Flujo mensual'!BE63+'Flujo mensual'!BF63+'Flujo mensual'!BG63+'Flujo mensual'!BH63+'Flujo mensual'!BI63+'Flujo mensual'!BJ63</f>
        <v>47762990284.3751</v>
      </c>
      <c r="H30" s="39" t="n">
        <f aca="false">'Flujo mensual'!BK63+'Flujo mensual'!BL63+'Flujo mensual'!BM63+'Flujo mensual'!BN63+'Flujo mensual'!BO63+'Flujo mensual'!BP63+'Flujo mensual'!BQ63+'Flujo mensual'!BR63+'Flujo mensual'!BS63+'Flujo mensual'!BT63+'Flujo mensual'!BU63+'Flujo mensual'!BV63</f>
        <v>54365811832.0447</v>
      </c>
      <c r="I30" s="39" t="n">
        <f aca="false">'Flujo mensual'!BW63+'Flujo mensual'!BX63+'Flujo mensual'!BY63+'Flujo mensual'!BZ63+'Flujo mensual'!CA63+'Flujo mensual'!CB63+'Flujo mensual'!CC63+'Flujo mensual'!CD63+'Flujo mensual'!CE63+'Flujo mensual'!CF63+'Flujo mensual'!CG63+'Flujo mensual'!CH63</f>
        <v>61104995843.4536</v>
      </c>
      <c r="J30" s="39" t="n">
        <f aca="false">'Flujo mensual'!CI63+'Flujo mensual'!CJ63+'Flujo mensual'!CK63+'Flujo mensual'!CL63+'Flujo mensual'!CM63+'Flujo mensual'!CN63+'Flujo mensual'!CO63+'Flujo mensual'!CP63+'Flujo mensual'!CQ63+'Flujo mensual'!CR63+'Flujo mensual'!CS63+'Flujo mensual'!CT63</f>
        <v>67983034327.1842</v>
      </c>
    </row>
    <row r="31" customFormat="false" ht="15" hidden="false" customHeight="true" outlineLevel="0" collapsed="false">
      <c r="B31" s="15" t="s">
        <v>431</v>
      </c>
      <c r="C31" s="46" t="n">
        <f aca="false">'Flujo mensual'!C46+'Flujo mensual'!D46+'Flujo mensual'!E46+'Flujo mensual'!F46+'Flujo mensual'!G46+'Flujo mensual'!H46+'Flujo mensual'!I46+'Flujo mensual'!J46+'Flujo mensual'!K46+'Flujo mensual'!L46+'Flujo mensual'!M46+'Flujo mensual'!N46</f>
        <v>33734262022.6781</v>
      </c>
      <c r="D31" s="46" t="n">
        <f aca="false">'Flujo mensual'!O46+'Flujo mensual'!P46+'Flujo mensual'!Q46+'Flujo mensual'!R46+'Flujo mensual'!S46+'Flujo mensual'!T46+'Flujo mensual'!U46+'Flujo mensual'!V46+'Flujo mensual'!W46+'Flujo mensual'!X46+'Flujo mensual'!Y46+'Flujo mensual'!Z46</f>
        <v>39212957315.2228</v>
      </c>
      <c r="E31" s="46" t="n">
        <f aca="false">'Flujo mensual'!AA46+'Flujo mensual'!AB46+'Flujo mensual'!AC46+'Flujo mensual'!AD46+'Flujo mensual'!AE46+'Flujo mensual'!AF46+'Flujo mensual'!AG46+'Flujo mensual'!AH46+'Flujo mensual'!AI46+'Flujo mensual'!AJ46+'Flujo mensual'!AK46+'Flujo mensual'!AL46</f>
        <v>60354886590.2542</v>
      </c>
      <c r="F31" s="46" t="n">
        <f aca="false">'Flujo mensual'!AM46+'Flujo mensual'!AN46+'Flujo mensual'!AO46+'Flujo mensual'!AP46+'Flujo mensual'!AQ46+'Flujo mensual'!AR46+'Flujo mensual'!AS46+'Flujo mensual'!AT46+'Flujo mensual'!AU46+'Flujo mensual'!AV46+'Flujo mensual'!AW46+'Flujo mensual'!AX46</f>
        <v>71664179174.0847</v>
      </c>
      <c r="G31" s="46" t="n">
        <f aca="false">'Flujo mensual'!AY46+'Flujo mensual'!AZ46+'Flujo mensual'!BA46+'Flujo mensual'!BB46+'Flujo mensual'!BC46+'Flujo mensual'!BD46+'Flujo mensual'!BE46+'Flujo mensual'!BF46+'Flujo mensual'!BG46+'Flujo mensual'!BH46+'Flujo mensual'!BI46+'Flujo mensual'!BJ46</f>
        <v>80796616607.3806</v>
      </c>
      <c r="H31" s="46" t="n">
        <f aca="false">'Flujo mensual'!BK46+'Flujo mensual'!BL46+'Flujo mensual'!BM46+'Flujo mensual'!BN46+'Flujo mensual'!BO46+'Flujo mensual'!BP46+'Flujo mensual'!BQ46+'Flujo mensual'!BR46+'Flujo mensual'!BS46+'Flujo mensual'!BT46+'Flujo mensual'!BU46+'Flujo mensual'!BV46</f>
        <v>88240152713.8918</v>
      </c>
      <c r="I31" s="46" t="n">
        <f aca="false">'Flujo mensual'!BW46+'Flujo mensual'!BX46+'Flujo mensual'!BY46+'Flujo mensual'!BZ46+'Flujo mensual'!CA46+'Flujo mensual'!CB46+'Flujo mensual'!CC46+'Flujo mensual'!CD46+'Flujo mensual'!CE46+'Flujo mensual'!CF46+'Flujo mensual'!CG46+'Flujo mensual'!CH46</f>
        <v>95895428307.1031</v>
      </c>
      <c r="J31" s="46" t="n">
        <f aca="false">'Flujo mensual'!CI46+'Flujo mensual'!CJ46+'Flujo mensual'!CK46+'Flujo mensual'!CL46+'Flujo mensual'!CM46+'Flujo mensual'!CN46+'Flujo mensual'!CO46+'Flujo mensual'!CP46+'Flujo mensual'!CQ46+'Flujo mensual'!CR46+'Flujo mensual'!CS46+'Flujo mensual'!CT46</f>
        <v>103767073447.385</v>
      </c>
    </row>
    <row r="32" customFormat="false" ht="15" hidden="false" customHeight="true" outlineLevel="0" collapsed="false">
      <c r="B32" s="38" t="s">
        <v>432</v>
      </c>
      <c r="C32" s="39" t="n">
        <f aca="false">'Flujo mensual'!N49</f>
        <v>40334262022.6781</v>
      </c>
      <c r="D32" s="39" t="n">
        <f aca="false">'Flujo mensual'!Z49</f>
        <v>79547219337.9009</v>
      </c>
      <c r="E32" s="39" t="n">
        <f aca="false">'Flujo mensual'!AL49</f>
        <v>139902105928.155</v>
      </c>
      <c r="F32" s="39" t="n">
        <f aca="false">'Flujo mensual'!AX49</f>
        <v>211566285102.24</v>
      </c>
      <c r="G32" s="39" t="n">
        <f aca="false">'Flujo mensual'!BJ49</f>
        <v>292362901709.62</v>
      </c>
      <c r="H32" s="39" t="n">
        <f aca="false">'Flujo mensual'!BV49</f>
        <v>380603054423.512</v>
      </c>
      <c r="I32" s="39" t="n">
        <f aca="false">'Flujo mensual'!CH49</f>
        <v>476498482730.615</v>
      </c>
      <c r="J32" s="39" t="n">
        <f aca="false">'Flujo mensual'!CT49</f>
        <v>580265556178.001</v>
      </c>
    </row>
    <row r="33" customFormat="false" ht="15" hidden="false" customHeight="true" outlineLevel="0" collapsed="false">
      <c r="B33" s="15" t="s">
        <v>433</v>
      </c>
      <c r="C33" s="46" t="n">
        <f aca="false">Deuda!N11</f>
        <v>16822184084</v>
      </c>
      <c r="D33" s="46" t="n">
        <f aca="false">Deuda!Z11</f>
        <v>2184039668.99999</v>
      </c>
      <c r="E33" s="46" t="n">
        <f aca="false">Deuda!AL11</f>
        <v>0</v>
      </c>
      <c r="F33" s="46" t="n">
        <f aca="false">Deuda!AX11</f>
        <v>0</v>
      </c>
      <c r="G33" s="46" t="n">
        <f aca="false">Deuda!BJ11</f>
        <v>0</v>
      </c>
      <c r="H33" s="46" t="n">
        <f aca="false">Deuda!BV11</f>
        <v>0</v>
      </c>
      <c r="I33" s="46" t="n">
        <f aca="false">Deuda!CH11</f>
        <v>0</v>
      </c>
      <c r="J33" s="46" t="n">
        <f aca="false">Deuda!CT11</f>
        <v>0</v>
      </c>
    </row>
    <row r="34" customFormat="false" ht="15" hidden="false" customHeight="true" outlineLevel="0" collapsed="false">
      <c r="B34" s="15" t="s">
        <v>405</v>
      </c>
      <c r="C34" s="46" t="n">
        <f aca="false">Deuda!N15</f>
        <v>11501178106.0912</v>
      </c>
      <c r="D34" s="46" t="n">
        <f aca="false">Deuda!Z15</f>
        <v>11651703070.8841</v>
      </c>
      <c r="E34" s="46" t="n">
        <f aca="false">Deuda!AL15</f>
        <v>11802228035.677</v>
      </c>
      <c r="F34" s="46" t="n">
        <f aca="false">Deuda!AX15</f>
        <v>11952753000.4699</v>
      </c>
      <c r="G34" s="46" t="n">
        <f aca="false">Deuda!BJ15</f>
        <v>11952753000.4698</v>
      </c>
      <c r="H34" s="46" t="n">
        <f aca="false">Deuda!BV15</f>
        <v>11952753000.4698</v>
      </c>
      <c r="I34" s="46" t="n">
        <f aca="false">Deuda!CH15</f>
        <v>11952753000.4698</v>
      </c>
      <c r="J34" s="46" t="n">
        <f aca="false">Deuda!CT15</f>
        <v>11952753000.4697</v>
      </c>
    </row>
    <row r="36" customFormat="false" ht="15" hidden="false" customHeight="true" outlineLevel="0" collapsed="false">
      <c r="B36" s="35" t="s">
        <v>434</v>
      </c>
      <c r="C36" s="36"/>
      <c r="D36" s="36"/>
      <c r="E36" s="36"/>
      <c r="F36" s="36"/>
      <c r="G36" s="36"/>
      <c r="H36" s="36"/>
      <c r="I36" s="36"/>
      <c r="J36" s="36"/>
    </row>
    <row r="37" customFormat="false" ht="15" hidden="false" customHeight="true" outlineLevel="0" collapsed="false">
      <c r="B37" s="15" t="s">
        <v>435</v>
      </c>
      <c r="C37" s="62" t="n">
        <f aca="false">Recursos!C23</f>
        <v>0.89793924619218</v>
      </c>
      <c r="D37" s="62" t="n">
        <f aca="false">Recursos!O23</f>
        <v>0.907817252472939</v>
      </c>
      <c r="E37" s="62" t="n">
        <f aca="false">Recursos!AA23</f>
        <v>0.917718345834752</v>
      </c>
      <c r="F37" s="62" t="n">
        <f aca="false">Recursos!AM23</f>
        <v>0.927641264828266</v>
      </c>
      <c r="G37" s="62" t="n">
        <f aca="false">Recursos!AY23</f>
        <v>0.927577308841304</v>
      </c>
      <c r="H37" s="62" t="n">
        <f aca="false">Recursos!BK23</f>
        <v>0.927515847406955</v>
      </c>
      <c r="I37" s="62" t="n">
        <f aca="false">Recursos!BW23</f>
        <v>0.927456787303337</v>
      </c>
      <c r="J37" s="62" t="n">
        <f aca="false">Recursos!CI23</f>
        <v>0.927400038472815</v>
      </c>
    </row>
    <row r="38" customFormat="false" ht="15" hidden="false" customHeight="true" outlineLevel="0" collapsed="false">
      <c r="B38" s="15" t="s">
        <v>436</v>
      </c>
      <c r="C38" s="51" t="n">
        <f aca="false">IFERROR(C25/C24,0)</f>
        <v>0.125</v>
      </c>
      <c r="D38" s="51" t="n">
        <f aca="false">IFERROR(D25/D24,0)</f>
        <v>0.25</v>
      </c>
      <c r="E38" s="51" t="n">
        <f aca="false">IFERROR(E25/E24,0)</f>
        <v>0.375</v>
      </c>
      <c r="F38" s="51" t="n">
        <f aca="false">IFERROR(F25/F24,0)</f>
        <v>0.5</v>
      </c>
      <c r="G38" s="51" t="n">
        <f aca="false">IFERROR(G25/G24,0)</f>
        <v>0.5</v>
      </c>
      <c r="H38" s="51" t="n">
        <f aca="false">IFERROR(H25/H24,0)</f>
        <v>0.5</v>
      </c>
      <c r="I38" s="51" t="n">
        <f aca="false">IFERROR(I25/I24,0)</f>
        <v>0.5</v>
      </c>
      <c r="J38" s="51" t="n">
        <f aca="false">IFERROR(J25/J24,0)</f>
        <v>0.5</v>
      </c>
    </row>
    <row r="39" customFormat="false" ht="15" hidden="false" customHeight="true" outlineLevel="0" collapsed="false">
      <c r="B39" s="15" t="s">
        <v>437</v>
      </c>
      <c r="C39" s="40" t="n">
        <f aca="false">IFERROR(C25/324230000000,0)</f>
        <v>0.0222896205433874</v>
      </c>
      <c r="D39" s="40" t="n">
        <f aca="false">IFERROR(D25/324230000000,0)</f>
        <v>0.0445792410867748</v>
      </c>
      <c r="E39" s="40" t="n">
        <f aca="false">IFERROR(E25/324230000000,0)</f>
        <v>0.0668688616301622</v>
      </c>
      <c r="F39" s="40" t="n">
        <f aca="false">IFERROR(F25/324230000000,0)</f>
        <v>0.0891584821735497</v>
      </c>
      <c r="G39" s="40" t="n">
        <f aca="false">IFERROR(G25/324230000000,0)</f>
        <v>0.0891584821735497</v>
      </c>
      <c r="H39" s="40" t="n">
        <f aca="false">IFERROR(H25/324230000000,0)</f>
        <v>0.0891584821735497</v>
      </c>
      <c r="I39" s="40" t="n">
        <f aca="false">IFERROR(I25/324230000000,0)</f>
        <v>0.0891584821735497</v>
      </c>
      <c r="J39" s="40" t="n">
        <f aca="false">IFERROR(J25/324230000000,0)</f>
        <v>0.0891584821735497</v>
      </c>
    </row>
    <row r="40" customFormat="false" ht="15" hidden="false" customHeight="true" outlineLevel="0" collapsed="false">
      <c r="B40" s="15" t="s">
        <v>438</v>
      </c>
      <c r="C40" s="51" t="n">
        <f aca="false">IFERROR(C30/C14,0)</f>
        <v>-0.00463434732247096</v>
      </c>
      <c r="D40" s="51" t="n">
        <f aca="false">IFERROR(D30/D14,0)</f>
        <v>0.0306993608530486</v>
      </c>
      <c r="E40" s="51" t="n">
        <f aca="false">IFERROR(E30/E14,0)</f>
        <v>0.090391056795073</v>
      </c>
      <c r="F40" s="51" t="n">
        <f aca="false">IFERROR(F30/F14,0)</f>
        <v>0.118015957086269</v>
      </c>
      <c r="G40" s="51" t="n">
        <f aca="false">IFERROR(G30/G14,0)</f>
        <v>0.134025840916559</v>
      </c>
      <c r="H40" s="51" t="n">
        <f aca="false">IFERROR(H30/H14,0)</f>
        <v>0.149778670966749</v>
      </c>
      <c r="I40" s="51" t="n">
        <f aca="false">IFERROR(I30/I14,0)</f>
        <v>0.165276611571658</v>
      </c>
      <c r="J40" s="51" t="n">
        <f aca="false">IFERROR(J30/J14,0)</f>
        <v>0.18052193410613</v>
      </c>
    </row>
    <row r="41" customFormat="false" ht="15" hidden="false" customHeight="true" outlineLevel="0" collapsed="false">
      <c r="B41" s="15" t="s">
        <v>439</v>
      </c>
      <c r="C41" s="63" t="n">
        <f aca="false">'Gastos objeto'!H26</f>
        <v>0.731580916850403</v>
      </c>
      <c r="D41" s="63" t="n">
        <f aca="false">'Gastos objeto'!T26</f>
        <v>0.728098424592481</v>
      </c>
      <c r="E41" s="63" t="n">
        <f aca="false">'Gastos objeto'!AF26</f>
        <v>0.713372147151888</v>
      </c>
      <c r="F41" s="63" t="n">
        <f aca="false">'Gastos objeto'!AR26</f>
        <v>0.707175770901953</v>
      </c>
      <c r="G41" s="63" t="n">
        <f aca="false">'Gastos objeto'!BD26</f>
        <v>0.707175770901953</v>
      </c>
      <c r="H41" s="63" t="n">
        <f aca="false">'Gastos objeto'!BP26</f>
        <v>0.707175770901953</v>
      </c>
      <c r="I41" s="63" t="n">
        <f aca="false">'Gastos objeto'!CB26</f>
        <v>0.707175770901953</v>
      </c>
      <c r="J41" s="63" t="n">
        <f aca="false">'Gastos objeto'!CN26</f>
        <v>0.707175770901953</v>
      </c>
    </row>
    <row r="42" customFormat="false" ht="15" hidden="false" customHeight="true" outlineLevel="0" collapsed="false">
      <c r="B42" s="15" t="s">
        <v>440</v>
      </c>
      <c r="C42" s="63" t="n">
        <f aca="false">'Gastos función'!H28</f>
        <v>0.236269064433265</v>
      </c>
      <c r="D42" s="63" t="n">
        <f aca="false">'Gastos función'!T28</f>
        <v>0.233766291592356</v>
      </c>
      <c r="E42" s="63" t="n">
        <f aca="false">'Gastos función'!AF28</f>
        <v>0.241964445471006</v>
      </c>
      <c r="F42" s="63" t="n">
        <f aca="false">'Gastos función'!AR28</f>
        <v>0.242094809945391</v>
      </c>
      <c r="G42" s="63" t="n">
        <f aca="false">'Gastos función'!BD28</f>
        <v>0.242094809945391</v>
      </c>
      <c r="H42" s="63" t="n">
        <f aca="false">'Gastos función'!BP28</f>
        <v>0.242094809945391</v>
      </c>
      <c r="I42" s="63" t="n">
        <f aca="false">'Gastos función'!CB28</f>
        <v>0.242094809945391</v>
      </c>
      <c r="J42" s="63" t="n">
        <f aca="false">'Gastos función'!CN28</f>
        <v>0.242094809945391</v>
      </c>
    </row>
    <row r="43" customFormat="false" ht="15" hidden="false" customHeight="true" outlineLevel="0" collapsed="false">
      <c r="B43" s="15" t="s">
        <v>441</v>
      </c>
      <c r="C43" s="37" t="n">
        <f aca="false">(Programas!C9+Programas!D9+Programas!E9+Programas!F9+Programas!G9+Programas!H9+Programas!I9+Programas!J9+Programas!K9+Programas!L9+Programas!M9+Programas!N9)+Supuestos!$C$49</f>
        <v>2312001267.455</v>
      </c>
      <c r="D43" s="37" t="n">
        <f aca="false">(Programas!O9+Programas!P9+Programas!Q9+Programas!R9+Programas!S9+Programas!T9+Programas!U9+Programas!V9+Programas!W9+Programas!X9+Programas!Y9+Programas!Z9)+Supuestos!$C$49</f>
        <v>4118300844.97</v>
      </c>
      <c r="E43" s="37" t="n">
        <f aca="false">(Programas!AA9+Programas!AB9+Programas!AC9+Programas!AD9+Programas!AE9+Programas!AF9+Programas!AG9+Programas!AH9+Programas!AI9+Programas!AJ9+Programas!AK9+Programas!AL9)+Supuestos!$C$49</f>
        <v>5924600422.485</v>
      </c>
      <c r="F43" s="37" t="n">
        <f aca="false">(Programas!AM9+Programas!AN9+Programas!AO9+Programas!AP9+Programas!AQ9+Programas!AR9+Programas!AS9+Programas!AT9+Programas!AU9+Programas!AV9+Programas!AW9+Programas!AX9)+Supuestos!$C$49</f>
        <v>7730900000</v>
      </c>
      <c r="G43" s="37" t="n">
        <f aca="false">(Programas!AY9+Programas!AZ9+Programas!BA9+Programas!BB9+Programas!BC9+Programas!BD9+Programas!BE9+Programas!BF9+Programas!BG9+Programas!BH9+Programas!BI9+Programas!BJ9)+Supuestos!$C$49</f>
        <v>7730900000</v>
      </c>
      <c r="H43" s="37" t="n">
        <f aca="false">(Programas!BK9+Programas!BL9+Programas!BM9+Programas!BN9+Programas!BO9+Programas!BP9+Programas!BQ9+Programas!BR9+Programas!BS9+Programas!BT9+Programas!BU9+Programas!BV9)+Supuestos!$C$49</f>
        <v>7730900000</v>
      </c>
      <c r="I43" s="37" t="n">
        <f aca="false">(Programas!BW9+Programas!BX9+Programas!BY9+Programas!BZ9+Programas!CA9+Programas!CB9+Programas!CC9+Programas!CD9+Programas!CE9+Programas!CF9+Programas!CG9+Programas!CH9)+Supuestos!$C$49</f>
        <v>7730900000</v>
      </c>
      <c r="J43" s="37" t="n">
        <f aca="false">(Programas!CI9+Programas!CJ9+Programas!CK9+Programas!CL9+Programas!CM9+Programas!CN9+Programas!CO9+Programas!CP9+Programas!CQ9+Programas!CR9+Programas!CS9+Programas!CT9)+Supuestos!$C$49</f>
        <v>7730900000</v>
      </c>
    </row>
    <row r="45" customFormat="false" ht="15" hidden="false" customHeight="true" outlineLevel="0" collapsed="false">
      <c r="B45" s="42" t="s">
        <v>442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8"/>
    <col collapsed="false" customWidth="true" hidden="false" outlineLevel="0" max="5" min="3" style="1" width="15"/>
    <col collapsed="false" customWidth="true" hidden="false" outlineLevel="0" max="6" min="6" style="1" width="86"/>
  </cols>
  <sheetData>
    <row r="2" customFormat="false" ht="15.75" hidden="false" customHeight="true" outlineLevel="0" collapsed="false">
      <c r="B2" s="13" t="s">
        <v>443</v>
      </c>
    </row>
    <row r="3" customFormat="false" ht="15" hidden="false" customHeight="true" outlineLevel="0" collapsed="false">
      <c r="B3" s="3" t="s">
        <v>444</v>
      </c>
    </row>
    <row r="5" customFormat="false" ht="15" hidden="false" customHeight="true" outlineLevel="0" collapsed="false">
      <c r="B5" s="30" t="s">
        <v>445</v>
      </c>
      <c r="C5" s="30" t="s">
        <v>446</v>
      </c>
      <c r="D5" s="30" t="s">
        <v>447</v>
      </c>
      <c r="E5" s="30" t="s">
        <v>448</v>
      </c>
      <c r="F5" s="30" t="s">
        <v>449</v>
      </c>
    </row>
    <row r="6" customFormat="false" ht="30" hidden="false" customHeight="true" outlineLevel="0" collapsed="false">
      <c r="B6" s="15" t="s">
        <v>450</v>
      </c>
      <c r="C6" s="54" t="n">
        <v>-0.01</v>
      </c>
      <c r="D6" s="18" t="n">
        <v>0.0195</v>
      </c>
      <c r="E6" s="54" t="n">
        <v>0.0349</v>
      </c>
      <c r="F6" s="17" t="s">
        <v>451</v>
      </c>
    </row>
    <row r="7" customFormat="false" ht="30" hidden="false" customHeight="true" outlineLevel="0" collapsed="false">
      <c r="B7" s="15" t="s">
        <v>452</v>
      </c>
      <c r="C7" s="54" t="n">
        <v>-0.05</v>
      </c>
      <c r="D7" s="18" t="n">
        <v>-0.02196</v>
      </c>
      <c r="E7" s="54" t="n">
        <v>0</v>
      </c>
      <c r="F7" s="17" t="s">
        <v>453</v>
      </c>
    </row>
    <row r="8" customFormat="false" ht="30" hidden="false" customHeight="true" outlineLevel="0" collapsed="false">
      <c r="B8" s="15" t="s">
        <v>454</v>
      </c>
      <c r="C8" s="54" t="n">
        <v>0.8444</v>
      </c>
      <c r="D8" s="18" t="n">
        <v>0.89</v>
      </c>
      <c r="E8" s="54" t="n">
        <v>0.9351</v>
      </c>
      <c r="F8" s="17" t="s">
        <v>455</v>
      </c>
    </row>
    <row r="9" customFormat="false" ht="30" hidden="false" customHeight="true" outlineLevel="0" collapsed="false">
      <c r="B9" s="15" t="s">
        <v>456</v>
      </c>
      <c r="C9" s="54" t="n">
        <v>0.02</v>
      </c>
      <c r="D9" s="18" t="n">
        <v>0</v>
      </c>
      <c r="E9" s="54" t="n">
        <v>-0.01</v>
      </c>
      <c r="F9" s="17" t="s">
        <v>457</v>
      </c>
    </row>
    <row r="11" customFormat="false" ht="15" hidden="false" customHeight="true" outlineLevel="0" collapsed="false">
      <c r="B11" s="35" t="s">
        <v>458</v>
      </c>
      <c r="C11" s="36"/>
      <c r="D11" s="36"/>
      <c r="E11" s="36"/>
      <c r="F11" s="36"/>
    </row>
    <row r="12" customFormat="false" ht="15" hidden="false" customHeight="true" outlineLevel="0" collapsed="false">
      <c r="B12" s="15" t="s">
        <v>459</v>
      </c>
      <c r="C12" s="46" t="n">
        <f aca="false">SUM('Resumen anual'!C30:J30)</f>
        <v>311855892265.076</v>
      </c>
    </row>
    <row r="13" customFormat="false" ht="15" hidden="false" customHeight="true" outlineLevel="0" collapsed="false">
      <c r="B13" s="15" t="s">
        <v>460</v>
      </c>
      <c r="C13" s="46" t="n">
        <f aca="false">'Resumen anual'!J32</f>
        <v>580265556178.001</v>
      </c>
    </row>
    <row r="14" customFormat="false" ht="15" hidden="false" customHeight="true" outlineLevel="0" collapsed="false">
      <c r="B14" s="15" t="s">
        <v>461</v>
      </c>
      <c r="C14" s="46" t="n">
        <f aca="false">Vecinal!J22</f>
        <v>187901055388.345</v>
      </c>
    </row>
    <row r="15" customFormat="false" ht="15" hidden="false" customHeight="true" outlineLevel="0" collapsed="false">
      <c r="B15" s="15" t="s">
        <v>462</v>
      </c>
      <c r="C15" s="46" t="n">
        <f aca="false">Deuda!CT15</f>
        <v>11952753000.4697</v>
      </c>
    </row>
    <row r="18" customFormat="false" ht="15" hidden="false" customHeight="true" outlineLevel="0" collapsed="false">
      <c r="B18" s="42" t="s">
        <v>463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F7057"/>
    <pageSetUpPr fitToPage="false"/>
  </sheetPr>
  <dimension ref="B2:F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60"/>
    <col collapsed="false" customWidth="true" hidden="false" outlineLevel="0" max="5" min="3" style="1" width="21"/>
    <col collapsed="false" customWidth="true" hidden="false" outlineLevel="0" max="6" min="6" style="1" width="42"/>
  </cols>
  <sheetData>
    <row r="2" customFormat="false" ht="15.75" hidden="false" customHeight="true" outlineLevel="0" collapsed="false">
      <c r="B2" s="13" t="s">
        <v>464</v>
      </c>
    </row>
    <row r="3" customFormat="false" ht="15" hidden="false" customHeight="true" outlineLevel="0" collapsed="false">
      <c r="B3" s="3" t="s">
        <v>465</v>
      </c>
    </row>
    <row r="5" customFormat="false" ht="15" hidden="false" customHeight="true" outlineLevel="0" collapsed="false">
      <c r="B5" s="52" t="s">
        <v>466</v>
      </c>
      <c r="C5" s="52" t="s">
        <v>467</v>
      </c>
      <c r="D5" s="52" t="s">
        <v>373</v>
      </c>
      <c r="E5" s="52" t="s">
        <v>468</v>
      </c>
      <c r="F5" s="52" t="s">
        <v>469</v>
      </c>
    </row>
    <row r="6" customFormat="false" ht="25.5" hidden="false" customHeight="true" outlineLevel="0" collapsed="false">
      <c r="B6" s="64" t="s">
        <v>470</v>
      </c>
      <c r="C6" s="15" t="s">
        <v>471</v>
      </c>
      <c r="D6" s="65" t="s">
        <v>472</v>
      </c>
      <c r="E6" s="65" t="s">
        <v>473</v>
      </c>
      <c r="F6" s="17" t="s">
        <v>474</v>
      </c>
    </row>
    <row r="7" customFormat="false" ht="25.5" hidden="false" customHeight="true" outlineLevel="0" collapsed="false">
      <c r="B7" s="64" t="s">
        <v>475</v>
      </c>
      <c r="C7" s="15" t="s">
        <v>476</v>
      </c>
      <c r="D7" s="66" t="n">
        <f aca="false">'Resumen anual'!F43</f>
        <v>7730900000</v>
      </c>
      <c r="E7" s="66" t="n">
        <f aca="false">'Resumen anual'!J43</f>
        <v>7730900000</v>
      </c>
      <c r="F7" s="17" t="s">
        <v>477</v>
      </c>
    </row>
    <row r="8" customFormat="false" ht="25.5" hidden="false" customHeight="true" outlineLevel="0" collapsed="false">
      <c r="B8" s="64" t="s">
        <v>478</v>
      </c>
      <c r="C8" s="15" t="s">
        <v>479</v>
      </c>
      <c r="D8" s="67" t="n">
        <f aca="false">'Resumen anual'!F37</f>
        <v>0.927641264828266</v>
      </c>
      <c r="E8" s="67" t="n">
        <f aca="false">'Resumen anual'!J37</f>
        <v>0.927400038472815</v>
      </c>
      <c r="F8" s="17" t="s">
        <v>480</v>
      </c>
    </row>
    <row r="9" customFormat="false" ht="25.5" hidden="false" customHeight="true" outlineLevel="0" collapsed="false">
      <c r="B9" s="64" t="s">
        <v>481</v>
      </c>
      <c r="C9" s="15" t="s">
        <v>482</v>
      </c>
      <c r="D9" s="65" t="s">
        <v>483</v>
      </c>
      <c r="E9" s="65" t="s">
        <v>483</v>
      </c>
      <c r="F9" s="17" t="s">
        <v>484</v>
      </c>
    </row>
    <row r="10" customFormat="false" ht="25.5" hidden="false" customHeight="true" outlineLevel="0" collapsed="false">
      <c r="B10" s="64" t="s">
        <v>485</v>
      </c>
      <c r="C10" s="15" t="s">
        <v>486</v>
      </c>
      <c r="D10" s="68" t="n">
        <f aca="false">'Resumen anual'!F38</f>
        <v>0.5</v>
      </c>
      <c r="E10" s="68" t="n">
        <f aca="false">'Resumen anual'!J38</f>
        <v>0.5</v>
      </c>
      <c r="F10" s="17" t="s">
        <v>487</v>
      </c>
    </row>
    <row r="11" customFormat="false" ht="25.5" hidden="false" customHeight="true" outlineLevel="0" collapsed="false">
      <c r="B11" s="64" t="s">
        <v>488</v>
      </c>
      <c r="C11" s="15" t="s">
        <v>489</v>
      </c>
      <c r="D11" s="66" t="n">
        <f aca="false">'Resumen anual'!F25</f>
        <v>28907854675.13</v>
      </c>
      <c r="E11" s="66" t="n">
        <f aca="false">'Resumen anual'!J25</f>
        <v>28907854675.13</v>
      </c>
      <c r="F11" s="17" t="s">
        <v>490</v>
      </c>
    </row>
    <row r="12" customFormat="false" ht="25.5" hidden="false" customHeight="true" outlineLevel="0" collapsed="false">
      <c r="B12" s="64" t="s">
        <v>491</v>
      </c>
      <c r="C12" s="15" t="s">
        <v>492</v>
      </c>
      <c r="D12" s="65" t="s">
        <v>493</v>
      </c>
      <c r="E12" s="65" t="s">
        <v>493</v>
      </c>
      <c r="F12" s="17" t="s">
        <v>494</v>
      </c>
    </row>
    <row r="13" customFormat="false" ht="25.5" hidden="false" customHeight="true" outlineLevel="0" collapsed="false">
      <c r="B13" s="64" t="s">
        <v>495</v>
      </c>
      <c r="C13" s="15" t="s">
        <v>496</v>
      </c>
      <c r="D13" s="65" t="s">
        <v>497</v>
      </c>
      <c r="E13" s="65" t="s">
        <v>497</v>
      </c>
      <c r="F13" s="17" t="s">
        <v>498</v>
      </c>
    </row>
    <row r="14" customFormat="false" ht="25.5" hidden="false" customHeight="true" outlineLevel="0" collapsed="false">
      <c r="B14" s="64" t="s">
        <v>499</v>
      </c>
      <c r="C14" s="15" t="s">
        <v>500</v>
      </c>
      <c r="D14" s="65" t="s">
        <v>501</v>
      </c>
      <c r="E14" s="65" t="s">
        <v>501</v>
      </c>
      <c r="F14" s="17" t="s">
        <v>502</v>
      </c>
    </row>
    <row r="15" customFormat="false" ht="25.5" hidden="false" customHeight="true" outlineLevel="0" collapsed="false">
      <c r="B15" s="64" t="s">
        <v>503</v>
      </c>
      <c r="C15" s="15" t="s">
        <v>504</v>
      </c>
      <c r="D15" s="65" t="s">
        <v>505</v>
      </c>
      <c r="E15" s="65" t="s">
        <v>505</v>
      </c>
      <c r="F15" s="17" t="s">
        <v>506</v>
      </c>
    </row>
    <row r="16" customFormat="false" ht="25.5" hidden="false" customHeight="true" outlineLevel="0" collapsed="false">
      <c r="B16" s="64" t="s">
        <v>507</v>
      </c>
      <c r="C16" s="15" t="s">
        <v>508</v>
      </c>
      <c r="D16" s="65" t="s">
        <v>509</v>
      </c>
      <c r="E16" s="65" t="s">
        <v>509</v>
      </c>
      <c r="F16" s="17" t="s">
        <v>510</v>
      </c>
    </row>
    <row r="17" customFormat="false" ht="25.5" hidden="false" customHeight="true" outlineLevel="0" collapsed="false">
      <c r="B17" s="64" t="s">
        <v>511</v>
      </c>
      <c r="C17" s="15" t="s">
        <v>512</v>
      </c>
      <c r="D17" s="65" t="s">
        <v>513</v>
      </c>
      <c r="E17" s="65" t="s">
        <v>514</v>
      </c>
      <c r="F17" s="17" t="s">
        <v>515</v>
      </c>
    </row>
    <row r="18" customFormat="false" ht="25.5" hidden="false" customHeight="true" outlineLevel="0" collapsed="false">
      <c r="B18" s="64" t="s">
        <v>516</v>
      </c>
      <c r="C18" s="15" t="s">
        <v>512</v>
      </c>
      <c r="D18" s="65" t="s">
        <v>517</v>
      </c>
      <c r="E18" s="65" t="s">
        <v>517</v>
      </c>
      <c r="F18" s="17" t="s">
        <v>506</v>
      </c>
    </row>
    <row r="20" customFormat="false" ht="15" hidden="false" customHeight="true" outlineLevel="0" collapsed="false">
      <c r="B20" s="42" t="s">
        <v>518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2026-09-15T03:03:29Z</dcterms:created>
  <dc:creator>openpyxl</dc:creator>
  <dc:description/>
  <dc:language>en-US</dc:language>
  <cp:lastModifiedBy/>
  <dcterms:modified xsi:type="dcterms:W3CDTF">2026-09-17T07:36:17Z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