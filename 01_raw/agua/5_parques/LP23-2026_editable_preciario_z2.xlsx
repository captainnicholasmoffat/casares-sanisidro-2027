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mdestuet\Downloads\"/>
    </mc:Choice>
  </mc:AlternateContent>
  <xr:revisionPtr revIDLastSave="0" documentId="13_ncr:1_{BEB9A456-D7E3-49B2-8FBA-F672EB0ABE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ona 2" sheetId="1" r:id="rId1"/>
    <sheet name="Hoja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hmQZK0QFOQSAzzjcboBNQZvjVXZBHskkze6heTnLZto="/>
    </ext>
  </extLst>
</workbook>
</file>

<file path=xl/calcChain.xml><?xml version="1.0" encoding="utf-8"?>
<calcChain xmlns="http://schemas.openxmlformats.org/spreadsheetml/2006/main">
  <c r="G159" i="1" l="1"/>
  <c r="D25" i="2"/>
  <c r="D26" i="2" s="1"/>
  <c r="B32" i="2" s="1"/>
  <c r="D24" i="2"/>
  <c r="D23" i="2"/>
  <c r="D22" i="2"/>
  <c r="D3" i="2"/>
  <c r="D4" i="2" s="1"/>
  <c r="D5" i="2" s="1"/>
  <c r="D6" i="2" s="1"/>
  <c r="D7" i="2" s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B12" i="2" l="1"/>
  <c r="D10" i="2"/>
</calcChain>
</file>

<file path=xl/sharedStrings.xml><?xml version="1.0" encoding="utf-8"?>
<sst xmlns="http://schemas.openxmlformats.org/spreadsheetml/2006/main" count="455" uniqueCount="179">
  <si>
    <t>MUNICIPALIDAD DE SAN ISIDRO</t>
  </si>
  <si>
    <t>redet 1</t>
  </si>
  <si>
    <t>redet 2</t>
  </si>
  <si>
    <t>redet 3</t>
  </si>
  <si>
    <t>redet 4</t>
  </si>
  <si>
    <t>VERDE INTEGAL</t>
  </si>
  <si>
    <t>Item</t>
  </si>
  <si>
    <t>Prestaciones</t>
  </si>
  <si>
    <t>Descripción</t>
  </si>
  <si>
    <t>Unidad</t>
  </si>
  <si>
    <t>Cantidades</t>
  </si>
  <si>
    <t>Totales</t>
  </si>
  <si>
    <t>Servicio de poda  por corredores</t>
  </si>
  <si>
    <t>Poda árbol hasta 4 m. de h. (Limpieza + 1 tipo de poda)</t>
  </si>
  <si>
    <t>U.</t>
  </si>
  <si>
    <t>Poda árbol hasta 4 m. de h. (Limpieza + 2 tipos de poda)</t>
  </si>
  <si>
    <t>Poda árbol hasta 4 m. de h. (Limpieza + 3 o más tipos de poda)</t>
  </si>
  <si>
    <t>Poda árbol &gt; 4 m. hasta 8 m. de h. (Limpieza + 1 tipo de poda)</t>
  </si>
  <si>
    <t>Poda árbol &gt; 4 m. hasta 8 m. de h. (Limpieza + 2 tipos de poda)</t>
  </si>
  <si>
    <t>Poda árbol &gt; 4 m. hasta 8 m. de h. (Limpieza +3 o más tipos de poda)</t>
  </si>
  <si>
    <t>Poda árbol &gt; 8 m. hasta 12 m. de h. (Limpieza + 1 tipo de poda)</t>
  </si>
  <si>
    <t>Poda árbol &gt; 8 m. hasta 12 m. de h. (Limpieza + 2 tipos de poda)</t>
  </si>
  <si>
    <t>Poda árbol &gt; 8 m. hasta 12 m. de h. (Limpieza +3 o más tipos de poda)</t>
  </si>
  <si>
    <t>Poda árbol &gt; 12 m. hasta 16 m. de h. (Limpieza + 1 tipo de poda)</t>
  </si>
  <si>
    <t>Poda árbol &gt; 12 m. hasta 16 m. de h. (Limpieza + 2 tipos de poda)</t>
  </si>
  <si>
    <t>Poda árbol &gt; 12 m. hasta 16 m. de h. (Limpieza +3 o más tipos de poda)</t>
  </si>
  <si>
    <t>Poda árbol &gt; 16 m. hasta 20 m. de h. (Limpieza + 1 tipo de poda)</t>
  </si>
  <si>
    <t>Poda árbol &gt; 16 m. hasta 20 m. de h. (Limpieza + 2 tipos de poda)</t>
  </si>
  <si>
    <t>Poda árbol &gt; 16 m. hasta 20 m. de h. (Limpieza +3 o más tipos de poda)</t>
  </si>
  <si>
    <t>Poda árbol &gt; 20 m. de h. (Limpieza + 1 tipo de poda)</t>
  </si>
  <si>
    <t>Poda árbol &gt; 20 m. de h. (Limpieza + 2 tipos de poda)</t>
  </si>
  <si>
    <t>Poda árbol &gt; 20 m. de h. (Limpieza +3 o más tipos de poda)</t>
  </si>
  <si>
    <t>Poda de reducción en grandes ejemplares &gt; 20 m de altura</t>
  </si>
  <si>
    <t>Poda  Puntual</t>
  </si>
  <si>
    <t>Poda primer árbol</t>
  </si>
  <si>
    <t>Poda árbol complementario (hasta 2 por cada posición)</t>
  </si>
  <si>
    <t>Extracciones</t>
  </si>
  <si>
    <t>Árbol  hasta  5 cm de DAP</t>
  </si>
  <si>
    <t>Árbol &gt; 5 cm y hasta  10 cm de DAP</t>
  </si>
  <si>
    <t>Árbol &gt; 10 cm y hasta 20 cm de DAP</t>
  </si>
  <si>
    <t>Árbol &gt; 20 cm y hasta 40 cm de DAP</t>
  </si>
  <si>
    <t>Árbol &gt; 40 cm y hasta 60 cm de DAP</t>
  </si>
  <si>
    <t>Árbol &gt; 60 cm y hasta 80 cm de DAP</t>
  </si>
  <si>
    <t>Árbol  &gt; 80 cm y hasta 100 cm de DAP</t>
  </si>
  <si>
    <t>Árbol  &gt; 100 cm de DAP</t>
  </si>
  <si>
    <t>Retiro de cepa</t>
  </si>
  <si>
    <t>Cepa &gt; 10 cm y hasta 20 cm de DAP</t>
  </si>
  <si>
    <t>Cepa &gt; 20 cm y hasta 40 cm de DAP</t>
  </si>
  <si>
    <t>Cepa &gt; 40 cm y hasta 60 cm de DAP</t>
  </si>
  <si>
    <t>Cepa &gt; 60 cm y hasta 80 cm de DAP</t>
  </si>
  <si>
    <t>Cepa  &gt; 80 cm y hasta  100 cm de DAP</t>
  </si>
  <si>
    <t>Cepa  &gt; 100 cm de DAP</t>
  </si>
  <si>
    <t>Corte o poda  de raíces</t>
  </si>
  <si>
    <t>Superficial sin poda  aérea</t>
  </si>
  <si>
    <t>Superficial con poda  aérea</t>
  </si>
  <si>
    <t>Profunda  sin poda  aérea</t>
  </si>
  <si>
    <t>Profunda  con poda  aérea</t>
  </si>
  <si>
    <t>Superficial  y profunda  sin poda  aérea</t>
  </si>
  <si>
    <t>Superficial  y profunda  con poda  aérea</t>
  </si>
  <si>
    <t>Provisión de árboles  de tamaño especial o semiejemplares</t>
  </si>
  <si>
    <t>Provisión árboles estándar Clase A</t>
  </si>
  <si>
    <t>Provisión árboles estándar Clase B</t>
  </si>
  <si>
    <t>Provisión árboles estándar Clase C</t>
  </si>
  <si>
    <t>Provisión árboles  semiejemplar Clase A</t>
  </si>
  <si>
    <t>Provisión árboles  semiejemplar Clase B</t>
  </si>
  <si>
    <t>Plantación MO</t>
  </si>
  <si>
    <t xml:space="preserve">Plantación de árboles tamaño estándar </t>
  </si>
  <si>
    <t>Plantación de árboles tamaño semiejemplar</t>
  </si>
  <si>
    <t>Retiro de poda</t>
  </si>
  <si>
    <t>Poda árbol hasta  12 m. de h.</t>
  </si>
  <si>
    <t>Poda árbol desde 12 hasta 20 m. de h.</t>
  </si>
  <si>
    <t>Poda árbol &gt; 20 m de altura</t>
  </si>
  <si>
    <t>Desmonte de vereda</t>
  </si>
  <si>
    <t>Excavacion con demolicion, retiro y traslado de material sobrante segun P.E.T</t>
  </si>
  <si>
    <t>m2</t>
  </si>
  <si>
    <t>Reconstrucción  veredas</t>
  </si>
  <si>
    <t>Reconstrucción de veredas con contra piso y pluviales  y terminación mosaico granítico en panes  de 40 x 40 cm color gris.</t>
  </si>
  <si>
    <t>Reconstrucción de veredas con contra piso y pluviales  y terminación mosaico granítico en panes  de 60 x 40 cm color gris.</t>
  </si>
  <si>
    <t xml:space="preserve">Reconstrucción de veredas de hormigón H21 armado,y pluviales  con terminación peinada  o fratasada. </t>
  </si>
  <si>
    <t>Reconstrucción de veredas con contrapiso y pluviales  y terminación mosaico granítico en 64 panes de 40 x 40 cm color gris</t>
  </si>
  <si>
    <t>Reconstrucción de veredas con contrapiso y pluviales  con terminación baldosa vainilla 20 x 20 amarilla o roja</t>
  </si>
  <si>
    <t>Cordón</t>
  </si>
  <si>
    <t>Reconstrucción de cordón de plantera  en hormigón armado</t>
  </si>
  <si>
    <t>ML</t>
  </si>
  <si>
    <t>Construcción Cordón Cuneta  ( según P.E,T)</t>
  </si>
  <si>
    <t>Construcción  de Plantera</t>
  </si>
  <si>
    <t>Construcción de cazoleta o planteras  según P.E.T.</t>
  </si>
  <si>
    <t>Aporte y distribución  de sustrato en reemplazo del suelo preexistente</t>
  </si>
  <si>
    <t xml:space="preserve">Aporte y distribución sustrato para  Nuevas Planteras </t>
  </si>
  <si>
    <t>Mantenimiento  Nuevos
Ejemplares</t>
  </si>
  <si>
    <t>Mantenimiento Nuevos Ejemplares</t>
  </si>
  <si>
    <t>Tareas especiales  de mantenimiento</t>
  </si>
  <si>
    <t>Mulching vertical (m2) con aporte de mantillo</t>
  </si>
  <si>
    <t>M2</t>
  </si>
  <si>
    <t>Escarificación del suelo en área de goteo (m2)</t>
  </si>
  <si>
    <t>Tratamiento fertilización foliar árbol /palmera hasta 6 m</t>
  </si>
  <si>
    <t>Tratamiento fertilización foliar árbol/palmera entre 6 y 12 m</t>
  </si>
  <si>
    <t>Tratamiento fertilización foliar árbol/palmera mayor 12 m</t>
  </si>
  <si>
    <t>Sistemas de soporte</t>
  </si>
  <si>
    <t>Cableado con cable de acero galvanizado 10 mm</t>
  </si>
  <si>
    <t>M</t>
  </si>
  <si>
    <t>Arriostramiento</t>
  </si>
  <si>
    <t>U</t>
  </si>
  <si>
    <t>Provisión e instalación de estructura de soporte de rama en madera dura (lapacho, vira-pita o anchico) 4"x 4" con anclaje en dado de hormigón y fijaciones metálicas</t>
  </si>
  <si>
    <t>Provisión e instalación de estructura de soporte de rama en madera dura (lapacho, vira-pita o anchico) 5"x 5" con anclaje en dado de hormigón y fijaciones metálicas</t>
  </si>
  <si>
    <t>Provisión e instalación de estructura de soporte de rama en madera dura (lapacho, vira-pita o anchico) 6"x 6" con anclaje en dado de hormigón y fijaciones metálicas</t>
  </si>
  <si>
    <t>Tutorado doble con varillas de 2"x2"</t>
  </si>
  <si>
    <t>Tutorado en trípode con punta l es de 3" x 3"</t>
  </si>
  <si>
    <t>Tutorado en trípode con postes de 5" Ø</t>
  </si>
  <si>
    <t>Tutorado con riendas acero galvanizado 3 mm</t>
  </si>
  <si>
    <t>Tutorado con riendas acero galvanizado 6 mm</t>
  </si>
  <si>
    <t>Sistemas de protección</t>
  </si>
  <si>
    <t>Reja Techno galvanizada weld locked 60130 , planchuela 25 mm, barra Ø 5 mm, provisión e instalación</t>
  </si>
  <si>
    <t>Pérgola y protección de frutos voluminosos</t>
  </si>
  <si>
    <t>Carteleria de precaución, provisión e instalación</t>
  </si>
  <si>
    <t>Retiro sin remoción de cepa</t>
  </si>
  <si>
    <t>Árbol hasta 5 cm de DAP</t>
  </si>
  <si>
    <t>Árbol &gt; 5 cm y hasta 10 cm de DAP</t>
  </si>
  <si>
    <t>Trasplante</t>
  </si>
  <si>
    <t>Árbol &gt; 80 cm y hasta 100 cm de DAP</t>
  </si>
  <si>
    <t>Árbol &gt; 100 cm de DAP</t>
  </si>
  <si>
    <t>Diagnóstico  por tomografía  sónica</t>
  </si>
  <si>
    <t>Tomografía de tronco hasta 2,00 m de altura</t>
  </si>
  <si>
    <t>Tomografía de tronco a una altura mayor de 2,00</t>
  </si>
  <si>
    <t>Tratamientos fitosanitarios</t>
  </si>
  <si>
    <t>Árbol hasta 4 m. de h.</t>
  </si>
  <si>
    <t>Árbol &gt; 4 m. hasta 8 m. de h.</t>
  </si>
  <si>
    <t>Árbol &gt; 8 m. hasta 12 m. de h.</t>
  </si>
  <si>
    <t>Árbol &gt; 12 m. hasta 16 m. de h.</t>
  </si>
  <si>
    <t>Árbol &gt; 16 m. hasta 20 m. de h.</t>
  </si>
  <si>
    <t>Árbol &gt; 20 m. de h.</t>
  </si>
  <si>
    <t>Tratamiento endoterápicos</t>
  </si>
  <si>
    <t>Árbol &gt; 60 cm y hasta 90 cm de DAP</t>
  </si>
  <si>
    <t>Árbol &gt; 90 cm de DAP-</t>
  </si>
  <si>
    <t>Provisión  de Vehículo de asistencia</t>
  </si>
  <si>
    <t>Vehículo tipo partner s/chofer furgón diesel</t>
  </si>
  <si>
    <t>Mes</t>
  </si>
  <si>
    <t>Retiro de colmena o panal</t>
  </si>
  <si>
    <t>Retiro de rama sin intervención de poda</t>
  </si>
  <si>
    <t>Provisión  de Maquinaria  y servicios varios</t>
  </si>
  <si>
    <t>Camión hidroelevador de 24 m c/chofer y combustible</t>
  </si>
  <si>
    <t>Día</t>
  </si>
  <si>
    <t>Camión hidroelevador de 24 m c/chofer
y combustible</t>
  </si>
  <si>
    <t>Camión hidroelevador de 12 mc/chofer y combustible</t>
  </si>
  <si>
    <t>Retroexcavadora  0,25 m3 c/chofer y combustible</t>
  </si>
  <si>
    <t>Retroexcavadora  0,50 m3 c/chofer y combustible</t>
  </si>
  <si>
    <t>Grúa de 5 t. c/chofer y combustible</t>
  </si>
  <si>
    <t>Grúa de 10 t. c/chofer y combustible</t>
  </si>
  <si>
    <t>Provisión  de Maquinaria  y servicios  varios</t>
  </si>
  <si>
    <t>Camión hidroelevador de 12 m c/chofer y combustible</t>
  </si>
  <si>
    <t>Camión con caja volcadora y chipeadora c/chofer y combustible</t>
  </si>
  <si>
    <t>Camión volcador capacidad mínima 8m3 c/chofer y combustible</t>
  </si>
  <si>
    <t>Camión aguatero, 5000 l. con chofer, operario y combustible</t>
  </si>
  <si>
    <t>Minipala cargadora c/chofer y combustible</t>
  </si>
  <si>
    <t>Camión Playo c/chofer y combustible</t>
  </si>
  <si>
    <t>Volquete 4 m3</t>
  </si>
  <si>
    <t>Martillo neumático con operario</t>
  </si>
  <si>
    <t>Cuadrilla 4 operarios, supervisor, herramientas y camioneta , horario normal</t>
  </si>
  <si>
    <t>Cuadrilla 4 operarios, supervisor, herramientas y camioneta, sábados, domingos y feriados</t>
  </si>
  <si>
    <t>Protección metálica contra caída de ramas y frutos</t>
  </si>
  <si>
    <t>Instalación y provisión estructura metalica en hierro galvanizado</t>
  </si>
  <si>
    <t>Intervenciones fuera de jornada laboral - Poda de árbol</t>
  </si>
  <si>
    <t>Poda ejemplar hasta 5 m con retiro de producido</t>
  </si>
  <si>
    <t>Poda ejemplar entre 5 y 10 m con retiro de producido</t>
  </si>
  <si>
    <t>Poda ejemplar entre 10 y 15 m con retiro de producido</t>
  </si>
  <si>
    <t>Poda ejemplar mayor 15 m con retiro de producido</t>
  </si>
  <si>
    <t>Intervenciones fuera de jornada laboral - Extracción</t>
  </si>
  <si>
    <t>Extracción ejemplar hasta 30 cm de DAP con retiro de producido</t>
  </si>
  <si>
    <t>Extracción ejemplar entre 30 y 60 m de DAP con retiro de producido</t>
  </si>
  <si>
    <t>Extracción ejemplar entre 60 y 90 cm de DAP con retiro de producido</t>
  </si>
  <si>
    <t>Extracción ejemplar mayor a 90 cm de DAP con retiro de producido</t>
  </si>
  <si>
    <t>Intervenciones fuera de jornada laboral - Troceo de árbol</t>
  </si>
  <si>
    <t>Ejemplar hasta 30 cm de DAP con retiro de producido</t>
  </si>
  <si>
    <t>Ejemplar entre 30 y 60 cm de DAP con retiro de producido</t>
  </si>
  <si>
    <t>Ejemplar entre 60 y 90 cm de DAP con retiro de producido</t>
  </si>
  <si>
    <t>Ejemplar mayor a 90 cm de DAP con retiro de producido</t>
  </si>
  <si>
    <t>Troceo de árbol</t>
  </si>
  <si>
    <t>TOTAL PRESUPUESTO</t>
  </si>
  <si>
    <t>ANEXO I - ZONA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</si>
</sst>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.00"/>
    <numFmt numFmtId="165" formatCode="0.0000000000000%"/>
    <numFmt numFmtId="166" formatCode="[$$-2C0A]\ #,##0.00"/>
    <numFmt numFmtId="167" formatCode="&quot;$&quot;#,##0.00000"/>
    <numFmt numFmtId="168" formatCode="_-&quot;$&quot;\ * #,##0.00_-;\-&quot;$&quot;\ * #,##0.00_-;_-&quot;$&quot;\ * &quot;-&quot;??_-;_-@"/>
    <numFmt numFmtId="169" formatCode="#,##0.0"/>
    <numFmt numFmtId="170" formatCode="_-&quot;$&quot;* #,##0.00_-;\-&quot;$&quot;* #,##0.00_-;_-&quot;$&quot;* &quot;-&quot;??_-;_-@"/>
    <numFmt numFmtId="171" formatCode="m\.yyyy"/>
  </numFmts>
  <fonts count="26" x14ac:knownFonts="1">
    <font>
      <sz val="10"/>
      <color rgb="FF000000"/>
      <name val="Arial"/>
      <scheme val="minor"/>
    </font>
    <font>
      <b/>
      <sz val="20"/>
      <color theme="1"/>
      <name val="Times New Roman"/>
    </font>
    <font>
      <sz val="10"/>
      <color theme="1"/>
      <name val="Arial"/>
    </font>
    <font>
      <sz val="10"/>
      <name val="Arial"/>
    </font>
    <font>
      <b/>
      <sz val="20"/>
      <color theme="1"/>
      <name val="Arial"/>
    </font>
    <font>
      <sz val="15"/>
      <color theme="1"/>
      <name val="Arial"/>
    </font>
    <font>
      <sz val="10"/>
      <color rgb="FF000000"/>
      <name val="Arial"/>
    </font>
    <font>
      <b/>
      <i/>
      <sz val="20"/>
      <color theme="1"/>
      <name val="Arial"/>
    </font>
    <font>
      <b/>
      <sz val="10"/>
      <color theme="1"/>
      <name val="Arial"/>
    </font>
    <font>
      <b/>
      <sz val="12"/>
      <color rgb="FF000000"/>
      <name val="Arial"/>
    </font>
    <font>
      <sz val="10"/>
      <color theme="1"/>
      <name val="Calibri"/>
    </font>
    <font>
      <b/>
      <sz val="10"/>
      <color rgb="FF000000"/>
      <name val="Calibri"/>
    </font>
    <font>
      <b/>
      <sz val="11"/>
      <color theme="1"/>
      <name val="Arial"/>
    </font>
    <font>
      <sz val="10"/>
      <color rgb="FF000000"/>
      <name val="Calibri"/>
    </font>
    <font>
      <sz val="8"/>
      <color rgb="FF000000"/>
      <name val="Calibri"/>
    </font>
    <font>
      <sz val="12"/>
      <color rgb="FF000000"/>
      <name val="Arial"/>
    </font>
    <font>
      <i/>
      <sz val="10"/>
      <color rgb="FF00000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2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name val="Calibri"/>
      <family val="2"/>
    </font>
    <font>
      <b/>
      <sz val="13"/>
      <name val="Arial"/>
      <family val="2"/>
    </font>
    <font>
      <b/>
      <sz val="11"/>
      <name val="Arial"/>
      <family val="2"/>
    </font>
    <font>
      <sz val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DE49A"/>
        <bgColor rgb="FFFDE49A"/>
      </patternFill>
    </fill>
    <fill>
      <patternFill patternType="solid">
        <fgColor rgb="FFFFFFFF"/>
        <bgColor rgb="FFFFFFFF"/>
      </patternFill>
    </fill>
    <fill>
      <patternFill patternType="solid">
        <fgColor rgb="FFA6E3B6"/>
        <bgColor rgb="FFA6E3B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6E3B6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666666"/>
      </patternFill>
    </fill>
    <fill>
      <patternFill patternType="solid">
        <fgColor theme="0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 applyFont="1" applyAlignment="1"/>
    <xf numFmtId="164" fontId="2" fillId="2" borderId="2" xfId="0" applyNumberFormat="1" applyFont="1" applyFill="1" applyBorder="1"/>
    <xf numFmtId="0" fontId="2" fillId="0" borderId="0" xfId="0" applyFont="1"/>
    <xf numFmtId="4" fontId="2" fillId="0" borderId="0" xfId="0" applyNumberFormat="1" applyFont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2" fillId="0" borderId="0" xfId="0" applyNumberFormat="1" applyFont="1"/>
    <xf numFmtId="0" fontId="5" fillId="0" borderId="5" xfId="0" applyFont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wrapText="1"/>
    </xf>
    <xf numFmtId="0" fontId="2" fillId="0" borderId="6" xfId="0" applyFont="1" applyBorder="1"/>
    <xf numFmtId="0" fontId="2" fillId="0" borderId="5" xfId="0" applyFont="1" applyBorder="1" applyAlignment="1">
      <alignment horizontal="center" wrapText="1"/>
    </xf>
    <xf numFmtId="164" fontId="2" fillId="3" borderId="2" xfId="0" applyNumberFormat="1" applyFont="1" applyFill="1" applyBorder="1"/>
    <xf numFmtId="0" fontId="2" fillId="0" borderId="0" xfId="0" applyFont="1" applyAlignment="1">
      <alignment horizontal="center" wrapText="1"/>
    </xf>
    <xf numFmtId="165" fontId="2" fillId="0" borderId="0" xfId="0" applyNumberFormat="1" applyFont="1"/>
    <xf numFmtId="0" fontId="7" fillId="4" borderId="7" xfId="0" applyFont="1" applyFill="1" applyBorder="1" applyAlignment="1">
      <alignment vertical="center" wrapText="1"/>
    </xf>
    <xf numFmtId="0" fontId="2" fillId="0" borderId="3" xfId="0" applyFont="1" applyBorder="1"/>
    <xf numFmtId="0" fontId="2" fillId="2" borderId="2" xfId="0" applyFont="1" applyFill="1" applyBorder="1"/>
    <xf numFmtId="10" fontId="2" fillId="0" borderId="3" xfId="0" applyNumberFormat="1" applyFont="1" applyBorder="1"/>
    <xf numFmtId="0" fontId="6" fillId="5" borderId="7" xfId="0" applyFont="1" applyFill="1" applyBorder="1" applyAlignment="1">
      <alignment vertical="center" wrapText="1"/>
    </xf>
    <xf numFmtId="2" fontId="2" fillId="3" borderId="2" xfId="0" applyNumberFormat="1" applyFont="1" applyFill="1" applyBorder="1"/>
    <xf numFmtId="2" fontId="2" fillId="0" borderId="0" xfId="0" applyNumberFormat="1" applyFont="1"/>
    <xf numFmtId="0" fontId="9" fillId="5" borderId="9" xfId="0" applyFont="1" applyFill="1" applyBorder="1" applyAlignment="1">
      <alignment vertical="center" wrapText="1"/>
    </xf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4" fillId="8" borderId="17" xfId="0" applyFont="1" applyFill="1" applyBorder="1" applyAlignment="1">
      <alignment horizontal="left" vertical="center" wrapText="1"/>
    </xf>
    <xf numFmtId="0" fontId="13" fillId="8" borderId="17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wrapText="1"/>
    </xf>
    <xf numFmtId="0" fontId="13" fillId="5" borderId="17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left" vertical="center" wrapText="1"/>
    </xf>
    <xf numFmtId="0" fontId="13" fillId="5" borderId="17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170" fontId="12" fillId="0" borderId="18" xfId="0" applyNumberFormat="1" applyFont="1" applyBorder="1" applyAlignment="1">
      <alignment horizontal="right"/>
    </xf>
    <xf numFmtId="0" fontId="12" fillId="0" borderId="18" xfId="0" applyFont="1" applyBorder="1" applyAlignment="1">
      <alignment horizontal="center" wrapText="1"/>
    </xf>
    <xf numFmtId="0" fontId="16" fillId="0" borderId="0" xfId="0" applyFont="1" applyAlignment="1">
      <alignment vertical="center"/>
    </xf>
    <xf numFmtId="164" fontId="10" fillId="0" borderId="0" xfId="0" applyNumberFormat="1" applyFont="1" applyAlignment="1">
      <alignment horizontal="center" vertical="center" wrapText="1"/>
    </xf>
    <xf numFmtId="171" fontId="2" fillId="0" borderId="0" xfId="0" applyNumberFormat="1" applyFont="1" applyAlignment="1">
      <alignment wrapText="1"/>
    </xf>
    <xf numFmtId="4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7" borderId="14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3" fillId="0" borderId="12" xfId="0" applyFont="1" applyBorder="1"/>
    <xf numFmtId="0" fontId="3" fillId="0" borderId="8" xfId="0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3" fontId="2" fillId="0" borderId="2" xfId="0" applyNumberFormat="1" applyFont="1" applyBorder="1" applyAlignment="1">
      <alignment wrapText="1"/>
    </xf>
    <xf numFmtId="0" fontId="11" fillId="7" borderId="7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13" xfId="0" applyFont="1" applyBorder="1"/>
    <xf numFmtId="0" fontId="13" fillId="0" borderId="15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/>
    </xf>
    <xf numFmtId="0" fontId="11" fillId="7" borderId="19" xfId="0" applyFont="1" applyFill="1" applyBorder="1" applyAlignment="1">
      <alignment horizontal="center" vertical="center" wrapText="1"/>
    </xf>
    <xf numFmtId="0" fontId="3" fillId="0" borderId="19" xfId="0" applyFont="1" applyBorder="1"/>
    <xf numFmtId="166" fontId="11" fillId="7" borderId="19" xfId="0" applyNumberFormat="1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166" fontId="10" fillId="0" borderId="19" xfId="0" applyNumberFormat="1" applyFont="1" applyBorder="1" applyAlignment="1">
      <alignment horizontal="center" vertical="center" wrapText="1"/>
    </xf>
    <xf numFmtId="3" fontId="10" fillId="0" borderId="19" xfId="0" applyNumberFormat="1" applyFont="1" applyBorder="1" applyAlignment="1">
      <alignment horizontal="center" vertical="center" wrapText="1"/>
    </xf>
    <xf numFmtId="166" fontId="10" fillId="8" borderId="19" xfId="0" applyNumberFormat="1" applyFont="1" applyFill="1" applyBorder="1" applyAlignment="1">
      <alignment horizontal="center" vertical="center" wrapText="1"/>
    </xf>
    <xf numFmtId="3" fontId="10" fillId="8" borderId="19" xfId="0" applyNumberFormat="1" applyFont="1" applyFill="1" applyBorder="1" applyAlignment="1">
      <alignment horizontal="center" vertical="center" wrapText="1"/>
    </xf>
    <xf numFmtId="166" fontId="10" fillId="5" borderId="19" xfId="0" applyNumberFormat="1" applyFont="1" applyFill="1" applyBorder="1" applyAlignment="1">
      <alignment horizontal="center" vertical="center" wrapText="1"/>
    </xf>
    <xf numFmtId="3" fontId="10" fillId="5" borderId="19" xfId="0" applyNumberFormat="1" applyFont="1" applyFill="1" applyBorder="1" applyAlignment="1">
      <alignment horizontal="center" vertical="center" wrapText="1"/>
    </xf>
    <xf numFmtId="166" fontId="15" fillId="0" borderId="19" xfId="0" applyNumberFormat="1" applyFont="1" applyBorder="1" applyAlignment="1">
      <alignment horizontal="center"/>
    </xf>
    <xf numFmtId="0" fontId="2" fillId="0" borderId="19" xfId="0" applyFont="1" applyBorder="1" applyAlignment="1">
      <alignment wrapText="1"/>
    </xf>
    <xf numFmtId="0" fontId="3" fillId="0" borderId="21" xfId="0" applyFont="1" applyBorder="1"/>
    <xf numFmtId="0" fontId="11" fillId="7" borderId="21" xfId="0" applyFont="1" applyFill="1" applyBorder="1" applyAlignment="1">
      <alignment horizontal="center" vertical="center" wrapText="1"/>
    </xf>
    <xf numFmtId="166" fontId="10" fillId="0" borderId="21" xfId="0" applyNumberFormat="1" applyFont="1" applyBorder="1" applyAlignment="1">
      <alignment horizontal="center" vertical="center" wrapText="1"/>
    </xf>
    <xf numFmtId="166" fontId="10" fillId="8" borderId="21" xfId="0" applyNumberFormat="1" applyFont="1" applyFill="1" applyBorder="1" applyAlignment="1">
      <alignment horizontal="center" vertical="center" wrapText="1"/>
    </xf>
    <xf numFmtId="166" fontId="10" fillId="5" borderId="21" xfId="0" applyNumberFormat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wrapText="1"/>
    </xf>
    <xf numFmtId="0" fontId="17" fillId="9" borderId="20" xfId="0" applyFont="1" applyFill="1" applyBorder="1"/>
    <xf numFmtId="0" fontId="6" fillId="0" borderId="20" xfId="0" applyFont="1" applyBorder="1" applyAlignment="1">
      <alignment vertical="center" wrapText="1"/>
    </xf>
    <xf numFmtId="0" fontId="6" fillId="0" borderId="20" xfId="0" applyFont="1" applyBorder="1"/>
    <xf numFmtId="0" fontId="2" fillId="0" borderId="20" xfId="0" applyFont="1" applyBorder="1"/>
    <xf numFmtId="0" fontId="2" fillId="0" borderId="20" xfId="0" applyFont="1" applyBorder="1" applyAlignment="1">
      <alignment wrapText="1"/>
    </xf>
    <xf numFmtId="0" fontId="18" fillId="10" borderId="20" xfId="0" applyFont="1" applyFill="1" applyBorder="1" applyAlignment="1">
      <alignment vertical="center" wrapText="1"/>
    </xf>
    <xf numFmtId="0" fontId="19" fillId="9" borderId="20" xfId="0" applyFont="1" applyFill="1" applyBorder="1" applyAlignment="1">
      <alignment vertical="center" wrapText="1"/>
    </xf>
    <xf numFmtId="0" fontId="20" fillId="10" borderId="20" xfId="0" applyFont="1" applyFill="1" applyBorder="1" applyAlignment="1">
      <alignment vertical="center" wrapText="1"/>
    </xf>
    <xf numFmtId="0" fontId="8" fillId="6" borderId="20" xfId="0" applyFont="1" applyFill="1" applyBorder="1" applyAlignment="1">
      <alignment vertical="center" wrapText="1"/>
    </xf>
    <xf numFmtId="0" fontId="17" fillId="9" borderId="20" xfId="0" applyFont="1" applyFill="1" applyBorder="1" applyAlignment="1">
      <alignment wrapText="1"/>
    </xf>
    <xf numFmtId="0" fontId="21" fillId="11" borderId="20" xfId="0" applyFont="1" applyFill="1" applyBorder="1" applyAlignment="1">
      <alignment horizontal="center" vertical="center" wrapText="1"/>
    </xf>
    <xf numFmtId="0" fontId="22" fillId="12" borderId="20" xfId="0" applyFont="1" applyFill="1" applyBorder="1" applyAlignment="1">
      <alignment horizontal="center" vertical="center" wrapText="1"/>
    </xf>
    <xf numFmtId="0" fontId="17" fillId="9" borderId="20" xfId="0" applyFont="1" applyFill="1" applyBorder="1"/>
    <xf numFmtId="0" fontId="22" fillId="13" borderId="20" xfId="0" applyFont="1" applyFill="1" applyBorder="1" applyAlignment="1">
      <alignment vertical="center" wrapText="1"/>
    </xf>
    <xf numFmtId="10" fontId="23" fillId="11" borderId="20" xfId="0" applyNumberFormat="1" applyFont="1" applyFill="1" applyBorder="1" applyAlignment="1">
      <alignment horizontal="center"/>
    </xf>
    <xf numFmtId="0" fontId="22" fillId="12" borderId="20" xfId="0" applyFont="1" applyFill="1" applyBorder="1" applyAlignment="1">
      <alignment horizontal="center" vertical="center" wrapText="1"/>
    </xf>
    <xf numFmtId="166" fontId="22" fillId="12" borderId="20" xfId="0" applyNumberFormat="1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 vertical="center" wrapText="1"/>
    </xf>
    <xf numFmtId="0" fontId="11" fillId="7" borderId="20" xfId="0" applyFont="1" applyFill="1" applyBorder="1" applyAlignment="1">
      <alignment horizontal="center" vertical="center" wrapText="1"/>
    </xf>
    <xf numFmtId="167" fontId="2" fillId="0" borderId="20" xfId="0" applyNumberFormat="1" applyFont="1" applyBorder="1" applyAlignment="1">
      <alignment wrapText="1"/>
    </xf>
    <xf numFmtId="168" fontId="24" fillId="14" borderId="20" xfId="0" applyNumberFormat="1" applyFont="1" applyFill="1" applyBorder="1" applyAlignment="1">
      <alignment horizontal="center" vertical="center" wrapText="1"/>
    </xf>
    <xf numFmtId="166" fontId="25" fillId="12" borderId="20" xfId="0" applyNumberFormat="1" applyFont="1" applyFill="1" applyBorder="1" applyAlignment="1">
      <alignment horizontal="center" vertical="center" wrapText="1"/>
    </xf>
    <xf numFmtId="169" fontId="25" fillId="12" borderId="20" xfId="0" applyNumberFormat="1" applyFont="1" applyFill="1" applyBorder="1" applyAlignment="1">
      <alignment horizontal="center" vertical="center" wrapText="1"/>
    </xf>
    <xf numFmtId="166" fontId="25" fillId="9" borderId="20" xfId="0" applyNumberFormat="1" applyFont="1" applyFill="1" applyBorder="1" applyAlignment="1">
      <alignment horizontal="center" vertical="center" wrapText="1"/>
    </xf>
    <xf numFmtId="166" fontId="10" fillId="0" borderId="20" xfId="0" applyNumberFormat="1" applyFont="1" applyBorder="1" applyAlignment="1">
      <alignment horizontal="center" vertical="center" wrapText="1"/>
    </xf>
    <xf numFmtId="166" fontId="25" fillId="8" borderId="20" xfId="0" applyNumberFormat="1" applyFont="1" applyFill="1" applyBorder="1" applyAlignment="1">
      <alignment horizontal="center" vertical="center" wrapText="1"/>
    </xf>
    <xf numFmtId="166" fontId="10" fillId="8" borderId="20" xfId="0" applyNumberFormat="1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wrapText="1"/>
    </xf>
    <xf numFmtId="166" fontId="25" fillId="15" borderId="20" xfId="0" applyNumberFormat="1" applyFont="1" applyFill="1" applyBorder="1" applyAlignment="1">
      <alignment horizontal="center" vertical="center" wrapText="1"/>
    </xf>
    <xf numFmtId="166" fontId="10" fillId="5" borderId="20" xfId="0" applyNumberFormat="1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wrapText="1"/>
    </xf>
    <xf numFmtId="166" fontId="17" fillId="9" borderId="20" xfId="0" applyNumberFormat="1" applyFont="1" applyFill="1" applyBorder="1" applyAlignment="1">
      <alignment wrapText="1"/>
    </xf>
    <xf numFmtId="164" fontId="17" fillId="9" borderId="20" xfId="0" applyNumberFormat="1" applyFont="1" applyFill="1" applyBorder="1" applyAlignment="1">
      <alignment wrapText="1"/>
    </xf>
    <xf numFmtId="164" fontId="2" fillId="0" borderId="2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2"/>
  <sheetViews>
    <sheetView tabSelected="1" topLeftCell="A64" workbookViewId="0">
      <selection activeCell="P75" sqref="P75"/>
    </sheetView>
  </sheetViews>
  <sheetFormatPr baseColWidth="10" defaultColWidth="12.5703125" defaultRowHeight="15" customHeight="1" x14ac:dyDescent="0.2"/>
  <cols>
    <col min="1" max="1" width="5.42578125" customWidth="1"/>
    <col min="2" max="2" width="27.85546875" customWidth="1"/>
    <col min="3" max="3" width="54.42578125" customWidth="1"/>
    <col min="4" max="4" width="12" customWidth="1"/>
    <col min="5" max="5" width="18.5703125" customWidth="1"/>
    <col min="6" max="6" width="9.42578125" customWidth="1"/>
    <col min="7" max="7" width="17" customWidth="1"/>
    <col min="8" max="8" width="15.42578125" customWidth="1"/>
    <col min="9" max="9" width="10.5703125" customWidth="1"/>
    <col min="10" max="11" width="17.28515625" customWidth="1"/>
    <col min="12" max="12" width="17" customWidth="1"/>
    <col min="13" max="13" width="20" customWidth="1"/>
    <col min="14" max="14" width="17" customWidth="1"/>
    <col min="15" max="27" width="14.42578125" customWidth="1"/>
  </cols>
  <sheetData>
    <row r="1" spans="1:27" ht="28.5" customHeight="1" x14ac:dyDescent="0.2">
      <c r="A1" s="56" t="s">
        <v>0</v>
      </c>
      <c r="B1" s="57"/>
      <c r="C1" s="57"/>
      <c r="D1" s="57"/>
      <c r="E1" s="57"/>
      <c r="F1" s="57"/>
      <c r="G1" s="57"/>
      <c r="H1" s="58"/>
      <c r="I1" s="57"/>
      <c r="J1" s="57"/>
      <c r="K1" s="57"/>
      <c r="L1" s="4"/>
      <c r="M1" s="4"/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3.5" customHeight="1" x14ac:dyDescent="0.25">
      <c r="A2" s="8"/>
      <c r="B2" s="9"/>
      <c r="C2" s="9"/>
      <c r="D2" s="9"/>
      <c r="E2" s="10"/>
      <c r="F2" s="9"/>
      <c r="G2" s="9"/>
      <c r="H2" s="11"/>
      <c r="I2" s="9"/>
      <c r="J2" s="9"/>
      <c r="K2" s="9"/>
      <c r="L2" s="9"/>
      <c r="M2" s="9"/>
      <c r="N2" s="12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7.25" customHeight="1" x14ac:dyDescent="0.2">
      <c r="A3" s="13"/>
      <c r="B3" s="6"/>
      <c r="C3" s="6"/>
      <c r="D3" s="6"/>
      <c r="E3" s="15"/>
      <c r="F3" s="6"/>
      <c r="G3" s="6"/>
      <c r="H3" s="86"/>
      <c r="I3" s="87"/>
      <c r="J3" s="87"/>
      <c r="K3" s="87"/>
      <c r="L3" s="87"/>
      <c r="M3" s="87"/>
      <c r="N3" s="88"/>
      <c r="O3" s="8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43.5" customHeight="1" x14ac:dyDescent="0.2">
      <c r="A4" s="17"/>
      <c r="B4" s="18"/>
      <c r="C4" s="18"/>
      <c r="D4" s="18"/>
      <c r="E4" s="59"/>
      <c r="F4" s="55"/>
      <c r="G4" s="20"/>
      <c r="H4" s="85"/>
      <c r="I4" s="85"/>
      <c r="J4" s="85"/>
      <c r="K4" s="85"/>
      <c r="L4" s="85"/>
      <c r="M4" s="85"/>
      <c r="N4" s="88"/>
      <c r="O4" s="89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">
      <c r="A5" s="21"/>
      <c r="B5" s="18"/>
      <c r="C5" s="18"/>
      <c r="D5" s="18"/>
      <c r="E5" s="59"/>
      <c r="F5" s="55"/>
      <c r="G5" s="20"/>
      <c r="H5" s="85"/>
      <c r="I5" s="90"/>
      <c r="J5" s="91"/>
      <c r="K5" s="91"/>
      <c r="L5" s="85"/>
      <c r="M5" s="92"/>
      <c r="N5" s="93"/>
      <c r="O5" s="89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3.5" customHeight="1" x14ac:dyDescent="0.2">
      <c r="A6" s="24"/>
      <c r="B6" s="25"/>
      <c r="C6" s="25"/>
      <c r="D6" s="25"/>
      <c r="E6" s="26"/>
      <c r="F6" s="27"/>
      <c r="G6" s="25"/>
      <c r="H6" s="85"/>
      <c r="I6" s="85"/>
      <c r="J6" s="85"/>
      <c r="K6" s="85"/>
      <c r="L6" s="85"/>
      <c r="M6" s="85"/>
      <c r="N6" s="88"/>
      <c r="O6" s="89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25.5" customHeight="1" x14ac:dyDescent="0.2">
      <c r="A7" s="15"/>
      <c r="B7" s="6"/>
      <c r="C7" s="28"/>
      <c r="D7" s="28"/>
      <c r="E7" s="29"/>
      <c r="F7" s="6"/>
      <c r="G7" s="60"/>
      <c r="H7" s="94"/>
      <c r="I7" s="94"/>
      <c r="J7" s="94"/>
      <c r="K7" s="94"/>
      <c r="L7" s="94"/>
      <c r="M7" s="95"/>
      <c r="N7" s="89"/>
      <c r="O7" s="89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25.5" customHeight="1" x14ac:dyDescent="0.25">
      <c r="A8" s="52" t="s">
        <v>6</v>
      </c>
      <c r="B8" s="52" t="s">
        <v>7</v>
      </c>
      <c r="C8" s="52" t="s">
        <v>8</v>
      </c>
      <c r="D8" s="62" t="s">
        <v>9</v>
      </c>
      <c r="E8" s="67"/>
      <c r="F8" s="68"/>
      <c r="G8" s="79"/>
      <c r="H8" s="96"/>
      <c r="I8" s="97"/>
      <c r="J8" s="97"/>
      <c r="K8" s="97"/>
      <c r="L8" s="98"/>
      <c r="M8" s="99"/>
      <c r="N8" s="88"/>
      <c r="O8" s="89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2.75" x14ac:dyDescent="0.2">
      <c r="A9" s="53"/>
      <c r="B9" s="53"/>
      <c r="C9" s="53"/>
      <c r="D9" s="63"/>
      <c r="E9" s="69"/>
      <c r="F9" s="70"/>
      <c r="G9" s="80"/>
      <c r="H9" s="100"/>
      <c r="I9" s="100"/>
      <c r="J9" s="101"/>
      <c r="K9" s="101"/>
      <c r="L9" s="102"/>
      <c r="M9" s="101"/>
      <c r="N9" s="103"/>
      <c r="O9" s="104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25.5" x14ac:dyDescent="0.2">
      <c r="A10" s="54"/>
      <c r="B10" s="54"/>
      <c r="C10" s="54"/>
      <c r="D10" s="64"/>
      <c r="E10" s="70"/>
      <c r="F10" s="70" t="s">
        <v>10</v>
      </c>
      <c r="G10" s="80" t="s">
        <v>11</v>
      </c>
      <c r="H10" s="100"/>
      <c r="I10" s="100"/>
      <c r="J10" s="100"/>
      <c r="K10" s="100"/>
      <c r="L10" s="102"/>
      <c r="M10" s="105"/>
      <c r="N10" s="103"/>
      <c r="O10" s="89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9.5" customHeight="1" x14ac:dyDescent="0.2">
      <c r="A11" s="30">
        <v>1</v>
      </c>
      <c r="B11" s="31" t="s">
        <v>12</v>
      </c>
      <c r="C11" s="32" t="s">
        <v>13</v>
      </c>
      <c r="D11" s="65" t="s">
        <v>14</v>
      </c>
      <c r="E11" s="71"/>
      <c r="F11" s="72">
        <v>60</v>
      </c>
      <c r="G11" s="81">
        <f t="shared" ref="G11:G31" si="0">+F11*E11</f>
        <v>0</v>
      </c>
      <c r="H11" s="106"/>
      <c r="I11" s="107"/>
      <c r="J11" s="106"/>
      <c r="K11" s="106"/>
      <c r="L11" s="108"/>
      <c r="M11" s="108"/>
      <c r="N11" s="109"/>
      <c r="O11" s="89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9.5" customHeight="1" x14ac:dyDescent="0.2">
      <c r="A12" s="30">
        <v>2</v>
      </c>
      <c r="B12" s="31" t="s">
        <v>12</v>
      </c>
      <c r="C12" s="32" t="s">
        <v>15</v>
      </c>
      <c r="D12" s="65" t="s">
        <v>14</v>
      </c>
      <c r="E12" s="71"/>
      <c r="F12" s="72">
        <v>60</v>
      </c>
      <c r="G12" s="81">
        <f t="shared" si="0"/>
        <v>0</v>
      </c>
      <c r="H12" s="106"/>
      <c r="I12" s="107"/>
      <c r="J12" s="106"/>
      <c r="K12" s="106"/>
      <c r="L12" s="108"/>
      <c r="M12" s="108"/>
      <c r="N12" s="109"/>
      <c r="O12" s="89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9.5" customHeight="1" x14ac:dyDescent="0.2">
      <c r="A13" s="30">
        <v>3</v>
      </c>
      <c r="B13" s="31" t="s">
        <v>12</v>
      </c>
      <c r="C13" s="32" t="s">
        <v>16</v>
      </c>
      <c r="D13" s="65" t="s">
        <v>14</v>
      </c>
      <c r="E13" s="71"/>
      <c r="F13" s="72">
        <v>60</v>
      </c>
      <c r="G13" s="81">
        <f t="shared" si="0"/>
        <v>0</v>
      </c>
      <c r="H13" s="106"/>
      <c r="I13" s="107"/>
      <c r="J13" s="106"/>
      <c r="K13" s="106"/>
      <c r="L13" s="108"/>
      <c r="M13" s="108"/>
      <c r="N13" s="109"/>
      <c r="O13" s="89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9.5" customHeight="1" x14ac:dyDescent="0.2">
      <c r="A14" s="30">
        <v>4</v>
      </c>
      <c r="B14" s="31" t="s">
        <v>12</v>
      </c>
      <c r="C14" s="32" t="s">
        <v>17</v>
      </c>
      <c r="D14" s="65" t="s">
        <v>14</v>
      </c>
      <c r="E14" s="71"/>
      <c r="F14" s="72">
        <v>600</v>
      </c>
      <c r="G14" s="81">
        <f t="shared" si="0"/>
        <v>0</v>
      </c>
      <c r="H14" s="106"/>
      <c r="I14" s="107"/>
      <c r="J14" s="106"/>
      <c r="K14" s="106"/>
      <c r="L14" s="108"/>
      <c r="M14" s="108"/>
      <c r="N14" s="109"/>
      <c r="O14" s="89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9.5" customHeight="1" x14ac:dyDescent="0.2">
      <c r="A15" s="30">
        <v>5</v>
      </c>
      <c r="B15" s="31" t="s">
        <v>12</v>
      </c>
      <c r="C15" s="32" t="s">
        <v>18</v>
      </c>
      <c r="D15" s="65" t="s">
        <v>14</v>
      </c>
      <c r="E15" s="71"/>
      <c r="F15" s="72">
        <v>600</v>
      </c>
      <c r="G15" s="81">
        <f t="shared" si="0"/>
        <v>0</v>
      </c>
      <c r="H15" s="106"/>
      <c r="I15" s="107"/>
      <c r="J15" s="106"/>
      <c r="K15" s="106"/>
      <c r="L15" s="108"/>
      <c r="M15" s="108"/>
      <c r="N15" s="109"/>
      <c r="O15" s="89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9.5" customHeight="1" x14ac:dyDescent="0.2">
      <c r="A16" s="30">
        <v>6</v>
      </c>
      <c r="B16" s="31" t="s">
        <v>12</v>
      </c>
      <c r="C16" s="32" t="s">
        <v>19</v>
      </c>
      <c r="D16" s="65" t="s">
        <v>14</v>
      </c>
      <c r="E16" s="71"/>
      <c r="F16" s="72">
        <v>1700</v>
      </c>
      <c r="G16" s="81">
        <f t="shared" si="0"/>
        <v>0</v>
      </c>
      <c r="H16" s="106"/>
      <c r="I16" s="107"/>
      <c r="J16" s="106"/>
      <c r="K16" s="106"/>
      <c r="L16" s="108"/>
      <c r="M16" s="108"/>
      <c r="N16" s="109"/>
      <c r="O16" s="89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9.5" customHeight="1" x14ac:dyDescent="0.2">
      <c r="A17" s="30">
        <v>7</v>
      </c>
      <c r="B17" s="31" t="s">
        <v>12</v>
      </c>
      <c r="C17" s="32" t="s">
        <v>20</v>
      </c>
      <c r="D17" s="65" t="s">
        <v>14</v>
      </c>
      <c r="E17" s="71"/>
      <c r="F17" s="72">
        <v>600</v>
      </c>
      <c r="G17" s="81">
        <f t="shared" si="0"/>
        <v>0</v>
      </c>
      <c r="H17" s="106"/>
      <c r="I17" s="107"/>
      <c r="J17" s="106"/>
      <c r="K17" s="106"/>
      <c r="L17" s="108"/>
      <c r="M17" s="108"/>
      <c r="N17" s="109"/>
      <c r="O17" s="89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9.5" customHeight="1" x14ac:dyDescent="0.2">
      <c r="A18" s="30">
        <v>8</v>
      </c>
      <c r="B18" s="31" t="s">
        <v>12</v>
      </c>
      <c r="C18" s="32" t="s">
        <v>21</v>
      </c>
      <c r="D18" s="65" t="s">
        <v>14</v>
      </c>
      <c r="E18" s="71"/>
      <c r="F18" s="72">
        <v>900</v>
      </c>
      <c r="G18" s="81">
        <f t="shared" si="0"/>
        <v>0</v>
      </c>
      <c r="H18" s="106"/>
      <c r="I18" s="107"/>
      <c r="J18" s="106"/>
      <c r="K18" s="106"/>
      <c r="L18" s="108"/>
      <c r="M18" s="108"/>
      <c r="N18" s="109"/>
      <c r="O18" s="89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9.5" customHeight="1" x14ac:dyDescent="0.2">
      <c r="A19" s="30">
        <v>9</v>
      </c>
      <c r="B19" s="31" t="s">
        <v>12</v>
      </c>
      <c r="C19" s="32" t="s">
        <v>22</v>
      </c>
      <c r="D19" s="65" t="s">
        <v>14</v>
      </c>
      <c r="E19" s="71"/>
      <c r="F19" s="72">
        <v>1300</v>
      </c>
      <c r="G19" s="81">
        <f t="shared" si="0"/>
        <v>0</v>
      </c>
      <c r="H19" s="106"/>
      <c r="I19" s="107"/>
      <c r="J19" s="106"/>
      <c r="K19" s="106"/>
      <c r="L19" s="108"/>
      <c r="M19" s="108"/>
      <c r="N19" s="109"/>
      <c r="O19" s="89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9.5" customHeight="1" x14ac:dyDescent="0.2">
      <c r="A20" s="30">
        <v>10</v>
      </c>
      <c r="B20" s="31" t="s">
        <v>12</v>
      </c>
      <c r="C20" s="32" t="s">
        <v>23</v>
      </c>
      <c r="D20" s="65" t="s">
        <v>14</v>
      </c>
      <c r="E20" s="71"/>
      <c r="F20" s="72">
        <v>1200</v>
      </c>
      <c r="G20" s="81">
        <f t="shared" si="0"/>
        <v>0</v>
      </c>
      <c r="H20" s="106"/>
      <c r="I20" s="107"/>
      <c r="J20" s="106"/>
      <c r="K20" s="106"/>
      <c r="L20" s="108"/>
      <c r="M20" s="108"/>
      <c r="N20" s="109"/>
      <c r="O20" s="89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9.5" customHeight="1" x14ac:dyDescent="0.2">
      <c r="A21" s="30">
        <v>11</v>
      </c>
      <c r="B21" s="31" t="s">
        <v>12</v>
      </c>
      <c r="C21" s="32" t="s">
        <v>24</v>
      </c>
      <c r="D21" s="65" t="s">
        <v>14</v>
      </c>
      <c r="E21" s="71"/>
      <c r="F21" s="72">
        <v>1200</v>
      </c>
      <c r="G21" s="81">
        <f t="shared" si="0"/>
        <v>0</v>
      </c>
      <c r="H21" s="106"/>
      <c r="I21" s="107"/>
      <c r="J21" s="106"/>
      <c r="K21" s="106"/>
      <c r="L21" s="108"/>
      <c r="M21" s="108"/>
      <c r="N21" s="109"/>
      <c r="O21" s="89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9.5" customHeight="1" x14ac:dyDescent="0.2">
      <c r="A22" s="30">
        <v>12</v>
      </c>
      <c r="B22" s="31" t="s">
        <v>12</v>
      </c>
      <c r="C22" s="32" t="s">
        <v>25</v>
      </c>
      <c r="D22" s="65" t="s">
        <v>14</v>
      </c>
      <c r="E22" s="71"/>
      <c r="F22" s="72">
        <v>1500</v>
      </c>
      <c r="G22" s="81">
        <f t="shared" si="0"/>
        <v>0</v>
      </c>
      <c r="H22" s="106"/>
      <c r="I22" s="107"/>
      <c r="J22" s="106"/>
      <c r="K22" s="106"/>
      <c r="L22" s="108"/>
      <c r="M22" s="108"/>
      <c r="N22" s="109"/>
      <c r="O22" s="89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9.5" customHeight="1" x14ac:dyDescent="0.2">
      <c r="A23" s="30">
        <v>13</v>
      </c>
      <c r="B23" s="31" t="s">
        <v>12</v>
      </c>
      <c r="C23" s="32" t="s">
        <v>26</v>
      </c>
      <c r="D23" s="65" t="s">
        <v>14</v>
      </c>
      <c r="E23" s="71"/>
      <c r="F23" s="72">
        <v>800</v>
      </c>
      <c r="G23" s="81">
        <f t="shared" si="0"/>
        <v>0</v>
      </c>
      <c r="H23" s="106"/>
      <c r="I23" s="107"/>
      <c r="J23" s="106"/>
      <c r="K23" s="106"/>
      <c r="L23" s="108"/>
      <c r="M23" s="108"/>
      <c r="N23" s="109"/>
      <c r="O23" s="89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9.5" customHeight="1" x14ac:dyDescent="0.2">
      <c r="A24" s="30">
        <v>14</v>
      </c>
      <c r="B24" s="31" t="s">
        <v>12</v>
      </c>
      <c r="C24" s="32" t="s">
        <v>27</v>
      </c>
      <c r="D24" s="65" t="s">
        <v>14</v>
      </c>
      <c r="E24" s="71"/>
      <c r="F24" s="72">
        <v>150</v>
      </c>
      <c r="G24" s="81">
        <f t="shared" si="0"/>
        <v>0</v>
      </c>
      <c r="H24" s="106"/>
      <c r="I24" s="107"/>
      <c r="J24" s="106"/>
      <c r="K24" s="106"/>
      <c r="L24" s="108"/>
      <c r="M24" s="108"/>
      <c r="N24" s="109"/>
      <c r="O24" s="89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9.5" customHeight="1" x14ac:dyDescent="0.2">
      <c r="A25" s="30">
        <v>15</v>
      </c>
      <c r="B25" s="31" t="s">
        <v>12</v>
      </c>
      <c r="C25" s="32" t="s">
        <v>28</v>
      </c>
      <c r="D25" s="65" t="s">
        <v>14</v>
      </c>
      <c r="E25" s="71"/>
      <c r="F25" s="72">
        <v>150</v>
      </c>
      <c r="G25" s="81">
        <f t="shared" si="0"/>
        <v>0</v>
      </c>
      <c r="H25" s="106"/>
      <c r="I25" s="107"/>
      <c r="J25" s="106"/>
      <c r="K25" s="106"/>
      <c r="L25" s="108"/>
      <c r="M25" s="108"/>
      <c r="N25" s="109"/>
      <c r="O25" s="89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9.5" customHeight="1" x14ac:dyDescent="0.2">
      <c r="A26" s="30">
        <v>16</v>
      </c>
      <c r="B26" s="31" t="s">
        <v>12</v>
      </c>
      <c r="C26" s="32" t="s">
        <v>29</v>
      </c>
      <c r="D26" s="65" t="s">
        <v>14</v>
      </c>
      <c r="E26" s="71"/>
      <c r="F26" s="72">
        <v>150</v>
      </c>
      <c r="G26" s="81">
        <f t="shared" si="0"/>
        <v>0</v>
      </c>
      <c r="H26" s="106"/>
      <c r="I26" s="107"/>
      <c r="J26" s="106"/>
      <c r="K26" s="106"/>
      <c r="L26" s="108"/>
      <c r="M26" s="108"/>
      <c r="N26" s="109"/>
      <c r="O26" s="89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9.5" customHeight="1" x14ac:dyDescent="0.2">
      <c r="A27" s="30">
        <v>17</v>
      </c>
      <c r="B27" s="31" t="s">
        <v>12</v>
      </c>
      <c r="C27" s="32" t="s">
        <v>30</v>
      </c>
      <c r="D27" s="65" t="s">
        <v>14</v>
      </c>
      <c r="E27" s="71"/>
      <c r="F27" s="72">
        <v>400</v>
      </c>
      <c r="G27" s="81">
        <f t="shared" si="0"/>
        <v>0</v>
      </c>
      <c r="H27" s="106"/>
      <c r="I27" s="107"/>
      <c r="J27" s="106"/>
      <c r="K27" s="106"/>
      <c r="L27" s="108"/>
      <c r="M27" s="108"/>
      <c r="N27" s="109"/>
      <c r="O27" s="89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9.5" customHeight="1" x14ac:dyDescent="0.2">
      <c r="A28" s="30">
        <v>18</v>
      </c>
      <c r="B28" s="31" t="s">
        <v>12</v>
      </c>
      <c r="C28" s="32" t="s">
        <v>31</v>
      </c>
      <c r="D28" s="65" t="s">
        <v>14</v>
      </c>
      <c r="E28" s="71"/>
      <c r="F28" s="72">
        <v>700</v>
      </c>
      <c r="G28" s="81">
        <f t="shared" si="0"/>
        <v>0</v>
      </c>
      <c r="H28" s="106"/>
      <c r="I28" s="107"/>
      <c r="J28" s="106"/>
      <c r="K28" s="106"/>
      <c r="L28" s="108"/>
      <c r="M28" s="108"/>
      <c r="N28" s="109"/>
      <c r="O28" s="89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9.5" customHeight="1" x14ac:dyDescent="0.2">
      <c r="A29" s="30">
        <v>19</v>
      </c>
      <c r="B29" s="31" t="s">
        <v>12</v>
      </c>
      <c r="C29" s="32" t="s">
        <v>32</v>
      </c>
      <c r="D29" s="65" t="s">
        <v>14</v>
      </c>
      <c r="E29" s="71"/>
      <c r="F29" s="72">
        <v>300</v>
      </c>
      <c r="G29" s="81">
        <f t="shared" si="0"/>
        <v>0</v>
      </c>
      <c r="H29" s="106"/>
      <c r="I29" s="107"/>
      <c r="J29" s="106"/>
      <c r="K29" s="106"/>
      <c r="L29" s="108"/>
      <c r="M29" s="108"/>
      <c r="N29" s="109"/>
      <c r="O29" s="89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9.5" customHeight="1" x14ac:dyDescent="0.2">
      <c r="A30" s="30">
        <v>20</v>
      </c>
      <c r="B30" s="31" t="s">
        <v>33</v>
      </c>
      <c r="C30" s="33" t="s">
        <v>34</v>
      </c>
      <c r="D30" s="65" t="s">
        <v>14</v>
      </c>
      <c r="E30" s="71"/>
      <c r="F30" s="72">
        <v>800</v>
      </c>
      <c r="G30" s="81">
        <f t="shared" si="0"/>
        <v>0</v>
      </c>
      <c r="H30" s="106"/>
      <c r="I30" s="107"/>
      <c r="J30" s="106"/>
      <c r="K30" s="106"/>
      <c r="L30" s="108"/>
      <c r="M30" s="108"/>
      <c r="N30" s="109"/>
      <c r="O30" s="89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9.5" customHeight="1" x14ac:dyDescent="0.2">
      <c r="A31" s="30">
        <v>21</v>
      </c>
      <c r="B31" s="31" t="s">
        <v>33</v>
      </c>
      <c r="C31" s="33" t="s">
        <v>35</v>
      </c>
      <c r="D31" s="65" t="s">
        <v>14</v>
      </c>
      <c r="E31" s="71"/>
      <c r="F31" s="72">
        <v>600</v>
      </c>
      <c r="G31" s="81">
        <f t="shared" si="0"/>
        <v>0</v>
      </c>
      <c r="H31" s="106"/>
      <c r="I31" s="107"/>
      <c r="J31" s="106"/>
      <c r="K31" s="106"/>
      <c r="L31" s="108"/>
      <c r="M31" s="108"/>
      <c r="N31" s="109"/>
      <c r="O31" s="89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9.5" customHeight="1" x14ac:dyDescent="0.2">
      <c r="A32" s="30">
        <v>22</v>
      </c>
      <c r="B32" s="31" t="s">
        <v>36</v>
      </c>
      <c r="C32" s="33" t="s">
        <v>37</v>
      </c>
      <c r="D32" s="65" t="s">
        <v>14</v>
      </c>
      <c r="E32" s="71"/>
      <c r="F32" s="72">
        <v>38</v>
      </c>
      <c r="G32" s="81">
        <f t="shared" ref="G32:G155" si="1">+E32*F32</f>
        <v>0</v>
      </c>
      <c r="H32" s="106"/>
      <c r="I32" s="107"/>
      <c r="J32" s="106"/>
      <c r="K32" s="106"/>
      <c r="L32" s="108"/>
      <c r="M32" s="108"/>
      <c r="N32" s="109"/>
      <c r="O32" s="89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9.5" customHeight="1" x14ac:dyDescent="0.2">
      <c r="A33" s="30">
        <v>23</v>
      </c>
      <c r="B33" s="31" t="s">
        <v>36</v>
      </c>
      <c r="C33" s="33" t="s">
        <v>38</v>
      </c>
      <c r="D33" s="65" t="s">
        <v>14</v>
      </c>
      <c r="E33" s="71"/>
      <c r="F33" s="72">
        <v>38</v>
      </c>
      <c r="G33" s="81">
        <f t="shared" si="1"/>
        <v>0</v>
      </c>
      <c r="H33" s="106"/>
      <c r="I33" s="107"/>
      <c r="J33" s="106"/>
      <c r="K33" s="106"/>
      <c r="L33" s="108"/>
      <c r="M33" s="108"/>
      <c r="N33" s="109"/>
      <c r="O33" s="89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9.5" customHeight="1" x14ac:dyDescent="0.2">
      <c r="A34" s="34">
        <v>24</v>
      </c>
      <c r="B34" s="35" t="s">
        <v>36</v>
      </c>
      <c r="C34" s="36" t="s">
        <v>39</v>
      </c>
      <c r="D34" s="65" t="s">
        <v>14</v>
      </c>
      <c r="E34" s="73"/>
      <c r="F34" s="74">
        <v>38</v>
      </c>
      <c r="G34" s="82">
        <f t="shared" si="1"/>
        <v>0</v>
      </c>
      <c r="H34" s="106"/>
      <c r="I34" s="107"/>
      <c r="J34" s="106"/>
      <c r="K34" s="106"/>
      <c r="L34" s="110"/>
      <c r="M34" s="108"/>
      <c r="N34" s="111"/>
      <c r="O34" s="112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spans="1:27" ht="19.5" customHeight="1" x14ac:dyDescent="0.2">
      <c r="A35" s="34">
        <v>25</v>
      </c>
      <c r="B35" s="35" t="s">
        <v>36</v>
      </c>
      <c r="C35" s="36" t="s">
        <v>40</v>
      </c>
      <c r="D35" s="65" t="s">
        <v>14</v>
      </c>
      <c r="E35" s="73"/>
      <c r="F35" s="74">
        <v>38</v>
      </c>
      <c r="G35" s="82">
        <f t="shared" si="1"/>
        <v>0</v>
      </c>
      <c r="H35" s="106"/>
      <c r="I35" s="107"/>
      <c r="J35" s="106"/>
      <c r="K35" s="106"/>
      <c r="L35" s="110"/>
      <c r="M35" s="108"/>
      <c r="N35" s="111"/>
      <c r="O35" s="112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spans="1:27" ht="19.5" customHeight="1" x14ac:dyDescent="0.2">
      <c r="A36" s="34">
        <v>26</v>
      </c>
      <c r="B36" s="35" t="s">
        <v>36</v>
      </c>
      <c r="C36" s="36" t="s">
        <v>41</v>
      </c>
      <c r="D36" s="65" t="s">
        <v>14</v>
      </c>
      <c r="E36" s="73"/>
      <c r="F36" s="74">
        <v>312</v>
      </c>
      <c r="G36" s="82">
        <f t="shared" si="1"/>
        <v>0</v>
      </c>
      <c r="H36" s="106"/>
      <c r="I36" s="107"/>
      <c r="J36" s="106"/>
      <c r="K36" s="106"/>
      <c r="L36" s="110"/>
      <c r="M36" s="108"/>
      <c r="N36" s="111"/>
      <c r="O36" s="112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1:27" ht="19.5" customHeight="1" x14ac:dyDescent="0.2">
      <c r="A37" s="34">
        <v>27</v>
      </c>
      <c r="B37" s="35" t="s">
        <v>36</v>
      </c>
      <c r="C37" s="36" t="s">
        <v>42</v>
      </c>
      <c r="D37" s="65" t="s">
        <v>14</v>
      </c>
      <c r="E37" s="73"/>
      <c r="F37" s="74">
        <v>134</v>
      </c>
      <c r="G37" s="82">
        <f t="shared" si="1"/>
        <v>0</v>
      </c>
      <c r="H37" s="106"/>
      <c r="I37" s="107"/>
      <c r="J37" s="106"/>
      <c r="K37" s="106"/>
      <c r="L37" s="110"/>
      <c r="M37" s="108"/>
      <c r="N37" s="111"/>
      <c r="O37" s="112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1:27" ht="19.5" customHeight="1" x14ac:dyDescent="0.2">
      <c r="A38" s="34">
        <v>28</v>
      </c>
      <c r="B38" s="35" t="s">
        <v>36</v>
      </c>
      <c r="C38" s="36" t="s">
        <v>43</v>
      </c>
      <c r="D38" s="65" t="s">
        <v>14</v>
      </c>
      <c r="E38" s="73"/>
      <c r="F38" s="74">
        <v>115</v>
      </c>
      <c r="G38" s="82">
        <f t="shared" si="1"/>
        <v>0</v>
      </c>
      <c r="H38" s="106"/>
      <c r="I38" s="107"/>
      <c r="J38" s="106"/>
      <c r="K38" s="106"/>
      <c r="L38" s="110"/>
      <c r="M38" s="108"/>
      <c r="N38" s="111"/>
      <c r="O38" s="112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1:27" ht="19.5" customHeight="1" x14ac:dyDescent="0.2">
      <c r="A39" s="34">
        <v>29</v>
      </c>
      <c r="B39" s="35" t="s">
        <v>36</v>
      </c>
      <c r="C39" s="36" t="s">
        <v>44</v>
      </c>
      <c r="D39" s="65" t="s">
        <v>14</v>
      </c>
      <c r="E39" s="73"/>
      <c r="F39" s="74">
        <v>19</v>
      </c>
      <c r="G39" s="82">
        <f t="shared" si="1"/>
        <v>0</v>
      </c>
      <c r="H39" s="106"/>
      <c r="I39" s="107"/>
      <c r="J39" s="106"/>
      <c r="K39" s="106"/>
      <c r="L39" s="110"/>
      <c r="M39" s="108"/>
      <c r="N39" s="111"/>
      <c r="O39" s="112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1:27" ht="19.5" customHeight="1" x14ac:dyDescent="0.2">
      <c r="A40" s="34">
        <v>30</v>
      </c>
      <c r="B40" s="35" t="s">
        <v>45</v>
      </c>
      <c r="C40" s="36" t="s">
        <v>46</v>
      </c>
      <c r="D40" s="65" t="s">
        <v>14</v>
      </c>
      <c r="E40" s="73"/>
      <c r="F40" s="74">
        <v>19</v>
      </c>
      <c r="G40" s="82">
        <f t="shared" si="1"/>
        <v>0</v>
      </c>
      <c r="H40" s="106"/>
      <c r="I40" s="107"/>
      <c r="J40" s="106"/>
      <c r="K40" s="106"/>
      <c r="L40" s="110"/>
      <c r="M40" s="108"/>
      <c r="N40" s="111"/>
      <c r="O40" s="112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1:27" ht="19.5" customHeight="1" x14ac:dyDescent="0.2">
      <c r="A41" s="34">
        <v>31</v>
      </c>
      <c r="B41" s="35" t="s">
        <v>45</v>
      </c>
      <c r="C41" s="36" t="s">
        <v>47</v>
      </c>
      <c r="D41" s="65" t="s">
        <v>14</v>
      </c>
      <c r="E41" s="73"/>
      <c r="F41" s="74">
        <v>38</v>
      </c>
      <c r="G41" s="82">
        <f t="shared" si="1"/>
        <v>0</v>
      </c>
      <c r="H41" s="106"/>
      <c r="I41" s="107"/>
      <c r="J41" s="106"/>
      <c r="K41" s="106"/>
      <c r="L41" s="110"/>
      <c r="M41" s="108"/>
      <c r="N41" s="111"/>
      <c r="O41" s="112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1:27" ht="19.5" customHeight="1" x14ac:dyDescent="0.2">
      <c r="A42" s="34">
        <v>32</v>
      </c>
      <c r="B42" s="35" t="s">
        <v>45</v>
      </c>
      <c r="C42" s="36" t="s">
        <v>48</v>
      </c>
      <c r="D42" s="65" t="s">
        <v>14</v>
      </c>
      <c r="E42" s="73"/>
      <c r="F42" s="74">
        <v>96</v>
      </c>
      <c r="G42" s="82">
        <f t="shared" si="1"/>
        <v>0</v>
      </c>
      <c r="H42" s="106"/>
      <c r="I42" s="107"/>
      <c r="J42" s="106"/>
      <c r="K42" s="106"/>
      <c r="L42" s="110"/>
      <c r="M42" s="108"/>
      <c r="N42" s="111"/>
      <c r="O42" s="112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1:27" ht="19.5" customHeight="1" x14ac:dyDescent="0.2">
      <c r="A43" s="34">
        <v>33</v>
      </c>
      <c r="B43" s="35" t="s">
        <v>45</v>
      </c>
      <c r="C43" s="36" t="s">
        <v>49</v>
      </c>
      <c r="D43" s="65" t="s">
        <v>14</v>
      </c>
      <c r="E43" s="73"/>
      <c r="F43" s="74">
        <v>192</v>
      </c>
      <c r="G43" s="82">
        <f t="shared" si="1"/>
        <v>0</v>
      </c>
      <c r="H43" s="106"/>
      <c r="I43" s="107"/>
      <c r="J43" s="106"/>
      <c r="K43" s="106"/>
      <c r="L43" s="110"/>
      <c r="M43" s="108"/>
      <c r="N43" s="111"/>
      <c r="O43" s="112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1:27" ht="19.5" customHeight="1" x14ac:dyDescent="0.2">
      <c r="A44" s="34">
        <v>34</v>
      </c>
      <c r="B44" s="35" t="s">
        <v>45</v>
      </c>
      <c r="C44" s="36" t="s">
        <v>50</v>
      </c>
      <c r="D44" s="65" t="s">
        <v>14</v>
      </c>
      <c r="E44" s="73"/>
      <c r="F44" s="74">
        <v>38</v>
      </c>
      <c r="G44" s="82">
        <f t="shared" si="1"/>
        <v>0</v>
      </c>
      <c r="H44" s="106"/>
      <c r="I44" s="107"/>
      <c r="J44" s="106"/>
      <c r="K44" s="106"/>
      <c r="L44" s="110"/>
      <c r="M44" s="108"/>
      <c r="N44" s="111"/>
      <c r="O44" s="112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1:27" ht="19.5" customHeight="1" x14ac:dyDescent="0.2">
      <c r="A45" s="34">
        <v>35</v>
      </c>
      <c r="B45" s="35" t="s">
        <v>45</v>
      </c>
      <c r="C45" s="36" t="s">
        <v>51</v>
      </c>
      <c r="D45" s="65" t="s">
        <v>14</v>
      </c>
      <c r="E45" s="73"/>
      <c r="F45" s="74">
        <v>38</v>
      </c>
      <c r="G45" s="82">
        <f t="shared" si="1"/>
        <v>0</v>
      </c>
      <c r="H45" s="106"/>
      <c r="I45" s="107"/>
      <c r="J45" s="106"/>
      <c r="K45" s="106"/>
      <c r="L45" s="110"/>
      <c r="M45" s="108"/>
      <c r="N45" s="111"/>
      <c r="O45" s="112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1:27" ht="19.5" customHeight="1" x14ac:dyDescent="0.2">
      <c r="A46" s="38">
        <v>36</v>
      </c>
      <c r="B46" s="39" t="s">
        <v>52</v>
      </c>
      <c r="C46" s="40" t="s">
        <v>53</v>
      </c>
      <c r="D46" s="65" t="s">
        <v>14</v>
      </c>
      <c r="E46" s="75"/>
      <c r="F46" s="76">
        <v>38</v>
      </c>
      <c r="G46" s="83">
        <f t="shared" si="1"/>
        <v>0</v>
      </c>
      <c r="H46" s="106"/>
      <c r="I46" s="107"/>
      <c r="J46" s="106"/>
      <c r="K46" s="106"/>
      <c r="L46" s="113"/>
      <c r="M46" s="108"/>
      <c r="N46" s="114"/>
      <c r="O46" s="115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spans="1:27" ht="19.5" customHeight="1" x14ac:dyDescent="0.2">
      <c r="A47" s="38">
        <v>37</v>
      </c>
      <c r="B47" s="39" t="s">
        <v>52</v>
      </c>
      <c r="C47" s="40" t="s">
        <v>54</v>
      </c>
      <c r="D47" s="65" t="s">
        <v>14</v>
      </c>
      <c r="E47" s="75"/>
      <c r="F47" s="76">
        <v>38</v>
      </c>
      <c r="G47" s="83">
        <f t="shared" si="1"/>
        <v>0</v>
      </c>
      <c r="H47" s="106"/>
      <c r="I47" s="107"/>
      <c r="J47" s="106"/>
      <c r="K47" s="106"/>
      <c r="L47" s="113"/>
      <c r="M47" s="108"/>
      <c r="N47" s="114"/>
      <c r="O47" s="115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spans="1:27" ht="19.5" customHeight="1" x14ac:dyDescent="0.2">
      <c r="A48" s="38">
        <v>38</v>
      </c>
      <c r="B48" s="39" t="s">
        <v>52</v>
      </c>
      <c r="C48" s="40" t="s">
        <v>55</v>
      </c>
      <c r="D48" s="65" t="s">
        <v>14</v>
      </c>
      <c r="E48" s="75"/>
      <c r="F48" s="76">
        <v>96</v>
      </c>
      <c r="G48" s="83">
        <f t="shared" si="1"/>
        <v>0</v>
      </c>
      <c r="H48" s="106"/>
      <c r="I48" s="107"/>
      <c r="J48" s="106"/>
      <c r="K48" s="106"/>
      <c r="L48" s="113"/>
      <c r="M48" s="108"/>
      <c r="N48" s="114"/>
      <c r="O48" s="115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 ht="19.5" customHeight="1" x14ac:dyDescent="0.2">
      <c r="A49" s="38">
        <v>39</v>
      </c>
      <c r="B49" s="39" t="s">
        <v>52</v>
      </c>
      <c r="C49" s="40" t="s">
        <v>56</v>
      </c>
      <c r="D49" s="65" t="s">
        <v>14</v>
      </c>
      <c r="E49" s="75"/>
      <c r="F49" s="76">
        <v>96</v>
      </c>
      <c r="G49" s="83">
        <f t="shared" si="1"/>
        <v>0</v>
      </c>
      <c r="H49" s="106"/>
      <c r="I49" s="107"/>
      <c r="J49" s="106"/>
      <c r="K49" s="106"/>
      <c r="L49" s="113"/>
      <c r="M49" s="108"/>
      <c r="N49" s="114"/>
      <c r="O49" s="115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spans="1:27" ht="19.5" customHeight="1" x14ac:dyDescent="0.2">
      <c r="A50" s="38">
        <v>40</v>
      </c>
      <c r="B50" s="39" t="s">
        <v>52</v>
      </c>
      <c r="C50" s="40" t="s">
        <v>57</v>
      </c>
      <c r="D50" s="65" t="s">
        <v>14</v>
      </c>
      <c r="E50" s="75"/>
      <c r="F50" s="76">
        <v>38</v>
      </c>
      <c r="G50" s="83">
        <f t="shared" si="1"/>
        <v>0</v>
      </c>
      <c r="H50" s="106"/>
      <c r="I50" s="107"/>
      <c r="J50" s="106"/>
      <c r="K50" s="106"/>
      <c r="L50" s="113"/>
      <c r="M50" s="108"/>
      <c r="N50" s="114"/>
      <c r="O50" s="115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 ht="19.5" customHeight="1" x14ac:dyDescent="0.2">
      <c r="A51" s="38">
        <v>41</v>
      </c>
      <c r="B51" s="39" t="s">
        <v>52</v>
      </c>
      <c r="C51" s="40" t="s">
        <v>58</v>
      </c>
      <c r="D51" s="65" t="s">
        <v>14</v>
      </c>
      <c r="E51" s="75"/>
      <c r="F51" s="76">
        <v>38</v>
      </c>
      <c r="G51" s="83">
        <f t="shared" si="1"/>
        <v>0</v>
      </c>
      <c r="H51" s="106"/>
      <c r="I51" s="107"/>
      <c r="J51" s="106"/>
      <c r="K51" s="106"/>
      <c r="L51" s="113"/>
      <c r="M51" s="108"/>
      <c r="N51" s="114"/>
      <c r="O51" s="115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spans="1:27" ht="19.5" customHeight="1" x14ac:dyDescent="0.2">
      <c r="A52" s="34">
        <v>42</v>
      </c>
      <c r="B52" s="35" t="s">
        <v>59</v>
      </c>
      <c r="C52" s="36" t="s">
        <v>60</v>
      </c>
      <c r="D52" s="65" t="s">
        <v>14</v>
      </c>
      <c r="E52" s="73"/>
      <c r="F52" s="74">
        <v>528</v>
      </c>
      <c r="G52" s="82">
        <f t="shared" si="1"/>
        <v>0</v>
      </c>
      <c r="H52" s="106"/>
      <c r="I52" s="107"/>
      <c r="J52" s="106"/>
      <c r="K52" s="106"/>
      <c r="L52" s="110"/>
      <c r="M52" s="108"/>
      <c r="N52" s="111"/>
      <c r="O52" s="112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1:27" ht="19.5" customHeight="1" x14ac:dyDescent="0.2">
      <c r="A53" s="34">
        <v>43</v>
      </c>
      <c r="B53" s="35" t="s">
        <v>59</v>
      </c>
      <c r="C53" s="36" t="s">
        <v>61</v>
      </c>
      <c r="D53" s="65" t="s">
        <v>14</v>
      </c>
      <c r="E53" s="73"/>
      <c r="F53" s="74">
        <v>1056</v>
      </c>
      <c r="G53" s="82">
        <f t="shared" si="1"/>
        <v>0</v>
      </c>
      <c r="H53" s="106"/>
      <c r="I53" s="107"/>
      <c r="J53" s="106"/>
      <c r="K53" s="106"/>
      <c r="L53" s="110"/>
      <c r="M53" s="108"/>
      <c r="N53" s="111"/>
      <c r="O53" s="112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1:27" ht="19.5" customHeight="1" x14ac:dyDescent="0.2">
      <c r="A54" s="34">
        <v>44</v>
      </c>
      <c r="B54" s="35" t="s">
        <v>59</v>
      </c>
      <c r="C54" s="36" t="s">
        <v>62</v>
      </c>
      <c r="D54" s="65" t="s">
        <v>14</v>
      </c>
      <c r="E54" s="73"/>
      <c r="F54" s="74">
        <v>288</v>
      </c>
      <c r="G54" s="82">
        <f t="shared" si="1"/>
        <v>0</v>
      </c>
      <c r="H54" s="106"/>
      <c r="I54" s="107"/>
      <c r="J54" s="106"/>
      <c r="K54" s="106"/>
      <c r="L54" s="110"/>
      <c r="M54" s="108"/>
      <c r="N54" s="111"/>
      <c r="O54" s="112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1:27" ht="19.5" customHeight="1" x14ac:dyDescent="0.2">
      <c r="A55" s="34">
        <v>45</v>
      </c>
      <c r="B55" s="35" t="s">
        <v>59</v>
      </c>
      <c r="C55" s="36" t="s">
        <v>63</v>
      </c>
      <c r="D55" s="65" t="s">
        <v>14</v>
      </c>
      <c r="E55" s="73"/>
      <c r="F55" s="74">
        <v>432</v>
      </c>
      <c r="G55" s="82">
        <f t="shared" si="1"/>
        <v>0</v>
      </c>
      <c r="H55" s="106"/>
      <c r="I55" s="107"/>
      <c r="J55" s="106"/>
      <c r="K55" s="106"/>
      <c r="L55" s="110"/>
      <c r="M55" s="108"/>
      <c r="N55" s="111"/>
      <c r="O55" s="112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1:27" ht="19.5" customHeight="1" x14ac:dyDescent="0.2">
      <c r="A56" s="34">
        <v>46</v>
      </c>
      <c r="B56" s="35" t="s">
        <v>59</v>
      </c>
      <c r="C56" s="36" t="s">
        <v>64</v>
      </c>
      <c r="D56" s="65" t="s">
        <v>14</v>
      </c>
      <c r="E56" s="73"/>
      <c r="F56" s="74">
        <v>432</v>
      </c>
      <c r="G56" s="82">
        <f t="shared" si="1"/>
        <v>0</v>
      </c>
      <c r="H56" s="106"/>
      <c r="I56" s="107"/>
      <c r="J56" s="106"/>
      <c r="K56" s="106"/>
      <c r="L56" s="110"/>
      <c r="M56" s="108"/>
      <c r="N56" s="111"/>
      <c r="O56" s="112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1:27" ht="19.5" customHeight="1" x14ac:dyDescent="0.2">
      <c r="A57" s="34">
        <v>47</v>
      </c>
      <c r="B57" s="35" t="s">
        <v>65</v>
      </c>
      <c r="C57" s="36" t="s">
        <v>66</v>
      </c>
      <c r="D57" s="65" t="s">
        <v>14</v>
      </c>
      <c r="E57" s="73"/>
      <c r="F57" s="74">
        <v>3120</v>
      </c>
      <c r="G57" s="82">
        <f t="shared" si="1"/>
        <v>0</v>
      </c>
      <c r="H57" s="106"/>
      <c r="I57" s="107"/>
      <c r="J57" s="106"/>
      <c r="K57" s="106"/>
      <c r="L57" s="110"/>
      <c r="M57" s="108"/>
      <c r="N57" s="111"/>
      <c r="O57" s="112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1:27" ht="19.5" customHeight="1" x14ac:dyDescent="0.2">
      <c r="A58" s="34">
        <v>48</v>
      </c>
      <c r="B58" s="35" t="s">
        <v>65</v>
      </c>
      <c r="C58" s="36" t="s">
        <v>67</v>
      </c>
      <c r="D58" s="65" t="s">
        <v>14</v>
      </c>
      <c r="E58" s="73"/>
      <c r="F58" s="74">
        <v>864</v>
      </c>
      <c r="G58" s="82">
        <f t="shared" si="1"/>
        <v>0</v>
      </c>
      <c r="H58" s="106"/>
      <c r="I58" s="107"/>
      <c r="J58" s="106"/>
      <c r="K58" s="106"/>
      <c r="L58" s="110"/>
      <c r="M58" s="108"/>
      <c r="N58" s="111"/>
      <c r="O58" s="112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1:27" ht="19.5" customHeight="1" x14ac:dyDescent="0.2">
      <c r="A59" s="34">
        <v>49</v>
      </c>
      <c r="B59" s="35" t="s">
        <v>68</v>
      </c>
      <c r="C59" s="36" t="s">
        <v>69</v>
      </c>
      <c r="D59" s="65" t="s">
        <v>14</v>
      </c>
      <c r="E59" s="73"/>
      <c r="F59" s="74">
        <v>17</v>
      </c>
      <c r="G59" s="82">
        <f t="shared" si="1"/>
        <v>0</v>
      </c>
      <c r="H59" s="106"/>
      <c r="I59" s="107"/>
      <c r="J59" s="106"/>
      <c r="K59" s="106"/>
      <c r="L59" s="110"/>
      <c r="M59" s="108"/>
      <c r="N59" s="111"/>
      <c r="O59" s="112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spans="1:27" ht="19.5" customHeight="1" x14ac:dyDescent="0.2">
      <c r="A60" s="34">
        <v>50</v>
      </c>
      <c r="B60" s="35" t="s">
        <v>68</v>
      </c>
      <c r="C60" s="36" t="s">
        <v>70</v>
      </c>
      <c r="D60" s="65" t="s">
        <v>14</v>
      </c>
      <c r="E60" s="73"/>
      <c r="F60" s="74">
        <v>17</v>
      </c>
      <c r="G60" s="82">
        <f t="shared" si="1"/>
        <v>0</v>
      </c>
      <c r="H60" s="106"/>
      <c r="I60" s="107"/>
      <c r="J60" s="106"/>
      <c r="K60" s="106"/>
      <c r="L60" s="110"/>
      <c r="M60" s="108"/>
      <c r="N60" s="111"/>
      <c r="O60" s="112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1:27" ht="19.5" customHeight="1" x14ac:dyDescent="0.2">
      <c r="A61" s="34">
        <v>51</v>
      </c>
      <c r="B61" s="35" t="s">
        <v>68</v>
      </c>
      <c r="C61" s="36" t="s">
        <v>71</v>
      </c>
      <c r="D61" s="65" t="s">
        <v>14</v>
      </c>
      <c r="E61" s="73"/>
      <c r="F61" s="74">
        <v>17</v>
      </c>
      <c r="G61" s="82">
        <f t="shared" si="1"/>
        <v>0</v>
      </c>
      <c r="H61" s="106"/>
      <c r="I61" s="107"/>
      <c r="J61" s="106"/>
      <c r="K61" s="106"/>
      <c r="L61" s="110"/>
      <c r="M61" s="108"/>
      <c r="N61" s="111"/>
      <c r="O61" s="112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1:27" ht="19.5" customHeight="1" x14ac:dyDescent="0.2">
      <c r="A62" s="34">
        <v>52</v>
      </c>
      <c r="B62" s="35" t="s">
        <v>72</v>
      </c>
      <c r="C62" s="35" t="s">
        <v>73</v>
      </c>
      <c r="D62" s="65" t="s">
        <v>74</v>
      </c>
      <c r="E62" s="73"/>
      <c r="F62" s="74">
        <v>2000</v>
      </c>
      <c r="G62" s="82">
        <f t="shared" si="1"/>
        <v>0</v>
      </c>
      <c r="H62" s="106"/>
      <c r="I62" s="107"/>
      <c r="J62" s="106"/>
      <c r="K62" s="106"/>
      <c r="L62" s="110"/>
      <c r="M62" s="108"/>
      <c r="N62" s="111"/>
      <c r="O62" s="112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1:27" ht="24.75" customHeight="1" x14ac:dyDescent="0.2">
      <c r="A63" s="38">
        <v>53</v>
      </c>
      <c r="B63" s="39" t="s">
        <v>75</v>
      </c>
      <c r="C63" s="40" t="s">
        <v>76</v>
      </c>
      <c r="D63" s="65" t="s">
        <v>74</v>
      </c>
      <c r="E63" s="75"/>
      <c r="F63" s="76">
        <v>4128</v>
      </c>
      <c r="G63" s="83">
        <f t="shared" si="1"/>
        <v>0</v>
      </c>
      <c r="H63" s="106"/>
      <c r="I63" s="107"/>
      <c r="J63" s="106"/>
      <c r="K63" s="106"/>
      <c r="L63" s="113"/>
      <c r="M63" s="108"/>
      <c r="N63" s="114"/>
      <c r="O63" s="115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7" ht="24.75" customHeight="1" x14ac:dyDescent="0.2">
      <c r="A64" s="38">
        <v>53.1</v>
      </c>
      <c r="B64" s="39" t="s">
        <v>75</v>
      </c>
      <c r="C64" s="40" t="s">
        <v>77</v>
      </c>
      <c r="D64" s="65" t="s">
        <v>74</v>
      </c>
      <c r="E64" s="75"/>
      <c r="F64" s="76">
        <v>4128</v>
      </c>
      <c r="G64" s="83">
        <f t="shared" si="1"/>
        <v>0</v>
      </c>
      <c r="H64" s="106"/>
      <c r="I64" s="107"/>
      <c r="J64" s="106"/>
      <c r="K64" s="106"/>
      <c r="L64" s="113"/>
      <c r="M64" s="108"/>
      <c r="N64" s="114"/>
      <c r="O64" s="115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spans="1:27" ht="24.75" customHeight="1" x14ac:dyDescent="0.2">
      <c r="A65" s="38">
        <v>54</v>
      </c>
      <c r="B65" s="39" t="s">
        <v>75</v>
      </c>
      <c r="C65" s="40" t="s">
        <v>78</v>
      </c>
      <c r="D65" s="65" t="s">
        <v>74</v>
      </c>
      <c r="E65" s="75"/>
      <c r="F65" s="76">
        <v>4128</v>
      </c>
      <c r="G65" s="83">
        <f t="shared" si="1"/>
        <v>0</v>
      </c>
      <c r="H65" s="106"/>
      <c r="I65" s="107"/>
      <c r="J65" s="106"/>
      <c r="K65" s="106"/>
      <c r="L65" s="113"/>
      <c r="M65" s="108"/>
      <c r="N65" s="114"/>
      <c r="O65" s="115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spans="1:27" ht="24.75" customHeight="1" x14ac:dyDescent="0.2">
      <c r="A66" s="38">
        <v>54.1</v>
      </c>
      <c r="B66" s="39" t="s">
        <v>75</v>
      </c>
      <c r="C66" s="40" t="s">
        <v>79</v>
      </c>
      <c r="D66" s="65" t="s">
        <v>74</v>
      </c>
      <c r="E66" s="75"/>
      <c r="F66" s="76">
        <v>4128</v>
      </c>
      <c r="G66" s="83">
        <f t="shared" si="1"/>
        <v>0</v>
      </c>
      <c r="H66" s="106"/>
      <c r="I66" s="107"/>
      <c r="J66" s="106"/>
      <c r="K66" s="106"/>
      <c r="L66" s="113"/>
      <c r="M66" s="108"/>
      <c r="N66" s="114"/>
      <c r="O66" s="115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spans="1:27" ht="24.75" customHeight="1" x14ac:dyDescent="0.2">
      <c r="A67" s="38">
        <v>54.2</v>
      </c>
      <c r="B67" s="39" t="s">
        <v>75</v>
      </c>
      <c r="C67" s="40" t="s">
        <v>80</v>
      </c>
      <c r="D67" s="65" t="s">
        <v>74</v>
      </c>
      <c r="E67" s="75"/>
      <c r="F67" s="76">
        <v>4128</v>
      </c>
      <c r="G67" s="83">
        <f t="shared" si="1"/>
        <v>0</v>
      </c>
      <c r="H67" s="106"/>
      <c r="I67" s="107"/>
      <c r="J67" s="106"/>
      <c r="K67" s="106"/>
      <c r="L67" s="113"/>
      <c r="M67" s="108"/>
      <c r="N67" s="114"/>
      <c r="O67" s="115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spans="1:27" ht="24.75" customHeight="1" x14ac:dyDescent="0.2">
      <c r="A68" s="38">
        <v>55</v>
      </c>
      <c r="B68" s="39" t="s">
        <v>81</v>
      </c>
      <c r="C68" s="40" t="s">
        <v>82</v>
      </c>
      <c r="D68" s="65" t="s">
        <v>83</v>
      </c>
      <c r="E68" s="75"/>
      <c r="F68" s="76">
        <v>4128</v>
      </c>
      <c r="G68" s="83">
        <f t="shared" si="1"/>
        <v>0</v>
      </c>
      <c r="H68" s="106"/>
      <c r="I68" s="107"/>
      <c r="J68" s="106"/>
      <c r="K68" s="106"/>
      <c r="L68" s="113"/>
      <c r="M68" s="108"/>
      <c r="N68" s="114"/>
      <c r="O68" s="115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spans="1:27" ht="24.75" customHeight="1" x14ac:dyDescent="0.2">
      <c r="A69" s="38">
        <v>56</v>
      </c>
      <c r="B69" s="39" t="s">
        <v>81</v>
      </c>
      <c r="C69" s="40" t="s">
        <v>84</v>
      </c>
      <c r="D69" s="65" t="s">
        <v>83</v>
      </c>
      <c r="E69" s="75"/>
      <c r="F69" s="76">
        <v>216</v>
      </c>
      <c r="G69" s="83">
        <f t="shared" si="1"/>
        <v>0</v>
      </c>
      <c r="H69" s="106"/>
      <c r="I69" s="107"/>
      <c r="J69" s="106"/>
      <c r="K69" s="106"/>
      <c r="L69" s="113"/>
      <c r="M69" s="108"/>
      <c r="N69" s="114"/>
      <c r="O69" s="115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spans="1:27" ht="19.5" customHeight="1" x14ac:dyDescent="0.2">
      <c r="A70" s="38">
        <v>57</v>
      </c>
      <c r="B70" s="39" t="s">
        <v>85</v>
      </c>
      <c r="C70" s="40" t="s">
        <v>86</v>
      </c>
      <c r="D70" s="65" t="s">
        <v>14</v>
      </c>
      <c r="E70" s="75"/>
      <c r="F70" s="76">
        <v>125</v>
      </c>
      <c r="G70" s="83">
        <f t="shared" si="1"/>
        <v>0</v>
      </c>
      <c r="H70" s="106"/>
      <c r="I70" s="107"/>
      <c r="J70" s="106"/>
      <c r="K70" s="106"/>
      <c r="L70" s="113"/>
      <c r="M70" s="108"/>
      <c r="N70" s="114"/>
      <c r="O70" s="115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spans="1:27" ht="30.75" customHeight="1" x14ac:dyDescent="0.2">
      <c r="A71" s="38">
        <v>58</v>
      </c>
      <c r="B71" s="39" t="s">
        <v>87</v>
      </c>
      <c r="C71" s="40" t="s">
        <v>88</v>
      </c>
      <c r="D71" s="65" t="s">
        <v>14</v>
      </c>
      <c r="E71" s="75"/>
      <c r="F71" s="76">
        <v>864</v>
      </c>
      <c r="G71" s="83">
        <f t="shared" si="1"/>
        <v>0</v>
      </c>
      <c r="H71" s="106"/>
      <c r="I71" s="107"/>
      <c r="J71" s="106"/>
      <c r="K71" s="106"/>
      <c r="L71" s="113"/>
      <c r="M71" s="108"/>
      <c r="N71" s="114"/>
      <c r="O71" s="115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spans="1:27" ht="25.5" customHeight="1" x14ac:dyDescent="0.2">
      <c r="A72" s="30">
        <v>59</v>
      </c>
      <c r="B72" s="31" t="s">
        <v>89</v>
      </c>
      <c r="C72" s="33" t="s">
        <v>90</v>
      </c>
      <c r="D72" s="65" t="s">
        <v>14</v>
      </c>
      <c r="E72" s="71"/>
      <c r="F72" s="72">
        <v>4800</v>
      </c>
      <c r="G72" s="81">
        <f t="shared" si="1"/>
        <v>0</v>
      </c>
      <c r="H72" s="106"/>
      <c r="I72" s="107"/>
      <c r="J72" s="106"/>
      <c r="K72" s="106"/>
      <c r="L72" s="108"/>
      <c r="M72" s="108"/>
      <c r="N72" s="109"/>
      <c r="O72" s="8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9.5" customHeight="1" x14ac:dyDescent="0.2">
      <c r="A73" s="30">
        <v>60</v>
      </c>
      <c r="B73" s="31" t="s">
        <v>91</v>
      </c>
      <c r="C73" s="33" t="s">
        <v>92</v>
      </c>
      <c r="D73" s="65" t="s">
        <v>93</v>
      </c>
      <c r="E73" s="71"/>
      <c r="F73" s="72">
        <v>144</v>
      </c>
      <c r="G73" s="81">
        <f t="shared" si="1"/>
        <v>0</v>
      </c>
      <c r="H73" s="106"/>
      <c r="I73" s="107"/>
      <c r="J73" s="106"/>
      <c r="K73" s="106"/>
      <c r="L73" s="108"/>
      <c r="M73" s="108"/>
      <c r="N73" s="109"/>
      <c r="O73" s="8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9.5" customHeight="1" x14ac:dyDescent="0.2">
      <c r="A74" s="30">
        <v>61</v>
      </c>
      <c r="B74" s="31" t="s">
        <v>91</v>
      </c>
      <c r="C74" s="33" t="s">
        <v>94</v>
      </c>
      <c r="D74" s="65" t="s">
        <v>93</v>
      </c>
      <c r="E74" s="71"/>
      <c r="F74" s="72">
        <v>120</v>
      </c>
      <c r="G74" s="81">
        <f t="shared" si="1"/>
        <v>0</v>
      </c>
      <c r="H74" s="106"/>
      <c r="I74" s="107"/>
      <c r="J74" s="106"/>
      <c r="K74" s="106"/>
      <c r="L74" s="108"/>
      <c r="M74" s="108"/>
      <c r="N74" s="109"/>
      <c r="O74" s="8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9.5" customHeight="1" x14ac:dyDescent="0.2">
      <c r="A75" s="30">
        <v>62</v>
      </c>
      <c r="B75" s="31" t="s">
        <v>91</v>
      </c>
      <c r="C75" s="33" t="s">
        <v>95</v>
      </c>
      <c r="D75" s="65" t="s">
        <v>14</v>
      </c>
      <c r="E75" s="71"/>
      <c r="F75" s="72">
        <v>5</v>
      </c>
      <c r="G75" s="81">
        <f t="shared" si="1"/>
        <v>0</v>
      </c>
      <c r="H75" s="106"/>
      <c r="I75" s="107"/>
      <c r="J75" s="106"/>
      <c r="K75" s="106"/>
      <c r="L75" s="108"/>
      <c r="M75" s="108"/>
      <c r="N75" s="109"/>
      <c r="O75" s="8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9.5" customHeight="1" x14ac:dyDescent="0.2">
      <c r="A76" s="30">
        <v>63</v>
      </c>
      <c r="B76" s="31" t="s">
        <v>91</v>
      </c>
      <c r="C76" s="33" t="s">
        <v>96</v>
      </c>
      <c r="D76" s="65" t="s">
        <v>14</v>
      </c>
      <c r="E76" s="71"/>
      <c r="F76" s="72">
        <v>4</v>
      </c>
      <c r="G76" s="81">
        <f t="shared" si="1"/>
        <v>0</v>
      </c>
      <c r="H76" s="106"/>
      <c r="I76" s="107"/>
      <c r="J76" s="106"/>
      <c r="K76" s="106"/>
      <c r="L76" s="108"/>
      <c r="M76" s="108"/>
      <c r="N76" s="109"/>
      <c r="O76" s="8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9.5" customHeight="1" x14ac:dyDescent="0.2">
      <c r="A77" s="30">
        <v>64</v>
      </c>
      <c r="B77" s="31" t="s">
        <v>91</v>
      </c>
      <c r="C77" s="33" t="s">
        <v>97</v>
      </c>
      <c r="D77" s="65" t="s">
        <v>14</v>
      </c>
      <c r="E77" s="71"/>
      <c r="F77" s="72">
        <v>3</v>
      </c>
      <c r="G77" s="81">
        <f t="shared" si="1"/>
        <v>0</v>
      </c>
      <c r="H77" s="106"/>
      <c r="I77" s="107"/>
      <c r="J77" s="106"/>
      <c r="K77" s="106"/>
      <c r="L77" s="108"/>
      <c r="M77" s="108"/>
      <c r="N77" s="109"/>
      <c r="O77" s="8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9.5" customHeight="1" x14ac:dyDescent="0.2">
      <c r="A78" s="30">
        <v>65</v>
      </c>
      <c r="B78" s="31" t="s">
        <v>98</v>
      </c>
      <c r="C78" s="33" t="s">
        <v>99</v>
      </c>
      <c r="D78" s="65" t="s">
        <v>100</v>
      </c>
      <c r="E78" s="71"/>
      <c r="F78" s="72">
        <v>100</v>
      </c>
      <c r="G78" s="81">
        <f t="shared" si="1"/>
        <v>0</v>
      </c>
      <c r="H78" s="106"/>
      <c r="I78" s="107"/>
      <c r="J78" s="106"/>
      <c r="K78" s="106"/>
      <c r="L78" s="108"/>
      <c r="M78" s="108"/>
      <c r="N78" s="109"/>
      <c r="O78" s="8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9.5" customHeight="1" x14ac:dyDescent="0.2">
      <c r="A79" s="30">
        <v>66</v>
      </c>
      <c r="B79" s="31" t="s">
        <v>98</v>
      </c>
      <c r="C79" s="33" t="s">
        <v>101</v>
      </c>
      <c r="D79" s="65" t="s">
        <v>102</v>
      </c>
      <c r="E79" s="71"/>
      <c r="F79" s="72">
        <v>2</v>
      </c>
      <c r="G79" s="81">
        <f t="shared" si="1"/>
        <v>0</v>
      </c>
      <c r="H79" s="106"/>
      <c r="I79" s="107"/>
      <c r="J79" s="106"/>
      <c r="K79" s="106"/>
      <c r="L79" s="108"/>
      <c r="M79" s="108"/>
      <c r="N79" s="109"/>
      <c r="O79" s="8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40.5" customHeight="1" x14ac:dyDescent="0.2">
      <c r="A80" s="30">
        <v>67</v>
      </c>
      <c r="B80" s="31" t="s">
        <v>98</v>
      </c>
      <c r="C80" s="33" t="s">
        <v>103</v>
      </c>
      <c r="D80" s="65" t="s">
        <v>100</v>
      </c>
      <c r="E80" s="71"/>
      <c r="F80" s="72">
        <v>10</v>
      </c>
      <c r="G80" s="81">
        <f t="shared" si="1"/>
        <v>0</v>
      </c>
      <c r="H80" s="106"/>
      <c r="I80" s="107"/>
      <c r="J80" s="106"/>
      <c r="K80" s="106"/>
      <c r="L80" s="108"/>
      <c r="M80" s="108"/>
      <c r="N80" s="109"/>
      <c r="O80" s="8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35.25" customHeight="1" x14ac:dyDescent="0.2">
      <c r="A81" s="30">
        <v>68</v>
      </c>
      <c r="B81" s="31" t="s">
        <v>98</v>
      </c>
      <c r="C81" s="33" t="s">
        <v>104</v>
      </c>
      <c r="D81" s="65" t="s">
        <v>100</v>
      </c>
      <c r="E81" s="71"/>
      <c r="F81" s="72">
        <v>10</v>
      </c>
      <c r="G81" s="81">
        <f t="shared" si="1"/>
        <v>0</v>
      </c>
      <c r="H81" s="106"/>
      <c r="I81" s="107"/>
      <c r="J81" s="106"/>
      <c r="K81" s="106"/>
      <c r="L81" s="108"/>
      <c r="M81" s="108"/>
      <c r="N81" s="109"/>
      <c r="O81" s="8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43.5" customHeight="1" x14ac:dyDescent="0.2">
      <c r="A82" s="30">
        <v>69</v>
      </c>
      <c r="B82" s="31" t="s">
        <v>98</v>
      </c>
      <c r="C82" s="33" t="s">
        <v>105</v>
      </c>
      <c r="D82" s="65" t="s">
        <v>100</v>
      </c>
      <c r="E82" s="71"/>
      <c r="F82" s="72">
        <v>8</v>
      </c>
      <c r="G82" s="81">
        <f t="shared" si="1"/>
        <v>0</v>
      </c>
      <c r="H82" s="106"/>
      <c r="I82" s="107"/>
      <c r="J82" s="106"/>
      <c r="K82" s="106"/>
      <c r="L82" s="108"/>
      <c r="M82" s="108"/>
      <c r="N82" s="109"/>
      <c r="O82" s="8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9.5" customHeight="1" x14ac:dyDescent="0.2">
      <c r="A83" s="30">
        <v>70</v>
      </c>
      <c r="B83" s="31" t="s">
        <v>98</v>
      </c>
      <c r="C83" s="33" t="s">
        <v>106</v>
      </c>
      <c r="D83" s="65" t="s">
        <v>102</v>
      </c>
      <c r="E83" s="71"/>
      <c r="F83" s="72">
        <v>8</v>
      </c>
      <c r="G83" s="81">
        <f t="shared" si="1"/>
        <v>0</v>
      </c>
      <c r="H83" s="106"/>
      <c r="I83" s="107"/>
      <c r="J83" s="106"/>
      <c r="K83" s="106"/>
      <c r="L83" s="108"/>
      <c r="M83" s="108"/>
      <c r="N83" s="109"/>
      <c r="O83" s="8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9.5" customHeight="1" x14ac:dyDescent="0.2">
      <c r="A84" s="30">
        <v>71</v>
      </c>
      <c r="B84" s="31" t="s">
        <v>98</v>
      </c>
      <c r="C84" s="33" t="s">
        <v>107</v>
      </c>
      <c r="D84" s="65" t="s">
        <v>102</v>
      </c>
      <c r="E84" s="71"/>
      <c r="F84" s="72">
        <v>5</v>
      </c>
      <c r="G84" s="81">
        <f t="shared" si="1"/>
        <v>0</v>
      </c>
      <c r="H84" s="106"/>
      <c r="I84" s="107"/>
      <c r="J84" s="106"/>
      <c r="K84" s="106"/>
      <c r="L84" s="108"/>
      <c r="M84" s="108"/>
      <c r="N84" s="109"/>
      <c r="O84" s="8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9.5" customHeight="1" x14ac:dyDescent="0.2">
      <c r="A85" s="30">
        <v>72</v>
      </c>
      <c r="B85" s="31" t="s">
        <v>98</v>
      </c>
      <c r="C85" s="33" t="s">
        <v>108</v>
      </c>
      <c r="D85" s="65" t="s">
        <v>102</v>
      </c>
      <c r="E85" s="71"/>
      <c r="F85" s="72">
        <v>3</v>
      </c>
      <c r="G85" s="81">
        <f t="shared" si="1"/>
        <v>0</v>
      </c>
      <c r="H85" s="106"/>
      <c r="I85" s="107"/>
      <c r="J85" s="106"/>
      <c r="K85" s="106"/>
      <c r="L85" s="108"/>
      <c r="M85" s="108"/>
      <c r="N85" s="109"/>
      <c r="O85" s="8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9.5" customHeight="1" x14ac:dyDescent="0.2">
      <c r="A86" s="30">
        <v>73</v>
      </c>
      <c r="B86" s="31" t="s">
        <v>98</v>
      </c>
      <c r="C86" s="33" t="s">
        <v>109</v>
      </c>
      <c r="D86" s="65" t="s">
        <v>100</v>
      </c>
      <c r="E86" s="71"/>
      <c r="F86" s="72">
        <v>14</v>
      </c>
      <c r="G86" s="81">
        <f t="shared" si="1"/>
        <v>0</v>
      </c>
      <c r="H86" s="106"/>
      <c r="I86" s="107"/>
      <c r="J86" s="106"/>
      <c r="K86" s="106"/>
      <c r="L86" s="108"/>
      <c r="M86" s="108"/>
      <c r="N86" s="109"/>
      <c r="O86" s="8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9.5" customHeight="1" x14ac:dyDescent="0.2">
      <c r="A87" s="30">
        <v>74</v>
      </c>
      <c r="B87" s="31" t="s">
        <v>98</v>
      </c>
      <c r="C87" s="33" t="s">
        <v>110</v>
      </c>
      <c r="D87" s="65" t="s">
        <v>100</v>
      </c>
      <c r="E87" s="71"/>
      <c r="F87" s="72">
        <v>14</v>
      </c>
      <c r="G87" s="81">
        <f t="shared" si="1"/>
        <v>0</v>
      </c>
      <c r="H87" s="106"/>
      <c r="I87" s="107"/>
      <c r="J87" s="106"/>
      <c r="K87" s="106"/>
      <c r="L87" s="108"/>
      <c r="M87" s="108"/>
      <c r="N87" s="109"/>
      <c r="O87" s="8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9.5" customHeight="1" x14ac:dyDescent="0.2">
      <c r="A88" s="30">
        <v>75</v>
      </c>
      <c r="B88" s="31" t="s">
        <v>111</v>
      </c>
      <c r="C88" s="33" t="s">
        <v>112</v>
      </c>
      <c r="D88" s="65" t="s">
        <v>93</v>
      </c>
      <c r="E88" s="71"/>
      <c r="F88" s="72">
        <v>2</v>
      </c>
      <c r="G88" s="81">
        <f t="shared" si="1"/>
        <v>0</v>
      </c>
      <c r="H88" s="106"/>
      <c r="I88" s="107"/>
      <c r="J88" s="106"/>
      <c r="K88" s="106"/>
      <c r="L88" s="108"/>
      <c r="M88" s="108"/>
      <c r="N88" s="109"/>
      <c r="O88" s="8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9.5" customHeight="1" x14ac:dyDescent="0.2">
      <c r="A89" s="30">
        <v>76</v>
      </c>
      <c r="B89" s="31" t="s">
        <v>111</v>
      </c>
      <c r="C89" s="33" t="s">
        <v>113</v>
      </c>
      <c r="D89" s="65" t="s">
        <v>93</v>
      </c>
      <c r="E89" s="71"/>
      <c r="F89" s="72">
        <v>2</v>
      </c>
      <c r="G89" s="81">
        <f t="shared" si="1"/>
        <v>0</v>
      </c>
      <c r="H89" s="106"/>
      <c r="I89" s="107"/>
      <c r="J89" s="106"/>
      <c r="K89" s="106"/>
      <c r="L89" s="108"/>
      <c r="M89" s="108"/>
      <c r="N89" s="109"/>
      <c r="O89" s="8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9.5" customHeight="1" x14ac:dyDescent="0.2">
      <c r="A90" s="30">
        <v>77</v>
      </c>
      <c r="B90" s="31" t="s">
        <v>111</v>
      </c>
      <c r="C90" s="33" t="s">
        <v>114</v>
      </c>
      <c r="D90" s="65" t="s">
        <v>102</v>
      </c>
      <c r="E90" s="71"/>
      <c r="F90" s="72">
        <v>2</v>
      </c>
      <c r="G90" s="81">
        <f t="shared" si="1"/>
        <v>0</v>
      </c>
      <c r="H90" s="106"/>
      <c r="I90" s="107"/>
      <c r="J90" s="106"/>
      <c r="K90" s="106"/>
      <c r="L90" s="108"/>
      <c r="M90" s="108"/>
      <c r="N90" s="109"/>
      <c r="O90" s="8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9.5" customHeight="1" x14ac:dyDescent="0.2">
      <c r="A91" s="30">
        <v>78</v>
      </c>
      <c r="B91" s="31" t="s">
        <v>115</v>
      </c>
      <c r="C91" s="33" t="s">
        <v>116</v>
      </c>
      <c r="D91" s="65" t="s">
        <v>102</v>
      </c>
      <c r="E91" s="71"/>
      <c r="F91" s="72">
        <v>5</v>
      </c>
      <c r="G91" s="81">
        <f t="shared" si="1"/>
        <v>0</v>
      </c>
      <c r="H91" s="106"/>
      <c r="I91" s="107"/>
      <c r="J91" s="106"/>
      <c r="K91" s="106"/>
      <c r="L91" s="108"/>
      <c r="M91" s="108"/>
      <c r="N91" s="109"/>
      <c r="O91" s="8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9.5" customHeight="1" x14ac:dyDescent="0.2">
      <c r="A92" s="30">
        <v>79</v>
      </c>
      <c r="B92" s="31" t="s">
        <v>115</v>
      </c>
      <c r="C92" s="33" t="s">
        <v>117</v>
      </c>
      <c r="D92" s="65" t="s">
        <v>102</v>
      </c>
      <c r="E92" s="71"/>
      <c r="F92" s="72">
        <v>5</v>
      </c>
      <c r="G92" s="81">
        <f t="shared" si="1"/>
        <v>0</v>
      </c>
      <c r="H92" s="106"/>
      <c r="I92" s="107"/>
      <c r="J92" s="106"/>
      <c r="K92" s="106"/>
      <c r="L92" s="108"/>
      <c r="M92" s="108"/>
      <c r="N92" s="109"/>
      <c r="O92" s="8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9.5" customHeight="1" x14ac:dyDescent="0.2">
      <c r="A93" s="30">
        <v>80</v>
      </c>
      <c r="B93" s="31" t="s">
        <v>115</v>
      </c>
      <c r="C93" s="33" t="s">
        <v>39</v>
      </c>
      <c r="D93" s="65" t="s">
        <v>102</v>
      </c>
      <c r="E93" s="71"/>
      <c r="F93" s="72">
        <v>5</v>
      </c>
      <c r="G93" s="81">
        <f t="shared" si="1"/>
        <v>0</v>
      </c>
      <c r="H93" s="106"/>
      <c r="I93" s="107"/>
      <c r="J93" s="106"/>
      <c r="K93" s="106"/>
      <c r="L93" s="108"/>
      <c r="M93" s="108"/>
      <c r="N93" s="109"/>
      <c r="O93" s="8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9.5" customHeight="1" x14ac:dyDescent="0.2">
      <c r="A94" s="30">
        <v>81</v>
      </c>
      <c r="B94" s="31" t="s">
        <v>115</v>
      </c>
      <c r="C94" s="33" t="s">
        <v>40</v>
      </c>
      <c r="D94" s="65" t="s">
        <v>102</v>
      </c>
      <c r="E94" s="71"/>
      <c r="F94" s="72">
        <v>5</v>
      </c>
      <c r="G94" s="81">
        <f t="shared" si="1"/>
        <v>0</v>
      </c>
      <c r="H94" s="106"/>
      <c r="I94" s="107"/>
      <c r="J94" s="106"/>
      <c r="K94" s="106"/>
      <c r="L94" s="108"/>
      <c r="M94" s="108"/>
      <c r="N94" s="109"/>
      <c r="O94" s="8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9.5" customHeight="1" x14ac:dyDescent="0.2">
      <c r="A95" s="30">
        <v>82</v>
      </c>
      <c r="B95" s="31" t="s">
        <v>115</v>
      </c>
      <c r="C95" s="33" t="s">
        <v>41</v>
      </c>
      <c r="D95" s="65" t="s">
        <v>102</v>
      </c>
      <c r="E95" s="71"/>
      <c r="F95" s="72">
        <v>4</v>
      </c>
      <c r="G95" s="81">
        <f t="shared" si="1"/>
        <v>0</v>
      </c>
      <c r="H95" s="106"/>
      <c r="I95" s="107"/>
      <c r="J95" s="106"/>
      <c r="K95" s="106"/>
      <c r="L95" s="108"/>
      <c r="M95" s="108"/>
      <c r="N95" s="109"/>
      <c r="O95" s="8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9.5" customHeight="1" x14ac:dyDescent="0.2">
      <c r="A96" s="30">
        <v>83</v>
      </c>
      <c r="B96" s="31" t="s">
        <v>118</v>
      </c>
      <c r="C96" s="33" t="s">
        <v>117</v>
      </c>
      <c r="D96" s="65" t="s">
        <v>102</v>
      </c>
      <c r="E96" s="71"/>
      <c r="F96" s="72">
        <v>3</v>
      </c>
      <c r="G96" s="81">
        <f t="shared" si="1"/>
        <v>0</v>
      </c>
      <c r="H96" s="106"/>
      <c r="I96" s="107"/>
      <c r="J96" s="106"/>
      <c r="K96" s="106"/>
      <c r="L96" s="108"/>
      <c r="M96" s="108"/>
      <c r="N96" s="109"/>
      <c r="O96" s="8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9.5" customHeight="1" x14ac:dyDescent="0.2">
      <c r="A97" s="30">
        <v>84</v>
      </c>
      <c r="B97" s="31" t="s">
        <v>118</v>
      </c>
      <c r="C97" s="33" t="s">
        <v>39</v>
      </c>
      <c r="D97" s="65" t="s">
        <v>102</v>
      </c>
      <c r="E97" s="71"/>
      <c r="F97" s="72">
        <v>2</v>
      </c>
      <c r="G97" s="81">
        <f t="shared" si="1"/>
        <v>0</v>
      </c>
      <c r="H97" s="106"/>
      <c r="I97" s="107"/>
      <c r="J97" s="106"/>
      <c r="K97" s="106"/>
      <c r="L97" s="108"/>
      <c r="M97" s="108"/>
      <c r="N97" s="109"/>
      <c r="O97" s="8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9.5" customHeight="1" x14ac:dyDescent="0.2">
      <c r="A98" s="30">
        <v>85</v>
      </c>
      <c r="B98" s="31" t="s">
        <v>118</v>
      </c>
      <c r="C98" s="33" t="s">
        <v>40</v>
      </c>
      <c r="D98" s="65" t="s">
        <v>102</v>
      </c>
      <c r="E98" s="71"/>
      <c r="F98" s="72">
        <v>1</v>
      </c>
      <c r="G98" s="81">
        <f t="shared" si="1"/>
        <v>0</v>
      </c>
      <c r="H98" s="106"/>
      <c r="I98" s="107"/>
      <c r="J98" s="106"/>
      <c r="K98" s="106"/>
      <c r="L98" s="108"/>
      <c r="M98" s="108"/>
      <c r="N98" s="109"/>
      <c r="O98" s="8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9.5" customHeight="1" x14ac:dyDescent="0.2">
      <c r="A99" s="30">
        <v>86</v>
      </c>
      <c r="B99" s="31" t="s">
        <v>118</v>
      </c>
      <c r="C99" s="33" t="s">
        <v>41</v>
      </c>
      <c r="D99" s="65" t="s">
        <v>102</v>
      </c>
      <c r="E99" s="71"/>
      <c r="F99" s="72">
        <v>1</v>
      </c>
      <c r="G99" s="81">
        <f t="shared" si="1"/>
        <v>0</v>
      </c>
      <c r="H99" s="106"/>
      <c r="I99" s="107"/>
      <c r="J99" s="106"/>
      <c r="K99" s="106"/>
      <c r="L99" s="108"/>
      <c r="M99" s="108"/>
      <c r="N99" s="109"/>
      <c r="O99" s="8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9.5" customHeight="1" x14ac:dyDescent="0.2">
      <c r="A100" s="30">
        <v>87</v>
      </c>
      <c r="B100" s="31" t="s">
        <v>118</v>
      </c>
      <c r="C100" s="33" t="s">
        <v>42</v>
      </c>
      <c r="D100" s="65" t="s">
        <v>102</v>
      </c>
      <c r="E100" s="71"/>
      <c r="F100" s="72">
        <v>1</v>
      </c>
      <c r="G100" s="81">
        <f t="shared" si="1"/>
        <v>0</v>
      </c>
      <c r="H100" s="106"/>
      <c r="I100" s="107"/>
      <c r="J100" s="106"/>
      <c r="K100" s="106"/>
      <c r="L100" s="108"/>
      <c r="M100" s="108"/>
      <c r="N100" s="109"/>
      <c r="O100" s="8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9.5" customHeight="1" x14ac:dyDescent="0.2">
      <c r="A101" s="30">
        <v>88</v>
      </c>
      <c r="B101" s="31" t="s">
        <v>118</v>
      </c>
      <c r="C101" s="33" t="s">
        <v>119</v>
      </c>
      <c r="D101" s="65" t="s">
        <v>102</v>
      </c>
      <c r="E101" s="71"/>
      <c r="F101" s="72">
        <v>1</v>
      </c>
      <c r="G101" s="81">
        <f t="shared" si="1"/>
        <v>0</v>
      </c>
      <c r="H101" s="106"/>
      <c r="I101" s="107"/>
      <c r="J101" s="106"/>
      <c r="K101" s="106"/>
      <c r="L101" s="108"/>
      <c r="M101" s="108"/>
      <c r="N101" s="109"/>
      <c r="O101" s="8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9.5" customHeight="1" x14ac:dyDescent="0.2">
      <c r="A102" s="30">
        <v>89</v>
      </c>
      <c r="B102" s="31" t="s">
        <v>118</v>
      </c>
      <c r="C102" s="33" t="s">
        <v>120</v>
      </c>
      <c r="D102" s="65" t="s">
        <v>102</v>
      </c>
      <c r="E102" s="71"/>
      <c r="F102" s="72">
        <v>1</v>
      </c>
      <c r="G102" s="81">
        <f t="shared" si="1"/>
        <v>0</v>
      </c>
      <c r="H102" s="106"/>
      <c r="I102" s="107"/>
      <c r="J102" s="106"/>
      <c r="K102" s="106"/>
      <c r="L102" s="108"/>
      <c r="M102" s="108"/>
      <c r="N102" s="109"/>
      <c r="O102" s="8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9.5" customHeight="1" x14ac:dyDescent="0.2">
      <c r="A103" s="30">
        <v>90</v>
      </c>
      <c r="B103" s="31" t="s">
        <v>121</v>
      </c>
      <c r="C103" s="33" t="s">
        <v>122</v>
      </c>
      <c r="D103" s="65" t="s">
        <v>102</v>
      </c>
      <c r="E103" s="71"/>
      <c r="F103" s="72">
        <v>1</v>
      </c>
      <c r="G103" s="81">
        <f t="shared" si="1"/>
        <v>0</v>
      </c>
      <c r="H103" s="106"/>
      <c r="I103" s="107"/>
      <c r="J103" s="106"/>
      <c r="K103" s="106"/>
      <c r="L103" s="108"/>
      <c r="M103" s="108"/>
      <c r="N103" s="109"/>
      <c r="O103" s="8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9.5" customHeight="1" x14ac:dyDescent="0.2">
      <c r="A104" s="30">
        <v>91</v>
      </c>
      <c r="B104" s="31" t="s">
        <v>121</v>
      </c>
      <c r="C104" s="33" t="s">
        <v>123</v>
      </c>
      <c r="D104" s="65" t="s">
        <v>102</v>
      </c>
      <c r="E104" s="71"/>
      <c r="F104" s="72">
        <v>1</v>
      </c>
      <c r="G104" s="81">
        <f t="shared" si="1"/>
        <v>0</v>
      </c>
      <c r="H104" s="106"/>
      <c r="I104" s="107"/>
      <c r="J104" s="106"/>
      <c r="K104" s="106"/>
      <c r="L104" s="108"/>
      <c r="M104" s="108"/>
      <c r="N104" s="109"/>
      <c r="O104" s="8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9.5" customHeight="1" x14ac:dyDescent="0.2">
      <c r="A105" s="30">
        <v>92</v>
      </c>
      <c r="B105" s="31" t="s">
        <v>124</v>
      </c>
      <c r="C105" s="33" t="s">
        <v>125</v>
      </c>
      <c r="D105" s="65" t="s">
        <v>102</v>
      </c>
      <c r="E105" s="71"/>
      <c r="F105" s="72">
        <v>4</v>
      </c>
      <c r="G105" s="81">
        <f t="shared" si="1"/>
        <v>0</v>
      </c>
      <c r="H105" s="106"/>
      <c r="I105" s="107"/>
      <c r="J105" s="106"/>
      <c r="K105" s="106"/>
      <c r="L105" s="108"/>
      <c r="M105" s="108"/>
      <c r="N105" s="109"/>
      <c r="O105" s="8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9.5" customHeight="1" x14ac:dyDescent="0.2">
      <c r="A106" s="30">
        <v>93</v>
      </c>
      <c r="B106" s="31" t="s">
        <v>124</v>
      </c>
      <c r="C106" s="33" t="s">
        <v>126</v>
      </c>
      <c r="D106" s="65" t="s">
        <v>102</v>
      </c>
      <c r="E106" s="71"/>
      <c r="F106" s="72">
        <v>4</v>
      </c>
      <c r="G106" s="81">
        <f t="shared" si="1"/>
        <v>0</v>
      </c>
      <c r="H106" s="106"/>
      <c r="I106" s="107"/>
      <c r="J106" s="106"/>
      <c r="K106" s="106"/>
      <c r="L106" s="108"/>
      <c r="M106" s="108"/>
      <c r="N106" s="109"/>
      <c r="O106" s="8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9.5" customHeight="1" x14ac:dyDescent="0.2">
      <c r="A107" s="30">
        <v>94</v>
      </c>
      <c r="B107" s="31" t="s">
        <v>124</v>
      </c>
      <c r="C107" s="33" t="s">
        <v>127</v>
      </c>
      <c r="D107" s="65" t="s">
        <v>102</v>
      </c>
      <c r="E107" s="71"/>
      <c r="F107" s="72">
        <v>3</v>
      </c>
      <c r="G107" s="81">
        <f t="shared" si="1"/>
        <v>0</v>
      </c>
      <c r="H107" s="106"/>
      <c r="I107" s="107"/>
      <c r="J107" s="106"/>
      <c r="K107" s="106"/>
      <c r="L107" s="108"/>
      <c r="M107" s="108"/>
      <c r="N107" s="109"/>
      <c r="O107" s="8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9.5" customHeight="1" x14ac:dyDescent="0.2">
      <c r="A108" s="30">
        <v>95</v>
      </c>
      <c r="B108" s="31" t="s">
        <v>124</v>
      </c>
      <c r="C108" s="33" t="s">
        <v>128</v>
      </c>
      <c r="D108" s="65" t="s">
        <v>102</v>
      </c>
      <c r="E108" s="71"/>
      <c r="F108" s="72">
        <v>3</v>
      </c>
      <c r="G108" s="81">
        <f t="shared" si="1"/>
        <v>0</v>
      </c>
      <c r="H108" s="106"/>
      <c r="I108" s="107"/>
      <c r="J108" s="106"/>
      <c r="K108" s="106"/>
      <c r="L108" s="108"/>
      <c r="M108" s="108"/>
      <c r="N108" s="109"/>
      <c r="O108" s="8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9.5" customHeight="1" x14ac:dyDescent="0.2">
      <c r="A109" s="30">
        <v>96</v>
      </c>
      <c r="B109" s="31" t="s">
        <v>124</v>
      </c>
      <c r="C109" s="33" t="s">
        <v>129</v>
      </c>
      <c r="D109" s="65" t="s">
        <v>102</v>
      </c>
      <c r="E109" s="71"/>
      <c r="F109" s="72">
        <v>2</v>
      </c>
      <c r="G109" s="81">
        <f t="shared" si="1"/>
        <v>0</v>
      </c>
      <c r="H109" s="106"/>
      <c r="I109" s="107"/>
      <c r="J109" s="106"/>
      <c r="K109" s="106"/>
      <c r="L109" s="108"/>
      <c r="M109" s="108"/>
      <c r="N109" s="109"/>
      <c r="O109" s="8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9.5" customHeight="1" x14ac:dyDescent="0.2">
      <c r="A110" s="30">
        <v>97</v>
      </c>
      <c r="B110" s="31" t="s">
        <v>124</v>
      </c>
      <c r="C110" s="33" t="s">
        <v>130</v>
      </c>
      <c r="D110" s="65" t="s">
        <v>102</v>
      </c>
      <c r="E110" s="71"/>
      <c r="F110" s="72">
        <v>2</v>
      </c>
      <c r="G110" s="81">
        <f t="shared" si="1"/>
        <v>0</v>
      </c>
      <c r="H110" s="106"/>
      <c r="I110" s="107"/>
      <c r="J110" s="106"/>
      <c r="K110" s="106"/>
      <c r="L110" s="108"/>
      <c r="M110" s="108"/>
      <c r="N110" s="109"/>
      <c r="O110" s="8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9.5" customHeight="1" x14ac:dyDescent="0.2">
      <c r="A111" s="30">
        <v>98</v>
      </c>
      <c r="B111" s="31" t="s">
        <v>131</v>
      </c>
      <c r="C111" s="33" t="s">
        <v>40</v>
      </c>
      <c r="D111" s="65" t="s">
        <v>102</v>
      </c>
      <c r="E111" s="71"/>
      <c r="F111" s="72">
        <v>2</v>
      </c>
      <c r="G111" s="81">
        <f t="shared" si="1"/>
        <v>0</v>
      </c>
      <c r="H111" s="106"/>
      <c r="I111" s="107"/>
      <c r="J111" s="106"/>
      <c r="K111" s="106"/>
      <c r="L111" s="108"/>
      <c r="M111" s="108"/>
      <c r="N111" s="109"/>
      <c r="O111" s="8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9.5" customHeight="1" x14ac:dyDescent="0.2">
      <c r="A112" s="30">
        <v>99</v>
      </c>
      <c r="B112" s="31" t="s">
        <v>131</v>
      </c>
      <c r="C112" s="33" t="s">
        <v>41</v>
      </c>
      <c r="D112" s="65" t="s">
        <v>102</v>
      </c>
      <c r="E112" s="71"/>
      <c r="F112" s="72">
        <v>2</v>
      </c>
      <c r="G112" s="81">
        <f t="shared" si="1"/>
        <v>0</v>
      </c>
      <c r="H112" s="106"/>
      <c r="I112" s="107"/>
      <c r="J112" s="106"/>
      <c r="K112" s="106"/>
      <c r="L112" s="108"/>
      <c r="M112" s="108"/>
      <c r="N112" s="109"/>
      <c r="O112" s="8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9.5" customHeight="1" x14ac:dyDescent="0.2">
      <c r="A113" s="30">
        <v>100</v>
      </c>
      <c r="B113" s="31" t="s">
        <v>131</v>
      </c>
      <c r="C113" s="33" t="s">
        <v>132</v>
      </c>
      <c r="D113" s="65" t="s">
        <v>102</v>
      </c>
      <c r="E113" s="71"/>
      <c r="F113" s="72">
        <v>2</v>
      </c>
      <c r="G113" s="81">
        <f t="shared" si="1"/>
        <v>0</v>
      </c>
      <c r="H113" s="106"/>
      <c r="I113" s="107"/>
      <c r="J113" s="106"/>
      <c r="K113" s="106"/>
      <c r="L113" s="108"/>
      <c r="M113" s="108"/>
      <c r="N113" s="109"/>
      <c r="O113" s="8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9.5" customHeight="1" x14ac:dyDescent="0.2">
      <c r="A114" s="30">
        <v>101</v>
      </c>
      <c r="B114" s="31" t="s">
        <v>131</v>
      </c>
      <c r="C114" s="33" t="s">
        <v>133</v>
      </c>
      <c r="D114" s="65" t="s">
        <v>102</v>
      </c>
      <c r="E114" s="71"/>
      <c r="F114" s="72">
        <v>2</v>
      </c>
      <c r="G114" s="81">
        <f t="shared" si="1"/>
        <v>0</v>
      </c>
      <c r="H114" s="106"/>
      <c r="I114" s="107"/>
      <c r="J114" s="106"/>
      <c r="K114" s="106"/>
      <c r="L114" s="108"/>
      <c r="M114" s="108"/>
      <c r="N114" s="109"/>
      <c r="O114" s="8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9.5" customHeight="1" x14ac:dyDescent="0.2">
      <c r="A115" s="30">
        <v>102</v>
      </c>
      <c r="B115" s="31" t="s">
        <v>134</v>
      </c>
      <c r="C115" s="33" t="s">
        <v>135</v>
      </c>
      <c r="D115" s="65" t="s">
        <v>136</v>
      </c>
      <c r="E115" s="71"/>
      <c r="F115" s="72">
        <v>1</v>
      </c>
      <c r="G115" s="81">
        <f t="shared" si="1"/>
        <v>0</v>
      </c>
      <c r="H115" s="106"/>
      <c r="I115" s="107"/>
      <c r="J115" s="106"/>
      <c r="K115" s="106"/>
      <c r="L115" s="108"/>
      <c r="M115" s="108"/>
      <c r="N115" s="109"/>
      <c r="O115" s="8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9.5" customHeight="1" x14ac:dyDescent="0.2">
      <c r="A116" s="30">
        <v>103</v>
      </c>
      <c r="B116" s="31" t="s">
        <v>137</v>
      </c>
      <c r="C116" s="33" t="s">
        <v>137</v>
      </c>
      <c r="D116" s="65" t="s">
        <v>102</v>
      </c>
      <c r="E116" s="71"/>
      <c r="F116" s="72">
        <v>5</v>
      </c>
      <c r="G116" s="81">
        <f t="shared" si="1"/>
        <v>0</v>
      </c>
      <c r="H116" s="106"/>
      <c r="I116" s="107"/>
      <c r="J116" s="106"/>
      <c r="K116" s="106"/>
      <c r="L116" s="108"/>
      <c r="M116" s="108"/>
      <c r="N116" s="109"/>
      <c r="O116" s="8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9.5" customHeight="1" x14ac:dyDescent="0.2">
      <c r="A117" s="30">
        <v>104</v>
      </c>
      <c r="B117" s="31" t="s">
        <v>138</v>
      </c>
      <c r="C117" s="33" t="s">
        <v>138</v>
      </c>
      <c r="D117" s="65" t="s">
        <v>102</v>
      </c>
      <c r="E117" s="71"/>
      <c r="F117" s="72">
        <v>5</v>
      </c>
      <c r="G117" s="81">
        <f t="shared" si="1"/>
        <v>0</v>
      </c>
      <c r="H117" s="106"/>
      <c r="I117" s="107"/>
      <c r="J117" s="106"/>
      <c r="K117" s="106"/>
      <c r="L117" s="108"/>
      <c r="M117" s="108"/>
      <c r="N117" s="109"/>
      <c r="O117" s="8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9.5" customHeight="1" x14ac:dyDescent="0.2">
      <c r="A118" s="30">
        <v>105</v>
      </c>
      <c r="B118" s="31" t="s">
        <v>139</v>
      </c>
      <c r="C118" s="33" t="s">
        <v>140</v>
      </c>
      <c r="D118" s="65" t="s">
        <v>141</v>
      </c>
      <c r="E118" s="71"/>
      <c r="F118" s="72">
        <v>1</v>
      </c>
      <c r="G118" s="81">
        <f t="shared" si="1"/>
        <v>0</v>
      </c>
      <c r="H118" s="106"/>
      <c r="I118" s="107"/>
      <c r="J118" s="106"/>
      <c r="K118" s="106"/>
      <c r="L118" s="108"/>
      <c r="M118" s="108"/>
      <c r="N118" s="109"/>
      <c r="O118" s="8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9.5" customHeight="1" x14ac:dyDescent="0.2">
      <c r="A119" s="30">
        <v>106</v>
      </c>
      <c r="B119" s="31" t="s">
        <v>139</v>
      </c>
      <c r="C119" s="33" t="s">
        <v>142</v>
      </c>
      <c r="D119" s="65" t="s">
        <v>136</v>
      </c>
      <c r="E119" s="71"/>
      <c r="F119" s="72">
        <v>1</v>
      </c>
      <c r="G119" s="81">
        <f t="shared" si="1"/>
        <v>0</v>
      </c>
      <c r="H119" s="106"/>
      <c r="I119" s="107"/>
      <c r="J119" s="106"/>
      <c r="K119" s="106"/>
      <c r="L119" s="108"/>
      <c r="M119" s="108"/>
      <c r="N119" s="109"/>
      <c r="O119" s="8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9.5" customHeight="1" x14ac:dyDescent="0.2">
      <c r="A120" s="30">
        <v>107</v>
      </c>
      <c r="B120" s="31" t="s">
        <v>139</v>
      </c>
      <c r="C120" s="33" t="s">
        <v>143</v>
      </c>
      <c r="D120" s="65" t="s">
        <v>141</v>
      </c>
      <c r="E120" s="71"/>
      <c r="F120" s="72">
        <v>1</v>
      </c>
      <c r="G120" s="81">
        <f t="shared" si="1"/>
        <v>0</v>
      </c>
      <c r="H120" s="106"/>
      <c r="I120" s="107"/>
      <c r="J120" s="106"/>
      <c r="K120" s="106"/>
      <c r="L120" s="108"/>
      <c r="M120" s="108"/>
      <c r="N120" s="109"/>
      <c r="O120" s="8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9.5" customHeight="1" x14ac:dyDescent="0.2">
      <c r="A121" s="30">
        <v>108</v>
      </c>
      <c r="B121" s="31" t="s">
        <v>139</v>
      </c>
      <c r="C121" s="33" t="s">
        <v>144</v>
      </c>
      <c r="D121" s="65" t="s">
        <v>141</v>
      </c>
      <c r="E121" s="71"/>
      <c r="F121" s="72">
        <v>1</v>
      </c>
      <c r="G121" s="81">
        <f t="shared" si="1"/>
        <v>0</v>
      </c>
      <c r="H121" s="106"/>
      <c r="I121" s="107"/>
      <c r="J121" s="106"/>
      <c r="K121" s="106"/>
      <c r="L121" s="108"/>
      <c r="M121" s="108"/>
      <c r="N121" s="109"/>
      <c r="O121" s="8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9.5" customHeight="1" x14ac:dyDescent="0.2">
      <c r="A122" s="30">
        <v>109</v>
      </c>
      <c r="B122" s="31" t="s">
        <v>139</v>
      </c>
      <c r="C122" s="33" t="s">
        <v>145</v>
      </c>
      <c r="D122" s="65" t="s">
        <v>141</v>
      </c>
      <c r="E122" s="71"/>
      <c r="F122" s="72">
        <v>1</v>
      </c>
      <c r="G122" s="81">
        <f t="shared" si="1"/>
        <v>0</v>
      </c>
      <c r="H122" s="106"/>
      <c r="I122" s="107"/>
      <c r="J122" s="106"/>
      <c r="K122" s="106"/>
      <c r="L122" s="108"/>
      <c r="M122" s="108"/>
      <c r="N122" s="109"/>
      <c r="O122" s="8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9.5" customHeight="1" x14ac:dyDescent="0.2">
      <c r="A123" s="30">
        <v>110</v>
      </c>
      <c r="B123" s="31" t="s">
        <v>139</v>
      </c>
      <c r="C123" s="33" t="s">
        <v>146</v>
      </c>
      <c r="D123" s="65" t="s">
        <v>141</v>
      </c>
      <c r="E123" s="71"/>
      <c r="F123" s="72">
        <v>1</v>
      </c>
      <c r="G123" s="81">
        <f t="shared" si="1"/>
        <v>0</v>
      </c>
      <c r="H123" s="106"/>
      <c r="I123" s="107"/>
      <c r="J123" s="106"/>
      <c r="K123" s="106"/>
      <c r="L123" s="108"/>
      <c r="M123" s="108"/>
      <c r="N123" s="109"/>
      <c r="O123" s="8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9.5" customHeight="1" x14ac:dyDescent="0.2">
      <c r="A124" s="30">
        <v>111</v>
      </c>
      <c r="B124" s="31" t="s">
        <v>139</v>
      </c>
      <c r="C124" s="33" t="s">
        <v>147</v>
      </c>
      <c r="D124" s="65" t="s">
        <v>141</v>
      </c>
      <c r="E124" s="71"/>
      <c r="F124" s="72">
        <v>1</v>
      </c>
      <c r="G124" s="81">
        <f t="shared" si="1"/>
        <v>0</v>
      </c>
      <c r="H124" s="106"/>
      <c r="I124" s="107"/>
      <c r="J124" s="106"/>
      <c r="K124" s="106"/>
      <c r="L124" s="108"/>
      <c r="M124" s="108"/>
      <c r="N124" s="109"/>
      <c r="O124" s="8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9.5" customHeight="1" x14ac:dyDescent="0.2">
      <c r="A125" s="30">
        <v>112</v>
      </c>
      <c r="B125" s="31" t="s">
        <v>148</v>
      </c>
      <c r="C125" s="33" t="s">
        <v>149</v>
      </c>
      <c r="D125" s="65" t="s">
        <v>136</v>
      </c>
      <c r="E125" s="71"/>
      <c r="F125" s="72">
        <v>1</v>
      </c>
      <c r="G125" s="81">
        <f t="shared" si="1"/>
        <v>0</v>
      </c>
      <c r="H125" s="106"/>
      <c r="I125" s="107"/>
      <c r="J125" s="106"/>
      <c r="K125" s="106"/>
      <c r="L125" s="108"/>
      <c r="M125" s="108"/>
      <c r="N125" s="109"/>
      <c r="O125" s="8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9.5" customHeight="1" x14ac:dyDescent="0.2">
      <c r="A126" s="30">
        <v>113</v>
      </c>
      <c r="B126" s="31" t="s">
        <v>139</v>
      </c>
      <c r="C126" s="33" t="s">
        <v>150</v>
      </c>
      <c r="D126" s="65" t="s">
        <v>141</v>
      </c>
      <c r="E126" s="71"/>
      <c r="F126" s="72">
        <v>1</v>
      </c>
      <c r="G126" s="81">
        <f t="shared" si="1"/>
        <v>0</v>
      </c>
      <c r="H126" s="106"/>
      <c r="I126" s="107"/>
      <c r="J126" s="106"/>
      <c r="K126" s="106"/>
      <c r="L126" s="108"/>
      <c r="M126" s="108"/>
      <c r="N126" s="109"/>
      <c r="O126" s="8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9.5" customHeight="1" x14ac:dyDescent="0.2">
      <c r="A127" s="30">
        <v>114</v>
      </c>
      <c r="B127" s="31" t="s">
        <v>139</v>
      </c>
      <c r="C127" s="33" t="s">
        <v>150</v>
      </c>
      <c r="D127" s="65" t="s">
        <v>136</v>
      </c>
      <c r="E127" s="71"/>
      <c r="F127" s="72">
        <v>1</v>
      </c>
      <c r="G127" s="81">
        <f t="shared" si="1"/>
        <v>0</v>
      </c>
      <c r="H127" s="106"/>
      <c r="I127" s="107"/>
      <c r="J127" s="106"/>
      <c r="K127" s="106"/>
      <c r="L127" s="108"/>
      <c r="M127" s="108"/>
      <c r="N127" s="109"/>
      <c r="O127" s="8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9.5" customHeight="1" x14ac:dyDescent="0.2">
      <c r="A128" s="30">
        <v>115</v>
      </c>
      <c r="B128" s="31" t="s">
        <v>139</v>
      </c>
      <c r="C128" s="33" t="s">
        <v>151</v>
      </c>
      <c r="D128" s="65" t="s">
        <v>141</v>
      </c>
      <c r="E128" s="71"/>
      <c r="F128" s="72">
        <v>1</v>
      </c>
      <c r="G128" s="81">
        <f t="shared" si="1"/>
        <v>0</v>
      </c>
      <c r="H128" s="106"/>
      <c r="I128" s="107"/>
      <c r="J128" s="106"/>
      <c r="K128" s="106"/>
      <c r="L128" s="108"/>
      <c r="M128" s="108"/>
      <c r="N128" s="109"/>
      <c r="O128" s="8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9.5" customHeight="1" x14ac:dyDescent="0.2">
      <c r="A129" s="30">
        <v>116</v>
      </c>
      <c r="B129" s="31" t="s">
        <v>139</v>
      </c>
      <c r="C129" s="33" t="s">
        <v>151</v>
      </c>
      <c r="D129" s="65" t="s">
        <v>136</v>
      </c>
      <c r="E129" s="71"/>
      <c r="F129" s="72">
        <v>1</v>
      </c>
      <c r="G129" s="81">
        <f t="shared" si="1"/>
        <v>0</v>
      </c>
      <c r="H129" s="106"/>
      <c r="I129" s="107"/>
      <c r="J129" s="106"/>
      <c r="K129" s="106"/>
      <c r="L129" s="108"/>
      <c r="M129" s="108"/>
      <c r="N129" s="109"/>
      <c r="O129" s="8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9.5" customHeight="1" x14ac:dyDescent="0.2">
      <c r="A130" s="30">
        <v>117</v>
      </c>
      <c r="B130" s="31" t="s">
        <v>139</v>
      </c>
      <c r="C130" s="33" t="s">
        <v>152</v>
      </c>
      <c r="D130" s="65" t="s">
        <v>141</v>
      </c>
      <c r="E130" s="71"/>
      <c r="F130" s="72">
        <v>1</v>
      </c>
      <c r="G130" s="81">
        <f t="shared" si="1"/>
        <v>0</v>
      </c>
      <c r="H130" s="106"/>
      <c r="I130" s="107"/>
      <c r="J130" s="106"/>
      <c r="K130" s="106"/>
      <c r="L130" s="108"/>
      <c r="M130" s="108"/>
      <c r="N130" s="109"/>
      <c r="O130" s="8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9.5" customHeight="1" x14ac:dyDescent="0.2">
      <c r="A131" s="30">
        <v>118</v>
      </c>
      <c r="B131" s="31" t="s">
        <v>139</v>
      </c>
      <c r="C131" s="33" t="s">
        <v>153</v>
      </c>
      <c r="D131" s="65" t="s">
        <v>141</v>
      </c>
      <c r="E131" s="71"/>
      <c r="F131" s="72">
        <v>1</v>
      </c>
      <c r="G131" s="81">
        <f t="shared" si="1"/>
        <v>0</v>
      </c>
      <c r="H131" s="106"/>
      <c r="I131" s="107"/>
      <c r="J131" s="106"/>
      <c r="K131" s="106"/>
      <c r="L131" s="108"/>
      <c r="M131" s="108"/>
      <c r="N131" s="109"/>
      <c r="O131" s="8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9.5" customHeight="1" x14ac:dyDescent="0.2">
      <c r="A132" s="30">
        <v>119</v>
      </c>
      <c r="B132" s="31" t="s">
        <v>139</v>
      </c>
      <c r="C132" s="33" t="s">
        <v>152</v>
      </c>
      <c r="D132" s="65" t="s">
        <v>136</v>
      </c>
      <c r="E132" s="71"/>
      <c r="F132" s="72">
        <v>1</v>
      </c>
      <c r="G132" s="81">
        <f t="shared" si="1"/>
        <v>0</v>
      </c>
      <c r="H132" s="106"/>
      <c r="I132" s="107"/>
      <c r="J132" s="106"/>
      <c r="K132" s="106"/>
      <c r="L132" s="108"/>
      <c r="M132" s="108"/>
      <c r="N132" s="109"/>
      <c r="O132" s="8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9.5" customHeight="1" x14ac:dyDescent="0.2">
      <c r="A133" s="30">
        <v>120</v>
      </c>
      <c r="B133" s="31" t="s">
        <v>139</v>
      </c>
      <c r="C133" s="33" t="s">
        <v>154</v>
      </c>
      <c r="D133" s="65" t="s">
        <v>141</v>
      </c>
      <c r="E133" s="71"/>
      <c r="F133" s="72">
        <v>1</v>
      </c>
      <c r="G133" s="81">
        <f t="shared" si="1"/>
        <v>0</v>
      </c>
      <c r="H133" s="106"/>
      <c r="I133" s="107"/>
      <c r="J133" s="106"/>
      <c r="K133" s="106"/>
      <c r="L133" s="108"/>
      <c r="M133" s="108"/>
      <c r="N133" s="109"/>
      <c r="O133" s="8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9.5" customHeight="1" x14ac:dyDescent="0.2">
      <c r="A134" s="30">
        <v>121</v>
      </c>
      <c r="B134" s="31" t="s">
        <v>139</v>
      </c>
      <c r="C134" s="33" t="s">
        <v>155</v>
      </c>
      <c r="D134" s="65" t="s">
        <v>141</v>
      </c>
      <c r="E134" s="71"/>
      <c r="F134" s="72">
        <v>1</v>
      </c>
      <c r="G134" s="81">
        <f t="shared" si="1"/>
        <v>0</v>
      </c>
      <c r="H134" s="106"/>
      <c r="I134" s="107"/>
      <c r="J134" s="106"/>
      <c r="K134" s="106"/>
      <c r="L134" s="108"/>
      <c r="M134" s="108"/>
      <c r="N134" s="109"/>
      <c r="O134" s="8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9.5" customHeight="1" x14ac:dyDescent="0.2">
      <c r="A135" s="30">
        <v>122</v>
      </c>
      <c r="B135" s="31" t="s">
        <v>139</v>
      </c>
      <c r="C135" s="33" t="s">
        <v>156</v>
      </c>
      <c r="D135" s="65" t="s">
        <v>141</v>
      </c>
      <c r="E135" s="71"/>
      <c r="F135" s="72">
        <v>1</v>
      </c>
      <c r="G135" s="81">
        <f t="shared" si="1"/>
        <v>0</v>
      </c>
      <c r="H135" s="106"/>
      <c r="I135" s="107"/>
      <c r="J135" s="106"/>
      <c r="K135" s="106"/>
      <c r="L135" s="108"/>
      <c r="M135" s="108"/>
      <c r="N135" s="109"/>
      <c r="O135" s="8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9.5" customHeight="1" x14ac:dyDescent="0.2">
      <c r="A136" s="30">
        <v>123</v>
      </c>
      <c r="B136" s="31" t="s">
        <v>148</v>
      </c>
      <c r="C136" s="33" t="s">
        <v>154</v>
      </c>
      <c r="D136" s="65" t="s">
        <v>136</v>
      </c>
      <c r="E136" s="71"/>
      <c r="F136" s="72">
        <v>1</v>
      </c>
      <c r="G136" s="81">
        <f t="shared" si="1"/>
        <v>0</v>
      </c>
      <c r="H136" s="106"/>
      <c r="I136" s="107"/>
      <c r="J136" s="106"/>
      <c r="K136" s="106"/>
      <c r="L136" s="108"/>
      <c r="M136" s="108"/>
      <c r="N136" s="109"/>
      <c r="O136" s="8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31.5" customHeight="1" x14ac:dyDescent="0.2">
      <c r="A137" s="30">
        <v>124</v>
      </c>
      <c r="B137" s="31" t="s">
        <v>139</v>
      </c>
      <c r="C137" s="33" t="s">
        <v>157</v>
      </c>
      <c r="D137" s="65" t="s">
        <v>141</v>
      </c>
      <c r="E137" s="71"/>
      <c r="F137" s="72">
        <v>1</v>
      </c>
      <c r="G137" s="81">
        <f t="shared" si="1"/>
        <v>0</v>
      </c>
      <c r="H137" s="106"/>
      <c r="I137" s="107"/>
      <c r="J137" s="106"/>
      <c r="K137" s="106"/>
      <c r="L137" s="108"/>
      <c r="M137" s="108"/>
      <c r="N137" s="109"/>
      <c r="O137" s="8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29.25" customHeight="1" x14ac:dyDescent="0.2">
      <c r="A138" s="30">
        <v>125</v>
      </c>
      <c r="B138" s="31" t="s">
        <v>139</v>
      </c>
      <c r="C138" s="33" t="s">
        <v>158</v>
      </c>
      <c r="D138" s="65" t="s">
        <v>141</v>
      </c>
      <c r="E138" s="71"/>
      <c r="F138" s="72">
        <v>1</v>
      </c>
      <c r="G138" s="81">
        <f t="shared" si="1"/>
        <v>0</v>
      </c>
      <c r="H138" s="106"/>
      <c r="I138" s="107"/>
      <c r="J138" s="106"/>
      <c r="K138" s="106"/>
      <c r="L138" s="108"/>
      <c r="M138" s="108"/>
      <c r="N138" s="109"/>
      <c r="O138" s="8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9.5" customHeight="1" x14ac:dyDescent="0.2">
      <c r="A139" s="30">
        <v>126</v>
      </c>
      <c r="B139" s="31" t="s">
        <v>159</v>
      </c>
      <c r="C139" s="33" t="s">
        <v>160</v>
      </c>
      <c r="D139" s="65" t="s">
        <v>93</v>
      </c>
      <c r="E139" s="71"/>
      <c r="F139" s="72">
        <v>1</v>
      </c>
      <c r="G139" s="81">
        <f t="shared" si="1"/>
        <v>0</v>
      </c>
      <c r="H139" s="106"/>
      <c r="I139" s="107"/>
      <c r="J139" s="106"/>
      <c r="K139" s="106"/>
      <c r="L139" s="108"/>
      <c r="M139" s="108"/>
      <c r="N139" s="109"/>
      <c r="O139" s="8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9.5" customHeight="1" x14ac:dyDescent="0.2">
      <c r="A140" s="30">
        <v>127</v>
      </c>
      <c r="B140" s="31" t="s">
        <v>161</v>
      </c>
      <c r="C140" s="33" t="s">
        <v>162</v>
      </c>
      <c r="D140" s="65" t="s">
        <v>102</v>
      </c>
      <c r="E140" s="71"/>
      <c r="F140" s="72">
        <v>2</v>
      </c>
      <c r="G140" s="81">
        <f t="shared" si="1"/>
        <v>0</v>
      </c>
      <c r="H140" s="106"/>
      <c r="I140" s="107"/>
      <c r="J140" s="106"/>
      <c r="K140" s="106"/>
      <c r="L140" s="108"/>
      <c r="M140" s="108"/>
      <c r="N140" s="109"/>
      <c r="O140" s="8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9.5" customHeight="1" x14ac:dyDescent="0.2">
      <c r="A141" s="30">
        <v>128</v>
      </c>
      <c r="B141" s="31" t="s">
        <v>161</v>
      </c>
      <c r="C141" s="33" t="s">
        <v>163</v>
      </c>
      <c r="D141" s="65" t="s">
        <v>102</v>
      </c>
      <c r="E141" s="71"/>
      <c r="F141" s="72">
        <v>2</v>
      </c>
      <c r="G141" s="81">
        <f t="shared" si="1"/>
        <v>0</v>
      </c>
      <c r="H141" s="106"/>
      <c r="I141" s="107"/>
      <c r="J141" s="106"/>
      <c r="K141" s="106"/>
      <c r="L141" s="108"/>
      <c r="M141" s="108"/>
      <c r="N141" s="109"/>
      <c r="O141" s="8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9.5" customHeight="1" x14ac:dyDescent="0.2">
      <c r="A142" s="30">
        <v>129</v>
      </c>
      <c r="B142" s="31" t="s">
        <v>161</v>
      </c>
      <c r="C142" s="33" t="s">
        <v>164</v>
      </c>
      <c r="D142" s="65" t="s">
        <v>102</v>
      </c>
      <c r="E142" s="71"/>
      <c r="F142" s="72">
        <v>2</v>
      </c>
      <c r="G142" s="81">
        <f t="shared" si="1"/>
        <v>0</v>
      </c>
      <c r="H142" s="106"/>
      <c r="I142" s="107"/>
      <c r="J142" s="106"/>
      <c r="K142" s="106"/>
      <c r="L142" s="108"/>
      <c r="M142" s="108"/>
      <c r="N142" s="109"/>
      <c r="O142" s="8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9.5" customHeight="1" x14ac:dyDescent="0.2">
      <c r="A143" s="30">
        <v>130</v>
      </c>
      <c r="B143" s="31" t="s">
        <v>161</v>
      </c>
      <c r="C143" s="33" t="s">
        <v>165</v>
      </c>
      <c r="D143" s="65" t="s">
        <v>102</v>
      </c>
      <c r="E143" s="71"/>
      <c r="F143" s="72">
        <v>2</v>
      </c>
      <c r="G143" s="81">
        <f t="shared" si="1"/>
        <v>0</v>
      </c>
      <c r="H143" s="106"/>
      <c r="I143" s="107"/>
      <c r="J143" s="106"/>
      <c r="K143" s="106"/>
      <c r="L143" s="108"/>
      <c r="M143" s="108"/>
      <c r="N143" s="109"/>
      <c r="O143" s="8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9.5" customHeight="1" x14ac:dyDescent="0.2">
      <c r="A144" s="30">
        <v>131</v>
      </c>
      <c r="B144" s="31" t="s">
        <v>166</v>
      </c>
      <c r="C144" s="33" t="s">
        <v>167</v>
      </c>
      <c r="D144" s="65" t="s">
        <v>102</v>
      </c>
      <c r="E144" s="71"/>
      <c r="F144" s="72">
        <v>2</v>
      </c>
      <c r="G144" s="81">
        <f t="shared" si="1"/>
        <v>0</v>
      </c>
      <c r="H144" s="106"/>
      <c r="I144" s="107"/>
      <c r="J144" s="106"/>
      <c r="K144" s="106"/>
      <c r="L144" s="108"/>
      <c r="M144" s="108"/>
      <c r="N144" s="109"/>
      <c r="O144" s="8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9.5" customHeight="1" x14ac:dyDescent="0.2">
      <c r="A145" s="30">
        <v>132</v>
      </c>
      <c r="B145" s="31" t="s">
        <v>166</v>
      </c>
      <c r="C145" s="33" t="s">
        <v>168</v>
      </c>
      <c r="D145" s="65" t="s">
        <v>102</v>
      </c>
      <c r="E145" s="71"/>
      <c r="F145" s="72">
        <v>2</v>
      </c>
      <c r="G145" s="81">
        <f t="shared" si="1"/>
        <v>0</v>
      </c>
      <c r="H145" s="106"/>
      <c r="I145" s="107"/>
      <c r="J145" s="106"/>
      <c r="K145" s="106"/>
      <c r="L145" s="108"/>
      <c r="M145" s="108"/>
      <c r="N145" s="109"/>
      <c r="O145" s="8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9.5" customHeight="1" x14ac:dyDescent="0.2">
      <c r="A146" s="30">
        <v>133</v>
      </c>
      <c r="B146" s="31" t="s">
        <v>166</v>
      </c>
      <c r="C146" s="33" t="s">
        <v>169</v>
      </c>
      <c r="D146" s="65" t="s">
        <v>102</v>
      </c>
      <c r="E146" s="71"/>
      <c r="F146" s="72">
        <v>1</v>
      </c>
      <c r="G146" s="81">
        <f t="shared" si="1"/>
        <v>0</v>
      </c>
      <c r="H146" s="106"/>
      <c r="I146" s="107"/>
      <c r="J146" s="106"/>
      <c r="K146" s="106"/>
      <c r="L146" s="108"/>
      <c r="M146" s="108"/>
      <c r="N146" s="109"/>
      <c r="O146" s="8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9.5" customHeight="1" x14ac:dyDescent="0.2">
      <c r="A147" s="30">
        <v>134</v>
      </c>
      <c r="B147" s="31" t="s">
        <v>166</v>
      </c>
      <c r="C147" s="33" t="s">
        <v>170</v>
      </c>
      <c r="D147" s="65" t="s">
        <v>102</v>
      </c>
      <c r="E147" s="71"/>
      <c r="F147" s="72">
        <v>1</v>
      </c>
      <c r="G147" s="81">
        <f t="shared" si="1"/>
        <v>0</v>
      </c>
      <c r="H147" s="106"/>
      <c r="I147" s="107"/>
      <c r="J147" s="106"/>
      <c r="K147" s="106"/>
      <c r="L147" s="108"/>
      <c r="M147" s="108"/>
      <c r="N147" s="109"/>
      <c r="O147" s="8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9.5" customHeight="1" x14ac:dyDescent="0.2">
      <c r="A148" s="30">
        <v>135</v>
      </c>
      <c r="B148" s="31" t="s">
        <v>171</v>
      </c>
      <c r="C148" s="33" t="s">
        <v>172</v>
      </c>
      <c r="D148" s="65" t="s">
        <v>102</v>
      </c>
      <c r="E148" s="71"/>
      <c r="F148" s="72">
        <v>2</v>
      </c>
      <c r="G148" s="81">
        <f t="shared" si="1"/>
        <v>0</v>
      </c>
      <c r="H148" s="106"/>
      <c r="I148" s="107"/>
      <c r="J148" s="106"/>
      <c r="K148" s="106"/>
      <c r="L148" s="108"/>
      <c r="M148" s="108"/>
      <c r="N148" s="109"/>
      <c r="O148" s="8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9.5" customHeight="1" x14ac:dyDescent="0.2">
      <c r="A149" s="30">
        <v>136</v>
      </c>
      <c r="B149" s="31" t="s">
        <v>171</v>
      </c>
      <c r="C149" s="33" t="s">
        <v>173</v>
      </c>
      <c r="D149" s="65" t="s">
        <v>102</v>
      </c>
      <c r="E149" s="71"/>
      <c r="F149" s="72">
        <v>1</v>
      </c>
      <c r="G149" s="81">
        <f t="shared" si="1"/>
        <v>0</v>
      </c>
      <c r="H149" s="106"/>
      <c r="I149" s="107"/>
      <c r="J149" s="106"/>
      <c r="K149" s="106"/>
      <c r="L149" s="108"/>
      <c r="M149" s="108"/>
      <c r="N149" s="109"/>
      <c r="O149" s="8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9.5" customHeight="1" x14ac:dyDescent="0.2">
      <c r="A150" s="30">
        <v>137</v>
      </c>
      <c r="B150" s="31" t="s">
        <v>171</v>
      </c>
      <c r="C150" s="33" t="s">
        <v>174</v>
      </c>
      <c r="D150" s="65" t="s">
        <v>102</v>
      </c>
      <c r="E150" s="71"/>
      <c r="F150" s="72">
        <v>1</v>
      </c>
      <c r="G150" s="81">
        <f t="shared" si="1"/>
        <v>0</v>
      </c>
      <c r="H150" s="106"/>
      <c r="I150" s="107"/>
      <c r="J150" s="106"/>
      <c r="K150" s="106"/>
      <c r="L150" s="108"/>
      <c r="M150" s="108"/>
      <c r="N150" s="109"/>
      <c r="O150" s="8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9.5" customHeight="1" x14ac:dyDescent="0.2">
      <c r="A151" s="30">
        <v>138</v>
      </c>
      <c r="B151" s="31" t="s">
        <v>171</v>
      </c>
      <c r="C151" s="33" t="s">
        <v>175</v>
      </c>
      <c r="D151" s="65" t="s">
        <v>102</v>
      </c>
      <c r="E151" s="71"/>
      <c r="F151" s="72">
        <v>1</v>
      </c>
      <c r="G151" s="81">
        <f t="shared" si="1"/>
        <v>0</v>
      </c>
      <c r="H151" s="106"/>
      <c r="I151" s="107"/>
      <c r="J151" s="106"/>
      <c r="K151" s="106"/>
      <c r="L151" s="108"/>
      <c r="M151" s="108"/>
      <c r="N151" s="109"/>
      <c r="O151" s="8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9.5" customHeight="1" x14ac:dyDescent="0.2">
      <c r="A152" s="30">
        <v>139</v>
      </c>
      <c r="B152" s="31" t="s">
        <v>176</v>
      </c>
      <c r="C152" s="33" t="s">
        <v>172</v>
      </c>
      <c r="D152" s="65" t="s">
        <v>102</v>
      </c>
      <c r="E152" s="71"/>
      <c r="F152" s="72">
        <v>1</v>
      </c>
      <c r="G152" s="81">
        <f t="shared" si="1"/>
        <v>0</v>
      </c>
      <c r="H152" s="106"/>
      <c r="I152" s="107"/>
      <c r="J152" s="106"/>
      <c r="K152" s="106"/>
      <c r="L152" s="108"/>
      <c r="M152" s="108"/>
      <c r="N152" s="109"/>
      <c r="O152" s="8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9.5" customHeight="1" x14ac:dyDescent="0.2">
      <c r="A153" s="30">
        <v>140</v>
      </c>
      <c r="B153" s="31" t="s">
        <v>176</v>
      </c>
      <c r="C153" s="33" t="s">
        <v>173</v>
      </c>
      <c r="D153" s="65" t="s">
        <v>102</v>
      </c>
      <c r="E153" s="71"/>
      <c r="F153" s="72">
        <v>1</v>
      </c>
      <c r="G153" s="81">
        <f t="shared" si="1"/>
        <v>0</v>
      </c>
      <c r="H153" s="106"/>
      <c r="I153" s="107"/>
      <c r="J153" s="106"/>
      <c r="K153" s="106"/>
      <c r="L153" s="108"/>
      <c r="M153" s="108"/>
      <c r="N153" s="109"/>
      <c r="O153" s="8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9.5" customHeight="1" x14ac:dyDescent="0.2">
      <c r="A154" s="30">
        <v>141</v>
      </c>
      <c r="B154" s="31" t="s">
        <v>176</v>
      </c>
      <c r="C154" s="33" t="s">
        <v>174</v>
      </c>
      <c r="D154" s="65" t="s">
        <v>102</v>
      </c>
      <c r="E154" s="71"/>
      <c r="F154" s="72">
        <v>1</v>
      </c>
      <c r="G154" s="81">
        <f t="shared" si="1"/>
        <v>0</v>
      </c>
      <c r="H154" s="106"/>
      <c r="I154" s="107"/>
      <c r="J154" s="106"/>
      <c r="K154" s="106"/>
      <c r="L154" s="108"/>
      <c r="M154" s="108"/>
      <c r="N154" s="109"/>
      <c r="O154" s="8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9.5" customHeight="1" x14ac:dyDescent="0.2">
      <c r="A155" s="30">
        <v>142</v>
      </c>
      <c r="B155" s="31" t="s">
        <v>176</v>
      </c>
      <c r="C155" s="33" t="s">
        <v>175</v>
      </c>
      <c r="D155" s="65" t="s">
        <v>102</v>
      </c>
      <c r="E155" s="71"/>
      <c r="F155" s="72">
        <v>1</v>
      </c>
      <c r="G155" s="81">
        <f t="shared" si="1"/>
        <v>0</v>
      </c>
      <c r="H155" s="106"/>
      <c r="I155" s="107"/>
      <c r="J155" s="106"/>
      <c r="K155" s="106"/>
      <c r="L155" s="108"/>
      <c r="M155" s="108"/>
      <c r="N155" s="109"/>
      <c r="O155" s="8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5.75" customHeight="1" x14ac:dyDescent="0.25">
      <c r="A156" s="42"/>
      <c r="B156" s="42"/>
      <c r="C156" s="43" t="s">
        <v>177</v>
      </c>
      <c r="D156" s="44" t="s">
        <v>178</v>
      </c>
      <c r="E156" s="77"/>
      <c r="F156" s="78"/>
      <c r="G156" s="84"/>
      <c r="H156" s="94"/>
      <c r="I156" s="94"/>
      <c r="J156" s="94"/>
      <c r="K156" s="116"/>
      <c r="L156" s="94"/>
      <c r="M156" s="94"/>
      <c r="N156" s="89"/>
      <c r="O156" s="8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5.75" customHeight="1" x14ac:dyDescent="0.2">
      <c r="A157" s="15"/>
      <c r="B157" s="45"/>
      <c r="D157" s="28"/>
      <c r="E157" s="66"/>
      <c r="F157" s="60"/>
      <c r="G157" s="61"/>
      <c r="H157" s="117"/>
      <c r="I157" s="94"/>
      <c r="J157" s="94"/>
      <c r="K157" s="94"/>
      <c r="L157" s="94"/>
      <c r="M157" s="94"/>
      <c r="N157" s="89"/>
      <c r="O157" s="8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5.75" customHeight="1" x14ac:dyDescent="0.2">
      <c r="A158" s="15"/>
      <c r="B158" s="6"/>
      <c r="C158" s="28"/>
      <c r="D158" s="28"/>
      <c r="E158" s="46"/>
      <c r="F158" s="6"/>
      <c r="G158" s="47"/>
      <c r="H158" s="118"/>
      <c r="I158" s="89"/>
      <c r="J158" s="89"/>
      <c r="K158" s="89"/>
      <c r="L158" s="89"/>
      <c r="M158" s="89"/>
      <c r="N158" s="89"/>
      <c r="O158" s="8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5.75" customHeight="1" x14ac:dyDescent="0.2">
      <c r="A159" s="15"/>
      <c r="B159" s="6"/>
      <c r="C159" s="28"/>
      <c r="D159" s="48"/>
      <c r="E159" s="29"/>
      <c r="F159" s="6"/>
      <c r="G159" s="47">
        <f>E156*2</f>
        <v>0</v>
      </c>
      <c r="H159" s="118"/>
      <c r="I159" s="89"/>
      <c r="J159" s="89"/>
      <c r="K159" s="89"/>
      <c r="L159" s="89"/>
      <c r="M159" s="89"/>
      <c r="N159" s="89"/>
      <c r="O159" s="8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5.75" customHeight="1" x14ac:dyDescent="0.2">
      <c r="A160" s="15"/>
      <c r="B160" s="6"/>
      <c r="C160" s="28"/>
      <c r="D160" s="28"/>
      <c r="E160" s="29"/>
      <c r="F160" s="6"/>
      <c r="G160" s="47"/>
      <c r="H160" s="118"/>
      <c r="I160" s="89"/>
      <c r="J160" s="89"/>
      <c r="K160" s="89"/>
      <c r="L160" s="89"/>
      <c r="M160" s="89"/>
      <c r="N160" s="89"/>
      <c r="O160" s="8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5.75" customHeight="1" x14ac:dyDescent="0.2">
      <c r="A161" s="15"/>
      <c r="B161" s="6"/>
      <c r="C161" s="28"/>
      <c r="D161" s="28"/>
      <c r="E161" s="29"/>
      <c r="F161" s="6"/>
      <c r="G161" s="47"/>
      <c r="H161" s="118"/>
      <c r="I161" s="89"/>
      <c r="J161" s="89"/>
      <c r="K161" s="89"/>
      <c r="L161" s="89"/>
      <c r="M161" s="89"/>
      <c r="N161" s="89"/>
      <c r="O161" s="8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5.75" customHeight="1" x14ac:dyDescent="0.2">
      <c r="A162" s="15"/>
      <c r="B162" s="6"/>
      <c r="C162" s="28"/>
      <c r="D162" s="28"/>
      <c r="E162" s="29"/>
      <c r="F162" s="6"/>
      <c r="G162" s="6"/>
      <c r="H162" s="89"/>
      <c r="I162" s="89"/>
      <c r="J162" s="89"/>
      <c r="K162" s="89"/>
      <c r="L162" s="89"/>
      <c r="M162" s="89"/>
      <c r="N162" s="89"/>
      <c r="O162" s="8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5.75" customHeight="1" x14ac:dyDescent="0.2">
      <c r="A163" s="15"/>
      <c r="B163" s="6"/>
      <c r="C163" s="28"/>
      <c r="D163" s="28"/>
      <c r="E163" s="29"/>
      <c r="F163" s="6"/>
      <c r="G163" s="6"/>
      <c r="H163" s="89"/>
      <c r="I163" s="89"/>
      <c r="J163" s="89"/>
      <c r="K163" s="89"/>
      <c r="L163" s="89"/>
      <c r="M163" s="89"/>
      <c r="N163" s="89"/>
      <c r="O163" s="8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5.75" customHeight="1" x14ac:dyDescent="0.2">
      <c r="A164" s="15"/>
      <c r="B164" s="6"/>
      <c r="C164" s="28"/>
      <c r="D164" s="28"/>
      <c r="E164" s="29"/>
      <c r="F164" s="6"/>
      <c r="G164" s="6"/>
      <c r="H164" s="89"/>
      <c r="I164" s="89"/>
      <c r="J164" s="89"/>
      <c r="K164" s="89"/>
      <c r="L164" s="89"/>
      <c r="M164" s="89"/>
      <c r="N164" s="89"/>
      <c r="O164" s="8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5.75" customHeight="1" x14ac:dyDescent="0.2">
      <c r="A165" s="15"/>
      <c r="B165" s="6"/>
      <c r="C165" s="28"/>
      <c r="D165" s="28"/>
      <c r="E165" s="29"/>
      <c r="F165" s="6"/>
      <c r="G165" s="6"/>
      <c r="H165" s="89"/>
      <c r="I165" s="89"/>
      <c r="J165" s="89"/>
      <c r="K165" s="89"/>
      <c r="L165" s="89"/>
      <c r="M165" s="89"/>
      <c r="N165" s="89"/>
      <c r="O165" s="8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5.75" customHeight="1" x14ac:dyDescent="0.2">
      <c r="A166" s="15"/>
      <c r="B166" s="6"/>
      <c r="C166" s="28"/>
      <c r="D166" s="28"/>
      <c r="E166" s="29"/>
      <c r="F166" s="6"/>
      <c r="G166" s="6"/>
      <c r="H166" s="89"/>
      <c r="I166" s="89"/>
      <c r="J166" s="89"/>
      <c r="K166" s="89"/>
      <c r="L166" s="89"/>
      <c r="M166" s="89"/>
      <c r="N166" s="89"/>
      <c r="O166" s="8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5.75" customHeight="1" x14ac:dyDescent="0.2">
      <c r="A167" s="15"/>
      <c r="B167" s="6"/>
      <c r="C167" s="28"/>
      <c r="D167" s="28"/>
      <c r="E167" s="29"/>
      <c r="F167" s="6"/>
      <c r="G167" s="6"/>
      <c r="H167" s="89"/>
      <c r="I167" s="89"/>
      <c r="J167" s="89"/>
      <c r="K167" s="89"/>
      <c r="L167" s="89"/>
      <c r="M167" s="89"/>
      <c r="N167" s="89"/>
      <c r="O167" s="8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5.75" customHeight="1" x14ac:dyDescent="0.2">
      <c r="A168" s="15"/>
      <c r="B168" s="6"/>
      <c r="C168" s="28"/>
      <c r="D168" s="28"/>
      <c r="E168" s="29"/>
      <c r="F168" s="6"/>
      <c r="G168" s="6"/>
      <c r="H168" s="89"/>
      <c r="I168" s="89"/>
      <c r="J168" s="89"/>
      <c r="K168" s="89"/>
      <c r="L168" s="89"/>
      <c r="M168" s="89"/>
      <c r="N168" s="89"/>
      <c r="O168" s="8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5.75" customHeight="1" x14ac:dyDescent="0.2">
      <c r="A169" s="15"/>
      <c r="B169" s="6"/>
      <c r="C169" s="28"/>
      <c r="D169" s="28"/>
      <c r="E169" s="29"/>
      <c r="F169" s="6"/>
      <c r="G169" s="6"/>
      <c r="H169" s="89"/>
      <c r="I169" s="89"/>
      <c r="J169" s="89"/>
      <c r="K169" s="89"/>
      <c r="L169" s="89"/>
      <c r="M169" s="89"/>
      <c r="N169" s="89"/>
      <c r="O169" s="8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5.75" customHeight="1" x14ac:dyDescent="0.2">
      <c r="A170" s="15"/>
      <c r="B170" s="6"/>
      <c r="C170" s="28"/>
      <c r="D170" s="28"/>
      <c r="E170" s="29"/>
      <c r="F170" s="6"/>
      <c r="G170" s="6"/>
      <c r="H170" s="89"/>
      <c r="I170" s="89"/>
      <c r="J170" s="89"/>
      <c r="K170" s="89"/>
      <c r="L170" s="89"/>
      <c r="M170" s="89"/>
      <c r="N170" s="89"/>
      <c r="O170" s="8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5.75" customHeight="1" x14ac:dyDescent="0.2">
      <c r="A171" s="15"/>
      <c r="B171" s="6"/>
      <c r="C171" s="28"/>
      <c r="D171" s="28"/>
      <c r="E171" s="29"/>
      <c r="F171" s="6"/>
      <c r="G171" s="6"/>
      <c r="H171" s="89"/>
      <c r="I171" s="89"/>
      <c r="J171" s="89"/>
      <c r="K171" s="89"/>
      <c r="L171" s="89"/>
      <c r="M171" s="89"/>
      <c r="N171" s="89"/>
      <c r="O171" s="8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5.75" customHeight="1" x14ac:dyDescent="0.2">
      <c r="A172" s="15"/>
      <c r="B172" s="6"/>
      <c r="C172" s="28"/>
      <c r="D172" s="28"/>
      <c r="E172" s="29"/>
      <c r="F172" s="6"/>
      <c r="G172" s="6"/>
      <c r="H172" s="89"/>
      <c r="I172" s="89"/>
      <c r="J172" s="89"/>
      <c r="K172" s="89"/>
      <c r="L172" s="89"/>
      <c r="M172" s="89"/>
      <c r="N172" s="89"/>
      <c r="O172" s="8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5.75" customHeight="1" x14ac:dyDescent="0.2">
      <c r="A173" s="15"/>
      <c r="B173" s="6"/>
      <c r="C173" s="28"/>
      <c r="D173" s="28"/>
      <c r="E173" s="29"/>
      <c r="F173" s="6"/>
      <c r="G173" s="6"/>
      <c r="H173" s="89"/>
      <c r="I173" s="89"/>
      <c r="J173" s="89"/>
      <c r="K173" s="89"/>
      <c r="L173" s="89"/>
      <c r="M173" s="89"/>
      <c r="N173" s="89"/>
      <c r="O173" s="8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5.75" customHeight="1" x14ac:dyDescent="0.2">
      <c r="A174" s="15"/>
      <c r="B174" s="6"/>
      <c r="C174" s="28"/>
      <c r="D174" s="28"/>
      <c r="E174" s="29"/>
      <c r="F174" s="6"/>
      <c r="G174" s="6"/>
      <c r="H174" s="89"/>
      <c r="I174" s="89"/>
      <c r="J174" s="89"/>
      <c r="K174" s="89"/>
      <c r="L174" s="89"/>
      <c r="M174" s="89"/>
      <c r="N174" s="89"/>
      <c r="O174" s="8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5.75" customHeight="1" x14ac:dyDescent="0.2">
      <c r="A175" s="15"/>
      <c r="B175" s="6"/>
      <c r="C175" s="28"/>
      <c r="D175" s="28"/>
      <c r="E175" s="29"/>
      <c r="F175" s="6"/>
      <c r="G175" s="6"/>
      <c r="H175" s="89"/>
      <c r="I175" s="89"/>
      <c r="J175" s="89"/>
      <c r="K175" s="89"/>
      <c r="L175" s="89"/>
      <c r="M175" s="89"/>
      <c r="N175" s="89"/>
      <c r="O175" s="8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5.75" customHeight="1" x14ac:dyDescent="0.2">
      <c r="A176" s="15"/>
      <c r="B176" s="6"/>
      <c r="C176" s="28"/>
      <c r="D176" s="28"/>
      <c r="E176" s="29"/>
      <c r="F176" s="6"/>
      <c r="G176" s="6"/>
      <c r="H176" s="89"/>
      <c r="I176" s="89"/>
      <c r="J176" s="89"/>
      <c r="K176" s="89"/>
      <c r="L176" s="89"/>
      <c r="M176" s="89"/>
      <c r="N176" s="89"/>
      <c r="O176" s="8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5.75" customHeight="1" x14ac:dyDescent="0.2">
      <c r="A177" s="15"/>
      <c r="B177" s="6"/>
      <c r="C177" s="28"/>
      <c r="D177" s="28"/>
      <c r="E177" s="29"/>
      <c r="F177" s="6"/>
      <c r="G177" s="6"/>
      <c r="H177" s="89"/>
      <c r="I177" s="89"/>
      <c r="J177" s="89"/>
      <c r="K177" s="89"/>
      <c r="L177" s="89"/>
      <c r="M177" s="89"/>
      <c r="N177" s="89"/>
      <c r="O177" s="8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.75" customHeight="1" x14ac:dyDescent="0.2">
      <c r="A178" s="15"/>
      <c r="B178" s="6"/>
      <c r="C178" s="28"/>
      <c r="D178" s="28"/>
      <c r="E178" s="29"/>
      <c r="F178" s="6"/>
      <c r="G178" s="6"/>
      <c r="H178" s="89"/>
      <c r="I178" s="89"/>
      <c r="J178" s="89"/>
      <c r="K178" s="89"/>
      <c r="L178" s="89"/>
      <c r="M178" s="89"/>
      <c r="N178" s="89"/>
      <c r="O178" s="8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.75" customHeight="1" x14ac:dyDescent="0.2">
      <c r="A179" s="15"/>
      <c r="B179" s="6"/>
      <c r="C179" s="28"/>
      <c r="D179" s="28"/>
      <c r="E179" s="29"/>
      <c r="F179" s="6"/>
      <c r="G179" s="6"/>
      <c r="H179" s="89"/>
      <c r="I179" s="89"/>
      <c r="J179" s="89"/>
      <c r="K179" s="89"/>
      <c r="L179" s="89"/>
      <c r="M179" s="89"/>
      <c r="N179" s="89"/>
      <c r="O179" s="8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.75" customHeight="1" x14ac:dyDescent="0.2">
      <c r="A180" s="15"/>
      <c r="B180" s="6"/>
      <c r="C180" s="28"/>
      <c r="D180" s="28"/>
      <c r="E180" s="29"/>
      <c r="F180" s="6"/>
      <c r="G180" s="6"/>
      <c r="H180" s="89"/>
      <c r="I180" s="89"/>
      <c r="J180" s="89"/>
      <c r="K180" s="89"/>
      <c r="L180" s="89"/>
      <c r="M180" s="89"/>
      <c r="N180" s="89"/>
      <c r="O180" s="8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.75" customHeight="1" x14ac:dyDescent="0.2">
      <c r="A181" s="15"/>
      <c r="B181" s="6"/>
      <c r="C181" s="28"/>
      <c r="D181" s="28"/>
      <c r="E181" s="29"/>
      <c r="F181" s="6"/>
      <c r="G181" s="6"/>
      <c r="H181" s="89"/>
      <c r="I181" s="89"/>
      <c r="J181" s="89"/>
      <c r="K181" s="89"/>
      <c r="L181" s="89"/>
      <c r="M181" s="89"/>
      <c r="N181" s="89"/>
      <c r="O181" s="8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.75" customHeight="1" x14ac:dyDescent="0.2">
      <c r="A182" s="15"/>
      <c r="B182" s="6"/>
      <c r="C182" s="28"/>
      <c r="D182" s="28"/>
      <c r="E182" s="29"/>
      <c r="F182" s="6"/>
      <c r="G182" s="6"/>
      <c r="H182" s="89"/>
      <c r="I182" s="89"/>
      <c r="J182" s="89"/>
      <c r="K182" s="89"/>
      <c r="L182" s="89"/>
      <c r="M182" s="89"/>
      <c r="N182" s="89"/>
      <c r="O182" s="8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75" customHeight="1" x14ac:dyDescent="0.2">
      <c r="A183" s="15"/>
      <c r="B183" s="6"/>
      <c r="C183" s="28"/>
      <c r="D183" s="28"/>
      <c r="E183" s="29"/>
      <c r="F183" s="6"/>
      <c r="G183" s="6"/>
      <c r="H183" s="89"/>
      <c r="I183" s="89"/>
      <c r="J183" s="89"/>
      <c r="K183" s="89"/>
      <c r="L183" s="89"/>
      <c r="M183" s="89"/>
      <c r="N183" s="89"/>
      <c r="O183" s="8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75" customHeight="1" x14ac:dyDescent="0.2">
      <c r="A184" s="15"/>
      <c r="B184" s="6"/>
      <c r="C184" s="28"/>
      <c r="D184" s="28"/>
      <c r="E184" s="29"/>
      <c r="F184" s="6"/>
      <c r="G184" s="6"/>
      <c r="H184" s="89"/>
      <c r="I184" s="89"/>
      <c r="J184" s="89"/>
      <c r="K184" s="89"/>
      <c r="L184" s="89"/>
      <c r="M184" s="89"/>
      <c r="N184" s="89"/>
      <c r="O184" s="8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75" customHeight="1" x14ac:dyDescent="0.2">
      <c r="A185" s="15"/>
      <c r="B185" s="6"/>
      <c r="C185" s="28"/>
      <c r="D185" s="28"/>
      <c r="E185" s="29"/>
      <c r="F185" s="6"/>
      <c r="G185" s="6"/>
      <c r="H185" s="89"/>
      <c r="I185" s="89"/>
      <c r="J185" s="89"/>
      <c r="K185" s="89"/>
      <c r="L185" s="89"/>
      <c r="M185" s="89"/>
      <c r="N185" s="89"/>
      <c r="O185" s="8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 x14ac:dyDescent="0.2">
      <c r="A186" s="15"/>
      <c r="B186" s="6"/>
      <c r="C186" s="28"/>
      <c r="D186" s="28"/>
      <c r="E186" s="29"/>
      <c r="F186" s="6"/>
      <c r="G186" s="6"/>
      <c r="H186" s="89"/>
      <c r="I186" s="89"/>
      <c r="J186" s="89"/>
      <c r="K186" s="89"/>
      <c r="L186" s="89"/>
      <c r="M186" s="89"/>
      <c r="N186" s="89"/>
      <c r="O186" s="8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 x14ac:dyDescent="0.2">
      <c r="A187" s="15"/>
      <c r="B187" s="6"/>
      <c r="C187" s="28"/>
      <c r="D187" s="28"/>
      <c r="E187" s="29"/>
      <c r="F187" s="6"/>
      <c r="G187" s="6"/>
      <c r="H187" s="89"/>
      <c r="I187" s="89"/>
      <c r="J187" s="89"/>
      <c r="K187" s="89"/>
      <c r="L187" s="89"/>
      <c r="M187" s="89"/>
      <c r="N187" s="89"/>
      <c r="O187" s="8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 x14ac:dyDescent="0.2">
      <c r="A188" s="15"/>
      <c r="B188" s="6"/>
      <c r="C188" s="28"/>
      <c r="D188" s="28"/>
      <c r="E188" s="29"/>
      <c r="F188" s="6"/>
      <c r="G188" s="6"/>
      <c r="H188" s="89"/>
      <c r="I188" s="89"/>
      <c r="J188" s="89"/>
      <c r="K188" s="89"/>
      <c r="L188" s="89"/>
      <c r="M188" s="89"/>
      <c r="N188" s="89"/>
      <c r="O188" s="8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 x14ac:dyDescent="0.2">
      <c r="A189" s="15"/>
      <c r="B189" s="6"/>
      <c r="C189" s="28"/>
      <c r="D189" s="28"/>
      <c r="E189" s="29"/>
      <c r="F189" s="6"/>
      <c r="G189" s="6"/>
      <c r="H189" s="89"/>
      <c r="I189" s="89"/>
      <c r="J189" s="89"/>
      <c r="K189" s="89"/>
      <c r="L189" s="89"/>
      <c r="M189" s="89"/>
      <c r="N189" s="89"/>
      <c r="O189" s="8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 x14ac:dyDescent="0.2">
      <c r="A190" s="15"/>
      <c r="B190" s="6"/>
      <c r="C190" s="28"/>
      <c r="D190" s="28"/>
      <c r="E190" s="29"/>
      <c r="F190" s="6"/>
      <c r="G190" s="6"/>
      <c r="H190" s="89"/>
      <c r="I190" s="89"/>
      <c r="J190" s="89"/>
      <c r="K190" s="89"/>
      <c r="L190" s="89"/>
      <c r="M190" s="89"/>
      <c r="N190" s="89"/>
      <c r="O190" s="8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 x14ac:dyDescent="0.2">
      <c r="A191" s="15"/>
      <c r="B191" s="6"/>
      <c r="C191" s="28"/>
      <c r="D191" s="28"/>
      <c r="E191" s="29"/>
      <c r="F191" s="6"/>
      <c r="G191" s="6"/>
      <c r="H191" s="89"/>
      <c r="I191" s="89"/>
      <c r="J191" s="89"/>
      <c r="K191" s="89"/>
      <c r="L191" s="89"/>
      <c r="M191" s="89"/>
      <c r="N191" s="89"/>
      <c r="O191" s="8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 x14ac:dyDescent="0.2">
      <c r="A192" s="15"/>
      <c r="B192" s="6"/>
      <c r="C192" s="28"/>
      <c r="D192" s="28"/>
      <c r="E192" s="29"/>
      <c r="F192" s="6"/>
      <c r="G192" s="6"/>
      <c r="H192" s="89"/>
      <c r="I192" s="89"/>
      <c r="J192" s="89"/>
      <c r="K192" s="89"/>
      <c r="L192" s="89"/>
      <c r="M192" s="89"/>
      <c r="N192" s="89"/>
      <c r="O192" s="8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 x14ac:dyDescent="0.2">
      <c r="A193" s="15"/>
      <c r="B193" s="6"/>
      <c r="C193" s="28"/>
      <c r="D193" s="28"/>
      <c r="E193" s="29"/>
      <c r="F193" s="6"/>
      <c r="G193" s="6"/>
      <c r="H193" s="89"/>
      <c r="I193" s="89"/>
      <c r="J193" s="89"/>
      <c r="K193" s="89"/>
      <c r="L193" s="89"/>
      <c r="M193" s="89"/>
      <c r="N193" s="89"/>
      <c r="O193" s="8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 x14ac:dyDescent="0.2">
      <c r="A194" s="15"/>
      <c r="B194" s="6"/>
      <c r="C194" s="28"/>
      <c r="D194" s="28"/>
      <c r="E194" s="29"/>
      <c r="F194" s="6"/>
      <c r="G194" s="6"/>
      <c r="H194" s="89"/>
      <c r="I194" s="89"/>
      <c r="J194" s="89"/>
      <c r="K194" s="89"/>
      <c r="L194" s="89"/>
      <c r="M194" s="89"/>
      <c r="N194" s="89"/>
      <c r="O194" s="8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 x14ac:dyDescent="0.2">
      <c r="A195" s="15"/>
      <c r="B195" s="6"/>
      <c r="C195" s="28"/>
      <c r="D195" s="28"/>
      <c r="E195" s="29"/>
      <c r="F195" s="6"/>
      <c r="G195" s="6"/>
      <c r="H195" s="89"/>
      <c r="I195" s="89"/>
      <c r="J195" s="89"/>
      <c r="K195" s="89"/>
      <c r="L195" s="89"/>
      <c r="M195" s="89"/>
      <c r="N195" s="89"/>
      <c r="O195" s="8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 x14ac:dyDescent="0.2">
      <c r="A196" s="15"/>
      <c r="B196" s="6"/>
      <c r="C196" s="28"/>
      <c r="D196" s="28"/>
      <c r="E196" s="29"/>
      <c r="F196" s="6"/>
      <c r="G196" s="6"/>
      <c r="H196" s="89"/>
      <c r="I196" s="89"/>
      <c r="J196" s="89"/>
      <c r="K196" s="89"/>
      <c r="L196" s="89"/>
      <c r="M196" s="89"/>
      <c r="N196" s="89"/>
      <c r="O196" s="8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 x14ac:dyDescent="0.2">
      <c r="A197" s="15"/>
      <c r="B197" s="6"/>
      <c r="C197" s="28"/>
      <c r="D197" s="28"/>
      <c r="E197" s="29"/>
      <c r="F197" s="6"/>
      <c r="G197" s="6"/>
      <c r="H197" s="89"/>
      <c r="I197" s="89"/>
      <c r="J197" s="89"/>
      <c r="K197" s="89"/>
      <c r="L197" s="89"/>
      <c r="M197" s="89"/>
      <c r="N197" s="89"/>
      <c r="O197" s="8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2">
      <c r="A198" s="15"/>
      <c r="B198" s="6"/>
      <c r="C198" s="28"/>
      <c r="D198" s="28"/>
      <c r="E198" s="29"/>
      <c r="F198" s="6"/>
      <c r="G198" s="6"/>
      <c r="H198" s="89"/>
      <c r="I198" s="89"/>
      <c r="J198" s="89"/>
      <c r="K198" s="89"/>
      <c r="L198" s="89"/>
      <c r="M198" s="89"/>
      <c r="N198" s="89"/>
      <c r="O198" s="8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2">
      <c r="A199" s="15"/>
      <c r="B199" s="6"/>
      <c r="C199" s="28"/>
      <c r="D199" s="28"/>
      <c r="E199" s="29"/>
      <c r="F199" s="6"/>
      <c r="G199" s="6"/>
      <c r="H199" s="89"/>
      <c r="I199" s="89"/>
      <c r="J199" s="89"/>
      <c r="K199" s="89"/>
      <c r="L199" s="89"/>
      <c r="M199" s="89"/>
      <c r="N199" s="89"/>
      <c r="O199" s="8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2">
      <c r="A200" s="15"/>
      <c r="B200" s="6"/>
      <c r="C200" s="28"/>
      <c r="D200" s="28"/>
      <c r="E200" s="29"/>
      <c r="F200" s="6"/>
      <c r="G200" s="6"/>
      <c r="H200" s="89"/>
      <c r="I200" s="89"/>
      <c r="J200" s="89"/>
      <c r="K200" s="89"/>
      <c r="L200" s="89"/>
      <c r="M200" s="89"/>
      <c r="N200" s="89"/>
      <c r="O200" s="8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2">
      <c r="A201" s="15"/>
      <c r="B201" s="6"/>
      <c r="C201" s="28"/>
      <c r="D201" s="28"/>
      <c r="E201" s="29"/>
      <c r="F201" s="6"/>
      <c r="G201" s="6"/>
      <c r="H201" s="89"/>
      <c r="I201" s="89"/>
      <c r="J201" s="89"/>
      <c r="K201" s="89"/>
      <c r="L201" s="89"/>
      <c r="M201" s="89"/>
      <c r="N201" s="89"/>
      <c r="O201" s="8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2">
      <c r="A202" s="15"/>
      <c r="B202" s="6"/>
      <c r="C202" s="28"/>
      <c r="D202" s="28"/>
      <c r="E202" s="29"/>
      <c r="F202" s="6"/>
      <c r="G202" s="6"/>
      <c r="H202" s="89"/>
      <c r="I202" s="89"/>
      <c r="J202" s="89"/>
      <c r="K202" s="89"/>
      <c r="L202" s="89"/>
      <c r="M202" s="89"/>
      <c r="N202" s="89"/>
      <c r="O202" s="8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2">
      <c r="A203" s="15"/>
      <c r="B203" s="6"/>
      <c r="C203" s="28"/>
      <c r="D203" s="28"/>
      <c r="E203" s="29"/>
      <c r="F203" s="6"/>
      <c r="G203" s="6"/>
      <c r="H203" s="89"/>
      <c r="I203" s="89"/>
      <c r="J203" s="89"/>
      <c r="K203" s="89"/>
      <c r="L203" s="89"/>
      <c r="M203" s="89"/>
      <c r="N203" s="89"/>
      <c r="O203" s="8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2">
      <c r="A204" s="15"/>
      <c r="B204" s="6"/>
      <c r="C204" s="28"/>
      <c r="D204" s="28"/>
      <c r="E204" s="29"/>
      <c r="F204" s="6"/>
      <c r="G204" s="6"/>
      <c r="H204" s="89"/>
      <c r="I204" s="89"/>
      <c r="J204" s="89"/>
      <c r="K204" s="89"/>
      <c r="L204" s="89"/>
      <c r="M204" s="89"/>
      <c r="N204" s="89"/>
      <c r="O204" s="8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2">
      <c r="A205" s="15"/>
      <c r="B205" s="6"/>
      <c r="C205" s="28"/>
      <c r="D205" s="28"/>
      <c r="E205" s="29"/>
      <c r="F205" s="6"/>
      <c r="G205" s="6"/>
      <c r="H205" s="89"/>
      <c r="I205" s="89"/>
      <c r="J205" s="89"/>
      <c r="K205" s="89"/>
      <c r="L205" s="89"/>
      <c r="M205" s="89"/>
      <c r="N205" s="89"/>
      <c r="O205" s="8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2">
      <c r="A206" s="15"/>
      <c r="B206" s="6"/>
      <c r="C206" s="28"/>
      <c r="D206" s="28"/>
      <c r="E206" s="29"/>
      <c r="F206" s="6"/>
      <c r="G206" s="6"/>
      <c r="H206" s="89"/>
      <c r="I206" s="89"/>
      <c r="J206" s="89"/>
      <c r="K206" s="89"/>
      <c r="L206" s="89"/>
      <c r="M206" s="89"/>
      <c r="N206" s="89"/>
      <c r="O206" s="8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2">
      <c r="A207" s="15"/>
      <c r="B207" s="6"/>
      <c r="C207" s="28"/>
      <c r="D207" s="28"/>
      <c r="E207" s="29"/>
      <c r="F207" s="6"/>
      <c r="G207" s="6"/>
      <c r="H207" s="89"/>
      <c r="I207" s="89"/>
      <c r="J207" s="89"/>
      <c r="K207" s="89"/>
      <c r="L207" s="89"/>
      <c r="M207" s="89"/>
      <c r="N207" s="89"/>
      <c r="O207" s="8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2">
      <c r="A208" s="15"/>
      <c r="B208" s="6"/>
      <c r="C208" s="28"/>
      <c r="D208" s="28"/>
      <c r="E208" s="29"/>
      <c r="F208" s="6"/>
      <c r="G208" s="6"/>
      <c r="H208" s="89"/>
      <c r="I208" s="89"/>
      <c r="J208" s="89"/>
      <c r="K208" s="89"/>
      <c r="L208" s="89"/>
      <c r="M208" s="89"/>
      <c r="N208" s="89"/>
      <c r="O208" s="8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2">
      <c r="A209" s="15"/>
      <c r="B209" s="6"/>
      <c r="C209" s="28"/>
      <c r="D209" s="28"/>
      <c r="E209" s="29"/>
      <c r="F209" s="6"/>
      <c r="G209" s="6"/>
      <c r="H209" s="89"/>
      <c r="I209" s="89"/>
      <c r="J209" s="89"/>
      <c r="K209" s="89"/>
      <c r="L209" s="89"/>
      <c r="M209" s="89"/>
      <c r="N209" s="89"/>
      <c r="O209" s="8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2">
      <c r="A210" s="15"/>
      <c r="B210" s="6"/>
      <c r="C210" s="28"/>
      <c r="D210" s="28"/>
      <c r="E210" s="29"/>
      <c r="F210" s="6"/>
      <c r="G210" s="6"/>
      <c r="H210" s="89"/>
      <c r="I210" s="89"/>
      <c r="J210" s="89"/>
      <c r="K210" s="89"/>
      <c r="L210" s="89"/>
      <c r="M210" s="89"/>
      <c r="N210" s="89"/>
      <c r="O210" s="8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2">
      <c r="A211" s="15"/>
      <c r="B211" s="6"/>
      <c r="C211" s="28"/>
      <c r="D211" s="28"/>
      <c r="E211" s="29"/>
      <c r="F211" s="6"/>
      <c r="G211" s="6"/>
      <c r="H211" s="89"/>
      <c r="I211" s="89"/>
      <c r="J211" s="89"/>
      <c r="K211" s="89"/>
      <c r="L211" s="89"/>
      <c r="M211" s="89"/>
      <c r="N211" s="89"/>
      <c r="O211" s="8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2">
      <c r="A212" s="15"/>
      <c r="B212" s="6"/>
      <c r="C212" s="28"/>
      <c r="D212" s="28"/>
      <c r="E212" s="29"/>
      <c r="F212" s="6"/>
      <c r="G212" s="6"/>
      <c r="H212" s="89"/>
      <c r="I212" s="89"/>
      <c r="J212" s="89"/>
      <c r="K212" s="89"/>
      <c r="L212" s="89"/>
      <c r="M212" s="89"/>
      <c r="N212" s="89"/>
      <c r="O212" s="8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2">
      <c r="A213" s="15"/>
      <c r="B213" s="6"/>
      <c r="C213" s="28"/>
      <c r="D213" s="28"/>
      <c r="E213" s="29"/>
      <c r="F213" s="6"/>
      <c r="G213" s="6"/>
      <c r="H213" s="89"/>
      <c r="I213" s="89"/>
      <c r="J213" s="89"/>
      <c r="K213" s="89"/>
      <c r="L213" s="89"/>
      <c r="M213" s="89"/>
      <c r="N213" s="89"/>
      <c r="O213" s="8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2">
      <c r="A214" s="15"/>
      <c r="B214" s="6"/>
      <c r="C214" s="28"/>
      <c r="D214" s="28"/>
      <c r="E214" s="29"/>
      <c r="F214" s="6"/>
      <c r="G214" s="6"/>
      <c r="H214" s="89"/>
      <c r="I214" s="89"/>
      <c r="J214" s="89"/>
      <c r="K214" s="89"/>
      <c r="L214" s="89"/>
      <c r="M214" s="89"/>
      <c r="N214" s="89"/>
      <c r="O214" s="8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2">
      <c r="A215" s="15"/>
      <c r="B215" s="6"/>
      <c r="C215" s="28"/>
      <c r="D215" s="28"/>
      <c r="E215" s="29"/>
      <c r="F215" s="6"/>
      <c r="G215" s="6"/>
      <c r="H215" s="89"/>
      <c r="I215" s="89"/>
      <c r="J215" s="89"/>
      <c r="K215" s="89"/>
      <c r="L215" s="89"/>
      <c r="M215" s="89"/>
      <c r="N215" s="89"/>
      <c r="O215" s="8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2">
      <c r="A216" s="15"/>
      <c r="B216" s="6"/>
      <c r="C216" s="28"/>
      <c r="D216" s="28"/>
      <c r="E216" s="29"/>
      <c r="F216" s="6"/>
      <c r="G216" s="6"/>
      <c r="H216" s="89"/>
      <c r="I216" s="89"/>
      <c r="J216" s="89"/>
      <c r="K216" s="89"/>
      <c r="L216" s="89"/>
      <c r="M216" s="89"/>
      <c r="N216" s="89"/>
      <c r="O216" s="8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2">
      <c r="A217" s="15"/>
      <c r="B217" s="6"/>
      <c r="C217" s="28"/>
      <c r="D217" s="28"/>
      <c r="E217" s="29"/>
      <c r="F217" s="6"/>
      <c r="G217" s="6"/>
      <c r="H217" s="89"/>
      <c r="I217" s="89"/>
      <c r="J217" s="89"/>
      <c r="K217" s="89"/>
      <c r="L217" s="89"/>
      <c r="M217" s="89"/>
      <c r="N217" s="89"/>
      <c r="O217" s="8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2">
      <c r="A218" s="15"/>
      <c r="B218" s="6"/>
      <c r="C218" s="28"/>
      <c r="D218" s="28"/>
      <c r="E218" s="29"/>
      <c r="F218" s="6"/>
      <c r="G218" s="6"/>
      <c r="H218" s="89"/>
      <c r="I218" s="89"/>
      <c r="J218" s="89"/>
      <c r="K218" s="89"/>
      <c r="L218" s="89"/>
      <c r="M218" s="89"/>
      <c r="N218" s="89"/>
      <c r="O218" s="8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2">
      <c r="A219" s="15"/>
      <c r="B219" s="6"/>
      <c r="C219" s="28"/>
      <c r="D219" s="28"/>
      <c r="E219" s="29"/>
      <c r="F219" s="6"/>
      <c r="G219" s="6"/>
      <c r="H219" s="89"/>
      <c r="I219" s="89"/>
      <c r="J219" s="89"/>
      <c r="K219" s="89"/>
      <c r="L219" s="89"/>
      <c r="M219" s="89"/>
      <c r="N219" s="89"/>
      <c r="O219" s="8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2">
      <c r="A220" s="15"/>
      <c r="B220" s="6"/>
      <c r="C220" s="28"/>
      <c r="D220" s="28"/>
      <c r="E220" s="29"/>
      <c r="F220" s="6"/>
      <c r="G220" s="6"/>
      <c r="H220" s="89"/>
      <c r="I220" s="89"/>
      <c r="J220" s="89"/>
      <c r="K220" s="89"/>
      <c r="L220" s="89"/>
      <c r="M220" s="89"/>
      <c r="N220" s="89"/>
      <c r="O220" s="8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2">
      <c r="A221" s="15"/>
      <c r="B221" s="6"/>
      <c r="C221" s="28"/>
      <c r="D221" s="28"/>
      <c r="E221" s="29"/>
      <c r="F221" s="6"/>
      <c r="G221" s="6"/>
      <c r="H221" s="89"/>
      <c r="I221" s="89"/>
      <c r="J221" s="89"/>
      <c r="K221" s="89"/>
      <c r="L221" s="89"/>
      <c r="M221" s="89"/>
      <c r="N221" s="89"/>
      <c r="O221" s="8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2">
      <c r="A222" s="15"/>
      <c r="B222" s="6"/>
      <c r="C222" s="28"/>
      <c r="D222" s="28"/>
      <c r="E222" s="29"/>
      <c r="F222" s="6"/>
      <c r="G222" s="6"/>
      <c r="H222" s="89"/>
      <c r="I222" s="89"/>
      <c r="J222" s="89"/>
      <c r="K222" s="89"/>
      <c r="L222" s="89"/>
      <c r="M222" s="89"/>
      <c r="N222" s="89"/>
      <c r="O222" s="8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2">
      <c r="A223" s="15"/>
      <c r="B223" s="6"/>
      <c r="C223" s="28"/>
      <c r="D223" s="28"/>
      <c r="E223" s="29"/>
      <c r="F223" s="6"/>
      <c r="G223" s="6"/>
      <c r="H223" s="89"/>
      <c r="I223" s="89"/>
      <c r="J223" s="89"/>
      <c r="K223" s="89"/>
      <c r="L223" s="89"/>
      <c r="M223" s="89"/>
      <c r="N223" s="89"/>
      <c r="O223" s="8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2">
      <c r="A224" s="15"/>
      <c r="B224" s="6"/>
      <c r="C224" s="28"/>
      <c r="D224" s="28"/>
      <c r="E224" s="29"/>
      <c r="F224" s="6"/>
      <c r="G224" s="6"/>
      <c r="H224" s="89"/>
      <c r="I224" s="89"/>
      <c r="J224" s="89"/>
      <c r="K224" s="89"/>
      <c r="L224" s="89"/>
      <c r="M224" s="89"/>
      <c r="N224" s="89"/>
      <c r="O224" s="8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2">
      <c r="A225" s="15"/>
      <c r="B225" s="6"/>
      <c r="C225" s="28"/>
      <c r="D225" s="28"/>
      <c r="E225" s="29"/>
      <c r="F225" s="6"/>
      <c r="G225" s="6"/>
      <c r="H225" s="89"/>
      <c r="I225" s="89"/>
      <c r="J225" s="89"/>
      <c r="K225" s="89"/>
      <c r="L225" s="89"/>
      <c r="M225" s="89"/>
      <c r="N225" s="89"/>
      <c r="O225" s="8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2">
      <c r="A226" s="15"/>
      <c r="B226" s="6"/>
      <c r="C226" s="28"/>
      <c r="D226" s="28"/>
      <c r="E226" s="29"/>
      <c r="F226" s="6"/>
      <c r="G226" s="6"/>
      <c r="H226" s="89"/>
      <c r="I226" s="89"/>
      <c r="J226" s="89"/>
      <c r="K226" s="89"/>
      <c r="L226" s="89"/>
      <c r="M226" s="89"/>
      <c r="N226" s="89"/>
      <c r="O226" s="8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2">
      <c r="A227" s="15"/>
      <c r="B227" s="6"/>
      <c r="C227" s="28"/>
      <c r="D227" s="28"/>
      <c r="E227" s="29"/>
      <c r="F227" s="6"/>
      <c r="G227" s="6"/>
      <c r="H227" s="89"/>
      <c r="I227" s="89"/>
      <c r="J227" s="89"/>
      <c r="K227" s="89"/>
      <c r="L227" s="89"/>
      <c r="M227" s="89"/>
      <c r="N227" s="89"/>
      <c r="O227" s="8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2">
      <c r="A228" s="15"/>
      <c r="B228" s="6"/>
      <c r="C228" s="28"/>
      <c r="D228" s="28"/>
      <c r="E228" s="29"/>
      <c r="F228" s="6"/>
      <c r="G228" s="6"/>
      <c r="H228" s="89"/>
      <c r="I228" s="89"/>
      <c r="J228" s="89"/>
      <c r="K228" s="89"/>
      <c r="L228" s="89"/>
      <c r="M228" s="89"/>
      <c r="N228" s="89"/>
      <c r="O228" s="8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2">
      <c r="A229" s="15"/>
      <c r="B229" s="6"/>
      <c r="C229" s="28"/>
      <c r="D229" s="28"/>
      <c r="E229" s="29"/>
      <c r="F229" s="6"/>
      <c r="G229" s="6"/>
      <c r="H229" s="89"/>
      <c r="I229" s="89"/>
      <c r="J229" s="89"/>
      <c r="K229" s="89"/>
      <c r="L229" s="89"/>
      <c r="M229" s="89"/>
      <c r="N229" s="89"/>
      <c r="O229" s="8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2">
      <c r="A230" s="15"/>
      <c r="B230" s="6"/>
      <c r="C230" s="28"/>
      <c r="D230" s="28"/>
      <c r="E230" s="29"/>
      <c r="F230" s="6"/>
      <c r="G230" s="6"/>
      <c r="H230" s="89"/>
      <c r="I230" s="89"/>
      <c r="J230" s="89"/>
      <c r="K230" s="89"/>
      <c r="L230" s="89"/>
      <c r="M230" s="89"/>
      <c r="N230" s="89"/>
      <c r="O230" s="8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2">
      <c r="A231" s="15"/>
      <c r="B231" s="6"/>
      <c r="C231" s="28"/>
      <c r="D231" s="28"/>
      <c r="E231" s="29"/>
      <c r="F231" s="6"/>
      <c r="G231" s="6"/>
      <c r="H231" s="89"/>
      <c r="I231" s="89"/>
      <c r="J231" s="89"/>
      <c r="K231" s="89"/>
      <c r="L231" s="89"/>
      <c r="M231" s="89"/>
      <c r="N231" s="89"/>
      <c r="O231" s="8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2">
      <c r="A232" s="15"/>
      <c r="B232" s="6"/>
      <c r="C232" s="28"/>
      <c r="D232" s="28"/>
      <c r="E232" s="29"/>
      <c r="F232" s="6"/>
      <c r="G232" s="6"/>
      <c r="H232" s="89"/>
      <c r="I232" s="89"/>
      <c r="J232" s="89"/>
      <c r="K232" s="89"/>
      <c r="L232" s="89"/>
      <c r="M232" s="89"/>
      <c r="N232" s="89"/>
      <c r="O232" s="8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2">
      <c r="A233" s="15"/>
      <c r="B233" s="6"/>
      <c r="C233" s="28"/>
      <c r="D233" s="28"/>
      <c r="E233" s="29"/>
      <c r="F233" s="6"/>
      <c r="G233" s="6"/>
      <c r="H233" s="89"/>
      <c r="I233" s="89"/>
      <c r="J233" s="89"/>
      <c r="K233" s="89"/>
      <c r="L233" s="89"/>
      <c r="M233" s="89"/>
      <c r="N233" s="89"/>
      <c r="O233" s="8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2">
      <c r="A234" s="15"/>
      <c r="B234" s="6"/>
      <c r="C234" s="49"/>
      <c r="D234" s="49"/>
      <c r="E234" s="50"/>
      <c r="F234" s="6"/>
      <c r="G234" s="6"/>
      <c r="H234" s="89"/>
      <c r="I234" s="89"/>
      <c r="J234" s="89"/>
      <c r="K234" s="89"/>
      <c r="L234" s="89"/>
      <c r="M234" s="89"/>
      <c r="N234" s="89"/>
      <c r="O234" s="8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2">
      <c r="A235" s="15"/>
      <c r="B235" s="6"/>
      <c r="C235" s="49"/>
      <c r="D235" s="49"/>
      <c r="E235" s="50"/>
      <c r="F235" s="6"/>
      <c r="G235" s="6"/>
      <c r="H235" s="89"/>
      <c r="I235" s="89"/>
      <c r="J235" s="89"/>
      <c r="K235" s="89"/>
      <c r="L235" s="89"/>
      <c r="M235" s="89"/>
      <c r="N235" s="89"/>
      <c r="O235" s="8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2">
      <c r="A236" s="15"/>
      <c r="B236" s="6"/>
      <c r="C236" s="49"/>
      <c r="D236" s="49"/>
      <c r="E236" s="50"/>
      <c r="F236" s="6"/>
      <c r="G236" s="6"/>
      <c r="H236" s="89"/>
      <c r="I236" s="89"/>
      <c r="J236" s="89"/>
      <c r="K236" s="89"/>
      <c r="L236" s="89"/>
      <c r="M236" s="89"/>
      <c r="N236" s="89"/>
      <c r="O236" s="8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2">
      <c r="A237" s="15"/>
      <c r="B237" s="6"/>
      <c r="C237" s="49"/>
      <c r="D237" s="49"/>
      <c r="E237" s="50"/>
      <c r="F237" s="6"/>
      <c r="G237" s="6"/>
      <c r="H237" s="89"/>
      <c r="I237" s="89"/>
      <c r="J237" s="89"/>
      <c r="K237" s="89"/>
      <c r="L237" s="89"/>
      <c r="M237" s="89"/>
      <c r="N237" s="89"/>
      <c r="O237" s="8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2">
      <c r="A238" s="15"/>
      <c r="B238" s="6"/>
      <c r="C238" s="49"/>
      <c r="D238" s="49"/>
      <c r="E238" s="50"/>
      <c r="F238" s="6"/>
      <c r="G238" s="6"/>
      <c r="H238" s="89"/>
      <c r="I238" s="89"/>
      <c r="J238" s="89"/>
      <c r="K238" s="89"/>
      <c r="L238" s="89"/>
      <c r="M238" s="89"/>
      <c r="N238" s="89"/>
      <c r="O238" s="8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2">
      <c r="A239" s="15"/>
      <c r="B239" s="6"/>
      <c r="C239" s="49"/>
      <c r="D239" s="49"/>
      <c r="E239" s="50"/>
      <c r="F239" s="6"/>
      <c r="G239" s="6"/>
      <c r="H239" s="89"/>
      <c r="I239" s="89"/>
      <c r="J239" s="89"/>
      <c r="K239" s="89"/>
      <c r="L239" s="89"/>
      <c r="M239" s="89"/>
      <c r="N239" s="89"/>
      <c r="O239" s="8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2">
      <c r="A240" s="15"/>
      <c r="B240" s="6"/>
      <c r="C240" s="49"/>
      <c r="D240" s="49"/>
      <c r="E240" s="50"/>
      <c r="F240" s="6"/>
      <c r="G240" s="6"/>
      <c r="H240" s="89"/>
      <c r="I240" s="89"/>
      <c r="J240" s="89"/>
      <c r="K240" s="89"/>
      <c r="L240" s="89"/>
      <c r="M240" s="89"/>
      <c r="N240" s="89"/>
      <c r="O240" s="8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2">
      <c r="A241" s="15"/>
      <c r="B241" s="6"/>
      <c r="C241" s="49"/>
      <c r="D241" s="49"/>
      <c r="E241" s="50"/>
      <c r="F241" s="6"/>
      <c r="G241" s="6"/>
      <c r="H241" s="89"/>
      <c r="I241" s="89"/>
      <c r="J241" s="89"/>
      <c r="K241" s="89"/>
      <c r="L241" s="89"/>
      <c r="M241" s="89"/>
      <c r="N241" s="89"/>
      <c r="O241" s="8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2">
      <c r="A242" s="15"/>
      <c r="B242" s="6"/>
      <c r="C242" s="49"/>
      <c r="D242" s="49"/>
      <c r="E242" s="50"/>
      <c r="F242" s="6"/>
      <c r="G242" s="6"/>
      <c r="H242" s="89"/>
      <c r="I242" s="89"/>
      <c r="J242" s="89"/>
      <c r="K242" s="89"/>
      <c r="L242" s="89"/>
      <c r="M242" s="89"/>
      <c r="N242" s="89"/>
      <c r="O242" s="8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2">
      <c r="A243" s="15"/>
      <c r="B243" s="6"/>
      <c r="C243" s="49"/>
      <c r="D243" s="49"/>
      <c r="E243" s="50"/>
      <c r="F243" s="6"/>
      <c r="G243" s="6"/>
      <c r="H243" s="89"/>
      <c r="I243" s="89"/>
      <c r="J243" s="89"/>
      <c r="K243" s="89"/>
      <c r="L243" s="89"/>
      <c r="M243" s="89"/>
      <c r="N243" s="89"/>
      <c r="O243" s="8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2">
      <c r="A244" s="15"/>
      <c r="B244" s="6"/>
      <c r="C244" s="49"/>
      <c r="D244" s="49"/>
      <c r="E244" s="50"/>
      <c r="F244" s="6"/>
      <c r="G244" s="6"/>
      <c r="H244" s="89"/>
      <c r="I244" s="89"/>
      <c r="J244" s="89"/>
      <c r="K244" s="89"/>
      <c r="L244" s="89"/>
      <c r="M244" s="89"/>
      <c r="N244" s="89"/>
      <c r="O244" s="8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2">
      <c r="A245" s="15"/>
      <c r="B245" s="6"/>
      <c r="C245" s="49"/>
      <c r="D245" s="49"/>
      <c r="E245" s="50"/>
      <c r="F245" s="6"/>
      <c r="G245" s="6"/>
      <c r="H245" s="89"/>
      <c r="I245" s="89"/>
      <c r="J245" s="89"/>
      <c r="K245" s="89"/>
      <c r="L245" s="89"/>
      <c r="M245" s="89"/>
      <c r="N245" s="89"/>
      <c r="O245" s="8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2">
      <c r="A246" s="15"/>
      <c r="B246" s="6"/>
      <c r="C246" s="49"/>
      <c r="D246" s="49"/>
      <c r="E246" s="50"/>
      <c r="F246" s="6"/>
      <c r="G246" s="6"/>
      <c r="H246" s="89"/>
      <c r="I246" s="89"/>
      <c r="J246" s="89"/>
      <c r="K246" s="89"/>
      <c r="L246" s="89"/>
      <c r="M246" s="89"/>
      <c r="N246" s="89"/>
      <c r="O246" s="8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2">
      <c r="A247" s="15"/>
      <c r="B247" s="6"/>
      <c r="C247" s="49"/>
      <c r="D247" s="49"/>
      <c r="E247" s="50"/>
      <c r="F247" s="6"/>
      <c r="G247" s="6"/>
      <c r="H247" s="89"/>
      <c r="I247" s="89"/>
      <c r="J247" s="89"/>
      <c r="K247" s="89"/>
      <c r="L247" s="89"/>
      <c r="M247" s="89"/>
      <c r="N247" s="89"/>
      <c r="O247" s="8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2">
      <c r="A248" s="15"/>
      <c r="B248" s="6"/>
      <c r="C248" s="49"/>
      <c r="D248" s="49"/>
      <c r="E248" s="50"/>
      <c r="F248" s="6"/>
      <c r="G248" s="6"/>
      <c r="H248" s="89"/>
      <c r="I248" s="89"/>
      <c r="J248" s="89"/>
      <c r="K248" s="89"/>
      <c r="L248" s="89"/>
      <c r="M248" s="89"/>
      <c r="N248" s="89"/>
      <c r="O248" s="8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2">
      <c r="A249" s="15"/>
      <c r="B249" s="6"/>
      <c r="C249" s="49"/>
      <c r="D249" s="49"/>
      <c r="E249" s="50"/>
      <c r="F249" s="6"/>
      <c r="G249" s="6"/>
      <c r="H249" s="89"/>
      <c r="I249" s="89"/>
      <c r="J249" s="89"/>
      <c r="K249" s="89"/>
      <c r="L249" s="89"/>
      <c r="M249" s="89"/>
      <c r="N249" s="89"/>
      <c r="O249" s="8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2">
      <c r="A250" s="15"/>
      <c r="B250" s="6"/>
      <c r="C250" s="49"/>
      <c r="D250" s="49"/>
      <c r="E250" s="50"/>
      <c r="F250" s="6"/>
      <c r="G250" s="6"/>
      <c r="H250" s="89"/>
      <c r="I250" s="89"/>
      <c r="J250" s="89"/>
      <c r="K250" s="89"/>
      <c r="L250" s="89"/>
      <c r="M250" s="89"/>
      <c r="N250" s="89"/>
      <c r="O250" s="8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2">
      <c r="A251" s="15"/>
      <c r="B251" s="6"/>
      <c r="C251" s="49"/>
      <c r="D251" s="49"/>
      <c r="E251" s="50"/>
      <c r="F251" s="6"/>
      <c r="G251" s="6"/>
      <c r="H251" s="89"/>
      <c r="I251" s="89"/>
      <c r="J251" s="89"/>
      <c r="K251" s="89"/>
      <c r="L251" s="89"/>
      <c r="M251" s="89"/>
      <c r="N251" s="89"/>
      <c r="O251" s="8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2">
      <c r="A252" s="15"/>
      <c r="B252" s="6"/>
      <c r="C252" s="49"/>
      <c r="D252" s="49"/>
      <c r="E252" s="50"/>
      <c r="F252" s="6"/>
      <c r="G252" s="6"/>
      <c r="H252" s="89"/>
      <c r="I252" s="89"/>
      <c r="J252" s="89"/>
      <c r="K252" s="89"/>
      <c r="L252" s="89"/>
      <c r="M252" s="89"/>
      <c r="N252" s="89"/>
      <c r="O252" s="8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2">
      <c r="A253" s="15"/>
      <c r="B253" s="6"/>
      <c r="C253" s="49"/>
      <c r="D253" s="49"/>
      <c r="E253" s="50"/>
      <c r="F253" s="6"/>
      <c r="G253" s="6"/>
      <c r="H253" s="89"/>
      <c r="I253" s="89"/>
      <c r="J253" s="89"/>
      <c r="K253" s="89"/>
      <c r="L253" s="89"/>
      <c r="M253" s="89"/>
      <c r="N253" s="89"/>
      <c r="O253" s="8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2">
      <c r="A254" s="15"/>
      <c r="B254" s="6"/>
      <c r="C254" s="49"/>
      <c r="D254" s="49"/>
      <c r="E254" s="50"/>
      <c r="F254" s="6"/>
      <c r="G254" s="6"/>
      <c r="H254" s="89"/>
      <c r="I254" s="89"/>
      <c r="J254" s="89"/>
      <c r="K254" s="89"/>
      <c r="L254" s="89"/>
      <c r="M254" s="89"/>
      <c r="N254" s="89"/>
      <c r="O254" s="8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2">
      <c r="A255" s="15"/>
      <c r="B255" s="6"/>
      <c r="C255" s="49"/>
      <c r="D255" s="49"/>
      <c r="E255" s="50"/>
      <c r="F255" s="6"/>
      <c r="G255" s="6"/>
      <c r="H255" s="89"/>
      <c r="I255" s="89"/>
      <c r="J255" s="89"/>
      <c r="K255" s="89"/>
      <c r="L255" s="89"/>
      <c r="M255" s="89"/>
      <c r="N255" s="89"/>
      <c r="O255" s="8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2">
      <c r="A256" s="15"/>
      <c r="B256" s="6"/>
      <c r="C256" s="49"/>
      <c r="D256" s="49"/>
      <c r="E256" s="50"/>
      <c r="F256" s="6"/>
      <c r="G256" s="6"/>
      <c r="H256" s="89"/>
      <c r="I256" s="89"/>
      <c r="J256" s="89"/>
      <c r="K256" s="89"/>
      <c r="L256" s="89"/>
      <c r="M256" s="89"/>
      <c r="N256" s="89"/>
      <c r="O256" s="8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2">
      <c r="A257" s="15"/>
      <c r="B257" s="6"/>
      <c r="C257" s="49"/>
      <c r="D257" s="49"/>
      <c r="E257" s="50"/>
      <c r="F257" s="6"/>
      <c r="G257" s="6"/>
      <c r="H257" s="89"/>
      <c r="I257" s="89"/>
      <c r="J257" s="89"/>
      <c r="K257" s="89"/>
      <c r="L257" s="89"/>
      <c r="M257" s="89"/>
      <c r="N257" s="89"/>
      <c r="O257" s="8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2">
      <c r="A258" s="15"/>
      <c r="B258" s="6"/>
      <c r="C258" s="49"/>
      <c r="D258" s="49"/>
      <c r="E258" s="50"/>
      <c r="F258" s="6"/>
      <c r="G258" s="6"/>
      <c r="H258" s="89"/>
      <c r="I258" s="89"/>
      <c r="J258" s="89"/>
      <c r="K258" s="89"/>
      <c r="L258" s="89"/>
      <c r="M258" s="89"/>
      <c r="N258" s="89"/>
      <c r="O258" s="8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2">
      <c r="A259" s="15"/>
      <c r="B259" s="6"/>
      <c r="C259" s="49"/>
      <c r="D259" s="49"/>
      <c r="E259" s="50"/>
      <c r="F259" s="6"/>
      <c r="G259" s="6"/>
      <c r="H259" s="89"/>
      <c r="I259" s="89"/>
      <c r="J259" s="89"/>
      <c r="K259" s="89"/>
      <c r="L259" s="89"/>
      <c r="M259" s="89"/>
      <c r="N259" s="89"/>
      <c r="O259" s="8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2">
      <c r="A260" s="15"/>
      <c r="B260" s="6"/>
      <c r="C260" s="49"/>
      <c r="D260" s="49"/>
      <c r="E260" s="50"/>
      <c r="F260" s="6"/>
      <c r="G260" s="6"/>
      <c r="H260" s="89"/>
      <c r="I260" s="89"/>
      <c r="J260" s="89"/>
      <c r="K260" s="89"/>
      <c r="L260" s="89"/>
      <c r="M260" s="89"/>
      <c r="N260" s="89"/>
      <c r="O260" s="8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2">
      <c r="A261" s="15"/>
      <c r="B261" s="6"/>
      <c r="C261" s="49"/>
      <c r="D261" s="49"/>
      <c r="E261" s="50"/>
      <c r="F261" s="6"/>
      <c r="G261" s="6"/>
      <c r="H261" s="89"/>
      <c r="I261" s="89"/>
      <c r="J261" s="89"/>
      <c r="K261" s="89"/>
      <c r="L261" s="89"/>
      <c r="M261" s="89"/>
      <c r="N261" s="89"/>
      <c r="O261" s="8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2">
      <c r="A262" s="15"/>
      <c r="B262" s="6"/>
      <c r="C262" s="49"/>
      <c r="D262" s="49"/>
      <c r="E262" s="50"/>
      <c r="F262" s="6"/>
      <c r="G262" s="6"/>
      <c r="H262" s="89"/>
      <c r="I262" s="89"/>
      <c r="J262" s="89"/>
      <c r="K262" s="89"/>
      <c r="L262" s="89"/>
      <c r="M262" s="89"/>
      <c r="N262" s="89"/>
      <c r="O262" s="8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2">
      <c r="A263" s="15"/>
      <c r="B263" s="6"/>
      <c r="C263" s="49"/>
      <c r="D263" s="49"/>
      <c r="E263" s="50"/>
      <c r="F263" s="6"/>
      <c r="G263" s="6"/>
      <c r="H263" s="89"/>
      <c r="I263" s="89"/>
      <c r="J263" s="89"/>
      <c r="K263" s="89"/>
      <c r="L263" s="89"/>
      <c r="M263" s="89"/>
      <c r="N263" s="89"/>
      <c r="O263" s="8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2">
      <c r="A264" s="15"/>
      <c r="B264" s="6"/>
      <c r="C264" s="49"/>
      <c r="D264" s="49"/>
      <c r="E264" s="50"/>
      <c r="F264" s="6"/>
      <c r="G264" s="6"/>
      <c r="H264" s="89"/>
      <c r="I264" s="89"/>
      <c r="J264" s="89"/>
      <c r="K264" s="89"/>
      <c r="L264" s="89"/>
      <c r="M264" s="89"/>
      <c r="N264" s="89"/>
      <c r="O264" s="8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2">
      <c r="A265" s="15"/>
      <c r="B265" s="6"/>
      <c r="C265" s="49"/>
      <c r="D265" s="49"/>
      <c r="E265" s="50"/>
      <c r="F265" s="6"/>
      <c r="G265" s="6"/>
      <c r="H265" s="89"/>
      <c r="I265" s="89"/>
      <c r="J265" s="89"/>
      <c r="K265" s="89"/>
      <c r="L265" s="89"/>
      <c r="M265" s="89"/>
      <c r="N265" s="89"/>
      <c r="O265" s="8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2">
      <c r="A266" s="15"/>
      <c r="B266" s="6"/>
      <c r="C266" s="49"/>
      <c r="D266" s="49"/>
      <c r="E266" s="50"/>
      <c r="F266" s="6"/>
      <c r="G266" s="6"/>
      <c r="H266" s="89"/>
      <c r="I266" s="89"/>
      <c r="J266" s="89"/>
      <c r="K266" s="89"/>
      <c r="L266" s="89"/>
      <c r="M266" s="89"/>
      <c r="N266" s="89"/>
      <c r="O266" s="8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2">
      <c r="A267" s="15"/>
      <c r="B267" s="6"/>
      <c r="C267" s="49"/>
      <c r="D267" s="49"/>
      <c r="E267" s="5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2">
      <c r="A268" s="15"/>
      <c r="B268" s="6"/>
      <c r="C268" s="49"/>
      <c r="D268" s="49"/>
      <c r="E268" s="5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2">
      <c r="A269" s="15"/>
      <c r="B269" s="6"/>
      <c r="C269" s="49"/>
      <c r="D269" s="49"/>
      <c r="E269" s="5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2">
      <c r="A270" s="15"/>
      <c r="B270" s="6"/>
      <c r="C270" s="49"/>
      <c r="D270" s="49"/>
      <c r="E270" s="5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2">
      <c r="A271" s="15"/>
      <c r="B271" s="6"/>
      <c r="C271" s="49"/>
      <c r="D271" s="49"/>
      <c r="E271" s="5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2">
      <c r="A272" s="15"/>
      <c r="B272" s="6"/>
      <c r="C272" s="49"/>
      <c r="D272" s="49"/>
      <c r="E272" s="5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2">
      <c r="A273" s="15"/>
      <c r="B273" s="6"/>
      <c r="C273" s="49"/>
      <c r="D273" s="49"/>
      <c r="E273" s="5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2">
      <c r="A274" s="15"/>
      <c r="B274" s="6"/>
      <c r="C274" s="49"/>
      <c r="D274" s="49"/>
      <c r="E274" s="5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2">
      <c r="A275" s="15"/>
      <c r="B275" s="6"/>
      <c r="C275" s="49"/>
      <c r="D275" s="49"/>
      <c r="E275" s="5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2">
      <c r="A276" s="15"/>
      <c r="B276" s="6"/>
      <c r="C276" s="49"/>
      <c r="D276" s="49"/>
      <c r="E276" s="5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2">
      <c r="A277" s="15"/>
      <c r="B277" s="6"/>
      <c r="C277" s="49"/>
      <c r="D277" s="49"/>
      <c r="E277" s="5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2">
      <c r="A278" s="15"/>
      <c r="B278" s="6"/>
      <c r="C278" s="49"/>
      <c r="D278" s="49"/>
      <c r="E278" s="5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2">
      <c r="A279" s="15"/>
      <c r="B279" s="6"/>
      <c r="C279" s="49"/>
      <c r="D279" s="49"/>
      <c r="E279" s="5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2">
      <c r="A280" s="15"/>
      <c r="B280" s="6"/>
      <c r="C280" s="49"/>
      <c r="D280" s="49"/>
      <c r="E280" s="5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2">
      <c r="A281" s="15"/>
      <c r="B281" s="6"/>
      <c r="C281" s="49"/>
      <c r="D281" s="49"/>
      <c r="E281" s="5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2">
      <c r="A282" s="15"/>
      <c r="B282" s="6"/>
      <c r="C282" s="49"/>
      <c r="D282" s="49"/>
      <c r="E282" s="5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2">
      <c r="A283" s="15"/>
      <c r="B283" s="6"/>
      <c r="C283" s="49"/>
      <c r="D283" s="49"/>
      <c r="E283" s="5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2">
      <c r="A284" s="15"/>
      <c r="B284" s="6"/>
      <c r="C284" s="49"/>
      <c r="D284" s="49"/>
      <c r="E284" s="5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2">
      <c r="A285" s="15"/>
      <c r="B285" s="6"/>
      <c r="C285" s="49"/>
      <c r="D285" s="49"/>
      <c r="E285" s="5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2">
      <c r="A286" s="15"/>
      <c r="B286" s="6"/>
      <c r="C286" s="49"/>
      <c r="D286" s="49"/>
      <c r="E286" s="5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2">
      <c r="A287" s="15"/>
      <c r="B287" s="6"/>
      <c r="C287" s="49"/>
      <c r="D287" s="49"/>
      <c r="E287" s="5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2">
      <c r="A288" s="15"/>
      <c r="B288" s="6"/>
      <c r="C288" s="49"/>
      <c r="D288" s="49"/>
      <c r="E288" s="5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2">
      <c r="A289" s="15"/>
      <c r="B289" s="6"/>
      <c r="C289" s="49"/>
      <c r="D289" s="49"/>
      <c r="E289" s="5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2">
      <c r="A290" s="15"/>
      <c r="B290" s="6"/>
      <c r="C290" s="49"/>
      <c r="D290" s="49"/>
      <c r="E290" s="5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2">
      <c r="A291" s="15"/>
      <c r="B291" s="6"/>
      <c r="C291" s="49"/>
      <c r="D291" s="49"/>
      <c r="E291" s="5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2">
      <c r="A292" s="15"/>
      <c r="B292" s="6"/>
      <c r="C292" s="49"/>
      <c r="D292" s="49"/>
      <c r="E292" s="5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2">
      <c r="A293" s="15"/>
      <c r="B293" s="6"/>
      <c r="C293" s="49"/>
      <c r="D293" s="49"/>
      <c r="E293" s="5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2">
      <c r="A294" s="15"/>
      <c r="B294" s="6"/>
      <c r="C294" s="49"/>
      <c r="D294" s="49"/>
      <c r="E294" s="5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2">
      <c r="A295" s="15"/>
      <c r="B295" s="6"/>
      <c r="C295" s="49"/>
      <c r="D295" s="49"/>
      <c r="E295" s="5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2">
      <c r="A296" s="15"/>
      <c r="B296" s="6"/>
      <c r="C296" s="49"/>
      <c r="D296" s="49"/>
      <c r="E296" s="5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2">
      <c r="A297" s="15"/>
      <c r="B297" s="6"/>
      <c r="C297" s="49"/>
      <c r="D297" s="49"/>
      <c r="E297" s="5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2">
      <c r="A298" s="15"/>
      <c r="B298" s="6"/>
      <c r="C298" s="49"/>
      <c r="D298" s="49"/>
      <c r="E298" s="5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2">
      <c r="A299" s="15"/>
      <c r="B299" s="6"/>
      <c r="C299" s="49"/>
      <c r="D299" s="49"/>
      <c r="E299" s="5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2">
      <c r="A300" s="15"/>
      <c r="B300" s="6"/>
      <c r="C300" s="49"/>
      <c r="D300" s="49"/>
      <c r="E300" s="5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2">
      <c r="A301" s="15"/>
      <c r="B301" s="6"/>
      <c r="C301" s="49"/>
      <c r="D301" s="49"/>
      <c r="E301" s="5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2">
      <c r="A302" s="15"/>
      <c r="B302" s="6"/>
      <c r="C302" s="49"/>
      <c r="D302" s="49"/>
      <c r="E302" s="5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2">
      <c r="A303" s="15"/>
      <c r="B303" s="6"/>
      <c r="C303" s="49"/>
      <c r="D303" s="49"/>
      <c r="E303" s="5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2">
      <c r="A304" s="15"/>
      <c r="B304" s="6"/>
      <c r="C304" s="49"/>
      <c r="D304" s="49"/>
      <c r="E304" s="5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2">
      <c r="A305" s="15"/>
      <c r="B305" s="6"/>
      <c r="C305" s="49"/>
      <c r="D305" s="49"/>
      <c r="E305" s="5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2">
      <c r="A306" s="15"/>
      <c r="B306" s="6"/>
      <c r="C306" s="49"/>
      <c r="D306" s="49"/>
      <c r="E306" s="5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2">
      <c r="A307" s="15"/>
      <c r="B307" s="6"/>
      <c r="C307" s="49"/>
      <c r="D307" s="49"/>
      <c r="E307" s="5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2">
      <c r="A308" s="15"/>
      <c r="B308" s="6"/>
      <c r="C308" s="49"/>
      <c r="D308" s="49"/>
      <c r="E308" s="5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2">
      <c r="A309" s="15"/>
      <c r="B309" s="6"/>
      <c r="C309" s="49"/>
      <c r="D309" s="49"/>
      <c r="E309" s="5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2">
      <c r="A310" s="15"/>
      <c r="B310" s="6"/>
      <c r="C310" s="49"/>
      <c r="D310" s="49"/>
      <c r="E310" s="5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2">
      <c r="A311" s="15"/>
      <c r="B311" s="6"/>
      <c r="C311" s="49"/>
      <c r="D311" s="49"/>
      <c r="E311" s="5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2">
      <c r="A312" s="15"/>
      <c r="B312" s="6"/>
      <c r="C312" s="49"/>
      <c r="D312" s="49"/>
      <c r="E312" s="5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2">
      <c r="A313" s="15"/>
      <c r="B313" s="6"/>
      <c r="C313" s="49"/>
      <c r="D313" s="49"/>
      <c r="E313" s="5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2">
      <c r="A314" s="15"/>
      <c r="B314" s="6"/>
      <c r="C314" s="49"/>
      <c r="D314" s="49"/>
      <c r="E314" s="5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2">
      <c r="A315" s="15"/>
      <c r="B315" s="6"/>
      <c r="C315" s="49"/>
      <c r="D315" s="49"/>
      <c r="E315" s="5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2">
      <c r="A316" s="15"/>
      <c r="B316" s="6"/>
      <c r="C316" s="49"/>
      <c r="D316" s="49"/>
      <c r="E316" s="5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2">
      <c r="A317" s="15"/>
      <c r="B317" s="6"/>
      <c r="C317" s="49"/>
      <c r="D317" s="49"/>
      <c r="E317" s="5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2">
      <c r="A318" s="15"/>
      <c r="B318" s="6"/>
      <c r="C318" s="49"/>
      <c r="D318" s="49"/>
      <c r="E318" s="5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2">
      <c r="A319" s="15"/>
      <c r="B319" s="6"/>
      <c r="C319" s="49"/>
      <c r="D319" s="49"/>
      <c r="E319" s="5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2">
      <c r="A320" s="15"/>
      <c r="B320" s="6"/>
      <c r="C320" s="49"/>
      <c r="D320" s="49"/>
      <c r="E320" s="5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2">
      <c r="A321" s="15"/>
      <c r="B321" s="6"/>
      <c r="C321" s="49"/>
      <c r="D321" s="49"/>
      <c r="E321" s="5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2">
      <c r="A322" s="15"/>
      <c r="B322" s="6"/>
      <c r="C322" s="49"/>
      <c r="D322" s="49"/>
      <c r="E322" s="5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2">
      <c r="A323" s="15"/>
      <c r="B323" s="6"/>
      <c r="C323" s="49"/>
      <c r="D323" s="49"/>
      <c r="E323" s="5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2">
      <c r="A324" s="15"/>
      <c r="B324" s="6"/>
      <c r="C324" s="49"/>
      <c r="D324" s="49"/>
      <c r="E324" s="5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2">
      <c r="A325" s="15"/>
      <c r="B325" s="6"/>
      <c r="C325" s="49"/>
      <c r="D325" s="49"/>
      <c r="E325" s="5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2">
      <c r="A326" s="15"/>
      <c r="B326" s="6"/>
      <c r="C326" s="49"/>
      <c r="D326" s="49"/>
      <c r="E326" s="5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2">
      <c r="A327" s="15"/>
      <c r="B327" s="6"/>
      <c r="C327" s="49"/>
      <c r="D327" s="49"/>
      <c r="E327" s="5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2">
      <c r="A328" s="15"/>
      <c r="B328" s="6"/>
      <c r="C328" s="49"/>
      <c r="D328" s="49"/>
      <c r="E328" s="5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2">
      <c r="A329" s="15"/>
      <c r="B329" s="6"/>
      <c r="C329" s="49"/>
      <c r="D329" s="49"/>
      <c r="E329" s="5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2">
      <c r="A330" s="15"/>
      <c r="B330" s="6"/>
      <c r="C330" s="49"/>
      <c r="D330" s="49"/>
      <c r="E330" s="5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2">
      <c r="A331" s="15"/>
      <c r="B331" s="6"/>
      <c r="C331" s="49"/>
      <c r="D331" s="49"/>
      <c r="E331" s="5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2">
      <c r="A332" s="15"/>
      <c r="B332" s="6"/>
      <c r="C332" s="49"/>
      <c r="D332" s="49"/>
      <c r="E332" s="5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2">
      <c r="A333" s="15"/>
      <c r="B333" s="6"/>
      <c r="C333" s="49"/>
      <c r="D333" s="49"/>
      <c r="E333" s="5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2">
      <c r="A334" s="15"/>
      <c r="B334" s="6"/>
      <c r="C334" s="49"/>
      <c r="D334" s="49"/>
      <c r="E334" s="5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2">
      <c r="A335" s="15"/>
      <c r="B335" s="6"/>
      <c r="C335" s="49"/>
      <c r="D335" s="49"/>
      <c r="E335" s="5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2">
      <c r="A336" s="15"/>
      <c r="B336" s="6"/>
      <c r="C336" s="49"/>
      <c r="D336" s="49"/>
      <c r="E336" s="5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2">
      <c r="A337" s="15"/>
      <c r="B337" s="6"/>
      <c r="C337" s="49"/>
      <c r="D337" s="49"/>
      <c r="E337" s="5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2">
      <c r="A338" s="15"/>
      <c r="B338" s="6"/>
      <c r="C338" s="49"/>
      <c r="D338" s="49"/>
      <c r="E338" s="5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2">
      <c r="A339" s="15"/>
      <c r="B339" s="6"/>
      <c r="C339" s="49"/>
      <c r="D339" s="49"/>
      <c r="E339" s="5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2">
      <c r="A340" s="15"/>
      <c r="B340" s="6"/>
      <c r="C340" s="49"/>
      <c r="D340" s="49"/>
      <c r="E340" s="5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2">
      <c r="A341" s="15"/>
      <c r="B341" s="6"/>
      <c r="C341" s="49"/>
      <c r="D341" s="49"/>
      <c r="E341" s="5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2">
      <c r="A342" s="15"/>
      <c r="B342" s="6"/>
      <c r="C342" s="49"/>
      <c r="D342" s="49"/>
      <c r="E342" s="5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2">
      <c r="A343" s="15"/>
      <c r="B343" s="6"/>
      <c r="C343" s="49"/>
      <c r="D343" s="49"/>
      <c r="E343" s="5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2">
      <c r="A344" s="15"/>
      <c r="B344" s="6"/>
      <c r="C344" s="49"/>
      <c r="D344" s="49"/>
      <c r="E344" s="5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2">
      <c r="A345" s="15"/>
      <c r="B345" s="6"/>
      <c r="C345" s="49"/>
      <c r="D345" s="49"/>
      <c r="E345" s="5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2">
      <c r="A346" s="15"/>
      <c r="B346" s="6"/>
      <c r="C346" s="49"/>
      <c r="D346" s="49"/>
      <c r="E346" s="5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2">
      <c r="A347" s="15"/>
      <c r="B347" s="6"/>
      <c r="C347" s="49"/>
      <c r="D347" s="49"/>
      <c r="E347" s="5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2">
      <c r="E348" s="51"/>
    </row>
    <row r="349" spans="1:27" ht="15.75" customHeight="1" x14ac:dyDescent="0.2">
      <c r="E349" s="51"/>
    </row>
    <row r="350" spans="1:27" ht="15.75" customHeight="1" x14ac:dyDescent="0.2">
      <c r="E350" s="51"/>
    </row>
    <row r="351" spans="1:27" ht="15.75" customHeight="1" x14ac:dyDescent="0.2">
      <c r="E351" s="51"/>
    </row>
    <row r="352" spans="1:27" ht="15.75" customHeight="1" x14ac:dyDescent="0.2">
      <c r="E352" s="51"/>
    </row>
    <row r="353" spans="5:5" ht="15.75" customHeight="1" x14ac:dyDescent="0.2">
      <c r="E353" s="51"/>
    </row>
    <row r="354" spans="5:5" ht="15.75" customHeight="1" x14ac:dyDescent="0.2">
      <c r="E354" s="51"/>
    </row>
    <row r="355" spans="5:5" ht="15.75" customHeight="1" x14ac:dyDescent="0.2">
      <c r="E355" s="51"/>
    </row>
    <row r="356" spans="5:5" ht="15.75" customHeight="1" x14ac:dyDescent="0.2">
      <c r="E356" s="51"/>
    </row>
    <row r="357" spans="5:5" ht="15.75" customHeight="1" x14ac:dyDescent="0.2">
      <c r="E357" s="51"/>
    </row>
    <row r="358" spans="5:5" ht="15.75" customHeight="1" x14ac:dyDescent="0.2">
      <c r="E358" s="51"/>
    </row>
    <row r="359" spans="5:5" ht="15.75" customHeight="1" x14ac:dyDescent="0.2">
      <c r="E359" s="51"/>
    </row>
    <row r="360" spans="5:5" ht="15.75" customHeight="1" x14ac:dyDescent="0.2">
      <c r="E360" s="51"/>
    </row>
    <row r="361" spans="5:5" ht="15.75" customHeight="1" x14ac:dyDescent="0.2">
      <c r="E361" s="51"/>
    </row>
    <row r="362" spans="5:5" ht="15.75" customHeight="1" x14ac:dyDescent="0.2">
      <c r="E362" s="51"/>
    </row>
    <row r="363" spans="5:5" ht="15.75" customHeight="1" x14ac:dyDescent="0.2">
      <c r="E363" s="51"/>
    </row>
    <row r="364" spans="5:5" ht="15.75" customHeight="1" x14ac:dyDescent="0.2">
      <c r="E364" s="51"/>
    </row>
    <row r="365" spans="5:5" ht="15.75" customHeight="1" x14ac:dyDescent="0.2">
      <c r="E365" s="51"/>
    </row>
    <row r="366" spans="5:5" ht="15.75" customHeight="1" x14ac:dyDescent="0.2">
      <c r="E366" s="51"/>
    </row>
    <row r="367" spans="5:5" ht="15.75" customHeight="1" x14ac:dyDescent="0.2">
      <c r="E367" s="51"/>
    </row>
    <row r="368" spans="5:5" ht="15.75" customHeight="1" x14ac:dyDescent="0.2">
      <c r="E368" s="51"/>
    </row>
    <row r="369" spans="5:5" ht="15.75" customHeight="1" x14ac:dyDescent="0.2">
      <c r="E369" s="51"/>
    </row>
    <row r="370" spans="5:5" ht="15.75" customHeight="1" x14ac:dyDescent="0.2">
      <c r="E370" s="51"/>
    </row>
    <row r="371" spans="5:5" ht="15.75" customHeight="1" x14ac:dyDescent="0.2">
      <c r="E371" s="51"/>
    </row>
    <row r="372" spans="5:5" ht="15.75" customHeight="1" x14ac:dyDescent="0.2">
      <c r="E372" s="51"/>
    </row>
    <row r="373" spans="5:5" ht="15.75" customHeight="1" x14ac:dyDescent="0.2">
      <c r="E373" s="51"/>
    </row>
    <row r="374" spans="5:5" ht="15.75" customHeight="1" x14ac:dyDescent="0.2">
      <c r="E374" s="51"/>
    </row>
    <row r="375" spans="5:5" ht="15.75" customHeight="1" x14ac:dyDescent="0.2">
      <c r="E375" s="51"/>
    </row>
    <row r="376" spans="5:5" ht="15.75" customHeight="1" x14ac:dyDescent="0.2">
      <c r="E376" s="51"/>
    </row>
    <row r="377" spans="5:5" ht="15.75" customHeight="1" x14ac:dyDescent="0.2">
      <c r="E377" s="51"/>
    </row>
    <row r="378" spans="5:5" ht="15.75" customHeight="1" x14ac:dyDescent="0.2">
      <c r="E378" s="51"/>
    </row>
    <row r="379" spans="5:5" ht="15.75" customHeight="1" x14ac:dyDescent="0.2">
      <c r="E379" s="51"/>
    </row>
    <row r="380" spans="5:5" ht="15.75" customHeight="1" x14ac:dyDescent="0.2">
      <c r="E380" s="51"/>
    </row>
    <row r="381" spans="5:5" ht="15.75" customHeight="1" x14ac:dyDescent="0.2">
      <c r="E381" s="51"/>
    </row>
    <row r="382" spans="5:5" ht="15.75" customHeight="1" x14ac:dyDescent="0.2">
      <c r="E382" s="51"/>
    </row>
    <row r="383" spans="5:5" ht="15.75" customHeight="1" x14ac:dyDescent="0.2">
      <c r="E383" s="51"/>
    </row>
    <row r="384" spans="5:5" ht="15.75" customHeight="1" x14ac:dyDescent="0.2">
      <c r="E384" s="51"/>
    </row>
    <row r="385" spans="5:5" ht="15.75" customHeight="1" x14ac:dyDescent="0.2">
      <c r="E385" s="51"/>
    </row>
    <row r="386" spans="5:5" ht="15.75" customHeight="1" x14ac:dyDescent="0.2">
      <c r="E386" s="51"/>
    </row>
    <row r="387" spans="5:5" ht="15.75" customHeight="1" x14ac:dyDescent="0.2">
      <c r="E387" s="51"/>
    </row>
    <row r="388" spans="5:5" ht="15.75" customHeight="1" x14ac:dyDescent="0.2">
      <c r="E388" s="51"/>
    </row>
    <row r="389" spans="5:5" ht="15.75" customHeight="1" x14ac:dyDescent="0.2">
      <c r="E389" s="51"/>
    </row>
    <row r="390" spans="5:5" ht="15.75" customHeight="1" x14ac:dyDescent="0.2">
      <c r="E390" s="51"/>
    </row>
    <row r="391" spans="5:5" ht="15.75" customHeight="1" x14ac:dyDescent="0.2">
      <c r="E391" s="51"/>
    </row>
    <row r="392" spans="5:5" ht="15.75" customHeight="1" x14ac:dyDescent="0.2">
      <c r="E392" s="51"/>
    </row>
    <row r="393" spans="5:5" ht="15.75" customHeight="1" x14ac:dyDescent="0.2">
      <c r="E393" s="51"/>
    </row>
    <row r="394" spans="5:5" ht="15.75" customHeight="1" x14ac:dyDescent="0.2">
      <c r="E394" s="51"/>
    </row>
    <row r="395" spans="5:5" ht="15.75" customHeight="1" x14ac:dyDescent="0.2">
      <c r="E395" s="51"/>
    </row>
    <row r="396" spans="5:5" ht="15.75" customHeight="1" x14ac:dyDescent="0.2">
      <c r="E396" s="51"/>
    </row>
    <row r="397" spans="5:5" ht="15.75" customHeight="1" x14ac:dyDescent="0.2">
      <c r="E397" s="51"/>
    </row>
    <row r="398" spans="5:5" ht="15.75" customHeight="1" x14ac:dyDescent="0.2">
      <c r="E398" s="51"/>
    </row>
    <row r="399" spans="5:5" ht="15.75" customHeight="1" x14ac:dyDescent="0.2">
      <c r="E399" s="51"/>
    </row>
    <row r="400" spans="5:5" ht="15.75" customHeight="1" x14ac:dyDescent="0.2">
      <c r="E400" s="51"/>
    </row>
    <row r="401" spans="5:5" ht="15.75" customHeight="1" x14ac:dyDescent="0.2">
      <c r="E401" s="51"/>
    </row>
    <row r="402" spans="5:5" ht="15.75" customHeight="1" x14ac:dyDescent="0.2">
      <c r="E402" s="51"/>
    </row>
    <row r="403" spans="5:5" ht="15.75" customHeight="1" x14ac:dyDescent="0.2">
      <c r="E403" s="51"/>
    </row>
    <row r="404" spans="5:5" ht="15.75" customHeight="1" x14ac:dyDescent="0.2">
      <c r="E404" s="51"/>
    </row>
    <row r="405" spans="5:5" ht="15.75" customHeight="1" x14ac:dyDescent="0.2">
      <c r="E405" s="51"/>
    </row>
    <row r="406" spans="5:5" ht="15.75" customHeight="1" x14ac:dyDescent="0.2">
      <c r="E406" s="51"/>
    </row>
    <row r="407" spans="5:5" ht="15.75" customHeight="1" x14ac:dyDescent="0.2">
      <c r="E407" s="51"/>
    </row>
    <row r="408" spans="5:5" ht="15.75" customHeight="1" x14ac:dyDescent="0.2">
      <c r="E408" s="51"/>
    </row>
    <row r="409" spans="5:5" ht="15.75" customHeight="1" x14ac:dyDescent="0.2">
      <c r="E409" s="51"/>
    </row>
    <row r="410" spans="5:5" ht="15.75" customHeight="1" x14ac:dyDescent="0.2">
      <c r="E410" s="51"/>
    </row>
    <row r="411" spans="5:5" ht="15.75" customHeight="1" x14ac:dyDescent="0.2">
      <c r="E411" s="51"/>
    </row>
    <row r="412" spans="5:5" ht="15.75" customHeight="1" x14ac:dyDescent="0.2">
      <c r="E412" s="51"/>
    </row>
    <row r="413" spans="5:5" ht="15.75" customHeight="1" x14ac:dyDescent="0.2">
      <c r="E413" s="51"/>
    </row>
    <row r="414" spans="5:5" ht="15.75" customHeight="1" x14ac:dyDescent="0.2">
      <c r="E414" s="51"/>
    </row>
    <row r="415" spans="5:5" ht="15.75" customHeight="1" x14ac:dyDescent="0.2">
      <c r="E415" s="51"/>
    </row>
    <row r="416" spans="5:5" ht="15.75" customHeight="1" x14ac:dyDescent="0.2">
      <c r="E416" s="51"/>
    </row>
    <row r="417" spans="5:5" ht="15.75" customHeight="1" x14ac:dyDescent="0.2">
      <c r="E417" s="51"/>
    </row>
    <row r="418" spans="5:5" ht="15.75" customHeight="1" x14ac:dyDescent="0.2">
      <c r="E418" s="51"/>
    </row>
    <row r="419" spans="5:5" ht="15.75" customHeight="1" x14ac:dyDescent="0.2">
      <c r="E419" s="51"/>
    </row>
    <row r="420" spans="5:5" ht="15.75" customHeight="1" x14ac:dyDescent="0.2">
      <c r="E420" s="51"/>
    </row>
    <row r="421" spans="5:5" ht="15.75" customHeight="1" x14ac:dyDescent="0.2">
      <c r="E421" s="51"/>
    </row>
    <row r="422" spans="5:5" ht="15.75" customHeight="1" x14ac:dyDescent="0.2">
      <c r="E422" s="51"/>
    </row>
    <row r="423" spans="5:5" ht="15.75" customHeight="1" x14ac:dyDescent="0.2">
      <c r="E423" s="51"/>
    </row>
    <row r="424" spans="5:5" ht="15.75" customHeight="1" x14ac:dyDescent="0.2">
      <c r="E424" s="51"/>
    </row>
    <row r="425" spans="5:5" ht="15.75" customHeight="1" x14ac:dyDescent="0.2">
      <c r="E425" s="51"/>
    </row>
    <row r="426" spans="5:5" ht="15.75" customHeight="1" x14ac:dyDescent="0.2">
      <c r="E426" s="51"/>
    </row>
    <row r="427" spans="5:5" ht="15.75" customHeight="1" x14ac:dyDescent="0.2">
      <c r="E427" s="51"/>
    </row>
    <row r="428" spans="5:5" ht="15.75" customHeight="1" x14ac:dyDescent="0.2">
      <c r="E428" s="51"/>
    </row>
    <row r="429" spans="5:5" ht="15.75" customHeight="1" x14ac:dyDescent="0.2">
      <c r="E429" s="51"/>
    </row>
    <row r="430" spans="5:5" ht="15.75" customHeight="1" x14ac:dyDescent="0.2">
      <c r="E430" s="51"/>
    </row>
    <row r="431" spans="5:5" ht="15.75" customHeight="1" x14ac:dyDescent="0.2">
      <c r="E431" s="51"/>
    </row>
    <row r="432" spans="5:5" ht="15.75" customHeight="1" x14ac:dyDescent="0.2">
      <c r="E432" s="51"/>
    </row>
    <row r="433" spans="5:5" ht="15.75" customHeight="1" x14ac:dyDescent="0.2">
      <c r="E433" s="51"/>
    </row>
    <row r="434" spans="5:5" ht="15.75" customHeight="1" x14ac:dyDescent="0.2">
      <c r="E434" s="51"/>
    </row>
    <row r="435" spans="5:5" ht="15.75" customHeight="1" x14ac:dyDescent="0.2">
      <c r="E435" s="51"/>
    </row>
    <row r="436" spans="5:5" ht="15.75" customHeight="1" x14ac:dyDescent="0.2">
      <c r="E436" s="51"/>
    </row>
    <row r="437" spans="5:5" ht="15.75" customHeight="1" x14ac:dyDescent="0.2">
      <c r="E437" s="51"/>
    </row>
    <row r="438" spans="5:5" ht="15.75" customHeight="1" x14ac:dyDescent="0.2">
      <c r="E438" s="51"/>
    </row>
    <row r="439" spans="5:5" ht="15.75" customHeight="1" x14ac:dyDescent="0.2">
      <c r="E439" s="51"/>
    </row>
    <row r="440" spans="5:5" ht="15.75" customHeight="1" x14ac:dyDescent="0.2">
      <c r="E440" s="51"/>
    </row>
    <row r="441" spans="5:5" ht="15.75" customHeight="1" x14ac:dyDescent="0.2">
      <c r="E441" s="51"/>
    </row>
    <row r="442" spans="5:5" ht="15.75" customHeight="1" x14ac:dyDescent="0.2">
      <c r="E442" s="51"/>
    </row>
    <row r="443" spans="5:5" ht="15.75" customHeight="1" x14ac:dyDescent="0.2">
      <c r="E443" s="51"/>
    </row>
    <row r="444" spans="5:5" ht="15.75" customHeight="1" x14ac:dyDescent="0.2">
      <c r="E444" s="51"/>
    </row>
    <row r="445" spans="5:5" ht="15.75" customHeight="1" x14ac:dyDescent="0.2">
      <c r="E445" s="51"/>
    </row>
    <row r="446" spans="5:5" ht="15.75" customHeight="1" x14ac:dyDescent="0.2">
      <c r="E446" s="51"/>
    </row>
    <row r="447" spans="5:5" ht="15.75" customHeight="1" x14ac:dyDescent="0.2">
      <c r="E447" s="51"/>
    </row>
    <row r="448" spans="5:5" ht="15.75" customHeight="1" x14ac:dyDescent="0.2">
      <c r="E448" s="51"/>
    </row>
    <row r="449" spans="5:5" ht="15.75" customHeight="1" x14ac:dyDescent="0.2">
      <c r="E449" s="51"/>
    </row>
    <row r="450" spans="5:5" ht="15.75" customHeight="1" x14ac:dyDescent="0.2">
      <c r="E450" s="51"/>
    </row>
    <row r="451" spans="5:5" ht="15.75" customHeight="1" x14ac:dyDescent="0.2">
      <c r="E451" s="51"/>
    </row>
    <row r="452" spans="5:5" ht="15.75" customHeight="1" x14ac:dyDescent="0.2">
      <c r="E452" s="51"/>
    </row>
    <row r="453" spans="5:5" ht="15.75" customHeight="1" x14ac:dyDescent="0.2">
      <c r="E453" s="51"/>
    </row>
    <row r="454" spans="5:5" ht="15.75" customHeight="1" x14ac:dyDescent="0.2">
      <c r="E454" s="51"/>
    </row>
    <row r="455" spans="5:5" ht="15.75" customHeight="1" x14ac:dyDescent="0.2">
      <c r="E455" s="51"/>
    </row>
    <row r="456" spans="5:5" ht="15.75" customHeight="1" x14ac:dyDescent="0.2">
      <c r="E456" s="51"/>
    </row>
    <row r="457" spans="5:5" ht="15.75" customHeight="1" x14ac:dyDescent="0.2">
      <c r="E457" s="51"/>
    </row>
    <row r="458" spans="5:5" ht="15.75" customHeight="1" x14ac:dyDescent="0.2">
      <c r="E458" s="51"/>
    </row>
    <row r="459" spans="5:5" ht="15.75" customHeight="1" x14ac:dyDescent="0.2">
      <c r="E459" s="51"/>
    </row>
    <row r="460" spans="5:5" ht="15.75" customHeight="1" x14ac:dyDescent="0.2">
      <c r="E460" s="51"/>
    </row>
    <row r="461" spans="5:5" ht="15.75" customHeight="1" x14ac:dyDescent="0.2">
      <c r="E461" s="51"/>
    </row>
    <row r="462" spans="5:5" ht="15.75" customHeight="1" x14ac:dyDescent="0.2">
      <c r="E462" s="51"/>
    </row>
    <row r="463" spans="5:5" ht="15.75" customHeight="1" x14ac:dyDescent="0.2">
      <c r="E463" s="51"/>
    </row>
    <row r="464" spans="5:5" ht="15.75" customHeight="1" x14ac:dyDescent="0.2">
      <c r="E464" s="51"/>
    </row>
    <row r="465" spans="5:5" ht="15.75" customHeight="1" x14ac:dyDescent="0.2">
      <c r="E465" s="51"/>
    </row>
    <row r="466" spans="5:5" ht="15.75" customHeight="1" x14ac:dyDescent="0.2">
      <c r="E466" s="51"/>
    </row>
    <row r="467" spans="5:5" ht="15.75" customHeight="1" x14ac:dyDescent="0.2">
      <c r="E467" s="51"/>
    </row>
    <row r="468" spans="5:5" ht="15.75" customHeight="1" x14ac:dyDescent="0.2">
      <c r="E468" s="51"/>
    </row>
    <row r="469" spans="5:5" ht="15.75" customHeight="1" x14ac:dyDescent="0.2">
      <c r="E469" s="51"/>
    </row>
    <row r="470" spans="5:5" ht="15.75" customHeight="1" x14ac:dyDescent="0.2">
      <c r="E470" s="51"/>
    </row>
    <row r="471" spans="5:5" ht="15.75" customHeight="1" x14ac:dyDescent="0.2">
      <c r="E471" s="51"/>
    </row>
    <row r="472" spans="5:5" ht="15.75" customHeight="1" x14ac:dyDescent="0.2">
      <c r="E472" s="51"/>
    </row>
    <row r="473" spans="5:5" ht="15.75" customHeight="1" x14ac:dyDescent="0.2">
      <c r="E473" s="51"/>
    </row>
    <row r="474" spans="5:5" ht="15.75" customHeight="1" x14ac:dyDescent="0.2">
      <c r="E474" s="51"/>
    </row>
    <row r="475" spans="5:5" ht="15.75" customHeight="1" x14ac:dyDescent="0.2">
      <c r="E475" s="51"/>
    </row>
    <row r="476" spans="5:5" ht="15.75" customHeight="1" x14ac:dyDescent="0.2">
      <c r="E476" s="51"/>
    </row>
    <row r="477" spans="5:5" ht="15.75" customHeight="1" x14ac:dyDescent="0.2">
      <c r="E477" s="51"/>
    </row>
    <row r="478" spans="5:5" ht="15.75" customHeight="1" x14ac:dyDescent="0.2">
      <c r="E478" s="51"/>
    </row>
    <row r="479" spans="5:5" ht="15.75" customHeight="1" x14ac:dyDescent="0.2">
      <c r="E479" s="51"/>
    </row>
    <row r="480" spans="5:5" ht="15.75" customHeight="1" x14ac:dyDescent="0.2">
      <c r="E480" s="51"/>
    </row>
    <row r="481" spans="5:5" ht="15.75" customHeight="1" x14ac:dyDescent="0.2">
      <c r="E481" s="51"/>
    </row>
    <row r="482" spans="5:5" ht="15.75" customHeight="1" x14ac:dyDescent="0.2">
      <c r="E482" s="51"/>
    </row>
    <row r="483" spans="5:5" ht="15.75" customHeight="1" x14ac:dyDescent="0.2">
      <c r="E483" s="51"/>
    </row>
    <row r="484" spans="5:5" ht="15.75" customHeight="1" x14ac:dyDescent="0.2">
      <c r="E484" s="51"/>
    </row>
    <row r="485" spans="5:5" ht="15.75" customHeight="1" x14ac:dyDescent="0.2">
      <c r="E485" s="51"/>
    </row>
    <row r="486" spans="5:5" ht="15.75" customHeight="1" x14ac:dyDescent="0.2">
      <c r="E486" s="51"/>
    </row>
    <row r="487" spans="5:5" ht="15.75" customHeight="1" x14ac:dyDescent="0.2">
      <c r="E487" s="51"/>
    </row>
    <row r="488" spans="5:5" ht="15.75" customHeight="1" x14ac:dyDescent="0.2">
      <c r="E488" s="51"/>
    </row>
    <row r="489" spans="5:5" ht="15.75" customHeight="1" x14ac:dyDescent="0.2">
      <c r="E489" s="51"/>
    </row>
    <row r="490" spans="5:5" ht="15.75" customHeight="1" x14ac:dyDescent="0.2">
      <c r="E490" s="51"/>
    </row>
    <row r="491" spans="5:5" ht="15.75" customHeight="1" x14ac:dyDescent="0.2">
      <c r="E491" s="51"/>
    </row>
    <row r="492" spans="5:5" ht="15.75" customHeight="1" x14ac:dyDescent="0.2">
      <c r="E492" s="51"/>
    </row>
    <row r="493" spans="5:5" ht="15.75" customHeight="1" x14ac:dyDescent="0.2">
      <c r="E493" s="51"/>
    </row>
    <row r="494" spans="5:5" ht="15.75" customHeight="1" x14ac:dyDescent="0.2">
      <c r="E494" s="51"/>
    </row>
    <row r="495" spans="5:5" ht="15.75" customHeight="1" x14ac:dyDescent="0.2">
      <c r="E495" s="51"/>
    </row>
    <row r="496" spans="5:5" ht="15.75" customHeight="1" x14ac:dyDescent="0.2">
      <c r="E496" s="51"/>
    </row>
    <row r="497" spans="5:5" ht="15.75" customHeight="1" x14ac:dyDescent="0.2">
      <c r="E497" s="51"/>
    </row>
    <row r="498" spans="5:5" ht="15.75" customHeight="1" x14ac:dyDescent="0.2">
      <c r="E498" s="51"/>
    </row>
    <row r="499" spans="5:5" ht="15.75" customHeight="1" x14ac:dyDescent="0.2">
      <c r="E499" s="51"/>
    </row>
    <row r="500" spans="5:5" ht="15.75" customHeight="1" x14ac:dyDescent="0.2">
      <c r="E500" s="51"/>
    </row>
    <row r="501" spans="5:5" ht="15.75" customHeight="1" x14ac:dyDescent="0.2">
      <c r="E501" s="51"/>
    </row>
    <row r="502" spans="5:5" ht="15.75" customHeight="1" x14ac:dyDescent="0.2">
      <c r="E502" s="51"/>
    </row>
    <row r="503" spans="5:5" ht="15.75" customHeight="1" x14ac:dyDescent="0.2">
      <c r="E503" s="51"/>
    </row>
    <row r="504" spans="5:5" ht="15.75" customHeight="1" x14ac:dyDescent="0.2">
      <c r="E504" s="51"/>
    </row>
    <row r="505" spans="5:5" ht="15.75" customHeight="1" x14ac:dyDescent="0.2">
      <c r="E505" s="51"/>
    </row>
    <row r="506" spans="5:5" ht="15.75" customHeight="1" x14ac:dyDescent="0.2">
      <c r="E506" s="51"/>
    </row>
    <row r="507" spans="5:5" ht="15.75" customHeight="1" x14ac:dyDescent="0.2">
      <c r="E507" s="51"/>
    </row>
    <row r="508" spans="5:5" ht="15.75" customHeight="1" x14ac:dyDescent="0.2">
      <c r="E508" s="51"/>
    </row>
    <row r="509" spans="5:5" ht="15.75" customHeight="1" x14ac:dyDescent="0.2">
      <c r="E509" s="51"/>
    </row>
    <row r="510" spans="5:5" ht="15.75" customHeight="1" x14ac:dyDescent="0.2">
      <c r="E510" s="51"/>
    </row>
    <row r="511" spans="5:5" ht="15.75" customHeight="1" x14ac:dyDescent="0.2">
      <c r="E511" s="51"/>
    </row>
    <row r="512" spans="5:5" ht="15.75" customHeight="1" x14ac:dyDescent="0.2">
      <c r="E512" s="51"/>
    </row>
    <row r="513" spans="5:5" ht="15.75" customHeight="1" x14ac:dyDescent="0.2">
      <c r="E513" s="51"/>
    </row>
    <row r="514" spans="5:5" ht="15.75" customHeight="1" x14ac:dyDescent="0.2">
      <c r="E514" s="51"/>
    </row>
    <row r="515" spans="5:5" ht="15.75" customHeight="1" x14ac:dyDescent="0.2">
      <c r="E515" s="51"/>
    </row>
    <row r="516" spans="5:5" ht="15.75" customHeight="1" x14ac:dyDescent="0.2">
      <c r="E516" s="51"/>
    </row>
    <row r="517" spans="5:5" ht="15.75" customHeight="1" x14ac:dyDescent="0.2">
      <c r="E517" s="51"/>
    </row>
    <row r="518" spans="5:5" ht="15.75" customHeight="1" x14ac:dyDescent="0.2">
      <c r="E518" s="51"/>
    </row>
    <row r="519" spans="5:5" ht="15.75" customHeight="1" x14ac:dyDescent="0.2">
      <c r="E519" s="51"/>
    </row>
    <row r="520" spans="5:5" ht="15.75" customHeight="1" x14ac:dyDescent="0.2">
      <c r="E520" s="51"/>
    </row>
    <row r="521" spans="5:5" ht="15.75" customHeight="1" x14ac:dyDescent="0.2">
      <c r="E521" s="51"/>
    </row>
    <row r="522" spans="5:5" ht="15.75" customHeight="1" x14ac:dyDescent="0.2">
      <c r="E522" s="51"/>
    </row>
    <row r="523" spans="5:5" ht="15.75" customHeight="1" x14ac:dyDescent="0.2">
      <c r="E523" s="51"/>
    </row>
    <row r="524" spans="5:5" ht="15.75" customHeight="1" x14ac:dyDescent="0.2">
      <c r="E524" s="51"/>
    </row>
    <row r="525" spans="5:5" ht="15.75" customHeight="1" x14ac:dyDescent="0.2">
      <c r="E525" s="51"/>
    </row>
    <row r="526" spans="5:5" ht="15.75" customHeight="1" x14ac:dyDescent="0.2">
      <c r="E526" s="51"/>
    </row>
    <row r="527" spans="5:5" ht="15.75" customHeight="1" x14ac:dyDescent="0.2">
      <c r="E527" s="51"/>
    </row>
    <row r="528" spans="5:5" ht="15.75" customHeight="1" x14ac:dyDescent="0.2">
      <c r="E528" s="51"/>
    </row>
    <row r="529" spans="5:5" ht="15.75" customHeight="1" x14ac:dyDescent="0.2">
      <c r="E529" s="51"/>
    </row>
    <row r="530" spans="5:5" ht="15.75" customHeight="1" x14ac:dyDescent="0.2">
      <c r="E530" s="51"/>
    </row>
    <row r="531" spans="5:5" ht="15.75" customHeight="1" x14ac:dyDescent="0.2">
      <c r="E531" s="51"/>
    </row>
    <row r="532" spans="5:5" ht="15.75" customHeight="1" x14ac:dyDescent="0.2">
      <c r="E532" s="51"/>
    </row>
    <row r="533" spans="5:5" ht="15.75" customHeight="1" x14ac:dyDescent="0.2">
      <c r="E533" s="51"/>
    </row>
    <row r="534" spans="5:5" ht="15.75" customHeight="1" x14ac:dyDescent="0.2">
      <c r="E534" s="51"/>
    </row>
    <row r="535" spans="5:5" ht="15.75" customHeight="1" x14ac:dyDescent="0.2">
      <c r="E535" s="51"/>
    </row>
    <row r="536" spans="5:5" ht="15.75" customHeight="1" x14ac:dyDescent="0.2">
      <c r="E536" s="51"/>
    </row>
    <row r="537" spans="5:5" ht="15.75" customHeight="1" x14ac:dyDescent="0.2">
      <c r="E537" s="51"/>
    </row>
    <row r="538" spans="5:5" ht="15.75" customHeight="1" x14ac:dyDescent="0.2">
      <c r="E538" s="51"/>
    </row>
    <row r="539" spans="5:5" ht="15.75" customHeight="1" x14ac:dyDescent="0.2">
      <c r="E539" s="51"/>
    </row>
    <row r="540" spans="5:5" ht="15.75" customHeight="1" x14ac:dyDescent="0.2">
      <c r="E540" s="51"/>
    </row>
    <row r="541" spans="5:5" ht="15.75" customHeight="1" x14ac:dyDescent="0.2">
      <c r="E541" s="51"/>
    </row>
    <row r="542" spans="5:5" ht="15.75" customHeight="1" x14ac:dyDescent="0.2">
      <c r="E542" s="51"/>
    </row>
    <row r="543" spans="5:5" ht="15.75" customHeight="1" x14ac:dyDescent="0.2">
      <c r="E543" s="51"/>
    </row>
    <row r="544" spans="5:5" ht="15.75" customHeight="1" x14ac:dyDescent="0.2">
      <c r="E544" s="51"/>
    </row>
    <row r="545" spans="5:5" ht="15.75" customHeight="1" x14ac:dyDescent="0.2">
      <c r="E545" s="51"/>
    </row>
    <row r="546" spans="5:5" ht="15.75" customHeight="1" x14ac:dyDescent="0.2">
      <c r="E546" s="51"/>
    </row>
    <row r="547" spans="5:5" ht="15.75" customHeight="1" x14ac:dyDescent="0.2">
      <c r="E547" s="51"/>
    </row>
    <row r="548" spans="5:5" ht="15.75" customHeight="1" x14ac:dyDescent="0.2">
      <c r="E548" s="51"/>
    </row>
    <row r="549" spans="5:5" ht="15.75" customHeight="1" x14ac:dyDescent="0.2">
      <c r="E549" s="51"/>
    </row>
    <row r="550" spans="5:5" ht="15.75" customHeight="1" x14ac:dyDescent="0.2">
      <c r="E550" s="51"/>
    </row>
    <row r="551" spans="5:5" ht="15.75" customHeight="1" x14ac:dyDescent="0.2">
      <c r="E551" s="51"/>
    </row>
    <row r="552" spans="5:5" ht="15.75" customHeight="1" x14ac:dyDescent="0.2">
      <c r="E552" s="51"/>
    </row>
    <row r="553" spans="5:5" ht="15.75" customHeight="1" x14ac:dyDescent="0.2">
      <c r="E553" s="51"/>
    </row>
    <row r="554" spans="5:5" ht="15.75" customHeight="1" x14ac:dyDescent="0.2">
      <c r="E554" s="51"/>
    </row>
    <row r="555" spans="5:5" ht="15.75" customHeight="1" x14ac:dyDescent="0.2">
      <c r="E555" s="51"/>
    </row>
    <row r="556" spans="5:5" ht="15.75" customHeight="1" x14ac:dyDescent="0.2">
      <c r="E556" s="51"/>
    </row>
    <row r="557" spans="5:5" ht="15.75" customHeight="1" x14ac:dyDescent="0.2">
      <c r="E557" s="51"/>
    </row>
    <row r="558" spans="5:5" ht="15.75" customHeight="1" x14ac:dyDescent="0.2">
      <c r="E558" s="51"/>
    </row>
    <row r="559" spans="5:5" ht="15.75" customHeight="1" x14ac:dyDescent="0.2">
      <c r="E559" s="51"/>
    </row>
    <row r="560" spans="5:5" ht="15.75" customHeight="1" x14ac:dyDescent="0.2">
      <c r="E560" s="51"/>
    </row>
    <row r="561" spans="5:5" ht="15.75" customHeight="1" x14ac:dyDescent="0.2">
      <c r="E561" s="51"/>
    </row>
    <row r="562" spans="5:5" ht="15.75" customHeight="1" x14ac:dyDescent="0.2">
      <c r="E562" s="51"/>
    </row>
    <row r="563" spans="5:5" ht="15.75" customHeight="1" x14ac:dyDescent="0.2">
      <c r="E563" s="51"/>
    </row>
    <row r="564" spans="5:5" ht="15.75" customHeight="1" x14ac:dyDescent="0.2">
      <c r="E564" s="51"/>
    </row>
    <row r="565" spans="5:5" ht="15.75" customHeight="1" x14ac:dyDescent="0.2">
      <c r="E565" s="51"/>
    </row>
    <row r="566" spans="5:5" ht="15.75" customHeight="1" x14ac:dyDescent="0.2">
      <c r="E566" s="51"/>
    </row>
    <row r="567" spans="5:5" ht="15.75" customHeight="1" x14ac:dyDescent="0.2">
      <c r="E567" s="51"/>
    </row>
    <row r="568" spans="5:5" ht="15.75" customHeight="1" x14ac:dyDescent="0.2">
      <c r="E568" s="51"/>
    </row>
    <row r="569" spans="5:5" ht="15.75" customHeight="1" x14ac:dyDescent="0.2">
      <c r="E569" s="51"/>
    </row>
    <row r="570" spans="5:5" ht="15.75" customHeight="1" x14ac:dyDescent="0.2">
      <c r="E570" s="51"/>
    </row>
    <row r="571" spans="5:5" ht="15.75" customHeight="1" x14ac:dyDescent="0.2">
      <c r="E571" s="51"/>
    </row>
    <row r="572" spans="5:5" ht="15.75" customHeight="1" x14ac:dyDescent="0.2">
      <c r="E572" s="51"/>
    </row>
    <row r="573" spans="5:5" ht="15.75" customHeight="1" x14ac:dyDescent="0.2">
      <c r="E573" s="51"/>
    </row>
    <row r="574" spans="5:5" ht="15.75" customHeight="1" x14ac:dyDescent="0.2">
      <c r="E574" s="51"/>
    </row>
    <row r="575" spans="5:5" ht="15.75" customHeight="1" x14ac:dyDescent="0.2">
      <c r="E575" s="51"/>
    </row>
    <row r="576" spans="5:5" ht="15.75" customHeight="1" x14ac:dyDescent="0.2">
      <c r="E576" s="51"/>
    </row>
    <row r="577" spans="5:5" ht="15.75" customHeight="1" x14ac:dyDescent="0.2">
      <c r="E577" s="51"/>
    </row>
    <row r="578" spans="5:5" ht="15.75" customHeight="1" x14ac:dyDescent="0.2">
      <c r="E578" s="51"/>
    </row>
    <row r="579" spans="5:5" ht="15.75" customHeight="1" x14ac:dyDescent="0.2">
      <c r="E579" s="51"/>
    </row>
    <row r="580" spans="5:5" ht="15.75" customHeight="1" x14ac:dyDescent="0.2">
      <c r="E580" s="51"/>
    </row>
    <row r="581" spans="5:5" ht="15.75" customHeight="1" x14ac:dyDescent="0.2">
      <c r="E581" s="51"/>
    </row>
    <row r="582" spans="5:5" ht="15.75" customHeight="1" x14ac:dyDescent="0.2">
      <c r="E582" s="51"/>
    </row>
    <row r="583" spans="5:5" ht="15.75" customHeight="1" x14ac:dyDescent="0.2">
      <c r="E583" s="51"/>
    </row>
    <row r="584" spans="5:5" ht="15.75" customHeight="1" x14ac:dyDescent="0.2">
      <c r="E584" s="51"/>
    </row>
    <row r="585" spans="5:5" ht="15.75" customHeight="1" x14ac:dyDescent="0.2">
      <c r="E585" s="51"/>
    </row>
    <row r="586" spans="5:5" ht="15.75" customHeight="1" x14ac:dyDescent="0.2">
      <c r="E586" s="51"/>
    </row>
    <row r="587" spans="5:5" ht="15.75" customHeight="1" x14ac:dyDescent="0.2">
      <c r="E587" s="51"/>
    </row>
    <row r="588" spans="5:5" ht="15.75" customHeight="1" x14ac:dyDescent="0.2">
      <c r="E588" s="51"/>
    </row>
    <row r="589" spans="5:5" ht="15.75" customHeight="1" x14ac:dyDescent="0.2">
      <c r="E589" s="51"/>
    </row>
    <row r="590" spans="5:5" ht="15.75" customHeight="1" x14ac:dyDescent="0.2">
      <c r="E590" s="51"/>
    </row>
    <row r="591" spans="5:5" ht="15.75" customHeight="1" x14ac:dyDescent="0.2">
      <c r="E591" s="51"/>
    </row>
    <row r="592" spans="5:5" ht="15.75" customHeight="1" x14ac:dyDescent="0.2">
      <c r="E592" s="51"/>
    </row>
    <row r="593" spans="5:5" ht="15.75" customHeight="1" x14ac:dyDescent="0.2">
      <c r="E593" s="51"/>
    </row>
    <row r="594" spans="5:5" ht="15.75" customHeight="1" x14ac:dyDescent="0.2">
      <c r="E594" s="51"/>
    </row>
    <row r="595" spans="5:5" ht="15.75" customHeight="1" x14ac:dyDescent="0.2">
      <c r="E595" s="51"/>
    </row>
    <row r="596" spans="5:5" ht="15.75" customHeight="1" x14ac:dyDescent="0.2">
      <c r="E596" s="51"/>
    </row>
    <row r="597" spans="5:5" ht="15.75" customHeight="1" x14ac:dyDescent="0.2">
      <c r="E597" s="51"/>
    </row>
    <row r="598" spans="5:5" ht="15.75" customHeight="1" x14ac:dyDescent="0.2">
      <c r="E598" s="51"/>
    </row>
    <row r="599" spans="5:5" ht="15.75" customHeight="1" x14ac:dyDescent="0.2">
      <c r="E599" s="51"/>
    </row>
    <row r="600" spans="5:5" ht="15.75" customHeight="1" x14ac:dyDescent="0.2">
      <c r="E600" s="51"/>
    </row>
    <row r="601" spans="5:5" ht="15.75" customHeight="1" x14ac:dyDescent="0.2">
      <c r="E601" s="51"/>
    </row>
    <row r="602" spans="5:5" ht="15.75" customHeight="1" x14ac:dyDescent="0.2">
      <c r="E602" s="51"/>
    </row>
    <row r="603" spans="5:5" ht="15.75" customHeight="1" x14ac:dyDescent="0.2">
      <c r="E603" s="51"/>
    </row>
    <row r="604" spans="5:5" ht="15.75" customHeight="1" x14ac:dyDescent="0.2">
      <c r="E604" s="51"/>
    </row>
    <row r="605" spans="5:5" ht="15.75" customHeight="1" x14ac:dyDescent="0.2">
      <c r="E605" s="51"/>
    </row>
    <row r="606" spans="5:5" ht="15.75" customHeight="1" x14ac:dyDescent="0.2">
      <c r="E606" s="51"/>
    </row>
    <row r="607" spans="5:5" ht="15.75" customHeight="1" x14ac:dyDescent="0.2">
      <c r="E607" s="51"/>
    </row>
    <row r="608" spans="5:5" ht="15.75" customHeight="1" x14ac:dyDescent="0.2">
      <c r="E608" s="51"/>
    </row>
    <row r="609" spans="5:5" ht="15.75" customHeight="1" x14ac:dyDescent="0.2">
      <c r="E609" s="51"/>
    </row>
    <row r="610" spans="5:5" ht="15.75" customHeight="1" x14ac:dyDescent="0.2">
      <c r="E610" s="51"/>
    </row>
    <row r="611" spans="5:5" ht="15.75" customHeight="1" x14ac:dyDescent="0.2">
      <c r="E611" s="51"/>
    </row>
    <row r="612" spans="5:5" ht="15.75" customHeight="1" x14ac:dyDescent="0.2">
      <c r="E612" s="51"/>
    </row>
    <row r="613" spans="5:5" ht="15.75" customHeight="1" x14ac:dyDescent="0.2">
      <c r="E613" s="51"/>
    </row>
    <row r="614" spans="5:5" ht="15.75" customHeight="1" x14ac:dyDescent="0.2">
      <c r="E614" s="51"/>
    </row>
    <row r="615" spans="5:5" ht="15.75" customHeight="1" x14ac:dyDescent="0.2">
      <c r="E615" s="51"/>
    </row>
    <row r="616" spans="5:5" ht="15.75" customHeight="1" x14ac:dyDescent="0.2">
      <c r="E616" s="51"/>
    </row>
    <row r="617" spans="5:5" ht="15.75" customHeight="1" x14ac:dyDescent="0.2">
      <c r="E617" s="51"/>
    </row>
    <row r="618" spans="5:5" ht="15.75" customHeight="1" x14ac:dyDescent="0.2">
      <c r="E618" s="51"/>
    </row>
    <row r="619" spans="5:5" ht="15.75" customHeight="1" x14ac:dyDescent="0.2">
      <c r="E619" s="51"/>
    </row>
    <row r="620" spans="5:5" ht="15.75" customHeight="1" x14ac:dyDescent="0.2">
      <c r="E620" s="51"/>
    </row>
    <row r="621" spans="5:5" ht="15.75" customHeight="1" x14ac:dyDescent="0.2">
      <c r="E621" s="51"/>
    </row>
    <row r="622" spans="5:5" ht="15.75" customHeight="1" x14ac:dyDescent="0.2">
      <c r="E622" s="51"/>
    </row>
    <row r="623" spans="5:5" ht="15.75" customHeight="1" x14ac:dyDescent="0.2">
      <c r="E623" s="51"/>
    </row>
    <row r="624" spans="5:5" ht="15.75" customHeight="1" x14ac:dyDescent="0.2">
      <c r="E624" s="51"/>
    </row>
    <row r="625" spans="5:5" ht="15.75" customHeight="1" x14ac:dyDescent="0.2">
      <c r="E625" s="51"/>
    </row>
    <row r="626" spans="5:5" ht="15.75" customHeight="1" x14ac:dyDescent="0.2">
      <c r="E626" s="51"/>
    </row>
    <row r="627" spans="5:5" ht="15.75" customHeight="1" x14ac:dyDescent="0.2">
      <c r="E627" s="51"/>
    </row>
    <row r="628" spans="5:5" ht="15.75" customHeight="1" x14ac:dyDescent="0.2">
      <c r="E628" s="51"/>
    </row>
    <row r="629" spans="5:5" ht="15.75" customHeight="1" x14ac:dyDescent="0.2">
      <c r="E629" s="51"/>
    </row>
    <row r="630" spans="5:5" ht="15.75" customHeight="1" x14ac:dyDescent="0.2">
      <c r="E630" s="51"/>
    </row>
    <row r="631" spans="5:5" ht="15.75" customHeight="1" x14ac:dyDescent="0.2">
      <c r="E631" s="51"/>
    </row>
    <row r="632" spans="5:5" ht="15.75" customHeight="1" x14ac:dyDescent="0.2">
      <c r="E632" s="51"/>
    </row>
    <row r="633" spans="5:5" ht="15.75" customHeight="1" x14ac:dyDescent="0.2">
      <c r="E633" s="51"/>
    </row>
    <row r="634" spans="5:5" ht="15.75" customHeight="1" x14ac:dyDescent="0.2">
      <c r="E634" s="51"/>
    </row>
    <row r="635" spans="5:5" ht="15.75" customHeight="1" x14ac:dyDescent="0.2">
      <c r="E635" s="51"/>
    </row>
    <row r="636" spans="5:5" ht="15.75" customHeight="1" x14ac:dyDescent="0.2">
      <c r="E636" s="51"/>
    </row>
    <row r="637" spans="5:5" ht="15.75" customHeight="1" x14ac:dyDescent="0.2">
      <c r="E637" s="51"/>
    </row>
    <row r="638" spans="5:5" ht="15.75" customHeight="1" x14ac:dyDescent="0.2">
      <c r="E638" s="51"/>
    </row>
    <row r="639" spans="5:5" ht="15.75" customHeight="1" x14ac:dyDescent="0.2">
      <c r="E639" s="51"/>
    </row>
    <row r="640" spans="5:5" ht="15.75" customHeight="1" x14ac:dyDescent="0.2">
      <c r="E640" s="51"/>
    </row>
    <row r="641" spans="5:5" ht="15.75" customHeight="1" x14ac:dyDescent="0.2">
      <c r="E641" s="51"/>
    </row>
    <row r="642" spans="5:5" ht="15.75" customHeight="1" x14ac:dyDescent="0.2">
      <c r="E642" s="51"/>
    </row>
    <row r="643" spans="5:5" ht="15.75" customHeight="1" x14ac:dyDescent="0.2">
      <c r="E643" s="51"/>
    </row>
    <row r="644" spans="5:5" ht="15.75" customHeight="1" x14ac:dyDescent="0.2">
      <c r="E644" s="51"/>
    </row>
    <row r="645" spans="5:5" ht="15.75" customHeight="1" x14ac:dyDescent="0.2">
      <c r="E645" s="51"/>
    </row>
    <row r="646" spans="5:5" ht="15.75" customHeight="1" x14ac:dyDescent="0.2">
      <c r="E646" s="51"/>
    </row>
    <row r="647" spans="5:5" ht="15.75" customHeight="1" x14ac:dyDescent="0.2">
      <c r="E647" s="51"/>
    </row>
    <row r="648" spans="5:5" ht="15.75" customHeight="1" x14ac:dyDescent="0.2">
      <c r="E648" s="51"/>
    </row>
    <row r="649" spans="5:5" ht="15.75" customHeight="1" x14ac:dyDescent="0.2">
      <c r="E649" s="51"/>
    </row>
    <row r="650" spans="5:5" ht="15.75" customHeight="1" x14ac:dyDescent="0.2">
      <c r="E650" s="51"/>
    </row>
    <row r="651" spans="5:5" ht="15.75" customHeight="1" x14ac:dyDescent="0.2">
      <c r="E651" s="51"/>
    </row>
    <row r="652" spans="5:5" ht="15.75" customHeight="1" x14ac:dyDescent="0.2">
      <c r="E652" s="51"/>
    </row>
    <row r="653" spans="5:5" ht="15.75" customHeight="1" x14ac:dyDescent="0.2">
      <c r="E653" s="51"/>
    </row>
    <row r="654" spans="5:5" ht="15.75" customHeight="1" x14ac:dyDescent="0.2">
      <c r="E654" s="51"/>
    </row>
    <row r="655" spans="5:5" ht="15.75" customHeight="1" x14ac:dyDescent="0.2">
      <c r="E655" s="51"/>
    </row>
    <row r="656" spans="5:5" ht="15.75" customHeight="1" x14ac:dyDescent="0.2">
      <c r="E656" s="51"/>
    </row>
    <row r="657" spans="5:5" ht="15.75" customHeight="1" x14ac:dyDescent="0.2">
      <c r="E657" s="51"/>
    </row>
    <row r="658" spans="5:5" ht="15.75" customHeight="1" x14ac:dyDescent="0.2">
      <c r="E658" s="51"/>
    </row>
    <row r="659" spans="5:5" ht="15.75" customHeight="1" x14ac:dyDescent="0.2">
      <c r="E659" s="51"/>
    </row>
    <row r="660" spans="5:5" ht="15.75" customHeight="1" x14ac:dyDescent="0.2">
      <c r="E660" s="51"/>
    </row>
    <row r="661" spans="5:5" ht="15.75" customHeight="1" x14ac:dyDescent="0.2">
      <c r="E661" s="51"/>
    </row>
    <row r="662" spans="5:5" ht="15.75" customHeight="1" x14ac:dyDescent="0.2">
      <c r="E662" s="51"/>
    </row>
    <row r="663" spans="5:5" ht="15.75" customHeight="1" x14ac:dyDescent="0.2">
      <c r="E663" s="51"/>
    </row>
    <row r="664" spans="5:5" ht="15.75" customHeight="1" x14ac:dyDescent="0.2">
      <c r="E664" s="51"/>
    </row>
    <row r="665" spans="5:5" ht="15.75" customHeight="1" x14ac:dyDescent="0.2">
      <c r="E665" s="51"/>
    </row>
    <row r="666" spans="5:5" ht="15.75" customHeight="1" x14ac:dyDescent="0.2">
      <c r="E666" s="51"/>
    </row>
    <row r="667" spans="5:5" ht="15.75" customHeight="1" x14ac:dyDescent="0.2">
      <c r="E667" s="51"/>
    </row>
    <row r="668" spans="5:5" ht="15.75" customHeight="1" x14ac:dyDescent="0.2">
      <c r="E668" s="51"/>
    </row>
    <row r="669" spans="5:5" ht="15.75" customHeight="1" x14ac:dyDescent="0.2">
      <c r="E669" s="51"/>
    </row>
    <row r="670" spans="5:5" ht="15.75" customHeight="1" x14ac:dyDescent="0.2">
      <c r="E670" s="51"/>
    </row>
    <row r="671" spans="5:5" ht="15.75" customHeight="1" x14ac:dyDescent="0.2">
      <c r="E671" s="51"/>
    </row>
    <row r="672" spans="5:5" ht="15.75" customHeight="1" x14ac:dyDescent="0.2">
      <c r="E672" s="51"/>
    </row>
    <row r="673" spans="5:5" ht="15.75" customHeight="1" x14ac:dyDescent="0.2">
      <c r="E673" s="51"/>
    </row>
    <row r="674" spans="5:5" ht="15.75" customHeight="1" x14ac:dyDescent="0.2">
      <c r="E674" s="51"/>
    </row>
    <row r="675" spans="5:5" ht="15.75" customHeight="1" x14ac:dyDescent="0.2">
      <c r="E675" s="51"/>
    </row>
    <row r="676" spans="5:5" ht="15.75" customHeight="1" x14ac:dyDescent="0.2">
      <c r="E676" s="51"/>
    </row>
    <row r="677" spans="5:5" ht="15.75" customHeight="1" x14ac:dyDescent="0.2">
      <c r="E677" s="51"/>
    </row>
    <row r="678" spans="5:5" ht="15.75" customHeight="1" x14ac:dyDescent="0.2">
      <c r="E678" s="51"/>
    </row>
    <row r="679" spans="5:5" ht="15.75" customHeight="1" x14ac:dyDescent="0.2">
      <c r="E679" s="51"/>
    </row>
    <row r="680" spans="5:5" ht="15.75" customHeight="1" x14ac:dyDescent="0.2">
      <c r="E680" s="51"/>
    </row>
    <row r="681" spans="5:5" ht="15.75" customHeight="1" x14ac:dyDescent="0.2">
      <c r="E681" s="51"/>
    </row>
    <row r="682" spans="5:5" ht="15.75" customHeight="1" x14ac:dyDescent="0.2">
      <c r="E682" s="51"/>
    </row>
    <row r="683" spans="5:5" ht="15.75" customHeight="1" x14ac:dyDescent="0.2">
      <c r="E683" s="51"/>
    </row>
    <row r="684" spans="5:5" ht="15.75" customHeight="1" x14ac:dyDescent="0.2">
      <c r="E684" s="51"/>
    </row>
    <row r="685" spans="5:5" ht="15.75" customHeight="1" x14ac:dyDescent="0.2">
      <c r="E685" s="51"/>
    </row>
    <row r="686" spans="5:5" ht="15.75" customHeight="1" x14ac:dyDescent="0.2">
      <c r="E686" s="51"/>
    </row>
    <row r="687" spans="5:5" ht="15.75" customHeight="1" x14ac:dyDescent="0.2">
      <c r="E687" s="51"/>
    </row>
    <row r="688" spans="5:5" ht="15.75" customHeight="1" x14ac:dyDescent="0.2">
      <c r="E688" s="51"/>
    </row>
    <row r="689" spans="5:5" ht="15.75" customHeight="1" x14ac:dyDescent="0.2">
      <c r="E689" s="51"/>
    </row>
    <row r="690" spans="5:5" ht="15.75" customHeight="1" x14ac:dyDescent="0.2">
      <c r="E690" s="51"/>
    </row>
    <row r="691" spans="5:5" ht="15.75" customHeight="1" x14ac:dyDescent="0.2">
      <c r="E691" s="51"/>
    </row>
    <row r="692" spans="5:5" ht="15.75" customHeight="1" x14ac:dyDescent="0.2">
      <c r="E692" s="51"/>
    </row>
    <row r="693" spans="5:5" ht="15.75" customHeight="1" x14ac:dyDescent="0.2">
      <c r="E693" s="51"/>
    </row>
    <row r="694" spans="5:5" ht="15.75" customHeight="1" x14ac:dyDescent="0.2">
      <c r="E694" s="51"/>
    </row>
    <row r="695" spans="5:5" ht="15.75" customHeight="1" x14ac:dyDescent="0.2">
      <c r="E695" s="51"/>
    </row>
    <row r="696" spans="5:5" ht="15.75" customHeight="1" x14ac:dyDescent="0.2">
      <c r="E696" s="51"/>
    </row>
    <row r="697" spans="5:5" ht="15.75" customHeight="1" x14ac:dyDescent="0.2">
      <c r="E697" s="51"/>
    </row>
    <row r="698" spans="5:5" ht="15.75" customHeight="1" x14ac:dyDescent="0.2">
      <c r="E698" s="51"/>
    </row>
    <row r="699" spans="5:5" ht="15.75" customHeight="1" x14ac:dyDescent="0.2">
      <c r="E699" s="51"/>
    </row>
    <row r="700" spans="5:5" ht="15.75" customHeight="1" x14ac:dyDescent="0.2">
      <c r="E700" s="51"/>
    </row>
    <row r="701" spans="5:5" ht="15.75" customHeight="1" x14ac:dyDescent="0.2">
      <c r="E701" s="51"/>
    </row>
    <row r="702" spans="5:5" ht="15.75" customHeight="1" x14ac:dyDescent="0.2">
      <c r="E702" s="51"/>
    </row>
    <row r="703" spans="5:5" ht="15.75" customHeight="1" x14ac:dyDescent="0.2">
      <c r="E703" s="51"/>
    </row>
    <row r="704" spans="5:5" ht="15.75" customHeight="1" x14ac:dyDescent="0.2">
      <c r="E704" s="51"/>
    </row>
    <row r="705" spans="5:5" ht="15.75" customHeight="1" x14ac:dyDescent="0.2">
      <c r="E705" s="51"/>
    </row>
    <row r="706" spans="5:5" ht="15.75" customHeight="1" x14ac:dyDescent="0.2">
      <c r="E706" s="51"/>
    </row>
    <row r="707" spans="5:5" ht="15.75" customHeight="1" x14ac:dyDescent="0.2">
      <c r="E707" s="51"/>
    </row>
    <row r="708" spans="5:5" ht="15.75" customHeight="1" x14ac:dyDescent="0.2">
      <c r="E708" s="51"/>
    </row>
    <row r="709" spans="5:5" ht="15.75" customHeight="1" x14ac:dyDescent="0.2">
      <c r="E709" s="51"/>
    </row>
    <row r="710" spans="5:5" ht="15.75" customHeight="1" x14ac:dyDescent="0.2">
      <c r="E710" s="51"/>
    </row>
    <row r="711" spans="5:5" ht="15.75" customHeight="1" x14ac:dyDescent="0.2">
      <c r="E711" s="51"/>
    </row>
    <row r="712" spans="5:5" ht="15.75" customHeight="1" x14ac:dyDescent="0.2">
      <c r="E712" s="51"/>
    </row>
    <row r="713" spans="5:5" ht="15.75" customHeight="1" x14ac:dyDescent="0.2">
      <c r="E713" s="51"/>
    </row>
    <row r="714" spans="5:5" ht="15.75" customHeight="1" x14ac:dyDescent="0.2">
      <c r="E714" s="51"/>
    </row>
    <row r="715" spans="5:5" ht="15.75" customHeight="1" x14ac:dyDescent="0.2">
      <c r="E715" s="51"/>
    </row>
    <row r="716" spans="5:5" ht="15.75" customHeight="1" x14ac:dyDescent="0.2">
      <c r="E716" s="51"/>
    </row>
    <row r="717" spans="5:5" ht="15.75" customHeight="1" x14ac:dyDescent="0.2">
      <c r="E717" s="51"/>
    </row>
    <row r="718" spans="5:5" ht="15.75" customHeight="1" x14ac:dyDescent="0.2">
      <c r="E718" s="51"/>
    </row>
    <row r="719" spans="5:5" ht="15.75" customHeight="1" x14ac:dyDescent="0.2">
      <c r="E719" s="51"/>
    </row>
    <row r="720" spans="5:5" ht="15.75" customHeight="1" x14ac:dyDescent="0.2">
      <c r="E720" s="51"/>
    </row>
    <row r="721" spans="5:5" ht="15.75" customHeight="1" x14ac:dyDescent="0.2">
      <c r="E721" s="51"/>
    </row>
    <row r="722" spans="5:5" ht="15.75" customHeight="1" x14ac:dyDescent="0.2">
      <c r="E722" s="51"/>
    </row>
    <row r="723" spans="5:5" ht="15.75" customHeight="1" x14ac:dyDescent="0.2">
      <c r="E723" s="51"/>
    </row>
    <row r="724" spans="5:5" ht="15.75" customHeight="1" x14ac:dyDescent="0.2">
      <c r="E724" s="51"/>
    </row>
    <row r="725" spans="5:5" ht="15.75" customHeight="1" x14ac:dyDescent="0.2">
      <c r="E725" s="51"/>
    </row>
    <row r="726" spans="5:5" ht="15.75" customHeight="1" x14ac:dyDescent="0.2">
      <c r="E726" s="51"/>
    </row>
    <row r="727" spans="5:5" ht="15.75" customHeight="1" x14ac:dyDescent="0.2">
      <c r="E727" s="51"/>
    </row>
    <row r="728" spans="5:5" ht="15.75" customHeight="1" x14ac:dyDescent="0.2">
      <c r="E728" s="51"/>
    </row>
    <row r="729" spans="5:5" ht="15.75" customHeight="1" x14ac:dyDescent="0.2">
      <c r="E729" s="51"/>
    </row>
    <row r="730" spans="5:5" ht="15.75" customHeight="1" x14ac:dyDescent="0.2">
      <c r="E730" s="51"/>
    </row>
    <row r="731" spans="5:5" ht="15.75" customHeight="1" x14ac:dyDescent="0.2">
      <c r="E731" s="51"/>
    </row>
    <row r="732" spans="5:5" ht="15.75" customHeight="1" x14ac:dyDescent="0.2">
      <c r="E732" s="51"/>
    </row>
    <row r="733" spans="5:5" ht="15.75" customHeight="1" x14ac:dyDescent="0.2">
      <c r="E733" s="51"/>
    </row>
    <row r="734" spans="5:5" ht="15.75" customHeight="1" x14ac:dyDescent="0.2">
      <c r="E734" s="51"/>
    </row>
    <row r="735" spans="5:5" ht="15.75" customHeight="1" x14ac:dyDescent="0.2">
      <c r="E735" s="51"/>
    </row>
    <row r="736" spans="5:5" ht="15.75" customHeight="1" x14ac:dyDescent="0.2">
      <c r="E736" s="51"/>
    </row>
    <row r="737" spans="5:5" ht="15.75" customHeight="1" x14ac:dyDescent="0.2">
      <c r="E737" s="51"/>
    </row>
    <row r="738" spans="5:5" ht="15.75" customHeight="1" x14ac:dyDescent="0.2">
      <c r="E738" s="51"/>
    </row>
    <row r="739" spans="5:5" ht="15.75" customHeight="1" x14ac:dyDescent="0.2">
      <c r="E739" s="51"/>
    </row>
    <row r="740" spans="5:5" ht="15.75" customHeight="1" x14ac:dyDescent="0.2">
      <c r="E740" s="51"/>
    </row>
    <row r="741" spans="5:5" ht="15.75" customHeight="1" x14ac:dyDescent="0.2">
      <c r="E741" s="51"/>
    </row>
    <row r="742" spans="5:5" ht="15.75" customHeight="1" x14ac:dyDescent="0.2">
      <c r="E742" s="51"/>
    </row>
    <row r="743" spans="5:5" ht="15.75" customHeight="1" x14ac:dyDescent="0.2">
      <c r="E743" s="51"/>
    </row>
    <row r="744" spans="5:5" ht="15.75" customHeight="1" x14ac:dyDescent="0.2">
      <c r="E744" s="51"/>
    </row>
    <row r="745" spans="5:5" ht="15.75" customHeight="1" x14ac:dyDescent="0.2">
      <c r="E745" s="51"/>
    </row>
    <row r="746" spans="5:5" ht="15.75" customHeight="1" x14ac:dyDescent="0.2">
      <c r="E746" s="51"/>
    </row>
    <row r="747" spans="5:5" ht="15.75" customHeight="1" x14ac:dyDescent="0.2">
      <c r="E747" s="51"/>
    </row>
    <row r="748" spans="5:5" ht="15.75" customHeight="1" x14ac:dyDescent="0.2">
      <c r="E748" s="51"/>
    </row>
    <row r="749" spans="5:5" ht="15.75" customHeight="1" x14ac:dyDescent="0.2">
      <c r="E749" s="51"/>
    </row>
    <row r="750" spans="5:5" ht="15.75" customHeight="1" x14ac:dyDescent="0.2">
      <c r="E750" s="51"/>
    </row>
    <row r="751" spans="5:5" ht="15.75" customHeight="1" x14ac:dyDescent="0.2">
      <c r="E751" s="51"/>
    </row>
    <row r="752" spans="5:5" ht="15.75" customHeight="1" x14ac:dyDescent="0.2">
      <c r="E752" s="51"/>
    </row>
    <row r="753" spans="5:5" ht="15.75" customHeight="1" x14ac:dyDescent="0.2">
      <c r="E753" s="51"/>
    </row>
    <row r="754" spans="5:5" ht="15.75" customHeight="1" x14ac:dyDescent="0.2">
      <c r="E754" s="51"/>
    </row>
    <row r="755" spans="5:5" ht="15.75" customHeight="1" x14ac:dyDescent="0.2">
      <c r="E755" s="51"/>
    </row>
    <row r="756" spans="5:5" ht="15.75" customHeight="1" x14ac:dyDescent="0.2">
      <c r="E756" s="51"/>
    </row>
    <row r="757" spans="5:5" ht="15.75" customHeight="1" x14ac:dyDescent="0.2">
      <c r="E757" s="51"/>
    </row>
    <row r="758" spans="5:5" ht="15.75" customHeight="1" x14ac:dyDescent="0.2">
      <c r="E758" s="51"/>
    </row>
    <row r="759" spans="5:5" ht="15.75" customHeight="1" x14ac:dyDescent="0.2">
      <c r="E759" s="51"/>
    </row>
    <row r="760" spans="5:5" ht="15.75" customHeight="1" x14ac:dyDescent="0.2">
      <c r="E760" s="51"/>
    </row>
    <row r="761" spans="5:5" ht="15.75" customHeight="1" x14ac:dyDescent="0.2">
      <c r="E761" s="51"/>
    </row>
    <row r="762" spans="5:5" ht="15.75" customHeight="1" x14ac:dyDescent="0.2">
      <c r="E762" s="51"/>
    </row>
    <row r="763" spans="5:5" ht="15.75" customHeight="1" x14ac:dyDescent="0.2">
      <c r="E763" s="51"/>
    </row>
    <row r="764" spans="5:5" ht="15.75" customHeight="1" x14ac:dyDescent="0.2">
      <c r="E764" s="51"/>
    </row>
    <row r="765" spans="5:5" ht="15.75" customHeight="1" x14ac:dyDescent="0.2">
      <c r="E765" s="51"/>
    </row>
    <row r="766" spans="5:5" ht="15.75" customHeight="1" x14ac:dyDescent="0.2">
      <c r="E766" s="51"/>
    </row>
    <row r="767" spans="5:5" ht="15.75" customHeight="1" x14ac:dyDescent="0.2">
      <c r="E767" s="51"/>
    </row>
    <row r="768" spans="5:5" ht="15.75" customHeight="1" x14ac:dyDescent="0.2">
      <c r="E768" s="51"/>
    </row>
    <row r="769" spans="5:5" ht="15.75" customHeight="1" x14ac:dyDescent="0.2">
      <c r="E769" s="51"/>
    </row>
    <row r="770" spans="5:5" ht="15.75" customHeight="1" x14ac:dyDescent="0.2">
      <c r="E770" s="51"/>
    </row>
    <row r="771" spans="5:5" ht="15.75" customHeight="1" x14ac:dyDescent="0.2">
      <c r="E771" s="51"/>
    </row>
    <row r="772" spans="5:5" ht="15.75" customHeight="1" x14ac:dyDescent="0.2">
      <c r="E772" s="51"/>
    </row>
    <row r="773" spans="5:5" ht="15.75" customHeight="1" x14ac:dyDescent="0.2">
      <c r="E773" s="51"/>
    </row>
    <row r="774" spans="5:5" ht="15.75" customHeight="1" x14ac:dyDescent="0.2">
      <c r="E774" s="51"/>
    </row>
    <row r="775" spans="5:5" ht="15.75" customHeight="1" x14ac:dyDescent="0.2">
      <c r="E775" s="51"/>
    </row>
    <row r="776" spans="5:5" ht="15.75" customHeight="1" x14ac:dyDescent="0.2">
      <c r="E776" s="51"/>
    </row>
    <row r="777" spans="5:5" ht="15.75" customHeight="1" x14ac:dyDescent="0.2">
      <c r="E777" s="51"/>
    </row>
    <row r="778" spans="5:5" ht="15.75" customHeight="1" x14ac:dyDescent="0.2">
      <c r="E778" s="51"/>
    </row>
    <row r="779" spans="5:5" ht="15.75" customHeight="1" x14ac:dyDescent="0.2">
      <c r="E779" s="51"/>
    </row>
    <row r="780" spans="5:5" ht="15.75" customHeight="1" x14ac:dyDescent="0.2">
      <c r="E780" s="51"/>
    </row>
    <row r="781" spans="5:5" ht="15.75" customHeight="1" x14ac:dyDescent="0.2">
      <c r="E781" s="51"/>
    </row>
    <row r="782" spans="5:5" ht="15.75" customHeight="1" x14ac:dyDescent="0.2">
      <c r="E782" s="51"/>
    </row>
    <row r="783" spans="5:5" ht="15.75" customHeight="1" x14ac:dyDescent="0.2">
      <c r="E783" s="51"/>
    </row>
    <row r="784" spans="5:5" ht="15.75" customHeight="1" x14ac:dyDescent="0.2">
      <c r="E784" s="51"/>
    </row>
    <row r="785" spans="5:5" ht="15.75" customHeight="1" x14ac:dyDescent="0.2">
      <c r="E785" s="51"/>
    </row>
    <row r="786" spans="5:5" ht="15.75" customHeight="1" x14ac:dyDescent="0.2">
      <c r="E786" s="51"/>
    </row>
    <row r="787" spans="5:5" ht="15.75" customHeight="1" x14ac:dyDescent="0.2">
      <c r="E787" s="51"/>
    </row>
    <row r="788" spans="5:5" ht="15.75" customHeight="1" x14ac:dyDescent="0.2">
      <c r="E788" s="51"/>
    </row>
    <row r="789" spans="5:5" ht="15.75" customHeight="1" x14ac:dyDescent="0.2">
      <c r="E789" s="51"/>
    </row>
    <row r="790" spans="5:5" ht="15.75" customHeight="1" x14ac:dyDescent="0.2">
      <c r="E790" s="51"/>
    </row>
    <row r="791" spans="5:5" ht="15.75" customHeight="1" x14ac:dyDescent="0.2">
      <c r="E791" s="51"/>
    </row>
    <row r="792" spans="5:5" ht="15.75" customHeight="1" x14ac:dyDescent="0.2">
      <c r="E792" s="51"/>
    </row>
    <row r="793" spans="5:5" ht="15.75" customHeight="1" x14ac:dyDescent="0.2">
      <c r="E793" s="51"/>
    </row>
    <row r="794" spans="5:5" ht="15.75" customHeight="1" x14ac:dyDescent="0.2">
      <c r="E794" s="51"/>
    </row>
    <row r="795" spans="5:5" ht="15.75" customHeight="1" x14ac:dyDescent="0.2">
      <c r="E795" s="51"/>
    </row>
    <row r="796" spans="5:5" ht="15.75" customHeight="1" x14ac:dyDescent="0.2">
      <c r="E796" s="51"/>
    </row>
    <row r="797" spans="5:5" ht="15.75" customHeight="1" x14ac:dyDescent="0.2">
      <c r="E797" s="51"/>
    </row>
    <row r="798" spans="5:5" ht="15.75" customHeight="1" x14ac:dyDescent="0.2">
      <c r="E798" s="51"/>
    </row>
    <row r="799" spans="5:5" ht="15.75" customHeight="1" x14ac:dyDescent="0.2">
      <c r="E799" s="51"/>
    </row>
    <row r="800" spans="5:5" ht="15.75" customHeight="1" x14ac:dyDescent="0.2">
      <c r="E800" s="51"/>
    </row>
    <row r="801" spans="5:5" ht="15.75" customHeight="1" x14ac:dyDescent="0.2">
      <c r="E801" s="51"/>
    </row>
    <row r="802" spans="5:5" ht="15.75" customHeight="1" x14ac:dyDescent="0.2">
      <c r="E802" s="51"/>
    </row>
    <row r="803" spans="5:5" ht="15.75" customHeight="1" x14ac:dyDescent="0.2">
      <c r="E803" s="51"/>
    </row>
    <row r="804" spans="5:5" ht="15.75" customHeight="1" x14ac:dyDescent="0.2">
      <c r="E804" s="51"/>
    </row>
    <row r="805" spans="5:5" ht="15.75" customHeight="1" x14ac:dyDescent="0.2">
      <c r="E805" s="51"/>
    </row>
    <row r="806" spans="5:5" ht="15.75" customHeight="1" x14ac:dyDescent="0.2">
      <c r="E806" s="51"/>
    </row>
    <row r="807" spans="5:5" ht="15.75" customHeight="1" x14ac:dyDescent="0.2">
      <c r="E807" s="51"/>
    </row>
    <row r="808" spans="5:5" ht="15.75" customHeight="1" x14ac:dyDescent="0.2">
      <c r="E808" s="51"/>
    </row>
    <row r="809" spans="5:5" ht="15.75" customHeight="1" x14ac:dyDescent="0.2">
      <c r="E809" s="51"/>
    </row>
    <row r="810" spans="5:5" ht="15.75" customHeight="1" x14ac:dyDescent="0.2">
      <c r="E810" s="51"/>
    </row>
    <row r="811" spans="5:5" ht="15.75" customHeight="1" x14ac:dyDescent="0.2">
      <c r="E811" s="51"/>
    </row>
    <row r="812" spans="5:5" ht="15.75" customHeight="1" x14ac:dyDescent="0.2">
      <c r="E812" s="51"/>
    </row>
    <row r="813" spans="5:5" ht="15.75" customHeight="1" x14ac:dyDescent="0.2">
      <c r="E813" s="51"/>
    </row>
    <row r="814" spans="5:5" ht="15.75" customHeight="1" x14ac:dyDescent="0.2">
      <c r="E814" s="51"/>
    </row>
    <row r="815" spans="5:5" ht="15.75" customHeight="1" x14ac:dyDescent="0.2">
      <c r="E815" s="51"/>
    </row>
    <row r="816" spans="5:5" ht="15.75" customHeight="1" x14ac:dyDescent="0.2">
      <c r="E816" s="51"/>
    </row>
    <row r="817" spans="5:5" ht="15.75" customHeight="1" x14ac:dyDescent="0.2">
      <c r="E817" s="51"/>
    </row>
    <row r="818" spans="5:5" ht="15.75" customHeight="1" x14ac:dyDescent="0.2">
      <c r="E818" s="51"/>
    </row>
    <row r="819" spans="5:5" ht="15.75" customHeight="1" x14ac:dyDescent="0.2">
      <c r="E819" s="51"/>
    </row>
    <row r="820" spans="5:5" ht="15.75" customHeight="1" x14ac:dyDescent="0.2">
      <c r="E820" s="51"/>
    </row>
    <row r="821" spans="5:5" ht="15.75" customHeight="1" x14ac:dyDescent="0.2">
      <c r="E821" s="51"/>
    </row>
    <row r="822" spans="5:5" ht="15.75" customHeight="1" x14ac:dyDescent="0.2">
      <c r="E822" s="51"/>
    </row>
    <row r="823" spans="5:5" ht="15.75" customHeight="1" x14ac:dyDescent="0.2">
      <c r="E823" s="51"/>
    </row>
    <row r="824" spans="5:5" ht="15.75" customHeight="1" x14ac:dyDescent="0.2">
      <c r="E824" s="51"/>
    </row>
    <row r="825" spans="5:5" ht="15.75" customHeight="1" x14ac:dyDescent="0.2">
      <c r="E825" s="51"/>
    </row>
    <row r="826" spans="5:5" ht="15.75" customHeight="1" x14ac:dyDescent="0.2">
      <c r="E826" s="51"/>
    </row>
    <row r="827" spans="5:5" ht="15.75" customHeight="1" x14ac:dyDescent="0.2">
      <c r="E827" s="51"/>
    </row>
    <row r="828" spans="5:5" ht="15.75" customHeight="1" x14ac:dyDescent="0.2">
      <c r="E828" s="51"/>
    </row>
    <row r="829" spans="5:5" ht="15.75" customHeight="1" x14ac:dyDescent="0.2">
      <c r="E829" s="51"/>
    </row>
    <row r="830" spans="5:5" ht="15.75" customHeight="1" x14ac:dyDescent="0.2">
      <c r="E830" s="51"/>
    </row>
    <row r="831" spans="5:5" ht="15.75" customHeight="1" x14ac:dyDescent="0.2">
      <c r="E831" s="51"/>
    </row>
    <row r="832" spans="5:5" ht="15.75" customHeight="1" x14ac:dyDescent="0.2">
      <c r="E832" s="51"/>
    </row>
    <row r="833" spans="5:5" ht="15.75" customHeight="1" x14ac:dyDescent="0.2">
      <c r="E833" s="51"/>
    </row>
    <row r="834" spans="5:5" ht="15.75" customHeight="1" x14ac:dyDescent="0.2">
      <c r="E834" s="51"/>
    </row>
    <row r="835" spans="5:5" ht="15.75" customHeight="1" x14ac:dyDescent="0.2">
      <c r="E835" s="51"/>
    </row>
    <row r="836" spans="5:5" ht="15.75" customHeight="1" x14ac:dyDescent="0.2">
      <c r="E836" s="51"/>
    </row>
    <row r="837" spans="5:5" ht="15.75" customHeight="1" x14ac:dyDescent="0.2">
      <c r="E837" s="51"/>
    </row>
    <row r="838" spans="5:5" ht="15.75" customHeight="1" x14ac:dyDescent="0.2">
      <c r="E838" s="51"/>
    </row>
    <row r="839" spans="5:5" ht="15.75" customHeight="1" x14ac:dyDescent="0.2">
      <c r="E839" s="51"/>
    </row>
    <row r="840" spans="5:5" ht="15.75" customHeight="1" x14ac:dyDescent="0.2">
      <c r="E840" s="51"/>
    </row>
    <row r="841" spans="5:5" ht="15.75" customHeight="1" x14ac:dyDescent="0.2">
      <c r="E841" s="51"/>
    </row>
    <row r="842" spans="5:5" ht="15.75" customHeight="1" x14ac:dyDescent="0.2">
      <c r="E842" s="51"/>
    </row>
    <row r="843" spans="5:5" ht="15.75" customHeight="1" x14ac:dyDescent="0.2">
      <c r="E843" s="51"/>
    </row>
    <row r="844" spans="5:5" ht="15.75" customHeight="1" x14ac:dyDescent="0.2">
      <c r="E844" s="51"/>
    </row>
    <row r="845" spans="5:5" ht="15.75" customHeight="1" x14ac:dyDescent="0.2">
      <c r="E845" s="51"/>
    </row>
    <row r="846" spans="5:5" ht="15.75" customHeight="1" x14ac:dyDescent="0.2">
      <c r="E846" s="51"/>
    </row>
    <row r="847" spans="5:5" ht="15.75" customHeight="1" x14ac:dyDescent="0.2">
      <c r="E847" s="51"/>
    </row>
    <row r="848" spans="5:5" ht="15.75" customHeight="1" x14ac:dyDescent="0.2">
      <c r="E848" s="51"/>
    </row>
    <row r="849" spans="5:5" ht="15.75" customHeight="1" x14ac:dyDescent="0.2">
      <c r="E849" s="51"/>
    </row>
    <row r="850" spans="5:5" ht="15.75" customHeight="1" x14ac:dyDescent="0.2">
      <c r="E850" s="51"/>
    </row>
    <row r="851" spans="5:5" ht="15.75" customHeight="1" x14ac:dyDescent="0.2">
      <c r="E851" s="51"/>
    </row>
    <row r="852" spans="5:5" ht="15.75" customHeight="1" x14ac:dyDescent="0.2">
      <c r="E852" s="51"/>
    </row>
    <row r="853" spans="5:5" ht="15.75" customHeight="1" x14ac:dyDescent="0.2">
      <c r="E853" s="51"/>
    </row>
    <row r="854" spans="5:5" ht="15.75" customHeight="1" x14ac:dyDescent="0.2">
      <c r="E854" s="51"/>
    </row>
    <row r="855" spans="5:5" ht="15.75" customHeight="1" x14ac:dyDescent="0.2">
      <c r="E855" s="51"/>
    </row>
    <row r="856" spans="5:5" ht="15.75" customHeight="1" x14ac:dyDescent="0.2">
      <c r="E856" s="51"/>
    </row>
    <row r="857" spans="5:5" ht="15.75" customHeight="1" x14ac:dyDescent="0.2">
      <c r="E857" s="51"/>
    </row>
    <row r="858" spans="5:5" ht="15.75" customHeight="1" x14ac:dyDescent="0.2">
      <c r="E858" s="51"/>
    </row>
    <row r="859" spans="5:5" ht="15.75" customHeight="1" x14ac:dyDescent="0.2">
      <c r="E859" s="51"/>
    </row>
    <row r="860" spans="5:5" ht="15.75" customHeight="1" x14ac:dyDescent="0.2">
      <c r="E860" s="51"/>
    </row>
    <row r="861" spans="5:5" ht="15.75" customHeight="1" x14ac:dyDescent="0.2">
      <c r="E861" s="51"/>
    </row>
    <row r="862" spans="5:5" ht="15.75" customHeight="1" x14ac:dyDescent="0.2">
      <c r="E862" s="51"/>
    </row>
    <row r="863" spans="5:5" ht="15.75" customHeight="1" x14ac:dyDescent="0.2">
      <c r="E863" s="51"/>
    </row>
    <row r="864" spans="5:5" ht="15.75" customHeight="1" x14ac:dyDescent="0.2">
      <c r="E864" s="51"/>
    </row>
    <row r="865" spans="5:5" ht="15.75" customHeight="1" x14ac:dyDescent="0.2">
      <c r="E865" s="51"/>
    </row>
    <row r="866" spans="5:5" ht="15.75" customHeight="1" x14ac:dyDescent="0.2">
      <c r="E866" s="51"/>
    </row>
    <row r="867" spans="5:5" ht="15.75" customHeight="1" x14ac:dyDescent="0.2">
      <c r="E867" s="51"/>
    </row>
    <row r="868" spans="5:5" ht="15.75" customHeight="1" x14ac:dyDescent="0.2">
      <c r="E868" s="51"/>
    </row>
    <row r="869" spans="5:5" ht="15.75" customHeight="1" x14ac:dyDescent="0.2">
      <c r="E869" s="51"/>
    </row>
    <row r="870" spans="5:5" ht="15.75" customHeight="1" x14ac:dyDescent="0.2">
      <c r="E870" s="51"/>
    </row>
    <row r="871" spans="5:5" ht="15.75" customHeight="1" x14ac:dyDescent="0.2">
      <c r="E871" s="51"/>
    </row>
    <row r="872" spans="5:5" ht="15.75" customHeight="1" x14ac:dyDescent="0.2">
      <c r="E872" s="51"/>
    </row>
    <row r="873" spans="5:5" ht="15.75" customHeight="1" x14ac:dyDescent="0.2">
      <c r="E873" s="51"/>
    </row>
    <row r="874" spans="5:5" ht="15.75" customHeight="1" x14ac:dyDescent="0.2">
      <c r="E874" s="51"/>
    </row>
    <row r="875" spans="5:5" ht="15.75" customHeight="1" x14ac:dyDescent="0.2">
      <c r="E875" s="51"/>
    </row>
    <row r="876" spans="5:5" ht="15.75" customHeight="1" x14ac:dyDescent="0.2">
      <c r="E876" s="51"/>
    </row>
    <row r="877" spans="5:5" ht="15.75" customHeight="1" x14ac:dyDescent="0.2">
      <c r="E877" s="51"/>
    </row>
    <row r="878" spans="5:5" ht="15.75" customHeight="1" x14ac:dyDescent="0.2">
      <c r="E878" s="51"/>
    </row>
    <row r="879" spans="5:5" ht="15.75" customHeight="1" x14ac:dyDescent="0.2">
      <c r="E879" s="51"/>
    </row>
    <row r="880" spans="5:5" ht="15.75" customHeight="1" x14ac:dyDescent="0.2">
      <c r="E880" s="51"/>
    </row>
    <row r="881" spans="5:5" ht="15.75" customHeight="1" x14ac:dyDescent="0.2">
      <c r="E881" s="51"/>
    </row>
    <row r="882" spans="5:5" ht="15.75" customHeight="1" x14ac:dyDescent="0.2">
      <c r="E882" s="51"/>
    </row>
    <row r="883" spans="5:5" ht="15.75" customHeight="1" x14ac:dyDescent="0.2">
      <c r="E883" s="51"/>
    </row>
    <row r="884" spans="5:5" ht="15.75" customHeight="1" x14ac:dyDescent="0.2">
      <c r="E884" s="51"/>
    </row>
    <row r="885" spans="5:5" ht="15.75" customHeight="1" x14ac:dyDescent="0.2">
      <c r="E885" s="51"/>
    </row>
    <row r="886" spans="5:5" ht="15.75" customHeight="1" x14ac:dyDescent="0.2">
      <c r="E886" s="51"/>
    </row>
    <row r="887" spans="5:5" ht="15.75" customHeight="1" x14ac:dyDescent="0.2">
      <c r="E887" s="51"/>
    </row>
    <row r="888" spans="5:5" ht="15.75" customHeight="1" x14ac:dyDescent="0.2">
      <c r="E888" s="51"/>
    </row>
    <row r="889" spans="5:5" ht="15.75" customHeight="1" x14ac:dyDescent="0.2">
      <c r="E889" s="51"/>
    </row>
    <row r="890" spans="5:5" ht="15.75" customHeight="1" x14ac:dyDescent="0.2">
      <c r="E890" s="51"/>
    </row>
    <row r="891" spans="5:5" ht="15.75" customHeight="1" x14ac:dyDescent="0.2">
      <c r="E891" s="51"/>
    </row>
    <row r="892" spans="5:5" ht="15.75" customHeight="1" x14ac:dyDescent="0.2">
      <c r="E892" s="51"/>
    </row>
    <row r="893" spans="5:5" ht="15.75" customHeight="1" x14ac:dyDescent="0.2">
      <c r="E893" s="51"/>
    </row>
    <row r="894" spans="5:5" ht="15.75" customHeight="1" x14ac:dyDescent="0.2">
      <c r="E894" s="51"/>
    </row>
    <row r="895" spans="5:5" ht="15.75" customHeight="1" x14ac:dyDescent="0.2">
      <c r="E895" s="51"/>
    </row>
    <row r="896" spans="5:5" ht="15.75" customHeight="1" x14ac:dyDescent="0.2">
      <c r="E896" s="51"/>
    </row>
    <row r="897" spans="5:5" ht="15.75" customHeight="1" x14ac:dyDescent="0.2">
      <c r="E897" s="51"/>
    </row>
    <row r="898" spans="5:5" ht="15.75" customHeight="1" x14ac:dyDescent="0.2">
      <c r="E898" s="51"/>
    </row>
    <row r="899" spans="5:5" ht="15.75" customHeight="1" x14ac:dyDescent="0.2">
      <c r="E899" s="51"/>
    </row>
    <row r="900" spans="5:5" ht="15.75" customHeight="1" x14ac:dyDescent="0.2">
      <c r="E900" s="51"/>
    </row>
    <row r="901" spans="5:5" ht="15.75" customHeight="1" x14ac:dyDescent="0.2">
      <c r="E901" s="51"/>
    </row>
    <row r="902" spans="5:5" ht="15.75" customHeight="1" x14ac:dyDescent="0.2">
      <c r="E902" s="51"/>
    </row>
    <row r="903" spans="5:5" ht="15.75" customHeight="1" x14ac:dyDescent="0.2">
      <c r="E903" s="51"/>
    </row>
    <row r="904" spans="5:5" ht="15.75" customHeight="1" x14ac:dyDescent="0.2">
      <c r="E904" s="51"/>
    </row>
    <row r="905" spans="5:5" ht="15.75" customHeight="1" x14ac:dyDescent="0.2">
      <c r="E905" s="51"/>
    </row>
    <row r="906" spans="5:5" ht="15.75" customHeight="1" x14ac:dyDescent="0.2">
      <c r="E906" s="51"/>
    </row>
    <row r="907" spans="5:5" ht="15.75" customHeight="1" x14ac:dyDescent="0.2">
      <c r="E907" s="51"/>
    </row>
    <row r="908" spans="5:5" ht="15.75" customHeight="1" x14ac:dyDescent="0.2">
      <c r="E908" s="51"/>
    </row>
    <row r="909" spans="5:5" ht="15.75" customHeight="1" x14ac:dyDescent="0.2">
      <c r="E909" s="51"/>
    </row>
    <row r="910" spans="5:5" ht="15.75" customHeight="1" x14ac:dyDescent="0.2">
      <c r="E910" s="51"/>
    </row>
    <row r="911" spans="5:5" ht="15.75" customHeight="1" x14ac:dyDescent="0.2">
      <c r="E911" s="51"/>
    </row>
    <row r="912" spans="5:5" ht="15.75" customHeight="1" x14ac:dyDescent="0.2">
      <c r="E912" s="51"/>
    </row>
    <row r="913" spans="5:5" ht="15.75" customHeight="1" x14ac:dyDescent="0.2">
      <c r="E913" s="51"/>
    </row>
    <row r="914" spans="5:5" ht="15.75" customHeight="1" x14ac:dyDescent="0.2">
      <c r="E914" s="51"/>
    </row>
    <row r="915" spans="5:5" ht="15.75" customHeight="1" x14ac:dyDescent="0.2">
      <c r="E915" s="51"/>
    </row>
    <row r="916" spans="5:5" ht="15.75" customHeight="1" x14ac:dyDescent="0.2">
      <c r="E916" s="51"/>
    </row>
    <row r="917" spans="5:5" ht="15.75" customHeight="1" x14ac:dyDescent="0.2">
      <c r="E917" s="51"/>
    </row>
    <row r="918" spans="5:5" ht="15.75" customHeight="1" x14ac:dyDescent="0.2">
      <c r="E918" s="51"/>
    </row>
    <row r="919" spans="5:5" ht="15.75" customHeight="1" x14ac:dyDescent="0.2">
      <c r="E919" s="51"/>
    </row>
    <row r="920" spans="5:5" ht="15.75" customHeight="1" x14ac:dyDescent="0.2">
      <c r="E920" s="51"/>
    </row>
    <row r="921" spans="5:5" ht="15.75" customHeight="1" x14ac:dyDescent="0.2">
      <c r="E921" s="51"/>
    </row>
    <row r="922" spans="5:5" ht="15.75" customHeight="1" x14ac:dyDescent="0.2">
      <c r="E922" s="51"/>
    </row>
    <row r="923" spans="5:5" ht="15.75" customHeight="1" x14ac:dyDescent="0.2">
      <c r="E923" s="51"/>
    </row>
    <row r="924" spans="5:5" ht="15.75" customHeight="1" x14ac:dyDescent="0.2">
      <c r="E924" s="51"/>
    </row>
    <row r="925" spans="5:5" ht="15.75" customHeight="1" x14ac:dyDescent="0.2">
      <c r="E925" s="51"/>
    </row>
    <row r="926" spans="5:5" ht="15.75" customHeight="1" x14ac:dyDescent="0.2">
      <c r="E926" s="51"/>
    </row>
    <row r="927" spans="5:5" ht="15.75" customHeight="1" x14ac:dyDescent="0.2">
      <c r="E927" s="51"/>
    </row>
    <row r="928" spans="5:5" ht="15.75" customHeight="1" x14ac:dyDescent="0.2">
      <c r="E928" s="51"/>
    </row>
    <row r="929" spans="5:5" ht="15.75" customHeight="1" x14ac:dyDescent="0.2">
      <c r="E929" s="51"/>
    </row>
    <row r="930" spans="5:5" ht="15.75" customHeight="1" x14ac:dyDescent="0.2">
      <c r="E930" s="51"/>
    </row>
    <row r="931" spans="5:5" ht="15.75" customHeight="1" x14ac:dyDescent="0.2">
      <c r="E931" s="51"/>
    </row>
    <row r="932" spans="5:5" ht="15.75" customHeight="1" x14ac:dyDescent="0.2">
      <c r="E932" s="51"/>
    </row>
    <row r="933" spans="5:5" ht="15.75" customHeight="1" x14ac:dyDescent="0.2">
      <c r="E933" s="51"/>
    </row>
    <row r="934" spans="5:5" ht="15.75" customHeight="1" x14ac:dyDescent="0.2">
      <c r="E934" s="51"/>
    </row>
    <row r="935" spans="5:5" ht="15.75" customHeight="1" x14ac:dyDescent="0.2">
      <c r="E935" s="51"/>
    </row>
    <row r="936" spans="5:5" ht="15.75" customHeight="1" x14ac:dyDescent="0.2">
      <c r="E936" s="51"/>
    </row>
    <row r="937" spans="5:5" ht="15.75" customHeight="1" x14ac:dyDescent="0.2">
      <c r="E937" s="51"/>
    </row>
    <row r="938" spans="5:5" ht="15.75" customHeight="1" x14ac:dyDescent="0.2">
      <c r="E938" s="51"/>
    </row>
    <row r="939" spans="5:5" ht="15.75" customHeight="1" x14ac:dyDescent="0.2">
      <c r="E939" s="51"/>
    </row>
    <row r="940" spans="5:5" ht="15.75" customHeight="1" x14ac:dyDescent="0.2">
      <c r="E940" s="51"/>
    </row>
    <row r="941" spans="5:5" ht="15.75" customHeight="1" x14ac:dyDescent="0.2">
      <c r="E941" s="51"/>
    </row>
    <row r="942" spans="5:5" ht="15.75" customHeight="1" x14ac:dyDescent="0.2">
      <c r="E942" s="51"/>
    </row>
    <row r="943" spans="5:5" ht="15.75" customHeight="1" x14ac:dyDescent="0.2">
      <c r="E943" s="51"/>
    </row>
    <row r="944" spans="5:5" ht="15.75" customHeight="1" x14ac:dyDescent="0.2">
      <c r="E944" s="51"/>
    </row>
    <row r="945" spans="5:5" ht="15.75" customHeight="1" x14ac:dyDescent="0.2">
      <c r="E945" s="51"/>
    </row>
    <row r="946" spans="5:5" ht="15.75" customHeight="1" x14ac:dyDescent="0.2">
      <c r="E946" s="51"/>
    </row>
    <row r="947" spans="5:5" ht="15.75" customHeight="1" x14ac:dyDescent="0.2">
      <c r="E947" s="51"/>
    </row>
    <row r="948" spans="5:5" ht="15.75" customHeight="1" x14ac:dyDescent="0.2">
      <c r="E948" s="51"/>
    </row>
    <row r="949" spans="5:5" ht="15.75" customHeight="1" x14ac:dyDescent="0.2">
      <c r="E949" s="51"/>
    </row>
    <row r="950" spans="5:5" ht="15.75" customHeight="1" x14ac:dyDescent="0.2">
      <c r="E950" s="51"/>
    </row>
    <row r="951" spans="5:5" ht="15.75" customHeight="1" x14ac:dyDescent="0.2">
      <c r="E951" s="51"/>
    </row>
    <row r="952" spans="5:5" ht="15.75" customHeight="1" x14ac:dyDescent="0.2">
      <c r="E952" s="51"/>
    </row>
    <row r="953" spans="5:5" ht="15.75" customHeight="1" x14ac:dyDescent="0.2">
      <c r="E953" s="51"/>
    </row>
    <row r="954" spans="5:5" ht="15.75" customHeight="1" x14ac:dyDescent="0.2">
      <c r="E954" s="51"/>
    </row>
    <row r="955" spans="5:5" ht="15.75" customHeight="1" x14ac:dyDescent="0.2">
      <c r="E955" s="51"/>
    </row>
    <row r="956" spans="5:5" ht="15.75" customHeight="1" x14ac:dyDescent="0.2">
      <c r="E956" s="51"/>
    </row>
    <row r="957" spans="5:5" ht="15.75" customHeight="1" x14ac:dyDescent="0.2">
      <c r="E957" s="51"/>
    </row>
    <row r="958" spans="5:5" ht="15.75" customHeight="1" x14ac:dyDescent="0.2">
      <c r="E958" s="51"/>
    </row>
    <row r="959" spans="5:5" ht="15.75" customHeight="1" x14ac:dyDescent="0.2">
      <c r="E959" s="51"/>
    </row>
    <row r="960" spans="5:5" ht="15.75" customHeight="1" x14ac:dyDescent="0.2">
      <c r="E960" s="51"/>
    </row>
    <row r="961" spans="5:5" ht="15.75" customHeight="1" x14ac:dyDescent="0.2">
      <c r="E961" s="51"/>
    </row>
    <row r="962" spans="5:5" ht="15.75" customHeight="1" x14ac:dyDescent="0.2">
      <c r="E962" s="51"/>
    </row>
    <row r="963" spans="5:5" ht="15.75" customHeight="1" x14ac:dyDescent="0.2">
      <c r="E963" s="51"/>
    </row>
    <row r="964" spans="5:5" ht="15.75" customHeight="1" x14ac:dyDescent="0.2">
      <c r="E964" s="51"/>
    </row>
    <row r="965" spans="5:5" ht="15.75" customHeight="1" x14ac:dyDescent="0.2">
      <c r="E965" s="51"/>
    </row>
    <row r="966" spans="5:5" ht="15.75" customHeight="1" x14ac:dyDescent="0.2">
      <c r="E966" s="51"/>
    </row>
    <row r="967" spans="5:5" ht="15.75" customHeight="1" x14ac:dyDescent="0.2">
      <c r="E967" s="51"/>
    </row>
    <row r="968" spans="5:5" ht="15.75" customHeight="1" x14ac:dyDescent="0.2">
      <c r="E968" s="51"/>
    </row>
    <row r="969" spans="5:5" ht="15.75" customHeight="1" x14ac:dyDescent="0.2">
      <c r="E969" s="51"/>
    </row>
    <row r="970" spans="5:5" ht="15.75" customHeight="1" x14ac:dyDescent="0.2">
      <c r="E970" s="51"/>
    </row>
    <row r="971" spans="5:5" ht="15.75" customHeight="1" x14ac:dyDescent="0.2">
      <c r="E971" s="51"/>
    </row>
    <row r="972" spans="5:5" ht="15.75" customHeight="1" x14ac:dyDescent="0.2">
      <c r="E972" s="51"/>
    </row>
    <row r="973" spans="5:5" ht="15.75" customHeight="1" x14ac:dyDescent="0.2">
      <c r="E973" s="51"/>
    </row>
    <row r="974" spans="5:5" ht="15.75" customHeight="1" x14ac:dyDescent="0.2">
      <c r="E974" s="51"/>
    </row>
    <row r="975" spans="5:5" ht="15.75" customHeight="1" x14ac:dyDescent="0.2">
      <c r="E975" s="51"/>
    </row>
    <row r="976" spans="5:5" ht="15.75" customHeight="1" x14ac:dyDescent="0.2">
      <c r="E976" s="51"/>
    </row>
    <row r="977" spans="5:5" ht="15.75" customHeight="1" x14ac:dyDescent="0.2">
      <c r="E977" s="51"/>
    </row>
    <row r="978" spans="5:5" ht="15.75" customHeight="1" x14ac:dyDescent="0.2">
      <c r="E978" s="51"/>
    </row>
    <row r="979" spans="5:5" ht="15.75" customHeight="1" x14ac:dyDescent="0.2">
      <c r="E979" s="51"/>
    </row>
    <row r="980" spans="5:5" ht="15.75" customHeight="1" x14ac:dyDescent="0.2">
      <c r="E980" s="51"/>
    </row>
    <row r="981" spans="5:5" ht="15.75" customHeight="1" x14ac:dyDescent="0.2">
      <c r="E981" s="51"/>
    </row>
    <row r="982" spans="5:5" ht="15.75" customHeight="1" x14ac:dyDescent="0.2">
      <c r="E982" s="51"/>
    </row>
    <row r="983" spans="5:5" ht="15.75" customHeight="1" x14ac:dyDescent="0.2">
      <c r="E983" s="51"/>
    </row>
    <row r="984" spans="5:5" ht="15.75" customHeight="1" x14ac:dyDescent="0.2">
      <c r="E984" s="51"/>
    </row>
    <row r="985" spans="5:5" ht="15.75" customHeight="1" x14ac:dyDescent="0.2">
      <c r="E985" s="51"/>
    </row>
    <row r="986" spans="5:5" ht="15.75" customHeight="1" x14ac:dyDescent="0.2">
      <c r="E986" s="51"/>
    </row>
    <row r="987" spans="5:5" ht="15.75" customHeight="1" x14ac:dyDescent="0.2">
      <c r="E987" s="51"/>
    </row>
    <row r="988" spans="5:5" ht="15.75" customHeight="1" x14ac:dyDescent="0.2">
      <c r="E988" s="51"/>
    </row>
    <row r="989" spans="5:5" ht="15.75" customHeight="1" x14ac:dyDescent="0.2">
      <c r="E989" s="51"/>
    </row>
    <row r="990" spans="5:5" ht="15.75" customHeight="1" x14ac:dyDescent="0.2">
      <c r="E990" s="51"/>
    </row>
    <row r="991" spans="5:5" ht="15.75" customHeight="1" x14ac:dyDescent="0.2">
      <c r="E991" s="51"/>
    </row>
    <row r="992" spans="5:5" ht="15.75" customHeight="1" x14ac:dyDescent="0.2">
      <c r="E992" s="51"/>
    </row>
    <row r="993" spans="5:5" ht="15.75" customHeight="1" x14ac:dyDescent="0.2">
      <c r="E993" s="51"/>
    </row>
    <row r="994" spans="5:5" ht="15.75" customHeight="1" x14ac:dyDescent="0.2">
      <c r="E994" s="51"/>
    </row>
    <row r="995" spans="5:5" ht="15.75" customHeight="1" x14ac:dyDescent="0.2">
      <c r="E995" s="51"/>
    </row>
    <row r="996" spans="5:5" ht="15.75" customHeight="1" x14ac:dyDescent="0.2">
      <c r="E996" s="51"/>
    </row>
    <row r="997" spans="5:5" ht="15.75" customHeight="1" x14ac:dyDescent="0.2">
      <c r="E997" s="51"/>
    </row>
    <row r="998" spans="5:5" ht="15.75" customHeight="1" x14ac:dyDescent="0.2">
      <c r="E998" s="51"/>
    </row>
    <row r="999" spans="5:5" ht="15.75" customHeight="1" x14ac:dyDescent="0.2">
      <c r="E999" s="51"/>
    </row>
    <row r="1000" spans="5:5" ht="15.75" customHeight="1" x14ac:dyDescent="0.2">
      <c r="E1000" s="51"/>
    </row>
    <row r="1001" spans="5:5" ht="15.75" customHeight="1" x14ac:dyDescent="0.2">
      <c r="E1001" s="51"/>
    </row>
    <row r="1002" spans="5:5" ht="15.75" customHeight="1" x14ac:dyDescent="0.2">
      <c r="E1002" s="51"/>
    </row>
  </sheetData>
  <mergeCells count="10">
    <mergeCell ref="D8:D10"/>
    <mergeCell ref="E8:G8"/>
    <mergeCell ref="A1:G1"/>
    <mergeCell ref="H1:K1"/>
    <mergeCell ref="E4:F4"/>
    <mergeCell ref="E5:F5"/>
    <mergeCell ref="A8:A10"/>
    <mergeCell ref="B8:B10"/>
    <mergeCell ref="C8:C10"/>
    <mergeCell ref="H8:K8"/>
  </mergeCells>
  <pageMargins left="0.7" right="0.7" top="0.75" bottom="0.75" header="0" footer="0"/>
  <pageSetup paperSize="9" fitToHeight="0" orientation="portrait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32"/>
  <sheetViews>
    <sheetView workbookViewId="0"/>
  </sheetViews>
  <sheetFormatPr baseColWidth="10" defaultColWidth="12.5703125" defaultRowHeight="15" customHeight="1" x14ac:dyDescent="0.2"/>
  <cols>
    <col min="2" max="2" width="22.42578125" customWidth="1"/>
    <col min="4" max="4" width="17.42578125" customWidth="1"/>
  </cols>
  <sheetData>
    <row r="2" spans="1:4" ht="15" customHeight="1" x14ac:dyDescent="0.2">
      <c r="A2" s="1">
        <v>4658568065</v>
      </c>
    </row>
    <row r="3" spans="1:4" ht="15" customHeight="1" x14ac:dyDescent="0.2">
      <c r="B3" s="2" t="s">
        <v>1</v>
      </c>
      <c r="C3" s="3">
        <v>1.0660000000000001</v>
      </c>
      <c r="D3" s="7">
        <f>A2*C3</f>
        <v>4966033557.29</v>
      </c>
    </row>
    <row r="4" spans="1:4" ht="15" customHeight="1" x14ac:dyDescent="0.2">
      <c r="B4" s="2" t="s">
        <v>2</v>
      </c>
      <c r="C4" s="2">
        <v>1.0641</v>
      </c>
      <c r="D4" s="7">
        <f t="shared" ref="D4:D7" si="0">D3*C4</f>
        <v>5284356308.3122892</v>
      </c>
    </row>
    <row r="5" spans="1:4" ht="15" customHeight="1" x14ac:dyDescent="0.2">
      <c r="B5" s="2" t="s">
        <v>2</v>
      </c>
      <c r="C5" s="2">
        <v>1.0530999999999999</v>
      </c>
      <c r="D5" s="7">
        <f t="shared" si="0"/>
        <v>5564955628.2836714</v>
      </c>
    </row>
    <row r="6" spans="1:4" ht="15" customHeight="1" x14ac:dyDescent="0.2">
      <c r="B6" s="2" t="s">
        <v>3</v>
      </c>
      <c r="C6" s="2">
        <v>1.0641</v>
      </c>
      <c r="D6" s="7">
        <f t="shared" si="0"/>
        <v>5921669284.0566549</v>
      </c>
    </row>
    <row r="7" spans="1:4" ht="15" customHeight="1" x14ac:dyDescent="0.2">
      <c r="B7" s="2" t="s">
        <v>4</v>
      </c>
      <c r="C7" s="2">
        <v>1.0505</v>
      </c>
      <c r="D7" s="14">
        <f t="shared" si="0"/>
        <v>6220713582.901516</v>
      </c>
    </row>
    <row r="10" spans="1:4" ht="15" customHeight="1" x14ac:dyDescent="0.2">
      <c r="D10" s="2">
        <f>D7/A2-1</f>
        <v>0.33532740020221552</v>
      </c>
    </row>
    <row r="11" spans="1:4" ht="15" customHeight="1" x14ac:dyDescent="0.2">
      <c r="B11" s="3">
        <v>3204575076.5300002</v>
      </c>
    </row>
    <row r="12" spans="1:4" ht="15" customHeight="1" x14ac:dyDescent="0.2">
      <c r="B12" s="16">
        <f>B11/D7</f>
        <v>0.51514589666018606</v>
      </c>
    </row>
    <row r="18" spans="1:4" ht="15" customHeight="1" x14ac:dyDescent="0.2">
      <c r="A18" s="2" t="s">
        <v>5</v>
      </c>
    </row>
    <row r="20" spans="1:4" ht="15" customHeight="1" x14ac:dyDescent="0.2">
      <c r="A20" s="19">
        <v>4729401372.6000004</v>
      </c>
    </row>
    <row r="22" spans="1:4" ht="12.75" x14ac:dyDescent="0.2">
      <c r="B22" s="2" t="s">
        <v>1</v>
      </c>
      <c r="C22" s="3">
        <v>1.0660000000000001</v>
      </c>
      <c r="D22" s="2">
        <f>A20*C22</f>
        <v>5041541863.1916008</v>
      </c>
    </row>
    <row r="23" spans="1:4" ht="12.75" x14ac:dyDescent="0.2">
      <c r="B23" s="2" t="s">
        <v>2</v>
      </c>
      <c r="C23" s="2">
        <v>1.0791999999999999</v>
      </c>
      <c r="D23" s="2">
        <f t="shared" ref="D23:D26" si="1">D22*C23</f>
        <v>5440831978.7563753</v>
      </c>
    </row>
    <row r="24" spans="1:4" ht="12.75" x14ac:dyDescent="0.2">
      <c r="B24" s="2" t="s">
        <v>2</v>
      </c>
      <c r="C24" s="2">
        <v>1.0530999999999999</v>
      </c>
      <c r="D24" s="2">
        <f t="shared" si="1"/>
        <v>5729740156.8283386</v>
      </c>
    </row>
    <row r="25" spans="1:4" ht="12.75" x14ac:dyDescent="0.2">
      <c r="B25" s="2" t="s">
        <v>3</v>
      </c>
      <c r="C25" s="2">
        <v>1.0511999999999999</v>
      </c>
      <c r="D25" s="2">
        <f t="shared" si="1"/>
        <v>6023102852.8579493</v>
      </c>
    </row>
    <row r="26" spans="1:4" ht="12.75" x14ac:dyDescent="0.2">
      <c r="B26" s="2" t="s">
        <v>4</v>
      </c>
      <c r="C26" s="2">
        <v>1.0631999999999999</v>
      </c>
      <c r="D26" s="22">
        <f t="shared" si="1"/>
        <v>6403762953.1585712</v>
      </c>
    </row>
    <row r="31" spans="1:4" ht="12.75" x14ac:dyDescent="0.2">
      <c r="B31" s="23">
        <v>3300580827.6100001</v>
      </c>
    </row>
    <row r="32" spans="1:4" ht="12.75" x14ac:dyDescent="0.2">
      <c r="B32" s="16">
        <f>B31/D26</f>
        <v>0.51541271151862866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Zona 2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</dc:creator>
  <cp:lastModifiedBy>Melanie Destuet</cp:lastModifiedBy>
  <dcterms:created xsi:type="dcterms:W3CDTF">2026-02-04T11:51:37Z</dcterms:created>
  <dcterms:modified xsi:type="dcterms:W3CDTF">2026-08-27T14:57:00Z</dcterms:modified>
</cp:coreProperties>
</file>