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Archivos\finanzas municipales\Tareas\Cierres Mensuales\web\2026\06-Junio\"/>
    </mc:Choice>
  </mc:AlternateContent>
  <xr:revisionPtr revIDLastSave="0" documentId="13_ncr:1_{42DF2255-9FF0-498B-A0DD-865C4FCA6EB7}" xr6:coauthVersionLast="36" xr6:coauthVersionMax="36" xr10:uidLastSave="{00000000-0000-0000-0000-000000000000}"/>
  <bookViews>
    <workbookView xWindow="240" yWindow="1485" windowWidth="15120" windowHeight="4455" activeTab="5" xr2:uid="{00000000-000D-0000-FFFF-FFFF00000000}"/>
  </bookViews>
  <sheets>
    <sheet name="ENERO" sheetId="1" r:id="rId1"/>
    <sheet name="FEBRERO" sheetId="3" r:id="rId2"/>
    <sheet name="MARZO" sheetId="5" r:id="rId3"/>
    <sheet name="ABRIL" sheetId="6" r:id="rId4"/>
    <sheet name="MAYO" sheetId="7" r:id="rId5"/>
    <sheet name="JUNIO" sheetId="16" r:id="rId6"/>
    <sheet name="JULIO" sheetId="24" state="hidden" r:id="rId7"/>
    <sheet name="AGOSTO" sheetId="19" state="hidden" r:id="rId8"/>
    <sheet name="SEPTIEMBRE" sheetId="20" state="hidden" r:id="rId9"/>
    <sheet name="OCTUBRE" sheetId="21" state="hidden" r:id="rId10"/>
    <sheet name="NOVIEMBRE" sheetId="22" state="hidden" r:id="rId11"/>
    <sheet name="DICIEMBRE" sheetId="23" state="hidden" r:id="rId12"/>
    <sheet name="Acumulado" sheetId="2" r:id="rId13"/>
  </sheets>
  <externalReferences>
    <externalReference r:id="rId14"/>
    <externalReference r:id="rId15"/>
    <externalReference r:id="rId16"/>
  </externalReferences>
  <definedNames>
    <definedName name="\a">'[1]2001'!$P$1:$Q$3</definedName>
    <definedName name="_Fill" localSheetId="3" hidden="1">#REF!</definedName>
    <definedName name="_Fill" localSheetId="12" hidden="1">#REF!</definedName>
    <definedName name="_Fill" localSheetId="7" hidden="1">#REF!</definedName>
    <definedName name="_Fill" localSheetId="11" hidden="1">#REF!</definedName>
    <definedName name="_Fill" localSheetId="1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3" hidden="1">ABRIL!$A$6:$D$142</definedName>
    <definedName name="_xlnm._FilterDatabase" localSheetId="12" hidden="1">Acumulado!$A$7:$D$143</definedName>
    <definedName name="_xlnm._FilterDatabase" localSheetId="7" hidden="1">AGOSTO!$A$6:$D$142</definedName>
    <definedName name="_xlnm._FilterDatabase" localSheetId="11" hidden="1">DICIEMBRE!$A$6:$D$142</definedName>
    <definedName name="_xlnm._FilterDatabase" localSheetId="0" hidden="1">ENERO!$A$8:$N$143</definedName>
    <definedName name="_xlnm._FilterDatabase" localSheetId="1" hidden="1">FEBRERO!$A$7:$D$143</definedName>
    <definedName name="_xlnm._FilterDatabase" localSheetId="6" hidden="1">JULIO!$A$6:$D$142</definedName>
    <definedName name="_xlnm._FilterDatabase" localSheetId="5" hidden="1">JUNIO!$A$6:$D$142</definedName>
    <definedName name="_xlnm._FilterDatabase" localSheetId="2" hidden="1">MARZO!$A$6:$D$142</definedName>
    <definedName name="_xlnm._FilterDatabase" localSheetId="4" hidden="1">MAYO!$A$6:$D$142</definedName>
    <definedName name="_xlnm._FilterDatabase" localSheetId="10" hidden="1">NOVIEMBRE!$A$6:$D$142</definedName>
    <definedName name="_xlnm._FilterDatabase" localSheetId="9" hidden="1">OCTUBRE!$A$6:$D$142</definedName>
    <definedName name="_xlnm._FilterDatabase" localSheetId="8" hidden="1">SEPTIEMBRE!$A$6:$D$142</definedName>
    <definedName name="_Key1" localSheetId="3" hidden="1">[2]REDE02!#REF!</definedName>
    <definedName name="_Key1" localSheetId="12" hidden="1">[2]REDE02!#REF!</definedName>
    <definedName name="_Key1" localSheetId="7" hidden="1">[2]REDE02!#REF!</definedName>
    <definedName name="_Key1" localSheetId="11" hidden="1">[2]REDE02!#REF!</definedName>
    <definedName name="_Key1" localSheetId="1" hidden="1">[2]REDE02!#REF!</definedName>
    <definedName name="_Key1" localSheetId="6" hidden="1">[2]REDE02!#REF!</definedName>
    <definedName name="_Key1" localSheetId="5" hidden="1">[2]REDE02!#REF!</definedName>
    <definedName name="_Key1" localSheetId="2" hidden="1">[2]REDE02!#REF!</definedName>
    <definedName name="_Key1" localSheetId="4" hidden="1">[2]REDE02!#REF!</definedName>
    <definedName name="_Key1" localSheetId="10" hidden="1">[2]REDE02!#REF!</definedName>
    <definedName name="_Key1" localSheetId="9" hidden="1">[2]REDE02!#REF!</definedName>
    <definedName name="_Key1" localSheetId="8" hidden="1">[2]REDE02!#REF!</definedName>
    <definedName name="_Key1" hidden="1">[2]REDE02!#REF!</definedName>
    <definedName name="_Order1" hidden="1">255</definedName>
    <definedName name="_Sort" localSheetId="3" hidden="1">#REF!</definedName>
    <definedName name="_Sort" localSheetId="12" hidden="1">#REF!</definedName>
    <definedName name="_Sort" localSheetId="7" hidden="1">#REF!</definedName>
    <definedName name="_Sort" localSheetId="11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4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hidden="1">#REF!</definedName>
    <definedName name="_xlnm.Print_Area" localSheetId="3">ABRIL!$A$1:$N$143</definedName>
    <definedName name="_xlnm.Print_Area" localSheetId="12">Acumulado!$B$8:$N$143</definedName>
    <definedName name="_xlnm.Print_Area" localSheetId="7">AGOSTO!$A$1:$N$143</definedName>
    <definedName name="_xlnm.Print_Area" localSheetId="11">DICIEMBRE!$A$1:$N$143</definedName>
    <definedName name="_xlnm.Print_Area" localSheetId="0">ENERO!$A$1:$N$143</definedName>
    <definedName name="_xlnm.Print_Area" localSheetId="1">FEBRERO!$A$1:$N$143</definedName>
    <definedName name="_xlnm.Print_Area" localSheetId="6">JULIO!$A$1:$N$143</definedName>
    <definedName name="_xlnm.Print_Area" localSheetId="5">JUNIO!$A$1:$N$143</definedName>
    <definedName name="_xlnm.Print_Area" localSheetId="2">MARZO!$A$1:$N$143</definedName>
    <definedName name="_xlnm.Print_Area" localSheetId="4">MAYO!$A$1:$N$143</definedName>
    <definedName name="_xlnm.Print_Area" localSheetId="10">NOVIEMBRE!$A$1:$N$143</definedName>
    <definedName name="_xlnm.Print_Area" localSheetId="9">OCTUBRE!$A$1:$N$143</definedName>
    <definedName name="_xlnm.Print_Area" localSheetId="8">SEPTIEMBRE!$A$1:$N$143</definedName>
    <definedName name="con" localSheetId="7">#REF!</definedName>
    <definedName name="con" localSheetId="11">#REF!</definedName>
    <definedName name="con" localSheetId="6">#REF!</definedName>
    <definedName name="con" localSheetId="10">#REF!</definedName>
    <definedName name="con" localSheetId="9">#REF!</definedName>
    <definedName name="con" localSheetId="8">#REF!</definedName>
    <definedName name="con">#REF!</definedName>
    <definedName name="contador" localSheetId="3">#REF!</definedName>
    <definedName name="contador" localSheetId="12">#REF!</definedName>
    <definedName name="contador" localSheetId="7">#REF!</definedName>
    <definedName name="contador" localSheetId="11">#REF!</definedName>
    <definedName name="contador" localSheetId="1">#REF!</definedName>
    <definedName name="contador" localSheetId="6">#REF!</definedName>
    <definedName name="contador" localSheetId="5">#REF!</definedName>
    <definedName name="contador" localSheetId="2">#REF!</definedName>
    <definedName name="contador" localSheetId="4">#REF!</definedName>
    <definedName name="contador" localSheetId="10">#REF!</definedName>
    <definedName name="contador" localSheetId="9">#REF!</definedName>
    <definedName name="contador" localSheetId="8">#REF!</definedName>
    <definedName name="contador">#REF!</definedName>
    <definedName name="FSA" localSheetId="3" hidden="1">'[3]Rec. y Transf.ENERO-04'!#REF!</definedName>
    <definedName name="FSA" localSheetId="12" hidden="1">'[3]Rec. y Transf.ENERO-04'!#REF!</definedName>
    <definedName name="FSA" localSheetId="7" hidden="1">'[3]Rec. y Transf.ENERO-04'!#REF!</definedName>
    <definedName name="FSA" localSheetId="11" hidden="1">'[3]Rec. y Transf.ENERO-04'!#REF!</definedName>
    <definedName name="FSA" localSheetId="1" hidden="1">'[3]Rec. y Transf.ENERO-04'!#REF!</definedName>
    <definedName name="FSA" localSheetId="6" hidden="1">'[3]Rec. y Transf.ENERO-04'!#REF!</definedName>
    <definedName name="FSA" localSheetId="5" hidden="1">'[3]Rec. y Transf.ENERO-04'!#REF!</definedName>
    <definedName name="FSA" localSheetId="2" hidden="1">'[3]Rec. y Transf.ENERO-04'!#REF!</definedName>
    <definedName name="FSA" localSheetId="4" hidden="1">'[3]Rec. y Transf.ENERO-04'!#REF!</definedName>
    <definedName name="FSA" localSheetId="10" hidden="1">'[3]Rec. y Transf.ENERO-04'!#REF!</definedName>
    <definedName name="FSA" localSheetId="9" hidden="1">'[3]Rec. y Transf.ENERO-04'!#REF!</definedName>
    <definedName name="FSA" localSheetId="8" hidden="1">'[3]Rec. y Transf.ENERO-04'!#REF!</definedName>
    <definedName name="FSA" hidden="1">'[3]Rec. y Transf.ENERO-04'!#REF!</definedName>
    <definedName name="JULIO" localSheetId="7" hidden="1">#REF!</definedName>
    <definedName name="JULIO" localSheetId="11" hidden="1">#REF!</definedName>
    <definedName name="JULIO" localSheetId="6" hidden="1">#REF!</definedName>
    <definedName name="JULIO" localSheetId="10" hidden="1">#REF!</definedName>
    <definedName name="JULIO" localSheetId="9" hidden="1">#REF!</definedName>
    <definedName name="JULIO" localSheetId="8" hidden="1">#REF!</definedName>
    <definedName name="JULIO" hidden="1">#REF!</definedName>
    <definedName name="_xlnm.Print_Titles" localSheetId="3">ABRIL!$A:$A,ABRIL!$1:$7</definedName>
    <definedName name="_xlnm.Print_Titles" localSheetId="12">Acumulado!$A:$A,Acumulado!$3:$7</definedName>
    <definedName name="_xlnm.Print_Titles" localSheetId="7">AGOSTO!$A:$A,AGOSTO!$1:$7</definedName>
    <definedName name="_xlnm.Print_Titles" localSheetId="11">DICIEMBRE!$A:$A,DICIEMBRE!$1:$7</definedName>
    <definedName name="_xlnm.Print_Titles" localSheetId="0">ENERO!$A:$A,ENERO!$1:$7</definedName>
    <definedName name="_xlnm.Print_Titles" localSheetId="1">FEBRERO!$A:$A,FEBRERO!$1:$7</definedName>
    <definedName name="_xlnm.Print_Titles" localSheetId="6">JULIO!$A:$A,JULIO!$1:$7</definedName>
    <definedName name="_xlnm.Print_Titles" localSheetId="5">JUNIO!$A:$A,JUNIO!$1:$7</definedName>
    <definedName name="_xlnm.Print_Titles" localSheetId="2">MARZO!$A:$A,MARZO!$1:$7</definedName>
    <definedName name="_xlnm.Print_Titles" localSheetId="4">MAYO!$A:$A,MAYO!$1:$7</definedName>
    <definedName name="_xlnm.Print_Titles" localSheetId="10">NOVIEMBRE!$A:$A,NOVIEMBRE!$1:$7</definedName>
    <definedName name="_xlnm.Print_Titles" localSheetId="9">OCTUBRE!$A:$A,OCTUBRE!$1:$7</definedName>
    <definedName name="_xlnm.Print_Titles" localSheetId="8">SEPTIEMBRE!$A:$A,SEPTIEMBRE!$1:$7</definedName>
  </definedNames>
  <calcPr calcId="191029"/>
</workbook>
</file>

<file path=xl/calcChain.xml><?xml version="1.0" encoding="utf-8"?>
<calcChain xmlns="http://schemas.openxmlformats.org/spreadsheetml/2006/main">
  <c r="K65" i="2" l="1"/>
  <c r="K68" i="2"/>
  <c r="K71" i="2"/>
  <c r="K74" i="2"/>
  <c r="K77" i="2"/>
  <c r="K80" i="2"/>
  <c r="K83" i="2"/>
  <c r="K86" i="2"/>
  <c r="K89" i="2"/>
  <c r="K92" i="2"/>
  <c r="K95" i="2"/>
  <c r="K98" i="2"/>
  <c r="K101" i="2"/>
  <c r="K104" i="2"/>
  <c r="K107" i="2"/>
  <c r="K110" i="2"/>
  <c r="K113" i="2"/>
  <c r="K116" i="2"/>
  <c r="K119" i="2"/>
  <c r="K122" i="2"/>
  <c r="K125" i="2"/>
  <c r="K128" i="2"/>
  <c r="K131" i="2"/>
  <c r="K134" i="2"/>
  <c r="K137" i="2"/>
  <c r="K140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6" i="2"/>
  <c r="K67" i="2"/>
  <c r="K69" i="2"/>
  <c r="K70" i="2"/>
  <c r="K72" i="2"/>
  <c r="K73" i="2"/>
  <c r="K75" i="2"/>
  <c r="K76" i="2"/>
  <c r="K78" i="2"/>
  <c r="K79" i="2"/>
  <c r="K81" i="2"/>
  <c r="K82" i="2"/>
  <c r="K84" i="2"/>
  <c r="K85" i="2"/>
  <c r="K87" i="2"/>
  <c r="K88" i="2"/>
  <c r="K90" i="2"/>
  <c r="K91" i="2"/>
  <c r="K93" i="2"/>
  <c r="K94" i="2"/>
  <c r="K96" i="2"/>
  <c r="K97" i="2"/>
  <c r="K99" i="2"/>
  <c r="K100" i="2"/>
  <c r="K102" i="2"/>
  <c r="K103" i="2"/>
  <c r="K105" i="2"/>
  <c r="K106" i="2"/>
  <c r="K108" i="2"/>
  <c r="K109" i="2"/>
  <c r="K111" i="2"/>
  <c r="K112" i="2"/>
  <c r="K114" i="2"/>
  <c r="K115" i="2"/>
  <c r="K117" i="2"/>
  <c r="K118" i="2"/>
  <c r="K120" i="2"/>
  <c r="K121" i="2"/>
  <c r="K123" i="2"/>
  <c r="K124" i="2"/>
  <c r="K126" i="2"/>
  <c r="K127" i="2"/>
  <c r="K129" i="2"/>
  <c r="K130" i="2"/>
  <c r="K132" i="2"/>
  <c r="K133" i="2"/>
  <c r="K135" i="2"/>
  <c r="K136" i="2"/>
  <c r="K138" i="2"/>
  <c r="K139" i="2"/>
  <c r="K141" i="2"/>
  <c r="K142" i="2"/>
  <c r="C143" i="21" l="1"/>
  <c r="C143" i="22" l="1"/>
  <c r="J8" i="2" l="1"/>
  <c r="C143" i="16" l="1"/>
  <c r="B8" i="2" l="1"/>
  <c r="N8" i="1" l="1"/>
  <c r="N8" i="24"/>
  <c r="N9" i="5"/>
  <c r="N8" i="5" l="1"/>
  <c r="N8" i="21"/>
  <c r="C143" i="19"/>
  <c r="J143" i="3" l="1"/>
  <c r="N140" i="1" l="1"/>
  <c r="C143" i="23" l="1"/>
  <c r="M143" i="23" l="1"/>
  <c r="M143" i="20"/>
  <c r="M143" i="19"/>
  <c r="M143" i="24"/>
  <c r="M143" i="16"/>
  <c r="M143" i="7"/>
  <c r="M143" i="6"/>
  <c r="M143" i="5"/>
  <c r="M143" i="3"/>
  <c r="M143" i="1"/>
  <c r="N8" i="22"/>
  <c r="M143" i="22"/>
  <c r="C143" i="20" l="1"/>
  <c r="C143" i="24"/>
  <c r="J9" i="2" l="1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 l="1"/>
  <c r="K143" i="2"/>
  <c r="C143" i="1" l="1"/>
  <c r="K143" i="1"/>
  <c r="N9" i="1"/>
  <c r="N12" i="1" l="1"/>
  <c r="N142" i="23" l="1"/>
  <c r="N9" i="22" l="1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K143" i="22"/>
  <c r="J143" i="22"/>
  <c r="I143" i="22"/>
  <c r="H143" i="22"/>
  <c r="G143" i="22"/>
  <c r="F143" i="22"/>
  <c r="E143" i="22"/>
  <c r="D143" i="22"/>
  <c r="B143" i="22"/>
  <c r="N143" i="22" l="1"/>
  <c r="N8" i="20"/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8" i="2"/>
  <c r="N9" i="23" l="1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8" i="23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8" i="19"/>
  <c r="N13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9" i="24"/>
  <c r="N140" i="24"/>
  <c r="N141" i="24"/>
  <c r="N142" i="24"/>
  <c r="N139" i="16"/>
  <c r="N142" i="16"/>
  <c r="N135" i="16"/>
  <c r="N126" i="16"/>
  <c r="N141" i="16"/>
  <c r="K143" i="16"/>
  <c r="N143" i="20" l="1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7" i="16"/>
  <c r="N128" i="16"/>
  <c r="N129" i="16"/>
  <c r="N130" i="16"/>
  <c r="N131" i="16"/>
  <c r="N132" i="16"/>
  <c r="N133" i="16"/>
  <c r="N134" i="16"/>
  <c r="N136" i="16"/>
  <c r="N137" i="16"/>
  <c r="N138" i="16"/>
  <c r="N140" i="16"/>
  <c r="N8" i="16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8" i="7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8" i="6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14" i="1"/>
  <c r="N107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8" i="1"/>
  <c r="N109" i="1"/>
  <c r="N110" i="1"/>
  <c r="N111" i="1"/>
  <c r="N112" i="1"/>
  <c r="N113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1" i="1"/>
  <c r="N142" i="1"/>
  <c r="N143" i="7" l="1"/>
  <c r="N143" i="1"/>
  <c r="N143" i="16"/>
  <c r="L143" i="6"/>
  <c r="C9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8" i="2"/>
  <c r="L143" i="23"/>
  <c r="L143" i="22"/>
  <c r="L143" i="21"/>
  <c r="L143" i="20"/>
  <c r="L143" i="19"/>
  <c r="L143" i="24"/>
  <c r="L143" i="7"/>
  <c r="C143" i="7"/>
  <c r="L143" i="1"/>
  <c r="L143" i="3"/>
  <c r="L143" i="5"/>
  <c r="D143" i="5"/>
  <c r="E143" i="5"/>
  <c r="F143" i="5"/>
  <c r="G143" i="5"/>
  <c r="H143" i="5"/>
  <c r="I143" i="5"/>
  <c r="J143" i="5"/>
  <c r="K143" i="5"/>
  <c r="C143" i="5"/>
  <c r="C143" i="3"/>
  <c r="N133" i="3" l="1"/>
  <c r="N121" i="3"/>
  <c r="N109" i="3"/>
  <c r="N93" i="3"/>
  <c r="N81" i="3"/>
  <c r="N65" i="3"/>
  <c r="N57" i="3"/>
  <c r="N41" i="3"/>
  <c r="N29" i="3"/>
  <c r="N21" i="3"/>
  <c r="N13" i="3"/>
  <c r="N8" i="3"/>
  <c r="N142" i="3"/>
  <c r="N138" i="3"/>
  <c r="N134" i="3"/>
  <c r="N130" i="3"/>
  <c r="N126" i="3"/>
  <c r="N122" i="3"/>
  <c r="N118" i="3"/>
  <c r="N114" i="3"/>
  <c r="N110" i="3"/>
  <c r="N106" i="3"/>
  <c r="N102" i="3"/>
  <c r="N98" i="3"/>
  <c r="N94" i="3"/>
  <c r="N90" i="3"/>
  <c r="N86" i="3"/>
  <c r="N82" i="3"/>
  <c r="N78" i="3"/>
  <c r="N74" i="3"/>
  <c r="N70" i="3"/>
  <c r="N66" i="3"/>
  <c r="N62" i="3"/>
  <c r="N58" i="3"/>
  <c r="N54" i="3"/>
  <c r="N50" i="3"/>
  <c r="N46" i="3"/>
  <c r="N42" i="3"/>
  <c r="N38" i="3"/>
  <c r="N34" i="3"/>
  <c r="N30" i="3"/>
  <c r="N26" i="3"/>
  <c r="N22" i="3"/>
  <c r="N18" i="3"/>
  <c r="N14" i="3"/>
  <c r="N10" i="3"/>
  <c r="N9" i="3"/>
  <c r="N141" i="3"/>
  <c r="N129" i="3"/>
  <c r="N117" i="3"/>
  <c r="N105" i="3"/>
  <c r="N97" i="3"/>
  <c r="N85" i="3"/>
  <c r="N73" i="3"/>
  <c r="N61" i="3"/>
  <c r="N49" i="3"/>
  <c r="N37" i="3"/>
  <c r="N140" i="3"/>
  <c r="N136" i="3"/>
  <c r="N132" i="3"/>
  <c r="N128" i="3"/>
  <c r="N124" i="3"/>
  <c r="N120" i="3"/>
  <c r="N116" i="3"/>
  <c r="N112" i="3"/>
  <c r="N108" i="3"/>
  <c r="N104" i="3"/>
  <c r="N100" i="3"/>
  <c r="N96" i="3"/>
  <c r="N92" i="3"/>
  <c r="N88" i="3"/>
  <c r="N84" i="3"/>
  <c r="N80" i="3"/>
  <c r="N76" i="3"/>
  <c r="N72" i="3"/>
  <c r="N68" i="3"/>
  <c r="N64" i="3"/>
  <c r="N60" i="3"/>
  <c r="N56" i="3"/>
  <c r="N52" i="3"/>
  <c r="N48" i="3"/>
  <c r="N44" i="3"/>
  <c r="N40" i="3"/>
  <c r="N36" i="3"/>
  <c r="N32" i="3"/>
  <c r="N28" i="3"/>
  <c r="N24" i="3"/>
  <c r="N20" i="3"/>
  <c r="N16" i="3"/>
  <c r="N12" i="3"/>
  <c r="N137" i="3"/>
  <c r="N125" i="3"/>
  <c r="N113" i="3"/>
  <c r="N101" i="3"/>
  <c r="N89" i="3"/>
  <c r="N77" i="3"/>
  <c r="N69" i="3"/>
  <c r="N53" i="3"/>
  <c r="N45" i="3"/>
  <c r="N33" i="3"/>
  <c r="N25" i="3"/>
  <c r="N17" i="3"/>
  <c r="N139" i="3"/>
  <c r="N135" i="3"/>
  <c r="N131" i="3"/>
  <c r="N127" i="3"/>
  <c r="N123" i="3"/>
  <c r="N119" i="3"/>
  <c r="N115" i="3"/>
  <c r="N111" i="3"/>
  <c r="N107" i="3"/>
  <c r="N103" i="3"/>
  <c r="N99" i="3"/>
  <c r="N95" i="3"/>
  <c r="N91" i="3"/>
  <c r="N87" i="3"/>
  <c r="N83" i="3"/>
  <c r="N79" i="3"/>
  <c r="N75" i="3"/>
  <c r="N71" i="3"/>
  <c r="N67" i="3"/>
  <c r="N63" i="3"/>
  <c r="N59" i="3"/>
  <c r="N55" i="3"/>
  <c r="N51" i="3"/>
  <c r="N47" i="3"/>
  <c r="N43" i="3"/>
  <c r="N39" i="3"/>
  <c r="N35" i="3"/>
  <c r="N31" i="3"/>
  <c r="N27" i="3"/>
  <c r="N23" i="3"/>
  <c r="N19" i="3"/>
  <c r="N15" i="3"/>
  <c r="N11" i="3"/>
  <c r="K143" i="3"/>
  <c r="C143" i="2"/>
  <c r="J143" i="1" l="1"/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K143" i="24"/>
  <c r="J143" i="24"/>
  <c r="I143" i="24"/>
  <c r="H143" i="24"/>
  <c r="G143" i="24"/>
  <c r="F143" i="24"/>
  <c r="E143" i="24"/>
  <c r="D143" i="24"/>
  <c r="B143" i="24"/>
  <c r="H143" i="2" l="1"/>
  <c r="N143" i="24"/>
  <c r="K143" i="23" l="1"/>
  <c r="J143" i="23"/>
  <c r="I143" i="23"/>
  <c r="H143" i="23"/>
  <c r="G143" i="23"/>
  <c r="F143" i="23"/>
  <c r="E143" i="23"/>
  <c r="D143" i="23"/>
  <c r="B143" i="23"/>
  <c r="N143" i="23" l="1"/>
  <c r="D143" i="2"/>
  <c r="K143" i="21" l="1"/>
  <c r="J143" i="21"/>
  <c r="I143" i="21"/>
  <c r="H143" i="21"/>
  <c r="G143" i="21"/>
  <c r="F143" i="21"/>
  <c r="E143" i="21"/>
  <c r="D143" i="21"/>
  <c r="B143" i="21"/>
  <c r="K143" i="20" l="1"/>
  <c r="J143" i="20"/>
  <c r="I143" i="20"/>
  <c r="H143" i="20"/>
  <c r="G143" i="20"/>
  <c r="F143" i="20"/>
  <c r="E143" i="20"/>
  <c r="D143" i="20"/>
  <c r="B143" i="20"/>
  <c r="K143" i="19" l="1"/>
  <c r="J143" i="19"/>
  <c r="I143" i="19"/>
  <c r="H143" i="19"/>
  <c r="G143" i="19"/>
  <c r="F143" i="19"/>
  <c r="E143" i="19"/>
  <c r="D143" i="19"/>
  <c r="B143" i="19"/>
  <c r="N143" i="19" l="1"/>
  <c r="L143" i="16" l="1"/>
  <c r="I143" i="16"/>
  <c r="H143" i="16"/>
  <c r="G143" i="16"/>
  <c r="F143" i="16"/>
  <c r="E143" i="16"/>
  <c r="D143" i="16"/>
  <c r="J143" i="16"/>
  <c r="B143" i="16"/>
  <c r="K143" i="7" l="1"/>
  <c r="H143" i="7"/>
  <c r="J143" i="6" l="1"/>
  <c r="F143" i="3" l="1"/>
  <c r="I143" i="3" l="1"/>
  <c r="H143" i="3"/>
  <c r="E143" i="3"/>
  <c r="J143" i="7" l="1"/>
  <c r="I143" i="7"/>
  <c r="G143" i="7"/>
  <c r="F143" i="7"/>
  <c r="E143" i="7"/>
  <c r="D143" i="7"/>
  <c r="B143" i="7"/>
  <c r="K143" i="6" l="1"/>
  <c r="I143" i="6"/>
  <c r="H143" i="6"/>
  <c r="G143" i="6"/>
  <c r="F143" i="6"/>
  <c r="E143" i="6"/>
  <c r="D143" i="6"/>
  <c r="B143" i="6"/>
  <c r="N143" i="6" l="1"/>
  <c r="B143" i="5"/>
  <c r="N143" i="5" l="1"/>
  <c r="G143" i="3" l="1"/>
  <c r="D143" i="3"/>
  <c r="B143" i="3"/>
  <c r="N143" i="3" l="1"/>
  <c r="I143" i="1"/>
  <c r="H143" i="1"/>
  <c r="G143" i="1"/>
  <c r="F143" i="1"/>
  <c r="E143" i="1"/>
  <c r="D143" i="1"/>
  <c r="B143" i="1"/>
  <c r="I143" i="2" l="1"/>
  <c r="G143" i="2"/>
  <c r="F143" i="2"/>
  <c r="E143" i="2"/>
  <c r="B143" i="2"/>
  <c r="N13" i="2" l="1"/>
  <c r="N13" i="21"/>
  <c r="N81" i="2"/>
  <c r="N81" i="21"/>
  <c r="N20" i="2"/>
  <c r="N20" i="21"/>
  <c r="N37" i="2"/>
  <c r="N37" i="21"/>
  <c r="N69" i="2"/>
  <c r="N69" i="21"/>
  <c r="N9" i="2"/>
  <c r="N9" i="21"/>
  <c r="N65" i="2"/>
  <c r="N65" i="21"/>
  <c r="N22" i="2"/>
  <c r="N22" i="21"/>
  <c r="N41" i="2"/>
  <c r="N41" i="21"/>
  <c r="N73" i="2"/>
  <c r="N73" i="21"/>
  <c r="N34" i="2"/>
  <c r="N34" i="21"/>
  <c r="M143" i="21"/>
  <c r="N17" i="2"/>
  <c r="N17" i="21"/>
  <c r="N32" i="2"/>
  <c r="N32" i="21"/>
  <c r="N61" i="2"/>
  <c r="N61" i="21"/>
  <c r="N93" i="2"/>
  <c r="N93" i="21"/>
  <c r="N38" i="2"/>
  <c r="N38" i="21"/>
  <c r="N46" i="2"/>
  <c r="N46" i="21"/>
  <c r="N54" i="2"/>
  <c r="N54" i="21"/>
  <c r="N62" i="2"/>
  <c r="N62" i="21"/>
  <c r="N70" i="2"/>
  <c r="N70" i="21"/>
  <c r="N78" i="2"/>
  <c r="N78" i="21"/>
  <c r="N86" i="2"/>
  <c r="N86" i="21"/>
  <c r="N94" i="2"/>
  <c r="N94" i="21"/>
  <c r="N15" i="2"/>
  <c r="N15" i="21"/>
  <c r="N21" i="2"/>
  <c r="N21" i="21"/>
  <c r="N25" i="2"/>
  <c r="N25" i="21"/>
  <c r="N29" i="2"/>
  <c r="N29" i="21"/>
  <c r="N33" i="2"/>
  <c r="N33" i="21"/>
  <c r="N39" i="2"/>
  <c r="N39" i="21"/>
  <c r="N47" i="2"/>
  <c r="N47" i="21"/>
  <c r="N55" i="2"/>
  <c r="N55" i="21"/>
  <c r="N63" i="2"/>
  <c r="N63" i="21"/>
  <c r="N71" i="2"/>
  <c r="N71" i="21"/>
  <c r="N79" i="2"/>
  <c r="N79" i="21"/>
  <c r="N87" i="2"/>
  <c r="N87" i="21"/>
  <c r="N95" i="2"/>
  <c r="N95" i="21"/>
  <c r="N18" i="2"/>
  <c r="N18" i="21"/>
  <c r="N40" i="2"/>
  <c r="N40" i="21"/>
  <c r="N48" i="2"/>
  <c r="N48" i="21"/>
  <c r="N56" i="2"/>
  <c r="N56" i="21"/>
  <c r="N64" i="2"/>
  <c r="N64" i="21"/>
  <c r="N72" i="2"/>
  <c r="N72" i="21"/>
  <c r="N80" i="2"/>
  <c r="N80" i="21"/>
  <c r="N88" i="2"/>
  <c r="N88" i="21"/>
  <c r="N96" i="2"/>
  <c r="N96" i="21"/>
  <c r="N100" i="2"/>
  <c r="N100" i="21"/>
  <c r="N102" i="2"/>
  <c r="N102" i="21"/>
  <c r="N104" i="2"/>
  <c r="N104" i="21"/>
  <c r="N106" i="2"/>
  <c r="N106" i="21"/>
  <c r="N108" i="2"/>
  <c r="N108" i="21"/>
  <c r="N110" i="2"/>
  <c r="N110" i="21"/>
  <c r="N112" i="2"/>
  <c r="N112" i="21"/>
  <c r="N114" i="2"/>
  <c r="N114" i="21"/>
  <c r="N116" i="2"/>
  <c r="N116" i="21"/>
  <c r="N118" i="2"/>
  <c r="N118" i="21"/>
  <c r="N120" i="2"/>
  <c r="N120" i="21"/>
  <c r="N122" i="2"/>
  <c r="N122" i="21"/>
  <c r="N124" i="2"/>
  <c r="N124" i="21"/>
  <c r="N126" i="2"/>
  <c r="N126" i="21"/>
  <c r="N128" i="2"/>
  <c r="N128" i="21"/>
  <c r="N130" i="2"/>
  <c r="N130" i="21"/>
  <c r="N132" i="2"/>
  <c r="N132" i="21"/>
  <c r="N134" i="2"/>
  <c r="N134" i="21"/>
  <c r="N136" i="2"/>
  <c r="N136" i="21"/>
  <c r="N138" i="2"/>
  <c r="N138" i="21"/>
  <c r="N140" i="2"/>
  <c r="N140" i="21"/>
  <c r="N142" i="2"/>
  <c r="N142" i="21"/>
  <c r="N49" i="2"/>
  <c r="N49" i="21"/>
  <c r="N10" i="2"/>
  <c r="N10" i="21"/>
  <c r="N28" i="2"/>
  <c r="N28" i="21"/>
  <c r="N53" i="2"/>
  <c r="N53" i="21"/>
  <c r="N85" i="2"/>
  <c r="N85" i="21"/>
  <c r="N26" i="2"/>
  <c r="N26" i="21"/>
  <c r="N11" i="2"/>
  <c r="N11" i="21"/>
  <c r="N30" i="2"/>
  <c r="N30" i="21"/>
  <c r="N57" i="2"/>
  <c r="N57" i="21"/>
  <c r="N89" i="2"/>
  <c r="N89" i="21"/>
  <c r="N97" i="2"/>
  <c r="N97" i="21"/>
  <c r="N12" i="2"/>
  <c r="N12" i="21"/>
  <c r="N24" i="2"/>
  <c r="N24" i="21"/>
  <c r="N45" i="2"/>
  <c r="N45" i="21"/>
  <c r="N77" i="2"/>
  <c r="N77" i="21"/>
  <c r="N16" i="2"/>
  <c r="N16" i="21"/>
  <c r="N42" i="2"/>
  <c r="N42" i="21"/>
  <c r="N50" i="2"/>
  <c r="N50" i="21"/>
  <c r="N58" i="2"/>
  <c r="N58" i="21"/>
  <c r="N66" i="2"/>
  <c r="N66" i="21"/>
  <c r="N74" i="2"/>
  <c r="N74" i="21"/>
  <c r="N82" i="2"/>
  <c r="N82" i="21"/>
  <c r="N90" i="2"/>
  <c r="N90" i="21"/>
  <c r="N98" i="2"/>
  <c r="N98" i="21"/>
  <c r="N19" i="2"/>
  <c r="N19" i="21"/>
  <c r="N23" i="2"/>
  <c r="N23" i="21"/>
  <c r="N27" i="2"/>
  <c r="N27" i="21"/>
  <c r="N31" i="2"/>
  <c r="N31" i="21"/>
  <c r="N35" i="2"/>
  <c r="N35" i="21"/>
  <c r="N43" i="2"/>
  <c r="N43" i="21"/>
  <c r="N51" i="2"/>
  <c r="N51" i="21"/>
  <c r="N59" i="2"/>
  <c r="N59" i="21"/>
  <c r="N67" i="2"/>
  <c r="N67" i="21"/>
  <c r="N75" i="2"/>
  <c r="N75" i="21"/>
  <c r="N83" i="2"/>
  <c r="N83" i="21"/>
  <c r="N91" i="2"/>
  <c r="N91" i="21"/>
  <c r="N14" i="2"/>
  <c r="N14" i="21"/>
  <c r="N36" i="2"/>
  <c r="N36" i="21"/>
  <c r="N44" i="2"/>
  <c r="N44" i="21"/>
  <c r="N52" i="2"/>
  <c r="N52" i="21"/>
  <c r="N60" i="2"/>
  <c r="N60" i="21"/>
  <c r="N68" i="2"/>
  <c r="N68" i="21"/>
  <c r="N76" i="2"/>
  <c r="N76" i="21"/>
  <c r="N84" i="2"/>
  <c r="N84" i="21"/>
  <c r="N92" i="2"/>
  <c r="N92" i="21"/>
  <c r="N99" i="2"/>
  <c r="N99" i="21"/>
  <c r="N101" i="2"/>
  <c r="N101" i="21"/>
  <c r="N103" i="2"/>
  <c r="N103" i="21"/>
  <c r="N105" i="2"/>
  <c r="N105" i="21"/>
  <c r="N107" i="2"/>
  <c r="N107" i="21"/>
  <c r="N109" i="2"/>
  <c r="N109" i="21"/>
  <c r="N111" i="2"/>
  <c r="N111" i="21"/>
  <c r="N113" i="2"/>
  <c r="N113" i="21"/>
  <c r="N115" i="2"/>
  <c r="N115" i="21"/>
  <c r="N117" i="2"/>
  <c r="N117" i="21"/>
  <c r="N119" i="2"/>
  <c r="N119" i="21"/>
  <c r="N121" i="2"/>
  <c r="N121" i="21"/>
  <c r="N123" i="2"/>
  <c r="N123" i="21"/>
  <c r="N125" i="2"/>
  <c r="N125" i="21"/>
  <c r="N127" i="2"/>
  <c r="N127" i="21"/>
  <c r="N129" i="2"/>
  <c r="N129" i="21"/>
  <c r="N131" i="2"/>
  <c r="N131" i="21"/>
  <c r="N133" i="2"/>
  <c r="N133" i="21"/>
  <c r="N135" i="2"/>
  <c r="N135" i="21"/>
  <c r="N137" i="2"/>
  <c r="N137" i="21"/>
  <c r="N139" i="2"/>
  <c r="N139" i="21"/>
  <c r="N141" i="2"/>
  <c r="N141" i="21"/>
  <c r="N143" i="21" l="1"/>
  <c r="N8" i="2"/>
  <c r="N143" i="2" l="1"/>
</calcChain>
</file>

<file path=xl/sharedStrings.xml><?xml version="1.0" encoding="utf-8"?>
<sst xmlns="http://schemas.openxmlformats.org/spreadsheetml/2006/main" count="1990" uniqueCount="181">
  <si>
    <t>TRANSFERENCIAS DE FONDOS</t>
  </si>
  <si>
    <t>(En pesos)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</si>
  <si>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</si>
  <si>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</si>
  <si>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</si>
  <si>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</si>
  <si>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</si>
  <si>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</si>
  <si>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</si>
  <si>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</si>
  <si>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</si>
  <si>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</si>
  <si>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</si>
  <si>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</si>
  <si>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</si>
  <si>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</si>
  <si>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</si>
  <si>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</si>
  <si>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</si>
  <si>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</si>
  <si>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</si>
  <si>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</si>
  <si>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</si>
  <si>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</si>
  <si>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</si>
  <si>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</si>
  <si>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</si>
  <si>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</si>
  <si>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</si>
  <si>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</si>
  <si>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</si>
  <si>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</si>
  <si>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</si>
  <si>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</si>
  <si>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</si>
  <si>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</si>
  <si>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</si>
  <si>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</si>
  <si>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</si>
  <si>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</si>
  <si>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</si>
  <si>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</si>
  <si>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</si>
  <si>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</si>
  <si>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</si>
  <si>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</si>
  <si>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</si>
  <si>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</si>
  <si>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</si>
  <si>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</si>
  <si>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</si>
  <si>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</si>
  <si>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</si>
  <si>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</si>
  <si>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</si>
  <si>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</si>
  <si>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</si>
  <si>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</si>
  <si>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</si>
  <si>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</si>
  <si>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</si>
  <si>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</si>
  <si>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</si>
  <si>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</si>
  <si>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</si>
  <si>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</si>
  <si>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</si>
  <si>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</si>
  <si>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</si>
  <si>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</si>
  <si>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</si>
  <si>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</si>
  <si>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</si>
  <si>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</si>
  <si>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</si>
  <si>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</si>
  <si>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</si>
  <si>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</si>
  <si>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</si>
  <si>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</si>
  <si>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</si>
  <si>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</si>
  <si>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</si>
  <si>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</si>
  <si>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</si>
  <si>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</si>
  <si>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</si>
  <si>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</si>
  <si>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</si>
  <si>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</si>
  <si>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</si>
  <si>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</si>
  <si>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</si>
  <si>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</si>
  <si>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</si>
  <si>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</si>
  <si>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</si>
  <si>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</si>
  <si>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</si>
  <si>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</si>
  <si>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</si>
  <si>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</si>
  <si>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</si>
  <si>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</si>
  <si>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</si>
  <si>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</si>
  <si>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</si>
  <si>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</si>
  <si>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</si>
  <si>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</si>
  <si>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</si>
  <si>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</si>
  <si>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</si>
  <si>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</si>
  <si>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</si>
  <si>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</si>
  <si>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</si>
  <si>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</si>
  <si>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</si>
  <si>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</si>
  <si>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</si>
  <si>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</si>
  <si>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</si>
  <si>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</si>
  <si>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</si>
  <si>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</si>
  <si>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</si>
  <si>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</si>
  <si>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</si>
  <si>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</si>
  <si>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</si>
  <si>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</si>
  <si>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</si>
  <si>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</si>
  <si>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</si>
  <si>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</si>
  <si>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</si>
  <si>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</si>
  <si>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</si>
  <si>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>Coparticipación
Bruta</t>
  </si>
  <si>
    <t>Total</t>
  </si>
  <si>
    <t>Juegos de Azar</t>
  </si>
  <si>
    <t>Fdo Ley 14890</t>
  </si>
  <si>
    <t>Descentralización</t>
  </si>
  <si>
    <t>F.S.A.
 (Tratamiento de Residuos)</t>
  </si>
  <si>
    <t>Fondo Inclusión
Social</t>
  </si>
  <si>
    <t>Fondo Fort. 
Recursos 
Municipales</t>
  </si>
  <si>
    <t>Fondo de 
Financ. Educativo</t>
  </si>
  <si>
    <t>Fdo. Para Infrestructura 
Municipal 2017</t>
  </si>
  <si>
    <t>F.F.P.S. 
(Programas Sociales)</t>
  </si>
  <si>
    <t>Omisión Coparticiación 2023</t>
  </si>
  <si>
    <t>Fondo Fortalecimiento Fiscal Municipal</t>
  </si>
  <si>
    <t>Omisión Coparticiación 2024</t>
  </si>
  <si>
    <t>MES DE ENERO 2026</t>
  </si>
  <si>
    <t>ENERO 2026</t>
  </si>
  <si>
    <t>MES DE DICIEMBRE 2026</t>
  </si>
  <si>
    <t>DICIEMBRE 2026</t>
  </si>
  <si>
    <t>MES DE NOVIEMBRE 2026</t>
  </si>
  <si>
    <t>NOVIEMBRE 2026</t>
  </si>
  <si>
    <t>MES DE OCTUBRE 2026</t>
  </si>
  <si>
    <t>OCTUBRE 2026</t>
  </si>
  <si>
    <t>MES DE SEPTIEMBRE 2026</t>
  </si>
  <si>
    <t>SEPTIEMBRE 2026</t>
  </si>
  <si>
    <t>MES DE AGOSTO 2026</t>
  </si>
  <si>
    <t>AGOSTO 2026</t>
  </si>
  <si>
    <t>MES DE JULIO 2026</t>
  </si>
  <si>
    <t>JULIO 2026</t>
  </si>
  <si>
    <t>MES DE JUNIO 2026</t>
  </si>
  <si>
    <t>JUNIO 2026</t>
  </si>
  <si>
    <t>MES DE MAYO 2026</t>
  </si>
  <si>
    <t>MAYO 2026</t>
  </si>
  <si>
    <t>MES DE ABRIL 2026</t>
  </si>
  <si>
    <t>ABRIL 2026</t>
  </si>
  <si>
    <t>MES DE MARZO 2026</t>
  </si>
  <si>
    <t>MARZO 2026</t>
  </si>
  <si>
    <t>MES DE FEBRERO 2026</t>
  </si>
  <si>
    <t>FEBRERO 2026</t>
  </si>
  <si>
    <t>Omisión Coparticiación 2025</t>
  </si>
  <si>
    <t>Fondo Emergencia y Fort. Inversión Municipal
(FEFIM)</t>
  </si>
  <si>
    <t>ACUMULADO ENERO - JUNIO 2026</t>
  </si>
  <si>
    <t>Acumulado ENERO -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</si>
</sst>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#,"/>
    <numFmt numFmtId="168" formatCode="#,#00"/>
    <numFmt numFmtId="169" formatCode="#.##000"/>
    <numFmt numFmtId="170" formatCode="&quot;$&quot;#,#00"/>
    <numFmt numFmtId="171" formatCode="\$#,##0\ ;\(\$#,##0\)"/>
    <numFmt numFmtId="172" formatCode="#,##0.0"/>
    <numFmt numFmtId="173" formatCode="_(* #,##0_);_(* \(#,##0\);_(* &quot;-&quot;??_);_(@_)"/>
    <numFmt numFmtId="174" formatCode="0.00000"/>
    <numFmt numFmtId="175" formatCode="_-* #,##0.00\ _€_-;\-* #,##0.00\ _€_-;_-* &quot;-&quot;??\ _€_-;_-@_-"/>
  </numFmts>
  <fonts count="34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2"/>
      <color rgb="FF44AEAC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AEAC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>
      <protection locked="0"/>
    </xf>
    <xf numFmtId="167" fontId="9" fillId="0" borderId="0">
      <protection locked="0"/>
    </xf>
    <xf numFmtId="167" fontId="9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0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0" fillId="0" borderId="0">
      <protection locked="0"/>
    </xf>
    <xf numFmtId="0" fontId="11" fillId="0" borderId="0" applyFont="0" applyFill="0" applyBorder="0" applyAlignment="0" applyProtection="0"/>
    <xf numFmtId="168" fontId="8" fillId="0" borderId="0">
      <protection locked="0"/>
    </xf>
    <xf numFmtId="169" fontId="8" fillId="0" borderId="0">
      <protection locked="0"/>
    </xf>
    <xf numFmtId="166" fontId="5" fillId="0" borderId="0" applyFont="0" applyFill="0" applyBorder="0" applyAlignment="0" applyProtection="0"/>
    <xf numFmtId="170" fontId="8" fillId="0" borderId="0">
      <protection locked="0"/>
    </xf>
    <xf numFmtId="171" fontId="11" fillId="0" borderId="0" applyFont="0" applyFill="0" applyBorder="0" applyAlignment="0" applyProtection="0"/>
    <xf numFmtId="172" fontId="4" fillId="0" borderId="0" applyFill="0" applyBorder="0" applyAlignment="0" applyProtection="0"/>
    <xf numFmtId="3" fontId="11" fillId="0" borderId="0" applyFont="0" applyFill="0" applyBorder="0" applyAlignment="0" applyProtection="0"/>
    <xf numFmtId="0" fontId="5" fillId="0" borderId="0"/>
    <xf numFmtId="0" fontId="12" fillId="0" borderId="0"/>
    <xf numFmtId="0" fontId="14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4" borderId="0" applyNumberFormat="0" applyBorder="0" applyAlignment="0" applyProtection="0"/>
    <xf numFmtId="0" fontId="18" fillId="16" borderId="3" applyNumberFormat="0" applyAlignment="0" applyProtection="0"/>
    <xf numFmtId="0" fontId="19" fillId="17" borderId="4" applyNumberFormat="0" applyAlignment="0" applyProtection="0"/>
    <xf numFmtId="0" fontId="20" fillId="0" borderId="5" applyNumberFormat="0" applyFill="0" applyAlignment="0" applyProtection="0"/>
    <xf numFmtId="0" fontId="9" fillId="0" borderId="0">
      <protection locked="0"/>
    </xf>
    <xf numFmtId="0" fontId="9" fillId="0" borderId="0">
      <protection locked="0"/>
    </xf>
    <xf numFmtId="0" fontId="21" fillId="0" borderId="0" applyNumberFormat="0" applyFill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21" borderId="0" applyNumberFormat="0" applyBorder="0" applyAlignment="0" applyProtection="0"/>
    <xf numFmtId="0" fontId="22" fillId="7" borderId="3" applyNumberFormat="0" applyAlignment="0" applyProtection="0"/>
    <xf numFmtId="0" fontId="8" fillId="0" borderId="0">
      <protection locked="0"/>
    </xf>
    <xf numFmtId="0" fontId="8" fillId="0" borderId="0">
      <protection locked="0"/>
    </xf>
    <xf numFmtId="0" fontId="23" fillId="3" borderId="0" applyNumberFormat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4" fillId="22" borderId="0" applyNumberFormat="0" applyBorder="0" applyAlignment="0" applyProtection="0"/>
    <xf numFmtId="0" fontId="4" fillId="0" borderId="0"/>
    <xf numFmtId="0" fontId="4" fillId="23" borderId="2" applyNumberFormat="0" applyFont="0" applyAlignment="0" applyProtection="0"/>
    <xf numFmtId="9" fontId="4" fillId="0" borderId="0" applyFont="0" applyFill="0" applyBorder="0" applyAlignment="0" applyProtection="0"/>
    <xf numFmtId="0" fontId="25" fillId="16" borderId="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21" fillId="0" borderId="9" applyNumberFormat="0" applyFill="0" applyAlignment="0" applyProtection="0"/>
    <xf numFmtId="0" fontId="8" fillId="0" borderId="10">
      <protection locked="0"/>
    </xf>
    <xf numFmtId="0" fontId="4" fillId="0" borderId="0"/>
    <xf numFmtId="17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173" fontId="2" fillId="0" borderId="0" xfId="0" applyNumberFormat="1" applyFont="1"/>
    <xf numFmtId="173" fontId="2" fillId="0" borderId="0" xfId="16" applyNumberFormat="1" applyFont="1"/>
    <xf numFmtId="166" fontId="2" fillId="0" borderId="0" xfId="0" applyNumberFormat="1" applyFont="1"/>
    <xf numFmtId="173" fontId="2" fillId="0" borderId="0" xfId="0" applyNumberFormat="1" applyFont="1" applyFill="1" applyBorder="1"/>
    <xf numFmtId="173" fontId="2" fillId="0" borderId="0" xfId="0" applyNumberFormat="1" applyFont="1" applyFill="1"/>
    <xf numFmtId="166" fontId="2" fillId="0" borderId="0" xfId="16" applyFont="1"/>
    <xf numFmtId="3" fontId="2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166" fontId="2" fillId="0" borderId="0" xfId="0" applyNumberFormat="1" applyFont="1" applyAlignment="1">
      <alignment horizontal="left" indent="1"/>
    </xf>
    <xf numFmtId="0" fontId="32" fillId="0" borderId="0" xfId="0" applyFont="1" applyAlignment="1">
      <alignment horizontal="right"/>
    </xf>
    <xf numFmtId="173" fontId="2" fillId="0" borderId="1" xfId="16" applyNumberFormat="1" applyFont="1" applyFill="1" applyBorder="1" applyAlignment="1" applyProtection="1">
      <alignment horizontal="right" vertical="center"/>
    </xf>
    <xf numFmtId="0" fontId="31" fillId="0" borderId="1" xfId="0" applyFont="1" applyFill="1" applyBorder="1" applyAlignment="1" applyProtection="1">
      <alignment horizontal="left" vertical="center"/>
    </xf>
    <xf numFmtId="173" fontId="31" fillId="0" borderId="1" xfId="16" applyNumberFormat="1" applyFont="1" applyFill="1" applyBorder="1" applyAlignment="1" applyProtection="1">
      <alignment horizontal="right" vertical="center"/>
    </xf>
    <xf numFmtId="49" fontId="13" fillId="24" borderId="1" xfId="0" applyNumberFormat="1" applyFont="1" applyFill="1" applyBorder="1" applyAlignment="1">
      <alignment horizontal="center" vertical="center" wrapText="1"/>
    </xf>
    <xf numFmtId="164" fontId="13" fillId="24" borderId="1" xfId="0" applyNumberFormat="1" applyFont="1" applyFill="1" applyBorder="1" applyAlignment="1">
      <alignment horizontal="center" vertical="center" wrapText="1"/>
    </xf>
    <xf numFmtId="0" fontId="33" fillId="0" borderId="0" xfId="0" applyFont="1" applyBorder="1" applyAlignment="1"/>
    <xf numFmtId="0" fontId="13" fillId="24" borderId="1" xfId="0" applyFont="1" applyFill="1" applyBorder="1" applyAlignment="1" applyProtection="1">
      <alignment horizontal="left" vertical="center" indent="1"/>
    </xf>
    <xf numFmtId="173" fontId="13" fillId="24" borderId="1" xfId="16" applyNumberFormat="1" applyFont="1" applyFill="1" applyBorder="1" applyAlignment="1" applyProtection="1">
      <alignment horizontal="right" vertical="center" wrapText="1" indent="1"/>
    </xf>
    <xf numFmtId="173" fontId="2" fillId="0" borderId="0" xfId="0" applyNumberFormat="1" applyFont="1" applyBorder="1"/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wrapText="1"/>
    </xf>
    <xf numFmtId="49" fontId="13" fillId="24" borderId="1" xfId="0" applyNumberFormat="1" applyFont="1" applyFill="1" applyBorder="1" applyAlignment="1">
      <alignment horizontal="left" vertical="center" wrapText="1" indent="2"/>
    </xf>
    <xf numFmtId="49" fontId="13" fillId="24" borderId="1" xfId="0" quotePrefix="1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</cellXfs>
  <cellStyles count="84">
    <cellStyle name="20% - Énfasis1 2" xfId="24" xr:uid="{00000000-0005-0000-0000-000000000000}"/>
    <cellStyle name="20% - Énfasis2 2" xfId="25" xr:uid="{00000000-0005-0000-0000-000001000000}"/>
    <cellStyle name="20% - Énfasis3 2" xfId="26" xr:uid="{00000000-0005-0000-0000-000002000000}"/>
    <cellStyle name="20% - Énfasis4 2" xfId="27" xr:uid="{00000000-0005-0000-0000-000003000000}"/>
    <cellStyle name="20% - Énfasis5 2" xfId="28" xr:uid="{00000000-0005-0000-0000-000004000000}"/>
    <cellStyle name="20% - Énfasis6 2" xfId="29" xr:uid="{00000000-0005-0000-0000-000005000000}"/>
    <cellStyle name="40% - Énfasis1 2" xfId="30" xr:uid="{00000000-0005-0000-0000-000006000000}"/>
    <cellStyle name="40% - Énfasis2 2" xfId="31" xr:uid="{00000000-0005-0000-0000-000007000000}"/>
    <cellStyle name="40% - Énfasis3 2" xfId="32" xr:uid="{00000000-0005-0000-0000-000008000000}"/>
    <cellStyle name="40% - Énfasis4 2" xfId="33" xr:uid="{00000000-0005-0000-0000-000009000000}"/>
    <cellStyle name="40% - Énfasis5 2" xfId="34" xr:uid="{00000000-0005-0000-0000-00000A000000}"/>
    <cellStyle name="40% - Énfasis6 2" xfId="35" xr:uid="{00000000-0005-0000-0000-00000B000000}"/>
    <cellStyle name="60% - Énfasis1 2" xfId="36" xr:uid="{00000000-0005-0000-0000-00000C000000}"/>
    <cellStyle name="60% - Énfasis2 2" xfId="37" xr:uid="{00000000-0005-0000-0000-00000D000000}"/>
    <cellStyle name="60% - Énfasis3 2" xfId="38" xr:uid="{00000000-0005-0000-0000-00000E000000}"/>
    <cellStyle name="60% - Énfasis4 2" xfId="39" xr:uid="{00000000-0005-0000-0000-00000F000000}"/>
    <cellStyle name="60% - Énfasis5 2" xfId="40" xr:uid="{00000000-0005-0000-0000-000010000000}"/>
    <cellStyle name="60% - Énfasis6 2" xfId="41" xr:uid="{00000000-0005-0000-0000-000011000000}"/>
    <cellStyle name="Buena 2" xfId="42" xr:uid="{00000000-0005-0000-0000-000012000000}"/>
    <cellStyle name="Cabecera 1" xfId="1" xr:uid="{00000000-0005-0000-0000-000013000000}"/>
    <cellStyle name="Cabecera 2" xfId="2" xr:uid="{00000000-0005-0000-0000-000014000000}"/>
    <cellStyle name="Cálculo 2" xfId="43" xr:uid="{00000000-0005-0000-0000-000015000000}"/>
    <cellStyle name="Celda de comprobación 2" xfId="44" xr:uid="{00000000-0005-0000-0000-000016000000}"/>
    <cellStyle name="Celda vinculada 2" xfId="45" xr:uid="{00000000-0005-0000-0000-000017000000}"/>
    <cellStyle name="Dia" xfId="3" xr:uid="{00000000-0005-0000-0000-000018000000}"/>
    <cellStyle name="Encabez1" xfId="4" xr:uid="{00000000-0005-0000-0000-000019000000}"/>
    <cellStyle name="Encabez1 2" xfId="46" xr:uid="{00000000-0005-0000-0000-00001A000000}"/>
    <cellStyle name="Encabez2" xfId="5" xr:uid="{00000000-0005-0000-0000-00001B000000}"/>
    <cellStyle name="Encabez2 2" xfId="47" xr:uid="{00000000-0005-0000-0000-00001C000000}"/>
    <cellStyle name="Encabezado 4 2" xfId="48" xr:uid="{00000000-0005-0000-0000-00001D000000}"/>
    <cellStyle name="Énfasis1 2" xfId="49" xr:uid="{00000000-0005-0000-0000-00001E000000}"/>
    <cellStyle name="Énfasis2 2" xfId="50" xr:uid="{00000000-0005-0000-0000-00001F000000}"/>
    <cellStyle name="Énfasis3 2" xfId="51" xr:uid="{00000000-0005-0000-0000-000020000000}"/>
    <cellStyle name="Énfasis4 2" xfId="52" xr:uid="{00000000-0005-0000-0000-000021000000}"/>
    <cellStyle name="Énfasis5 2" xfId="53" xr:uid="{00000000-0005-0000-0000-000022000000}"/>
    <cellStyle name="Énfasis6 2" xfId="54" xr:uid="{00000000-0005-0000-0000-000023000000}"/>
    <cellStyle name="Entrada 2" xfId="55" xr:uid="{00000000-0005-0000-0000-000024000000}"/>
    <cellStyle name="F2" xfId="6" xr:uid="{00000000-0005-0000-0000-000025000000}"/>
    <cellStyle name="F3" xfId="7" xr:uid="{00000000-0005-0000-0000-000026000000}"/>
    <cellStyle name="F4" xfId="8" xr:uid="{00000000-0005-0000-0000-000027000000}"/>
    <cellStyle name="F4 2" xfId="56" xr:uid="{00000000-0005-0000-0000-000028000000}"/>
    <cellStyle name="F5" xfId="9" xr:uid="{00000000-0005-0000-0000-000029000000}"/>
    <cellStyle name="F6" xfId="10" xr:uid="{00000000-0005-0000-0000-00002A000000}"/>
    <cellStyle name="F7" xfId="11" xr:uid="{00000000-0005-0000-0000-00002B000000}"/>
    <cellStyle name="F8" xfId="12" xr:uid="{00000000-0005-0000-0000-00002C000000}"/>
    <cellStyle name="F8 2" xfId="57" xr:uid="{00000000-0005-0000-0000-00002D000000}"/>
    <cellStyle name="Fecha" xfId="13" xr:uid="{00000000-0005-0000-0000-00002E000000}"/>
    <cellStyle name="Fijo" xfId="14" xr:uid="{00000000-0005-0000-0000-00002F000000}"/>
    <cellStyle name="Financiero" xfId="15" xr:uid="{00000000-0005-0000-0000-000030000000}"/>
    <cellStyle name="Incorrecto 2" xfId="58" xr:uid="{00000000-0005-0000-0000-000031000000}"/>
    <cellStyle name="Millares" xfId="16" builtinId="3"/>
    <cellStyle name="Millares [0] 2" xfId="60" xr:uid="{00000000-0005-0000-0000-000033000000}"/>
    <cellStyle name="Millares 2" xfId="77" xr:uid="{00000000-0005-0000-0000-000034000000}"/>
    <cellStyle name="Millares 3" xfId="78" xr:uid="{00000000-0005-0000-0000-000035000000}"/>
    <cellStyle name="Millares 4" xfId="59" xr:uid="{00000000-0005-0000-0000-000036000000}"/>
    <cellStyle name="Millares 5" xfId="79" xr:uid="{00000000-0005-0000-0000-000037000000}"/>
    <cellStyle name="Moneda 2" xfId="74" xr:uid="{00000000-0005-0000-0000-000038000000}"/>
    <cellStyle name="Monetario" xfId="17" xr:uid="{00000000-0005-0000-0000-000039000000}"/>
    <cellStyle name="Monetario0" xfId="18" xr:uid="{00000000-0005-0000-0000-00003A000000}"/>
    <cellStyle name="Neutral 2" xfId="61" xr:uid="{00000000-0005-0000-0000-00003B000000}"/>
    <cellStyle name="Normal" xfId="0" builtinId="0"/>
    <cellStyle name="Normal 11" xfId="80" xr:uid="{00000000-0005-0000-0000-00003D000000}"/>
    <cellStyle name="Normal 2" xfId="21" xr:uid="{00000000-0005-0000-0000-00003E000000}"/>
    <cellStyle name="Normal 2 2" xfId="62" xr:uid="{00000000-0005-0000-0000-00003F000000}"/>
    <cellStyle name="Normal 3" xfId="73" xr:uid="{00000000-0005-0000-0000-000040000000}"/>
    <cellStyle name="Normal 4" xfId="76" xr:uid="{00000000-0005-0000-0000-000041000000}"/>
    <cellStyle name="Normal 5" xfId="22" xr:uid="{00000000-0005-0000-0000-000042000000}"/>
    <cellStyle name="Normal 5 2" xfId="81" xr:uid="{00000000-0005-0000-0000-000043000000}"/>
    <cellStyle name="Normal 6" xfId="82" xr:uid="{00000000-0005-0000-0000-000044000000}"/>
    <cellStyle name="Normal 7" xfId="23" xr:uid="{00000000-0005-0000-0000-000045000000}"/>
    <cellStyle name="Notas 2" xfId="63" xr:uid="{00000000-0005-0000-0000-000046000000}"/>
    <cellStyle name="Porcentaje 2" xfId="83" xr:uid="{00000000-0005-0000-0000-000047000000}"/>
    <cellStyle name="Porcentaje 3" xfId="64" xr:uid="{00000000-0005-0000-0000-000048000000}"/>
    <cellStyle name="Porcentual 2" xfId="75" xr:uid="{00000000-0005-0000-0000-000049000000}"/>
    <cellStyle name="Punto" xfId="19" xr:uid="{00000000-0005-0000-0000-00004A000000}"/>
    <cellStyle name="Punto0" xfId="20" xr:uid="{00000000-0005-0000-0000-00004B000000}"/>
    <cellStyle name="Salida 2" xfId="65" xr:uid="{00000000-0005-0000-0000-00004C000000}"/>
    <cellStyle name="Texto de advertencia 2" xfId="66" xr:uid="{00000000-0005-0000-0000-00004D000000}"/>
    <cellStyle name="Texto explicativo 2" xfId="67" xr:uid="{00000000-0005-0000-0000-00004E000000}"/>
    <cellStyle name="Título 1 2" xfId="69" xr:uid="{00000000-0005-0000-0000-00004F000000}"/>
    <cellStyle name="Título 2 2" xfId="70" xr:uid="{00000000-0005-0000-0000-000050000000}"/>
    <cellStyle name="Título 3 2" xfId="71" xr:uid="{00000000-0005-0000-0000-000051000000}"/>
    <cellStyle name="Título 4" xfId="68" xr:uid="{00000000-0005-0000-0000-000052000000}"/>
    <cellStyle name="Total 2" xfId="72" xr:uid="{00000000-0005-0000-0000-000053000000}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  <sheetName val="DISTRIBUIDO FEBRERO CUOTA CTE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44AEAC"/>
  </sheetPr>
  <dimension ref="A1:X275"/>
  <sheetViews>
    <sheetView showGridLines="0" topLeftCell="A94" zoomScale="80" zoomScaleNormal="80" workbookViewId="0">
      <selection activeCell="G131" sqref="G131"/>
    </sheetView>
  </sheetViews>
  <sheetFormatPr baseColWidth="10" defaultColWidth="12" defaultRowHeight="14.25" x14ac:dyDescent="0.2"/>
  <cols>
    <col min="1" max="1" width="41.83203125" style="11" customWidth="1"/>
    <col min="2" max="2" width="24.832031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4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4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4" ht="17.25" customHeight="1" x14ac:dyDescent="0.25">
      <c r="A4" s="21" t="s">
        <v>153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4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4" ht="18.75" customHeight="1" x14ac:dyDescent="0.2">
      <c r="A6" s="33" t="s">
        <v>2</v>
      </c>
      <c r="B6" s="34" t="s">
        <v>154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4" ht="60" customHeight="1" x14ac:dyDescent="0.2">
      <c r="A7" s="33"/>
      <c r="B7" s="19" t="s">
        <v>139</v>
      </c>
      <c r="C7" s="19" t="s">
        <v>152</v>
      </c>
      <c r="D7" s="19" t="s">
        <v>143</v>
      </c>
      <c r="E7" s="19" t="s">
        <v>141</v>
      </c>
      <c r="F7" s="19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19" t="s">
        <v>148</v>
      </c>
      <c r="M7" s="20" t="s">
        <v>142</v>
      </c>
      <c r="N7" s="19" t="s">
        <v>140</v>
      </c>
    </row>
    <row r="8" spans="1:24" ht="18" customHeight="1" x14ac:dyDescent="0.2">
      <c r="A8" s="17" t="s">
        <v>3</v>
      </c>
      <c r="B8" s="16">
        <v>1665723323.1200001</v>
      </c>
      <c r="C8" s="16">
        <v>0</v>
      </c>
      <c r="D8" s="16">
        <v>110556645.38501425</v>
      </c>
      <c r="E8" s="16">
        <v>18026760.18</v>
      </c>
      <c r="F8" s="16">
        <v>5535994.5999999996</v>
      </c>
      <c r="G8" s="16">
        <v>2175716.4900000002</v>
      </c>
      <c r="H8" s="16">
        <v>90798608.370000005</v>
      </c>
      <c r="I8" s="16">
        <v>12572255.310000001</v>
      </c>
      <c r="J8" s="16">
        <v>85691902.559999987</v>
      </c>
      <c r="K8" s="16">
        <v>0</v>
      </c>
      <c r="L8" s="16">
        <v>0</v>
      </c>
      <c r="M8" s="16">
        <v>0</v>
      </c>
      <c r="N8" s="18">
        <f t="shared" ref="N8:N39" si="0">SUM(B8:M8)</f>
        <v>1991081206.0150142</v>
      </c>
      <c r="O8" s="4"/>
      <c r="Q8" s="4"/>
      <c r="R8" s="4"/>
      <c r="S8" s="4"/>
      <c r="T8" s="4"/>
      <c r="U8" s="4"/>
      <c r="V8" s="4"/>
      <c r="W8" s="4"/>
      <c r="X8" s="4"/>
    </row>
    <row r="9" spans="1:24" ht="18" customHeight="1" x14ac:dyDescent="0.2">
      <c r="A9" s="17" t="s">
        <v>4</v>
      </c>
      <c r="B9" s="16">
        <v>873851843.83000004</v>
      </c>
      <c r="C9" s="16">
        <v>0</v>
      </c>
      <c r="D9" s="16">
        <v>99552668.066817179</v>
      </c>
      <c r="E9" s="16">
        <v>9998280.4100000001</v>
      </c>
      <c r="F9" s="16">
        <v>3878634.73</v>
      </c>
      <c r="G9" s="16">
        <v>1610030.2</v>
      </c>
      <c r="H9" s="16">
        <v>50360127.869999997</v>
      </c>
      <c r="I9" s="16">
        <v>8808387.5700000003</v>
      </c>
      <c r="J9" s="16">
        <v>64984551.060000002</v>
      </c>
      <c r="K9" s="16">
        <v>0</v>
      </c>
      <c r="L9" s="16">
        <v>0</v>
      </c>
      <c r="M9" s="16">
        <v>0</v>
      </c>
      <c r="N9" s="18">
        <f t="shared" si="0"/>
        <v>1113044523.7368174</v>
      </c>
      <c r="O9" s="4"/>
      <c r="Q9" s="4"/>
      <c r="R9" s="4"/>
      <c r="S9" s="4"/>
      <c r="T9" s="4"/>
      <c r="U9" s="4"/>
      <c r="V9" s="4"/>
      <c r="W9" s="4"/>
      <c r="X9" s="4"/>
    </row>
    <row r="10" spans="1:24" ht="18" customHeight="1" x14ac:dyDescent="0.2">
      <c r="A10" s="17" t="s">
        <v>5</v>
      </c>
      <c r="B10" s="16">
        <v>927173587.38999987</v>
      </c>
      <c r="C10" s="16">
        <v>0</v>
      </c>
      <c r="D10" s="16">
        <v>63190923.450953886</v>
      </c>
      <c r="E10" s="16">
        <v>10666120.98</v>
      </c>
      <c r="F10" s="16">
        <v>2709542.7</v>
      </c>
      <c r="G10" s="16">
        <v>1610030.2</v>
      </c>
      <c r="H10" s="16">
        <v>53723959.880000003</v>
      </c>
      <c r="I10" s="16">
        <v>6153377.1299999999</v>
      </c>
      <c r="J10" s="16">
        <v>38407611.330000006</v>
      </c>
      <c r="K10" s="16">
        <v>0</v>
      </c>
      <c r="L10" s="16">
        <v>0</v>
      </c>
      <c r="M10" s="16">
        <v>0</v>
      </c>
      <c r="N10" s="18">
        <f t="shared" si="0"/>
        <v>1103635153.0609539</v>
      </c>
      <c r="O10" s="4"/>
      <c r="Q10" s="4"/>
      <c r="R10" s="4"/>
      <c r="S10" s="4"/>
      <c r="T10" s="4"/>
      <c r="U10" s="4"/>
      <c r="V10" s="4"/>
      <c r="W10" s="4"/>
      <c r="X10" s="4"/>
    </row>
    <row r="11" spans="1:24" ht="18" customHeight="1" x14ac:dyDescent="0.2">
      <c r="A11" s="17" t="s">
        <v>6</v>
      </c>
      <c r="B11" s="16">
        <v>7302390988.54</v>
      </c>
      <c r="C11" s="16">
        <v>0</v>
      </c>
      <c r="D11" s="16">
        <v>38047633.834784679</v>
      </c>
      <c r="E11" s="16">
        <v>93888971.569999993</v>
      </c>
      <c r="F11" s="16">
        <v>290828834.77999997</v>
      </c>
      <c r="G11" s="16">
        <v>132138437.0710595</v>
      </c>
      <c r="H11" s="16">
        <v>416390205.47000003</v>
      </c>
      <c r="I11" s="16">
        <v>660472890.77999997</v>
      </c>
      <c r="J11" s="16">
        <v>722606346.99000025</v>
      </c>
      <c r="K11" s="16">
        <v>0</v>
      </c>
      <c r="L11" s="16">
        <v>0</v>
      </c>
      <c r="M11" s="16">
        <v>0</v>
      </c>
      <c r="N11" s="18">
        <f t="shared" si="0"/>
        <v>9656764309.0358429</v>
      </c>
      <c r="O11" s="4"/>
      <c r="Q11" s="4"/>
      <c r="R11" s="4"/>
      <c r="S11" s="4"/>
      <c r="T11" s="4"/>
      <c r="U11" s="4"/>
      <c r="V11" s="4"/>
      <c r="W11" s="4"/>
      <c r="X11" s="4"/>
    </row>
    <row r="12" spans="1:24" ht="18" customHeight="1" x14ac:dyDescent="0.2">
      <c r="A12" s="17" t="s">
        <v>7</v>
      </c>
      <c r="B12" s="16">
        <v>956413371.8499999</v>
      </c>
      <c r="C12" s="16">
        <v>0</v>
      </c>
      <c r="D12" s="16">
        <v>87125233.887579352</v>
      </c>
      <c r="E12" s="16">
        <v>10889831.109999999</v>
      </c>
      <c r="F12" s="16">
        <v>9944159.25</v>
      </c>
      <c r="G12" s="16">
        <v>4003318.34</v>
      </c>
      <c r="H12" s="16">
        <v>54850760.75</v>
      </c>
      <c r="I12" s="16">
        <v>22583206.43</v>
      </c>
      <c r="J12" s="16">
        <v>77913983.400000006</v>
      </c>
      <c r="K12" s="16">
        <v>0</v>
      </c>
      <c r="L12" s="16">
        <v>0</v>
      </c>
      <c r="M12" s="16">
        <v>0</v>
      </c>
      <c r="N12" s="18">
        <f t="shared" si="0"/>
        <v>1223723865.0175793</v>
      </c>
      <c r="O12" s="4"/>
      <c r="Q12" s="4"/>
      <c r="R12" s="4"/>
      <c r="S12" s="4"/>
      <c r="T12" s="4"/>
      <c r="U12" s="4"/>
      <c r="V12" s="4"/>
      <c r="W12" s="4"/>
      <c r="X12" s="4"/>
    </row>
    <row r="13" spans="1:24" ht="18" customHeight="1" x14ac:dyDescent="0.2">
      <c r="A13" s="17" t="s">
        <v>8</v>
      </c>
      <c r="B13" s="16">
        <v>4352841352.9399996</v>
      </c>
      <c r="C13" s="16">
        <v>0</v>
      </c>
      <c r="D13" s="16">
        <v>22625840.31473894</v>
      </c>
      <c r="E13" s="16">
        <v>55756297.320000008</v>
      </c>
      <c r="F13" s="16">
        <v>141425750.47</v>
      </c>
      <c r="G13" s="16">
        <v>0</v>
      </c>
      <c r="H13" s="16">
        <v>247274793.94999999</v>
      </c>
      <c r="I13" s="16">
        <v>321178174.48000002</v>
      </c>
      <c r="J13" s="16">
        <v>537310079.24000013</v>
      </c>
      <c r="K13" s="16">
        <v>0</v>
      </c>
      <c r="L13" s="16">
        <v>0</v>
      </c>
      <c r="M13" s="16">
        <v>0</v>
      </c>
      <c r="N13" s="18">
        <f t="shared" si="0"/>
        <v>5678412288.7147388</v>
      </c>
      <c r="O13" s="4"/>
      <c r="Q13" s="4"/>
      <c r="R13" s="4"/>
      <c r="S13" s="4"/>
      <c r="T13" s="4"/>
      <c r="U13" s="4"/>
      <c r="V13" s="4"/>
      <c r="W13" s="4"/>
      <c r="X13" s="4"/>
    </row>
    <row r="14" spans="1:24" ht="18" customHeight="1" x14ac:dyDescent="0.2">
      <c r="A14" s="17" t="s">
        <v>9</v>
      </c>
      <c r="B14" s="16">
        <v>1524536935.3399999</v>
      </c>
      <c r="C14" s="16">
        <v>0</v>
      </c>
      <c r="D14" s="16">
        <v>139583674.28671011</v>
      </c>
      <c r="E14" s="16">
        <v>17831013.82</v>
      </c>
      <c r="F14" s="16">
        <v>6436883.1699999999</v>
      </c>
      <c r="G14" s="16">
        <v>2719645.61</v>
      </c>
      <c r="H14" s="16">
        <v>89812657.609999999</v>
      </c>
      <c r="I14" s="16">
        <v>14618175.119999999</v>
      </c>
      <c r="J14" s="16">
        <v>115347278.53000003</v>
      </c>
      <c r="K14" s="16">
        <v>0</v>
      </c>
      <c r="L14" s="16">
        <v>0</v>
      </c>
      <c r="M14" s="16">
        <v>0</v>
      </c>
      <c r="N14" s="18">
        <f t="shared" si="0"/>
        <v>1910886263.4867096</v>
      </c>
      <c r="O14" s="4"/>
      <c r="Q14" s="4"/>
      <c r="R14" s="4"/>
      <c r="S14" s="4"/>
      <c r="T14" s="4"/>
      <c r="U14" s="4"/>
      <c r="V14" s="4"/>
      <c r="W14" s="4"/>
      <c r="X14" s="4"/>
    </row>
    <row r="15" spans="1:24" ht="18" customHeight="1" x14ac:dyDescent="0.2">
      <c r="A15" s="17" t="s">
        <v>10</v>
      </c>
      <c r="B15" s="16">
        <v>2560424404.6500001</v>
      </c>
      <c r="C15" s="16">
        <v>0</v>
      </c>
      <c r="D15" s="16">
        <v>264392862.59485269</v>
      </c>
      <c r="E15" s="16">
        <v>30172493.409999996</v>
      </c>
      <c r="F15" s="16">
        <v>23980140.620000001</v>
      </c>
      <c r="G15" s="16">
        <v>9420852.4100000001</v>
      </c>
      <c r="H15" s="16">
        <v>151975196.06999999</v>
      </c>
      <c r="I15" s="16">
        <v>54458949.399999999</v>
      </c>
      <c r="J15" s="16">
        <v>184038206.99000001</v>
      </c>
      <c r="K15" s="16">
        <v>0</v>
      </c>
      <c r="L15" s="16">
        <v>0</v>
      </c>
      <c r="M15" s="16">
        <v>0</v>
      </c>
      <c r="N15" s="18">
        <f t="shared" si="0"/>
        <v>3278863106.1448526</v>
      </c>
      <c r="O15" s="4"/>
      <c r="Q15" s="4"/>
      <c r="R15" s="4"/>
      <c r="S15" s="4"/>
      <c r="T15" s="4"/>
      <c r="U15" s="4"/>
      <c r="V15" s="4"/>
      <c r="W15" s="4"/>
      <c r="X15" s="4"/>
    </row>
    <row r="16" spans="1:24" ht="18" customHeight="1" x14ac:dyDescent="0.2">
      <c r="A16" s="17" t="s">
        <v>11</v>
      </c>
      <c r="B16" s="16">
        <v>4822639330.7000008</v>
      </c>
      <c r="C16" s="16">
        <v>0</v>
      </c>
      <c r="D16" s="16">
        <v>59241072.799088195</v>
      </c>
      <c r="E16" s="16">
        <v>62113766.909999996</v>
      </c>
      <c r="F16" s="16">
        <v>89435540.230000004</v>
      </c>
      <c r="G16" s="16">
        <v>41795513.799999997</v>
      </c>
      <c r="H16" s="16">
        <v>275469671.61000001</v>
      </c>
      <c r="I16" s="16">
        <v>203108298.52000001</v>
      </c>
      <c r="J16" s="16">
        <v>457174611.19000006</v>
      </c>
      <c r="K16" s="16">
        <v>0</v>
      </c>
      <c r="L16" s="16">
        <v>0</v>
      </c>
      <c r="M16" s="16">
        <v>0</v>
      </c>
      <c r="N16" s="18">
        <f t="shared" si="0"/>
        <v>6010977805.7590885</v>
      </c>
      <c r="O16" s="4"/>
      <c r="Q16" s="4"/>
      <c r="R16" s="4"/>
      <c r="S16" s="4"/>
      <c r="T16" s="4"/>
      <c r="U16" s="4"/>
      <c r="V16" s="4"/>
      <c r="W16" s="4"/>
      <c r="X16" s="4"/>
    </row>
    <row r="17" spans="1:24" ht="15" x14ac:dyDescent="0.2">
      <c r="A17" s="17" t="s">
        <v>12</v>
      </c>
      <c r="B17" s="16">
        <v>1861793331.1799998</v>
      </c>
      <c r="C17" s="16">
        <v>0</v>
      </c>
      <c r="D17" s="16">
        <v>237705771.39629915</v>
      </c>
      <c r="E17" s="16">
        <v>21173095.200000003</v>
      </c>
      <c r="F17" s="16">
        <v>18368498.879999999</v>
      </c>
      <c r="G17" s="16">
        <v>6092006.1799999997</v>
      </c>
      <c r="H17" s="16">
        <v>106646316.94</v>
      </c>
      <c r="I17" s="16">
        <v>41714899.299999997</v>
      </c>
      <c r="J17" s="16">
        <v>123920335.54999998</v>
      </c>
      <c r="K17" s="16">
        <v>0</v>
      </c>
      <c r="L17" s="16">
        <v>0</v>
      </c>
      <c r="M17" s="16">
        <v>0</v>
      </c>
      <c r="N17" s="18">
        <f t="shared" si="0"/>
        <v>2417414254.6262994</v>
      </c>
      <c r="O17" s="4"/>
      <c r="Q17" s="4"/>
      <c r="R17" s="4"/>
      <c r="S17" s="4"/>
      <c r="T17" s="4"/>
      <c r="U17" s="4"/>
      <c r="V17" s="4"/>
      <c r="W17" s="4"/>
      <c r="X17" s="4"/>
    </row>
    <row r="18" spans="1:24" ht="15" x14ac:dyDescent="0.2">
      <c r="A18" s="17" t="s">
        <v>13</v>
      </c>
      <c r="B18" s="16">
        <v>1050162295.6500001</v>
      </c>
      <c r="C18" s="16">
        <v>0</v>
      </c>
      <c r="D18" s="16">
        <v>65611126.911812246</v>
      </c>
      <c r="E18" s="16">
        <v>11888302.09</v>
      </c>
      <c r="F18" s="16">
        <v>12378621.48</v>
      </c>
      <c r="G18" s="16">
        <v>4960633.5999999996</v>
      </c>
      <c r="H18" s="16">
        <v>59879938.170000002</v>
      </c>
      <c r="I18" s="16">
        <v>28111875.23</v>
      </c>
      <c r="J18" s="16">
        <v>101029077.92999999</v>
      </c>
      <c r="K18" s="16">
        <v>0</v>
      </c>
      <c r="L18" s="16">
        <v>0</v>
      </c>
      <c r="M18" s="16">
        <v>0</v>
      </c>
      <c r="N18" s="18">
        <f t="shared" si="0"/>
        <v>1334021871.0618124</v>
      </c>
      <c r="O18" s="4"/>
      <c r="Q18" s="4"/>
      <c r="R18" s="4"/>
      <c r="S18" s="4"/>
      <c r="T18" s="4"/>
      <c r="U18" s="4"/>
      <c r="V18" s="4"/>
      <c r="W18" s="4"/>
      <c r="X18" s="4"/>
    </row>
    <row r="19" spans="1:24" ht="15" x14ac:dyDescent="0.2">
      <c r="A19" s="17" t="s">
        <v>14</v>
      </c>
      <c r="B19" s="16">
        <v>1705278758.2300003</v>
      </c>
      <c r="C19" s="16">
        <v>0</v>
      </c>
      <c r="D19" s="16">
        <v>149600261.7233184</v>
      </c>
      <c r="E19" s="16">
        <v>19160937.68</v>
      </c>
      <c r="F19" s="16">
        <v>4999587.67</v>
      </c>
      <c r="G19" s="16">
        <v>2763159.94</v>
      </c>
      <c r="H19" s="16">
        <v>96511323.079999998</v>
      </c>
      <c r="I19" s="16">
        <v>11354074.050000001</v>
      </c>
      <c r="J19" s="16">
        <v>87898682.519999981</v>
      </c>
      <c r="K19" s="16">
        <v>0</v>
      </c>
      <c r="L19" s="16">
        <v>0</v>
      </c>
      <c r="M19" s="16">
        <v>0</v>
      </c>
      <c r="N19" s="18">
        <f t="shared" si="0"/>
        <v>2077566784.8933187</v>
      </c>
      <c r="O19" s="4"/>
      <c r="Q19" s="4"/>
      <c r="R19" s="4"/>
      <c r="S19" s="4"/>
      <c r="T19" s="4"/>
      <c r="U19" s="4"/>
      <c r="V19" s="4"/>
      <c r="W19" s="4"/>
      <c r="X19" s="4"/>
    </row>
    <row r="20" spans="1:24" ht="15" x14ac:dyDescent="0.2">
      <c r="A20" s="17" t="s">
        <v>15</v>
      </c>
      <c r="B20" s="16">
        <v>6095932056.1400003</v>
      </c>
      <c r="C20" s="16">
        <v>0</v>
      </c>
      <c r="D20" s="16">
        <v>22958693.437968507</v>
      </c>
      <c r="E20" s="16">
        <v>77945323.370000005</v>
      </c>
      <c r="F20" s="16">
        <v>159574184.97</v>
      </c>
      <c r="G20" s="16">
        <v>68479790.311688364</v>
      </c>
      <c r="H20" s="16">
        <v>345681379.51999998</v>
      </c>
      <c r="I20" s="16">
        <v>362393307.11000001</v>
      </c>
      <c r="J20" s="16">
        <v>499828585.74000013</v>
      </c>
      <c r="K20" s="16">
        <v>0</v>
      </c>
      <c r="L20" s="16">
        <v>0</v>
      </c>
      <c r="M20" s="16">
        <v>0</v>
      </c>
      <c r="N20" s="18">
        <f t="shared" si="0"/>
        <v>7632793320.5996561</v>
      </c>
      <c r="O20" s="4"/>
      <c r="Q20" s="4"/>
      <c r="R20" s="4"/>
      <c r="S20" s="4"/>
      <c r="T20" s="4"/>
      <c r="U20" s="4"/>
      <c r="V20" s="4"/>
      <c r="W20" s="4"/>
      <c r="X20" s="4"/>
    </row>
    <row r="21" spans="1:24" ht="15" x14ac:dyDescent="0.2">
      <c r="A21" s="17" t="s">
        <v>16</v>
      </c>
      <c r="B21" s="16">
        <v>2632234409.4499998</v>
      </c>
      <c r="C21" s="16">
        <v>0</v>
      </c>
      <c r="D21" s="16">
        <v>8682224.8970317822</v>
      </c>
      <c r="E21" s="16">
        <v>29788402.859999999</v>
      </c>
      <c r="F21" s="16">
        <v>42431163.640000001</v>
      </c>
      <c r="G21" s="16">
        <v>9445425.9156755358</v>
      </c>
      <c r="H21" s="16">
        <v>150040578.40000001</v>
      </c>
      <c r="I21" s="16">
        <v>96361261.200000003</v>
      </c>
      <c r="J21" s="16">
        <v>163871113.56000006</v>
      </c>
      <c r="K21" s="16">
        <v>0</v>
      </c>
      <c r="L21" s="16">
        <v>0</v>
      </c>
      <c r="M21" s="16">
        <v>0</v>
      </c>
      <c r="N21" s="18">
        <f t="shared" si="0"/>
        <v>3132854579.9227071</v>
      </c>
      <c r="O21" s="4"/>
      <c r="Q21" s="4"/>
      <c r="R21" s="4"/>
      <c r="S21" s="4"/>
      <c r="T21" s="4"/>
      <c r="U21" s="4"/>
      <c r="V21" s="4"/>
      <c r="W21" s="4"/>
      <c r="X21" s="4"/>
    </row>
    <row r="22" spans="1:24" ht="15" x14ac:dyDescent="0.2">
      <c r="A22" s="17" t="s">
        <v>17</v>
      </c>
      <c r="B22" s="16">
        <v>2205042974.7599998</v>
      </c>
      <c r="C22" s="16">
        <v>0</v>
      </c>
      <c r="D22" s="16">
        <v>94286685.292194054</v>
      </c>
      <c r="E22" s="16">
        <v>24387283.490000002</v>
      </c>
      <c r="F22" s="16">
        <v>10102330.529999999</v>
      </c>
      <c r="G22" s="16">
        <v>4677790.46</v>
      </c>
      <c r="H22" s="16">
        <v>122835794.15000001</v>
      </c>
      <c r="I22" s="16">
        <v>22942413.73</v>
      </c>
      <c r="J22" s="16">
        <v>123058210</v>
      </c>
      <c r="K22" s="16">
        <v>0</v>
      </c>
      <c r="L22" s="16">
        <v>0</v>
      </c>
      <c r="M22" s="16">
        <v>0</v>
      </c>
      <c r="N22" s="18">
        <f t="shared" si="0"/>
        <v>2607333482.4121938</v>
      </c>
      <c r="O22" s="4"/>
      <c r="Q22" s="4"/>
      <c r="R22" s="4"/>
      <c r="S22" s="4"/>
      <c r="T22" s="4"/>
      <c r="U22" s="4"/>
      <c r="V22" s="4"/>
      <c r="W22" s="4"/>
      <c r="X22" s="4"/>
    </row>
    <row r="23" spans="1:24" ht="15" x14ac:dyDescent="0.2">
      <c r="A23" s="17" t="s">
        <v>18</v>
      </c>
      <c r="B23" s="16">
        <v>2005013790.8899999</v>
      </c>
      <c r="C23" s="16">
        <v>0</v>
      </c>
      <c r="D23" s="16">
        <v>83945155.415788412</v>
      </c>
      <c r="E23" s="16">
        <v>23003077.029999997</v>
      </c>
      <c r="F23" s="16">
        <v>9682832.8000000007</v>
      </c>
      <c r="G23" s="16">
        <v>5765648.7000000002</v>
      </c>
      <c r="H23" s="16">
        <v>115863713.76000001</v>
      </c>
      <c r="I23" s="16">
        <v>21989733.510000002</v>
      </c>
      <c r="J23" s="16">
        <v>101579683.70000002</v>
      </c>
      <c r="K23" s="16">
        <v>0</v>
      </c>
      <c r="L23" s="16">
        <v>0</v>
      </c>
      <c r="M23" s="16">
        <v>0</v>
      </c>
      <c r="N23" s="18">
        <f t="shared" si="0"/>
        <v>2366843635.8057885</v>
      </c>
      <c r="O23" s="4"/>
      <c r="Q23" s="4"/>
      <c r="R23" s="4"/>
      <c r="S23" s="4"/>
      <c r="T23" s="4"/>
      <c r="U23" s="4"/>
      <c r="V23" s="4"/>
      <c r="W23" s="4"/>
      <c r="X23" s="4"/>
    </row>
    <row r="24" spans="1:24" ht="15" x14ac:dyDescent="0.2">
      <c r="A24" s="17" t="s">
        <v>19</v>
      </c>
      <c r="B24" s="16">
        <v>654099426.49000001</v>
      </c>
      <c r="C24" s="16">
        <v>0</v>
      </c>
      <c r="D24" s="16">
        <v>46078389.004113376</v>
      </c>
      <c r="E24" s="16">
        <v>7298954.4399999995</v>
      </c>
      <c r="F24" s="16">
        <v>10067945.470000001</v>
      </c>
      <c r="G24" s="16">
        <v>1224770.3616605485</v>
      </c>
      <c r="H24" s="16">
        <v>36763949.719999999</v>
      </c>
      <c r="I24" s="16">
        <v>22864325.190000001</v>
      </c>
      <c r="J24" s="16">
        <v>85951956.200000018</v>
      </c>
      <c r="K24" s="16">
        <v>0</v>
      </c>
      <c r="L24" s="16">
        <v>0</v>
      </c>
      <c r="M24" s="16">
        <v>0</v>
      </c>
      <c r="N24" s="18">
        <f t="shared" si="0"/>
        <v>864349716.87577426</v>
      </c>
      <c r="O24" s="4"/>
      <c r="Q24" s="4"/>
      <c r="R24" s="4"/>
      <c r="S24" s="4"/>
      <c r="T24" s="4"/>
      <c r="U24" s="4"/>
      <c r="V24" s="4"/>
      <c r="W24" s="4"/>
      <c r="X24" s="4"/>
    </row>
    <row r="25" spans="1:24" ht="15" x14ac:dyDescent="0.2">
      <c r="A25" s="17" t="s">
        <v>20</v>
      </c>
      <c r="B25" s="16">
        <v>2849807463.9500003</v>
      </c>
      <c r="C25" s="16">
        <v>0</v>
      </c>
      <c r="D25" s="16">
        <v>26783758.811119687</v>
      </c>
      <c r="E25" s="16">
        <v>28680544.199999999</v>
      </c>
      <c r="F25" s="16">
        <v>44652438.5</v>
      </c>
      <c r="G25" s="16">
        <v>13728771.060000001</v>
      </c>
      <c r="H25" s="16">
        <v>144460428.5</v>
      </c>
      <c r="I25" s="16">
        <v>101405781.03</v>
      </c>
      <c r="J25" s="16">
        <v>198694885.84</v>
      </c>
      <c r="K25" s="16">
        <v>0</v>
      </c>
      <c r="L25" s="16">
        <v>0</v>
      </c>
      <c r="M25" s="16">
        <v>0</v>
      </c>
      <c r="N25" s="18">
        <f t="shared" si="0"/>
        <v>3408214071.89112</v>
      </c>
      <c r="O25" s="4"/>
      <c r="Q25" s="4"/>
      <c r="R25" s="4"/>
      <c r="S25" s="4"/>
      <c r="T25" s="4"/>
      <c r="U25" s="4"/>
      <c r="V25" s="4"/>
      <c r="W25" s="4"/>
      <c r="X25" s="4"/>
    </row>
    <row r="26" spans="1:24" ht="15" x14ac:dyDescent="0.2">
      <c r="A26" s="17" t="s">
        <v>21</v>
      </c>
      <c r="B26" s="16">
        <v>1104283138.9400001</v>
      </c>
      <c r="C26" s="16">
        <v>0</v>
      </c>
      <c r="D26" s="16">
        <v>41074091.581360206</v>
      </c>
      <c r="E26" s="16">
        <v>12274448.800000001</v>
      </c>
      <c r="F26" s="16">
        <v>20307816.239999998</v>
      </c>
      <c r="G26" s="16">
        <v>8768137.4600000009</v>
      </c>
      <c r="H26" s="16">
        <v>61824912.460000001</v>
      </c>
      <c r="I26" s="16">
        <v>46119093.079999998</v>
      </c>
      <c r="J26" s="16">
        <v>146612808.75999999</v>
      </c>
      <c r="K26" s="16">
        <v>0</v>
      </c>
      <c r="L26" s="16">
        <v>0</v>
      </c>
      <c r="M26" s="16">
        <v>0</v>
      </c>
      <c r="N26" s="18">
        <f t="shared" si="0"/>
        <v>1441264447.3213601</v>
      </c>
      <c r="O26" s="4"/>
      <c r="Q26" s="4"/>
      <c r="R26" s="4"/>
      <c r="S26" s="4"/>
      <c r="T26" s="4"/>
      <c r="U26" s="4"/>
      <c r="V26" s="4"/>
      <c r="W26" s="4"/>
      <c r="X26" s="4"/>
    </row>
    <row r="27" spans="1:24" ht="15" x14ac:dyDescent="0.2">
      <c r="A27" s="17" t="s">
        <v>22</v>
      </c>
      <c r="B27" s="16">
        <v>546729485.05999994</v>
      </c>
      <c r="C27" s="16">
        <v>0</v>
      </c>
      <c r="D27" s="16">
        <v>30276108.782156188</v>
      </c>
      <c r="E27" s="16">
        <v>5595632.0399999991</v>
      </c>
      <c r="F27" s="16">
        <v>5047726.76</v>
      </c>
      <c r="G27" s="16">
        <v>1979902.01</v>
      </c>
      <c r="H27" s="16">
        <v>28184521.039999999</v>
      </c>
      <c r="I27" s="16">
        <v>11463398.01</v>
      </c>
      <c r="J27" s="16">
        <v>39288253.730000004</v>
      </c>
      <c r="K27" s="16">
        <v>0</v>
      </c>
      <c r="L27" s="16">
        <v>0</v>
      </c>
      <c r="M27" s="16">
        <v>0</v>
      </c>
      <c r="N27" s="18">
        <f t="shared" si="0"/>
        <v>668565027.43215609</v>
      </c>
      <c r="O27" s="4"/>
      <c r="Q27" s="4"/>
      <c r="R27" s="4"/>
      <c r="S27" s="4"/>
      <c r="T27" s="4"/>
      <c r="U27" s="4"/>
      <c r="V27" s="4"/>
      <c r="W27" s="4"/>
      <c r="X27" s="4"/>
    </row>
    <row r="28" spans="1:24" ht="15" x14ac:dyDescent="0.2">
      <c r="A28" s="17" t="s">
        <v>23</v>
      </c>
      <c r="B28" s="16">
        <v>1905743814.6199999</v>
      </c>
      <c r="C28" s="16">
        <v>0</v>
      </c>
      <c r="D28" s="16">
        <v>92904960.645714104</v>
      </c>
      <c r="E28" s="16">
        <v>21447386.859999999</v>
      </c>
      <c r="F28" s="16">
        <v>6952659.0599999996</v>
      </c>
      <c r="G28" s="16">
        <v>2871945.77</v>
      </c>
      <c r="H28" s="16">
        <v>108027890.8</v>
      </c>
      <c r="I28" s="16">
        <v>15789503.25</v>
      </c>
      <c r="J28" s="16">
        <v>80326627.920000002</v>
      </c>
      <c r="K28" s="16">
        <v>0</v>
      </c>
      <c r="L28" s="16">
        <v>0</v>
      </c>
      <c r="M28" s="16">
        <v>0</v>
      </c>
      <c r="N28" s="18">
        <f t="shared" si="0"/>
        <v>2234064788.9257135</v>
      </c>
      <c r="O28" s="4"/>
      <c r="Q28" s="4"/>
      <c r="R28" s="4"/>
      <c r="S28" s="4"/>
      <c r="T28" s="4"/>
      <c r="U28" s="4"/>
      <c r="V28" s="4"/>
      <c r="W28" s="4"/>
      <c r="X28" s="4"/>
    </row>
    <row r="29" spans="1:24" ht="15" x14ac:dyDescent="0.2">
      <c r="A29" s="17" t="s">
        <v>24</v>
      </c>
      <c r="B29" s="16">
        <v>1064400799.38</v>
      </c>
      <c r="C29" s="16">
        <v>0</v>
      </c>
      <c r="D29" s="16">
        <v>92448355.985515103</v>
      </c>
      <c r="E29" s="16">
        <v>12255120.91</v>
      </c>
      <c r="F29" s="16">
        <v>4339394.53</v>
      </c>
      <c r="G29" s="16">
        <v>1740573.19</v>
      </c>
      <c r="H29" s="16">
        <v>61727560.18</v>
      </c>
      <c r="I29" s="16">
        <v>9854774.0399999991</v>
      </c>
      <c r="J29" s="16">
        <v>71610337.149999991</v>
      </c>
      <c r="K29" s="16">
        <v>0</v>
      </c>
      <c r="L29" s="16">
        <v>0</v>
      </c>
      <c r="M29" s="16">
        <v>0</v>
      </c>
      <c r="N29" s="18">
        <f t="shared" si="0"/>
        <v>1318376915.3655152</v>
      </c>
      <c r="O29" s="4"/>
      <c r="Q29" s="4"/>
      <c r="R29" s="4"/>
      <c r="S29" s="4"/>
      <c r="T29" s="4"/>
      <c r="U29" s="4"/>
      <c r="V29" s="4"/>
      <c r="W29" s="4"/>
      <c r="X29" s="4"/>
    </row>
    <row r="30" spans="1:24" ht="15" x14ac:dyDescent="0.2">
      <c r="A30" s="17" t="s">
        <v>25</v>
      </c>
      <c r="B30" s="16">
        <v>388979939.91000003</v>
      </c>
      <c r="C30" s="16">
        <v>0</v>
      </c>
      <c r="D30" s="16">
        <v>69744544.004175171</v>
      </c>
      <c r="E30" s="16">
        <v>4298195.49</v>
      </c>
      <c r="F30" s="16">
        <v>3747971.5</v>
      </c>
      <c r="G30" s="16">
        <v>2175716.4900000002</v>
      </c>
      <c r="H30" s="16">
        <v>21649490.25</v>
      </c>
      <c r="I30" s="16">
        <v>8511651.1099999994</v>
      </c>
      <c r="J30" s="16">
        <v>55630516.039999999</v>
      </c>
      <c r="K30" s="16">
        <v>0</v>
      </c>
      <c r="L30" s="16">
        <v>0</v>
      </c>
      <c r="M30" s="16">
        <v>0</v>
      </c>
      <c r="N30" s="18">
        <f t="shared" si="0"/>
        <v>554738024.79417527</v>
      </c>
      <c r="O30" s="4"/>
      <c r="Q30" s="4"/>
      <c r="R30" s="4"/>
      <c r="S30" s="4"/>
      <c r="T30" s="4"/>
      <c r="U30" s="4"/>
      <c r="V30" s="4"/>
      <c r="W30" s="4"/>
      <c r="X30" s="4"/>
    </row>
    <row r="31" spans="1:24" ht="15" x14ac:dyDescent="0.2">
      <c r="A31" s="17" t="s">
        <v>26</v>
      </c>
      <c r="B31" s="16">
        <v>639969890.91000009</v>
      </c>
      <c r="C31" s="16">
        <v>0</v>
      </c>
      <c r="D31" s="16">
        <v>36683049.426783398</v>
      </c>
      <c r="E31" s="16">
        <v>7398883.7800000003</v>
      </c>
      <c r="F31" s="16">
        <v>4476934.7699999996</v>
      </c>
      <c r="G31" s="16">
        <v>1196644.07</v>
      </c>
      <c r="H31" s="16">
        <v>37267281.729999997</v>
      </c>
      <c r="I31" s="16">
        <v>10167128.210000001</v>
      </c>
      <c r="J31" s="16">
        <v>39426858.239999995</v>
      </c>
      <c r="K31" s="16">
        <v>0</v>
      </c>
      <c r="L31" s="16">
        <v>0</v>
      </c>
      <c r="M31" s="16">
        <v>0</v>
      </c>
      <c r="N31" s="18">
        <f t="shared" si="0"/>
        <v>776586671.1367836</v>
      </c>
      <c r="O31" s="4"/>
      <c r="Q31" s="4"/>
      <c r="R31" s="4"/>
      <c r="S31" s="4"/>
      <c r="T31" s="4"/>
      <c r="U31" s="4"/>
      <c r="V31" s="4"/>
      <c r="W31" s="4"/>
      <c r="X31" s="4"/>
    </row>
    <row r="32" spans="1:24" ht="15" x14ac:dyDescent="0.2">
      <c r="A32" s="17" t="s">
        <v>27</v>
      </c>
      <c r="B32" s="16">
        <v>3459411566.3999996</v>
      </c>
      <c r="C32" s="16">
        <v>0</v>
      </c>
      <c r="D32" s="16">
        <v>194337743.65511301</v>
      </c>
      <c r="E32" s="16">
        <v>33856308.5</v>
      </c>
      <c r="F32" s="16">
        <v>13203862.91</v>
      </c>
      <c r="G32" s="16">
        <v>6548906.6399999997</v>
      </c>
      <c r="H32" s="16">
        <v>170530126.58000001</v>
      </c>
      <c r="I32" s="16">
        <v>29986000.239999998</v>
      </c>
      <c r="J32" s="16">
        <v>123364283.67999998</v>
      </c>
      <c r="K32" s="16">
        <v>0</v>
      </c>
      <c r="L32" s="16">
        <v>0</v>
      </c>
      <c r="M32" s="16">
        <v>0</v>
      </c>
      <c r="N32" s="18">
        <f t="shared" si="0"/>
        <v>4031238798.6051121</v>
      </c>
      <c r="O32" s="4"/>
      <c r="Q32" s="4"/>
      <c r="R32" s="4"/>
      <c r="S32" s="4"/>
      <c r="T32" s="4"/>
      <c r="U32" s="4"/>
      <c r="V32" s="4"/>
      <c r="W32" s="4"/>
      <c r="X32" s="4"/>
    </row>
    <row r="33" spans="1:24" ht="15" x14ac:dyDescent="0.2">
      <c r="A33" s="17" t="s">
        <v>28</v>
      </c>
      <c r="B33" s="16">
        <v>1799681490.8900001</v>
      </c>
      <c r="C33" s="16">
        <v>0</v>
      </c>
      <c r="D33" s="16">
        <v>115371384.44933394</v>
      </c>
      <c r="E33" s="16">
        <v>21202703.899999999</v>
      </c>
      <c r="F33" s="16">
        <v>9689709.8100000005</v>
      </c>
      <c r="G33" s="16">
        <v>5265233.91</v>
      </c>
      <c r="H33" s="16">
        <v>106795452.34999999</v>
      </c>
      <c r="I33" s="16">
        <v>22005351.219999999</v>
      </c>
      <c r="J33" s="16">
        <v>117673601.54000001</v>
      </c>
      <c r="K33" s="16">
        <v>0</v>
      </c>
      <c r="L33" s="16">
        <v>0</v>
      </c>
      <c r="M33" s="16">
        <v>0</v>
      </c>
      <c r="N33" s="18">
        <f t="shared" si="0"/>
        <v>2197684928.069334</v>
      </c>
      <c r="O33" s="4"/>
      <c r="Q33" s="4"/>
      <c r="R33" s="4"/>
      <c r="S33" s="4"/>
      <c r="T33" s="4"/>
      <c r="U33" s="4"/>
      <c r="V33" s="4"/>
      <c r="W33" s="4"/>
      <c r="X33" s="4"/>
    </row>
    <row r="34" spans="1:24" ht="15" x14ac:dyDescent="0.2">
      <c r="A34" s="17" t="s">
        <v>29</v>
      </c>
      <c r="B34" s="16">
        <v>2517418311.7200003</v>
      </c>
      <c r="C34" s="16">
        <v>0</v>
      </c>
      <c r="D34" s="16">
        <v>95922745.455058992</v>
      </c>
      <c r="E34" s="16">
        <v>32917139.210000001</v>
      </c>
      <c r="F34" s="16">
        <v>14090997.449999999</v>
      </c>
      <c r="G34" s="16">
        <v>8789894.6199999992</v>
      </c>
      <c r="H34" s="16">
        <v>145984923.80000001</v>
      </c>
      <c r="I34" s="16">
        <v>32000684.629999999</v>
      </c>
      <c r="J34" s="16">
        <v>148021455.44999999</v>
      </c>
      <c r="K34" s="16">
        <v>0</v>
      </c>
      <c r="L34" s="16">
        <v>0</v>
      </c>
      <c r="M34" s="16">
        <v>0</v>
      </c>
      <c r="N34" s="18">
        <f t="shared" si="0"/>
        <v>2995146152.3350592</v>
      </c>
      <c r="O34" s="4"/>
      <c r="Q34" s="4"/>
      <c r="R34" s="4"/>
      <c r="S34" s="4"/>
      <c r="T34" s="4"/>
      <c r="U34" s="4"/>
      <c r="V34" s="4"/>
      <c r="W34" s="4"/>
      <c r="X34" s="4"/>
    </row>
    <row r="35" spans="1:24" ht="15" x14ac:dyDescent="0.2">
      <c r="A35" s="17" t="s">
        <v>30</v>
      </c>
      <c r="B35" s="16">
        <v>1273764920.5999999</v>
      </c>
      <c r="C35" s="16">
        <v>0</v>
      </c>
      <c r="D35" s="16">
        <v>110237771.36757939</v>
      </c>
      <c r="E35" s="16">
        <v>14301821.93</v>
      </c>
      <c r="F35" s="16">
        <v>8809452.2899999991</v>
      </c>
      <c r="G35" s="16">
        <v>3415874.89</v>
      </c>
      <c r="H35" s="16">
        <v>72036545.349999994</v>
      </c>
      <c r="I35" s="16">
        <v>20006284.539999999</v>
      </c>
      <c r="J35" s="16">
        <v>53199354.669999994</v>
      </c>
      <c r="K35" s="16">
        <v>0</v>
      </c>
      <c r="L35" s="16">
        <v>0</v>
      </c>
      <c r="M35" s="16">
        <v>0</v>
      </c>
      <c r="N35" s="18">
        <f t="shared" si="0"/>
        <v>1555772025.6375794</v>
      </c>
      <c r="O35" s="4"/>
      <c r="Q35" s="4"/>
      <c r="R35" s="4"/>
      <c r="S35" s="4"/>
      <c r="T35" s="4"/>
      <c r="U35" s="4"/>
      <c r="V35" s="4"/>
      <c r="W35" s="4"/>
      <c r="X35" s="4"/>
    </row>
    <row r="36" spans="1:24" ht="15" x14ac:dyDescent="0.2">
      <c r="A36" s="17" t="s">
        <v>31</v>
      </c>
      <c r="B36" s="16">
        <v>1445898260.4000001</v>
      </c>
      <c r="C36" s="16">
        <v>0</v>
      </c>
      <c r="D36" s="16">
        <v>78862803.632629469</v>
      </c>
      <c r="E36" s="16">
        <v>16409385.240000002</v>
      </c>
      <c r="F36" s="16">
        <v>5542871.6200000001</v>
      </c>
      <c r="G36" s="16">
        <v>1979902.01</v>
      </c>
      <c r="H36" s="16">
        <v>82652086.640000001</v>
      </c>
      <c r="I36" s="16">
        <v>12587873.02</v>
      </c>
      <c r="J36" s="16">
        <v>53576772.919999994</v>
      </c>
      <c r="K36" s="16">
        <v>0</v>
      </c>
      <c r="L36" s="16">
        <v>0</v>
      </c>
      <c r="M36" s="16">
        <v>0</v>
      </c>
      <c r="N36" s="18">
        <f t="shared" si="0"/>
        <v>1697509955.4826295</v>
      </c>
      <c r="O36" s="4"/>
      <c r="Q36" s="4"/>
      <c r="R36" s="4"/>
      <c r="S36" s="4"/>
      <c r="T36" s="4"/>
      <c r="U36" s="4"/>
      <c r="V36" s="4"/>
      <c r="W36" s="4"/>
      <c r="X36" s="4"/>
    </row>
    <row r="37" spans="1:24" ht="15" x14ac:dyDescent="0.2">
      <c r="A37" s="17" t="s">
        <v>32</v>
      </c>
      <c r="B37" s="16">
        <v>1476699921.53</v>
      </c>
      <c r="C37" s="16">
        <v>0</v>
      </c>
      <c r="D37" s="16">
        <v>97848393.18364577</v>
      </c>
      <c r="E37" s="16">
        <v>17085861.670000002</v>
      </c>
      <c r="F37" s="16">
        <v>10281132.84</v>
      </c>
      <c r="G37" s="16">
        <v>3024245.92</v>
      </c>
      <c r="H37" s="16">
        <v>86059416.480000004</v>
      </c>
      <c r="I37" s="16">
        <v>23348474.149999999</v>
      </c>
      <c r="J37" s="16">
        <v>90940901.920000002</v>
      </c>
      <c r="K37" s="16">
        <v>0</v>
      </c>
      <c r="L37" s="16">
        <v>0</v>
      </c>
      <c r="M37" s="16">
        <v>0</v>
      </c>
      <c r="N37" s="18">
        <f t="shared" si="0"/>
        <v>1805288347.693646</v>
      </c>
      <c r="O37" s="4"/>
      <c r="Q37" s="4"/>
      <c r="R37" s="4"/>
      <c r="S37" s="4"/>
      <c r="T37" s="4"/>
      <c r="U37" s="4"/>
      <c r="V37" s="4"/>
      <c r="W37" s="4"/>
      <c r="X37" s="4"/>
    </row>
    <row r="38" spans="1:24" ht="15" x14ac:dyDescent="0.2">
      <c r="A38" s="17" t="s">
        <v>33</v>
      </c>
      <c r="B38" s="16">
        <v>1249501347.9400001</v>
      </c>
      <c r="C38" s="16">
        <v>0</v>
      </c>
      <c r="D38" s="16">
        <v>7003365.6522096656</v>
      </c>
      <c r="E38" s="16">
        <v>14421079.16</v>
      </c>
      <c r="F38" s="16">
        <v>9187687.9399999995</v>
      </c>
      <c r="G38" s="16">
        <v>8376508.4900000002</v>
      </c>
      <c r="H38" s="16">
        <v>72637229.640000001</v>
      </c>
      <c r="I38" s="16">
        <v>20865258.5</v>
      </c>
      <c r="J38" s="16">
        <v>150071658.66</v>
      </c>
      <c r="K38" s="16">
        <v>0</v>
      </c>
      <c r="L38" s="16">
        <v>0</v>
      </c>
      <c r="M38" s="16">
        <v>0</v>
      </c>
      <c r="N38" s="18">
        <f t="shared" si="0"/>
        <v>1532064135.9822102</v>
      </c>
      <c r="O38" s="4"/>
      <c r="Q38" s="4"/>
      <c r="R38" s="4"/>
      <c r="S38" s="4"/>
      <c r="T38" s="4"/>
      <c r="U38" s="4"/>
      <c r="V38" s="4"/>
      <c r="W38" s="4"/>
      <c r="X38" s="4"/>
    </row>
    <row r="39" spans="1:24" ht="15" x14ac:dyDescent="0.2">
      <c r="A39" s="17" t="s">
        <v>34</v>
      </c>
      <c r="B39" s="16">
        <v>2435801174.25</v>
      </c>
      <c r="C39" s="16">
        <v>0</v>
      </c>
      <c r="D39" s="16">
        <v>112542318.3664358</v>
      </c>
      <c r="E39" s="16">
        <v>27720317.789999999</v>
      </c>
      <c r="F39" s="16">
        <v>11704674.310000001</v>
      </c>
      <c r="G39" s="16">
        <v>5221719.58</v>
      </c>
      <c r="H39" s="16">
        <v>139623884.31999999</v>
      </c>
      <c r="I39" s="16">
        <v>26581339.800000001</v>
      </c>
      <c r="J39" s="16">
        <v>130286884.96999997</v>
      </c>
      <c r="K39" s="16">
        <v>0</v>
      </c>
      <c r="L39" s="16">
        <v>0</v>
      </c>
      <c r="M39" s="16">
        <v>0</v>
      </c>
      <c r="N39" s="18">
        <f t="shared" si="0"/>
        <v>2889482313.386436</v>
      </c>
      <c r="O39" s="4"/>
      <c r="Q39" s="4"/>
      <c r="R39" s="4"/>
      <c r="S39" s="4"/>
      <c r="T39" s="4"/>
      <c r="U39" s="4"/>
      <c r="V39" s="4"/>
      <c r="W39" s="4"/>
      <c r="X39" s="4"/>
    </row>
    <row r="40" spans="1:24" ht="15" x14ac:dyDescent="0.2">
      <c r="A40" s="17" t="s">
        <v>35</v>
      </c>
      <c r="B40" s="16">
        <v>1593477445.7599998</v>
      </c>
      <c r="C40" s="16">
        <v>0</v>
      </c>
      <c r="D40" s="16">
        <v>106883410.70991838</v>
      </c>
      <c r="E40" s="16">
        <v>18205646.050000001</v>
      </c>
      <c r="F40" s="16">
        <v>6251203.8499999996</v>
      </c>
      <c r="G40" s="16">
        <v>2284502.3199999998</v>
      </c>
      <c r="H40" s="16">
        <v>91699634.799999997</v>
      </c>
      <c r="I40" s="16">
        <v>14196496.99</v>
      </c>
      <c r="J40" s="16">
        <v>71777533.960000008</v>
      </c>
      <c r="K40" s="16">
        <v>0</v>
      </c>
      <c r="L40" s="16">
        <v>0</v>
      </c>
      <c r="M40" s="16">
        <v>0</v>
      </c>
      <c r="N40" s="18">
        <f t="shared" ref="N40:N71" si="1">SUM(B40:M40)</f>
        <v>1904775874.439918</v>
      </c>
      <c r="O40" s="4"/>
      <c r="Q40" s="4"/>
      <c r="R40" s="4"/>
      <c r="S40" s="4"/>
      <c r="T40" s="4"/>
      <c r="U40" s="4"/>
      <c r="V40" s="4"/>
      <c r="W40" s="4"/>
      <c r="X40" s="4"/>
    </row>
    <row r="41" spans="1:24" ht="15" x14ac:dyDescent="0.2">
      <c r="A41" s="17" t="s">
        <v>36</v>
      </c>
      <c r="B41" s="16">
        <v>1781447488.6599998</v>
      </c>
      <c r="C41" s="16">
        <v>0</v>
      </c>
      <c r="D41" s="16">
        <v>31740271.153462347</v>
      </c>
      <c r="E41" s="16">
        <v>19024819.93</v>
      </c>
      <c r="F41" s="16">
        <v>10583721.359999999</v>
      </c>
      <c r="G41" s="16">
        <v>3981561.18</v>
      </c>
      <c r="H41" s="16">
        <v>95825714.459999993</v>
      </c>
      <c r="I41" s="16">
        <v>24035653.32</v>
      </c>
      <c r="J41" s="16">
        <v>73653187.960000008</v>
      </c>
      <c r="K41" s="16">
        <v>0</v>
      </c>
      <c r="L41" s="16">
        <v>0</v>
      </c>
      <c r="M41" s="16">
        <v>0</v>
      </c>
      <c r="N41" s="18">
        <f t="shared" si="1"/>
        <v>2040292418.0234623</v>
      </c>
      <c r="O41" s="4"/>
      <c r="Q41" s="4"/>
      <c r="R41" s="4"/>
      <c r="S41" s="4"/>
      <c r="T41" s="4"/>
      <c r="U41" s="4"/>
      <c r="V41" s="4"/>
      <c r="W41" s="4"/>
      <c r="X41" s="4"/>
    </row>
    <row r="42" spans="1:24" ht="15" x14ac:dyDescent="0.2">
      <c r="A42" s="17" t="s">
        <v>37</v>
      </c>
      <c r="B42" s="16">
        <v>1018525212.1099999</v>
      </c>
      <c r="C42" s="16">
        <v>0</v>
      </c>
      <c r="D42" s="16">
        <v>6904042.657645382</v>
      </c>
      <c r="E42" s="16">
        <v>11540399.93</v>
      </c>
      <c r="F42" s="16">
        <v>28745909.890000001</v>
      </c>
      <c r="G42" s="16">
        <v>0</v>
      </c>
      <c r="H42" s="16">
        <v>58127597.109999999</v>
      </c>
      <c r="I42" s="16">
        <v>65282021.359999999</v>
      </c>
      <c r="J42" s="16">
        <v>112234803.78000003</v>
      </c>
      <c r="K42" s="16">
        <v>0</v>
      </c>
      <c r="L42" s="16">
        <v>0</v>
      </c>
      <c r="M42" s="16">
        <v>0</v>
      </c>
      <c r="N42" s="18">
        <f t="shared" si="1"/>
        <v>1301359986.8376451</v>
      </c>
      <c r="O42" s="4"/>
      <c r="Q42" s="4"/>
      <c r="R42" s="4"/>
      <c r="S42" s="4"/>
      <c r="T42" s="4"/>
      <c r="U42" s="4"/>
      <c r="V42" s="4"/>
      <c r="W42" s="4"/>
      <c r="X42" s="4"/>
    </row>
    <row r="43" spans="1:24" ht="15" x14ac:dyDescent="0.2">
      <c r="A43" s="17" t="s">
        <v>38</v>
      </c>
      <c r="B43" s="16">
        <v>6487599876.9399996</v>
      </c>
      <c r="C43" s="16">
        <v>0</v>
      </c>
      <c r="D43" s="16">
        <v>34876992.448528066</v>
      </c>
      <c r="E43" s="16">
        <v>69893379.590000004</v>
      </c>
      <c r="F43" s="16">
        <v>119536221.47</v>
      </c>
      <c r="G43" s="16">
        <v>31808975.100000001</v>
      </c>
      <c r="H43" s="16">
        <v>352044490.31999999</v>
      </c>
      <c r="I43" s="16">
        <v>271467008.44999999</v>
      </c>
      <c r="J43" s="16">
        <v>367569922.06</v>
      </c>
      <c r="K43" s="16">
        <v>0</v>
      </c>
      <c r="L43" s="16">
        <v>0</v>
      </c>
      <c r="M43" s="16">
        <v>0</v>
      </c>
      <c r="N43" s="18">
        <f t="shared" si="1"/>
        <v>7734796866.3785286</v>
      </c>
      <c r="O43" s="4"/>
      <c r="Q43" s="4"/>
      <c r="R43" s="4"/>
      <c r="S43" s="4"/>
      <c r="T43" s="4"/>
      <c r="U43" s="4"/>
      <c r="V43" s="4"/>
      <c r="W43" s="4"/>
      <c r="X43" s="4"/>
    </row>
    <row r="44" spans="1:24" ht="15" x14ac:dyDescent="0.2">
      <c r="A44" s="17" t="s">
        <v>39</v>
      </c>
      <c r="B44" s="16">
        <v>5697362919.7600012</v>
      </c>
      <c r="C44" s="16">
        <v>0</v>
      </c>
      <c r="D44" s="16">
        <v>21306693.92131868</v>
      </c>
      <c r="E44" s="16">
        <v>63615513.890000001</v>
      </c>
      <c r="F44" s="16">
        <v>150407128.05000001</v>
      </c>
      <c r="G44" s="16">
        <v>55435627.080407858</v>
      </c>
      <c r="H44" s="16">
        <v>320423640.89999998</v>
      </c>
      <c r="I44" s="16">
        <v>341574901.73000002</v>
      </c>
      <c r="J44" s="16">
        <v>475323633.73000002</v>
      </c>
      <c r="K44" s="16">
        <v>0</v>
      </c>
      <c r="L44" s="16">
        <v>0</v>
      </c>
      <c r="M44" s="16">
        <v>0</v>
      </c>
      <c r="N44" s="18">
        <f t="shared" si="1"/>
        <v>7125450059.0617275</v>
      </c>
      <c r="O44" s="4"/>
      <c r="Q44" s="4"/>
      <c r="R44" s="4"/>
      <c r="S44" s="4"/>
      <c r="T44" s="4"/>
      <c r="U44" s="4"/>
      <c r="V44" s="4"/>
      <c r="W44" s="4"/>
      <c r="X44" s="4"/>
    </row>
    <row r="45" spans="1:24" ht="15" x14ac:dyDescent="0.2">
      <c r="A45" s="17" t="s">
        <v>40</v>
      </c>
      <c r="B45" s="16">
        <v>1660129625.23</v>
      </c>
      <c r="C45" s="16">
        <v>0</v>
      </c>
      <c r="D45" s="16">
        <v>36033837.721343592</v>
      </c>
      <c r="E45" s="16">
        <v>17001970.380000003</v>
      </c>
      <c r="F45" s="16">
        <v>11202652.439999999</v>
      </c>
      <c r="G45" s="16">
        <v>4982390.76</v>
      </c>
      <c r="H45" s="16">
        <v>85636866.150000006</v>
      </c>
      <c r="I45" s="16">
        <v>25441247.079999998</v>
      </c>
      <c r="J45" s="16">
        <v>71157489.700000018</v>
      </c>
      <c r="K45" s="16">
        <v>0</v>
      </c>
      <c r="L45" s="16">
        <v>0</v>
      </c>
      <c r="M45" s="16">
        <v>0</v>
      </c>
      <c r="N45" s="18">
        <f t="shared" si="1"/>
        <v>1911586079.4613438</v>
      </c>
      <c r="O45" s="4"/>
      <c r="Q45" s="4"/>
      <c r="R45" s="4"/>
      <c r="S45" s="4"/>
      <c r="T45" s="4"/>
      <c r="U45" s="4"/>
      <c r="V45" s="4"/>
      <c r="W45" s="4"/>
      <c r="X45" s="4"/>
    </row>
    <row r="46" spans="1:24" ht="15" x14ac:dyDescent="0.2">
      <c r="A46" s="17" t="s">
        <v>41</v>
      </c>
      <c r="B46" s="16">
        <v>2257238714.1700001</v>
      </c>
      <c r="C46" s="16">
        <v>0</v>
      </c>
      <c r="D46" s="16">
        <v>20255004.251318686</v>
      </c>
      <c r="E46" s="16">
        <v>30552003.599999998</v>
      </c>
      <c r="F46" s="16">
        <v>88362726.359999999</v>
      </c>
      <c r="G46" s="16">
        <v>0</v>
      </c>
      <c r="H46" s="16">
        <v>135495733.34</v>
      </c>
      <c r="I46" s="16">
        <v>200671936</v>
      </c>
      <c r="J46" s="16">
        <v>301058815.19999993</v>
      </c>
      <c r="K46" s="16">
        <v>0</v>
      </c>
      <c r="L46" s="16">
        <v>0</v>
      </c>
      <c r="M46" s="16">
        <v>0</v>
      </c>
      <c r="N46" s="18">
        <f t="shared" si="1"/>
        <v>3033634932.9213185</v>
      </c>
      <c r="O46" s="4"/>
      <c r="Q46" s="4"/>
      <c r="R46" s="4"/>
      <c r="S46" s="4"/>
      <c r="T46" s="4"/>
      <c r="U46" s="4"/>
      <c r="V46" s="4"/>
      <c r="W46" s="4"/>
      <c r="X46" s="4"/>
    </row>
    <row r="47" spans="1:24" ht="15" x14ac:dyDescent="0.2">
      <c r="A47" s="17" t="s">
        <v>42</v>
      </c>
      <c r="B47" s="16">
        <v>7228220007.3700008</v>
      </c>
      <c r="C47" s="16">
        <v>0</v>
      </c>
      <c r="D47" s="16">
        <v>20122901.950866643</v>
      </c>
      <c r="E47" s="16">
        <v>92905833.650000006</v>
      </c>
      <c r="F47" s="16">
        <v>275465590.12</v>
      </c>
      <c r="G47" s="16">
        <v>62758090.644818269</v>
      </c>
      <c r="H47" s="16">
        <v>412030066.06999999</v>
      </c>
      <c r="I47" s="16">
        <v>625582930.08000004</v>
      </c>
      <c r="J47" s="16">
        <v>724380702.64999986</v>
      </c>
      <c r="K47" s="16">
        <v>0</v>
      </c>
      <c r="L47" s="16">
        <v>0</v>
      </c>
      <c r="M47" s="16">
        <v>0</v>
      </c>
      <c r="N47" s="18">
        <f t="shared" si="1"/>
        <v>9441466122.5356846</v>
      </c>
      <c r="O47" s="4"/>
      <c r="Q47" s="4"/>
      <c r="R47" s="4"/>
      <c r="S47" s="4"/>
      <c r="T47" s="4"/>
      <c r="U47" s="4"/>
      <c r="V47" s="4"/>
      <c r="W47" s="4"/>
      <c r="X47" s="4"/>
    </row>
    <row r="48" spans="1:24" ht="15" x14ac:dyDescent="0.2">
      <c r="A48" s="17" t="s">
        <v>43</v>
      </c>
      <c r="B48" s="16">
        <v>664124495.47000003</v>
      </c>
      <c r="C48" s="16">
        <v>0</v>
      </c>
      <c r="D48" s="16">
        <v>54657256.679734997</v>
      </c>
      <c r="E48" s="16">
        <v>7914568.5299999993</v>
      </c>
      <c r="F48" s="16">
        <v>2393200.15</v>
      </c>
      <c r="G48" s="16">
        <v>1348944.22</v>
      </c>
      <c r="H48" s="16">
        <v>39864723.439999998</v>
      </c>
      <c r="I48" s="16">
        <v>5434962.54</v>
      </c>
      <c r="J48" s="16">
        <v>38863998.689999998</v>
      </c>
      <c r="K48" s="16">
        <v>0</v>
      </c>
      <c r="L48" s="16">
        <v>0</v>
      </c>
      <c r="M48" s="16">
        <v>0</v>
      </c>
      <c r="N48" s="18">
        <f t="shared" si="1"/>
        <v>814602149.71973491</v>
      </c>
      <c r="O48" s="4"/>
      <c r="Q48" s="4"/>
      <c r="R48" s="4"/>
      <c r="S48" s="4"/>
      <c r="T48" s="4"/>
      <c r="U48" s="4"/>
      <c r="V48" s="4"/>
      <c r="W48" s="4"/>
      <c r="X48" s="4"/>
    </row>
    <row r="49" spans="1:24" ht="15" x14ac:dyDescent="0.2">
      <c r="A49" s="17" t="s">
        <v>44</v>
      </c>
      <c r="B49" s="16">
        <v>1373252833.1900001</v>
      </c>
      <c r="C49" s="16">
        <v>0</v>
      </c>
      <c r="D49" s="16">
        <v>86062314.893019184</v>
      </c>
      <c r="E49" s="16">
        <v>11788314.473999999</v>
      </c>
      <c r="F49" s="16">
        <v>14132259.52</v>
      </c>
      <c r="G49" s="16">
        <v>5656862.8799999999</v>
      </c>
      <c r="H49" s="16">
        <v>75276097.849999994</v>
      </c>
      <c r="I49" s="16">
        <v>32094390.890000001</v>
      </c>
      <c r="J49" s="16">
        <v>91470267.679999992</v>
      </c>
      <c r="K49" s="16">
        <v>0</v>
      </c>
      <c r="L49" s="16">
        <v>0</v>
      </c>
      <c r="M49" s="16">
        <v>0</v>
      </c>
      <c r="N49" s="18">
        <f t="shared" si="1"/>
        <v>1689733341.3770194</v>
      </c>
      <c r="O49" s="4"/>
      <c r="Q49" s="4"/>
      <c r="R49" s="4"/>
      <c r="S49" s="4"/>
      <c r="T49" s="4"/>
      <c r="U49" s="4"/>
      <c r="V49" s="4"/>
      <c r="W49" s="4"/>
      <c r="X49" s="4"/>
    </row>
    <row r="50" spans="1:24" ht="15" x14ac:dyDescent="0.2">
      <c r="A50" s="17" t="s">
        <v>45</v>
      </c>
      <c r="B50" s="16">
        <v>833352018.14999998</v>
      </c>
      <c r="C50" s="16">
        <v>0</v>
      </c>
      <c r="D50" s="16">
        <v>67893756.304154918</v>
      </c>
      <c r="E50" s="16">
        <v>9703015.9399999995</v>
      </c>
      <c r="F50" s="16">
        <v>3961158.87</v>
      </c>
      <c r="G50" s="16">
        <v>1610030.2</v>
      </c>
      <c r="H50" s="16">
        <v>48872916.43</v>
      </c>
      <c r="I50" s="16">
        <v>8995800.0700000003</v>
      </c>
      <c r="J50" s="16">
        <v>66100739.430000015</v>
      </c>
      <c r="K50" s="16">
        <v>0</v>
      </c>
      <c r="L50" s="16">
        <v>0</v>
      </c>
      <c r="M50" s="16">
        <v>0</v>
      </c>
      <c r="N50" s="18">
        <f t="shared" si="1"/>
        <v>1040489435.394155</v>
      </c>
      <c r="O50" s="4"/>
      <c r="Q50" s="4"/>
      <c r="R50" s="4"/>
      <c r="S50" s="4"/>
      <c r="T50" s="4"/>
      <c r="U50" s="4"/>
      <c r="V50" s="4"/>
      <c r="W50" s="4"/>
      <c r="X50" s="4"/>
    </row>
    <row r="51" spans="1:24" ht="15" x14ac:dyDescent="0.2">
      <c r="A51" s="17" t="s">
        <v>46</v>
      </c>
      <c r="B51" s="16">
        <v>823908112.61999989</v>
      </c>
      <c r="C51" s="16">
        <v>0</v>
      </c>
      <c r="D51" s="16">
        <v>56840689.942197725</v>
      </c>
      <c r="E51" s="16">
        <v>9486296.7400000002</v>
      </c>
      <c r="F51" s="16">
        <v>4937694.57</v>
      </c>
      <c r="G51" s="16">
        <v>2023416.34</v>
      </c>
      <c r="H51" s="16">
        <v>47781328.090000004</v>
      </c>
      <c r="I51" s="16">
        <v>11213514.67</v>
      </c>
      <c r="J51" s="16">
        <v>45858216.799999997</v>
      </c>
      <c r="K51" s="16">
        <v>0</v>
      </c>
      <c r="L51" s="16">
        <v>0</v>
      </c>
      <c r="M51" s="16">
        <v>0</v>
      </c>
      <c r="N51" s="18">
        <f t="shared" si="1"/>
        <v>1002049269.7721976</v>
      </c>
      <c r="O51" s="4"/>
      <c r="Q51" s="4"/>
      <c r="R51" s="4"/>
      <c r="S51" s="4"/>
      <c r="T51" s="4"/>
      <c r="U51" s="4"/>
      <c r="V51" s="4"/>
      <c r="W51" s="4"/>
      <c r="X51" s="4"/>
    </row>
    <row r="52" spans="1:24" ht="15" x14ac:dyDescent="0.2">
      <c r="A52" s="17" t="s">
        <v>47</v>
      </c>
      <c r="B52" s="16">
        <v>978207000</v>
      </c>
      <c r="C52" s="16">
        <v>0</v>
      </c>
      <c r="D52" s="16">
        <v>60803523.513914399</v>
      </c>
      <c r="E52" s="16">
        <v>11187151.760000002</v>
      </c>
      <c r="F52" s="16">
        <v>4545704.88</v>
      </c>
      <c r="G52" s="16">
        <v>2589102.62</v>
      </c>
      <c r="H52" s="16">
        <v>56348328.82</v>
      </c>
      <c r="I52" s="16">
        <v>10323305.289999999</v>
      </c>
      <c r="J52" s="16">
        <v>58781930.789999999</v>
      </c>
      <c r="K52" s="16">
        <v>0</v>
      </c>
      <c r="L52" s="16">
        <v>0</v>
      </c>
      <c r="M52" s="16">
        <v>0</v>
      </c>
      <c r="N52" s="18">
        <f t="shared" si="1"/>
        <v>1182786047.6739142</v>
      </c>
      <c r="O52" s="4"/>
      <c r="Q52" s="4"/>
      <c r="R52" s="4"/>
      <c r="S52" s="4"/>
      <c r="T52" s="4"/>
      <c r="U52" s="4"/>
      <c r="V52" s="4"/>
      <c r="W52" s="4"/>
      <c r="X52" s="4"/>
    </row>
    <row r="53" spans="1:24" ht="15" x14ac:dyDescent="0.2">
      <c r="A53" s="17" t="s">
        <v>48</v>
      </c>
      <c r="B53" s="16">
        <v>338491368.00999999</v>
      </c>
      <c r="C53" s="16">
        <v>0</v>
      </c>
      <c r="D53" s="16">
        <v>45771397.931211598</v>
      </c>
      <c r="E53" s="16">
        <v>3845840.4400000004</v>
      </c>
      <c r="F53" s="16">
        <v>790856.37</v>
      </c>
      <c r="G53" s="16">
        <v>391628.97</v>
      </c>
      <c r="H53" s="16">
        <v>19371032.609999999</v>
      </c>
      <c r="I53" s="16">
        <v>1796036.47</v>
      </c>
      <c r="J53" s="16">
        <v>31087441.109999992</v>
      </c>
      <c r="K53" s="16">
        <v>0</v>
      </c>
      <c r="L53" s="16">
        <v>0</v>
      </c>
      <c r="M53" s="16">
        <v>0</v>
      </c>
      <c r="N53" s="18">
        <f t="shared" si="1"/>
        <v>441545601.91121167</v>
      </c>
      <c r="O53" s="4"/>
      <c r="Q53" s="4"/>
      <c r="R53" s="4"/>
      <c r="S53" s="4"/>
      <c r="T53" s="4"/>
      <c r="U53" s="4"/>
      <c r="V53" s="4"/>
      <c r="W53" s="4"/>
      <c r="X53" s="4"/>
    </row>
    <row r="54" spans="1:24" ht="15" x14ac:dyDescent="0.2">
      <c r="A54" s="17" t="s">
        <v>49</v>
      </c>
      <c r="B54" s="16">
        <v>1307327107.9799998</v>
      </c>
      <c r="C54" s="16">
        <v>0</v>
      </c>
      <c r="D54" s="16">
        <v>78653291.9631522</v>
      </c>
      <c r="E54" s="16">
        <v>14931417.919999998</v>
      </c>
      <c r="F54" s="16">
        <v>2716419.71</v>
      </c>
      <c r="G54" s="16">
        <v>1435972.88</v>
      </c>
      <c r="H54" s="16">
        <v>75207744.120000005</v>
      </c>
      <c r="I54" s="16">
        <v>6168994.8399999999</v>
      </c>
      <c r="J54" s="16">
        <v>71122362.079999998</v>
      </c>
      <c r="K54" s="16">
        <v>0</v>
      </c>
      <c r="L54" s="16">
        <v>0</v>
      </c>
      <c r="M54" s="16">
        <v>0</v>
      </c>
      <c r="N54" s="18">
        <f t="shared" si="1"/>
        <v>1557563311.4931519</v>
      </c>
      <c r="O54" s="4"/>
      <c r="Q54" s="4"/>
      <c r="R54" s="4"/>
      <c r="S54" s="4"/>
      <c r="T54" s="4"/>
      <c r="U54" s="4"/>
      <c r="V54" s="4"/>
      <c r="W54" s="4"/>
      <c r="X54" s="4"/>
    </row>
    <row r="55" spans="1:24" ht="15" x14ac:dyDescent="0.2">
      <c r="A55" s="17" t="s">
        <v>50</v>
      </c>
      <c r="B55" s="16">
        <v>597435993.26999998</v>
      </c>
      <c r="C55" s="16">
        <v>0</v>
      </c>
      <c r="D55" s="16">
        <v>22052144.304511379</v>
      </c>
      <c r="E55" s="16">
        <v>6782447.21</v>
      </c>
      <c r="F55" s="16">
        <v>5013341.7</v>
      </c>
      <c r="G55" s="16">
        <v>2240987.9900000002</v>
      </c>
      <c r="H55" s="16">
        <v>34162365.359999999</v>
      </c>
      <c r="I55" s="16">
        <v>11385309.470000001</v>
      </c>
      <c r="J55" s="16">
        <v>50211869.180000007</v>
      </c>
      <c r="K55" s="16">
        <v>0</v>
      </c>
      <c r="L55" s="16">
        <v>0</v>
      </c>
      <c r="M55" s="16">
        <v>0</v>
      </c>
      <c r="N55" s="18">
        <f t="shared" si="1"/>
        <v>729284458.48451161</v>
      </c>
      <c r="O55" s="4"/>
      <c r="Q55" s="4"/>
      <c r="R55" s="4"/>
      <c r="S55" s="4"/>
      <c r="T55" s="4"/>
      <c r="U55" s="4"/>
      <c r="V55" s="4"/>
      <c r="W55" s="4"/>
      <c r="X55" s="4"/>
    </row>
    <row r="56" spans="1:24" ht="15" x14ac:dyDescent="0.2">
      <c r="A56" s="17" t="s">
        <v>51</v>
      </c>
      <c r="B56" s="16">
        <v>462787693.94999993</v>
      </c>
      <c r="C56" s="16">
        <v>0</v>
      </c>
      <c r="D56" s="16">
        <v>21834509.407372084</v>
      </c>
      <c r="E56" s="16">
        <v>5172885.67</v>
      </c>
      <c r="F56" s="16">
        <v>1416664.45</v>
      </c>
      <c r="G56" s="16">
        <v>609200.62</v>
      </c>
      <c r="H56" s="16">
        <v>26055198.800000001</v>
      </c>
      <c r="I56" s="16">
        <v>3217247.94</v>
      </c>
      <c r="J56" s="16">
        <v>41450102.980000004</v>
      </c>
      <c r="K56" s="16">
        <v>0</v>
      </c>
      <c r="L56" s="16">
        <v>0</v>
      </c>
      <c r="M56" s="16">
        <v>0</v>
      </c>
      <c r="N56" s="18">
        <f t="shared" si="1"/>
        <v>562543503.81737196</v>
      </c>
      <c r="O56" s="4"/>
      <c r="Q56" s="4"/>
      <c r="R56" s="4"/>
      <c r="S56" s="4"/>
      <c r="T56" s="4"/>
      <c r="U56" s="4"/>
      <c r="V56" s="4"/>
      <c r="W56" s="4"/>
      <c r="X56" s="4"/>
    </row>
    <row r="57" spans="1:24" ht="15" x14ac:dyDescent="0.2">
      <c r="A57" s="17" t="s">
        <v>52</v>
      </c>
      <c r="B57" s="16">
        <v>1080382793.3599999</v>
      </c>
      <c r="C57" s="16">
        <v>0</v>
      </c>
      <c r="D57" s="16">
        <v>54971195.388018906</v>
      </c>
      <c r="E57" s="16">
        <v>12875669.800000001</v>
      </c>
      <c r="F57" s="16">
        <v>7275878.6200000001</v>
      </c>
      <c r="G57" s="16">
        <v>2806674.27</v>
      </c>
      <c r="H57" s="16">
        <v>64853189.799999997</v>
      </c>
      <c r="I57" s="16">
        <v>16523535.550000001</v>
      </c>
      <c r="J57" s="16">
        <v>88500482.070000008</v>
      </c>
      <c r="K57" s="16">
        <v>0</v>
      </c>
      <c r="L57" s="16">
        <v>0</v>
      </c>
      <c r="M57" s="16">
        <v>0</v>
      </c>
      <c r="N57" s="18">
        <f t="shared" si="1"/>
        <v>1328189418.8580184</v>
      </c>
      <c r="O57" s="4"/>
      <c r="Q57" s="4"/>
      <c r="R57" s="4"/>
      <c r="S57" s="4"/>
      <c r="T57" s="4"/>
      <c r="U57" s="4"/>
      <c r="V57" s="4"/>
      <c r="W57" s="4"/>
      <c r="X57" s="4"/>
    </row>
    <row r="58" spans="1:24" ht="15" x14ac:dyDescent="0.2">
      <c r="A58" s="17" t="s">
        <v>53</v>
      </c>
      <c r="B58" s="16">
        <v>1092877806.8599999</v>
      </c>
      <c r="C58" s="16">
        <v>0</v>
      </c>
      <c r="D58" s="16">
        <v>28735034.621161208</v>
      </c>
      <c r="E58" s="16">
        <v>12086104.609999999</v>
      </c>
      <c r="F58" s="16">
        <v>4236239.3499999996</v>
      </c>
      <c r="G58" s="16">
        <v>1762330.36</v>
      </c>
      <c r="H58" s="16">
        <v>60876245.549999997</v>
      </c>
      <c r="I58" s="16">
        <v>9620508.4100000001</v>
      </c>
      <c r="J58" s="16">
        <v>50083612.25999999</v>
      </c>
      <c r="K58" s="16">
        <v>0</v>
      </c>
      <c r="L58" s="16">
        <v>0</v>
      </c>
      <c r="M58" s="16">
        <v>0</v>
      </c>
      <c r="N58" s="18">
        <f t="shared" si="1"/>
        <v>1260277882.0211608</v>
      </c>
      <c r="O58" s="4"/>
      <c r="Q58" s="4"/>
      <c r="R58" s="4"/>
      <c r="S58" s="4"/>
      <c r="T58" s="4"/>
      <c r="U58" s="4"/>
      <c r="V58" s="4"/>
      <c r="W58" s="4"/>
      <c r="X58" s="4"/>
    </row>
    <row r="59" spans="1:24" ht="15" x14ac:dyDescent="0.2">
      <c r="A59" s="17" t="s">
        <v>54</v>
      </c>
      <c r="B59" s="16">
        <v>1072646055.3700001</v>
      </c>
      <c r="C59" s="16">
        <v>0</v>
      </c>
      <c r="D59" s="16">
        <v>77296309.802803576</v>
      </c>
      <c r="E59" s="16">
        <v>12293776.710000001</v>
      </c>
      <c r="F59" s="16">
        <v>4126207.16</v>
      </c>
      <c r="G59" s="16">
        <v>1610030.2</v>
      </c>
      <c r="H59" s="16">
        <v>61922264.740000002</v>
      </c>
      <c r="I59" s="16">
        <v>9370625.0800000001</v>
      </c>
      <c r="J59" s="16">
        <v>56017192.770000003</v>
      </c>
      <c r="K59" s="16">
        <v>0</v>
      </c>
      <c r="L59" s="16">
        <v>0</v>
      </c>
      <c r="M59" s="16">
        <v>0</v>
      </c>
      <c r="N59" s="18">
        <f t="shared" si="1"/>
        <v>1295282461.8328037</v>
      </c>
      <c r="O59" s="4"/>
      <c r="Q59" s="4"/>
      <c r="R59" s="4"/>
      <c r="S59" s="4"/>
      <c r="T59" s="4"/>
      <c r="U59" s="4"/>
      <c r="V59" s="4"/>
      <c r="W59" s="4"/>
      <c r="X59" s="4"/>
    </row>
    <row r="60" spans="1:24" ht="15" x14ac:dyDescent="0.2">
      <c r="A60" s="17" t="s">
        <v>55</v>
      </c>
      <c r="B60" s="16">
        <v>7749160365.8999996</v>
      </c>
      <c r="C60" s="16">
        <v>0</v>
      </c>
      <c r="D60" s="16">
        <v>149653317.90349555</v>
      </c>
      <c r="E60" s="16">
        <v>119749565.11</v>
      </c>
      <c r="F60" s="16">
        <v>226975778.94999999</v>
      </c>
      <c r="G60" s="16">
        <v>82829526.799999997</v>
      </c>
      <c r="H60" s="16">
        <v>442455760.88999999</v>
      </c>
      <c r="I60" s="16">
        <v>515462467.72000003</v>
      </c>
      <c r="J60" s="16">
        <v>936358748.38000011</v>
      </c>
      <c r="K60" s="16">
        <v>0</v>
      </c>
      <c r="L60" s="16">
        <v>0</v>
      </c>
      <c r="M60" s="16">
        <v>0</v>
      </c>
      <c r="N60" s="18">
        <f t="shared" si="1"/>
        <v>10222645531.653496</v>
      </c>
      <c r="O60" s="4"/>
      <c r="Q60" s="4"/>
      <c r="R60" s="4"/>
      <c r="S60" s="4"/>
      <c r="T60" s="4"/>
      <c r="U60" s="4"/>
      <c r="V60" s="4"/>
      <c r="W60" s="4"/>
      <c r="X60" s="4"/>
    </row>
    <row r="61" spans="1:24" ht="15" x14ac:dyDescent="0.2">
      <c r="A61" s="17" t="s">
        <v>56</v>
      </c>
      <c r="B61" s="16">
        <v>1944318536.48</v>
      </c>
      <c r="C61" s="16">
        <v>0</v>
      </c>
      <c r="D61" s="16">
        <v>20186750.382753186</v>
      </c>
      <c r="E61" s="16">
        <v>20628212.98</v>
      </c>
      <c r="F61" s="16">
        <v>40519354.32</v>
      </c>
      <c r="G61" s="16">
        <v>7342231.734202438</v>
      </c>
      <c r="H61" s="16">
        <v>103901811.14</v>
      </c>
      <c r="I61" s="16">
        <v>92019538.25</v>
      </c>
      <c r="J61" s="16">
        <v>231848596.32000002</v>
      </c>
      <c r="K61" s="16">
        <v>0</v>
      </c>
      <c r="L61" s="16">
        <v>0</v>
      </c>
      <c r="M61" s="16">
        <v>0</v>
      </c>
      <c r="N61" s="18">
        <f t="shared" si="1"/>
        <v>2460765031.606956</v>
      </c>
      <c r="O61" s="4"/>
      <c r="Q61" s="4"/>
      <c r="R61" s="4"/>
      <c r="S61" s="4"/>
      <c r="T61" s="4"/>
      <c r="U61" s="4"/>
      <c r="V61" s="4"/>
      <c r="W61" s="4"/>
      <c r="X61" s="4"/>
    </row>
    <row r="62" spans="1:24" ht="15" x14ac:dyDescent="0.2">
      <c r="A62" s="17" t="s">
        <v>57</v>
      </c>
      <c r="B62" s="16">
        <v>8149037119.9499989</v>
      </c>
      <c r="C62" s="16">
        <v>0</v>
      </c>
      <c r="D62" s="16">
        <v>40881368.989999995</v>
      </c>
      <c r="E62" s="16">
        <v>108966711.12</v>
      </c>
      <c r="F62" s="16">
        <v>181683778.34</v>
      </c>
      <c r="G62" s="16">
        <v>0</v>
      </c>
      <c r="H62" s="16">
        <v>483258794.62</v>
      </c>
      <c r="I62" s="16">
        <v>412604239.81</v>
      </c>
      <c r="J62" s="16">
        <v>461047368.43000001</v>
      </c>
      <c r="K62" s="16">
        <v>0</v>
      </c>
      <c r="L62" s="16">
        <v>0</v>
      </c>
      <c r="M62" s="16">
        <v>0</v>
      </c>
      <c r="N62" s="18">
        <f t="shared" si="1"/>
        <v>9837479381.2599983</v>
      </c>
      <c r="O62" s="4"/>
      <c r="Q62" s="4"/>
      <c r="R62" s="4"/>
      <c r="S62" s="4"/>
      <c r="T62" s="4"/>
      <c r="U62" s="4"/>
      <c r="V62" s="4"/>
      <c r="W62" s="4"/>
      <c r="X62" s="4"/>
    </row>
    <row r="63" spans="1:24" ht="15" x14ac:dyDescent="0.2">
      <c r="A63" s="17" t="s">
        <v>58</v>
      </c>
      <c r="B63" s="16">
        <v>1439396494.6499999</v>
      </c>
      <c r="C63" s="16">
        <v>0</v>
      </c>
      <c r="D63" s="16">
        <v>74140201.671095788</v>
      </c>
      <c r="E63" s="16">
        <v>16896283.780000001</v>
      </c>
      <c r="F63" s="16">
        <v>6402498.1100000003</v>
      </c>
      <c r="G63" s="16">
        <v>2806674.27</v>
      </c>
      <c r="H63" s="16">
        <v>85104535.590000004</v>
      </c>
      <c r="I63" s="16">
        <v>14540086.58</v>
      </c>
      <c r="J63" s="16">
        <v>61868808.539999999</v>
      </c>
      <c r="K63" s="16">
        <v>0</v>
      </c>
      <c r="L63" s="16">
        <v>0</v>
      </c>
      <c r="M63" s="16">
        <v>0</v>
      </c>
      <c r="N63" s="18">
        <f t="shared" si="1"/>
        <v>1701155583.1910954</v>
      </c>
      <c r="O63" s="4"/>
      <c r="Q63" s="4"/>
      <c r="R63" s="4"/>
      <c r="S63" s="4"/>
      <c r="T63" s="4"/>
      <c r="U63" s="4"/>
      <c r="V63" s="4"/>
      <c r="W63" s="4"/>
      <c r="X63" s="4"/>
    </row>
    <row r="64" spans="1:24" ht="15" x14ac:dyDescent="0.2">
      <c r="A64" s="17" t="s">
        <v>59</v>
      </c>
      <c r="B64" s="16">
        <v>2408341202.79</v>
      </c>
      <c r="C64" s="16">
        <v>0</v>
      </c>
      <c r="D64" s="16">
        <v>345094947.55849689</v>
      </c>
      <c r="E64" s="16">
        <v>26330765.299999997</v>
      </c>
      <c r="F64" s="16">
        <v>11718428.33</v>
      </c>
      <c r="G64" s="16">
        <v>4373190.1500000004</v>
      </c>
      <c r="H64" s="16">
        <v>132624876.70999999</v>
      </c>
      <c r="I64" s="16">
        <v>26612575.219999999</v>
      </c>
      <c r="J64" s="16">
        <v>131153367.40000004</v>
      </c>
      <c r="K64" s="16">
        <v>0</v>
      </c>
      <c r="L64" s="16">
        <v>0</v>
      </c>
      <c r="M64" s="16">
        <v>0</v>
      </c>
      <c r="N64" s="18">
        <f t="shared" si="1"/>
        <v>3086249353.458497</v>
      </c>
      <c r="O64" s="4"/>
      <c r="Q64" s="4"/>
      <c r="R64" s="4"/>
      <c r="S64" s="4"/>
      <c r="T64" s="4"/>
      <c r="U64" s="4"/>
      <c r="V64" s="4"/>
      <c r="W64" s="4"/>
      <c r="X64" s="4"/>
    </row>
    <row r="65" spans="1:24" ht="15" x14ac:dyDescent="0.2">
      <c r="A65" s="17" t="s">
        <v>60</v>
      </c>
      <c r="B65" s="16">
        <v>1235807684.9000001</v>
      </c>
      <c r="C65" s="16">
        <v>0</v>
      </c>
      <c r="D65" s="16">
        <v>73735174.476824924</v>
      </c>
      <c r="E65" s="16">
        <v>13805465.060000001</v>
      </c>
      <c r="F65" s="16">
        <v>2551371.42</v>
      </c>
      <c r="G65" s="16">
        <v>1457730.05</v>
      </c>
      <c r="H65" s="16">
        <v>69536455.920000002</v>
      </c>
      <c r="I65" s="16">
        <v>5794169.8399999999</v>
      </c>
      <c r="J65" s="16">
        <v>78227681.620000005</v>
      </c>
      <c r="K65" s="16">
        <v>0</v>
      </c>
      <c r="L65" s="16">
        <v>0</v>
      </c>
      <c r="M65" s="16">
        <v>0</v>
      </c>
      <c r="N65" s="18">
        <f t="shared" si="1"/>
        <v>1480915733.2868252</v>
      </c>
      <c r="O65" s="4"/>
      <c r="Q65" s="4"/>
      <c r="R65" s="4"/>
      <c r="S65" s="4"/>
      <c r="T65" s="4"/>
      <c r="U65" s="4"/>
      <c r="V65" s="4"/>
      <c r="W65" s="4"/>
      <c r="X65" s="4"/>
    </row>
    <row r="66" spans="1:24" ht="15" x14ac:dyDescent="0.2">
      <c r="A66" s="17" t="s">
        <v>61</v>
      </c>
      <c r="B66" s="16">
        <v>655951884.89999998</v>
      </c>
      <c r="C66" s="16">
        <v>0</v>
      </c>
      <c r="D66" s="16">
        <v>55105860.786260694</v>
      </c>
      <c r="E66" s="16">
        <v>7708130.1400000006</v>
      </c>
      <c r="F66" s="16">
        <v>2496355.33</v>
      </c>
      <c r="G66" s="16">
        <v>1327187.06</v>
      </c>
      <c r="H66" s="16">
        <v>38824918.229999997</v>
      </c>
      <c r="I66" s="16">
        <v>5669228.1699999999</v>
      </c>
      <c r="J66" s="16">
        <v>34725469.239999995</v>
      </c>
      <c r="K66" s="16">
        <v>0</v>
      </c>
      <c r="L66" s="16">
        <v>0</v>
      </c>
      <c r="M66" s="16">
        <v>0</v>
      </c>
      <c r="N66" s="18">
        <f t="shared" si="1"/>
        <v>801809033.85626066</v>
      </c>
      <c r="O66" s="4"/>
      <c r="Q66" s="4"/>
      <c r="R66" s="4"/>
      <c r="S66" s="4"/>
      <c r="T66" s="4"/>
      <c r="U66" s="4"/>
      <c r="V66" s="4"/>
      <c r="W66" s="4"/>
      <c r="X66" s="4"/>
    </row>
    <row r="67" spans="1:24" ht="15" x14ac:dyDescent="0.2">
      <c r="A67" s="17" t="s">
        <v>62</v>
      </c>
      <c r="B67" s="16">
        <v>3023793262.1000004</v>
      </c>
      <c r="C67" s="16">
        <v>0</v>
      </c>
      <c r="D67" s="16">
        <v>11561746.41</v>
      </c>
      <c r="E67" s="16">
        <v>39274608.799999997</v>
      </c>
      <c r="F67" s="16">
        <v>67078374.420000002</v>
      </c>
      <c r="G67" s="16">
        <v>27334326.51889772</v>
      </c>
      <c r="H67" s="16">
        <v>174179801.46000001</v>
      </c>
      <c r="I67" s="16">
        <v>152335128.31999999</v>
      </c>
      <c r="J67" s="16">
        <v>223739823.56000006</v>
      </c>
      <c r="K67" s="16">
        <v>0</v>
      </c>
      <c r="L67" s="16">
        <v>0</v>
      </c>
      <c r="M67" s="16">
        <v>0</v>
      </c>
      <c r="N67" s="18">
        <f t="shared" si="1"/>
        <v>3719297071.5888982</v>
      </c>
      <c r="O67" s="4"/>
      <c r="Q67" s="4"/>
      <c r="R67" s="4"/>
      <c r="S67" s="4"/>
      <c r="T67" s="4"/>
      <c r="U67" s="4"/>
      <c r="V67" s="4"/>
      <c r="W67" s="4"/>
      <c r="X67" s="4"/>
    </row>
    <row r="68" spans="1:24" ht="15" x14ac:dyDescent="0.2">
      <c r="A68" s="17" t="s">
        <v>63</v>
      </c>
      <c r="B68" s="16">
        <v>1907777886.5999999</v>
      </c>
      <c r="C68" s="16">
        <v>0</v>
      </c>
      <c r="D68" s="16">
        <v>13729063.910000004</v>
      </c>
      <c r="E68" s="16">
        <v>21631207.509999998</v>
      </c>
      <c r="F68" s="16">
        <v>59156056.670000002</v>
      </c>
      <c r="G68" s="16">
        <v>27588102.959819898</v>
      </c>
      <c r="H68" s="16">
        <v>108953773.13</v>
      </c>
      <c r="I68" s="16">
        <v>134343528.16999999</v>
      </c>
      <c r="J68" s="16">
        <v>187905790.37999994</v>
      </c>
      <c r="K68" s="16">
        <v>0</v>
      </c>
      <c r="L68" s="16">
        <v>0</v>
      </c>
      <c r="M68" s="16">
        <v>0</v>
      </c>
      <c r="N68" s="18">
        <f t="shared" si="1"/>
        <v>2461085409.3298202</v>
      </c>
      <c r="O68" s="4"/>
      <c r="Q68" s="4"/>
      <c r="R68" s="4"/>
      <c r="S68" s="4"/>
      <c r="T68" s="4"/>
      <c r="U68" s="4"/>
      <c r="V68" s="4"/>
      <c r="W68" s="4"/>
      <c r="X68" s="4"/>
    </row>
    <row r="69" spans="1:24" ht="15" x14ac:dyDescent="0.2">
      <c r="A69" s="17" t="s">
        <v>64</v>
      </c>
      <c r="B69" s="16">
        <v>6818136570.7399998</v>
      </c>
      <c r="C69" s="16">
        <v>0</v>
      </c>
      <c r="D69" s="16">
        <v>13622695.954784682</v>
      </c>
      <c r="E69" s="16">
        <v>77259776.040000007</v>
      </c>
      <c r="F69" s="16">
        <v>174586702.02000001</v>
      </c>
      <c r="G69" s="16">
        <v>28281044.93986471</v>
      </c>
      <c r="H69" s="16">
        <v>389148137.36000001</v>
      </c>
      <c r="I69" s="16">
        <v>396486764.68000001</v>
      </c>
      <c r="J69" s="16">
        <v>438792765.73000002</v>
      </c>
      <c r="K69" s="16">
        <v>0</v>
      </c>
      <c r="L69" s="16">
        <v>0</v>
      </c>
      <c r="M69" s="16">
        <v>0</v>
      </c>
      <c r="N69" s="18">
        <f t="shared" si="1"/>
        <v>8336314457.4646492</v>
      </c>
      <c r="O69" s="4"/>
      <c r="Q69" s="4"/>
      <c r="R69" s="4"/>
      <c r="S69" s="4"/>
      <c r="T69" s="4"/>
      <c r="U69" s="4"/>
      <c r="V69" s="4"/>
      <c r="W69" s="4"/>
      <c r="X69" s="4"/>
    </row>
    <row r="70" spans="1:24" ht="15" x14ac:dyDescent="0.2">
      <c r="A70" s="17" t="s">
        <v>65</v>
      </c>
      <c r="B70" s="16">
        <v>1417312284.78</v>
      </c>
      <c r="C70" s="16">
        <v>0</v>
      </c>
      <c r="D70" s="16">
        <v>110982729.9092378</v>
      </c>
      <c r="E70" s="16">
        <v>16047089.970000001</v>
      </c>
      <c r="F70" s="16">
        <v>38772593.289999999</v>
      </c>
      <c r="G70" s="16">
        <v>12880241.630000001</v>
      </c>
      <c r="H70" s="16">
        <v>80827249.200000003</v>
      </c>
      <c r="I70" s="16">
        <v>88052640.299999997</v>
      </c>
      <c r="J70" s="16">
        <v>186513754.46000004</v>
      </c>
      <c r="K70" s="16">
        <v>0</v>
      </c>
      <c r="L70" s="16">
        <v>0</v>
      </c>
      <c r="M70" s="16">
        <v>0</v>
      </c>
      <c r="N70" s="18">
        <f t="shared" si="1"/>
        <v>1951388583.539238</v>
      </c>
      <c r="O70" s="4"/>
      <c r="Q70" s="4"/>
      <c r="R70" s="4"/>
      <c r="S70" s="4"/>
      <c r="T70" s="4"/>
      <c r="U70" s="4"/>
      <c r="V70" s="4"/>
      <c r="W70" s="4"/>
      <c r="X70" s="4"/>
    </row>
    <row r="71" spans="1:24" ht="15" x14ac:dyDescent="0.2">
      <c r="A71" s="17" t="s">
        <v>66</v>
      </c>
      <c r="B71" s="16">
        <v>5529007142.1700001</v>
      </c>
      <c r="C71" s="16">
        <v>0</v>
      </c>
      <c r="D71" s="16">
        <v>9015074.129999999</v>
      </c>
      <c r="E71" s="16">
        <v>44394900.350000001</v>
      </c>
      <c r="F71" s="16">
        <v>24413392.370000001</v>
      </c>
      <c r="G71" s="16">
        <v>12510369.82</v>
      </c>
      <c r="H71" s="16">
        <v>314907702.07999998</v>
      </c>
      <c r="I71" s="16">
        <v>55442865.030000001</v>
      </c>
      <c r="J71" s="16">
        <v>155880522.26999995</v>
      </c>
      <c r="K71" s="16">
        <v>0</v>
      </c>
      <c r="L71" s="16">
        <v>0</v>
      </c>
      <c r="M71" s="16">
        <v>0</v>
      </c>
      <c r="N71" s="18">
        <f t="shared" si="1"/>
        <v>6145571968.2199993</v>
      </c>
      <c r="O71" s="4"/>
      <c r="Q71" s="4"/>
      <c r="R71" s="4"/>
      <c r="S71" s="4"/>
      <c r="T71" s="4"/>
      <c r="U71" s="4"/>
      <c r="V71" s="4"/>
      <c r="W71" s="4"/>
      <c r="X71" s="4"/>
    </row>
    <row r="72" spans="1:24" ht="15" x14ac:dyDescent="0.2">
      <c r="A72" s="17" t="s">
        <v>67</v>
      </c>
      <c r="B72" s="16">
        <v>23911460302.550003</v>
      </c>
      <c r="C72" s="16">
        <v>0</v>
      </c>
      <c r="D72" s="16">
        <v>70755119.567239076</v>
      </c>
      <c r="E72" s="16">
        <v>313322087.81999999</v>
      </c>
      <c r="F72" s="16">
        <v>710360948.66000009</v>
      </c>
      <c r="G72" s="16">
        <v>0</v>
      </c>
      <c r="H72" s="16">
        <v>1389558819.7</v>
      </c>
      <c r="I72" s="16">
        <v>1613231195.3800001</v>
      </c>
      <c r="J72" s="16">
        <v>2283801612.9500003</v>
      </c>
      <c r="K72" s="16">
        <v>0</v>
      </c>
      <c r="L72" s="16">
        <v>0</v>
      </c>
      <c r="M72" s="16">
        <v>0</v>
      </c>
      <c r="N72" s="18">
        <f t="shared" ref="N72:N103" si="2">SUM(B72:M72)</f>
        <v>30292490086.627243</v>
      </c>
      <c r="O72" s="4"/>
      <c r="Q72" s="4"/>
      <c r="R72" s="4"/>
      <c r="S72" s="4"/>
      <c r="T72" s="4"/>
      <c r="U72" s="4"/>
      <c r="V72" s="4"/>
      <c r="W72" s="4"/>
      <c r="X72" s="4"/>
    </row>
    <row r="73" spans="1:24" ht="15" x14ac:dyDescent="0.2">
      <c r="A73" s="17" t="s">
        <v>68</v>
      </c>
      <c r="B73" s="16">
        <v>11513682726.639999</v>
      </c>
      <c r="C73" s="16">
        <v>0</v>
      </c>
      <c r="D73" s="16">
        <v>139632192.95848286</v>
      </c>
      <c r="E73" s="16">
        <v>145052777.09999999</v>
      </c>
      <c r="F73" s="16">
        <v>263664637.63</v>
      </c>
      <c r="G73" s="16">
        <v>114377654.33963829</v>
      </c>
      <c r="H73" s="16">
        <v>643297659.41999996</v>
      </c>
      <c r="I73" s="16">
        <v>598782942.36000001</v>
      </c>
      <c r="J73" s="16">
        <v>994808191.74000025</v>
      </c>
      <c r="K73" s="16">
        <v>0</v>
      </c>
      <c r="L73" s="16">
        <v>0</v>
      </c>
      <c r="M73" s="16">
        <v>0</v>
      </c>
      <c r="N73" s="18">
        <f t="shared" si="2"/>
        <v>14413298782.18812</v>
      </c>
      <c r="O73" s="4"/>
      <c r="Q73" s="4"/>
      <c r="R73" s="4"/>
      <c r="S73" s="4"/>
      <c r="T73" s="4"/>
      <c r="U73" s="4"/>
      <c r="V73" s="4"/>
      <c r="W73" s="4"/>
      <c r="X73" s="4"/>
    </row>
    <row r="74" spans="1:24" ht="15" x14ac:dyDescent="0.2">
      <c r="A74" s="17" t="s">
        <v>69</v>
      </c>
      <c r="B74" s="16">
        <v>5950350620.0200005</v>
      </c>
      <c r="C74" s="16">
        <v>0</v>
      </c>
      <c r="D74" s="16">
        <v>42361404.819999993</v>
      </c>
      <c r="E74" s="16">
        <v>75522273.689999998</v>
      </c>
      <c r="F74" s="16">
        <v>191428504.25</v>
      </c>
      <c r="G74" s="16">
        <v>182977877.04988301</v>
      </c>
      <c r="H74" s="16">
        <v>334935344.75</v>
      </c>
      <c r="I74" s="16">
        <v>434734532.69</v>
      </c>
      <c r="J74" s="16">
        <v>533663337.24000013</v>
      </c>
      <c r="K74" s="16">
        <v>0</v>
      </c>
      <c r="L74" s="16">
        <v>0</v>
      </c>
      <c r="M74" s="16">
        <v>0</v>
      </c>
      <c r="N74" s="18">
        <f t="shared" si="2"/>
        <v>7745973894.509882</v>
      </c>
      <c r="O74" s="4"/>
      <c r="Q74" s="4"/>
      <c r="R74" s="4"/>
      <c r="S74" s="4"/>
      <c r="T74" s="4"/>
      <c r="U74" s="4"/>
      <c r="V74" s="4"/>
      <c r="W74" s="4"/>
      <c r="X74" s="4"/>
    </row>
    <row r="75" spans="1:24" ht="15" x14ac:dyDescent="0.2">
      <c r="A75" s="17" t="s">
        <v>70</v>
      </c>
      <c r="B75" s="16">
        <v>1035269983.0900002</v>
      </c>
      <c r="C75" s="16">
        <v>0</v>
      </c>
      <c r="D75" s="16">
        <v>66578709.241870947</v>
      </c>
      <c r="E75" s="16">
        <v>11265697.030000001</v>
      </c>
      <c r="F75" s="16">
        <v>3479768.03</v>
      </c>
      <c r="G75" s="16">
        <v>1435972.88</v>
      </c>
      <c r="H75" s="16">
        <v>56743951.920000002</v>
      </c>
      <c r="I75" s="16">
        <v>7902560.4800000004</v>
      </c>
      <c r="J75" s="16">
        <v>60141289.780000016</v>
      </c>
      <c r="K75" s="16">
        <v>0</v>
      </c>
      <c r="L75" s="16">
        <v>0</v>
      </c>
      <c r="M75" s="16">
        <v>0</v>
      </c>
      <c r="N75" s="18">
        <f t="shared" si="2"/>
        <v>1242817932.4518712</v>
      </c>
      <c r="O75" s="4"/>
      <c r="Q75" s="4"/>
      <c r="R75" s="4"/>
      <c r="S75" s="4"/>
      <c r="T75" s="4"/>
      <c r="U75" s="4"/>
      <c r="V75" s="4"/>
      <c r="W75" s="4"/>
      <c r="X75" s="4"/>
    </row>
    <row r="76" spans="1:24" ht="15" x14ac:dyDescent="0.2">
      <c r="A76" s="17" t="s">
        <v>71</v>
      </c>
      <c r="B76" s="16">
        <v>1003451285.9399998</v>
      </c>
      <c r="C76" s="16">
        <v>0</v>
      </c>
      <c r="D76" s="16">
        <v>93807451.979379088</v>
      </c>
      <c r="E76" s="16">
        <v>11378374.559999999</v>
      </c>
      <c r="F76" s="16">
        <v>6264957.8700000001</v>
      </c>
      <c r="G76" s="16">
        <v>3372360.56</v>
      </c>
      <c r="H76" s="16">
        <v>57311495.009999998</v>
      </c>
      <c r="I76" s="16">
        <v>14227732.41</v>
      </c>
      <c r="J76" s="16">
        <v>89306512.349999994</v>
      </c>
      <c r="K76" s="16">
        <v>0</v>
      </c>
      <c r="L76" s="16">
        <v>0</v>
      </c>
      <c r="M76" s="16">
        <v>0</v>
      </c>
      <c r="N76" s="18">
        <f t="shared" si="2"/>
        <v>1279120170.6793787</v>
      </c>
      <c r="O76" s="4"/>
      <c r="Q76" s="4"/>
      <c r="R76" s="4"/>
      <c r="S76" s="4"/>
      <c r="T76" s="4"/>
      <c r="U76" s="4"/>
      <c r="V76" s="4"/>
      <c r="W76" s="4"/>
      <c r="X76" s="4"/>
    </row>
    <row r="77" spans="1:24" ht="15" x14ac:dyDescent="0.2">
      <c r="A77" s="17" t="s">
        <v>72</v>
      </c>
      <c r="B77" s="16">
        <v>1070176110.8599999</v>
      </c>
      <c r="C77" s="16">
        <v>0</v>
      </c>
      <c r="D77" s="16">
        <v>117979693.25254224</v>
      </c>
      <c r="E77" s="16">
        <v>12753945.16</v>
      </c>
      <c r="F77" s="16">
        <v>7358402.7699999996</v>
      </c>
      <c r="G77" s="16">
        <v>2153959.33</v>
      </c>
      <c r="H77" s="16">
        <v>64240077.560000002</v>
      </c>
      <c r="I77" s="16">
        <v>16710948.050000001</v>
      </c>
      <c r="J77" s="16">
        <v>60682637.069999993</v>
      </c>
      <c r="K77" s="16">
        <v>0</v>
      </c>
      <c r="L77" s="16">
        <v>0</v>
      </c>
      <c r="M77" s="16">
        <v>0</v>
      </c>
      <c r="N77" s="18">
        <f t="shared" si="2"/>
        <v>1352055774.052542</v>
      </c>
      <c r="O77" s="4"/>
      <c r="Q77" s="4"/>
      <c r="R77" s="4"/>
      <c r="S77" s="4"/>
      <c r="T77" s="4"/>
      <c r="U77" s="4"/>
      <c r="V77" s="4"/>
      <c r="W77" s="4"/>
      <c r="X77" s="4"/>
    </row>
    <row r="78" spans="1:24" ht="15" x14ac:dyDescent="0.2">
      <c r="A78" s="17" t="s">
        <v>73</v>
      </c>
      <c r="B78" s="16">
        <v>422142577.41999996</v>
      </c>
      <c r="C78" s="16">
        <v>0</v>
      </c>
      <c r="D78" s="16">
        <v>23823531.231397644</v>
      </c>
      <c r="E78" s="16">
        <v>4901883.88</v>
      </c>
      <c r="F78" s="16">
        <v>2613264.5299999998</v>
      </c>
      <c r="G78" s="16">
        <v>761500.77</v>
      </c>
      <c r="H78" s="16">
        <v>24690195.539999999</v>
      </c>
      <c r="I78" s="16">
        <v>5934729.21</v>
      </c>
      <c r="J78" s="16">
        <v>26023610.800000004</v>
      </c>
      <c r="K78" s="16">
        <v>0</v>
      </c>
      <c r="L78" s="16">
        <v>0</v>
      </c>
      <c r="M78" s="16">
        <v>0</v>
      </c>
      <c r="N78" s="18">
        <f t="shared" si="2"/>
        <v>510891293.38139755</v>
      </c>
      <c r="O78" s="4"/>
      <c r="Q78" s="4"/>
      <c r="R78" s="4"/>
      <c r="S78" s="4"/>
      <c r="T78" s="4"/>
      <c r="U78" s="4"/>
      <c r="V78" s="4"/>
      <c r="W78" s="4"/>
      <c r="X78" s="4"/>
    </row>
    <row r="79" spans="1:24" ht="15" x14ac:dyDescent="0.2">
      <c r="A79" s="17" t="s">
        <v>74</v>
      </c>
      <c r="B79" s="16">
        <v>2191785184.2799997</v>
      </c>
      <c r="C79" s="16">
        <v>0</v>
      </c>
      <c r="D79" s="16">
        <v>222180141.82174727</v>
      </c>
      <c r="E79" s="16">
        <v>25224140.350000001</v>
      </c>
      <c r="F79" s="16">
        <v>13135092.789999999</v>
      </c>
      <c r="G79" s="16">
        <v>5656862.8799999999</v>
      </c>
      <c r="H79" s="16">
        <v>127050940.79000001</v>
      </c>
      <c r="I79" s="16">
        <v>29829823.16</v>
      </c>
      <c r="J79" s="16">
        <v>140971141.95999998</v>
      </c>
      <c r="K79" s="16">
        <v>0</v>
      </c>
      <c r="L79" s="16">
        <v>0</v>
      </c>
      <c r="M79" s="16">
        <v>0</v>
      </c>
      <c r="N79" s="18">
        <f t="shared" si="2"/>
        <v>2755833328.0317469</v>
      </c>
      <c r="O79" s="4"/>
      <c r="Q79" s="4"/>
      <c r="R79" s="4"/>
      <c r="S79" s="4"/>
      <c r="T79" s="4"/>
      <c r="U79" s="4"/>
      <c r="V79" s="4"/>
      <c r="W79" s="4"/>
      <c r="X79" s="4"/>
    </row>
    <row r="80" spans="1:24" ht="15" x14ac:dyDescent="0.2">
      <c r="A80" s="17" t="s">
        <v>75</v>
      </c>
      <c r="B80" s="16">
        <v>1203008274.5100002</v>
      </c>
      <c r="C80" s="16">
        <v>0</v>
      </c>
      <c r="D80" s="16">
        <v>235281710.47872865</v>
      </c>
      <c r="E80" s="16">
        <v>13451805.65</v>
      </c>
      <c r="F80" s="16">
        <v>4249993.37</v>
      </c>
      <c r="G80" s="16">
        <v>2262745.15</v>
      </c>
      <c r="H80" s="16">
        <v>67755116.310000002</v>
      </c>
      <c r="I80" s="16">
        <v>9651743.8300000001</v>
      </c>
      <c r="J80" s="16">
        <v>91107554.120000005</v>
      </c>
      <c r="K80" s="16">
        <v>0</v>
      </c>
      <c r="L80" s="16">
        <v>0</v>
      </c>
      <c r="M80" s="16">
        <v>0</v>
      </c>
      <c r="N80" s="18">
        <f t="shared" si="2"/>
        <v>1626768943.4187288</v>
      </c>
      <c r="O80" s="4"/>
      <c r="Q80" s="4"/>
      <c r="R80" s="4"/>
      <c r="S80" s="4"/>
      <c r="T80" s="4"/>
      <c r="U80" s="4"/>
      <c r="V80" s="4"/>
      <c r="W80" s="4"/>
      <c r="X80" s="4"/>
    </row>
    <row r="81" spans="1:24" ht="15" x14ac:dyDescent="0.2">
      <c r="A81" s="17" t="s">
        <v>76</v>
      </c>
      <c r="B81" s="16">
        <v>668846448.23000002</v>
      </c>
      <c r="C81" s="16">
        <v>0</v>
      </c>
      <c r="D81" s="16">
        <v>54239930.499474227</v>
      </c>
      <c r="E81" s="16">
        <v>7552684.4900000002</v>
      </c>
      <c r="F81" s="16">
        <v>11037604.15</v>
      </c>
      <c r="G81" s="16">
        <v>5178205.25</v>
      </c>
      <c r="H81" s="16">
        <v>38041957.329999998</v>
      </c>
      <c r="I81" s="16">
        <v>25066422.079999998</v>
      </c>
      <c r="J81" s="16">
        <v>106519886.33</v>
      </c>
      <c r="K81" s="16">
        <v>0</v>
      </c>
      <c r="L81" s="16">
        <v>0</v>
      </c>
      <c r="M81" s="16">
        <v>0</v>
      </c>
      <c r="N81" s="18">
        <f t="shared" si="2"/>
        <v>916483138.35947442</v>
      </c>
      <c r="O81" s="4"/>
      <c r="Q81" s="4"/>
      <c r="R81" s="4"/>
      <c r="S81" s="4"/>
      <c r="T81" s="4"/>
      <c r="U81" s="4"/>
      <c r="V81" s="4"/>
      <c r="W81" s="4"/>
      <c r="X81" s="4"/>
    </row>
    <row r="82" spans="1:24" ht="15" x14ac:dyDescent="0.2">
      <c r="A82" s="17" t="s">
        <v>77</v>
      </c>
      <c r="B82" s="16">
        <v>11072979242.48</v>
      </c>
      <c r="C82" s="16">
        <v>0</v>
      </c>
      <c r="D82" s="16">
        <v>39838493.479999989</v>
      </c>
      <c r="E82" s="16">
        <v>139316015.5</v>
      </c>
      <c r="F82" s="16">
        <v>318109941.13</v>
      </c>
      <c r="G82" s="16">
        <v>213913250.83048061</v>
      </c>
      <c r="H82" s="16">
        <v>617855572.85000002</v>
      </c>
      <c r="I82" s="16">
        <v>722428340.24000001</v>
      </c>
      <c r="J82" s="16">
        <v>884206143.70000017</v>
      </c>
      <c r="K82" s="16">
        <v>0</v>
      </c>
      <c r="L82" s="16">
        <v>0</v>
      </c>
      <c r="M82" s="16">
        <v>0</v>
      </c>
      <c r="N82" s="18">
        <f t="shared" si="2"/>
        <v>14008647000.21048</v>
      </c>
      <c r="O82" s="4"/>
      <c r="Q82" s="4"/>
      <c r="R82" s="4"/>
      <c r="S82" s="4"/>
      <c r="T82" s="4"/>
      <c r="U82" s="4"/>
      <c r="V82" s="4"/>
      <c r="W82" s="4"/>
      <c r="X82" s="4"/>
    </row>
    <row r="83" spans="1:24" ht="15" x14ac:dyDescent="0.2">
      <c r="A83" s="17" t="s">
        <v>78</v>
      </c>
      <c r="B83" s="16">
        <v>2730886899.6099997</v>
      </c>
      <c r="C83" s="16">
        <v>0</v>
      </c>
      <c r="D83" s="16">
        <v>43587077.072355181</v>
      </c>
      <c r="E83" s="16">
        <v>36015074.549999997</v>
      </c>
      <c r="F83" s="16">
        <v>35224055.130000003</v>
      </c>
      <c r="G83" s="16">
        <v>13772285.390000001</v>
      </c>
      <c r="H83" s="16">
        <v>159724023.38</v>
      </c>
      <c r="I83" s="16">
        <v>79993902.730000004</v>
      </c>
      <c r="J83" s="16">
        <v>191370086.49000001</v>
      </c>
      <c r="K83" s="16">
        <v>0</v>
      </c>
      <c r="L83" s="16">
        <v>0</v>
      </c>
      <c r="M83" s="16">
        <v>0</v>
      </c>
      <c r="N83" s="18">
        <f t="shared" si="2"/>
        <v>3290573404.352355</v>
      </c>
      <c r="O83" s="4"/>
      <c r="Q83" s="4"/>
      <c r="R83" s="4"/>
      <c r="S83" s="4"/>
      <c r="T83" s="4"/>
      <c r="U83" s="4"/>
      <c r="V83" s="4"/>
      <c r="W83" s="4"/>
      <c r="X83" s="4"/>
    </row>
    <row r="84" spans="1:24" ht="15" x14ac:dyDescent="0.2">
      <c r="A84" s="17" t="s">
        <v>79</v>
      </c>
      <c r="B84" s="16">
        <v>1193709659.8400002</v>
      </c>
      <c r="C84" s="16">
        <v>0</v>
      </c>
      <c r="D84" s="16">
        <v>38260360.077044733</v>
      </c>
      <c r="E84" s="16">
        <v>13332548.399999999</v>
      </c>
      <c r="F84" s="16">
        <v>7069568.2699999996</v>
      </c>
      <c r="G84" s="16">
        <v>1553374.378953821</v>
      </c>
      <c r="H84" s="16">
        <v>67154432.019999996</v>
      </c>
      <c r="I84" s="16">
        <v>16055004.300000001</v>
      </c>
      <c r="J84" s="16">
        <v>78694416.680000007</v>
      </c>
      <c r="K84" s="16">
        <v>0</v>
      </c>
      <c r="L84" s="16">
        <v>0</v>
      </c>
      <c r="M84" s="16">
        <v>0</v>
      </c>
      <c r="N84" s="18">
        <f t="shared" si="2"/>
        <v>1415829363.9659989</v>
      </c>
      <c r="O84" s="4"/>
      <c r="Q84" s="4"/>
      <c r="R84" s="4"/>
      <c r="S84" s="4"/>
      <c r="T84" s="4"/>
      <c r="U84" s="4"/>
      <c r="V84" s="4"/>
      <c r="W84" s="4"/>
      <c r="X84" s="4"/>
    </row>
    <row r="85" spans="1:24" ht="15" x14ac:dyDescent="0.2">
      <c r="A85" s="17" t="s">
        <v>80</v>
      </c>
      <c r="B85" s="16">
        <v>895318567.55999994</v>
      </c>
      <c r="C85" s="16">
        <v>0</v>
      </c>
      <c r="D85" s="16">
        <v>52067306.343557909</v>
      </c>
      <c r="E85" s="16">
        <v>10669822.050000001</v>
      </c>
      <c r="F85" s="16">
        <v>3342227.8</v>
      </c>
      <c r="G85" s="16">
        <v>1414215.72</v>
      </c>
      <c r="H85" s="16">
        <v>53742601.810000002</v>
      </c>
      <c r="I85" s="16">
        <v>7590206.3099999996</v>
      </c>
      <c r="J85" s="16">
        <v>46390850.330000006</v>
      </c>
      <c r="K85" s="16">
        <v>0</v>
      </c>
      <c r="L85" s="16">
        <v>0</v>
      </c>
      <c r="M85" s="16">
        <v>0</v>
      </c>
      <c r="N85" s="18">
        <f t="shared" si="2"/>
        <v>1070535797.9235579</v>
      </c>
      <c r="O85" s="4"/>
      <c r="Q85" s="4"/>
      <c r="R85" s="4"/>
      <c r="S85" s="4"/>
      <c r="T85" s="4"/>
      <c r="U85" s="4"/>
      <c r="V85" s="4"/>
      <c r="W85" s="4"/>
      <c r="X85" s="4"/>
    </row>
    <row r="86" spans="1:24" ht="15" x14ac:dyDescent="0.2">
      <c r="A86" s="17" t="s">
        <v>81</v>
      </c>
      <c r="B86" s="16">
        <v>11524325281.73</v>
      </c>
      <c r="C86" s="16">
        <v>0</v>
      </c>
      <c r="D86" s="16">
        <v>17216594.73</v>
      </c>
      <c r="E86" s="16">
        <v>151416318.31999999</v>
      </c>
      <c r="F86" s="16">
        <v>199591517.41999999</v>
      </c>
      <c r="G86" s="16">
        <v>55056043.00489445</v>
      </c>
      <c r="H86" s="16">
        <v>671519464.30999994</v>
      </c>
      <c r="I86" s="16">
        <v>453272752.63999999</v>
      </c>
      <c r="J86" s="16">
        <v>390364782.94000006</v>
      </c>
      <c r="K86" s="16">
        <v>0</v>
      </c>
      <c r="L86" s="16">
        <v>0</v>
      </c>
      <c r="M86" s="16">
        <v>0</v>
      </c>
      <c r="N86" s="18">
        <f t="shared" si="2"/>
        <v>13462762755.094893</v>
      </c>
      <c r="O86" s="4"/>
      <c r="Q86" s="4"/>
      <c r="R86" s="4"/>
      <c r="S86" s="4"/>
      <c r="T86" s="4"/>
      <c r="U86" s="4"/>
      <c r="V86" s="4"/>
      <c r="W86" s="4"/>
      <c r="X86" s="4"/>
    </row>
    <row r="87" spans="1:24" ht="15" x14ac:dyDescent="0.2">
      <c r="A87" s="17" t="s">
        <v>82</v>
      </c>
      <c r="B87" s="16">
        <v>1856381246.8299999</v>
      </c>
      <c r="C87" s="16">
        <v>0</v>
      </c>
      <c r="D87" s="16">
        <v>66992309.871310815</v>
      </c>
      <c r="E87" s="16">
        <v>20773377.829999998</v>
      </c>
      <c r="F87" s="16">
        <v>5666657.8300000001</v>
      </c>
      <c r="G87" s="16">
        <v>4112104.17</v>
      </c>
      <c r="H87" s="16">
        <v>104632988.91</v>
      </c>
      <c r="I87" s="16">
        <v>12868991.77</v>
      </c>
      <c r="J87" s="16">
        <v>88269020.730000019</v>
      </c>
      <c r="K87" s="16">
        <v>0</v>
      </c>
      <c r="L87" s="16">
        <v>0</v>
      </c>
      <c r="M87" s="16">
        <v>0</v>
      </c>
      <c r="N87" s="18">
        <f t="shared" si="2"/>
        <v>2159696697.9413109</v>
      </c>
      <c r="O87" s="4"/>
      <c r="Q87" s="4"/>
      <c r="R87" s="4"/>
      <c r="S87" s="4"/>
      <c r="T87" s="4"/>
      <c r="U87" s="4"/>
      <c r="V87" s="4"/>
      <c r="W87" s="4"/>
      <c r="X87" s="4"/>
    </row>
    <row r="88" spans="1:24" ht="15" x14ac:dyDescent="0.2">
      <c r="A88" s="17" t="s">
        <v>83</v>
      </c>
      <c r="B88" s="16">
        <v>1781847038.5200002</v>
      </c>
      <c r="C88" s="16">
        <v>0</v>
      </c>
      <c r="D88" s="16">
        <v>17179390.545539018</v>
      </c>
      <c r="E88" s="16">
        <v>19081158.699999999</v>
      </c>
      <c r="F88" s="16">
        <v>27810636.27</v>
      </c>
      <c r="G88" s="16">
        <v>8311237</v>
      </c>
      <c r="H88" s="16">
        <v>96109486</v>
      </c>
      <c r="I88" s="16">
        <v>63158013.009999998</v>
      </c>
      <c r="J88" s="16">
        <v>134367140.49000001</v>
      </c>
      <c r="K88" s="16">
        <v>0</v>
      </c>
      <c r="L88" s="16">
        <v>0</v>
      </c>
      <c r="M88" s="16">
        <v>0</v>
      </c>
      <c r="N88" s="18">
        <f t="shared" si="2"/>
        <v>2147864100.5355392</v>
      </c>
      <c r="O88" s="4"/>
      <c r="Q88" s="4"/>
      <c r="R88" s="4"/>
      <c r="S88" s="4"/>
      <c r="T88" s="4"/>
      <c r="U88" s="4"/>
      <c r="V88" s="4"/>
      <c r="W88" s="4"/>
      <c r="X88" s="4"/>
    </row>
    <row r="89" spans="1:24" ht="15" x14ac:dyDescent="0.2">
      <c r="A89" s="17" t="s">
        <v>84</v>
      </c>
      <c r="B89" s="16">
        <v>2381752976.4400001</v>
      </c>
      <c r="C89" s="16">
        <v>0</v>
      </c>
      <c r="D89" s="16">
        <v>38601016.351514041</v>
      </c>
      <c r="E89" s="16">
        <v>26997783.400000002</v>
      </c>
      <c r="F89" s="16">
        <v>23388717.59</v>
      </c>
      <c r="G89" s="16">
        <v>9050980.5999999996</v>
      </c>
      <c r="H89" s="16">
        <v>135984566.06999999</v>
      </c>
      <c r="I89" s="16">
        <v>53115826.469999999</v>
      </c>
      <c r="J89" s="16">
        <v>137987468.74000001</v>
      </c>
      <c r="K89" s="16">
        <v>0</v>
      </c>
      <c r="L89" s="16">
        <v>0</v>
      </c>
      <c r="M89" s="16">
        <v>0</v>
      </c>
      <c r="N89" s="18">
        <f t="shared" si="2"/>
        <v>2806879335.6615143</v>
      </c>
      <c r="O89" s="4"/>
      <c r="Q89" s="4"/>
      <c r="R89" s="4"/>
      <c r="S89" s="4"/>
      <c r="T89" s="4"/>
      <c r="U89" s="4"/>
      <c r="V89" s="4"/>
      <c r="W89" s="4"/>
      <c r="X89" s="4"/>
    </row>
    <row r="90" spans="1:24" ht="15" x14ac:dyDescent="0.2">
      <c r="A90" s="17" t="s">
        <v>85</v>
      </c>
      <c r="B90" s="16">
        <v>10753629944.449999</v>
      </c>
      <c r="C90" s="16">
        <v>0</v>
      </c>
      <c r="D90" s="16">
        <v>24742505.425812885</v>
      </c>
      <c r="E90" s="16">
        <v>139260436.68000001</v>
      </c>
      <c r="F90" s="16">
        <v>317264068.66000003</v>
      </c>
      <c r="G90" s="16">
        <v>83057196.438937724</v>
      </c>
      <c r="H90" s="16">
        <v>617609085.15999997</v>
      </c>
      <c r="I90" s="16">
        <v>720507362.10000002</v>
      </c>
      <c r="J90" s="16">
        <v>804380833.85000014</v>
      </c>
      <c r="K90" s="16">
        <v>0</v>
      </c>
      <c r="L90" s="16">
        <v>0</v>
      </c>
      <c r="M90" s="16">
        <v>0</v>
      </c>
      <c r="N90" s="18">
        <f t="shared" si="2"/>
        <v>13460451432.764751</v>
      </c>
      <c r="O90" s="4"/>
      <c r="Q90" s="4"/>
      <c r="R90" s="4"/>
      <c r="S90" s="4"/>
      <c r="T90" s="4"/>
      <c r="U90" s="4"/>
      <c r="V90" s="4"/>
      <c r="W90" s="4"/>
      <c r="X90" s="4"/>
    </row>
    <row r="91" spans="1:24" ht="15" x14ac:dyDescent="0.2">
      <c r="A91" s="17" t="s">
        <v>86</v>
      </c>
      <c r="B91" s="16">
        <v>505975400.40999997</v>
      </c>
      <c r="C91" s="16">
        <v>0</v>
      </c>
      <c r="D91" s="16">
        <v>76059525.109958932</v>
      </c>
      <c r="E91" s="16">
        <v>5664307.75</v>
      </c>
      <c r="F91" s="16">
        <v>7365279.7800000003</v>
      </c>
      <c r="G91" s="16">
        <v>3089517.42</v>
      </c>
      <c r="H91" s="16">
        <v>28530432.329999998</v>
      </c>
      <c r="I91" s="16">
        <v>16726565.76</v>
      </c>
      <c r="J91" s="16">
        <v>62034643.879999988</v>
      </c>
      <c r="K91" s="16">
        <v>0</v>
      </c>
      <c r="L91" s="16">
        <v>0</v>
      </c>
      <c r="M91" s="16">
        <v>0</v>
      </c>
      <c r="N91" s="18">
        <f t="shared" si="2"/>
        <v>705445672.43995881</v>
      </c>
      <c r="O91" s="4"/>
      <c r="Q91" s="4"/>
      <c r="R91" s="4"/>
      <c r="S91" s="4"/>
      <c r="T91" s="4"/>
      <c r="U91" s="4"/>
      <c r="V91" s="4"/>
      <c r="W91" s="4"/>
      <c r="X91" s="4"/>
    </row>
    <row r="92" spans="1:24" ht="15" x14ac:dyDescent="0.2">
      <c r="A92" s="17" t="s">
        <v>87</v>
      </c>
      <c r="B92" s="16">
        <v>679888553.16000009</v>
      </c>
      <c r="C92" s="16">
        <v>0</v>
      </c>
      <c r="D92" s="16">
        <v>537791.3899999999</v>
      </c>
      <c r="E92" s="16">
        <v>6139419.25</v>
      </c>
      <c r="F92" s="16">
        <v>1574835.73</v>
      </c>
      <c r="G92" s="16">
        <v>1044343.92</v>
      </c>
      <c r="H92" s="16">
        <v>39556096</v>
      </c>
      <c r="I92" s="16">
        <v>3576455.24</v>
      </c>
      <c r="J92" s="16">
        <v>24121542.939999994</v>
      </c>
      <c r="K92" s="16">
        <v>0</v>
      </c>
      <c r="L92" s="16">
        <v>0</v>
      </c>
      <c r="M92" s="16">
        <v>0</v>
      </c>
      <c r="N92" s="18">
        <f t="shared" si="2"/>
        <v>756439037.63</v>
      </c>
      <c r="O92" s="4"/>
      <c r="Q92" s="4"/>
      <c r="R92" s="4"/>
      <c r="S92" s="4"/>
      <c r="T92" s="4"/>
      <c r="U92" s="4"/>
      <c r="V92" s="4"/>
      <c r="W92" s="4"/>
      <c r="X92" s="4"/>
    </row>
    <row r="93" spans="1:24" ht="15" x14ac:dyDescent="0.2">
      <c r="A93" s="17" t="s">
        <v>88</v>
      </c>
      <c r="B93" s="16">
        <v>7976032035.0699997</v>
      </c>
      <c r="C93" s="16">
        <v>0</v>
      </c>
      <c r="D93" s="16">
        <v>21634773.510659341</v>
      </c>
      <c r="E93" s="16">
        <v>100901710.75999999</v>
      </c>
      <c r="F93" s="16">
        <v>257131476.28999999</v>
      </c>
      <c r="G93" s="16">
        <v>43955594.301252536</v>
      </c>
      <c r="H93" s="16">
        <v>447491152.27999997</v>
      </c>
      <c r="I93" s="16">
        <v>583946119.32000005</v>
      </c>
      <c r="J93" s="16">
        <v>830389740.07000005</v>
      </c>
      <c r="K93" s="16">
        <v>0</v>
      </c>
      <c r="L93" s="16">
        <v>0</v>
      </c>
      <c r="M93" s="16">
        <v>0</v>
      </c>
      <c r="N93" s="18">
        <f t="shared" si="2"/>
        <v>10261482601.601912</v>
      </c>
      <c r="O93" s="4"/>
      <c r="Q93" s="4"/>
      <c r="R93" s="4"/>
      <c r="S93" s="4"/>
      <c r="T93" s="4"/>
      <c r="U93" s="4"/>
      <c r="V93" s="4"/>
      <c r="W93" s="4"/>
      <c r="X93" s="4"/>
    </row>
    <row r="94" spans="1:24" ht="15" x14ac:dyDescent="0.2">
      <c r="A94" s="17" t="s">
        <v>89</v>
      </c>
      <c r="B94" s="16">
        <v>3934548983.0500002</v>
      </c>
      <c r="C94" s="16">
        <v>0</v>
      </c>
      <c r="D94" s="16">
        <v>28451167.330000009</v>
      </c>
      <c r="E94" s="16">
        <v>51888665.409999996</v>
      </c>
      <c r="F94" s="16">
        <v>116269640.8</v>
      </c>
      <c r="G94" s="16">
        <v>50695381.256022438</v>
      </c>
      <c r="H94" s="16">
        <v>230122150.55000001</v>
      </c>
      <c r="I94" s="16">
        <v>264048596.93000001</v>
      </c>
      <c r="J94" s="16">
        <v>392181618.62000012</v>
      </c>
      <c r="K94" s="16">
        <v>0</v>
      </c>
      <c r="L94" s="16">
        <v>0</v>
      </c>
      <c r="M94" s="16">
        <v>0</v>
      </c>
      <c r="N94" s="18">
        <f t="shared" si="2"/>
        <v>5068206203.946023</v>
      </c>
      <c r="O94" s="4"/>
      <c r="Q94" s="4"/>
      <c r="R94" s="4"/>
      <c r="S94" s="4"/>
      <c r="T94" s="4"/>
      <c r="U94" s="4"/>
      <c r="V94" s="4"/>
      <c r="W94" s="4"/>
      <c r="X94" s="4"/>
    </row>
    <row r="95" spans="1:24" ht="15" x14ac:dyDescent="0.2">
      <c r="A95" s="17" t="s">
        <v>90</v>
      </c>
      <c r="B95" s="16">
        <v>797719436.12</v>
      </c>
      <c r="C95" s="16">
        <v>0</v>
      </c>
      <c r="D95" s="16">
        <v>45922526.088740587</v>
      </c>
      <c r="E95" s="16">
        <v>9285615.5899999999</v>
      </c>
      <c r="F95" s="16">
        <v>5701042.8899999997</v>
      </c>
      <c r="G95" s="16">
        <v>2480316.7999999998</v>
      </c>
      <c r="H95" s="16">
        <v>46770521.420000002</v>
      </c>
      <c r="I95" s="16">
        <v>12947080.310000001</v>
      </c>
      <c r="J95" s="16">
        <v>62684097.299999982</v>
      </c>
      <c r="K95" s="16">
        <v>0</v>
      </c>
      <c r="L95" s="16">
        <v>0</v>
      </c>
      <c r="M95" s="16">
        <v>0</v>
      </c>
      <c r="N95" s="18">
        <f t="shared" si="2"/>
        <v>983510636.51874042</v>
      </c>
      <c r="O95" s="4"/>
      <c r="Q95" s="4"/>
      <c r="R95" s="4"/>
      <c r="S95" s="4"/>
      <c r="T95" s="4"/>
      <c r="U95" s="4"/>
      <c r="V95" s="4"/>
      <c r="W95" s="4"/>
      <c r="X95" s="4"/>
    </row>
    <row r="96" spans="1:24" ht="15" x14ac:dyDescent="0.2">
      <c r="A96" s="17" t="s">
        <v>91</v>
      </c>
      <c r="B96" s="16">
        <v>2584869590.9099998</v>
      </c>
      <c r="C96" s="16">
        <v>0</v>
      </c>
      <c r="D96" s="16">
        <v>124183995.19453265</v>
      </c>
      <c r="E96" s="16">
        <v>20441447.600000001</v>
      </c>
      <c r="F96" s="16">
        <v>31950597.449999999</v>
      </c>
      <c r="G96" s="16">
        <v>12684427.140000001</v>
      </c>
      <c r="H96" s="16">
        <v>143984023.72</v>
      </c>
      <c r="I96" s="16">
        <v>72559873.510000005</v>
      </c>
      <c r="J96" s="16">
        <v>212422179.31000006</v>
      </c>
      <c r="K96" s="16">
        <v>0</v>
      </c>
      <c r="L96" s="16">
        <v>0</v>
      </c>
      <c r="M96" s="16">
        <v>0</v>
      </c>
      <c r="N96" s="18">
        <f t="shared" si="2"/>
        <v>3203096134.8345323</v>
      </c>
      <c r="O96" s="4"/>
      <c r="Q96" s="4"/>
      <c r="R96" s="4"/>
      <c r="S96" s="4"/>
      <c r="T96" s="4"/>
      <c r="U96" s="4"/>
      <c r="V96" s="4"/>
      <c r="W96" s="4"/>
      <c r="X96" s="4"/>
    </row>
    <row r="97" spans="1:24" ht="15" x14ac:dyDescent="0.2">
      <c r="A97" s="17" t="s">
        <v>92</v>
      </c>
      <c r="B97" s="16">
        <v>1283644698.71</v>
      </c>
      <c r="C97" s="16">
        <v>0</v>
      </c>
      <c r="D97" s="16">
        <v>162696708.56982386</v>
      </c>
      <c r="E97" s="16">
        <v>14511550.17</v>
      </c>
      <c r="F97" s="16">
        <v>14751190.6</v>
      </c>
      <c r="G97" s="16">
        <v>6527149.4699999997</v>
      </c>
      <c r="H97" s="16">
        <v>73092921.170000002</v>
      </c>
      <c r="I97" s="16">
        <v>33499984.649999999</v>
      </c>
      <c r="J97" s="16">
        <v>144365454.96999997</v>
      </c>
      <c r="K97" s="16">
        <v>0</v>
      </c>
      <c r="L97" s="16">
        <v>0</v>
      </c>
      <c r="M97" s="16">
        <v>0</v>
      </c>
      <c r="N97" s="18">
        <f t="shared" si="2"/>
        <v>1733089658.309824</v>
      </c>
      <c r="O97" s="4"/>
      <c r="Q97" s="4"/>
      <c r="R97" s="4"/>
      <c r="S97" s="4"/>
      <c r="T97" s="4"/>
      <c r="U97" s="4"/>
      <c r="V97" s="4"/>
      <c r="W97" s="4"/>
      <c r="X97" s="4"/>
    </row>
    <row r="98" spans="1:24" ht="15" x14ac:dyDescent="0.2">
      <c r="A98" s="17" t="s">
        <v>93</v>
      </c>
      <c r="B98" s="16">
        <v>3681198055.6700001</v>
      </c>
      <c r="C98" s="16">
        <v>0</v>
      </c>
      <c r="D98" s="16">
        <v>183370273.91823605</v>
      </c>
      <c r="E98" s="16">
        <v>47420875.659999996</v>
      </c>
      <c r="F98" s="16">
        <v>34302535.530000001</v>
      </c>
      <c r="G98" s="16">
        <v>15621644.41</v>
      </c>
      <c r="H98" s="16">
        <v>210307854.37</v>
      </c>
      <c r="I98" s="16">
        <v>77901129.799999997</v>
      </c>
      <c r="J98" s="16">
        <v>278341834.31999999</v>
      </c>
      <c r="K98" s="16">
        <v>0</v>
      </c>
      <c r="L98" s="16">
        <v>0</v>
      </c>
      <c r="M98" s="16">
        <v>0</v>
      </c>
      <c r="N98" s="18">
        <f t="shared" si="2"/>
        <v>4528464203.678236</v>
      </c>
      <c r="O98" s="4"/>
      <c r="Q98" s="4"/>
      <c r="R98" s="4"/>
      <c r="S98" s="4"/>
      <c r="T98" s="4"/>
      <c r="U98" s="4"/>
      <c r="V98" s="4"/>
      <c r="W98" s="4"/>
      <c r="X98" s="4"/>
    </row>
    <row r="99" spans="1:24" ht="15" x14ac:dyDescent="0.2">
      <c r="A99" s="17" t="s">
        <v>94</v>
      </c>
      <c r="B99" s="16">
        <v>2651485447.6699996</v>
      </c>
      <c r="C99" s="16">
        <v>0</v>
      </c>
      <c r="D99" s="16">
        <v>105720568.72287618</v>
      </c>
      <c r="E99" s="16">
        <v>29614863</v>
      </c>
      <c r="F99" s="16">
        <v>12715595.07</v>
      </c>
      <c r="G99" s="16">
        <v>4677790.46</v>
      </c>
      <c r="H99" s="16">
        <v>149166479.19999999</v>
      </c>
      <c r="I99" s="16">
        <v>28877142.940000001</v>
      </c>
      <c r="J99" s="16">
        <v>182514918.84999996</v>
      </c>
      <c r="K99" s="16">
        <v>0</v>
      </c>
      <c r="L99" s="16">
        <v>0</v>
      </c>
      <c r="M99" s="16">
        <v>0</v>
      </c>
      <c r="N99" s="18">
        <f t="shared" si="2"/>
        <v>3164772805.9128757</v>
      </c>
      <c r="O99" s="4"/>
      <c r="Q99" s="4"/>
      <c r="R99" s="4"/>
      <c r="S99" s="4"/>
      <c r="T99" s="4"/>
      <c r="U99" s="4"/>
      <c r="V99" s="4"/>
      <c r="W99" s="4"/>
      <c r="X99" s="4"/>
    </row>
    <row r="100" spans="1:24" ht="15" x14ac:dyDescent="0.2">
      <c r="A100" s="17" t="s">
        <v>95</v>
      </c>
      <c r="B100" s="16">
        <v>2692384823.1599998</v>
      </c>
      <c r="C100" s="16">
        <v>0</v>
      </c>
      <c r="D100" s="16">
        <v>165496385.21490985</v>
      </c>
      <c r="E100" s="16">
        <v>31289810.400000002</v>
      </c>
      <c r="F100" s="16">
        <v>14276676.77</v>
      </c>
      <c r="G100" s="16">
        <v>5569834.2199999997</v>
      </c>
      <c r="H100" s="16">
        <v>157602986.44999999</v>
      </c>
      <c r="I100" s="16">
        <v>32422362.760000002</v>
      </c>
      <c r="J100" s="16">
        <v>141140789.57000002</v>
      </c>
      <c r="K100" s="16">
        <v>0</v>
      </c>
      <c r="L100" s="16">
        <v>0</v>
      </c>
      <c r="M100" s="16">
        <v>0</v>
      </c>
      <c r="N100" s="18">
        <f t="shared" si="2"/>
        <v>3240183668.54491</v>
      </c>
      <c r="O100" s="4"/>
      <c r="Q100" s="4"/>
      <c r="R100" s="4"/>
      <c r="S100" s="4"/>
      <c r="T100" s="4"/>
      <c r="U100" s="4"/>
      <c r="V100" s="4"/>
      <c r="W100" s="4"/>
      <c r="X100" s="4"/>
    </row>
    <row r="101" spans="1:24" ht="15" x14ac:dyDescent="0.2">
      <c r="A101" s="17" t="s">
        <v>96</v>
      </c>
      <c r="B101" s="16">
        <v>576259851.24000001</v>
      </c>
      <c r="C101" s="16">
        <v>0</v>
      </c>
      <c r="D101" s="16">
        <v>51229910.958868355</v>
      </c>
      <c r="E101" s="16">
        <v>6411516.0600000005</v>
      </c>
      <c r="F101" s="16">
        <v>1705498.96</v>
      </c>
      <c r="G101" s="16">
        <v>892043.76</v>
      </c>
      <c r="H101" s="16">
        <v>32294030.09</v>
      </c>
      <c r="I101" s="16">
        <v>3873191.7</v>
      </c>
      <c r="J101" s="16">
        <v>32573695.439999994</v>
      </c>
      <c r="K101" s="16">
        <v>0</v>
      </c>
      <c r="L101" s="16">
        <v>0</v>
      </c>
      <c r="M101" s="16">
        <v>0</v>
      </c>
      <c r="N101" s="18">
        <f t="shared" si="2"/>
        <v>705239738.20886838</v>
      </c>
      <c r="O101" s="4"/>
      <c r="Q101" s="4"/>
      <c r="R101" s="4"/>
      <c r="S101" s="4"/>
      <c r="T101" s="4"/>
      <c r="U101" s="4"/>
      <c r="V101" s="4"/>
      <c r="W101" s="4"/>
      <c r="X101" s="4"/>
    </row>
    <row r="102" spans="1:24" ht="15" x14ac:dyDescent="0.2">
      <c r="A102" s="17" t="s">
        <v>97</v>
      </c>
      <c r="B102" s="16">
        <v>1573826857.6900001</v>
      </c>
      <c r="C102" s="16">
        <v>0</v>
      </c>
      <c r="D102" s="16">
        <v>224468865.2523973</v>
      </c>
      <c r="E102" s="16">
        <v>20180248.740000002</v>
      </c>
      <c r="F102" s="16">
        <v>33023411.309999999</v>
      </c>
      <c r="G102" s="16">
        <v>14316214.51</v>
      </c>
      <c r="H102" s="16">
        <v>89497816.189999998</v>
      </c>
      <c r="I102" s="16">
        <v>74996236.030000001</v>
      </c>
      <c r="J102" s="16">
        <v>209789238.00999999</v>
      </c>
      <c r="K102" s="16">
        <v>0</v>
      </c>
      <c r="L102" s="16">
        <v>0</v>
      </c>
      <c r="M102" s="16">
        <v>0</v>
      </c>
      <c r="N102" s="18">
        <f t="shared" si="2"/>
        <v>2240098887.7323971</v>
      </c>
      <c r="O102" s="4"/>
      <c r="Q102" s="4"/>
      <c r="R102" s="4"/>
      <c r="S102" s="4"/>
      <c r="T102" s="4"/>
      <c r="U102" s="4"/>
      <c r="V102" s="4"/>
      <c r="W102" s="4"/>
      <c r="X102" s="4"/>
    </row>
    <row r="103" spans="1:24" ht="15" x14ac:dyDescent="0.2">
      <c r="A103" s="17" t="s">
        <v>98</v>
      </c>
      <c r="B103" s="16">
        <v>553412864.37</v>
      </c>
      <c r="C103" s="16">
        <v>0</v>
      </c>
      <c r="D103" s="16">
        <v>60342608.870896794</v>
      </c>
      <c r="E103" s="16">
        <v>6595336.6999999993</v>
      </c>
      <c r="F103" s="16">
        <v>818364.42</v>
      </c>
      <c r="G103" s="16">
        <v>565686.29</v>
      </c>
      <c r="H103" s="16">
        <v>33219912.43</v>
      </c>
      <c r="I103" s="16">
        <v>1858507.31</v>
      </c>
      <c r="J103" s="16">
        <v>46046109.00999999</v>
      </c>
      <c r="K103" s="16">
        <v>0</v>
      </c>
      <c r="L103" s="16">
        <v>0</v>
      </c>
      <c r="M103" s="16">
        <v>0</v>
      </c>
      <c r="N103" s="18">
        <f t="shared" si="2"/>
        <v>702859389.40089667</v>
      </c>
      <c r="O103" s="4"/>
      <c r="Q103" s="4"/>
      <c r="R103" s="4"/>
      <c r="S103" s="4"/>
      <c r="T103" s="4"/>
      <c r="U103" s="4"/>
      <c r="V103" s="4"/>
      <c r="W103" s="4"/>
      <c r="X103" s="4"/>
    </row>
    <row r="104" spans="1:24" ht="15" x14ac:dyDescent="0.2">
      <c r="A104" s="17" t="s">
        <v>99</v>
      </c>
      <c r="B104" s="16">
        <v>8784212412.7799988</v>
      </c>
      <c r="C104" s="16">
        <v>0</v>
      </c>
      <c r="D104" s="16">
        <v>31975824.197852686</v>
      </c>
      <c r="E104" s="16">
        <v>112305176.63</v>
      </c>
      <c r="F104" s="16">
        <v>167709690.09</v>
      </c>
      <c r="G104" s="16">
        <v>29252252.786646299</v>
      </c>
      <c r="H104" s="16">
        <v>498064626.63999999</v>
      </c>
      <c r="I104" s="16">
        <v>380869056.22000003</v>
      </c>
      <c r="J104" s="16">
        <v>509473445.03000009</v>
      </c>
      <c r="K104" s="16">
        <v>0</v>
      </c>
      <c r="L104" s="16">
        <v>0</v>
      </c>
      <c r="M104" s="16">
        <v>0</v>
      </c>
      <c r="N104" s="18">
        <f t="shared" ref="N104:N135" si="3">SUM(B104:M104)</f>
        <v>10513862484.374496</v>
      </c>
      <c r="O104" s="4"/>
      <c r="Q104" s="4"/>
      <c r="R104" s="4"/>
      <c r="S104" s="4"/>
      <c r="T104" s="4"/>
      <c r="U104" s="4"/>
      <c r="V104" s="4"/>
      <c r="W104" s="4"/>
      <c r="X104" s="4"/>
    </row>
    <row r="105" spans="1:24" ht="15" x14ac:dyDescent="0.2">
      <c r="A105" s="17" t="s">
        <v>100</v>
      </c>
      <c r="B105" s="16">
        <v>1422143205.6900001</v>
      </c>
      <c r="C105" s="16">
        <v>0</v>
      </c>
      <c r="D105" s="16">
        <v>4749841.4699999988</v>
      </c>
      <c r="E105" s="16">
        <v>18176022.333999999</v>
      </c>
      <c r="F105" s="16">
        <v>7227739.54</v>
      </c>
      <c r="G105" s="16">
        <v>4895362.1100000003</v>
      </c>
      <c r="H105" s="16">
        <v>85367593.879999995</v>
      </c>
      <c r="I105" s="16">
        <v>16414211.59</v>
      </c>
      <c r="J105" s="16">
        <v>66530440.680000015</v>
      </c>
      <c r="K105" s="16">
        <v>0</v>
      </c>
      <c r="L105" s="16">
        <v>0</v>
      </c>
      <c r="M105" s="16">
        <v>0</v>
      </c>
      <c r="N105" s="18">
        <f t="shared" si="3"/>
        <v>1625504417.2940001</v>
      </c>
      <c r="O105" s="4"/>
      <c r="Q105" s="4"/>
      <c r="R105" s="4"/>
      <c r="S105" s="4"/>
      <c r="T105" s="4"/>
      <c r="U105" s="4"/>
      <c r="V105" s="4"/>
      <c r="W105" s="4"/>
      <c r="X105" s="4"/>
    </row>
    <row r="106" spans="1:24" ht="15" x14ac:dyDescent="0.2">
      <c r="A106" s="17" t="s">
        <v>101</v>
      </c>
      <c r="B106" s="16">
        <v>1616288109.9199998</v>
      </c>
      <c r="C106" s="16">
        <v>0</v>
      </c>
      <c r="D106" s="16">
        <v>3675531.169999999</v>
      </c>
      <c r="E106" s="16">
        <v>18074874.309999999</v>
      </c>
      <c r="F106" s="16">
        <v>51213107.880000003</v>
      </c>
      <c r="G106" s="16">
        <v>13907882.828531247</v>
      </c>
      <c r="H106" s="16">
        <v>91040953.409999996</v>
      </c>
      <c r="I106" s="16">
        <v>116305074.90000001</v>
      </c>
      <c r="J106" s="16">
        <v>174854636.55000001</v>
      </c>
      <c r="K106" s="16">
        <v>0</v>
      </c>
      <c r="L106" s="16">
        <v>0</v>
      </c>
      <c r="M106" s="16">
        <v>0</v>
      </c>
      <c r="N106" s="18">
        <f t="shared" si="3"/>
        <v>2085360170.9685314</v>
      </c>
      <c r="O106" s="4"/>
      <c r="Q106" s="4"/>
      <c r="R106" s="4"/>
      <c r="S106" s="4"/>
      <c r="T106" s="4"/>
      <c r="U106" s="4"/>
      <c r="V106" s="4"/>
      <c r="W106" s="4"/>
      <c r="X106" s="4"/>
    </row>
    <row r="107" spans="1:24" ht="15" x14ac:dyDescent="0.2">
      <c r="A107" s="17" t="s">
        <v>102</v>
      </c>
      <c r="B107" s="16">
        <v>2134722201.21</v>
      </c>
      <c r="C107" s="16">
        <v>0</v>
      </c>
      <c r="D107" s="16">
        <v>68457576.282290205</v>
      </c>
      <c r="E107" s="16">
        <v>24261446.539999999</v>
      </c>
      <c r="F107" s="16">
        <v>2847082.94</v>
      </c>
      <c r="G107" s="16">
        <v>2066930.67</v>
      </c>
      <c r="H107" s="16">
        <v>122201968.66</v>
      </c>
      <c r="I107" s="16">
        <v>6465731.2999999998</v>
      </c>
      <c r="J107" s="16">
        <v>81009575.129999995</v>
      </c>
      <c r="K107" s="16">
        <v>0</v>
      </c>
      <c r="L107" s="16">
        <v>0</v>
      </c>
      <c r="M107" s="16">
        <v>0</v>
      </c>
      <c r="N107" s="18">
        <f t="shared" si="3"/>
        <v>2442032512.7322903</v>
      </c>
      <c r="O107" s="4"/>
      <c r="Q107" s="4"/>
      <c r="R107" s="4"/>
      <c r="S107" s="4"/>
      <c r="T107" s="4"/>
      <c r="U107" s="4"/>
      <c r="V107" s="4"/>
      <c r="W107" s="4"/>
      <c r="X107" s="4"/>
    </row>
    <row r="108" spans="1:24" ht="15" x14ac:dyDescent="0.2">
      <c r="A108" s="17" t="s">
        <v>103</v>
      </c>
      <c r="B108" s="16">
        <v>798954408.3599999</v>
      </c>
      <c r="C108" s="16">
        <v>0</v>
      </c>
      <c r="D108" s="16">
        <v>22669593.228346244</v>
      </c>
      <c r="E108" s="16">
        <v>8866981.5500000007</v>
      </c>
      <c r="F108" s="16">
        <v>2888345.01</v>
      </c>
      <c r="G108" s="16">
        <v>1523001.54</v>
      </c>
      <c r="H108" s="16">
        <v>44661912.439999998</v>
      </c>
      <c r="I108" s="16">
        <v>6559437.5499999998</v>
      </c>
      <c r="J108" s="16">
        <v>43215472.519999996</v>
      </c>
      <c r="K108" s="16">
        <v>0</v>
      </c>
      <c r="L108" s="16">
        <v>0</v>
      </c>
      <c r="M108" s="16">
        <v>0</v>
      </c>
      <c r="N108" s="18">
        <f t="shared" si="3"/>
        <v>929339152.1983459</v>
      </c>
      <c r="O108" s="4"/>
      <c r="Q108" s="4"/>
      <c r="R108" s="4"/>
      <c r="S108" s="4"/>
      <c r="T108" s="4"/>
      <c r="U108" s="4"/>
      <c r="V108" s="4"/>
      <c r="W108" s="4"/>
      <c r="X108" s="4"/>
    </row>
    <row r="109" spans="1:24" ht="15" x14ac:dyDescent="0.2">
      <c r="A109" s="17" t="s">
        <v>104</v>
      </c>
      <c r="B109" s="16">
        <v>7232651378.4099998</v>
      </c>
      <c r="C109" s="16">
        <v>0</v>
      </c>
      <c r="D109" s="16">
        <v>36021351.683719039</v>
      </c>
      <c r="E109" s="16">
        <v>92269246</v>
      </c>
      <c r="F109" s="16">
        <v>294900025.85000002</v>
      </c>
      <c r="G109" s="16">
        <v>126691607.91492261</v>
      </c>
      <c r="H109" s="16">
        <v>409206849.92000002</v>
      </c>
      <c r="I109" s="16">
        <v>669718574.17999995</v>
      </c>
      <c r="J109" s="16">
        <v>788499860.38999999</v>
      </c>
      <c r="K109" s="16">
        <v>0</v>
      </c>
      <c r="L109" s="16">
        <v>0</v>
      </c>
      <c r="M109" s="16">
        <v>0</v>
      </c>
      <c r="N109" s="18">
        <f t="shared" si="3"/>
        <v>9649958894.3486404</v>
      </c>
      <c r="O109" s="4"/>
      <c r="Q109" s="4"/>
      <c r="R109" s="4"/>
      <c r="S109" s="4"/>
      <c r="T109" s="4"/>
      <c r="U109" s="4"/>
      <c r="V109" s="4"/>
      <c r="W109" s="4"/>
      <c r="X109" s="4"/>
    </row>
    <row r="110" spans="1:24" ht="15" x14ac:dyDescent="0.2">
      <c r="A110" s="17" t="s">
        <v>105</v>
      </c>
      <c r="B110" s="16">
        <v>818459705.57999992</v>
      </c>
      <c r="C110" s="16">
        <v>0</v>
      </c>
      <c r="D110" s="16">
        <v>57237206.590846382</v>
      </c>
      <c r="E110" s="16">
        <v>10674869.59</v>
      </c>
      <c r="F110" s="16">
        <v>11271422.560000001</v>
      </c>
      <c r="G110" s="16">
        <v>4938876.4400000004</v>
      </c>
      <c r="H110" s="16">
        <v>47342207.159999996</v>
      </c>
      <c r="I110" s="16">
        <v>25597424.170000002</v>
      </c>
      <c r="J110" s="16">
        <v>91363250.879999995</v>
      </c>
      <c r="K110" s="16">
        <v>0</v>
      </c>
      <c r="L110" s="16">
        <v>0</v>
      </c>
      <c r="M110" s="16">
        <v>0</v>
      </c>
      <c r="N110" s="18">
        <f t="shared" si="3"/>
        <v>1066884962.9708463</v>
      </c>
      <c r="O110" s="4"/>
      <c r="Q110" s="4"/>
      <c r="R110" s="4"/>
      <c r="S110" s="4"/>
      <c r="T110" s="4"/>
      <c r="U110" s="4"/>
      <c r="V110" s="4"/>
      <c r="W110" s="4"/>
      <c r="X110" s="4"/>
    </row>
    <row r="111" spans="1:24" ht="15" x14ac:dyDescent="0.2">
      <c r="A111" s="17" t="s">
        <v>106</v>
      </c>
      <c r="B111" s="16">
        <v>1001126632.3</v>
      </c>
      <c r="C111" s="16">
        <v>0</v>
      </c>
      <c r="D111" s="16">
        <v>60606467.872646108</v>
      </c>
      <c r="E111" s="16">
        <v>11221284</v>
      </c>
      <c r="F111" s="16">
        <v>3926773.81</v>
      </c>
      <c r="G111" s="16">
        <v>2066930.67</v>
      </c>
      <c r="H111" s="16">
        <v>56520248.810000002</v>
      </c>
      <c r="I111" s="16">
        <v>8917711.5299999993</v>
      </c>
      <c r="J111" s="16">
        <v>71177095.879999995</v>
      </c>
      <c r="K111" s="16">
        <v>0</v>
      </c>
      <c r="L111" s="16">
        <v>0</v>
      </c>
      <c r="M111" s="16">
        <v>0</v>
      </c>
      <c r="N111" s="18">
        <f t="shared" si="3"/>
        <v>1215563144.8726459</v>
      </c>
      <c r="O111" s="4"/>
      <c r="Q111" s="4"/>
      <c r="R111" s="4"/>
      <c r="S111" s="4"/>
      <c r="T111" s="4"/>
      <c r="U111" s="4"/>
      <c r="V111" s="4"/>
      <c r="W111" s="4"/>
      <c r="X111" s="4"/>
    </row>
    <row r="112" spans="1:24" ht="15" x14ac:dyDescent="0.2">
      <c r="A112" s="17" t="s">
        <v>107</v>
      </c>
      <c r="B112" s="16">
        <v>1427264708.2900002</v>
      </c>
      <c r="C112" s="16">
        <v>0</v>
      </c>
      <c r="D112" s="16">
        <v>125858816.58021666</v>
      </c>
      <c r="E112" s="16">
        <v>16151131.629999999</v>
      </c>
      <c r="F112" s="16">
        <v>4772646.28</v>
      </c>
      <c r="G112" s="16">
        <v>2458559.64</v>
      </c>
      <c r="H112" s="16">
        <v>81351294.459999993</v>
      </c>
      <c r="I112" s="16">
        <v>10838689.67</v>
      </c>
      <c r="J112" s="16">
        <v>74663993.359999999</v>
      </c>
      <c r="K112" s="16">
        <v>0</v>
      </c>
      <c r="L112" s="16">
        <v>0</v>
      </c>
      <c r="M112" s="16">
        <v>0</v>
      </c>
      <c r="N112" s="18">
        <f t="shared" si="3"/>
        <v>1743359839.910217</v>
      </c>
      <c r="O112" s="4"/>
      <c r="Q112" s="4"/>
      <c r="R112" s="4"/>
      <c r="S112" s="4"/>
      <c r="T112" s="4"/>
      <c r="U112" s="4"/>
      <c r="V112" s="4"/>
      <c r="W112" s="4"/>
      <c r="X112" s="4"/>
    </row>
    <row r="113" spans="1:24" ht="15" x14ac:dyDescent="0.2">
      <c r="A113" s="17" t="s">
        <v>108</v>
      </c>
      <c r="B113" s="16">
        <v>1149105367.51</v>
      </c>
      <c r="C113" s="16">
        <v>0</v>
      </c>
      <c r="D113" s="16">
        <v>178147605.85580918</v>
      </c>
      <c r="E113" s="16">
        <v>12784376.32</v>
      </c>
      <c r="F113" s="16">
        <v>6725717.6699999999</v>
      </c>
      <c r="G113" s="16">
        <v>3176546.08</v>
      </c>
      <c r="H113" s="16">
        <v>64393355.619999997</v>
      </c>
      <c r="I113" s="16">
        <v>15274118.869999999</v>
      </c>
      <c r="J113" s="16">
        <v>72916051.560000002</v>
      </c>
      <c r="K113" s="16">
        <v>0</v>
      </c>
      <c r="L113" s="16">
        <v>0</v>
      </c>
      <c r="M113" s="16">
        <v>0</v>
      </c>
      <c r="N113" s="18">
        <f t="shared" si="3"/>
        <v>1502523139.4858088</v>
      </c>
      <c r="O113" s="4"/>
      <c r="Q113" s="4"/>
      <c r="R113" s="4"/>
      <c r="S113" s="4"/>
      <c r="T113" s="4"/>
      <c r="U113" s="4"/>
      <c r="V113" s="4"/>
      <c r="W113" s="4"/>
      <c r="X113" s="4"/>
    </row>
    <row r="114" spans="1:24" ht="15" x14ac:dyDescent="0.2">
      <c r="A114" s="17" t="s">
        <v>109</v>
      </c>
      <c r="B114" s="16">
        <v>710218019.00999999</v>
      </c>
      <c r="C114" s="16">
        <v>0</v>
      </c>
      <c r="D114" s="16">
        <v>62128926.866762556</v>
      </c>
      <c r="E114" s="16">
        <v>7824097.5199999996</v>
      </c>
      <c r="F114" s="16">
        <v>4071191.06</v>
      </c>
      <c r="G114" s="16">
        <v>1740573.19</v>
      </c>
      <c r="H114" s="16">
        <v>39409031.909999996</v>
      </c>
      <c r="I114" s="16">
        <v>9245683.4100000001</v>
      </c>
      <c r="J114" s="16">
        <v>55700771.390000015</v>
      </c>
      <c r="K114" s="16">
        <v>0</v>
      </c>
      <c r="L114" s="16">
        <v>0</v>
      </c>
      <c r="M114" s="16">
        <v>0</v>
      </c>
      <c r="N114" s="18">
        <f t="shared" si="3"/>
        <v>890338294.35676241</v>
      </c>
      <c r="O114" s="4"/>
      <c r="Q114" s="4"/>
      <c r="R114" s="4"/>
      <c r="S114" s="4"/>
      <c r="T114" s="4"/>
      <c r="U114" s="4"/>
      <c r="V114" s="4"/>
      <c r="W114" s="4"/>
      <c r="X114" s="4"/>
    </row>
    <row r="115" spans="1:24" ht="15" x14ac:dyDescent="0.2">
      <c r="A115" s="17" t="s">
        <v>110</v>
      </c>
      <c r="B115" s="16">
        <v>1672079797.9899998</v>
      </c>
      <c r="C115" s="16">
        <v>0</v>
      </c>
      <c r="D115" s="16">
        <v>39788343.42005039</v>
      </c>
      <c r="E115" s="16">
        <v>19415901.440000001</v>
      </c>
      <c r="F115" s="16">
        <v>4215608.3099999996</v>
      </c>
      <c r="G115" s="16">
        <v>2806674.27</v>
      </c>
      <c r="H115" s="16">
        <v>97795544.659999996</v>
      </c>
      <c r="I115" s="16">
        <v>9573655.2899999991</v>
      </c>
      <c r="J115" s="16">
        <v>74633767.229999989</v>
      </c>
      <c r="K115" s="16">
        <v>0</v>
      </c>
      <c r="L115" s="16">
        <v>0</v>
      </c>
      <c r="M115" s="16">
        <v>0</v>
      </c>
      <c r="N115" s="18">
        <f t="shared" si="3"/>
        <v>1920309292.6100502</v>
      </c>
      <c r="O115" s="4"/>
      <c r="Q115" s="4"/>
      <c r="R115" s="4"/>
      <c r="S115" s="4"/>
      <c r="T115" s="4"/>
      <c r="U115" s="4"/>
      <c r="V115" s="4"/>
      <c r="W115" s="4"/>
      <c r="X115" s="4"/>
    </row>
    <row r="116" spans="1:24" ht="15" x14ac:dyDescent="0.2">
      <c r="A116" s="17" t="s">
        <v>111</v>
      </c>
      <c r="B116" s="16">
        <v>1083070674.1599998</v>
      </c>
      <c r="C116" s="16">
        <v>0</v>
      </c>
      <c r="D116" s="16">
        <v>62462249.30172541</v>
      </c>
      <c r="E116" s="16">
        <v>12230035.76</v>
      </c>
      <c r="F116" s="16">
        <v>11635904.189999999</v>
      </c>
      <c r="G116" s="16">
        <v>4416704.4800000004</v>
      </c>
      <c r="H116" s="16">
        <v>61601209.350000001</v>
      </c>
      <c r="I116" s="16">
        <v>26425162.710000001</v>
      </c>
      <c r="J116" s="16">
        <v>101248013.13</v>
      </c>
      <c r="K116" s="16">
        <v>0</v>
      </c>
      <c r="L116" s="16">
        <v>0</v>
      </c>
      <c r="M116" s="16">
        <v>0</v>
      </c>
      <c r="N116" s="18">
        <f t="shared" si="3"/>
        <v>1363089953.0817251</v>
      </c>
      <c r="O116" s="4"/>
      <c r="Q116" s="4"/>
      <c r="R116" s="4"/>
      <c r="S116" s="4"/>
      <c r="T116" s="4"/>
      <c r="U116" s="4"/>
      <c r="V116" s="4"/>
      <c r="W116" s="4"/>
      <c r="X116" s="4"/>
    </row>
    <row r="117" spans="1:24" ht="15" x14ac:dyDescent="0.2">
      <c r="A117" s="17" t="s">
        <v>112</v>
      </c>
      <c r="B117" s="16">
        <v>593731076.50999999</v>
      </c>
      <c r="C117" s="16">
        <v>0</v>
      </c>
      <c r="D117" s="16">
        <v>14876259.38438669</v>
      </c>
      <c r="E117" s="16">
        <v>6620421.8499999996</v>
      </c>
      <c r="F117" s="16">
        <v>2448216.2400000002</v>
      </c>
      <c r="G117" s="16">
        <v>1174886.9099999999</v>
      </c>
      <c r="H117" s="16">
        <v>33346263.260000002</v>
      </c>
      <c r="I117" s="16">
        <v>5559904.21</v>
      </c>
      <c r="J117" s="16">
        <v>29840545.02</v>
      </c>
      <c r="K117" s="16">
        <v>0</v>
      </c>
      <c r="L117" s="16">
        <v>0</v>
      </c>
      <c r="M117" s="16">
        <v>0</v>
      </c>
      <c r="N117" s="18">
        <f t="shared" si="3"/>
        <v>687597573.38438666</v>
      </c>
      <c r="O117" s="4"/>
      <c r="Q117" s="4"/>
      <c r="R117" s="4"/>
      <c r="S117" s="4"/>
      <c r="T117" s="4"/>
      <c r="U117" s="4"/>
      <c r="V117" s="4"/>
      <c r="W117" s="4"/>
      <c r="X117" s="4"/>
    </row>
    <row r="118" spans="1:24" ht="15" x14ac:dyDescent="0.2">
      <c r="A118" s="17" t="s">
        <v>113</v>
      </c>
      <c r="B118" s="16">
        <v>983146889.05000007</v>
      </c>
      <c r="C118" s="16">
        <v>0</v>
      </c>
      <c r="D118" s="16">
        <v>201572029.6910454</v>
      </c>
      <c r="E118" s="16">
        <v>11354523.120000001</v>
      </c>
      <c r="F118" s="16">
        <v>11546503.039999999</v>
      </c>
      <c r="G118" s="16">
        <v>4895362.1100000003</v>
      </c>
      <c r="H118" s="16">
        <v>57191358.149999999</v>
      </c>
      <c r="I118" s="16">
        <v>26222132.5</v>
      </c>
      <c r="J118" s="16">
        <v>82252386.480000019</v>
      </c>
      <c r="K118" s="16">
        <v>0</v>
      </c>
      <c r="L118" s="16">
        <v>0</v>
      </c>
      <c r="M118" s="16">
        <v>0</v>
      </c>
      <c r="N118" s="18">
        <f t="shared" si="3"/>
        <v>1378181184.1410453</v>
      </c>
      <c r="O118" s="4"/>
      <c r="Q118" s="4"/>
      <c r="R118" s="4"/>
      <c r="S118" s="4"/>
      <c r="T118" s="4"/>
      <c r="U118" s="4"/>
      <c r="V118" s="4"/>
      <c r="W118" s="4"/>
      <c r="X118" s="4"/>
    </row>
    <row r="119" spans="1:24" ht="15" x14ac:dyDescent="0.2">
      <c r="A119" s="17" t="s">
        <v>114</v>
      </c>
      <c r="B119" s="16">
        <v>1282228112.8899999</v>
      </c>
      <c r="C119" s="16">
        <v>0</v>
      </c>
      <c r="D119" s="16">
        <v>57329383.55784902</v>
      </c>
      <c r="E119" s="16">
        <v>14882070.080000002</v>
      </c>
      <c r="F119" s="16">
        <v>9277089.0999999996</v>
      </c>
      <c r="G119" s="16">
        <v>3285331.9</v>
      </c>
      <c r="H119" s="16">
        <v>74959185.109999999</v>
      </c>
      <c r="I119" s="16">
        <v>21068288.710000001</v>
      </c>
      <c r="J119" s="16">
        <v>74871491.75</v>
      </c>
      <c r="K119" s="16">
        <v>0</v>
      </c>
      <c r="L119" s="16">
        <v>0</v>
      </c>
      <c r="M119" s="16">
        <v>0</v>
      </c>
      <c r="N119" s="18">
        <f t="shared" si="3"/>
        <v>1537900953.0978487</v>
      </c>
      <c r="O119" s="4"/>
      <c r="Q119" s="4"/>
      <c r="R119" s="4"/>
      <c r="S119" s="4"/>
      <c r="T119" s="4"/>
      <c r="U119" s="4"/>
      <c r="V119" s="4"/>
      <c r="W119" s="4"/>
      <c r="X119" s="4"/>
    </row>
    <row r="120" spans="1:24" ht="15" x14ac:dyDescent="0.2">
      <c r="A120" s="17" t="s">
        <v>115</v>
      </c>
      <c r="B120" s="16">
        <v>786677331.15999985</v>
      </c>
      <c r="C120" s="16">
        <v>0</v>
      </c>
      <c r="D120" s="16">
        <v>58448854.965609677</v>
      </c>
      <c r="E120" s="16">
        <v>9202546.75</v>
      </c>
      <c r="F120" s="16">
        <v>6251203.8499999996</v>
      </c>
      <c r="G120" s="16">
        <v>3328846.23</v>
      </c>
      <c r="H120" s="16">
        <v>46352113.75</v>
      </c>
      <c r="I120" s="16">
        <v>14196496.99</v>
      </c>
      <c r="J120" s="16">
        <v>77623159.020000011</v>
      </c>
      <c r="K120" s="16">
        <v>0</v>
      </c>
      <c r="L120" s="16">
        <v>0</v>
      </c>
      <c r="M120" s="16">
        <v>0</v>
      </c>
      <c r="N120" s="18">
        <f t="shared" si="3"/>
        <v>1002080552.7156096</v>
      </c>
      <c r="O120" s="4"/>
      <c r="Q120" s="4"/>
      <c r="R120" s="4"/>
      <c r="S120" s="4"/>
      <c r="T120" s="4"/>
      <c r="U120" s="4"/>
      <c r="V120" s="4"/>
      <c r="W120" s="4"/>
      <c r="X120" s="4"/>
    </row>
    <row r="121" spans="1:24" ht="15" x14ac:dyDescent="0.2">
      <c r="A121" s="17" t="s">
        <v>116</v>
      </c>
      <c r="B121" s="16">
        <v>1013585323.0599999</v>
      </c>
      <c r="C121" s="16">
        <v>0</v>
      </c>
      <c r="D121" s="16">
        <v>78962368.406402022</v>
      </c>
      <c r="E121" s="16">
        <v>11807289.399999999</v>
      </c>
      <c r="F121" s="16">
        <v>2627018.5499999998</v>
      </c>
      <c r="G121" s="16">
        <v>1109615.4099999999</v>
      </c>
      <c r="H121" s="16">
        <v>59471887.119999997</v>
      </c>
      <c r="I121" s="16">
        <v>5965964.6299999999</v>
      </c>
      <c r="J121" s="16">
        <v>43132691.029999994</v>
      </c>
      <c r="K121" s="16">
        <v>0</v>
      </c>
      <c r="L121" s="16">
        <v>0</v>
      </c>
      <c r="M121" s="16">
        <v>0</v>
      </c>
      <c r="N121" s="18">
        <f t="shared" si="3"/>
        <v>1216662157.6064022</v>
      </c>
      <c r="O121" s="4"/>
      <c r="Q121" s="4"/>
      <c r="R121" s="4"/>
      <c r="S121" s="4"/>
      <c r="T121" s="4"/>
      <c r="U121" s="4"/>
      <c r="V121" s="4"/>
      <c r="W121" s="4"/>
      <c r="X121" s="4"/>
    </row>
    <row r="122" spans="1:24" ht="15" x14ac:dyDescent="0.2">
      <c r="A122" s="17" t="s">
        <v>117</v>
      </c>
      <c r="B122" s="16">
        <v>3261489099.9499998</v>
      </c>
      <c r="C122" s="16">
        <v>0</v>
      </c>
      <c r="D122" s="16">
        <v>40189591.319999978</v>
      </c>
      <c r="E122" s="16">
        <v>41639277.370000005</v>
      </c>
      <c r="F122" s="16">
        <v>79085637.260000005</v>
      </c>
      <c r="G122" s="16">
        <v>31794184.151244462</v>
      </c>
      <c r="H122" s="16">
        <v>184666920.59</v>
      </c>
      <c r="I122" s="16">
        <v>179603647.28999999</v>
      </c>
      <c r="J122" s="16">
        <v>202332641.83000001</v>
      </c>
      <c r="K122" s="16">
        <v>0</v>
      </c>
      <c r="L122" s="16">
        <v>0</v>
      </c>
      <c r="M122" s="16">
        <v>0</v>
      </c>
      <c r="N122" s="18">
        <f t="shared" si="3"/>
        <v>4020800999.7612448</v>
      </c>
      <c r="O122" s="4"/>
      <c r="Q122" s="4"/>
      <c r="R122" s="4"/>
      <c r="S122" s="4"/>
      <c r="T122" s="4"/>
      <c r="U122" s="4"/>
      <c r="V122" s="4"/>
      <c r="W122" s="4"/>
      <c r="X122" s="4"/>
    </row>
    <row r="123" spans="1:24" ht="15" x14ac:dyDescent="0.2">
      <c r="A123" s="17" t="s">
        <v>118</v>
      </c>
      <c r="B123" s="16">
        <v>6490433048.6000004</v>
      </c>
      <c r="C123" s="16">
        <v>0</v>
      </c>
      <c r="D123" s="16">
        <v>42204078.924999997</v>
      </c>
      <c r="E123" s="16">
        <v>77349835.829999998</v>
      </c>
      <c r="F123" s="16">
        <v>109935912.81</v>
      </c>
      <c r="G123" s="16">
        <v>74575223.950714543</v>
      </c>
      <c r="H123" s="16">
        <v>389601757.56999999</v>
      </c>
      <c r="I123" s="16">
        <v>249664687.44</v>
      </c>
      <c r="J123" s="16">
        <v>264005389.00999999</v>
      </c>
      <c r="K123" s="16">
        <v>0</v>
      </c>
      <c r="L123" s="16">
        <v>0</v>
      </c>
      <c r="M123" s="16">
        <v>0</v>
      </c>
      <c r="N123" s="18">
        <f t="shared" si="3"/>
        <v>7697769934.1357145</v>
      </c>
      <c r="O123" s="4"/>
      <c r="Q123" s="4"/>
      <c r="R123" s="4"/>
      <c r="S123" s="4"/>
      <c r="T123" s="4"/>
      <c r="U123" s="4"/>
      <c r="V123" s="4"/>
      <c r="W123" s="4"/>
      <c r="X123" s="4"/>
    </row>
    <row r="124" spans="1:24" ht="15" x14ac:dyDescent="0.2">
      <c r="A124" s="17" t="s">
        <v>119</v>
      </c>
      <c r="B124" s="16">
        <v>6792274798.6799984</v>
      </c>
      <c r="C124" s="16">
        <v>0</v>
      </c>
      <c r="D124" s="16">
        <v>20554756.229999997</v>
      </c>
      <c r="E124" s="16">
        <v>84586758.689999998</v>
      </c>
      <c r="F124" s="16">
        <v>140779311.34</v>
      </c>
      <c r="G124" s="16">
        <v>0</v>
      </c>
      <c r="H124" s="16">
        <v>375135622.86000001</v>
      </c>
      <c r="I124" s="16">
        <v>319710109.88999999</v>
      </c>
      <c r="J124" s="16">
        <v>377701122.58999997</v>
      </c>
      <c r="K124" s="16">
        <v>0</v>
      </c>
      <c r="L124" s="16">
        <v>0</v>
      </c>
      <c r="M124" s="16">
        <v>0</v>
      </c>
      <c r="N124" s="18">
        <f t="shared" si="3"/>
        <v>8110742480.2799978</v>
      </c>
      <c r="O124" s="4"/>
      <c r="Q124" s="4"/>
      <c r="R124" s="4"/>
      <c r="S124" s="4"/>
      <c r="T124" s="4"/>
      <c r="U124" s="4"/>
      <c r="V124" s="4"/>
      <c r="W124" s="4"/>
      <c r="X124" s="4"/>
    </row>
    <row r="125" spans="1:24" ht="15" x14ac:dyDescent="0.2">
      <c r="A125" s="17" t="s">
        <v>120</v>
      </c>
      <c r="B125" s="16">
        <v>2142567907.3199999</v>
      </c>
      <c r="C125" s="16">
        <v>0</v>
      </c>
      <c r="D125" s="16">
        <v>33803778.550837509</v>
      </c>
      <c r="E125" s="16">
        <v>23763855.98</v>
      </c>
      <c r="F125" s="16">
        <v>54741015.009999998</v>
      </c>
      <c r="G125" s="16">
        <v>20843363.989999998</v>
      </c>
      <c r="H125" s="16">
        <v>119695665.25</v>
      </c>
      <c r="I125" s="16">
        <v>124316959.34</v>
      </c>
      <c r="J125" s="16">
        <v>233405106</v>
      </c>
      <c r="K125" s="16">
        <v>0</v>
      </c>
      <c r="L125" s="16">
        <v>0</v>
      </c>
      <c r="M125" s="16">
        <v>0</v>
      </c>
      <c r="N125" s="18">
        <f t="shared" si="3"/>
        <v>2753137651.4408374</v>
      </c>
      <c r="O125" s="4"/>
      <c r="Q125" s="4"/>
      <c r="R125" s="4"/>
      <c r="S125" s="4"/>
      <c r="T125" s="4"/>
      <c r="U125" s="4"/>
      <c r="V125" s="4"/>
      <c r="W125" s="4"/>
      <c r="X125" s="4"/>
    </row>
    <row r="126" spans="1:24" ht="15" x14ac:dyDescent="0.2">
      <c r="A126" s="17" t="s">
        <v>121</v>
      </c>
      <c r="B126" s="16">
        <v>2214014685.0099998</v>
      </c>
      <c r="C126" s="16">
        <v>0</v>
      </c>
      <c r="D126" s="16">
        <v>71328420.872081891</v>
      </c>
      <c r="E126" s="16">
        <v>25824127.630000003</v>
      </c>
      <c r="F126" s="16">
        <v>27404892.559999999</v>
      </c>
      <c r="G126" s="16">
        <v>8528808.6500000004</v>
      </c>
      <c r="H126" s="16">
        <v>130073004.15000001</v>
      </c>
      <c r="I126" s="16">
        <v>62236568.210000001</v>
      </c>
      <c r="J126" s="16">
        <v>160149486.97</v>
      </c>
      <c r="K126" s="16">
        <v>0</v>
      </c>
      <c r="L126" s="16">
        <v>0</v>
      </c>
      <c r="M126" s="16">
        <v>0</v>
      </c>
      <c r="N126" s="18">
        <f t="shared" si="3"/>
        <v>2699559994.0520816</v>
      </c>
      <c r="O126" s="4"/>
      <c r="Q126" s="4"/>
      <c r="R126" s="4"/>
      <c r="S126" s="4"/>
      <c r="T126" s="4"/>
      <c r="U126" s="4"/>
      <c r="V126" s="4"/>
      <c r="W126" s="4"/>
      <c r="X126" s="4"/>
    </row>
    <row r="127" spans="1:24" ht="15" x14ac:dyDescent="0.2">
      <c r="A127" s="17" t="s">
        <v>122</v>
      </c>
      <c r="B127" s="16">
        <v>1351531850.4299998</v>
      </c>
      <c r="C127" s="16">
        <v>0</v>
      </c>
      <c r="D127" s="16">
        <v>23136603.457831856</v>
      </c>
      <c r="E127" s="16">
        <v>15155539.289999999</v>
      </c>
      <c r="F127" s="16">
        <v>29089760.489999998</v>
      </c>
      <c r="G127" s="16">
        <v>12184012.35</v>
      </c>
      <c r="H127" s="16">
        <v>76336616.319999993</v>
      </c>
      <c r="I127" s="16">
        <v>66062906.789999999</v>
      </c>
      <c r="J127" s="16">
        <v>177569542.36999997</v>
      </c>
      <c r="K127" s="16">
        <v>0</v>
      </c>
      <c r="L127" s="16">
        <v>0</v>
      </c>
      <c r="M127" s="16">
        <v>0</v>
      </c>
      <c r="N127" s="18">
        <f t="shared" si="3"/>
        <v>1751066831.4978313</v>
      </c>
      <c r="O127" s="4"/>
      <c r="Q127" s="4"/>
      <c r="R127" s="4"/>
      <c r="S127" s="4"/>
      <c r="T127" s="4"/>
      <c r="U127" s="4"/>
      <c r="V127" s="4"/>
      <c r="W127" s="4"/>
      <c r="X127" s="4"/>
    </row>
    <row r="128" spans="1:24" ht="15" x14ac:dyDescent="0.2">
      <c r="A128" s="17" t="s">
        <v>123</v>
      </c>
      <c r="B128" s="16">
        <v>605608603.83000016</v>
      </c>
      <c r="C128" s="16">
        <v>0</v>
      </c>
      <c r="D128" s="16">
        <v>25921105.830962207</v>
      </c>
      <c r="E128" s="16">
        <v>6565316.79</v>
      </c>
      <c r="F128" s="16">
        <v>2661403.61</v>
      </c>
      <c r="G128" s="16">
        <v>1457730.05</v>
      </c>
      <c r="H128" s="16">
        <v>33068705.690000001</v>
      </c>
      <c r="I128" s="16">
        <v>6044053.1699999999</v>
      </c>
      <c r="J128" s="16">
        <v>38160628.439999998</v>
      </c>
      <c r="K128" s="16">
        <v>0</v>
      </c>
      <c r="L128" s="16">
        <v>0</v>
      </c>
      <c r="M128" s="16">
        <v>0</v>
      </c>
      <c r="N128" s="18">
        <f t="shared" si="3"/>
        <v>719487547.41096234</v>
      </c>
      <c r="O128" s="4"/>
      <c r="Q128" s="4"/>
      <c r="R128" s="4"/>
      <c r="S128" s="4"/>
      <c r="T128" s="4"/>
      <c r="U128" s="4"/>
      <c r="V128" s="4"/>
      <c r="W128" s="4"/>
      <c r="X128" s="4"/>
    </row>
    <row r="129" spans="1:24" ht="15" x14ac:dyDescent="0.2">
      <c r="A129" s="17" t="s">
        <v>124</v>
      </c>
      <c r="B129" s="16">
        <v>3674260417.3699999</v>
      </c>
      <c r="C129" s="16">
        <v>0</v>
      </c>
      <c r="D129" s="16">
        <v>276153502.13220394</v>
      </c>
      <c r="E129" s="16">
        <v>36006449.230000004</v>
      </c>
      <c r="F129" s="16">
        <v>33848652.75</v>
      </c>
      <c r="G129" s="16">
        <v>18080204.039999999</v>
      </c>
      <c r="H129" s="16">
        <v>218241029.61000001</v>
      </c>
      <c r="I129" s="16">
        <v>76870361.040000007</v>
      </c>
      <c r="J129" s="16">
        <v>239106135.84</v>
      </c>
      <c r="K129" s="16">
        <v>0</v>
      </c>
      <c r="L129" s="16">
        <v>0</v>
      </c>
      <c r="M129" s="16">
        <v>0</v>
      </c>
      <c r="N129" s="18">
        <f t="shared" si="3"/>
        <v>4572566752.0122042</v>
      </c>
      <c r="O129" s="4"/>
      <c r="Q129" s="4"/>
      <c r="R129" s="4"/>
      <c r="S129" s="4"/>
      <c r="T129" s="4"/>
      <c r="U129" s="4"/>
      <c r="V129" s="4"/>
      <c r="W129" s="4"/>
      <c r="X129" s="4"/>
    </row>
    <row r="130" spans="1:24" ht="15" x14ac:dyDescent="0.2">
      <c r="A130" s="17" t="s">
        <v>125</v>
      </c>
      <c r="B130" s="16">
        <v>1019905475.1800001</v>
      </c>
      <c r="C130" s="16">
        <v>0</v>
      </c>
      <c r="D130" s="16">
        <v>83858349.833608285</v>
      </c>
      <c r="E130" s="16">
        <v>11325736.890000001</v>
      </c>
      <c r="F130" s="16">
        <v>4188100.26</v>
      </c>
      <c r="G130" s="16">
        <v>1348944.22</v>
      </c>
      <c r="H130" s="16">
        <v>57046365.390000001</v>
      </c>
      <c r="I130" s="16">
        <v>9511184.4499999993</v>
      </c>
      <c r="J130" s="16">
        <v>65717602.830000006</v>
      </c>
      <c r="K130" s="16">
        <v>0</v>
      </c>
      <c r="L130" s="16">
        <v>0</v>
      </c>
      <c r="M130" s="16">
        <v>0</v>
      </c>
      <c r="N130" s="18">
        <f t="shared" si="3"/>
        <v>1252901759.0536087</v>
      </c>
      <c r="O130" s="4"/>
      <c r="Q130" s="4"/>
      <c r="R130" s="4"/>
      <c r="S130" s="4"/>
      <c r="T130" s="4"/>
      <c r="U130" s="4"/>
      <c r="V130" s="4"/>
      <c r="W130" s="4"/>
      <c r="X130" s="4"/>
    </row>
    <row r="131" spans="1:24" ht="15" x14ac:dyDescent="0.2">
      <c r="A131" s="17" t="s">
        <v>126</v>
      </c>
      <c r="B131" s="16">
        <v>6499949599.5699997</v>
      </c>
      <c r="C131" s="16">
        <v>0</v>
      </c>
      <c r="D131" s="16">
        <v>52956657.529999979</v>
      </c>
      <c r="E131" s="16">
        <v>121685538.17</v>
      </c>
      <c r="F131" s="16">
        <v>184929727.97</v>
      </c>
      <c r="G131" s="16">
        <v>0</v>
      </c>
      <c r="H131" s="16">
        <v>370044305.69999999</v>
      </c>
      <c r="I131" s="16">
        <v>419975798.19999999</v>
      </c>
      <c r="J131" s="16">
        <v>516344307.93000001</v>
      </c>
      <c r="K131" s="16">
        <v>0</v>
      </c>
      <c r="L131" s="16">
        <v>0</v>
      </c>
      <c r="M131" s="16">
        <v>0</v>
      </c>
      <c r="N131" s="18">
        <f t="shared" si="3"/>
        <v>8165885935.0699997</v>
      </c>
      <c r="O131" s="4"/>
      <c r="Q131" s="4"/>
      <c r="R131" s="4"/>
      <c r="S131" s="4"/>
      <c r="T131" s="4"/>
      <c r="U131" s="4"/>
      <c r="V131" s="4"/>
      <c r="W131" s="4"/>
      <c r="X131" s="4"/>
    </row>
    <row r="132" spans="1:24" ht="15" x14ac:dyDescent="0.2">
      <c r="A132" s="17" t="s">
        <v>127</v>
      </c>
      <c r="B132" s="16">
        <v>229813808.86999997</v>
      </c>
      <c r="C132" s="16">
        <v>0</v>
      </c>
      <c r="D132" s="16">
        <v>7351481.047968504</v>
      </c>
      <c r="E132" s="16">
        <v>2738804.24</v>
      </c>
      <c r="F132" s="16">
        <v>790856.37</v>
      </c>
      <c r="G132" s="16">
        <v>326357.46999999997</v>
      </c>
      <c r="H132" s="16">
        <v>13795025.359999999</v>
      </c>
      <c r="I132" s="16">
        <v>1796036.47</v>
      </c>
      <c r="J132" s="16">
        <v>18541417.619999997</v>
      </c>
      <c r="K132" s="16">
        <v>0</v>
      </c>
      <c r="L132" s="16">
        <v>0</v>
      </c>
      <c r="M132" s="16">
        <v>0</v>
      </c>
      <c r="N132" s="18">
        <f t="shared" si="3"/>
        <v>275153787.44796848</v>
      </c>
      <c r="O132" s="4"/>
      <c r="Q132" s="4"/>
      <c r="R132" s="4"/>
      <c r="S132" s="4"/>
      <c r="T132" s="4"/>
      <c r="U132" s="4"/>
      <c r="V132" s="4"/>
      <c r="W132" s="4"/>
      <c r="X132" s="4"/>
    </row>
    <row r="133" spans="1:24" ht="15" x14ac:dyDescent="0.2">
      <c r="A133" s="17" t="s">
        <v>128</v>
      </c>
      <c r="B133" s="16">
        <v>1664706287.1499999</v>
      </c>
      <c r="C133" s="16">
        <v>0</v>
      </c>
      <c r="D133" s="16">
        <v>51414934.721725412</v>
      </c>
      <c r="E133" s="16">
        <v>11458426.49</v>
      </c>
      <c r="F133" s="16">
        <v>2860836.96</v>
      </c>
      <c r="G133" s="16">
        <v>1849359.02</v>
      </c>
      <c r="H133" s="16">
        <v>92824364.349999994</v>
      </c>
      <c r="I133" s="16">
        <v>6496966.7199999997</v>
      </c>
      <c r="J133" s="16">
        <v>68396291.700000018</v>
      </c>
      <c r="K133" s="16">
        <v>0</v>
      </c>
      <c r="L133" s="16">
        <v>0</v>
      </c>
      <c r="M133" s="16">
        <v>0</v>
      </c>
      <c r="N133" s="18">
        <f t="shared" si="3"/>
        <v>1900007467.1117253</v>
      </c>
      <c r="O133" s="4"/>
      <c r="Q133" s="4"/>
      <c r="R133" s="4"/>
      <c r="S133" s="4"/>
      <c r="T133" s="4"/>
      <c r="U133" s="4"/>
      <c r="V133" s="4"/>
      <c r="W133" s="4"/>
      <c r="X133" s="4"/>
    </row>
    <row r="134" spans="1:24" ht="15" x14ac:dyDescent="0.2">
      <c r="A134" s="17" t="s">
        <v>129</v>
      </c>
      <c r="B134" s="16">
        <v>2758419516.4899998</v>
      </c>
      <c r="C134" s="16">
        <v>0</v>
      </c>
      <c r="D134" s="16">
        <v>195502398.43376577</v>
      </c>
      <c r="E134" s="16">
        <v>31769306.759999998</v>
      </c>
      <c r="F134" s="16">
        <v>13348280.16</v>
      </c>
      <c r="G134" s="16">
        <v>6113763.3399999999</v>
      </c>
      <c r="H134" s="16">
        <v>160018151.55000001</v>
      </c>
      <c r="I134" s="16">
        <v>30313972.120000001</v>
      </c>
      <c r="J134" s="16">
        <v>154462889.45999998</v>
      </c>
      <c r="K134" s="16">
        <v>0</v>
      </c>
      <c r="L134" s="16">
        <v>0</v>
      </c>
      <c r="M134" s="16">
        <v>0</v>
      </c>
      <c r="N134" s="18">
        <f t="shared" si="3"/>
        <v>3349948278.313766</v>
      </c>
      <c r="O134" s="4"/>
      <c r="Q134" s="4"/>
      <c r="R134" s="4"/>
      <c r="S134" s="4"/>
      <c r="T134" s="4"/>
      <c r="U134" s="4"/>
      <c r="V134" s="4"/>
      <c r="W134" s="4"/>
      <c r="X134" s="4"/>
    </row>
    <row r="135" spans="1:24" ht="15" x14ac:dyDescent="0.2">
      <c r="A135" s="17" t="s">
        <v>130</v>
      </c>
      <c r="B135" s="16">
        <v>2334388157.8699999</v>
      </c>
      <c r="C135" s="16">
        <v>0</v>
      </c>
      <c r="D135" s="16">
        <v>209576085.46366289</v>
      </c>
      <c r="E135" s="16">
        <v>30088691.09</v>
      </c>
      <c r="F135" s="16">
        <v>20094628.870000001</v>
      </c>
      <c r="G135" s="16">
        <v>7745550.71</v>
      </c>
      <c r="H135" s="16">
        <v>133440978.81</v>
      </c>
      <c r="I135" s="16">
        <v>45634944.119999997</v>
      </c>
      <c r="J135" s="16">
        <v>159244336.79000002</v>
      </c>
      <c r="K135" s="16">
        <v>0</v>
      </c>
      <c r="L135" s="16">
        <v>0</v>
      </c>
      <c r="M135" s="16">
        <v>0</v>
      </c>
      <c r="N135" s="18">
        <f t="shared" si="3"/>
        <v>2940213373.7236629</v>
      </c>
      <c r="O135" s="4"/>
      <c r="Q135" s="4"/>
      <c r="R135" s="4"/>
      <c r="S135" s="4"/>
      <c r="T135" s="4"/>
      <c r="U135" s="4"/>
      <c r="V135" s="4"/>
      <c r="W135" s="4"/>
      <c r="X135" s="4"/>
    </row>
    <row r="136" spans="1:24" ht="15" x14ac:dyDescent="0.2">
      <c r="A136" s="17" t="s">
        <v>131</v>
      </c>
      <c r="B136" s="16">
        <v>3631944456.02</v>
      </c>
      <c r="C136" s="16">
        <v>0</v>
      </c>
      <c r="D136" s="16">
        <v>22647364.199999999</v>
      </c>
      <c r="E136" s="16">
        <v>46815113.25</v>
      </c>
      <c r="F136" s="16">
        <v>119556852.51000001</v>
      </c>
      <c r="G136" s="16">
        <v>56778498.48218067</v>
      </c>
      <c r="H136" s="16">
        <v>207621345.66999999</v>
      </c>
      <c r="I136" s="16">
        <v>271513861.57999998</v>
      </c>
      <c r="J136" s="16">
        <v>362048070.56</v>
      </c>
      <c r="K136" s="16">
        <v>0</v>
      </c>
      <c r="L136" s="16">
        <v>0</v>
      </c>
      <c r="M136" s="16">
        <v>0</v>
      </c>
      <c r="N136" s="18">
        <f t="shared" ref="N136:N142" si="4">SUM(B136:M136)</f>
        <v>4718925562.2721815</v>
      </c>
      <c r="O136" s="4"/>
      <c r="Q136" s="4"/>
      <c r="R136" s="4"/>
      <c r="S136" s="4"/>
      <c r="T136" s="4"/>
      <c r="U136" s="4"/>
      <c r="V136" s="4"/>
      <c r="W136" s="4"/>
      <c r="X136" s="4"/>
    </row>
    <row r="137" spans="1:24" ht="15" x14ac:dyDescent="0.2">
      <c r="A137" s="17" t="s">
        <v>132</v>
      </c>
      <c r="B137" s="16">
        <v>571465253.06999993</v>
      </c>
      <c r="C137" s="16">
        <v>0</v>
      </c>
      <c r="D137" s="16">
        <v>24075801.844772156</v>
      </c>
      <c r="E137" s="16">
        <v>6452228.0199999996</v>
      </c>
      <c r="F137" s="16">
        <v>1430418.48</v>
      </c>
      <c r="G137" s="16">
        <v>1131372.58</v>
      </c>
      <c r="H137" s="16">
        <v>32499091.280000001</v>
      </c>
      <c r="I137" s="16">
        <v>3248483.36</v>
      </c>
      <c r="J137" s="16">
        <v>35516250.219999999</v>
      </c>
      <c r="K137" s="16">
        <v>0</v>
      </c>
      <c r="L137" s="16">
        <v>0</v>
      </c>
      <c r="M137" s="16">
        <v>0</v>
      </c>
      <c r="N137" s="18">
        <f t="shared" si="4"/>
        <v>675818898.85477209</v>
      </c>
      <c r="O137" s="4"/>
      <c r="Q137" s="4"/>
      <c r="R137" s="4"/>
      <c r="S137" s="4"/>
      <c r="T137" s="4"/>
      <c r="U137" s="4"/>
      <c r="V137" s="4"/>
      <c r="W137" s="4"/>
      <c r="X137" s="4"/>
    </row>
    <row r="138" spans="1:24" ht="15" x14ac:dyDescent="0.2">
      <c r="A138" s="17" t="s">
        <v>133</v>
      </c>
      <c r="B138" s="16">
        <v>1679235372.5699999</v>
      </c>
      <c r="C138" s="16">
        <v>0</v>
      </c>
      <c r="D138" s="16">
        <v>163921939.95986903</v>
      </c>
      <c r="E138" s="16">
        <v>19204528.25</v>
      </c>
      <c r="F138" s="16">
        <v>12454268.609999999</v>
      </c>
      <c r="G138" s="16">
        <v>4416704.4800000004</v>
      </c>
      <c r="H138" s="16">
        <v>96730883.540000007</v>
      </c>
      <c r="I138" s="16">
        <v>28283670.02</v>
      </c>
      <c r="J138" s="16">
        <v>129048158.13999997</v>
      </c>
      <c r="K138" s="16">
        <v>0</v>
      </c>
      <c r="L138" s="16">
        <v>0</v>
      </c>
      <c r="M138" s="16">
        <v>0</v>
      </c>
      <c r="N138" s="18">
        <f t="shared" si="4"/>
        <v>2133295525.5698688</v>
      </c>
      <c r="O138" s="4"/>
      <c r="Q138" s="4"/>
      <c r="R138" s="4"/>
      <c r="S138" s="4"/>
      <c r="T138" s="4"/>
      <c r="U138" s="4"/>
      <c r="V138" s="4"/>
      <c r="W138" s="4"/>
      <c r="X138" s="4"/>
    </row>
    <row r="139" spans="1:24" ht="15" x14ac:dyDescent="0.2">
      <c r="A139" s="17" t="s">
        <v>134</v>
      </c>
      <c r="B139" s="16">
        <v>5540121892.5699997</v>
      </c>
      <c r="C139" s="16">
        <v>0</v>
      </c>
      <c r="D139" s="16">
        <v>38269233.979999989</v>
      </c>
      <c r="E139" s="16">
        <v>65350912.409999996</v>
      </c>
      <c r="F139" s="16">
        <v>64052489.170000002</v>
      </c>
      <c r="G139" s="16">
        <v>51083715.937602721</v>
      </c>
      <c r="H139" s="16">
        <v>329164632.98000002</v>
      </c>
      <c r="I139" s="16">
        <v>145463336.62</v>
      </c>
      <c r="J139" s="16">
        <v>230422794.25</v>
      </c>
      <c r="K139" s="16">
        <v>0</v>
      </c>
      <c r="L139" s="16">
        <v>0</v>
      </c>
      <c r="M139" s="16">
        <v>0</v>
      </c>
      <c r="N139" s="18">
        <f t="shared" si="4"/>
        <v>6463929007.9176016</v>
      </c>
      <c r="O139" s="4"/>
      <c r="Q139" s="4"/>
      <c r="R139" s="4"/>
      <c r="S139" s="4"/>
      <c r="T139" s="4"/>
      <c r="U139" s="4"/>
      <c r="V139" s="4"/>
      <c r="W139" s="4"/>
      <c r="X139" s="4"/>
    </row>
    <row r="140" spans="1:24" ht="15" x14ac:dyDescent="0.2">
      <c r="A140" s="17" t="s">
        <v>135</v>
      </c>
      <c r="B140" s="16">
        <v>1700629450.9099998</v>
      </c>
      <c r="C140" s="16">
        <v>0</v>
      </c>
      <c r="D140" s="16">
        <v>4776007.1599999992</v>
      </c>
      <c r="E140" s="16">
        <v>19589852.52</v>
      </c>
      <c r="F140" s="16">
        <v>10563090.33</v>
      </c>
      <c r="G140" s="16">
        <v>4656033.29</v>
      </c>
      <c r="H140" s="16">
        <v>98671715.189999998</v>
      </c>
      <c r="I140" s="16">
        <v>23988800.190000001</v>
      </c>
      <c r="J140" s="16">
        <v>58244395.770000003</v>
      </c>
      <c r="K140" s="16">
        <v>0</v>
      </c>
      <c r="L140" s="16">
        <v>0</v>
      </c>
      <c r="M140" s="16">
        <v>0</v>
      </c>
      <c r="N140" s="18">
        <f t="shared" si="4"/>
        <v>1921119345.3599999</v>
      </c>
      <c r="O140" s="4"/>
      <c r="Q140" s="4"/>
      <c r="R140" s="4"/>
      <c r="S140" s="4"/>
      <c r="T140" s="4"/>
      <c r="U140" s="4"/>
      <c r="V140" s="4"/>
      <c r="W140" s="4"/>
      <c r="X140" s="4"/>
    </row>
    <row r="141" spans="1:24" ht="15" x14ac:dyDescent="0.2">
      <c r="A141" s="17" t="s">
        <v>136</v>
      </c>
      <c r="B141" s="16">
        <v>1926810988.52</v>
      </c>
      <c r="C141" s="16">
        <v>0</v>
      </c>
      <c r="D141" s="16">
        <v>67125917.981324345</v>
      </c>
      <c r="E141" s="16">
        <v>22130442.990000002</v>
      </c>
      <c r="F141" s="16">
        <v>15232581.43</v>
      </c>
      <c r="G141" s="16">
        <v>4068589.84</v>
      </c>
      <c r="H141" s="16">
        <v>111468361.84</v>
      </c>
      <c r="I141" s="16">
        <v>34593224.240000002</v>
      </c>
      <c r="J141" s="16">
        <v>161983477.92000002</v>
      </c>
      <c r="K141" s="16">
        <v>0</v>
      </c>
      <c r="L141" s="16">
        <v>0</v>
      </c>
      <c r="M141" s="16">
        <v>0</v>
      </c>
      <c r="N141" s="18">
        <f t="shared" si="4"/>
        <v>2343413584.7613244</v>
      </c>
      <c r="O141" s="4"/>
      <c r="Q141" s="4"/>
      <c r="R141" s="4"/>
      <c r="S141" s="4"/>
      <c r="T141" s="4"/>
      <c r="U141" s="4"/>
      <c r="V141" s="4"/>
      <c r="W141" s="4"/>
      <c r="X141" s="4"/>
    </row>
    <row r="142" spans="1:24" ht="15" x14ac:dyDescent="0.2">
      <c r="A142" s="17" t="s">
        <v>137</v>
      </c>
      <c r="B142" s="16">
        <v>1995170335.5300002</v>
      </c>
      <c r="C142" s="16">
        <v>0</v>
      </c>
      <c r="D142" s="16">
        <v>48749154.113789693</v>
      </c>
      <c r="E142" s="16">
        <v>25546173.52</v>
      </c>
      <c r="F142" s="16">
        <v>65489784.659999996</v>
      </c>
      <c r="G142" s="16">
        <v>16426659.51</v>
      </c>
      <c r="H142" s="16">
        <v>113295270.59999999</v>
      </c>
      <c r="I142" s="16">
        <v>148727437.66999999</v>
      </c>
      <c r="J142" s="16">
        <v>219576514.18999994</v>
      </c>
      <c r="K142" s="16">
        <v>0</v>
      </c>
      <c r="L142" s="16">
        <v>0</v>
      </c>
      <c r="M142" s="16">
        <v>0</v>
      </c>
      <c r="N142" s="18">
        <f t="shared" si="4"/>
        <v>2632981329.7937903</v>
      </c>
      <c r="O142" s="4"/>
      <c r="Q142" s="4"/>
      <c r="R142" s="4"/>
      <c r="S142" s="4"/>
      <c r="T142" s="4"/>
      <c r="U142" s="4"/>
      <c r="V142" s="4"/>
      <c r="W142" s="4"/>
      <c r="X142" s="4"/>
    </row>
    <row r="143" spans="1:24" ht="24.75" customHeight="1" x14ac:dyDescent="0.2">
      <c r="A143" s="22" t="s">
        <v>138</v>
      </c>
      <c r="B143" s="23">
        <f t="shared" ref="B143:I143" si="5">SUM(B8:B142)</f>
        <v>363227136039.45996</v>
      </c>
      <c r="C143" s="23">
        <f t="shared" si="5"/>
        <v>0</v>
      </c>
      <c r="D143" s="23">
        <f t="shared" si="5"/>
        <v>9970355203.3413563</v>
      </c>
      <c r="E143" s="23">
        <f t="shared" si="5"/>
        <v>4418156296.8180008</v>
      </c>
      <c r="F143" s="23">
        <f t="shared" si="5"/>
        <v>6877011936.3100033</v>
      </c>
      <c r="G143" s="23">
        <f t="shared" si="5"/>
        <v>2175716491.2100015</v>
      </c>
      <c r="H143" s="23">
        <f t="shared" si="5"/>
        <v>20713251294.179996</v>
      </c>
      <c r="I143" s="23">
        <f t="shared" si="5"/>
        <v>15617708460.049999</v>
      </c>
      <c r="J143" s="23">
        <f t="shared" ref="J143:L143" si="6">SUM(J8:J142)</f>
        <v>27230750007.23</v>
      </c>
      <c r="K143" s="23">
        <f t="shared" si="6"/>
        <v>0</v>
      </c>
      <c r="L143" s="23">
        <f t="shared" si="6"/>
        <v>0</v>
      </c>
      <c r="M143" s="23">
        <f t="shared" ref="M143" si="7">SUM(M8:M142)</f>
        <v>0</v>
      </c>
      <c r="N143" s="23">
        <f>SUM(N8:N142)</f>
        <v>450230085728.59937</v>
      </c>
      <c r="O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5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4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44AEAC"/>
  </sheetPr>
  <dimension ref="A1:X275"/>
  <sheetViews>
    <sheetView showGridLines="0" zoomScale="80" zoomScaleNormal="80" workbookViewId="0"/>
  </sheetViews>
  <sheetFormatPr baseColWidth="10" defaultColWidth="12" defaultRowHeight="14.25" x14ac:dyDescent="0.2"/>
  <cols>
    <col min="1" max="1" width="41.83203125" style="11" customWidth="1"/>
    <col min="2" max="2" width="25.33203125" style="1" customWidth="1"/>
    <col min="3" max="3" width="22.33203125" style="1" hidden="1" customWidth="1"/>
    <col min="4" max="10" width="22.33203125" style="1" customWidth="1"/>
    <col min="11" max="11" width="22.33203125" style="1" hidden="1" customWidth="1"/>
    <col min="12" max="12" width="22.5" style="1" hidden="1" customWidth="1"/>
    <col min="13" max="13" width="22.33203125" style="1" hidden="1" customWidth="1"/>
    <col min="14" max="14" width="23.83203125" style="1" customWidth="1"/>
    <col min="15" max="16384" width="12" style="1"/>
  </cols>
  <sheetData>
    <row r="1" spans="1:24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4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4" ht="17.25" customHeight="1" x14ac:dyDescent="0.25">
      <c r="A4" s="21" t="s">
        <v>175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4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4" ht="18.75" customHeight="1" x14ac:dyDescent="0.2">
      <c r="A6" s="33" t="s">
        <v>2</v>
      </c>
      <c r="B6" s="34" t="s">
        <v>176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4" ht="60" customHeight="1" x14ac:dyDescent="0.2">
      <c r="A7" s="33"/>
      <c r="B7" s="19" t="s">
        <v>139</v>
      </c>
      <c r="C7" s="19" t="s">
        <v>177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/>
      <c r="L7" s="19"/>
      <c r="M7" s="19"/>
      <c r="N7" s="20" t="s">
        <v>140</v>
      </c>
    </row>
    <row r="8" spans="1:24" ht="18" customHeight="1" x14ac:dyDescent="0.2">
      <c r="A8" s="17" t="s">
        <v>3</v>
      </c>
      <c r="B8" s="16">
        <v>1469129563.5</v>
      </c>
      <c r="C8" s="16">
        <v>0</v>
      </c>
      <c r="D8" s="16">
        <v>43663702.000239059</v>
      </c>
      <c r="E8" s="16">
        <v>8606924.6099999994</v>
      </c>
      <c r="F8" s="16">
        <v>3884503.19</v>
      </c>
      <c r="G8" s="16">
        <v>1680766.63</v>
      </c>
      <c r="H8" s="16">
        <v>98269932.950000003</v>
      </c>
      <c r="I8" s="16">
        <v>12966593.939999999</v>
      </c>
      <c r="J8" s="16">
        <v>163593632.16999999</v>
      </c>
      <c r="K8" s="16"/>
      <c r="L8" s="16"/>
      <c r="M8" s="16"/>
      <c r="N8" s="18">
        <f t="shared" ref="N8:N39" si="0">SUM(B8:M8)</f>
        <v>1801795618.9902394</v>
      </c>
      <c r="P8" s="4"/>
      <c r="Q8" s="4"/>
      <c r="R8" s="4"/>
      <c r="S8" s="4"/>
      <c r="T8" s="4"/>
      <c r="U8" s="4"/>
      <c r="V8" s="4"/>
      <c r="W8" s="4"/>
      <c r="X8" s="4"/>
    </row>
    <row r="9" spans="1:24" ht="18" customHeight="1" x14ac:dyDescent="0.2">
      <c r="A9" s="17" t="s">
        <v>4</v>
      </c>
      <c r="B9" s="16">
        <v>770717177.37000012</v>
      </c>
      <c r="C9" s="16">
        <v>0</v>
      </c>
      <c r="D9" s="16">
        <v>29609128.189413227</v>
      </c>
      <c r="E9" s="16">
        <v>4773705.58</v>
      </c>
      <c r="F9" s="16">
        <v>2721564.97</v>
      </c>
      <c r="G9" s="16">
        <v>1243767.31</v>
      </c>
      <c r="H9" s="16">
        <v>51553196.689999998</v>
      </c>
      <c r="I9" s="16">
        <v>9084669.5399999991</v>
      </c>
      <c r="J9" s="16">
        <v>124061415.62999995</v>
      </c>
      <c r="K9" s="16"/>
      <c r="L9" s="16"/>
      <c r="M9" s="16"/>
      <c r="N9" s="18">
        <f t="shared" si="0"/>
        <v>993764625.27941334</v>
      </c>
      <c r="P9" s="4"/>
      <c r="Q9" s="4"/>
      <c r="R9" s="4"/>
      <c r="S9" s="4"/>
      <c r="T9" s="4"/>
      <c r="U9" s="4"/>
      <c r="V9" s="4"/>
      <c r="W9" s="4"/>
      <c r="X9" s="4"/>
    </row>
    <row r="10" spans="1:24" ht="18" customHeight="1" x14ac:dyDescent="0.2">
      <c r="A10" s="17" t="s">
        <v>5</v>
      </c>
      <c r="B10" s="16">
        <v>817745725.72000003</v>
      </c>
      <c r="C10" s="16">
        <v>0</v>
      </c>
      <c r="D10" s="16">
        <v>16517433.521762226</v>
      </c>
      <c r="E10" s="16">
        <v>5092567.83</v>
      </c>
      <c r="F10" s="16">
        <v>1901235.1</v>
      </c>
      <c r="G10" s="16">
        <v>1243767.31</v>
      </c>
      <c r="H10" s="16">
        <v>54698931.689999998</v>
      </c>
      <c r="I10" s="16">
        <v>6346382.6200000001</v>
      </c>
      <c r="J10" s="16">
        <v>73323621.63000001</v>
      </c>
      <c r="K10" s="16"/>
      <c r="L10" s="16"/>
      <c r="M10" s="16"/>
      <c r="N10" s="18">
        <f t="shared" si="0"/>
        <v>976869665.42176223</v>
      </c>
      <c r="P10" s="4"/>
      <c r="Q10" s="4"/>
      <c r="R10" s="4"/>
      <c r="S10" s="4"/>
      <c r="T10" s="4"/>
      <c r="U10" s="4"/>
      <c r="V10" s="4"/>
      <c r="W10" s="4"/>
      <c r="X10" s="4"/>
    </row>
    <row r="11" spans="1:24" ht="18" customHeight="1" x14ac:dyDescent="0.2">
      <c r="A11" s="17" t="s">
        <v>6</v>
      </c>
      <c r="B11" s="16">
        <v>6440540476.71</v>
      </c>
      <c r="C11" s="16">
        <v>0</v>
      </c>
      <c r="D11" s="16">
        <v>51622693.409297884</v>
      </c>
      <c r="E11" s="16">
        <v>71313849.230000004</v>
      </c>
      <c r="F11" s="16">
        <v>204069118.25999999</v>
      </c>
      <c r="G11" s="16">
        <v>102668001.83321571</v>
      </c>
      <c r="H11" s="16">
        <v>430807123.13</v>
      </c>
      <c r="I11" s="16">
        <v>681189140.02999997</v>
      </c>
      <c r="J11" s="16">
        <v>1379521207.8399997</v>
      </c>
      <c r="K11" s="16"/>
      <c r="L11" s="16"/>
      <c r="M11" s="16"/>
      <c r="N11" s="18">
        <f t="shared" si="0"/>
        <v>9361731610.4425125</v>
      </c>
      <c r="P11" s="4"/>
      <c r="Q11" s="4"/>
      <c r="R11" s="4"/>
      <c r="S11" s="4"/>
      <c r="T11" s="4"/>
      <c r="U11" s="4"/>
      <c r="V11" s="4"/>
      <c r="W11" s="4"/>
      <c r="X11" s="4"/>
    </row>
    <row r="12" spans="1:24" ht="18" customHeight="1" x14ac:dyDescent="0.2">
      <c r="A12" s="17" t="s">
        <v>7</v>
      </c>
      <c r="B12" s="16">
        <v>843534541.42000008</v>
      </c>
      <c r="C12" s="16">
        <v>0</v>
      </c>
      <c r="D12" s="16">
        <v>17612807.709535275</v>
      </c>
      <c r="E12" s="16">
        <v>5199378.83</v>
      </c>
      <c r="F12" s="16">
        <v>6977629.3399999999</v>
      </c>
      <c r="G12" s="16">
        <v>3092610.6</v>
      </c>
      <c r="H12" s="16">
        <v>56423943.049999997</v>
      </c>
      <c r="I12" s="16">
        <v>23291546.379999999</v>
      </c>
      <c r="J12" s="16">
        <v>148744877.44000006</v>
      </c>
      <c r="K12" s="16"/>
      <c r="L12" s="16"/>
      <c r="M12" s="16"/>
      <c r="N12" s="18">
        <f t="shared" si="0"/>
        <v>1104877334.7695355</v>
      </c>
      <c r="P12" s="4"/>
      <c r="Q12" s="4"/>
      <c r="R12" s="4"/>
      <c r="S12" s="4"/>
      <c r="T12" s="4"/>
      <c r="U12" s="4"/>
      <c r="V12" s="4"/>
      <c r="W12" s="4"/>
      <c r="X12" s="4"/>
    </row>
    <row r="13" spans="1:24" ht="18" customHeight="1" x14ac:dyDescent="0.2">
      <c r="A13" s="17" t="s">
        <v>8</v>
      </c>
      <c r="B13" s="16">
        <v>3839105707.46</v>
      </c>
      <c r="C13" s="16">
        <v>0</v>
      </c>
      <c r="D13" s="16">
        <v>43790437.214776009</v>
      </c>
      <c r="E13" s="16">
        <v>42349981.200000003</v>
      </c>
      <c r="F13" s="16">
        <v>99235786.640000001</v>
      </c>
      <c r="G13" s="16">
        <v>0</v>
      </c>
      <c r="H13" s="16">
        <v>256797405.62</v>
      </c>
      <c r="I13" s="16">
        <v>331252179.35000002</v>
      </c>
      <c r="J13" s="16">
        <v>1025773787.6500003</v>
      </c>
      <c r="K13" s="16"/>
      <c r="L13" s="16"/>
      <c r="M13" s="16"/>
      <c r="N13" s="18">
        <f t="shared" si="0"/>
        <v>5638305285.1347761</v>
      </c>
      <c r="P13" s="4"/>
      <c r="Q13" s="4"/>
      <c r="R13" s="4"/>
      <c r="S13" s="4"/>
      <c r="T13" s="4"/>
      <c r="U13" s="4"/>
      <c r="V13" s="4"/>
      <c r="W13" s="4"/>
      <c r="X13" s="4"/>
    </row>
    <row r="14" spans="1:24" ht="18" customHeight="1" x14ac:dyDescent="0.2">
      <c r="A14" s="17" t="s">
        <v>9</v>
      </c>
      <c r="B14" s="16">
        <v>1344606424.8800001</v>
      </c>
      <c r="C14" s="16">
        <v>0</v>
      </c>
      <c r="D14" s="16">
        <v>56369439.325716823</v>
      </c>
      <c r="E14" s="16">
        <v>8513464.9800000004</v>
      </c>
      <c r="F14" s="16">
        <v>4516639.74</v>
      </c>
      <c r="G14" s="16">
        <v>2100958.29</v>
      </c>
      <c r="H14" s="16">
        <v>89940592.370000005</v>
      </c>
      <c r="I14" s="16">
        <v>15076685.619999999</v>
      </c>
      <c r="J14" s="16">
        <v>220208440.8599999</v>
      </c>
      <c r="K14" s="16"/>
      <c r="L14" s="16"/>
      <c r="M14" s="16"/>
      <c r="N14" s="18">
        <f t="shared" si="0"/>
        <v>1741332646.0657165</v>
      </c>
      <c r="P14" s="4"/>
      <c r="Q14" s="4"/>
      <c r="R14" s="4"/>
      <c r="S14" s="4"/>
      <c r="T14" s="4"/>
      <c r="U14" s="4"/>
      <c r="V14" s="4"/>
      <c r="W14" s="4"/>
      <c r="X14" s="4"/>
    </row>
    <row r="15" spans="1:24" ht="18" customHeight="1" x14ac:dyDescent="0.2">
      <c r="A15" s="17" t="s">
        <v>10</v>
      </c>
      <c r="B15" s="16">
        <v>2258235287.79</v>
      </c>
      <c r="C15" s="16">
        <v>0</v>
      </c>
      <c r="D15" s="16">
        <v>82450979.008468106</v>
      </c>
      <c r="E15" s="16">
        <v>14405937.25</v>
      </c>
      <c r="F15" s="16">
        <v>16826413.219999999</v>
      </c>
      <c r="G15" s="16">
        <v>7277719.5099999998</v>
      </c>
      <c r="H15" s="16">
        <v>151053137.72999999</v>
      </c>
      <c r="I15" s="16">
        <v>56167096.979999997</v>
      </c>
      <c r="J15" s="16">
        <v>351345667.9199999</v>
      </c>
      <c r="K15" s="16"/>
      <c r="L15" s="16"/>
      <c r="M15" s="16"/>
      <c r="N15" s="18">
        <f t="shared" si="0"/>
        <v>2937762239.4084682</v>
      </c>
      <c r="P15" s="4"/>
      <c r="Q15" s="4"/>
      <c r="R15" s="4"/>
      <c r="S15" s="4"/>
      <c r="T15" s="4"/>
      <c r="U15" s="4"/>
      <c r="V15" s="4"/>
      <c r="W15" s="4"/>
      <c r="X15" s="4"/>
    </row>
    <row r="16" spans="1:24" ht="18" customHeight="1" x14ac:dyDescent="0.2">
      <c r="A16" s="17" t="s">
        <v>11</v>
      </c>
      <c r="B16" s="16">
        <v>4253456691.5</v>
      </c>
      <c r="C16" s="16">
        <v>0</v>
      </c>
      <c r="D16" s="16">
        <v>75167938.005126715</v>
      </c>
      <c r="E16" s="16">
        <v>47178829.789999999</v>
      </c>
      <c r="F16" s="16">
        <v>62755234.880000003</v>
      </c>
      <c r="G16" s="16">
        <v>32287526.969999999</v>
      </c>
      <c r="H16" s="16">
        <v>284513302.44999999</v>
      </c>
      <c r="I16" s="16">
        <v>209478949.30000001</v>
      </c>
      <c r="J16" s="16">
        <v>872787894.08999968</v>
      </c>
      <c r="K16" s="16"/>
      <c r="L16" s="16"/>
      <c r="M16" s="16"/>
      <c r="N16" s="18">
        <f t="shared" si="0"/>
        <v>5837626366.9851265</v>
      </c>
      <c r="P16" s="4"/>
      <c r="Q16" s="4"/>
      <c r="R16" s="4"/>
      <c r="S16" s="4"/>
      <c r="T16" s="4"/>
      <c r="U16" s="4"/>
      <c r="V16" s="4"/>
      <c r="W16" s="4"/>
      <c r="X16" s="4"/>
    </row>
    <row r="17" spans="1:24" ht="15" x14ac:dyDescent="0.2">
      <c r="A17" s="17" t="s">
        <v>12</v>
      </c>
      <c r="B17" s="16">
        <v>1642058789.71</v>
      </c>
      <c r="C17" s="16">
        <v>0</v>
      </c>
      <c r="D17" s="16">
        <v>83163191.500764087</v>
      </c>
      <c r="E17" s="16">
        <v>10109150.630000001</v>
      </c>
      <c r="F17" s="16">
        <v>12888829.859999999</v>
      </c>
      <c r="G17" s="16">
        <v>4706146.5599999996</v>
      </c>
      <c r="H17" s="16">
        <v>109837151.98999999</v>
      </c>
      <c r="I17" s="16">
        <v>43023319.770000003</v>
      </c>
      <c r="J17" s="16">
        <v>236575186.1100001</v>
      </c>
      <c r="K17" s="16"/>
      <c r="L17" s="16"/>
      <c r="M17" s="16"/>
      <c r="N17" s="18">
        <f t="shared" si="0"/>
        <v>2142361766.1307642</v>
      </c>
      <c r="P17" s="4"/>
      <c r="Q17" s="4"/>
      <c r="R17" s="4"/>
      <c r="S17" s="4"/>
      <c r="T17" s="4"/>
      <c r="U17" s="4"/>
      <c r="V17" s="4"/>
      <c r="W17" s="4"/>
      <c r="X17" s="4"/>
    </row>
    <row r="18" spans="1:24" ht="15" x14ac:dyDescent="0.2">
      <c r="A18" s="17" t="s">
        <v>13</v>
      </c>
      <c r="B18" s="16">
        <v>926218930.5999999</v>
      </c>
      <c r="C18" s="16">
        <v>0</v>
      </c>
      <c r="D18" s="16">
        <v>29399416.172681868</v>
      </c>
      <c r="E18" s="16">
        <v>5676101.46</v>
      </c>
      <c r="F18" s="16">
        <v>8685845.6500000004</v>
      </c>
      <c r="G18" s="16">
        <v>3832147.92</v>
      </c>
      <c r="H18" s="16">
        <v>61954693.759999998</v>
      </c>
      <c r="I18" s="16">
        <v>28993626.199999999</v>
      </c>
      <c r="J18" s="16">
        <v>192873694.17999995</v>
      </c>
      <c r="K18" s="16"/>
      <c r="L18" s="16"/>
      <c r="M18" s="16"/>
      <c r="N18" s="18">
        <f t="shared" si="0"/>
        <v>1257634455.9426818</v>
      </c>
      <c r="P18" s="4"/>
      <c r="Q18" s="4"/>
      <c r="R18" s="4"/>
      <c r="S18" s="4"/>
      <c r="T18" s="4"/>
      <c r="U18" s="4"/>
      <c r="V18" s="4"/>
      <c r="W18" s="4"/>
      <c r="X18" s="4"/>
    </row>
    <row r="19" spans="1:24" ht="15" x14ac:dyDescent="0.2">
      <c r="A19" s="17" t="s">
        <v>14</v>
      </c>
      <c r="B19" s="16">
        <v>1504016545.2199998</v>
      </c>
      <c r="C19" s="16">
        <v>0</v>
      </c>
      <c r="D19" s="16">
        <v>43074803.444761291</v>
      </c>
      <c r="E19" s="16">
        <v>9148440.6699999999</v>
      </c>
      <c r="F19" s="16">
        <v>3508116.55</v>
      </c>
      <c r="G19" s="16">
        <v>2134573.62</v>
      </c>
      <c r="H19" s="16">
        <v>100603519.75</v>
      </c>
      <c r="I19" s="16">
        <v>11710203.470000001</v>
      </c>
      <c r="J19" s="16">
        <v>167806575.75999993</v>
      </c>
      <c r="K19" s="16"/>
      <c r="L19" s="16"/>
      <c r="M19" s="16"/>
      <c r="N19" s="18">
        <f t="shared" si="0"/>
        <v>1842002778.484761</v>
      </c>
      <c r="P19" s="4"/>
      <c r="Q19" s="4"/>
      <c r="R19" s="4"/>
      <c r="S19" s="4"/>
      <c r="T19" s="4"/>
      <c r="U19" s="4"/>
      <c r="V19" s="4"/>
      <c r="W19" s="4"/>
      <c r="X19" s="4"/>
    </row>
    <row r="20" spans="1:24" ht="15" x14ac:dyDescent="0.2">
      <c r="A20" s="17" t="s">
        <v>15</v>
      </c>
      <c r="B20" s="16">
        <v>5376471516.3100004</v>
      </c>
      <c r="C20" s="16">
        <v>0</v>
      </c>
      <c r="D20" s="16">
        <v>29012225.064005572</v>
      </c>
      <c r="E20" s="16">
        <v>59203769.590000004</v>
      </c>
      <c r="F20" s="16">
        <v>111970201.47</v>
      </c>
      <c r="G20" s="16">
        <v>50227604.230390951</v>
      </c>
      <c r="H20" s="16">
        <v>359631654.35000002</v>
      </c>
      <c r="I20" s="16">
        <v>373760056.88</v>
      </c>
      <c r="J20" s="16">
        <v>954218209.09000027</v>
      </c>
      <c r="K20" s="16"/>
      <c r="L20" s="16"/>
      <c r="M20" s="16"/>
      <c r="N20" s="18">
        <f t="shared" si="0"/>
        <v>7314495236.9843979</v>
      </c>
      <c r="P20" s="4"/>
      <c r="Q20" s="4"/>
      <c r="R20" s="4"/>
      <c r="S20" s="4"/>
      <c r="T20" s="4"/>
      <c r="U20" s="4"/>
      <c r="V20" s="4"/>
      <c r="W20" s="4"/>
      <c r="X20" s="4"/>
    </row>
    <row r="21" spans="1:24" ht="15" x14ac:dyDescent="0.2">
      <c r="A21" s="17" t="s">
        <v>16</v>
      </c>
      <c r="B21" s="16">
        <v>2321570056.27</v>
      </c>
      <c r="C21" s="16">
        <v>0</v>
      </c>
      <c r="D21" s="16">
        <v>13568656.830971932</v>
      </c>
      <c r="E21" s="16">
        <v>14222552.189999999</v>
      </c>
      <c r="F21" s="16">
        <v>29773148.719999999</v>
      </c>
      <c r="G21" s="16">
        <v>7558279.9666074105</v>
      </c>
      <c r="H21" s="16">
        <v>155289594.21000001</v>
      </c>
      <c r="I21" s="16">
        <v>99383707.590000004</v>
      </c>
      <c r="J21" s="16">
        <v>312844853.13999999</v>
      </c>
      <c r="K21" s="16"/>
      <c r="L21" s="16"/>
      <c r="M21" s="16"/>
      <c r="N21" s="18">
        <f t="shared" si="0"/>
        <v>2954210848.9175792</v>
      </c>
      <c r="P21" s="4"/>
      <c r="Q21" s="4"/>
      <c r="R21" s="4"/>
      <c r="S21" s="4"/>
      <c r="T21" s="4"/>
      <c r="U21" s="4"/>
      <c r="V21" s="4"/>
      <c r="W21" s="4"/>
      <c r="X21" s="4"/>
    </row>
    <row r="22" spans="1:24" ht="15" x14ac:dyDescent="0.2">
      <c r="A22" s="17" t="s">
        <v>17</v>
      </c>
      <c r="B22" s="16">
        <v>1944797060.8600001</v>
      </c>
      <c r="C22" s="16">
        <v>0</v>
      </c>
      <c r="D22" s="16">
        <v>41799250.891886301</v>
      </c>
      <c r="E22" s="16">
        <v>11643773.380000001</v>
      </c>
      <c r="F22" s="16">
        <v>7088615.1500000004</v>
      </c>
      <c r="G22" s="16">
        <v>3613648.26</v>
      </c>
      <c r="H22" s="16">
        <v>130087285.36</v>
      </c>
      <c r="I22" s="16">
        <v>23662020.489999998</v>
      </c>
      <c r="J22" s="16">
        <v>234929310.05000001</v>
      </c>
      <c r="K22" s="16"/>
      <c r="L22" s="16"/>
      <c r="M22" s="16"/>
      <c r="N22" s="18">
        <f t="shared" si="0"/>
        <v>2397620964.4418864</v>
      </c>
      <c r="P22" s="4"/>
      <c r="Q22" s="4"/>
      <c r="R22" s="4"/>
      <c r="S22" s="4"/>
      <c r="T22" s="4"/>
      <c r="U22" s="4"/>
      <c r="V22" s="4"/>
      <c r="W22" s="4"/>
      <c r="X22" s="4"/>
    </row>
    <row r="23" spans="1:24" ht="15" x14ac:dyDescent="0.2">
      <c r="A23" s="17" t="s">
        <v>18</v>
      </c>
      <c r="B23" s="16">
        <v>1768375932.8799996</v>
      </c>
      <c r="C23" s="16">
        <v>0</v>
      </c>
      <c r="D23" s="16">
        <v>33459605.707380816</v>
      </c>
      <c r="E23" s="16">
        <v>10982880.32</v>
      </c>
      <c r="F23" s="16">
        <v>6794261.4900000002</v>
      </c>
      <c r="G23" s="16">
        <v>4454031.57</v>
      </c>
      <c r="H23" s="16">
        <v>118286493.34999999</v>
      </c>
      <c r="I23" s="16">
        <v>22679458.719999999</v>
      </c>
      <c r="J23" s="16">
        <v>193924850.66999993</v>
      </c>
      <c r="K23" s="16"/>
      <c r="L23" s="16"/>
      <c r="M23" s="16"/>
      <c r="N23" s="18">
        <f t="shared" si="0"/>
        <v>2158957514.7073803</v>
      </c>
      <c r="P23" s="4"/>
      <c r="Q23" s="4"/>
      <c r="R23" s="4"/>
      <c r="S23" s="4"/>
      <c r="T23" s="4"/>
      <c r="U23" s="4"/>
      <c r="V23" s="4"/>
      <c r="W23" s="4"/>
      <c r="X23" s="4"/>
    </row>
    <row r="24" spans="1:24" ht="15" x14ac:dyDescent="0.2">
      <c r="A24" s="17" t="s">
        <v>19</v>
      </c>
      <c r="B24" s="16">
        <v>576900612.24000001</v>
      </c>
      <c r="C24" s="16">
        <v>0</v>
      </c>
      <c r="D24" s="16">
        <v>23104949.058264572</v>
      </c>
      <c r="E24" s="16">
        <v>3484905.21</v>
      </c>
      <c r="F24" s="16">
        <v>7064487.7999999998</v>
      </c>
      <c r="G24" s="16">
        <v>990290.19443395676</v>
      </c>
      <c r="H24" s="16">
        <v>38588825.590000004</v>
      </c>
      <c r="I24" s="16">
        <v>23581482.640000001</v>
      </c>
      <c r="J24" s="16">
        <v>164090098.22999996</v>
      </c>
      <c r="K24" s="16"/>
      <c r="L24" s="16"/>
      <c r="M24" s="16"/>
      <c r="N24" s="18">
        <f t="shared" si="0"/>
        <v>837805650.96269846</v>
      </c>
      <c r="P24" s="4"/>
      <c r="Q24" s="4"/>
      <c r="R24" s="4"/>
      <c r="S24" s="4"/>
      <c r="T24" s="4"/>
      <c r="U24" s="4"/>
      <c r="V24" s="4"/>
      <c r="W24" s="4"/>
      <c r="X24" s="4"/>
    </row>
    <row r="25" spans="1:24" ht="15" x14ac:dyDescent="0.2">
      <c r="A25" s="17" t="s">
        <v>20</v>
      </c>
      <c r="B25" s="16">
        <v>2513464473.6399999</v>
      </c>
      <c r="C25" s="16">
        <v>0</v>
      </c>
      <c r="D25" s="16">
        <v>23848800.301121134</v>
      </c>
      <c r="E25" s="16">
        <v>13693602.119999999</v>
      </c>
      <c r="F25" s="16">
        <v>31331775.469999999</v>
      </c>
      <c r="G25" s="16">
        <v>10605637.439999999</v>
      </c>
      <c r="H25" s="16">
        <v>168125393.03</v>
      </c>
      <c r="I25" s="16">
        <v>104586452.73999999</v>
      </c>
      <c r="J25" s="16">
        <v>379326600.30000001</v>
      </c>
      <c r="K25" s="16"/>
      <c r="L25" s="16"/>
      <c r="M25" s="16"/>
      <c r="N25" s="18">
        <f t="shared" si="0"/>
        <v>3244982735.041121</v>
      </c>
      <c r="P25" s="4"/>
      <c r="Q25" s="4"/>
      <c r="R25" s="4"/>
      <c r="S25" s="4"/>
      <c r="T25" s="4"/>
      <c r="U25" s="4"/>
      <c r="V25" s="4"/>
      <c r="W25" s="4"/>
      <c r="X25" s="4"/>
    </row>
    <row r="26" spans="1:24" ht="15" x14ac:dyDescent="0.2">
      <c r="A26" s="17" t="s">
        <v>21</v>
      </c>
      <c r="B26" s="16">
        <v>973952266.47000003</v>
      </c>
      <c r="C26" s="16">
        <v>0</v>
      </c>
      <c r="D26" s="16">
        <v>22257097.164961107</v>
      </c>
      <c r="E26" s="16">
        <v>5860468.2400000002</v>
      </c>
      <c r="F26" s="16">
        <v>14249612.34</v>
      </c>
      <c r="G26" s="16">
        <v>6773489.5199999996</v>
      </c>
      <c r="H26" s="16">
        <v>65147571.939999998</v>
      </c>
      <c r="I26" s="16">
        <v>47565654.539999999</v>
      </c>
      <c r="J26" s="16">
        <v>279897180.39999998</v>
      </c>
      <c r="K26" s="16"/>
      <c r="L26" s="16"/>
      <c r="M26" s="16"/>
      <c r="N26" s="18">
        <f t="shared" si="0"/>
        <v>1415703340.6149611</v>
      </c>
      <c r="P26" s="4"/>
      <c r="Q26" s="4"/>
      <c r="R26" s="4"/>
      <c r="S26" s="4"/>
      <c r="T26" s="4"/>
      <c r="U26" s="4"/>
      <c r="V26" s="4"/>
      <c r="W26" s="4"/>
      <c r="X26" s="4"/>
    </row>
    <row r="27" spans="1:24" ht="15" x14ac:dyDescent="0.2">
      <c r="A27" s="17" t="s">
        <v>22</v>
      </c>
      <c r="B27" s="16">
        <v>482202799.62999994</v>
      </c>
      <c r="C27" s="16">
        <v>0</v>
      </c>
      <c r="D27" s="16">
        <v>13171848.012585314</v>
      </c>
      <c r="E27" s="16">
        <v>2671649.4</v>
      </c>
      <c r="F27" s="16">
        <v>3541894.84</v>
      </c>
      <c r="G27" s="16">
        <v>1529497.63</v>
      </c>
      <c r="H27" s="16">
        <v>32254498.149999999</v>
      </c>
      <c r="I27" s="16">
        <v>11822956.460000001</v>
      </c>
      <c r="J27" s="16">
        <v>75004848.070000023</v>
      </c>
      <c r="K27" s="16"/>
      <c r="L27" s="16"/>
      <c r="M27" s="16"/>
      <c r="N27" s="18">
        <f t="shared" si="0"/>
        <v>622199992.19258523</v>
      </c>
      <c r="P27" s="4"/>
      <c r="Q27" s="4"/>
      <c r="R27" s="4"/>
      <c r="S27" s="4"/>
      <c r="T27" s="4"/>
      <c r="U27" s="4"/>
      <c r="V27" s="4"/>
      <c r="W27" s="4"/>
      <c r="X27" s="4"/>
    </row>
    <row r="28" spans="1:24" ht="15" x14ac:dyDescent="0.2">
      <c r="A28" s="17" t="s">
        <v>23</v>
      </c>
      <c r="B28" s="16">
        <v>1680822102.75</v>
      </c>
      <c r="C28" s="16">
        <v>0</v>
      </c>
      <c r="D28" s="16">
        <v>38403483.067065656</v>
      </c>
      <c r="E28" s="16">
        <v>10240111.91</v>
      </c>
      <c r="F28" s="16">
        <v>4878549.97</v>
      </c>
      <c r="G28" s="16">
        <v>2218611.9500000002</v>
      </c>
      <c r="H28" s="16">
        <v>112430026.20999999</v>
      </c>
      <c r="I28" s="16">
        <v>16284753.380000001</v>
      </c>
      <c r="J28" s="16">
        <v>153350835.09</v>
      </c>
      <c r="K28" s="16"/>
      <c r="L28" s="16"/>
      <c r="M28" s="16"/>
      <c r="N28" s="18">
        <f t="shared" si="0"/>
        <v>2018628474.3270659</v>
      </c>
      <c r="P28" s="4"/>
      <c r="Q28" s="4"/>
      <c r="R28" s="4"/>
      <c r="S28" s="4"/>
      <c r="T28" s="4"/>
      <c r="U28" s="4"/>
      <c r="V28" s="4"/>
      <c r="W28" s="4"/>
      <c r="X28" s="4"/>
    </row>
    <row r="29" spans="1:24" ht="15" x14ac:dyDescent="0.2">
      <c r="A29" s="17" t="s">
        <v>24</v>
      </c>
      <c r="B29" s="16">
        <v>938776962.5999999</v>
      </c>
      <c r="C29" s="16">
        <v>0</v>
      </c>
      <c r="D29" s="16">
        <v>32321428.720159613</v>
      </c>
      <c r="E29" s="16">
        <v>5851240.0800000001</v>
      </c>
      <c r="F29" s="16">
        <v>3044871.45</v>
      </c>
      <c r="G29" s="16">
        <v>1344613.3</v>
      </c>
      <c r="H29" s="16">
        <v>62794699.299999997</v>
      </c>
      <c r="I29" s="16">
        <v>10163876.74</v>
      </c>
      <c r="J29" s="16">
        <v>136710643.62000003</v>
      </c>
      <c r="K29" s="16"/>
      <c r="L29" s="16"/>
      <c r="M29" s="16"/>
      <c r="N29" s="18">
        <f t="shared" si="0"/>
        <v>1191008335.8101597</v>
      </c>
      <c r="P29" s="4"/>
      <c r="Q29" s="4"/>
      <c r="R29" s="4"/>
      <c r="S29" s="4"/>
      <c r="T29" s="4"/>
      <c r="U29" s="4"/>
      <c r="V29" s="4"/>
      <c r="W29" s="4"/>
      <c r="X29" s="4"/>
    </row>
    <row r="30" spans="1:24" ht="15" x14ac:dyDescent="0.2">
      <c r="A30" s="17" t="s">
        <v>25</v>
      </c>
      <c r="B30" s="16">
        <v>343071338.06999999</v>
      </c>
      <c r="C30" s="16">
        <v>0</v>
      </c>
      <c r="D30" s="16">
        <v>26842839.531605002</v>
      </c>
      <c r="E30" s="16">
        <v>2052184.87</v>
      </c>
      <c r="F30" s="16">
        <v>2629881.04</v>
      </c>
      <c r="G30" s="16">
        <v>1680766.63</v>
      </c>
      <c r="H30" s="16">
        <v>22948008.280000001</v>
      </c>
      <c r="I30" s="16">
        <v>8778625.7100000009</v>
      </c>
      <c r="J30" s="16">
        <v>106203712.50000001</v>
      </c>
      <c r="K30" s="16"/>
      <c r="L30" s="16"/>
      <c r="M30" s="16"/>
      <c r="N30" s="18">
        <f t="shared" si="0"/>
        <v>514207356.63160497</v>
      </c>
      <c r="P30" s="4"/>
      <c r="Q30" s="4"/>
      <c r="R30" s="4"/>
      <c r="S30" s="4"/>
      <c r="T30" s="4"/>
      <c r="U30" s="4"/>
      <c r="V30" s="4"/>
      <c r="W30" s="4"/>
      <c r="X30" s="4"/>
    </row>
    <row r="31" spans="1:24" ht="15" x14ac:dyDescent="0.2">
      <c r="A31" s="17" t="s">
        <v>26</v>
      </c>
      <c r="B31" s="16">
        <v>564438687.63999999</v>
      </c>
      <c r="C31" s="16">
        <v>0</v>
      </c>
      <c r="D31" s="16">
        <v>18345665.921911076</v>
      </c>
      <c r="E31" s="16">
        <v>3532616.74</v>
      </c>
      <c r="F31" s="16">
        <v>3141380.84</v>
      </c>
      <c r="G31" s="16">
        <v>924421.65</v>
      </c>
      <c r="H31" s="16">
        <v>37755248.670000002</v>
      </c>
      <c r="I31" s="16">
        <v>10486028.140000001</v>
      </c>
      <c r="J31" s="16">
        <v>75269456.700000033</v>
      </c>
      <c r="K31" s="16"/>
      <c r="L31" s="16"/>
      <c r="M31" s="16"/>
      <c r="N31" s="18">
        <f t="shared" si="0"/>
        <v>713893506.30191112</v>
      </c>
      <c r="P31" s="4"/>
      <c r="Q31" s="4"/>
      <c r="R31" s="4"/>
      <c r="S31" s="4"/>
      <c r="T31" s="4"/>
      <c r="U31" s="4"/>
      <c r="V31" s="4"/>
      <c r="W31" s="4"/>
      <c r="X31" s="4"/>
    </row>
    <row r="32" spans="1:24" ht="15" x14ac:dyDescent="0.2">
      <c r="A32" s="17" t="s">
        <v>27</v>
      </c>
      <c r="B32" s="16">
        <v>3051121236.0099998</v>
      </c>
      <c r="C32" s="16">
        <v>0</v>
      </c>
      <c r="D32" s="16">
        <v>57776004.804548673</v>
      </c>
      <c r="E32" s="16">
        <v>16164784.560000001</v>
      </c>
      <c r="F32" s="16">
        <v>9264902.0299999993</v>
      </c>
      <c r="G32" s="16">
        <v>5059107.5599999996</v>
      </c>
      <c r="H32" s="16">
        <v>204089201.33000001</v>
      </c>
      <c r="I32" s="16">
        <v>30926534.609999999</v>
      </c>
      <c r="J32" s="16">
        <v>235513632.47999996</v>
      </c>
      <c r="K32" s="16"/>
      <c r="L32" s="16"/>
      <c r="M32" s="16"/>
      <c r="N32" s="18">
        <f t="shared" si="0"/>
        <v>3609915403.3845487</v>
      </c>
      <c r="P32" s="4"/>
      <c r="Q32" s="4"/>
      <c r="R32" s="4"/>
      <c r="S32" s="4"/>
      <c r="T32" s="4"/>
      <c r="U32" s="4"/>
      <c r="V32" s="4"/>
      <c r="W32" s="4"/>
      <c r="X32" s="4"/>
    </row>
    <row r="33" spans="1:24" ht="15" x14ac:dyDescent="0.2">
      <c r="A33" s="17" t="s">
        <v>28</v>
      </c>
      <c r="B33" s="16">
        <v>1587277578.75</v>
      </c>
      <c r="C33" s="16">
        <v>0</v>
      </c>
      <c r="D33" s="16">
        <v>40614289.930675544</v>
      </c>
      <c r="E33" s="16">
        <v>10123287.380000001</v>
      </c>
      <c r="F33" s="16">
        <v>6799086.96</v>
      </c>
      <c r="G33" s="16">
        <v>4067455.25</v>
      </c>
      <c r="H33" s="16">
        <v>106172842.14</v>
      </c>
      <c r="I33" s="16">
        <v>22695566.289999999</v>
      </c>
      <c r="J33" s="16">
        <v>224649602.9199999</v>
      </c>
      <c r="K33" s="16"/>
      <c r="L33" s="16"/>
      <c r="M33" s="16"/>
      <c r="N33" s="18">
        <f t="shared" si="0"/>
        <v>2002399709.6206756</v>
      </c>
      <c r="P33" s="4"/>
      <c r="Q33" s="4"/>
      <c r="R33" s="4"/>
      <c r="S33" s="4"/>
      <c r="T33" s="4"/>
      <c r="U33" s="4"/>
      <c r="V33" s="4"/>
      <c r="W33" s="4"/>
      <c r="X33" s="4"/>
    </row>
    <row r="34" spans="1:24" ht="15" x14ac:dyDescent="0.2">
      <c r="A34" s="17" t="s">
        <v>29</v>
      </c>
      <c r="B34" s="16">
        <v>2220304905.4899998</v>
      </c>
      <c r="C34" s="16">
        <v>0</v>
      </c>
      <c r="D34" s="16">
        <v>31682507.660640016</v>
      </c>
      <c r="E34" s="16">
        <v>25002381.68</v>
      </c>
      <c r="F34" s="16">
        <v>9887387.6400000006</v>
      </c>
      <c r="G34" s="16">
        <v>6790297.1900000004</v>
      </c>
      <c r="H34" s="16">
        <v>148515978.16999999</v>
      </c>
      <c r="I34" s="16">
        <v>33004411.16</v>
      </c>
      <c r="J34" s="16">
        <v>282586414.99999994</v>
      </c>
      <c r="K34" s="16"/>
      <c r="L34" s="16"/>
      <c r="M34" s="16"/>
      <c r="N34" s="18">
        <f t="shared" si="0"/>
        <v>2757774283.9906397</v>
      </c>
      <c r="P34" s="4"/>
      <c r="Q34" s="4"/>
      <c r="R34" s="4"/>
      <c r="S34" s="4"/>
      <c r="T34" s="4"/>
      <c r="U34" s="4"/>
      <c r="V34" s="4"/>
      <c r="W34" s="4"/>
      <c r="X34" s="4"/>
    </row>
    <row r="35" spans="1:24" ht="15" x14ac:dyDescent="0.2">
      <c r="A35" s="17" t="s">
        <v>30</v>
      </c>
      <c r="B35" s="16">
        <v>1123431290.0999999</v>
      </c>
      <c r="C35" s="16">
        <v>0</v>
      </c>
      <c r="D35" s="16">
        <v>22864089.839535274</v>
      </c>
      <c r="E35" s="16">
        <v>6828442.9199999999</v>
      </c>
      <c r="F35" s="16">
        <v>6181426.8200000003</v>
      </c>
      <c r="G35" s="16">
        <v>2638803.61</v>
      </c>
      <c r="H35" s="16">
        <v>75146209.219999999</v>
      </c>
      <c r="I35" s="16">
        <v>20633797.309999999</v>
      </c>
      <c r="J35" s="16">
        <v>101562404.44</v>
      </c>
      <c r="K35" s="16"/>
      <c r="L35" s="16"/>
      <c r="M35" s="16"/>
      <c r="N35" s="18">
        <f t="shared" si="0"/>
        <v>1359286464.2595351</v>
      </c>
      <c r="P35" s="4"/>
      <c r="Q35" s="4"/>
      <c r="R35" s="4"/>
      <c r="S35" s="4"/>
      <c r="T35" s="4"/>
      <c r="U35" s="4"/>
      <c r="V35" s="4"/>
      <c r="W35" s="4"/>
      <c r="X35" s="4"/>
    </row>
    <row r="36" spans="1:24" ht="15" x14ac:dyDescent="0.2">
      <c r="A36" s="17" t="s">
        <v>31</v>
      </c>
      <c r="B36" s="16">
        <v>1275248926.8099999</v>
      </c>
      <c r="C36" s="16">
        <v>0</v>
      </c>
      <c r="D36" s="16">
        <v>34021646.46083349</v>
      </c>
      <c r="E36" s="16">
        <v>7834704.6399999997</v>
      </c>
      <c r="F36" s="16">
        <v>3889328.66</v>
      </c>
      <c r="G36" s="16">
        <v>1529497.63</v>
      </c>
      <c r="H36" s="16">
        <v>85301276.099999994</v>
      </c>
      <c r="I36" s="16">
        <v>12982701.51</v>
      </c>
      <c r="J36" s="16">
        <v>102282930.11999999</v>
      </c>
      <c r="K36" s="16"/>
      <c r="L36" s="16"/>
      <c r="M36" s="16"/>
      <c r="N36" s="18">
        <f t="shared" si="0"/>
        <v>1523091011.9308336</v>
      </c>
      <c r="P36" s="4"/>
      <c r="Q36" s="4"/>
      <c r="R36" s="4"/>
      <c r="S36" s="4"/>
      <c r="T36" s="4"/>
      <c r="U36" s="4"/>
      <c r="V36" s="4"/>
      <c r="W36" s="4"/>
      <c r="X36" s="4"/>
    </row>
    <row r="37" spans="1:24" ht="15" x14ac:dyDescent="0.2">
      <c r="A37" s="17" t="s">
        <v>32</v>
      </c>
      <c r="B37" s="16">
        <v>1302415281.7</v>
      </c>
      <c r="C37" s="16">
        <v>0</v>
      </c>
      <c r="D37" s="16">
        <v>36813441.975891158</v>
      </c>
      <c r="E37" s="16">
        <v>8157690.1100000003</v>
      </c>
      <c r="F37" s="16">
        <v>7214077.3600000003</v>
      </c>
      <c r="G37" s="16">
        <v>2336265.62</v>
      </c>
      <c r="H37" s="16">
        <v>87118430.930000007</v>
      </c>
      <c r="I37" s="16">
        <v>24080817.32</v>
      </c>
      <c r="J37" s="16">
        <v>173614449.14000002</v>
      </c>
      <c r="K37" s="16"/>
      <c r="L37" s="16"/>
      <c r="M37" s="16"/>
      <c r="N37" s="18">
        <f t="shared" si="0"/>
        <v>1641750454.1558909</v>
      </c>
      <c r="P37" s="4"/>
      <c r="Q37" s="4"/>
      <c r="R37" s="4"/>
      <c r="S37" s="4"/>
      <c r="T37" s="4"/>
      <c r="U37" s="4"/>
      <c r="V37" s="4"/>
      <c r="W37" s="4"/>
      <c r="X37" s="4"/>
    </row>
    <row r="38" spans="1:24" ht="15" x14ac:dyDescent="0.2">
      <c r="A38" s="17" t="s">
        <v>33</v>
      </c>
      <c r="B38" s="16">
        <v>1102031378.4400001</v>
      </c>
      <c r="C38" s="16">
        <v>0</v>
      </c>
      <c r="D38" s="16">
        <v>2748633.2965389574</v>
      </c>
      <c r="E38" s="16">
        <v>6885382.6100000003</v>
      </c>
      <c r="F38" s="16">
        <v>6446827.6600000001</v>
      </c>
      <c r="G38" s="16">
        <v>6470951.5300000003</v>
      </c>
      <c r="H38" s="16">
        <v>73714771.219999999</v>
      </c>
      <c r="I38" s="16">
        <v>21519713.670000002</v>
      </c>
      <c r="J38" s="16">
        <v>286500439.27999997</v>
      </c>
      <c r="K38" s="16"/>
      <c r="L38" s="16"/>
      <c r="M38" s="16"/>
      <c r="N38" s="18">
        <f t="shared" si="0"/>
        <v>1506318097.7065392</v>
      </c>
      <c r="P38" s="4"/>
      <c r="Q38" s="4"/>
      <c r="R38" s="4"/>
      <c r="S38" s="4"/>
      <c r="T38" s="4"/>
      <c r="U38" s="4"/>
      <c r="V38" s="4"/>
      <c r="W38" s="4"/>
      <c r="X38" s="4"/>
    </row>
    <row r="39" spans="1:24" ht="15" x14ac:dyDescent="0.2">
      <c r="A39" s="17" t="s">
        <v>34</v>
      </c>
      <c r="B39" s="16">
        <v>2148320472.1099997</v>
      </c>
      <c r="C39" s="16">
        <v>0</v>
      </c>
      <c r="D39" s="16">
        <v>61431909.724374719</v>
      </c>
      <c r="E39" s="16">
        <v>13235139.470000001</v>
      </c>
      <c r="F39" s="16">
        <v>8212949.6100000003</v>
      </c>
      <c r="G39" s="16">
        <v>4033839.91</v>
      </c>
      <c r="H39" s="16">
        <v>143700946.44999999</v>
      </c>
      <c r="I39" s="16">
        <v>27415084.329999998</v>
      </c>
      <c r="J39" s="16">
        <v>248729507.6400001</v>
      </c>
      <c r="K39" s="16"/>
      <c r="L39" s="16"/>
      <c r="M39" s="16"/>
      <c r="N39" s="18">
        <f t="shared" si="0"/>
        <v>2655079849.2443743</v>
      </c>
      <c r="P39" s="4"/>
      <c r="Q39" s="4"/>
      <c r="R39" s="4"/>
      <c r="S39" s="4"/>
      <c r="T39" s="4"/>
      <c r="U39" s="4"/>
      <c r="V39" s="4"/>
      <c r="W39" s="4"/>
      <c r="X39" s="4"/>
    </row>
    <row r="40" spans="1:24" ht="15" x14ac:dyDescent="0.2">
      <c r="A40" s="17" t="s">
        <v>35</v>
      </c>
      <c r="B40" s="16">
        <v>1405410365.49</v>
      </c>
      <c r="C40" s="16">
        <v>0</v>
      </c>
      <c r="D40" s="16">
        <v>39885482.924418963</v>
      </c>
      <c r="E40" s="16">
        <v>8692334.1400000006</v>
      </c>
      <c r="F40" s="16">
        <v>4386352.05</v>
      </c>
      <c r="G40" s="16">
        <v>1764804.96</v>
      </c>
      <c r="H40" s="16">
        <v>94007762.019999996</v>
      </c>
      <c r="I40" s="16">
        <v>14641781.23</v>
      </c>
      <c r="J40" s="16">
        <v>137029837.53</v>
      </c>
      <c r="K40" s="16"/>
      <c r="L40" s="16"/>
      <c r="M40" s="16"/>
      <c r="N40" s="18">
        <f t="shared" ref="N40:N71" si="1">SUM(B40:M40)</f>
        <v>1705818720.344419</v>
      </c>
      <c r="P40" s="4"/>
      <c r="Q40" s="4"/>
      <c r="R40" s="4"/>
      <c r="S40" s="4"/>
      <c r="T40" s="4"/>
      <c r="U40" s="4"/>
      <c r="V40" s="4"/>
      <c r="W40" s="4"/>
      <c r="X40" s="4"/>
    </row>
    <row r="41" spans="1:24" ht="15" x14ac:dyDescent="0.2">
      <c r="A41" s="17" t="s">
        <v>36</v>
      </c>
      <c r="B41" s="16">
        <v>1571195609.1999998</v>
      </c>
      <c r="C41" s="16">
        <v>0</v>
      </c>
      <c r="D41" s="16">
        <v>14819952.923637763</v>
      </c>
      <c r="E41" s="16">
        <v>9083450.8900000006</v>
      </c>
      <c r="F41" s="16">
        <v>7426398.0300000003</v>
      </c>
      <c r="G41" s="16">
        <v>3075802.93</v>
      </c>
      <c r="H41" s="16">
        <v>105097120.77</v>
      </c>
      <c r="I41" s="16">
        <v>24789550.399999999</v>
      </c>
      <c r="J41" s="16">
        <v>140610631.58000001</v>
      </c>
      <c r="K41" s="16"/>
      <c r="L41" s="16"/>
      <c r="M41" s="16"/>
      <c r="N41" s="18">
        <f t="shared" si="1"/>
        <v>1876098516.7236378</v>
      </c>
      <c r="P41" s="4"/>
      <c r="Q41" s="4"/>
      <c r="R41" s="4"/>
      <c r="S41" s="4"/>
      <c r="T41" s="4"/>
      <c r="U41" s="4"/>
      <c r="V41" s="4"/>
      <c r="W41" s="4"/>
      <c r="X41" s="4"/>
    </row>
    <row r="42" spans="1:24" ht="15" x14ac:dyDescent="0.2">
      <c r="A42" s="17" t="s">
        <v>37</v>
      </c>
      <c r="B42" s="16">
        <v>898315752.38</v>
      </c>
      <c r="C42" s="16">
        <v>0</v>
      </c>
      <c r="D42" s="16">
        <v>8217393.5904636523</v>
      </c>
      <c r="E42" s="16">
        <v>5509994.6399999997</v>
      </c>
      <c r="F42" s="16">
        <v>20170463.800000001</v>
      </c>
      <c r="G42" s="16">
        <v>0</v>
      </c>
      <c r="H42" s="16">
        <v>60088252.899999999</v>
      </c>
      <c r="I42" s="16">
        <v>67329643.069999993</v>
      </c>
      <c r="J42" s="16">
        <v>214266443.63999993</v>
      </c>
      <c r="K42" s="16"/>
      <c r="L42" s="16"/>
      <c r="M42" s="16"/>
      <c r="N42" s="18">
        <f t="shared" si="1"/>
        <v>1273897944.0204635</v>
      </c>
      <c r="P42" s="4"/>
      <c r="Q42" s="4"/>
      <c r="R42" s="4"/>
      <c r="S42" s="4"/>
      <c r="T42" s="4"/>
      <c r="U42" s="4"/>
      <c r="V42" s="4"/>
      <c r="W42" s="4"/>
      <c r="X42" s="4"/>
    </row>
    <row r="43" spans="1:24" ht="15" x14ac:dyDescent="0.2">
      <c r="A43" s="17" t="s">
        <v>38</v>
      </c>
      <c r="B43" s="16">
        <v>5721913503.3599997</v>
      </c>
      <c r="C43" s="16">
        <v>0</v>
      </c>
      <c r="D43" s="16">
        <v>22033523.739588641</v>
      </c>
      <c r="E43" s="16">
        <v>33370780.02</v>
      </c>
      <c r="F43" s="16">
        <v>83876316.230000004</v>
      </c>
      <c r="G43" s="16">
        <v>24572808.129999999</v>
      </c>
      <c r="H43" s="16">
        <v>382738235.10000002</v>
      </c>
      <c r="I43" s="16">
        <v>279981783.68000001</v>
      </c>
      <c r="J43" s="16">
        <v>701724396.73000014</v>
      </c>
      <c r="K43" s="16"/>
      <c r="L43" s="16"/>
      <c r="M43" s="16"/>
      <c r="N43" s="18">
        <f t="shared" si="1"/>
        <v>7250211346.9895897</v>
      </c>
      <c r="P43" s="4"/>
      <c r="Q43" s="4"/>
      <c r="R43" s="4"/>
      <c r="S43" s="4"/>
      <c r="T43" s="4"/>
      <c r="U43" s="4"/>
      <c r="V43" s="4"/>
      <c r="W43" s="4"/>
      <c r="X43" s="4"/>
    </row>
    <row r="44" spans="1:24" ht="15" x14ac:dyDescent="0.2">
      <c r="A44" s="17" t="s">
        <v>39</v>
      </c>
      <c r="B44" s="16">
        <v>5024942728.0299997</v>
      </c>
      <c r="C44" s="16">
        <v>0</v>
      </c>
      <c r="D44" s="16">
        <v>32952249.208027184</v>
      </c>
      <c r="E44" s="16">
        <v>30373396.34</v>
      </c>
      <c r="F44" s="16">
        <v>105537850.20999999</v>
      </c>
      <c r="G44" s="16">
        <v>42652617.166551203</v>
      </c>
      <c r="H44" s="16">
        <v>336117928.05000001</v>
      </c>
      <c r="I44" s="16">
        <v>352288665.92000002</v>
      </c>
      <c r="J44" s="16">
        <v>907436028.05999959</v>
      </c>
      <c r="K44" s="16"/>
      <c r="L44" s="16"/>
      <c r="M44" s="16"/>
      <c r="N44" s="18">
        <f t="shared" si="1"/>
        <v>6832301462.9845781</v>
      </c>
      <c r="P44" s="4"/>
      <c r="Q44" s="4"/>
      <c r="R44" s="4"/>
      <c r="S44" s="4"/>
      <c r="T44" s="4"/>
      <c r="U44" s="4"/>
      <c r="V44" s="4"/>
      <c r="W44" s="4"/>
      <c r="X44" s="4"/>
    </row>
    <row r="45" spans="1:24" ht="15" x14ac:dyDescent="0.2">
      <c r="A45" s="17" t="s">
        <v>40</v>
      </c>
      <c r="B45" s="16">
        <v>1464196050.9300001</v>
      </c>
      <c r="C45" s="16">
        <v>0</v>
      </c>
      <c r="D45" s="16">
        <v>19871342.906187542</v>
      </c>
      <c r="E45" s="16">
        <v>8117635.9800000004</v>
      </c>
      <c r="F45" s="16">
        <v>7860690.3200000003</v>
      </c>
      <c r="G45" s="16">
        <v>3848955.58</v>
      </c>
      <c r="H45" s="16">
        <v>97939930.769999996</v>
      </c>
      <c r="I45" s="16">
        <v>26239231.710000001</v>
      </c>
      <c r="J45" s="16">
        <v>135846116.74000001</v>
      </c>
      <c r="K45" s="16"/>
      <c r="L45" s="16"/>
      <c r="M45" s="16"/>
      <c r="N45" s="18">
        <f t="shared" si="1"/>
        <v>1763919954.9361875</v>
      </c>
      <c r="P45" s="4"/>
      <c r="Q45" s="4"/>
      <c r="R45" s="4"/>
      <c r="S45" s="4"/>
      <c r="T45" s="4"/>
      <c r="U45" s="4"/>
      <c r="V45" s="4"/>
      <c r="W45" s="4"/>
      <c r="X45" s="4"/>
    </row>
    <row r="46" spans="1:24" ht="15" x14ac:dyDescent="0.2">
      <c r="A46" s="17" t="s">
        <v>41</v>
      </c>
      <c r="B46" s="16">
        <v>1990832499.5500002</v>
      </c>
      <c r="C46" s="16">
        <v>0</v>
      </c>
      <c r="D46" s="16">
        <v>17450774.688027188</v>
      </c>
      <c r="E46" s="16">
        <v>23205930.809999999</v>
      </c>
      <c r="F46" s="16">
        <v>62002461.590000004</v>
      </c>
      <c r="G46" s="16">
        <v>0</v>
      </c>
      <c r="H46" s="16">
        <v>133166591.36</v>
      </c>
      <c r="I46" s="16">
        <v>206966168.37</v>
      </c>
      <c r="J46" s="16">
        <v>574748647.20999992</v>
      </c>
      <c r="K46" s="16"/>
      <c r="L46" s="16"/>
      <c r="M46" s="16"/>
      <c r="N46" s="18">
        <f t="shared" si="1"/>
        <v>3008373073.5780272</v>
      </c>
      <c r="P46" s="4"/>
      <c r="Q46" s="4"/>
      <c r="R46" s="4"/>
      <c r="S46" s="4"/>
      <c r="T46" s="4"/>
      <c r="U46" s="4"/>
      <c r="V46" s="4"/>
      <c r="W46" s="4"/>
      <c r="X46" s="4"/>
    </row>
    <row r="47" spans="1:24" ht="15" x14ac:dyDescent="0.2">
      <c r="A47" s="17" t="s">
        <v>42</v>
      </c>
      <c r="B47" s="16">
        <v>6375123381.5100002</v>
      </c>
      <c r="C47" s="16">
        <v>0</v>
      </c>
      <c r="D47" s="16">
        <v>49922590.030306436</v>
      </c>
      <c r="E47" s="16">
        <v>70567101.780000001</v>
      </c>
      <c r="F47" s="16">
        <v>193289018.71000001</v>
      </c>
      <c r="G47" s="16">
        <v>48583661.038063481</v>
      </c>
      <c r="H47" s="16">
        <v>426431380.01999998</v>
      </c>
      <c r="I47" s="16">
        <v>645204828.39999998</v>
      </c>
      <c r="J47" s="16">
        <v>1382908614.1200004</v>
      </c>
      <c r="K47" s="16"/>
      <c r="L47" s="16"/>
      <c r="M47" s="16"/>
      <c r="N47" s="18">
        <f t="shared" si="1"/>
        <v>9192030575.6083698</v>
      </c>
      <c r="P47" s="4"/>
      <c r="Q47" s="4"/>
      <c r="R47" s="4"/>
      <c r="S47" s="4"/>
      <c r="T47" s="4"/>
      <c r="U47" s="4"/>
      <c r="V47" s="4"/>
      <c r="W47" s="4"/>
      <c r="X47" s="4"/>
    </row>
    <row r="48" spans="1:24" ht="15" x14ac:dyDescent="0.2">
      <c r="A48" s="17" t="s">
        <v>43</v>
      </c>
      <c r="B48" s="16">
        <v>585742491.90999997</v>
      </c>
      <c r="C48" s="16">
        <v>0</v>
      </c>
      <c r="D48" s="16">
        <v>18146376.902165569</v>
      </c>
      <c r="E48" s="16">
        <v>3778831.8</v>
      </c>
      <c r="F48" s="16">
        <v>1679263.49</v>
      </c>
      <c r="G48" s="16">
        <v>1042075.31</v>
      </c>
      <c r="H48" s="16">
        <v>39180258.049999997</v>
      </c>
      <c r="I48" s="16">
        <v>5605434.4000000004</v>
      </c>
      <c r="J48" s="16">
        <v>74194906.580000013</v>
      </c>
      <c r="K48" s="16"/>
      <c r="L48" s="16"/>
      <c r="M48" s="16"/>
      <c r="N48" s="18">
        <f t="shared" si="1"/>
        <v>729369638.44216537</v>
      </c>
      <c r="P48" s="4"/>
      <c r="Q48" s="4"/>
      <c r="R48" s="4"/>
      <c r="S48" s="4"/>
      <c r="T48" s="4"/>
      <c r="U48" s="4"/>
      <c r="V48" s="4"/>
      <c r="W48" s="4"/>
      <c r="X48" s="4"/>
    </row>
    <row r="49" spans="1:24" ht="15" x14ac:dyDescent="0.2">
      <c r="A49" s="17" t="s">
        <v>44</v>
      </c>
      <c r="B49" s="16">
        <v>1211177335.01</v>
      </c>
      <c r="C49" s="16">
        <v>0</v>
      </c>
      <c r="D49" s="16">
        <v>40886875.095258802</v>
      </c>
      <c r="E49" s="16">
        <v>7135524.5499999998</v>
      </c>
      <c r="F49" s="16">
        <v>9916340.4499999993</v>
      </c>
      <c r="G49" s="16">
        <v>4369993.24</v>
      </c>
      <c r="H49" s="16">
        <v>81015533.590000004</v>
      </c>
      <c r="I49" s="16">
        <v>33101056.579999998</v>
      </c>
      <c r="J49" s="16">
        <v>174625056.51999995</v>
      </c>
      <c r="K49" s="16"/>
      <c r="L49" s="16"/>
      <c r="M49" s="16"/>
      <c r="N49" s="18">
        <f t="shared" si="1"/>
        <v>1562227715.0352585</v>
      </c>
      <c r="P49" s="4"/>
      <c r="Q49" s="4"/>
      <c r="R49" s="4"/>
      <c r="S49" s="4"/>
      <c r="T49" s="4"/>
      <c r="U49" s="4"/>
      <c r="V49" s="4"/>
      <c r="W49" s="4"/>
      <c r="X49" s="4"/>
    </row>
    <row r="50" spans="1:24" ht="15" x14ac:dyDescent="0.2">
      <c r="A50" s="17" t="s">
        <v>45</v>
      </c>
      <c r="B50" s="16">
        <v>734997264.95000005</v>
      </c>
      <c r="C50" s="16">
        <v>0</v>
      </c>
      <c r="D50" s="16">
        <v>21654481.1551985</v>
      </c>
      <c r="E50" s="16">
        <v>4632730.7699999996</v>
      </c>
      <c r="F50" s="16">
        <v>2779470.61</v>
      </c>
      <c r="G50" s="16">
        <v>1210151.97</v>
      </c>
      <c r="H50" s="16">
        <v>49163895.240000002</v>
      </c>
      <c r="I50" s="16">
        <v>9277960.3800000008</v>
      </c>
      <c r="J50" s="16">
        <v>126192320.77999996</v>
      </c>
      <c r="K50" s="16"/>
      <c r="L50" s="16"/>
      <c r="M50" s="16"/>
      <c r="N50" s="18">
        <f t="shared" si="1"/>
        <v>949908275.8551985</v>
      </c>
      <c r="P50" s="4"/>
      <c r="Q50" s="4"/>
      <c r="R50" s="4"/>
      <c r="S50" s="4"/>
      <c r="T50" s="4"/>
      <c r="U50" s="4"/>
      <c r="V50" s="4"/>
      <c r="W50" s="4"/>
      <c r="X50" s="4"/>
    </row>
    <row r="51" spans="1:24" ht="15" x14ac:dyDescent="0.2">
      <c r="A51" s="17" t="s">
        <v>46</v>
      </c>
      <c r="B51" s="16">
        <v>726667958.02999997</v>
      </c>
      <c r="C51" s="16">
        <v>0</v>
      </c>
      <c r="D51" s="16">
        <v>24694332.35951924</v>
      </c>
      <c r="E51" s="16">
        <v>4529257.6100000003</v>
      </c>
      <c r="F51" s="16">
        <v>3464687.32</v>
      </c>
      <c r="G51" s="16">
        <v>1563112.97</v>
      </c>
      <c r="H51" s="16">
        <v>48606748.710000001</v>
      </c>
      <c r="I51" s="16">
        <v>11565235.34</v>
      </c>
      <c r="J51" s="16">
        <v>87547504.829999983</v>
      </c>
      <c r="K51" s="16"/>
      <c r="L51" s="16"/>
      <c r="M51" s="16"/>
      <c r="N51" s="18">
        <f t="shared" si="1"/>
        <v>908638837.16951942</v>
      </c>
      <c r="P51" s="4"/>
      <c r="Q51" s="4"/>
      <c r="R51" s="4"/>
      <c r="S51" s="4"/>
      <c r="T51" s="4"/>
      <c r="U51" s="4"/>
      <c r="V51" s="4"/>
      <c r="W51" s="4"/>
      <c r="X51" s="4"/>
    </row>
    <row r="52" spans="1:24" ht="15" x14ac:dyDescent="0.2">
      <c r="A52" s="17" t="s">
        <v>47</v>
      </c>
      <c r="B52" s="16">
        <v>862756018.96000004</v>
      </c>
      <c r="C52" s="16">
        <v>0</v>
      </c>
      <c r="D52" s="16">
        <v>30036793.391358525</v>
      </c>
      <c r="E52" s="16">
        <v>5341335.3600000003</v>
      </c>
      <c r="F52" s="16">
        <v>3189635.54</v>
      </c>
      <c r="G52" s="16">
        <v>2000112.29</v>
      </c>
      <c r="H52" s="16">
        <v>57709665.810000002</v>
      </c>
      <c r="I52" s="16">
        <v>10647103.84</v>
      </c>
      <c r="J52" s="16">
        <v>112220049.68000001</v>
      </c>
      <c r="K52" s="16"/>
      <c r="L52" s="16"/>
      <c r="M52" s="16"/>
      <c r="N52" s="18">
        <f t="shared" si="1"/>
        <v>1083900714.8713584</v>
      </c>
      <c r="P52" s="4"/>
      <c r="Q52" s="4"/>
      <c r="R52" s="4"/>
      <c r="S52" s="4"/>
      <c r="T52" s="4"/>
      <c r="U52" s="4"/>
      <c r="V52" s="4"/>
      <c r="W52" s="4"/>
      <c r="X52" s="4"/>
    </row>
    <row r="53" spans="1:24" ht="15" x14ac:dyDescent="0.2">
      <c r="A53" s="17" t="s">
        <v>48</v>
      </c>
      <c r="B53" s="16">
        <v>298541581.76999998</v>
      </c>
      <c r="C53" s="16">
        <v>0</v>
      </c>
      <c r="D53" s="16">
        <v>21074438.954330783</v>
      </c>
      <c r="E53" s="16">
        <v>1836206.75</v>
      </c>
      <c r="F53" s="16">
        <v>554929.02</v>
      </c>
      <c r="G53" s="16">
        <v>302537.99</v>
      </c>
      <c r="H53" s="16">
        <v>19969417.239999998</v>
      </c>
      <c r="I53" s="16">
        <v>1852370.56</v>
      </c>
      <c r="J53" s="16">
        <v>59348751.189999975</v>
      </c>
      <c r="K53" s="16"/>
      <c r="L53" s="16"/>
      <c r="M53" s="16"/>
      <c r="N53" s="18">
        <f t="shared" si="1"/>
        <v>403480233.47433078</v>
      </c>
      <c r="P53" s="4"/>
      <c r="Q53" s="4"/>
      <c r="R53" s="4"/>
      <c r="S53" s="4"/>
      <c r="T53" s="4"/>
      <c r="U53" s="4"/>
      <c r="V53" s="4"/>
      <c r="W53" s="4"/>
      <c r="X53" s="4"/>
    </row>
    <row r="54" spans="1:24" ht="15" x14ac:dyDescent="0.2">
      <c r="A54" s="17" t="s">
        <v>49</v>
      </c>
      <c r="B54" s="16">
        <v>1153032365.48</v>
      </c>
      <c r="C54" s="16">
        <v>0</v>
      </c>
      <c r="D54" s="16">
        <v>33669072.691236474</v>
      </c>
      <c r="E54" s="16">
        <v>7129045.2000000002</v>
      </c>
      <c r="F54" s="16">
        <v>1906060.57</v>
      </c>
      <c r="G54" s="16">
        <v>1109305.98</v>
      </c>
      <c r="H54" s="16">
        <v>77126222.260000005</v>
      </c>
      <c r="I54" s="16">
        <v>6362490.1900000004</v>
      </c>
      <c r="J54" s="16">
        <v>135779054.88</v>
      </c>
      <c r="K54" s="16"/>
      <c r="L54" s="16"/>
      <c r="M54" s="16"/>
      <c r="N54" s="18">
        <f t="shared" si="1"/>
        <v>1416113617.2512364</v>
      </c>
      <c r="P54" s="4"/>
      <c r="Q54" s="4"/>
      <c r="R54" s="4"/>
      <c r="S54" s="4"/>
      <c r="T54" s="4"/>
      <c r="U54" s="4"/>
      <c r="V54" s="4"/>
      <c r="W54" s="4"/>
      <c r="X54" s="4"/>
    </row>
    <row r="55" spans="1:24" ht="15" x14ac:dyDescent="0.2">
      <c r="A55" s="17" t="s">
        <v>50</v>
      </c>
      <c r="B55" s="16">
        <v>526924770.63</v>
      </c>
      <c r="C55" s="16">
        <v>0</v>
      </c>
      <c r="D55" s="16">
        <v>14059459.852076672</v>
      </c>
      <c r="E55" s="16">
        <v>3238297.46</v>
      </c>
      <c r="F55" s="16">
        <v>3517767.49</v>
      </c>
      <c r="G55" s="16">
        <v>1731189.63</v>
      </c>
      <c r="H55" s="16">
        <v>35245946.43</v>
      </c>
      <c r="I55" s="16">
        <v>11742418.609999999</v>
      </c>
      <c r="J55" s="16">
        <v>95859022.939999968</v>
      </c>
      <c r="K55" s="16"/>
      <c r="L55" s="16"/>
      <c r="M55" s="16"/>
      <c r="N55" s="18">
        <f t="shared" si="1"/>
        <v>692318873.04207659</v>
      </c>
      <c r="P55" s="4"/>
      <c r="Q55" s="4"/>
      <c r="R55" s="4"/>
      <c r="S55" s="4"/>
      <c r="T55" s="4"/>
      <c r="U55" s="4"/>
      <c r="V55" s="4"/>
      <c r="W55" s="4"/>
      <c r="X55" s="4"/>
    </row>
    <row r="56" spans="1:24" ht="15" x14ac:dyDescent="0.2">
      <c r="A56" s="17" t="s">
        <v>51</v>
      </c>
      <c r="B56" s="16">
        <v>408168075.32000005</v>
      </c>
      <c r="C56" s="16">
        <v>0</v>
      </c>
      <c r="D56" s="16">
        <v>7793051.0732424371</v>
      </c>
      <c r="E56" s="16">
        <v>2469808.0299999998</v>
      </c>
      <c r="F56" s="16">
        <v>994046.78</v>
      </c>
      <c r="G56" s="16">
        <v>470614.66</v>
      </c>
      <c r="H56" s="16">
        <v>27302322.68</v>
      </c>
      <c r="I56" s="16">
        <v>3318159.44</v>
      </c>
      <c r="J56" s="16">
        <v>79132014.810000017</v>
      </c>
      <c r="K56" s="16"/>
      <c r="L56" s="16"/>
      <c r="M56" s="16"/>
      <c r="N56" s="18">
        <f t="shared" si="1"/>
        <v>529648092.79324245</v>
      </c>
      <c r="P56" s="4"/>
      <c r="Q56" s="4"/>
      <c r="R56" s="4"/>
      <c r="S56" s="4"/>
      <c r="T56" s="4"/>
      <c r="U56" s="4"/>
      <c r="V56" s="4"/>
      <c r="W56" s="4"/>
      <c r="X56" s="4"/>
    </row>
    <row r="57" spans="1:24" ht="15" x14ac:dyDescent="0.2">
      <c r="A57" s="17" t="s">
        <v>52</v>
      </c>
      <c r="B57" s="16">
        <v>952872712.78999996</v>
      </c>
      <c r="C57" s="16">
        <v>0</v>
      </c>
      <c r="D57" s="16">
        <v>24992929.720281295</v>
      </c>
      <c r="E57" s="16">
        <v>6147522.7999999998</v>
      </c>
      <c r="F57" s="16">
        <v>5105347.05</v>
      </c>
      <c r="G57" s="16">
        <v>2168188.9500000002</v>
      </c>
      <c r="H57" s="16">
        <v>63737562.649999999</v>
      </c>
      <c r="I57" s="16">
        <v>17041809.18</v>
      </c>
      <c r="J57" s="16">
        <v>168955465.82000005</v>
      </c>
      <c r="K57" s="16"/>
      <c r="L57" s="16"/>
      <c r="M57" s="16"/>
      <c r="N57" s="18">
        <f t="shared" si="1"/>
        <v>1241021538.9602811</v>
      </c>
      <c r="P57" s="4"/>
      <c r="Q57" s="4"/>
      <c r="R57" s="4"/>
      <c r="S57" s="4"/>
      <c r="T57" s="4"/>
      <c r="U57" s="4"/>
      <c r="V57" s="4"/>
      <c r="W57" s="4"/>
      <c r="X57" s="4"/>
    </row>
    <row r="58" spans="1:24" ht="15" x14ac:dyDescent="0.2">
      <c r="A58" s="17" t="s">
        <v>53</v>
      </c>
      <c r="B58" s="16">
        <v>963893026.57999992</v>
      </c>
      <c r="C58" s="16">
        <v>0</v>
      </c>
      <c r="D58" s="16">
        <v>13715432.668055063</v>
      </c>
      <c r="E58" s="16">
        <v>5770542.7999999998</v>
      </c>
      <c r="F58" s="16">
        <v>2972489.4</v>
      </c>
      <c r="G58" s="16">
        <v>1361420.97</v>
      </c>
      <c r="H58" s="16">
        <v>64474710.359999999</v>
      </c>
      <c r="I58" s="16">
        <v>9922263.1899999995</v>
      </c>
      <c r="J58" s="16">
        <v>95614168.919999972</v>
      </c>
      <c r="K58" s="16"/>
      <c r="L58" s="16"/>
      <c r="M58" s="16"/>
      <c r="N58" s="18">
        <f t="shared" si="1"/>
        <v>1157724054.8880551</v>
      </c>
      <c r="P58" s="4"/>
      <c r="Q58" s="4"/>
      <c r="R58" s="4"/>
      <c r="S58" s="4"/>
      <c r="T58" s="4"/>
      <c r="U58" s="4"/>
      <c r="V58" s="4"/>
      <c r="W58" s="4"/>
      <c r="X58" s="4"/>
    </row>
    <row r="59" spans="1:24" ht="15" x14ac:dyDescent="0.2">
      <c r="A59" s="17" t="s">
        <v>54</v>
      </c>
      <c r="B59" s="16">
        <v>946049088.26999986</v>
      </c>
      <c r="C59" s="16">
        <v>0</v>
      </c>
      <c r="D59" s="16">
        <v>34643729.259579182</v>
      </c>
      <c r="E59" s="16">
        <v>5869696.3899999997</v>
      </c>
      <c r="F59" s="16">
        <v>2895281.88</v>
      </c>
      <c r="G59" s="16">
        <v>1243767.31</v>
      </c>
      <c r="H59" s="16">
        <v>63281131.07</v>
      </c>
      <c r="I59" s="16">
        <v>9664542.0700000003</v>
      </c>
      <c r="J59" s="16">
        <v>106941913.42999995</v>
      </c>
      <c r="K59" s="16"/>
      <c r="L59" s="16"/>
      <c r="M59" s="16"/>
      <c r="N59" s="18">
        <f t="shared" si="1"/>
        <v>1170589149.679579</v>
      </c>
      <c r="P59" s="4"/>
      <c r="Q59" s="4"/>
      <c r="R59" s="4"/>
      <c r="S59" s="4"/>
      <c r="T59" s="4"/>
      <c r="U59" s="4"/>
      <c r="V59" s="4"/>
      <c r="W59" s="4"/>
      <c r="X59" s="4"/>
    </row>
    <row r="60" spans="1:24" ht="15" x14ac:dyDescent="0.2">
      <c r="A60" s="17" t="s">
        <v>55</v>
      </c>
      <c r="B60" s="16">
        <v>6834580766.1400023</v>
      </c>
      <c r="C60" s="16">
        <v>0</v>
      </c>
      <c r="D60" s="16">
        <v>191740461.87118483</v>
      </c>
      <c r="E60" s="16">
        <v>75778015.450000003</v>
      </c>
      <c r="F60" s="16">
        <v>159264631.08000001</v>
      </c>
      <c r="G60" s="16">
        <v>63986785.619999997</v>
      </c>
      <c r="H60" s="16">
        <v>457164439.57999998</v>
      </c>
      <c r="I60" s="16">
        <v>531630351.54000002</v>
      </c>
      <c r="J60" s="16">
        <v>1787593974.2199993</v>
      </c>
      <c r="K60" s="16"/>
      <c r="L60" s="16"/>
      <c r="M60" s="16"/>
      <c r="N60" s="18">
        <f t="shared" si="1"/>
        <v>10101739425.501186</v>
      </c>
      <c r="P60" s="4"/>
      <c r="Q60" s="4"/>
      <c r="R60" s="4"/>
      <c r="S60" s="4"/>
      <c r="T60" s="4"/>
      <c r="U60" s="4"/>
      <c r="V60" s="4"/>
      <c r="W60" s="4"/>
      <c r="X60" s="4"/>
    </row>
    <row r="61" spans="1:24" ht="15" x14ac:dyDescent="0.2">
      <c r="A61" s="17" t="s">
        <v>56</v>
      </c>
      <c r="B61" s="16">
        <v>1714844117.9300001</v>
      </c>
      <c r="C61" s="16">
        <v>0</v>
      </c>
      <c r="D61" s="16">
        <v>16700195.803303463</v>
      </c>
      <c r="E61" s="16">
        <v>9848995.1600000001</v>
      </c>
      <c r="F61" s="16">
        <v>28431668.120000001</v>
      </c>
      <c r="G61" s="16">
        <v>5635868.3888159618</v>
      </c>
      <c r="H61" s="16">
        <v>114705755.48</v>
      </c>
      <c r="I61" s="16">
        <v>94905803.099999994</v>
      </c>
      <c r="J61" s="16">
        <v>442620047.56000006</v>
      </c>
      <c r="K61" s="16"/>
      <c r="L61" s="16"/>
      <c r="M61" s="16"/>
      <c r="N61" s="18">
        <f t="shared" si="1"/>
        <v>2427692451.5421195</v>
      </c>
      <c r="P61" s="4"/>
      <c r="Q61" s="4"/>
      <c r="R61" s="4"/>
      <c r="S61" s="4"/>
      <c r="T61" s="4"/>
      <c r="U61" s="4"/>
      <c r="V61" s="4"/>
      <c r="W61" s="4"/>
      <c r="X61" s="4"/>
    </row>
    <row r="62" spans="1:24" ht="15" x14ac:dyDescent="0.2">
      <c r="A62" s="17" t="s">
        <v>57</v>
      </c>
      <c r="B62" s="16">
        <v>7187262843.0499992</v>
      </c>
      <c r="C62" s="16">
        <v>0</v>
      </c>
      <c r="D62" s="16">
        <v>68339302.520000011</v>
      </c>
      <c r="E62" s="16">
        <v>82766223.530000001</v>
      </c>
      <c r="F62" s="16">
        <v>127484086.91</v>
      </c>
      <c r="G62" s="16">
        <v>0</v>
      </c>
      <c r="H62" s="16">
        <v>480755309.24000001</v>
      </c>
      <c r="I62" s="16">
        <v>425545894.77999997</v>
      </c>
      <c r="J62" s="16">
        <v>880181339.75</v>
      </c>
      <c r="K62" s="16"/>
      <c r="L62" s="16"/>
      <c r="M62" s="16"/>
      <c r="N62" s="18">
        <f t="shared" si="1"/>
        <v>9252334999.7799988</v>
      </c>
      <c r="P62" s="4"/>
      <c r="Q62" s="4"/>
      <c r="R62" s="4"/>
      <c r="S62" s="4"/>
      <c r="T62" s="4"/>
      <c r="U62" s="4"/>
      <c r="V62" s="4"/>
      <c r="W62" s="4"/>
      <c r="X62" s="4"/>
    </row>
    <row r="63" spans="1:24" ht="15" x14ac:dyDescent="0.2">
      <c r="A63" s="17" t="s">
        <v>58</v>
      </c>
      <c r="B63" s="16">
        <v>1269514519.3400002</v>
      </c>
      <c r="C63" s="16">
        <v>0</v>
      </c>
      <c r="D63" s="16">
        <v>38390489.617081694</v>
      </c>
      <c r="E63" s="16">
        <v>8067175.6399999997</v>
      </c>
      <c r="F63" s="16">
        <v>4492512.3899999997</v>
      </c>
      <c r="G63" s="16">
        <v>2168188.9500000002</v>
      </c>
      <c r="H63" s="16">
        <v>84917702.150000006</v>
      </c>
      <c r="I63" s="16">
        <v>14996147.77</v>
      </c>
      <c r="J63" s="16">
        <v>118113180.01000001</v>
      </c>
      <c r="K63" s="16"/>
      <c r="L63" s="16"/>
      <c r="M63" s="16"/>
      <c r="N63" s="18">
        <f t="shared" si="1"/>
        <v>1540659915.8670821</v>
      </c>
      <c r="P63" s="4"/>
      <c r="Q63" s="4"/>
      <c r="R63" s="4"/>
      <c r="S63" s="4"/>
      <c r="T63" s="4"/>
      <c r="U63" s="4"/>
      <c r="V63" s="4"/>
      <c r="W63" s="4"/>
      <c r="X63" s="4"/>
    </row>
    <row r="64" spans="1:24" ht="15" x14ac:dyDescent="0.2">
      <c r="A64" s="17" t="s">
        <v>59</v>
      </c>
      <c r="B64" s="16">
        <v>2124101410.4300001</v>
      </c>
      <c r="C64" s="16">
        <v>0</v>
      </c>
      <c r="D64" s="16">
        <v>90231121.780283302</v>
      </c>
      <c r="E64" s="16">
        <v>12571693.939999999</v>
      </c>
      <c r="F64" s="16">
        <v>8222600.5499999998</v>
      </c>
      <c r="G64" s="16">
        <v>3378340.93</v>
      </c>
      <c r="H64" s="16">
        <v>142080935.78</v>
      </c>
      <c r="I64" s="16">
        <v>27447299.469999999</v>
      </c>
      <c r="J64" s="16">
        <v>250383701.41000006</v>
      </c>
      <c r="K64" s="16"/>
      <c r="L64" s="16"/>
      <c r="M64" s="16"/>
      <c r="N64" s="18">
        <f t="shared" si="1"/>
        <v>2658417104.2902832</v>
      </c>
      <c r="P64" s="4"/>
      <c r="Q64" s="4"/>
      <c r="R64" s="4"/>
      <c r="S64" s="4"/>
      <c r="T64" s="4"/>
      <c r="U64" s="4"/>
      <c r="V64" s="4"/>
      <c r="W64" s="4"/>
      <c r="X64" s="4"/>
    </row>
    <row r="65" spans="1:24" ht="15" x14ac:dyDescent="0.2">
      <c r="A65" s="17" t="s">
        <v>60</v>
      </c>
      <c r="B65" s="16">
        <v>1089953883.4000001</v>
      </c>
      <c r="C65" s="16">
        <v>0</v>
      </c>
      <c r="D65" s="16">
        <v>27812217.208844997</v>
      </c>
      <c r="E65" s="16">
        <v>6591456.0199999996</v>
      </c>
      <c r="F65" s="16">
        <v>1790249.29</v>
      </c>
      <c r="G65" s="16">
        <v>1126113.6399999999</v>
      </c>
      <c r="H65" s="16">
        <v>72906908.760000005</v>
      </c>
      <c r="I65" s="16">
        <v>5975908.5099999998</v>
      </c>
      <c r="J65" s="16">
        <v>149343755.88999996</v>
      </c>
      <c r="K65" s="16"/>
      <c r="L65" s="16"/>
      <c r="M65" s="16"/>
      <c r="N65" s="18">
        <f t="shared" si="1"/>
        <v>1355500492.7188449</v>
      </c>
      <c r="P65" s="4"/>
      <c r="Q65" s="4"/>
      <c r="R65" s="4"/>
      <c r="S65" s="4"/>
      <c r="T65" s="4"/>
      <c r="U65" s="4"/>
      <c r="V65" s="4"/>
      <c r="W65" s="4"/>
      <c r="X65" s="4"/>
    </row>
    <row r="66" spans="1:24" ht="15" x14ac:dyDescent="0.2">
      <c r="A66" s="17" t="s">
        <v>61</v>
      </c>
      <c r="B66" s="16">
        <v>578534437.83999991</v>
      </c>
      <c r="C66" s="16">
        <v>0</v>
      </c>
      <c r="D66" s="16">
        <v>18497271.851508088</v>
      </c>
      <c r="E66" s="16">
        <v>3680267.24</v>
      </c>
      <c r="F66" s="16">
        <v>1751645.54</v>
      </c>
      <c r="G66" s="16">
        <v>1025267.64</v>
      </c>
      <c r="H66" s="16">
        <v>38698112.020000003</v>
      </c>
      <c r="I66" s="16">
        <v>5847047.9500000002</v>
      </c>
      <c r="J66" s="16">
        <v>66294077.710000023</v>
      </c>
      <c r="K66" s="16"/>
      <c r="L66" s="16"/>
      <c r="M66" s="16"/>
      <c r="N66" s="18">
        <f t="shared" si="1"/>
        <v>714328127.79150808</v>
      </c>
      <c r="P66" s="4"/>
      <c r="Q66" s="4"/>
      <c r="R66" s="4"/>
      <c r="S66" s="4"/>
      <c r="T66" s="4"/>
      <c r="U66" s="4"/>
      <c r="V66" s="4"/>
      <c r="W66" s="4"/>
      <c r="X66" s="4"/>
    </row>
    <row r="67" spans="1:24" ht="15" x14ac:dyDescent="0.2">
      <c r="A67" s="17" t="s">
        <v>62</v>
      </c>
      <c r="B67" s="16">
        <v>2666915935.9499998</v>
      </c>
      <c r="C67" s="16">
        <v>0</v>
      </c>
      <c r="D67" s="16">
        <v>20000197.57</v>
      </c>
      <c r="E67" s="16">
        <v>29831230.27</v>
      </c>
      <c r="F67" s="16">
        <v>47067632.520000003</v>
      </c>
      <c r="G67" s="16">
        <v>21055538.628373928</v>
      </c>
      <c r="H67" s="16">
        <v>178389746.34999999</v>
      </c>
      <c r="I67" s="16">
        <v>157113238.87</v>
      </c>
      <c r="J67" s="16">
        <v>427139663.20999986</v>
      </c>
      <c r="K67" s="16"/>
      <c r="L67" s="16"/>
      <c r="M67" s="16"/>
      <c r="N67" s="18">
        <f t="shared" si="1"/>
        <v>3547513183.3683739</v>
      </c>
      <c r="P67" s="4"/>
      <c r="Q67" s="4"/>
      <c r="R67" s="4"/>
      <c r="S67" s="4"/>
      <c r="T67" s="4"/>
      <c r="U67" s="4"/>
      <c r="V67" s="4"/>
      <c r="W67" s="4"/>
      <c r="X67" s="4"/>
    </row>
    <row r="68" spans="1:24" ht="15" x14ac:dyDescent="0.2">
      <c r="A68" s="17" t="s">
        <v>63</v>
      </c>
      <c r="B68" s="16">
        <v>1682616107.29</v>
      </c>
      <c r="C68" s="16">
        <v>0</v>
      </c>
      <c r="D68" s="16">
        <v>22367936.520000003</v>
      </c>
      <c r="E68" s="16">
        <v>10327877.57</v>
      </c>
      <c r="F68" s="16">
        <v>41508691.299999997</v>
      </c>
      <c r="G68" s="16">
        <v>20501894.592245765</v>
      </c>
      <c r="H68" s="16">
        <v>112550027</v>
      </c>
      <c r="I68" s="16">
        <v>138557318.09999999</v>
      </c>
      <c r="J68" s="16">
        <v>358729236.22999984</v>
      </c>
      <c r="K68" s="16"/>
      <c r="L68" s="16"/>
      <c r="M68" s="16"/>
      <c r="N68" s="18">
        <f t="shared" si="1"/>
        <v>2387159088.6022453</v>
      </c>
      <c r="P68" s="4"/>
      <c r="Q68" s="4"/>
      <c r="R68" s="4"/>
      <c r="S68" s="4"/>
      <c r="T68" s="4"/>
      <c r="U68" s="4"/>
      <c r="V68" s="4"/>
      <c r="W68" s="4"/>
      <c r="X68" s="4"/>
    </row>
    <row r="69" spans="1:24" ht="15" x14ac:dyDescent="0.2">
      <c r="A69" s="17" t="s">
        <v>64</v>
      </c>
      <c r="B69" s="16">
        <v>6013439245.9300003</v>
      </c>
      <c r="C69" s="16">
        <v>0</v>
      </c>
      <c r="D69" s="16">
        <v>23439222.78929789</v>
      </c>
      <c r="E69" s="16">
        <v>36887885.600000001</v>
      </c>
      <c r="F69" s="16">
        <v>122504202.06</v>
      </c>
      <c r="G69" s="16">
        <v>24823357.095083401</v>
      </c>
      <c r="H69" s="16">
        <v>402238363.54000002</v>
      </c>
      <c r="I69" s="16">
        <v>408922882.43000001</v>
      </c>
      <c r="J69" s="16">
        <v>837695279.99999964</v>
      </c>
      <c r="K69" s="16"/>
      <c r="L69" s="16"/>
      <c r="M69" s="16"/>
      <c r="N69" s="18">
        <f t="shared" si="1"/>
        <v>7869950439.4443827</v>
      </c>
      <c r="P69" s="4"/>
      <c r="Q69" s="4"/>
      <c r="R69" s="4"/>
      <c r="S69" s="4"/>
      <c r="T69" s="4"/>
      <c r="U69" s="4"/>
      <c r="V69" s="4"/>
      <c r="W69" s="4"/>
      <c r="X69" s="4"/>
    </row>
    <row r="70" spans="1:24" ht="15" x14ac:dyDescent="0.2">
      <c r="A70" s="17" t="s">
        <v>65</v>
      </c>
      <c r="B70" s="16">
        <v>1250036755.4400001</v>
      </c>
      <c r="C70" s="16">
        <v>0</v>
      </c>
      <c r="D70" s="16">
        <v>42623820.789877951</v>
      </c>
      <c r="E70" s="16">
        <v>7661725.79</v>
      </c>
      <c r="F70" s="16">
        <v>27205998.780000001</v>
      </c>
      <c r="G70" s="16">
        <v>9950138.4499999993</v>
      </c>
      <c r="H70" s="16">
        <v>83614836.420000002</v>
      </c>
      <c r="I70" s="16">
        <v>90814480.290000007</v>
      </c>
      <c r="J70" s="16">
        <v>356071713.10000008</v>
      </c>
      <c r="K70" s="16"/>
      <c r="L70" s="16"/>
      <c r="M70" s="16"/>
      <c r="N70" s="18">
        <f t="shared" si="1"/>
        <v>1867979469.0598781</v>
      </c>
      <c r="P70" s="4"/>
      <c r="Q70" s="4"/>
      <c r="R70" s="4"/>
      <c r="S70" s="4"/>
      <c r="T70" s="4"/>
      <c r="U70" s="4"/>
      <c r="V70" s="4"/>
      <c r="W70" s="4"/>
      <c r="X70" s="4"/>
    </row>
    <row r="71" spans="1:24" ht="15" x14ac:dyDescent="0.2">
      <c r="A71" s="17" t="s">
        <v>66</v>
      </c>
      <c r="B71" s="16">
        <v>4876456814.1100006</v>
      </c>
      <c r="C71" s="16">
        <v>0</v>
      </c>
      <c r="D71" s="16">
        <v>18339959.190000001</v>
      </c>
      <c r="E71" s="16">
        <v>53933258.020000003</v>
      </c>
      <c r="F71" s="16">
        <v>17130417.82</v>
      </c>
      <c r="G71" s="16">
        <v>9664408.1199999992</v>
      </c>
      <c r="H71" s="16">
        <v>326185719.77999997</v>
      </c>
      <c r="I71" s="16">
        <v>57181873.899999999</v>
      </c>
      <c r="J71" s="16">
        <v>297590087.96999991</v>
      </c>
      <c r="K71" s="16"/>
      <c r="L71" s="16"/>
      <c r="M71" s="16"/>
      <c r="N71" s="18">
        <f t="shared" si="1"/>
        <v>5656482538.9099998</v>
      </c>
      <c r="P71" s="4"/>
      <c r="Q71" s="4"/>
      <c r="R71" s="4"/>
      <c r="S71" s="4"/>
      <c r="T71" s="4"/>
      <c r="U71" s="4"/>
      <c r="V71" s="4"/>
      <c r="W71" s="4"/>
      <c r="X71" s="4"/>
    </row>
    <row r="72" spans="1:24" ht="15" x14ac:dyDescent="0.2">
      <c r="A72" s="17" t="s">
        <v>67</v>
      </c>
      <c r="B72" s="16">
        <v>21089356647.360004</v>
      </c>
      <c r="C72" s="16">
        <v>0</v>
      </c>
      <c r="D72" s="16">
        <v>115039252.86726479</v>
      </c>
      <c r="E72" s="16">
        <v>237985396.55000001</v>
      </c>
      <c r="F72" s="16">
        <v>498446904.72999996</v>
      </c>
      <c r="G72" s="16">
        <v>0</v>
      </c>
      <c r="H72" s="16">
        <v>1410665005.3099999</v>
      </c>
      <c r="I72" s="16">
        <v>1663831454.7</v>
      </c>
      <c r="J72" s="16">
        <v>4359984897.4499989</v>
      </c>
      <c r="K72" s="16"/>
      <c r="L72" s="16"/>
      <c r="M72" s="16"/>
      <c r="N72" s="18">
        <f t="shared" ref="N72:N103" si="2">SUM(B72:M72)</f>
        <v>29375309558.96727</v>
      </c>
      <c r="P72" s="4"/>
      <c r="Q72" s="4"/>
      <c r="R72" s="4"/>
      <c r="S72" s="4"/>
      <c r="T72" s="4"/>
      <c r="U72" s="4"/>
      <c r="V72" s="4"/>
      <c r="W72" s="4"/>
      <c r="X72" s="4"/>
    </row>
    <row r="73" spans="1:24" ht="15" x14ac:dyDescent="0.2">
      <c r="A73" s="17" t="s">
        <v>68</v>
      </c>
      <c r="B73" s="16">
        <v>10154802687.68</v>
      </c>
      <c r="C73" s="16">
        <v>0</v>
      </c>
      <c r="D73" s="16">
        <v>197081738.58502176</v>
      </c>
      <c r="E73" s="16">
        <v>110175579.77</v>
      </c>
      <c r="F73" s="16">
        <v>185008512.50999999</v>
      </c>
      <c r="G73" s="16">
        <v>89817427.862235427</v>
      </c>
      <c r="H73" s="16">
        <v>679253759.47000003</v>
      </c>
      <c r="I73" s="16">
        <v>617564238.09000003</v>
      </c>
      <c r="J73" s="16">
        <v>1899179275.1899993</v>
      </c>
      <c r="K73" s="16"/>
      <c r="L73" s="16"/>
      <c r="M73" s="16"/>
      <c r="N73" s="18">
        <f t="shared" si="2"/>
        <v>13932883219.157257</v>
      </c>
      <c r="P73" s="4"/>
      <c r="Q73" s="4"/>
      <c r="R73" s="4"/>
      <c r="S73" s="4"/>
      <c r="T73" s="4"/>
      <c r="U73" s="4"/>
      <c r="V73" s="4"/>
      <c r="W73" s="4"/>
      <c r="X73" s="4"/>
    </row>
    <row r="74" spans="1:24" ht="15" x14ac:dyDescent="0.2">
      <c r="A74" s="17" t="s">
        <v>69</v>
      </c>
      <c r="B74" s="16">
        <v>5248072046.3899994</v>
      </c>
      <c r="C74" s="16">
        <v>0</v>
      </c>
      <c r="D74" s="16">
        <v>50808804.979999997</v>
      </c>
      <c r="E74" s="16">
        <v>57363329.789999999</v>
      </c>
      <c r="F74" s="16">
        <v>134321777.63</v>
      </c>
      <c r="G74" s="16">
        <v>133562141.14223914</v>
      </c>
      <c r="H74" s="16">
        <v>351043026.35000002</v>
      </c>
      <c r="I74" s="16">
        <v>448370321.63</v>
      </c>
      <c r="J74" s="16">
        <v>1018811825.6000003</v>
      </c>
      <c r="K74" s="16"/>
      <c r="L74" s="16"/>
      <c r="M74" s="16"/>
      <c r="N74" s="18">
        <f t="shared" si="2"/>
        <v>7442353273.5122395</v>
      </c>
      <c r="P74" s="4"/>
      <c r="Q74" s="4"/>
      <c r="R74" s="4"/>
      <c r="S74" s="4"/>
      <c r="T74" s="4"/>
      <c r="U74" s="4"/>
      <c r="V74" s="4"/>
      <c r="W74" s="4"/>
      <c r="X74" s="4"/>
    </row>
    <row r="75" spans="1:24" ht="15" x14ac:dyDescent="0.2">
      <c r="A75" s="17" t="s">
        <v>70</v>
      </c>
      <c r="B75" s="16">
        <v>913084254.30999994</v>
      </c>
      <c r="C75" s="16">
        <v>0</v>
      </c>
      <c r="D75" s="16">
        <v>22159923.918344378</v>
      </c>
      <c r="E75" s="16">
        <v>5378837.0199999996</v>
      </c>
      <c r="F75" s="16">
        <v>2441687.7200000002</v>
      </c>
      <c r="G75" s="16">
        <v>1109305.98</v>
      </c>
      <c r="H75" s="16">
        <v>61076116.549999997</v>
      </c>
      <c r="I75" s="16">
        <v>8150430.4800000004</v>
      </c>
      <c r="J75" s="16">
        <v>114815189.63000004</v>
      </c>
      <c r="K75" s="16"/>
      <c r="L75" s="16"/>
      <c r="M75" s="16"/>
      <c r="N75" s="18">
        <f t="shared" si="2"/>
        <v>1128215745.6083443</v>
      </c>
      <c r="P75" s="4"/>
      <c r="Q75" s="4"/>
      <c r="R75" s="4"/>
      <c r="S75" s="4"/>
      <c r="T75" s="4"/>
      <c r="U75" s="4"/>
      <c r="V75" s="4"/>
      <c r="W75" s="4"/>
      <c r="X75" s="4"/>
    </row>
    <row r="76" spans="1:24" ht="15" x14ac:dyDescent="0.2">
      <c r="A76" s="17" t="s">
        <v>71</v>
      </c>
      <c r="B76" s="16">
        <v>885020897.09000003</v>
      </c>
      <c r="C76" s="16">
        <v>0</v>
      </c>
      <c r="D76" s="16">
        <v>36030804.425242402</v>
      </c>
      <c r="E76" s="16">
        <v>5432635.21</v>
      </c>
      <c r="F76" s="16">
        <v>4396002.99</v>
      </c>
      <c r="G76" s="16">
        <v>2605188.2799999998</v>
      </c>
      <c r="H76" s="16">
        <v>59198961.329999998</v>
      </c>
      <c r="I76" s="16">
        <v>14673996.369999999</v>
      </c>
      <c r="J76" s="16">
        <v>170494250.80999994</v>
      </c>
      <c r="K76" s="16"/>
      <c r="L76" s="16"/>
      <c r="M76" s="16"/>
      <c r="N76" s="18">
        <f t="shared" si="2"/>
        <v>1177852736.5052423</v>
      </c>
      <c r="P76" s="4"/>
      <c r="Q76" s="4"/>
      <c r="R76" s="4"/>
      <c r="S76" s="4"/>
      <c r="T76" s="4"/>
      <c r="U76" s="4"/>
      <c r="V76" s="4"/>
      <c r="W76" s="4"/>
      <c r="X76" s="4"/>
    </row>
    <row r="77" spans="1:24" ht="15" x14ac:dyDescent="0.2">
      <c r="A77" s="17" t="s">
        <v>72</v>
      </c>
      <c r="B77" s="16">
        <v>943870654.12999988</v>
      </c>
      <c r="C77" s="16">
        <v>0</v>
      </c>
      <c r="D77" s="16">
        <v>23342161.01937769</v>
      </c>
      <c r="E77" s="16">
        <v>6089405.0499999998</v>
      </c>
      <c r="F77" s="16">
        <v>5163252.6900000004</v>
      </c>
      <c r="G77" s="16">
        <v>1663958.96</v>
      </c>
      <c r="H77" s="16">
        <v>63135415.829999998</v>
      </c>
      <c r="I77" s="16">
        <v>17235100.02</v>
      </c>
      <c r="J77" s="16">
        <v>115848670.84000005</v>
      </c>
      <c r="K77" s="16"/>
      <c r="L77" s="16"/>
      <c r="M77" s="16"/>
      <c r="N77" s="18">
        <f t="shared" si="2"/>
        <v>1176348618.5393777</v>
      </c>
      <c r="P77" s="4"/>
      <c r="Q77" s="4"/>
      <c r="R77" s="4"/>
      <c r="S77" s="4"/>
      <c r="T77" s="4"/>
      <c r="U77" s="4"/>
      <c r="V77" s="4"/>
      <c r="W77" s="4"/>
      <c r="X77" s="4"/>
    </row>
    <row r="78" spans="1:24" ht="15" x14ac:dyDescent="0.2">
      <c r="A78" s="17" t="s">
        <v>73</v>
      </c>
      <c r="B78" s="16">
        <v>372320019.69999999</v>
      </c>
      <c r="C78" s="16">
        <v>0</v>
      </c>
      <c r="D78" s="16">
        <v>10756715.460096199</v>
      </c>
      <c r="E78" s="16">
        <v>2340417.4900000002</v>
      </c>
      <c r="F78" s="16">
        <v>1833678.52</v>
      </c>
      <c r="G78" s="16">
        <v>588268.31999999995</v>
      </c>
      <c r="H78" s="16">
        <v>24904449.739999998</v>
      </c>
      <c r="I78" s="16">
        <v>6120876.6399999997</v>
      </c>
      <c r="J78" s="16">
        <v>49681438.839999981</v>
      </c>
      <c r="K78" s="16"/>
      <c r="L78" s="16"/>
      <c r="M78" s="16"/>
      <c r="N78" s="18">
        <f t="shared" si="2"/>
        <v>468545864.71009612</v>
      </c>
      <c r="P78" s="4"/>
      <c r="Q78" s="4"/>
      <c r="R78" s="4"/>
      <c r="S78" s="4"/>
      <c r="T78" s="4"/>
      <c r="U78" s="4"/>
      <c r="V78" s="4"/>
      <c r="W78" s="4"/>
      <c r="X78" s="4"/>
    </row>
    <row r="79" spans="1:24" ht="15" x14ac:dyDescent="0.2">
      <c r="A79" s="17" t="s">
        <v>74</v>
      </c>
      <c r="B79" s="16">
        <v>1933103995.3700001</v>
      </c>
      <c r="C79" s="16">
        <v>0</v>
      </c>
      <c r="D79" s="16">
        <v>85560875.595874429</v>
      </c>
      <c r="E79" s="16">
        <v>12043332.91</v>
      </c>
      <c r="F79" s="16">
        <v>9216647.3300000001</v>
      </c>
      <c r="G79" s="16">
        <v>4369993.24</v>
      </c>
      <c r="H79" s="16">
        <v>129305137.34999999</v>
      </c>
      <c r="I79" s="16">
        <v>30765458.91</v>
      </c>
      <c r="J79" s="16">
        <v>269126725.63000011</v>
      </c>
      <c r="K79" s="16"/>
      <c r="L79" s="16"/>
      <c r="M79" s="16"/>
      <c r="N79" s="18">
        <f t="shared" si="2"/>
        <v>2473492166.3358746</v>
      </c>
      <c r="P79" s="4"/>
      <c r="Q79" s="4"/>
      <c r="R79" s="4"/>
      <c r="S79" s="4"/>
      <c r="T79" s="4"/>
      <c r="U79" s="4"/>
      <c r="V79" s="4"/>
      <c r="W79" s="4"/>
      <c r="X79" s="4"/>
    </row>
    <row r="80" spans="1:24" ht="15" x14ac:dyDescent="0.2">
      <c r="A80" s="17" t="s">
        <v>75</v>
      </c>
      <c r="B80" s="16">
        <v>1061025559.7</v>
      </c>
      <c r="C80" s="16">
        <v>0</v>
      </c>
      <c r="D80" s="16">
        <v>73325899.910570621</v>
      </c>
      <c r="E80" s="16">
        <v>6422600.3899999997</v>
      </c>
      <c r="F80" s="16">
        <v>2982140.34</v>
      </c>
      <c r="G80" s="16">
        <v>1747997.3</v>
      </c>
      <c r="H80" s="16">
        <v>70971896.010000005</v>
      </c>
      <c r="I80" s="16">
        <v>9954478.3300000001</v>
      </c>
      <c r="J80" s="16">
        <v>173932603.30999994</v>
      </c>
      <c r="K80" s="16"/>
      <c r="L80" s="16"/>
      <c r="M80" s="16"/>
      <c r="N80" s="18">
        <f t="shared" si="2"/>
        <v>1400363175.2905705</v>
      </c>
      <c r="P80" s="4"/>
      <c r="Q80" s="4"/>
      <c r="R80" s="4"/>
      <c r="S80" s="4"/>
      <c r="T80" s="4"/>
      <c r="U80" s="4"/>
      <c r="V80" s="4"/>
      <c r="W80" s="4"/>
      <c r="X80" s="4"/>
    </row>
    <row r="81" spans="1:24" ht="15" x14ac:dyDescent="0.2">
      <c r="A81" s="17" t="s">
        <v>76</v>
      </c>
      <c r="B81" s="16">
        <v>589907145.37</v>
      </c>
      <c r="C81" s="16">
        <v>0</v>
      </c>
      <c r="D81" s="16">
        <v>34213315.22191909</v>
      </c>
      <c r="E81" s="16">
        <v>3606049.3</v>
      </c>
      <c r="F81" s="16">
        <v>7744879.04</v>
      </c>
      <c r="G81" s="16">
        <v>4000224.58</v>
      </c>
      <c r="H81" s="16">
        <v>39458831.32</v>
      </c>
      <c r="I81" s="16">
        <v>25852650.030000001</v>
      </c>
      <c r="J81" s="16">
        <v>203356146.62</v>
      </c>
      <c r="K81" s="16"/>
      <c r="L81" s="16"/>
      <c r="M81" s="16"/>
      <c r="N81" s="18">
        <f t="shared" si="2"/>
        <v>908139241.48191905</v>
      </c>
      <c r="P81" s="4"/>
      <c r="Q81" s="4"/>
      <c r="R81" s="4"/>
      <c r="S81" s="4"/>
      <c r="T81" s="4"/>
      <c r="U81" s="4"/>
      <c r="V81" s="4"/>
      <c r="W81" s="4"/>
      <c r="X81" s="4"/>
    </row>
    <row r="82" spans="1:24" ht="15" x14ac:dyDescent="0.2">
      <c r="A82" s="17" t="s">
        <v>77</v>
      </c>
      <c r="B82" s="16">
        <v>9766112376.1900005</v>
      </c>
      <c r="C82" s="16">
        <v>0</v>
      </c>
      <c r="D82" s="16">
        <v>65969455.150000006</v>
      </c>
      <c r="E82" s="16">
        <v>105818193.11</v>
      </c>
      <c r="F82" s="16">
        <v>223211757</v>
      </c>
      <c r="G82" s="16">
        <v>161733966.33959708</v>
      </c>
      <c r="H82" s="16">
        <v>653254302.50999999</v>
      </c>
      <c r="I82" s="16">
        <v>745087870.65999997</v>
      </c>
      <c r="J82" s="16">
        <v>1688029910.6800005</v>
      </c>
      <c r="K82" s="16"/>
      <c r="L82" s="16"/>
      <c r="M82" s="16"/>
      <c r="N82" s="18">
        <f t="shared" si="2"/>
        <v>13409217831.639599</v>
      </c>
      <c r="P82" s="4"/>
      <c r="Q82" s="4"/>
      <c r="R82" s="4"/>
      <c r="S82" s="4"/>
      <c r="T82" s="4"/>
      <c r="U82" s="4"/>
      <c r="V82" s="4"/>
      <c r="W82" s="4"/>
      <c r="X82" s="4"/>
    </row>
    <row r="83" spans="1:24" ht="15" x14ac:dyDescent="0.2">
      <c r="A83" s="17" t="s">
        <v>78</v>
      </c>
      <c r="B83" s="16">
        <v>2408579277.9099998</v>
      </c>
      <c r="C83" s="16">
        <v>0</v>
      </c>
      <c r="D83" s="16">
        <v>33200720.239491366</v>
      </c>
      <c r="E83" s="16">
        <v>27355434.329999998</v>
      </c>
      <c r="F83" s="16">
        <v>24716056.359999999</v>
      </c>
      <c r="G83" s="16">
        <v>10672868.1</v>
      </c>
      <c r="H83" s="16">
        <v>161109632.53999999</v>
      </c>
      <c r="I83" s="16">
        <v>82502974.109999999</v>
      </c>
      <c r="J83" s="16">
        <v>365342892.3499999</v>
      </c>
      <c r="K83" s="16"/>
      <c r="L83" s="16"/>
      <c r="M83" s="16"/>
      <c r="N83" s="18">
        <f t="shared" si="2"/>
        <v>3113479855.9394913</v>
      </c>
      <c r="P83" s="4"/>
      <c r="Q83" s="4"/>
      <c r="R83" s="4"/>
      <c r="S83" s="4"/>
      <c r="T83" s="4"/>
      <c r="U83" s="4"/>
      <c r="V83" s="4"/>
      <c r="W83" s="4"/>
      <c r="X83" s="4"/>
    </row>
    <row r="84" spans="1:24" ht="15" x14ac:dyDescent="0.2">
      <c r="A84" s="17" t="s">
        <v>79</v>
      </c>
      <c r="B84" s="16">
        <v>1052824395.9400001</v>
      </c>
      <c r="C84" s="16">
        <v>0</v>
      </c>
      <c r="D84" s="16">
        <v>21884041.262112565</v>
      </c>
      <c r="E84" s="16">
        <v>6365660.7000000002</v>
      </c>
      <c r="F84" s="16">
        <v>4960582.96</v>
      </c>
      <c r="G84" s="16">
        <v>1274400.9339500605</v>
      </c>
      <c r="H84" s="16">
        <v>70423320.969999999</v>
      </c>
      <c r="I84" s="16">
        <v>16558582.07</v>
      </c>
      <c r="J84" s="16">
        <v>150234795.53999996</v>
      </c>
      <c r="K84" s="16"/>
      <c r="L84" s="16"/>
      <c r="M84" s="16"/>
      <c r="N84" s="18">
        <f t="shared" si="2"/>
        <v>1324525780.3760626</v>
      </c>
      <c r="P84" s="4"/>
      <c r="Q84" s="4"/>
      <c r="R84" s="4"/>
      <c r="S84" s="4"/>
      <c r="T84" s="4"/>
      <c r="U84" s="4"/>
      <c r="V84" s="4"/>
      <c r="W84" s="4"/>
      <c r="X84" s="4"/>
    </row>
    <row r="85" spans="1:24" ht="15" x14ac:dyDescent="0.2">
      <c r="A85" s="17" t="s">
        <v>80</v>
      </c>
      <c r="B85" s="16">
        <v>789650332.74000013</v>
      </c>
      <c r="C85" s="16">
        <v>0</v>
      </c>
      <c r="D85" s="16">
        <v>19902819.324480347</v>
      </c>
      <c r="E85" s="16">
        <v>5094334.93</v>
      </c>
      <c r="F85" s="16">
        <v>2345178.3199999998</v>
      </c>
      <c r="G85" s="16">
        <v>1092498.31</v>
      </c>
      <c r="H85" s="16">
        <v>52819633.600000001</v>
      </c>
      <c r="I85" s="16">
        <v>7828279.0700000003</v>
      </c>
      <c r="J85" s="16">
        <v>88564350.600000009</v>
      </c>
      <c r="K85" s="16"/>
      <c r="L85" s="16"/>
      <c r="M85" s="16"/>
      <c r="N85" s="18">
        <f t="shared" si="2"/>
        <v>967297426.89448047</v>
      </c>
      <c r="P85" s="4"/>
      <c r="Q85" s="4"/>
      <c r="R85" s="4"/>
      <c r="S85" s="4"/>
      <c r="T85" s="4"/>
      <c r="U85" s="4"/>
      <c r="V85" s="4"/>
      <c r="W85" s="4"/>
      <c r="X85" s="4"/>
    </row>
    <row r="86" spans="1:24" ht="15" x14ac:dyDescent="0.2">
      <c r="A86" s="17" t="s">
        <v>81</v>
      </c>
      <c r="B86" s="16">
        <v>10164189175.880001</v>
      </c>
      <c r="C86" s="16">
        <v>0</v>
      </c>
      <c r="D86" s="16">
        <v>23811681.489999998</v>
      </c>
      <c r="E86" s="16">
        <v>115009040.09</v>
      </c>
      <c r="F86" s="16">
        <v>140049610.28999999</v>
      </c>
      <c r="G86" s="16">
        <v>51507148.036249422</v>
      </c>
      <c r="H86" s="16">
        <v>679881620.74000001</v>
      </c>
      <c r="I86" s="16">
        <v>467490007.36000001</v>
      </c>
      <c r="J86" s="16">
        <v>745241858.33999991</v>
      </c>
      <c r="K86" s="16"/>
      <c r="L86" s="16"/>
      <c r="M86" s="16"/>
      <c r="N86" s="18">
        <f t="shared" si="2"/>
        <v>12387180142.226252</v>
      </c>
      <c r="P86" s="4"/>
      <c r="Q86" s="4"/>
      <c r="R86" s="4"/>
      <c r="S86" s="4"/>
      <c r="T86" s="4"/>
      <c r="U86" s="4"/>
      <c r="V86" s="4"/>
      <c r="W86" s="4"/>
      <c r="X86" s="4"/>
    </row>
    <row r="87" spans="1:24" ht="15" x14ac:dyDescent="0.2">
      <c r="A87" s="17" t="s">
        <v>82</v>
      </c>
      <c r="B87" s="16">
        <v>1637285456.1199999</v>
      </c>
      <c r="C87" s="16">
        <v>0</v>
      </c>
      <c r="D87" s="16">
        <v>23627974.832806304</v>
      </c>
      <c r="E87" s="16">
        <v>9918304.5099999998</v>
      </c>
      <c r="F87" s="16">
        <v>3976187.12</v>
      </c>
      <c r="G87" s="16">
        <v>3176648.93</v>
      </c>
      <c r="H87" s="16">
        <v>109517864.17</v>
      </c>
      <c r="I87" s="16">
        <v>13272637.77</v>
      </c>
      <c r="J87" s="16">
        <v>168513585.03000006</v>
      </c>
      <c r="K87" s="16"/>
      <c r="L87" s="16"/>
      <c r="M87" s="16"/>
      <c r="N87" s="18">
        <f t="shared" si="2"/>
        <v>1969288658.4828062</v>
      </c>
      <c r="P87" s="4"/>
      <c r="Q87" s="4"/>
      <c r="R87" s="4"/>
      <c r="S87" s="4"/>
      <c r="T87" s="4"/>
      <c r="U87" s="4"/>
      <c r="V87" s="4"/>
      <c r="W87" s="4"/>
      <c r="X87" s="4"/>
    </row>
    <row r="88" spans="1:24" ht="15" x14ac:dyDescent="0.2">
      <c r="A88" s="17" t="s">
        <v>83</v>
      </c>
      <c r="B88" s="16">
        <v>1571548002.96</v>
      </c>
      <c r="C88" s="16">
        <v>0</v>
      </c>
      <c r="D88" s="16">
        <v>11658122.884199049</v>
      </c>
      <c r="E88" s="16">
        <v>9110349.9800000004</v>
      </c>
      <c r="F88" s="16">
        <v>19514199.91</v>
      </c>
      <c r="G88" s="16">
        <v>6420528.5300000003</v>
      </c>
      <c r="H88" s="16">
        <v>105120692.34999999</v>
      </c>
      <c r="I88" s="16">
        <v>65139013.530000001</v>
      </c>
      <c r="J88" s="16">
        <v>256519086.43000004</v>
      </c>
      <c r="K88" s="16"/>
      <c r="L88" s="16"/>
      <c r="M88" s="16"/>
      <c r="N88" s="18">
        <f t="shared" si="2"/>
        <v>2045029996.5741992</v>
      </c>
      <c r="P88" s="4"/>
      <c r="Q88" s="4"/>
      <c r="R88" s="4"/>
      <c r="S88" s="4"/>
      <c r="T88" s="4"/>
      <c r="U88" s="4"/>
      <c r="V88" s="4"/>
      <c r="W88" s="4"/>
      <c r="X88" s="4"/>
    </row>
    <row r="89" spans="1:24" ht="15" x14ac:dyDescent="0.2">
      <c r="A89" s="17" t="s">
        <v>84</v>
      </c>
      <c r="B89" s="16">
        <v>2100651207.8399999</v>
      </c>
      <c r="C89" s="16">
        <v>0</v>
      </c>
      <c r="D89" s="16">
        <v>24682134.807300299</v>
      </c>
      <c r="E89" s="16">
        <v>12890163.5</v>
      </c>
      <c r="F89" s="16">
        <v>16411422.82</v>
      </c>
      <c r="G89" s="16">
        <v>6991989.1799999997</v>
      </c>
      <c r="H89" s="16">
        <v>140512354.02000001</v>
      </c>
      <c r="I89" s="16">
        <v>54781845.950000003</v>
      </c>
      <c r="J89" s="16">
        <v>263430622.14000002</v>
      </c>
      <c r="K89" s="16"/>
      <c r="L89" s="16"/>
      <c r="M89" s="16"/>
      <c r="N89" s="18">
        <f t="shared" si="2"/>
        <v>2620351740.2572999</v>
      </c>
      <c r="P89" s="4"/>
      <c r="Q89" s="4"/>
      <c r="R89" s="4"/>
      <c r="S89" s="4"/>
      <c r="T89" s="4"/>
      <c r="U89" s="4"/>
      <c r="V89" s="4"/>
      <c r="W89" s="4"/>
      <c r="X89" s="4"/>
    </row>
    <row r="90" spans="1:24" ht="15" x14ac:dyDescent="0.2">
      <c r="A90" s="17" t="s">
        <v>85</v>
      </c>
      <c r="B90" s="16">
        <v>9484453658.7299995</v>
      </c>
      <c r="C90" s="16">
        <v>0</v>
      </c>
      <c r="D90" s="16">
        <v>36380860.50137528</v>
      </c>
      <c r="E90" s="16">
        <v>105775977.93000001</v>
      </c>
      <c r="F90" s="16">
        <v>222618224.21000001</v>
      </c>
      <c r="G90" s="16">
        <v>65628172.711222112</v>
      </c>
      <c r="H90" s="16">
        <v>634414178.42999995</v>
      </c>
      <c r="I90" s="16">
        <v>743106639.53999996</v>
      </c>
      <c r="J90" s="16">
        <v>1535636137.3699994</v>
      </c>
      <c r="K90" s="16"/>
      <c r="L90" s="16"/>
      <c r="M90" s="16"/>
      <c r="N90" s="18">
        <f t="shared" si="2"/>
        <v>12828013849.422596</v>
      </c>
      <c r="P90" s="4"/>
      <c r="Q90" s="4"/>
      <c r="R90" s="4"/>
      <c r="S90" s="4"/>
      <c r="T90" s="4"/>
      <c r="U90" s="4"/>
      <c r="V90" s="4"/>
      <c r="W90" s="4"/>
      <c r="X90" s="4"/>
    </row>
    <row r="91" spans="1:24" ht="15" x14ac:dyDescent="0.2">
      <c r="A91" s="17" t="s">
        <v>86</v>
      </c>
      <c r="B91" s="16">
        <v>446258636.60999995</v>
      </c>
      <c r="C91" s="16">
        <v>0</v>
      </c>
      <c r="D91" s="16">
        <v>32452323.267231971</v>
      </c>
      <c r="E91" s="16">
        <v>2704438.81</v>
      </c>
      <c r="F91" s="16">
        <v>5168078.16</v>
      </c>
      <c r="G91" s="16">
        <v>2386688.61</v>
      </c>
      <c r="H91" s="16">
        <v>29850196.600000001</v>
      </c>
      <c r="I91" s="16">
        <v>17251207.59</v>
      </c>
      <c r="J91" s="16">
        <v>118429774.66999997</v>
      </c>
      <c r="K91" s="16"/>
      <c r="L91" s="16"/>
      <c r="M91" s="16"/>
      <c r="N91" s="18">
        <f t="shared" si="2"/>
        <v>654501344.31723201</v>
      </c>
      <c r="P91" s="4"/>
      <c r="Q91" s="4"/>
      <c r="R91" s="4"/>
      <c r="S91" s="4"/>
      <c r="T91" s="4"/>
      <c r="U91" s="4"/>
      <c r="V91" s="4"/>
      <c r="W91" s="4"/>
      <c r="X91" s="4"/>
    </row>
    <row r="92" spans="1:24" ht="15" x14ac:dyDescent="0.2">
      <c r="A92" s="17" t="s">
        <v>87</v>
      </c>
      <c r="B92" s="16">
        <v>599646027.31999993</v>
      </c>
      <c r="C92" s="16">
        <v>0</v>
      </c>
      <c r="D92" s="16">
        <v>1641831.4900000002</v>
      </c>
      <c r="E92" s="16">
        <v>3749576.59</v>
      </c>
      <c r="F92" s="16">
        <v>1105032.58</v>
      </c>
      <c r="G92" s="16">
        <v>806767.98</v>
      </c>
      <c r="H92" s="16">
        <v>40110264.18</v>
      </c>
      <c r="I92" s="16">
        <v>3688633.56</v>
      </c>
      <c r="J92" s="16">
        <v>46050218.339999996</v>
      </c>
      <c r="K92" s="16"/>
      <c r="L92" s="16"/>
      <c r="M92" s="16"/>
      <c r="N92" s="18">
        <f t="shared" si="2"/>
        <v>696798352.03999996</v>
      </c>
      <c r="P92" s="4"/>
      <c r="Q92" s="4"/>
      <c r="R92" s="4"/>
      <c r="S92" s="4"/>
      <c r="T92" s="4"/>
      <c r="U92" s="4"/>
      <c r="V92" s="4"/>
      <c r="W92" s="4"/>
      <c r="X92" s="4"/>
    </row>
    <row r="93" spans="1:24" ht="15" x14ac:dyDescent="0.2">
      <c r="A93" s="17" t="s">
        <v>88</v>
      </c>
      <c r="B93" s="16">
        <v>7034676347.25</v>
      </c>
      <c r="C93" s="16">
        <v>0</v>
      </c>
      <c r="D93" s="16">
        <v>37503046.134013586</v>
      </c>
      <c r="E93" s="16">
        <v>76640411.200000003</v>
      </c>
      <c r="F93" s="16">
        <v>180424316.19999999</v>
      </c>
      <c r="G93" s="16">
        <v>35056697.969704188</v>
      </c>
      <c r="H93" s="16">
        <v>470548813.44999999</v>
      </c>
      <c r="I93" s="16">
        <v>602262046.48000002</v>
      </c>
      <c r="J93" s="16">
        <v>1585289503.8299994</v>
      </c>
      <c r="K93" s="16"/>
      <c r="L93" s="16"/>
      <c r="M93" s="16"/>
      <c r="N93" s="18">
        <f t="shared" si="2"/>
        <v>10022401182.513718</v>
      </c>
      <c r="P93" s="4"/>
      <c r="Q93" s="4"/>
      <c r="R93" s="4"/>
      <c r="S93" s="4"/>
      <c r="T93" s="4"/>
      <c r="U93" s="4"/>
      <c r="V93" s="4"/>
      <c r="W93" s="4"/>
      <c r="X93" s="4"/>
    </row>
    <row r="94" spans="1:24" ht="15" x14ac:dyDescent="0.2">
      <c r="A94" s="17" t="s">
        <v>89</v>
      </c>
      <c r="B94" s="16">
        <v>3470181482.0299997</v>
      </c>
      <c r="C94" s="16">
        <v>0</v>
      </c>
      <c r="D94" s="16">
        <v>47528729.080000006</v>
      </c>
      <c r="E94" s="16">
        <v>39412301.57</v>
      </c>
      <c r="F94" s="16">
        <v>81584218.069999993</v>
      </c>
      <c r="G94" s="16">
        <v>38552455.660446793</v>
      </c>
      <c r="H94" s="16">
        <v>232120100.24000001</v>
      </c>
      <c r="I94" s="16">
        <v>272330687.88</v>
      </c>
      <c r="J94" s="16">
        <v>748710362.78999984</v>
      </c>
      <c r="K94" s="16"/>
      <c r="L94" s="16"/>
      <c r="M94" s="16"/>
      <c r="N94" s="18">
        <f t="shared" si="2"/>
        <v>4930420337.320447</v>
      </c>
      <c r="P94" s="4"/>
      <c r="Q94" s="4"/>
      <c r="R94" s="4"/>
      <c r="S94" s="4"/>
      <c r="T94" s="4"/>
      <c r="U94" s="4"/>
      <c r="V94" s="4"/>
      <c r="W94" s="4"/>
      <c r="X94" s="4"/>
    </row>
    <row r="95" spans="1:24" ht="15" x14ac:dyDescent="0.2">
      <c r="A95" s="17" t="s">
        <v>90</v>
      </c>
      <c r="B95" s="16">
        <v>703570149.19000006</v>
      </c>
      <c r="C95" s="16">
        <v>0</v>
      </c>
      <c r="D95" s="16">
        <v>17750997.617590334</v>
      </c>
      <c r="E95" s="16">
        <v>4433441.8600000003</v>
      </c>
      <c r="F95" s="16">
        <v>4000314.47</v>
      </c>
      <c r="G95" s="16">
        <v>1916073.96</v>
      </c>
      <c r="H95" s="16">
        <v>47061738.530000001</v>
      </c>
      <c r="I95" s="16">
        <v>13353175.619999999</v>
      </c>
      <c r="J95" s="16">
        <v>119669640.26999998</v>
      </c>
      <c r="K95" s="16"/>
      <c r="L95" s="16"/>
      <c r="M95" s="16"/>
      <c r="N95" s="18">
        <f t="shared" si="2"/>
        <v>911755531.5175904</v>
      </c>
      <c r="P95" s="4"/>
      <c r="Q95" s="4"/>
      <c r="R95" s="4"/>
      <c r="S95" s="4"/>
      <c r="T95" s="4"/>
      <c r="U95" s="4"/>
      <c r="V95" s="4"/>
      <c r="W95" s="4"/>
      <c r="X95" s="4"/>
    </row>
    <row r="96" spans="1:24" ht="15" x14ac:dyDescent="0.2">
      <c r="A96" s="17" t="s">
        <v>91</v>
      </c>
      <c r="B96" s="16">
        <v>2279795378.46</v>
      </c>
      <c r="C96" s="16">
        <v>0</v>
      </c>
      <c r="D96" s="16">
        <v>59052458.882604092</v>
      </c>
      <c r="E96" s="16">
        <v>24659693.780000001</v>
      </c>
      <c r="F96" s="16">
        <v>22419132.73</v>
      </c>
      <c r="G96" s="16">
        <v>9798869.4499999993</v>
      </c>
      <c r="H96" s="16">
        <v>152495290.09</v>
      </c>
      <c r="I96" s="16">
        <v>74835770.739999995</v>
      </c>
      <c r="J96" s="16">
        <v>405533251.38999987</v>
      </c>
      <c r="K96" s="16"/>
      <c r="L96" s="16"/>
      <c r="M96" s="16"/>
      <c r="N96" s="18">
        <f t="shared" si="2"/>
        <v>3028589845.522604</v>
      </c>
      <c r="P96" s="4"/>
      <c r="Q96" s="4"/>
      <c r="R96" s="4"/>
      <c r="S96" s="4"/>
      <c r="T96" s="4"/>
      <c r="U96" s="4"/>
      <c r="V96" s="4"/>
      <c r="W96" s="4"/>
      <c r="X96" s="4"/>
    </row>
    <row r="97" spans="1:24" ht="15" x14ac:dyDescent="0.2">
      <c r="A97" s="17" t="s">
        <v>92</v>
      </c>
      <c r="B97" s="16">
        <v>1132145026.5499997</v>
      </c>
      <c r="C97" s="16">
        <v>0</v>
      </c>
      <c r="D97" s="16">
        <v>64060086.027697302</v>
      </c>
      <c r="E97" s="16">
        <v>6928578.2300000004</v>
      </c>
      <c r="F97" s="16">
        <v>10350632.74</v>
      </c>
      <c r="G97" s="16">
        <v>5042299.8899999997</v>
      </c>
      <c r="H97" s="16">
        <v>75729070.200000003</v>
      </c>
      <c r="I97" s="16">
        <v>34550737.890000001</v>
      </c>
      <c r="J97" s="16">
        <v>275606777.7100001</v>
      </c>
      <c r="K97" s="16"/>
      <c r="L97" s="16"/>
      <c r="M97" s="16"/>
      <c r="N97" s="18">
        <f t="shared" si="2"/>
        <v>1604413209.2376974</v>
      </c>
      <c r="P97" s="4"/>
      <c r="Q97" s="4"/>
      <c r="R97" s="4"/>
      <c r="S97" s="4"/>
      <c r="T97" s="4"/>
      <c r="U97" s="4"/>
      <c r="V97" s="4"/>
      <c r="W97" s="4"/>
      <c r="X97" s="4"/>
    </row>
    <row r="98" spans="1:24" ht="15" x14ac:dyDescent="0.2">
      <c r="A98" s="17" t="s">
        <v>93</v>
      </c>
      <c r="B98" s="16">
        <v>3246731805.7000003</v>
      </c>
      <c r="C98" s="16">
        <v>0</v>
      </c>
      <c r="D98" s="16">
        <v>67907498.510036841</v>
      </c>
      <c r="E98" s="16">
        <v>36018768.990000002</v>
      </c>
      <c r="F98" s="16">
        <v>24069443.41</v>
      </c>
      <c r="G98" s="16">
        <v>12067904.41</v>
      </c>
      <c r="H98" s="16">
        <v>217173573.22</v>
      </c>
      <c r="I98" s="16">
        <v>80344559.719999999</v>
      </c>
      <c r="J98" s="16">
        <v>531379865.49000001</v>
      </c>
      <c r="K98" s="16"/>
      <c r="L98" s="16"/>
      <c r="M98" s="16"/>
      <c r="N98" s="18">
        <f t="shared" si="2"/>
        <v>4215693419.450036</v>
      </c>
      <c r="P98" s="4"/>
      <c r="Q98" s="4"/>
      <c r="R98" s="4"/>
      <c r="S98" s="4"/>
      <c r="T98" s="4"/>
      <c r="U98" s="4"/>
      <c r="V98" s="4"/>
      <c r="W98" s="4"/>
      <c r="X98" s="4"/>
    </row>
    <row r="99" spans="1:24" ht="15" x14ac:dyDescent="0.2">
      <c r="A99" s="17" t="s">
        <v>94</v>
      </c>
      <c r="B99" s="16">
        <v>2338549028.1100001</v>
      </c>
      <c r="C99" s="16">
        <v>0</v>
      </c>
      <c r="D99" s="16">
        <v>42394886.246827886</v>
      </c>
      <c r="E99" s="16">
        <v>14139695.119999999</v>
      </c>
      <c r="F99" s="16">
        <v>8922293.6699999999</v>
      </c>
      <c r="G99" s="16">
        <v>3613648.26</v>
      </c>
      <c r="H99" s="16">
        <v>156425315.97</v>
      </c>
      <c r="I99" s="16">
        <v>29782897.140000001</v>
      </c>
      <c r="J99" s="16">
        <v>348437572.34000009</v>
      </c>
      <c r="K99" s="16"/>
      <c r="L99" s="16"/>
      <c r="M99" s="16"/>
      <c r="N99" s="18">
        <f t="shared" si="2"/>
        <v>2942265336.8568282</v>
      </c>
      <c r="P99" s="4"/>
      <c r="Q99" s="4"/>
      <c r="R99" s="4"/>
      <c r="S99" s="4"/>
      <c r="T99" s="4"/>
      <c r="U99" s="4"/>
      <c r="V99" s="4"/>
      <c r="W99" s="4"/>
      <c r="X99" s="4"/>
    </row>
    <row r="100" spans="1:24" ht="15" x14ac:dyDescent="0.2">
      <c r="A100" s="17" t="s">
        <v>95</v>
      </c>
      <c r="B100" s="16">
        <v>2374621334.2799997</v>
      </c>
      <c r="C100" s="16">
        <v>0</v>
      </c>
      <c r="D100" s="16">
        <v>53147151.810054675</v>
      </c>
      <c r="E100" s="16">
        <v>14939403.220000001</v>
      </c>
      <c r="F100" s="16">
        <v>10017675.32</v>
      </c>
      <c r="G100" s="16">
        <v>4302762.57</v>
      </c>
      <c r="H100" s="16">
        <v>158838189.00999999</v>
      </c>
      <c r="I100" s="16">
        <v>33439315.550000001</v>
      </c>
      <c r="J100" s="16">
        <v>269450598.28000003</v>
      </c>
      <c r="K100" s="16"/>
      <c r="L100" s="16"/>
      <c r="M100" s="16"/>
      <c r="N100" s="18">
        <f t="shared" si="2"/>
        <v>2918756430.0400548</v>
      </c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" x14ac:dyDescent="0.2">
      <c r="A101" s="17" t="s">
        <v>96</v>
      </c>
      <c r="B101" s="16">
        <v>508247901.68000001</v>
      </c>
      <c r="C101" s="16">
        <v>0</v>
      </c>
      <c r="D101" s="16">
        <v>18506994.401859149</v>
      </c>
      <c r="E101" s="16">
        <v>3061195.4</v>
      </c>
      <c r="F101" s="16">
        <v>1196716.51</v>
      </c>
      <c r="G101" s="16">
        <v>689114.32</v>
      </c>
      <c r="H101" s="16">
        <v>33996652.479999997</v>
      </c>
      <c r="I101" s="16">
        <v>3994677.39</v>
      </c>
      <c r="J101" s="16">
        <v>62186145.829999991</v>
      </c>
      <c r="K101" s="16"/>
      <c r="L101" s="16"/>
      <c r="M101" s="16"/>
      <c r="N101" s="18">
        <f t="shared" si="2"/>
        <v>631879398.01185918</v>
      </c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" x14ac:dyDescent="0.2">
      <c r="A102" s="17" t="s">
        <v>97</v>
      </c>
      <c r="B102" s="16">
        <v>1388078999.9100003</v>
      </c>
      <c r="C102" s="16">
        <v>0</v>
      </c>
      <c r="D102" s="16">
        <v>82508457.456380293</v>
      </c>
      <c r="E102" s="16">
        <v>15328011.289999999</v>
      </c>
      <c r="F102" s="16">
        <v>23171906.02</v>
      </c>
      <c r="G102" s="16">
        <v>11059444.43</v>
      </c>
      <c r="H102" s="16">
        <v>92848468.670000002</v>
      </c>
      <c r="I102" s="16">
        <v>77348551.680000007</v>
      </c>
      <c r="J102" s="16">
        <v>400506727.16000015</v>
      </c>
      <c r="K102" s="16"/>
      <c r="L102" s="16"/>
      <c r="M102" s="16"/>
      <c r="N102" s="18">
        <f t="shared" si="2"/>
        <v>2090850566.6163809</v>
      </c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" x14ac:dyDescent="0.2">
      <c r="A103" s="17" t="s">
        <v>98</v>
      </c>
      <c r="B103" s="16">
        <v>488097386.02999997</v>
      </c>
      <c r="C103" s="16">
        <v>0</v>
      </c>
      <c r="D103" s="16">
        <v>23204046.450175647</v>
      </c>
      <c r="E103" s="16">
        <v>3148961.06</v>
      </c>
      <c r="F103" s="16">
        <v>574230.9</v>
      </c>
      <c r="G103" s="16">
        <v>436999.32</v>
      </c>
      <c r="H103" s="16">
        <v>32648786.460000001</v>
      </c>
      <c r="I103" s="16">
        <v>1916800.84</v>
      </c>
      <c r="J103" s="16">
        <v>87906208.10999997</v>
      </c>
      <c r="K103" s="16"/>
      <c r="L103" s="16"/>
      <c r="M103" s="16"/>
      <c r="N103" s="18">
        <f t="shared" si="2"/>
        <v>637933419.17017567</v>
      </c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" x14ac:dyDescent="0.2">
      <c r="A104" s="17" t="s">
        <v>99</v>
      </c>
      <c r="B104" s="16">
        <v>7747472805.7099991</v>
      </c>
      <c r="C104" s="16">
        <v>0</v>
      </c>
      <c r="D104" s="16">
        <v>53200530.596756488</v>
      </c>
      <c r="E104" s="16">
        <v>85301972.109999999</v>
      </c>
      <c r="F104" s="16">
        <v>117678732.25</v>
      </c>
      <c r="G104" s="16">
        <v>22932677.447560787</v>
      </c>
      <c r="H104" s="16">
        <v>518227698.89999998</v>
      </c>
      <c r="I104" s="16">
        <v>392815312.31999999</v>
      </c>
      <c r="J104" s="16">
        <v>972631122.35000014</v>
      </c>
      <c r="K104" s="16"/>
      <c r="L104" s="16"/>
      <c r="M104" s="16"/>
      <c r="N104" s="18">
        <f t="shared" ref="N104:N135" si="3">SUM(B104:M104)</f>
        <v>9910260851.6843166</v>
      </c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" x14ac:dyDescent="0.2">
      <c r="A105" s="17" t="s">
        <v>100</v>
      </c>
      <c r="B105" s="16">
        <v>1254297516.2700002</v>
      </c>
      <c r="C105" s="16">
        <v>0</v>
      </c>
      <c r="D105" s="16">
        <v>12011689.939999999</v>
      </c>
      <c r="E105" s="16">
        <v>14620641.02</v>
      </c>
      <c r="F105" s="16">
        <v>5071568.7699999996</v>
      </c>
      <c r="G105" s="16">
        <v>3781724.92</v>
      </c>
      <c r="H105" s="16">
        <v>83899838.299999997</v>
      </c>
      <c r="I105" s="16">
        <v>16929056.190000001</v>
      </c>
      <c r="J105" s="16">
        <v>127012659.50999996</v>
      </c>
      <c r="K105" s="16"/>
      <c r="L105" s="16"/>
      <c r="M105" s="16"/>
      <c r="N105" s="18">
        <f t="shared" si="3"/>
        <v>1517624694.9200003</v>
      </c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" x14ac:dyDescent="0.2">
      <c r="A106" s="17" t="s">
        <v>101</v>
      </c>
      <c r="B106" s="16">
        <v>1425528845.3000002</v>
      </c>
      <c r="C106" s="16">
        <v>0</v>
      </c>
      <c r="D106" s="16">
        <v>6452251.1799999997</v>
      </c>
      <c r="E106" s="16">
        <v>8629896.8200000003</v>
      </c>
      <c r="F106" s="16">
        <v>35935273.670000002</v>
      </c>
      <c r="G106" s="16">
        <v>11183340.149658324</v>
      </c>
      <c r="H106" s="16">
        <v>95353485.170000002</v>
      </c>
      <c r="I106" s="16">
        <v>119953074.62</v>
      </c>
      <c r="J106" s="16">
        <v>333813397.07000011</v>
      </c>
      <c r="K106" s="16"/>
      <c r="L106" s="16"/>
      <c r="M106" s="16"/>
      <c r="N106" s="18">
        <f t="shared" si="3"/>
        <v>2036849563.9796591</v>
      </c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" x14ac:dyDescent="0.2">
      <c r="A107" s="17" t="s">
        <v>102</v>
      </c>
      <c r="B107" s="16">
        <v>1882775760.03</v>
      </c>
      <c r="C107" s="16">
        <v>0</v>
      </c>
      <c r="D107" s="16">
        <v>29108298.332683899</v>
      </c>
      <c r="E107" s="16">
        <v>11583692.189999999</v>
      </c>
      <c r="F107" s="16">
        <v>1997744.5</v>
      </c>
      <c r="G107" s="16">
        <v>1596728.3</v>
      </c>
      <c r="H107" s="16">
        <v>125938686.61</v>
      </c>
      <c r="I107" s="16">
        <v>6668534.0300000003</v>
      </c>
      <c r="J107" s="16">
        <v>154654643.39000005</v>
      </c>
      <c r="K107" s="16"/>
      <c r="L107" s="16"/>
      <c r="M107" s="16"/>
      <c r="N107" s="18">
        <f t="shared" si="3"/>
        <v>2214324087.3826838</v>
      </c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" x14ac:dyDescent="0.2">
      <c r="A108" s="17" t="s">
        <v>103</v>
      </c>
      <c r="B108" s="16">
        <v>704659366.25</v>
      </c>
      <c r="C108" s="16">
        <v>0</v>
      </c>
      <c r="D108" s="16">
        <v>9664913.2214111704</v>
      </c>
      <c r="E108" s="16">
        <v>4233563.93</v>
      </c>
      <c r="F108" s="16">
        <v>2026697.32</v>
      </c>
      <c r="G108" s="16">
        <v>1176536.6399999999</v>
      </c>
      <c r="H108" s="16">
        <v>47134596.159999996</v>
      </c>
      <c r="I108" s="16">
        <v>6765179.4500000002</v>
      </c>
      <c r="J108" s="16">
        <v>82502265.729999974</v>
      </c>
      <c r="K108" s="16"/>
      <c r="L108" s="16"/>
      <c r="M108" s="16"/>
      <c r="N108" s="18">
        <f t="shared" si="3"/>
        <v>858163118.70141125</v>
      </c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" x14ac:dyDescent="0.2">
      <c r="A109" s="17" t="s">
        <v>104</v>
      </c>
      <c r="B109" s="16">
        <v>6379031748.6100006</v>
      </c>
      <c r="C109" s="16">
        <v>0</v>
      </c>
      <c r="D109" s="16">
        <v>60416163.742085405</v>
      </c>
      <c r="E109" s="16">
        <v>70083578.379999995</v>
      </c>
      <c r="F109" s="16">
        <v>206925796.38999999</v>
      </c>
      <c r="G109" s="16">
        <v>98275836.732734591</v>
      </c>
      <c r="H109" s="16">
        <v>426692810.31999999</v>
      </c>
      <c r="I109" s="16">
        <v>690724821.53999996</v>
      </c>
      <c r="J109" s="16">
        <v>1505317915.3699999</v>
      </c>
      <c r="K109" s="16"/>
      <c r="L109" s="16"/>
      <c r="M109" s="16"/>
      <c r="N109" s="18">
        <f t="shared" si="3"/>
        <v>9437468671.0848198</v>
      </c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" x14ac:dyDescent="0.2">
      <c r="A110" s="17" t="s">
        <v>105</v>
      </c>
      <c r="B110" s="16">
        <v>721862588.6500001</v>
      </c>
      <c r="C110" s="16">
        <v>0</v>
      </c>
      <c r="D110" s="16">
        <v>29000604.813899923</v>
      </c>
      <c r="E110" s="16">
        <v>8108151.8700000001</v>
      </c>
      <c r="F110" s="16">
        <v>7908945.0099999998</v>
      </c>
      <c r="G110" s="16">
        <v>3815340.25</v>
      </c>
      <c r="H110" s="16">
        <v>48285318.020000003</v>
      </c>
      <c r="I110" s="16">
        <v>26400307.41</v>
      </c>
      <c r="J110" s="16">
        <v>174420751.67000005</v>
      </c>
      <c r="K110" s="16"/>
      <c r="L110" s="16"/>
      <c r="M110" s="16"/>
      <c r="N110" s="18">
        <f t="shared" si="3"/>
        <v>1019802007.6939</v>
      </c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" x14ac:dyDescent="0.2">
      <c r="A111" s="17" t="s">
        <v>106</v>
      </c>
      <c r="B111" s="16">
        <v>882970606.16000009</v>
      </c>
      <c r="C111" s="16">
        <v>0</v>
      </c>
      <c r="D111" s="16">
        <v>24191260.439607065</v>
      </c>
      <c r="E111" s="16">
        <v>5357631.8899999997</v>
      </c>
      <c r="F111" s="16">
        <v>2755343.26</v>
      </c>
      <c r="G111" s="16">
        <v>1596728.3</v>
      </c>
      <c r="H111" s="16">
        <v>59061817.57</v>
      </c>
      <c r="I111" s="16">
        <v>9197422.5299999993</v>
      </c>
      <c r="J111" s="16">
        <v>135883546.69</v>
      </c>
      <c r="K111" s="16"/>
      <c r="L111" s="16"/>
      <c r="M111" s="16"/>
      <c r="N111" s="18">
        <f t="shared" si="3"/>
        <v>1121014356.839607</v>
      </c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" x14ac:dyDescent="0.2">
      <c r="A112" s="17" t="s">
        <v>107</v>
      </c>
      <c r="B112" s="16">
        <v>1258814563.52</v>
      </c>
      <c r="C112" s="16">
        <v>0</v>
      </c>
      <c r="D112" s="16">
        <v>41397880.719800532</v>
      </c>
      <c r="E112" s="16">
        <v>7711400.7599999998</v>
      </c>
      <c r="F112" s="16">
        <v>3348876.04</v>
      </c>
      <c r="G112" s="16">
        <v>1899266.29</v>
      </c>
      <c r="H112" s="16">
        <v>84201983.150000006</v>
      </c>
      <c r="I112" s="16">
        <v>11178653.66</v>
      </c>
      <c r="J112" s="16">
        <v>142540351.02000001</v>
      </c>
      <c r="K112" s="16"/>
      <c r="L112" s="16"/>
      <c r="M112" s="16"/>
      <c r="N112" s="18">
        <f t="shared" si="3"/>
        <v>1551092975.1598005</v>
      </c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" x14ac:dyDescent="0.2">
      <c r="A113" s="17" t="s">
        <v>108</v>
      </c>
      <c r="B113" s="16">
        <v>1013484438.62</v>
      </c>
      <c r="C113" s="16">
        <v>0</v>
      </c>
      <c r="D113" s="16">
        <v>54629990.343742341</v>
      </c>
      <c r="E113" s="16">
        <v>6103934.4900000002</v>
      </c>
      <c r="F113" s="16">
        <v>4719309.47</v>
      </c>
      <c r="G113" s="16">
        <v>2453919.2799999998</v>
      </c>
      <c r="H113" s="16">
        <v>67791875.069999993</v>
      </c>
      <c r="I113" s="16">
        <v>15753203.57</v>
      </c>
      <c r="J113" s="16">
        <v>139203371.16999996</v>
      </c>
      <c r="K113" s="16"/>
      <c r="L113" s="16"/>
      <c r="M113" s="16"/>
      <c r="N113" s="18">
        <f t="shared" si="3"/>
        <v>1304140042.013742</v>
      </c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" x14ac:dyDescent="0.2">
      <c r="A114" s="17" t="s">
        <v>109</v>
      </c>
      <c r="B114" s="16">
        <v>626395916.9000001</v>
      </c>
      <c r="C114" s="16">
        <v>0</v>
      </c>
      <c r="D114" s="16">
        <v>20212587.505549554</v>
      </c>
      <c r="E114" s="16">
        <v>3735636.18</v>
      </c>
      <c r="F114" s="16">
        <v>2856678.12</v>
      </c>
      <c r="G114" s="16">
        <v>1344613.3</v>
      </c>
      <c r="H114" s="16">
        <v>41899561.68</v>
      </c>
      <c r="I114" s="16">
        <v>9535681.5099999998</v>
      </c>
      <c r="J114" s="16">
        <v>106337836.31999998</v>
      </c>
      <c r="K114" s="16"/>
      <c r="L114" s="16"/>
      <c r="M114" s="16"/>
      <c r="N114" s="18">
        <f t="shared" si="3"/>
        <v>812318511.51554942</v>
      </c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" x14ac:dyDescent="0.2">
      <c r="A115" s="17" t="s">
        <v>110</v>
      </c>
      <c r="B115" s="16">
        <v>1474735827.79</v>
      </c>
      <c r="C115" s="16">
        <v>0</v>
      </c>
      <c r="D115" s="16">
        <v>18836486.336275723</v>
      </c>
      <c r="E115" s="16">
        <v>9270173.7899999991</v>
      </c>
      <c r="F115" s="16">
        <v>2958012.99</v>
      </c>
      <c r="G115" s="16">
        <v>2151381.29</v>
      </c>
      <c r="H115" s="16">
        <v>98644935.420000002</v>
      </c>
      <c r="I115" s="16">
        <v>9873940.4800000004</v>
      </c>
      <c r="J115" s="16">
        <v>142482646.60000005</v>
      </c>
      <c r="K115" s="16"/>
      <c r="L115" s="16"/>
      <c r="M115" s="16"/>
      <c r="N115" s="18">
        <f t="shared" si="3"/>
        <v>1758953404.6962759</v>
      </c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" x14ac:dyDescent="0.2">
      <c r="A116" s="17" t="s">
        <v>111</v>
      </c>
      <c r="B116" s="16">
        <v>955243361.68000007</v>
      </c>
      <c r="C116" s="16">
        <v>0</v>
      </c>
      <c r="D116" s="16">
        <v>31213507.325391974</v>
      </c>
      <c r="E116" s="16">
        <v>5839263.1100000003</v>
      </c>
      <c r="F116" s="16">
        <v>8164694.9100000001</v>
      </c>
      <c r="G116" s="16">
        <v>3411956.26</v>
      </c>
      <c r="H116" s="16">
        <v>63896135.119999997</v>
      </c>
      <c r="I116" s="16">
        <v>27254008.629999999</v>
      </c>
      <c r="J116" s="16">
        <v>193291661.44000009</v>
      </c>
      <c r="K116" s="16"/>
      <c r="L116" s="16"/>
      <c r="M116" s="16"/>
      <c r="N116" s="18">
        <f t="shared" si="3"/>
        <v>1288314588.4753921</v>
      </c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" x14ac:dyDescent="0.2">
      <c r="A117" s="17" t="s">
        <v>112</v>
      </c>
      <c r="B117" s="16">
        <v>523657119.49000001</v>
      </c>
      <c r="C117" s="16">
        <v>0</v>
      </c>
      <c r="D117" s="16">
        <v>5716803.0554857869</v>
      </c>
      <c r="E117" s="16">
        <v>3160938.02</v>
      </c>
      <c r="F117" s="16">
        <v>1717867.25</v>
      </c>
      <c r="G117" s="16">
        <v>907613.98</v>
      </c>
      <c r="H117" s="16">
        <v>35027373.560000002</v>
      </c>
      <c r="I117" s="16">
        <v>5734294.96</v>
      </c>
      <c r="J117" s="16">
        <v>56968313.240000002</v>
      </c>
      <c r="K117" s="16"/>
      <c r="L117" s="16"/>
      <c r="M117" s="16"/>
      <c r="N117" s="18">
        <f t="shared" si="3"/>
        <v>632890323.55548584</v>
      </c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" x14ac:dyDescent="0.2">
      <c r="A118" s="17" t="s">
        <v>113</v>
      </c>
      <c r="B118" s="16">
        <v>867112887.17000008</v>
      </c>
      <c r="C118" s="16">
        <v>0</v>
      </c>
      <c r="D118" s="16">
        <v>48818515.090805985</v>
      </c>
      <c r="E118" s="16">
        <v>5421247.2699999996</v>
      </c>
      <c r="F118" s="16">
        <v>8101963.8099999996</v>
      </c>
      <c r="G118" s="16">
        <v>3781724.92</v>
      </c>
      <c r="H118" s="16">
        <v>58001096.299999997</v>
      </c>
      <c r="I118" s="16">
        <v>27044610.219999999</v>
      </c>
      <c r="J118" s="16">
        <v>157027283.33000007</v>
      </c>
      <c r="K118" s="16"/>
      <c r="L118" s="16"/>
      <c r="M118" s="16"/>
      <c r="N118" s="18">
        <f t="shared" si="3"/>
        <v>1175309328.110806</v>
      </c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" x14ac:dyDescent="0.2">
      <c r="A119" s="17" t="s">
        <v>114</v>
      </c>
      <c r="B119" s="16">
        <v>1130895630.52</v>
      </c>
      <c r="C119" s="16">
        <v>0</v>
      </c>
      <c r="D119" s="16">
        <v>24098563.349123552</v>
      </c>
      <c r="E119" s="16">
        <v>7105483.9500000002</v>
      </c>
      <c r="F119" s="16">
        <v>6509558.7699999996</v>
      </c>
      <c r="G119" s="16">
        <v>2537957.61</v>
      </c>
      <c r="H119" s="16">
        <v>75645498.219999999</v>
      </c>
      <c r="I119" s="16">
        <v>21729112.079999998</v>
      </c>
      <c r="J119" s="16">
        <v>142936484.22999999</v>
      </c>
      <c r="K119" s="16"/>
      <c r="L119" s="16"/>
      <c r="M119" s="16"/>
      <c r="N119" s="18">
        <f t="shared" si="3"/>
        <v>1411458288.7291234</v>
      </c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" x14ac:dyDescent="0.2">
      <c r="A120" s="17" t="s">
        <v>115</v>
      </c>
      <c r="B120" s="16">
        <v>693831267.23000002</v>
      </c>
      <c r="C120" s="16">
        <v>0</v>
      </c>
      <c r="D120" s="16">
        <v>19387154.486881278</v>
      </c>
      <c r="E120" s="16">
        <v>4393780.43</v>
      </c>
      <c r="F120" s="16">
        <v>4386352.05</v>
      </c>
      <c r="G120" s="16">
        <v>2571572.94</v>
      </c>
      <c r="H120" s="16">
        <v>46410305.670000002</v>
      </c>
      <c r="I120" s="16">
        <v>14641781.23</v>
      </c>
      <c r="J120" s="16">
        <v>148189667.21999994</v>
      </c>
      <c r="K120" s="16"/>
      <c r="L120" s="16"/>
      <c r="M120" s="16"/>
      <c r="N120" s="18">
        <f t="shared" si="3"/>
        <v>933811881.25688112</v>
      </c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" x14ac:dyDescent="0.2">
      <c r="A121" s="17" t="s">
        <v>116</v>
      </c>
      <c r="B121" s="16">
        <v>893958884.13999999</v>
      </c>
      <c r="C121" s="16">
        <v>0</v>
      </c>
      <c r="D121" s="16">
        <v>26447393.576872543</v>
      </c>
      <c r="E121" s="16">
        <v>5637421.7400000002</v>
      </c>
      <c r="F121" s="16">
        <v>1843329.46</v>
      </c>
      <c r="G121" s="16">
        <v>857190.98</v>
      </c>
      <c r="H121" s="16">
        <v>59796822.409999996</v>
      </c>
      <c r="I121" s="16">
        <v>6153091.7800000003</v>
      </c>
      <c r="J121" s="16">
        <v>82344228.370000005</v>
      </c>
      <c r="K121" s="16"/>
      <c r="L121" s="16"/>
      <c r="M121" s="16"/>
      <c r="N121" s="18">
        <f t="shared" si="3"/>
        <v>1077038362.4568725</v>
      </c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" x14ac:dyDescent="0.2">
      <c r="A122" s="17" t="s">
        <v>117</v>
      </c>
      <c r="B122" s="16">
        <v>2876558184.2199998</v>
      </c>
      <c r="C122" s="16">
        <v>0</v>
      </c>
      <c r="D122" s="16">
        <v>39884776.030000001</v>
      </c>
      <c r="E122" s="16">
        <v>31627326.390000001</v>
      </c>
      <c r="F122" s="16">
        <v>55492902.810000002</v>
      </c>
      <c r="G122" s="16">
        <v>24367881.34104947</v>
      </c>
      <c r="H122" s="16">
        <v>192412695.84999999</v>
      </c>
      <c r="I122" s="16">
        <v>185237056.28999999</v>
      </c>
      <c r="J122" s="16">
        <v>386271407.08999991</v>
      </c>
      <c r="K122" s="16"/>
      <c r="L122" s="16"/>
      <c r="M122" s="16"/>
      <c r="N122" s="18">
        <f t="shared" si="3"/>
        <v>3791852230.0210495</v>
      </c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" x14ac:dyDescent="0.2">
      <c r="A123" s="17" t="s">
        <v>118</v>
      </c>
      <c r="B123" s="16">
        <v>5724412295.4499998</v>
      </c>
      <c r="C123" s="16">
        <v>0</v>
      </c>
      <c r="D123" s="16">
        <v>63340226.600000001</v>
      </c>
      <c r="E123" s="16">
        <v>36930884.880000003</v>
      </c>
      <c r="F123" s="16">
        <v>77139960.379999995</v>
      </c>
      <c r="G123" s="16">
        <v>56053412.620992184</v>
      </c>
      <c r="H123" s="16">
        <v>382905379.06</v>
      </c>
      <c r="I123" s="16">
        <v>257495615.81</v>
      </c>
      <c r="J123" s="16">
        <v>504010288.14000022</v>
      </c>
      <c r="K123" s="16"/>
      <c r="L123" s="16"/>
      <c r="M123" s="16"/>
      <c r="N123" s="18">
        <f t="shared" si="3"/>
        <v>7102288062.9409933</v>
      </c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" x14ac:dyDescent="0.2">
      <c r="A124" s="17" t="s">
        <v>119</v>
      </c>
      <c r="B124" s="16">
        <v>5990629759.2399998</v>
      </c>
      <c r="C124" s="16">
        <v>0</v>
      </c>
      <c r="D124" s="16">
        <v>33958526.760000005</v>
      </c>
      <c r="E124" s="16">
        <v>64248305.799999997</v>
      </c>
      <c r="F124" s="16">
        <v>98782192.480000004</v>
      </c>
      <c r="G124" s="16">
        <v>0</v>
      </c>
      <c r="H124" s="16">
        <v>400712639.19999999</v>
      </c>
      <c r="I124" s="16">
        <v>329738067.75999999</v>
      </c>
      <c r="J124" s="16">
        <v>721065779.55000019</v>
      </c>
      <c r="K124" s="16"/>
      <c r="L124" s="16"/>
      <c r="M124" s="16"/>
      <c r="N124" s="18">
        <f t="shared" si="3"/>
        <v>7639135270.79</v>
      </c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" x14ac:dyDescent="0.2">
      <c r="A125" s="17" t="s">
        <v>120</v>
      </c>
      <c r="B125" s="16">
        <v>1889695491.9299998</v>
      </c>
      <c r="C125" s="16">
        <v>0</v>
      </c>
      <c r="D125" s="16">
        <v>34759528.934558138</v>
      </c>
      <c r="E125" s="16">
        <v>11346116.26</v>
      </c>
      <c r="F125" s="16">
        <v>38410739.68</v>
      </c>
      <c r="G125" s="16">
        <v>16118551.98</v>
      </c>
      <c r="H125" s="16">
        <v>126401546.8</v>
      </c>
      <c r="I125" s="16">
        <v>128216258.09</v>
      </c>
      <c r="J125" s="16">
        <v>445591566.00999999</v>
      </c>
      <c r="K125" s="16"/>
      <c r="L125" s="16"/>
      <c r="M125" s="16"/>
      <c r="N125" s="18">
        <f t="shared" si="3"/>
        <v>2690539799.6845579</v>
      </c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" x14ac:dyDescent="0.2">
      <c r="A126" s="17" t="s">
        <v>121</v>
      </c>
      <c r="B126" s="16">
        <v>1952709902.46</v>
      </c>
      <c r="C126" s="16">
        <v>0</v>
      </c>
      <c r="D126" s="16">
        <v>33335041.842270151</v>
      </c>
      <c r="E126" s="16">
        <v>12329798.439999999</v>
      </c>
      <c r="F126" s="16">
        <v>19229497.190000001</v>
      </c>
      <c r="G126" s="16">
        <v>6588605.1900000004</v>
      </c>
      <c r="H126" s="16">
        <v>130616574.56</v>
      </c>
      <c r="I126" s="16">
        <v>64188666.899999999</v>
      </c>
      <c r="J126" s="16">
        <v>305739929.63999999</v>
      </c>
      <c r="K126" s="16"/>
      <c r="L126" s="16"/>
      <c r="M126" s="16"/>
      <c r="N126" s="18">
        <f t="shared" si="3"/>
        <v>2524738016.2222705</v>
      </c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" x14ac:dyDescent="0.2">
      <c r="A127" s="17" t="s">
        <v>122</v>
      </c>
      <c r="B127" s="16">
        <v>1192019929.0899999</v>
      </c>
      <c r="C127" s="16">
        <v>0</v>
      </c>
      <c r="D127" s="16">
        <v>19701400.700394969</v>
      </c>
      <c r="E127" s="16">
        <v>7236052.5499999998</v>
      </c>
      <c r="F127" s="16">
        <v>20411737.289999999</v>
      </c>
      <c r="G127" s="16">
        <v>9412293.1300000008</v>
      </c>
      <c r="H127" s="16">
        <v>79734096.579999998</v>
      </c>
      <c r="I127" s="16">
        <v>68135021.569999993</v>
      </c>
      <c r="J127" s="16">
        <v>338996399.05000001</v>
      </c>
      <c r="K127" s="16"/>
      <c r="L127" s="16"/>
      <c r="M127" s="16"/>
      <c r="N127" s="18">
        <f t="shared" si="3"/>
        <v>1735646929.9603946</v>
      </c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" x14ac:dyDescent="0.2">
      <c r="A128" s="17" t="s">
        <v>123</v>
      </c>
      <c r="B128" s="16">
        <v>534132824.72999996</v>
      </c>
      <c r="C128" s="16">
        <v>0</v>
      </c>
      <c r="D128" s="16">
        <v>11393659.74114901</v>
      </c>
      <c r="E128" s="16">
        <v>3134627.96</v>
      </c>
      <c r="F128" s="16">
        <v>1867456.81</v>
      </c>
      <c r="G128" s="16">
        <v>1126113.6399999999</v>
      </c>
      <c r="H128" s="16">
        <v>35728092.460000001</v>
      </c>
      <c r="I128" s="16">
        <v>6233629.6299999999</v>
      </c>
      <c r="J128" s="16">
        <v>72852108.790000007</v>
      </c>
      <c r="K128" s="16"/>
      <c r="L128" s="16"/>
      <c r="M128" s="16"/>
      <c r="N128" s="18">
        <f t="shared" si="3"/>
        <v>666468513.76114893</v>
      </c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" x14ac:dyDescent="0.2">
      <c r="A129" s="17" t="s">
        <v>124</v>
      </c>
      <c r="B129" s="16">
        <v>3240612968.6900001</v>
      </c>
      <c r="C129" s="16">
        <v>0</v>
      </c>
      <c r="D129" s="16">
        <v>127579069.73534903</v>
      </c>
      <c r="E129" s="16">
        <v>20687366.48</v>
      </c>
      <c r="F129" s="16">
        <v>23750962.399999999</v>
      </c>
      <c r="G129" s="16">
        <v>13967170.699999999</v>
      </c>
      <c r="H129" s="16">
        <v>216764284.81</v>
      </c>
      <c r="I129" s="16">
        <v>79281460.090000004</v>
      </c>
      <c r="J129" s="16">
        <v>456475350.24000001</v>
      </c>
      <c r="K129" s="16"/>
      <c r="L129" s="16"/>
      <c r="M129" s="16"/>
      <c r="N129" s="18">
        <f t="shared" si="3"/>
        <v>4179118633.1453495</v>
      </c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" x14ac:dyDescent="0.2">
      <c r="A130" s="17" t="s">
        <v>125</v>
      </c>
      <c r="B130" s="16">
        <v>899533112.6500001</v>
      </c>
      <c r="C130" s="16">
        <v>0</v>
      </c>
      <c r="D130" s="16">
        <v>29903541.750756074</v>
      </c>
      <c r="E130" s="16">
        <v>5407503.21</v>
      </c>
      <c r="F130" s="16">
        <v>2938711.11</v>
      </c>
      <c r="G130" s="16">
        <v>1042075.31</v>
      </c>
      <c r="H130" s="16">
        <v>60169682.009999998</v>
      </c>
      <c r="I130" s="16">
        <v>9809510.1999999993</v>
      </c>
      <c r="J130" s="16">
        <v>125460878.11</v>
      </c>
      <c r="K130" s="16"/>
      <c r="L130" s="16"/>
      <c r="M130" s="16"/>
      <c r="N130" s="18">
        <f t="shared" si="3"/>
        <v>1134265014.3507562</v>
      </c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" x14ac:dyDescent="0.2">
      <c r="A131" s="17" t="s">
        <v>126</v>
      </c>
      <c r="B131" s="16">
        <v>5732805673.96</v>
      </c>
      <c r="C131" s="16">
        <v>0</v>
      </c>
      <c r="D131" s="16">
        <v>101663318.74499999</v>
      </c>
      <c r="E131" s="16">
        <v>35077007.200000003</v>
      </c>
      <c r="F131" s="16">
        <v>129761708.66</v>
      </c>
      <c r="G131" s="16">
        <v>0</v>
      </c>
      <c r="H131" s="16">
        <v>383466811.32999998</v>
      </c>
      <c r="I131" s="16">
        <v>433148667.88</v>
      </c>
      <c r="J131" s="16">
        <v>985748224.19999993</v>
      </c>
      <c r="K131" s="16"/>
      <c r="L131" s="16"/>
      <c r="M131" s="16"/>
      <c r="N131" s="18">
        <f t="shared" si="3"/>
        <v>7801671411.9749994</v>
      </c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" x14ac:dyDescent="0.2">
      <c r="A132" s="17" t="s">
        <v>127</v>
      </c>
      <c r="B132" s="16">
        <v>202690480.49000001</v>
      </c>
      <c r="C132" s="16">
        <v>0</v>
      </c>
      <c r="D132" s="16">
        <v>2785616.2040055757</v>
      </c>
      <c r="E132" s="16">
        <v>1307649.3700000001</v>
      </c>
      <c r="F132" s="16">
        <v>554929.02</v>
      </c>
      <c r="G132" s="16">
        <v>252114.99</v>
      </c>
      <c r="H132" s="16">
        <v>13557946.439999999</v>
      </c>
      <c r="I132" s="16">
        <v>1852370.56</v>
      </c>
      <c r="J132" s="16">
        <v>35397251.840000018</v>
      </c>
      <c r="K132" s="16"/>
      <c r="L132" s="16"/>
      <c r="M132" s="16"/>
      <c r="N132" s="18">
        <f t="shared" si="3"/>
        <v>258398358.91400564</v>
      </c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" x14ac:dyDescent="0.2">
      <c r="A133" s="17" t="s">
        <v>128</v>
      </c>
      <c r="B133" s="16">
        <v>1468232561.24</v>
      </c>
      <c r="C133" s="16">
        <v>0</v>
      </c>
      <c r="D133" s="16">
        <v>24205944.055391975</v>
      </c>
      <c r="E133" s="16">
        <v>8798948.7899999991</v>
      </c>
      <c r="F133" s="16">
        <v>2007395.44</v>
      </c>
      <c r="G133" s="16">
        <v>1428651.64</v>
      </c>
      <c r="H133" s="16">
        <v>98209932.549999997</v>
      </c>
      <c r="I133" s="16">
        <v>6700749.1699999999</v>
      </c>
      <c r="J133" s="16">
        <v>130574738.70000003</v>
      </c>
      <c r="K133" s="16"/>
      <c r="L133" s="16"/>
      <c r="M133" s="16"/>
      <c r="N133" s="18">
        <f t="shared" si="3"/>
        <v>1740158921.5853922</v>
      </c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" x14ac:dyDescent="0.2">
      <c r="A134" s="17" t="s">
        <v>129</v>
      </c>
      <c r="B134" s="16">
        <v>2432862411.2000003</v>
      </c>
      <c r="C134" s="16">
        <v>0</v>
      </c>
      <c r="D134" s="16">
        <v>57790336.130728193</v>
      </c>
      <c r="E134" s="16">
        <v>15168340.029999999</v>
      </c>
      <c r="F134" s="16">
        <v>9366236.9000000004</v>
      </c>
      <c r="G134" s="16">
        <v>4739761.9000000004</v>
      </c>
      <c r="H134" s="16">
        <v>162733928.94999999</v>
      </c>
      <c r="I134" s="16">
        <v>31264793.59</v>
      </c>
      <c r="J134" s="16">
        <v>294883698.03000009</v>
      </c>
      <c r="K134" s="16"/>
      <c r="L134" s="16"/>
      <c r="M134" s="16"/>
      <c r="N134" s="18">
        <f t="shared" si="3"/>
        <v>3008809506.7307291</v>
      </c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" x14ac:dyDescent="0.2">
      <c r="A135" s="17" t="s">
        <v>130</v>
      </c>
      <c r="B135" s="16">
        <v>2058876530.01</v>
      </c>
      <c r="C135" s="16">
        <v>0</v>
      </c>
      <c r="D135" s="16">
        <v>74470783.224619746</v>
      </c>
      <c r="E135" s="16">
        <v>22854019.43</v>
      </c>
      <c r="F135" s="16">
        <v>14100022.779999999</v>
      </c>
      <c r="G135" s="16">
        <v>5983529.2000000002</v>
      </c>
      <c r="H135" s="16">
        <v>137718049.91</v>
      </c>
      <c r="I135" s="16">
        <v>47066319.869999997</v>
      </c>
      <c r="J135" s="16">
        <v>304011915.70999992</v>
      </c>
      <c r="K135" s="16"/>
      <c r="L135" s="16"/>
      <c r="M135" s="16"/>
      <c r="N135" s="18">
        <f t="shared" si="3"/>
        <v>2665081170.1346192</v>
      </c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" x14ac:dyDescent="0.2">
      <c r="A136" s="17" t="s">
        <v>131</v>
      </c>
      <c r="B136" s="16">
        <v>3203291266.4799995</v>
      </c>
      <c r="C136" s="16">
        <v>0</v>
      </c>
      <c r="D136" s="16">
        <v>36257276.340000004</v>
      </c>
      <c r="E136" s="16">
        <v>35558659.039999999</v>
      </c>
      <c r="F136" s="16">
        <v>83890792.640000001</v>
      </c>
      <c r="G136" s="16">
        <v>43941941.136271365</v>
      </c>
      <c r="H136" s="16">
        <v>214267839.80000001</v>
      </c>
      <c r="I136" s="16">
        <v>280030106.38999999</v>
      </c>
      <c r="J136" s="16">
        <v>691182680.24000013</v>
      </c>
      <c r="K136" s="16"/>
      <c r="L136" s="16"/>
      <c r="M136" s="16"/>
      <c r="N136" s="18">
        <f t="shared" ref="N136:N142" si="4">SUM(B136:M136)</f>
        <v>4588420562.0662708</v>
      </c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" x14ac:dyDescent="0.2">
      <c r="A137" s="17" t="s">
        <v>132</v>
      </c>
      <c r="B137" s="16">
        <v>504019176.61000007</v>
      </c>
      <c r="C137" s="16">
        <v>0</v>
      </c>
      <c r="D137" s="16">
        <v>12852284.152323153</v>
      </c>
      <c r="E137" s="16">
        <v>3080633.43</v>
      </c>
      <c r="F137" s="16">
        <v>1003697.72</v>
      </c>
      <c r="G137" s="16">
        <v>873998.65</v>
      </c>
      <c r="H137" s="16">
        <v>33713793.479999997</v>
      </c>
      <c r="I137" s="16">
        <v>3350374.58</v>
      </c>
      <c r="J137" s="16">
        <v>67803750.490000024</v>
      </c>
      <c r="K137" s="16"/>
      <c r="L137" s="16"/>
      <c r="M137" s="16"/>
      <c r="N137" s="18">
        <f t="shared" si="4"/>
        <v>626697709.11232328</v>
      </c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" x14ac:dyDescent="0.2">
      <c r="A138" s="17" t="s">
        <v>133</v>
      </c>
      <c r="B138" s="16">
        <v>1481046879.5900002</v>
      </c>
      <c r="C138" s="16">
        <v>0</v>
      </c>
      <c r="D138" s="16">
        <v>43676569.032264151</v>
      </c>
      <c r="E138" s="16">
        <v>9169253.0999999996</v>
      </c>
      <c r="F138" s="16">
        <v>8738925.8200000003</v>
      </c>
      <c r="G138" s="16">
        <v>3411956.26</v>
      </c>
      <c r="H138" s="16">
        <v>99067081.049999997</v>
      </c>
      <c r="I138" s="16">
        <v>29170809.469999999</v>
      </c>
      <c r="J138" s="16">
        <v>246364665.53000009</v>
      </c>
      <c r="K138" s="16"/>
      <c r="L138" s="16"/>
      <c r="M138" s="16"/>
      <c r="N138" s="18">
        <f t="shared" si="4"/>
        <v>1920646139.8522644</v>
      </c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" x14ac:dyDescent="0.2">
      <c r="A139" s="17" t="s">
        <v>134</v>
      </c>
      <c r="B139" s="16">
        <v>4886259767.6400003</v>
      </c>
      <c r="C139" s="16">
        <v>0</v>
      </c>
      <c r="D139" s="16">
        <v>51839356.005000003</v>
      </c>
      <c r="E139" s="16">
        <v>31201966.960000001</v>
      </c>
      <c r="F139" s="16">
        <v>44944425.810000002</v>
      </c>
      <c r="G139" s="16">
        <v>38558226.842307374</v>
      </c>
      <c r="H139" s="16">
        <v>326841438.39999998</v>
      </c>
      <c r="I139" s="16">
        <v>150025908.08000001</v>
      </c>
      <c r="J139" s="16">
        <v>439898061.79999995</v>
      </c>
      <c r="K139" s="16"/>
      <c r="L139" s="16"/>
      <c r="M139" s="16"/>
      <c r="N139" s="18">
        <f t="shared" si="4"/>
        <v>5969569151.5373077</v>
      </c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" x14ac:dyDescent="0.2">
      <c r="A140" s="17" t="s">
        <v>135</v>
      </c>
      <c r="B140" s="16">
        <v>1499915963.3499999</v>
      </c>
      <c r="C140" s="16">
        <v>0</v>
      </c>
      <c r="D140" s="16">
        <v>8482248.4500000011</v>
      </c>
      <c r="E140" s="16">
        <v>9353227.1999999993</v>
      </c>
      <c r="F140" s="16">
        <v>7411921.6200000001</v>
      </c>
      <c r="G140" s="16">
        <v>3596840.59</v>
      </c>
      <c r="H140" s="16">
        <v>100329232.22</v>
      </c>
      <c r="I140" s="16">
        <v>24741227.690000001</v>
      </c>
      <c r="J140" s="16">
        <v>111193846.47999996</v>
      </c>
      <c r="K140" s="16"/>
      <c r="L140" s="16"/>
      <c r="M140" s="16"/>
      <c r="N140" s="18">
        <f t="shared" si="4"/>
        <v>1765024507.5999999</v>
      </c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" x14ac:dyDescent="0.2">
      <c r="A141" s="17" t="s">
        <v>136</v>
      </c>
      <c r="B141" s="16">
        <v>1699402864.3600001</v>
      </c>
      <c r="C141" s="16">
        <v>0</v>
      </c>
      <c r="D141" s="16">
        <v>27643863.803901948</v>
      </c>
      <c r="E141" s="16">
        <v>10566238.880000001</v>
      </c>
      <c r="F141" s="16">
        <v>10688415.619999999</v>
      </c>
      <c r="G141" s="16">
        <v>3143033.6</v>
      </c>
      <c r="H141" s="16">
        <v>113672891.54000001</v>
      </c>
      <c r="I141" s="16">
        <v>35678267.799999997</v>
      </c>
      <c r="J141" s="16">
        <v>309241185.16000009</v>
      </c>
      <c r="K141" s="16"/>
      <c r="L141" s="16"/>
      <c r="M141" s="16"/>
      <c r="N141" s="18">
        <f t="shared" si="4"/>
        <v>2210036760.7639017</v>
      </c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" x14ac:dyDescent="0.2">
      <c r="A142" s="17" t="s">
        <v>137</v>
      </c>
      <c r="B142" s="16">
        <v>1759694232.21</v>
      </c>
      <c r="C142" s="16">
        <v>0</v>
      </c>
      <c r="D142" s="16">
        <v>28967247.244767636</v>
      </c>
      <c r="E142" s="16">
        <v>19403726.940000001</v>
      </c>
      <c r="F142" s="16">
        <v>45952949</v>
      </c>
      <c r="G142" s="16">
        <v>12689788.060000001</v>
      </c>
      <c r="H142" s="16">
        <v>117705775.23999999</v>
      </c>
      <c r="I142" s="16">
        <v>153392390.18000001</v>
      </c>
      <c r="J142" s="16">
        <v>419191527.15000015</v>
      </c>
      <c r="K142" s="16"/>
      <c r="L142" s="16"/>
      <c r="M142" s="16"/>
      <c r="N142" s="18">
        <f t="shared" si="4"/>
        <v>2556997636.0247679</v>
      </c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4.75" customHeight="1" x14ac:dyDescent="0.2">
      <c r="A143" s="22" t="s">
        <v>138</v>
      </c>
      <c r="B143" s="23">
        <f>SUM(B8:B142)</f>
        <v>320357958861.81995</v>
      </c>
      <c r="C143" s="23">
        <f>SUM(C8:C142)</f>
        <v>0</v>
      </c>
      <c r="D143" s="23">
        <f t="shared" ref="D143:I143" si="5">SUM(D8:D142)</f>
        <v>5081923843.5006399</v>
      </c>
      <c r="E143" s="23">
        <f t="shared" si="5"/>
        <v>2804910707.7999988</v>
      </c>
      <c r="F143" s="23">
        <f>SUM(F8:F142)</f>
        <v>4825469810.1099987</v>
      </c>
      <c r="G143" s="23">
        <f t="shared" si="5"/>
        <v>1680766630.2600009</v>
      </c>
      <c r="H143" s="23">
        <f t="shared" si="5"/>
        <v>21428712563.940006</v>
      </c>
      <c r="I143" s="23">
        <f t="shared" si="5"/>
        <v>16107570111.849998</v>
      </c>
      <c r="J143" s="23">
        <f t="shared" ref="J143:N143" si="6">SUM(J8:J142)</f>
        <v>51985977288.48999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424273289817.77057</v>
      </c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K145" s="8"/>
      <c r="M145" s="9"/>
    </row>
    <row r="146" spans="1:14" x14ac:dyDescent="0.2">
      <c r="B146" s="7"/>
      <c r="D146" s="7"/>
      <c r="E146" s="7"/>
      <c r="F146" s="7"/>
      <c r="G146" s="7"/>
      <c r="H146" s="7"/>
      <c r="I146" s="7"/>
      <c r="J146" s="7"/>
      <c r="K146" s="7"/>
      <c r="L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44AEAC"/>
  </sheetPr>
  <dimension ref="A1:Y275"/>
  <sheetViews>
    <sheetView showGridLines="0" topLeftCell="A94" zoomScale="80" zoomScaleNormal="80" workbookViewId="0">
      <selection activeCell="G131" sqref="G131"/>
    </sheetView>
  </sheetViews>
  <sheetFormatPr baseColWidth="10" defaultColWidth="12" defaultRowHeight="14.25" x14ac:dyDescent="0.2"/>
  <cols>
    <col min="1" max="1" width="41.83203125" style="11" customWidth="1"/>
    <col min="2" max="2" width="24.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21" width="12" style="1"/>
    <col min="22" max="22" width="16" style="1" bestFit="1" customWidth="1"/>
    <col min="23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174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177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26" t="s">
        <v>151</v>
      </c>
      <c r="L7" s="19" t="s">
        <v>148</v>
      </c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>
        <v>1393229146.27</v>
      </c>
      <c r="C8" s="16">
        <v>0</v>
      </c>
      <c r="D8" s="16">
        <v>26612579.257250678</v>
      </c>
      <c r="E8" s="16">
        <v>15757139.489999998</v>
      </c>
      <c r="F8" s="16">
        <v>4796431.5</v>
      </c>
      <c r="G8" s="16">
        <v>2039300.8</v>
      </c>
      <c r="H8" s="16">
        <v>87102566.719999999</v>
      </c>
      <c r="I8" s="16">
        <v>11493181.59</v>
      </c>
      <c r="J8" s="16">
        <v>179173978.07000002</v>
      </c>
      <c r="K8" s="16">
        <v>0</v>
      </c>
      <c r="L8" s="16">
        <v>0</v>
      </c>
      <c r="M8" s="16">
        <v>0</v>
      </c>
      <c r="N8" s="18">
        <f t="shared" ref="N8:N39" si="0">SUM(B8:M8)</f>
        <v>1720204323.6972506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730899208.41000009</v>
      </c>
      <c r="C9" s="16">
        <v>0</v>
      </c>
      <c r="D9" s="16">
        <v>18150997.781106222</v>
      </c>
      <c r="E9" s="16">
        <v>8739468.3000000007</v>
      </c>
      <c r="F9" s="16">
        <v>3360481.2</v>
      </c>
      <c r="G9" s="16">
        <v>1509082.59</v>
      </c>
      <c r="H9" s="16">
        <v>45694706.600000001</v>
      </c>
      <c r="I9" s="16">
        <v>8052365.7300000004</v>
      </c>
      <c r="J9" s="16">
        <v>135876788.53999993</v>
      </c>
      <c r="K9" s="16">
        <v>0</v>
      </c>
      <c r="L9" s="16">
        <v>0</v>
      </c>
      <c r="M9" s="16">
        <v>0</v>
      </c>
      <c r="N9" s="18">
        <f t="shared" si="0"/>
        <v>952283099.15110636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775498096.00999999</v>
      </c>
      <c r="C10" s="16">
        <v>0</v>
      </c>
      <c r="D10" s="16">
        <v>12561235.921500476</v>
      </c>
      <c r="E10" s="16">
        <v>9323225.8200000003</v>
      </c>
      <c r="F10" s="16">
        <v>2347570.2000000002</v>
      </c>
      <c r="G10" s="16">
        <v>1509082.59</v>
      </c>
      <c r="H10" s="16">
        <v>48482961.210000001</v>
      </c>
      <c r="I10" s="16">
        <v>5625234.2199999997</v>
      </c>
      <c r="J10" s="16">
        <v>80306823.680000007</v>
      </c>
      <c r="K10" s="16">
        <v>0</v>
      </c>
      <c r="L10" s="16">
        <v>0</v>
      </c>
      <c r="M10" s="16">
        <v>0</v>
      </c>
      <c r="N10" s="18">
        <f t="shared" si="0"/>
        <v>935654229.6515007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6107799429.4400005</v>
      </c>
      <c r="C11" s="16">
        <v>0</v>
      </c>
      <c r="D11" s="16">
        <v>56843110.909593634</v>
      </c>
      <c r="E11" s="16">
        <v>92588710.840000004</v>
      </c>
      <c r="F11" s="16">
        <v>251976507.16999999</v>
      </c>
      <c r="G11" s="16">
        <v>124731945.32507381</v>
      </c>
      <c r="H11" s="16">
        <v>381850328.56999999</v>
      </c>
      <c r="I11" s="16">
        <v>603784657.48000002</v>
      </c>
      <c r="J11" s="16">
        <v>1510904180.0199995</v>
      </c>
      <c r="K11" s="16">
        <v>0</v>
      </c>
      <c r="L11" s="16">
        <v>0</v>
      </c>
      <c r="M11" s="16">
        <v>0</v>
      </c>
      <c r="N11" s="18">
        <f t="shared" si="0"/>
        <v>9130478869.7546692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799954570.47000003</v>
      </c>
      <c r="C12" s="16">
        <v>0</v>
      </c>
      <c r="D12" s="16">
        <v>16124978.502564272</v>
      </c>
      <c r="E12" s="16">
        <v>9518770.209999999</v>
      </c>
      <c r="F12" s="16">
        <v>8615701.8000000007</v>
      </c>
      <c r="G12" s="16">
        <v>3752313.46</v>
      </c>
      <c r="H12" s="16">
        <v>50011942.789999999</v>
      </c>
      <c r="I12" s="16">
        <v>20644895.120000001</v>
      </c>
      <c r="J12" s="16">
        <v>162911056.23000005</v>
      </c>
      <c r="K12" s="16">
        <v>0</v>
      </c>
      <c r="L12" s="16">
        <v>0</v>
      </c>
      <c r="M12" s="16">
        <v>0</v>
      </c>
      <c r="N12" s="18">
        <f t="shared" si="0"/>
        <v>1071534228.5825644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3640763959.8699994</v>
      </c>
      <c r="C13" s="16">
        <v>0</v>
      </c>
      <c r="D13" s="16">
        <v>46309046.830507644</v>
      </c>
      <c r="E13" s="16">
        <v>54984132.900000006</v>
      </c>
      <c r="F13" s="16">
        <v>122532439.58</v>
      </c>
      <c r="G13" s="16">
        <v>0</v>
      </c>
      <c r="H13" s="16">
        <v>227615024.09999999</v>
      </c>
      <c r="I13" s="16">
        <v>293611527.10000002</v>
      </c>
      <c r="J13" s="16">
        <v>1123466529.3100002</v>
      </c>
      <c r="K13" s="16">
        <v>0</v>
      </c>
      <c r="L13" s="16">
        <v>0</v>
      </c>
      <c r="M13" s="16">
        <v>0</v>
      </c>
      <c r="N13" s="18">
        <f t="shared" si="0"/>
        <v>5509282659.6905079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1275139312.3599999</v>
      </c>
      <c r="C14" s="16">
        <v>0</v>
      </c>
      <c r="D14" s="16">
        <v>34265044.394729443</v>
      </c>
      <c r="E14" s="16">
        <v>15586038.16</v>
      </c>
      <c r="F14" s="16">
        <v>5576968.7999999998</v>
      </c>
      <c r="G14" s="16">
        <v>2549125.9900000002</v>
      </c>
      <c r="H14" s="16">
        <v>79719769.950000003</v>
      </c>
      <c r="I14" s="16">
        <v>13363500.58</v>
      </c>
      <c r="J14" s="16">
        <v>241180673.3199999</v>
      </c>
      <c r="K14" s="16">
        <v>0</v>
      </c>
      <c r="L14" s="16">
        <v>0</v>
      </c>
      <c r="M14" s="16">
        <v>0</v>
      </c>
      <c r="N14" s="18">
        <f t="shared" si="0"/>
        <v>1667380433.5547292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2141566884.3599997</v>
      </c>
      <c r="C15" s="16">
        <v>0</v>
      </c>
      <c r="D15" s="16">
        <v>54384386.868089482</v>
      </c>
      <c r="E15" s="16">
        <v>26373690.16</v>
      </c>
      <c r="F15" s="16">
        <v>20776592.109999999</v>
      </c>
      <c r="G15" s="16">
        <v>8830172.4399999995</v>
      </c>
      <c r="H15" s="16">
        <v>133887503.66</v>
      </c>
      <c r="I15" s="16">
        <v>49784750.549999997</v>
      </c>
      <c r="J15" s="16">
        <v>384807160.07999986</v>
      </c>
      <c r="K15" s="16">
        <v>0</v>
      </c>
      <c r="L15" s="16">
        <v>0</v>
      </c>
      <c r="M15" s="16">
        <v>0</v>
      </c>
      <c r="N15" s="18">
        <f t="shared" si="0"/>
        <v>2820411140.2280893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4033708109.9299998</v>
      </c>
      <c r="C16" s="16">
        <v>0</v>
      </c>
      <c r="D16" s="16">
        <v>78367624.507275596</v>
      </c>
      <c r="E16" s="16">
        <v>61253558.400000006</v>
      </c>
      <c r="F16" s="16">
        <v>77487691.549999997</v>
      </c>
      <c r="G16" s="16">
        <v>39174968.280000001</v>
      </c>
      <c r="H16" s="16">
        <v>252181294.58000001</v>
      </c>
      <c r="I16" s="16">
        <v>185675560.90000001</v>
      </c>
      <c r="J16" s="16">
        <v>955910550.65999961</v>
      </c>
      <c r="K16" s="16">
        <v>0</v>
      </c>
      <c r="L16" s="16">
        <v>0</v>
      </c>
      <c r="M16" s="16">
        <v>0</v>
      </c>
      <c r="N16" s="18">
        <f t="shared" si="0"/>
        <v>5683759358.8072758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1557224238.4100001</v>
      </c>
      <c r="C17" s="16">
        <v>0</v>
      </c>
      <c r="D17" s="16">
        <v>50101526.178544961</v>
      </c>
      <c r="E17" s="16">
        <v>18507341.949999999</v>
      </c>
      <c r="F17" s="16">
        <v>15914619.310000001</v>
      </c>
      <c r="G17" s="16">
        <v>5710042.2300000004</v>
      </c>
      <c r="H17" s="16">
        <v>97355290.400000006</v>
      </c>
      <c r="I17" s="16">
        <v>38134519.270000003</v>
      </c>
      <c r="J17" s="16">
        <v>259106156.19000012</v>
      </c>
      <c r="K17" s="16">
        <v>0</v>
      </c>
      <c r="L17" s="16">
        <v>0</v>
      </c>
      <c r="M17" s="16">
        <v>0</v>
      </c>
      <c r="N17" s="18">
        <f t="shared" si="0"/>
        <v>2042053733.9385452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878367192.3599999</v>
      </c>
      <c r="C18" s="16">
        <v>0</v>
      </c>
      <c r="D18" s="16">
        <v>23054655.848405492</v>
      </c>
      <c r="E18" s="16">
        <v>10391530.84</v>
      </c>
      <c r="F18" s="16">
        <v>10724940</v>
      </c>
      <c r="G18" s="16">
        <v>4649605.8099999996</v>
      </c>
      <c r="H18" s="16">
        <v>54914180.619999997</v>
      </c>
      <c r="I18" s="16">
        <v>25699039.57</v>
      </c>
      <c r="J18" s="16">
        <v>211242617.43999997</v>
      </c>
      <c r="K18" s="16">
        <v>0</v>
      </c>
      <c r="L18" s="16">
        <v>0</v>
      </c>
      <c r="M18" s="16">
        <v>0</v>
      </c>
      <c r="N18" s="18">
        <f t="shared" si="0"/>
        <v>1219043762.4884055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1426313743.4000001</v>
      </c>
      <c r="C19" s="16">
        <v>0</v>
      </c>
      <c r="D19" s="16">
        <v>29487859.039771914</v>
      </c>
      <c r="E19" s="16">
        <v>16748520.789999999</v>
      </c>
      <c r="F19" s="16">
        <v>4331684.0999999996</v>
      </c>
      <c r="G19" s="16">
        <v>2589912.0099999998</v>
      </c>
      <c r="H19" s="16">
        <v>89170965.400000006</v>
      </c>
      <c r="I19" s="16">
        <v>10379556.539999999</v>
      </c>
      <c r="J19" s="16">
        <v>183788154.38999993</v>
      </c>
      <c r="K19" s="16">
        <v>0</v>
      </c>
      <c r="L19" s="16">
        <v>0</v>
      </c>
      <c r="M19" s="16">
        <v>0</v>
      </c>
      <c r="N19" s="18">
        <f t="shared" si="0"/>
        <v>1762810395.6697719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5098704026.2300005</v>
      </c>
      <c r="C20" s="16">
        <v>0</v>
      </c>
      <c r="D20" s="16">
        <v>33552280.635452449</v>
      </c>
      <c r="E20" s="16">
        <v>76865864.929999992</v>
      </c>
      <c r="F20" s="16">
        <v>138256393.28999999</v>
      </c>
      <c r="G20" s="16">
        <v>63769839.584391631</v>
      </c>
      <c r="H20" s="16">
        <v>318763219.10000002</v>
      </c>
      <c r="I20" s="16">
        <v>331289174.56</v>
      </c>
      <c r="J20" s="16">
        <v>1045096133.7700002</v>
      </c>
      <c r="K20" s="16">
        <v>0</v>
      </c>
      <c r="L20" s="16">
        <v>0</v>
      </c>
      <c r="M20" s="16">
        <v>0</v>
      </c>
      <c r="N20" s="18">
        <f t="shared" si="0"/>
        <v>7106296932.0998459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2201629555.2300005</v>
      </c>
      <c r="C21" s="16">
        <v>0</v>
      </c>
      <c r="D21" s="16">
        <v>21427917.569973305</v>
      </c>
      <c r="E21" s="16">
        <v>26037957.689999998</v>
      </c>
      <c r="F21" s="16">
        <v>36762711.020000003</v>
      </c>
      <c r="G21" s="16">
        <v>8689090.9402213022</v>
      </c>
      <c r="H21" s="16">
        <v>137642530.47</v>
      </c>
      <c r="I21" s="16">
        <v>88090596.75</v>
      </c>
      <c r="J21" s="16">
        <v>342639601.04999995</v>
      </c>
      <c r="K21" s="16">
        <v>0</v>
      </c>
      <c r="L21" s="16">
        <v>0</v>
      </c>
      <c r="M21" s="16">
        <v>0</v>
      </c>
      <c r="N21" s="18">
        <f t="shared" si="0"/>
        <v>2862919960.7201948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1844321982.2400002</v>
      </c>
      <c r="C22" s="16">
        <v>0</v>
      </c>
      <c r="D22" s="16">
        <v>28638188.550673798</v>
      </c>
      <c r="E22" s="16">
        <v>21316854.719999999</v>
      </c>
      <c r="F22" s="16">
        <v>8752742.6999999993</v>
      </c>
      <c r="G22" s="16">
        <v>4384496.71</v>
      </c>
      <c r="H22" s="16">
        <v>115304204.58</v>
      </c>
      <c r="I22" s="16">
        <v>20973271.739999998</v>
      </c>
      <c r="J22" s="16">
        <v>257303530.04000002</v>
      </c>
      <c r="K22" s="16">
        <v>0</v>
      </c>
      <c r="L22" s="16">
        <v>0</v>
      </c>
      <c r="M22" s="16">
        <v>0</v>
      </c>
      <c r="N22" s="18">
        <f t="shared" si="0"/>
        <v>2300995271.280674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1677015392.2800002</v>
      </c>
      <c r="C23" s="16">
        <v>0</v>
      </c>
      <c r="D23" s="16">
        <v>21006176.096603572</v>
      </c>
      <c r="E23" s="16">
        <v>20106923.810000002</v>
      </c>
      <c r="F23" s="16">
        <v>8389286.4000000004</v>
      </c>
      <c r="G23" s="16">
        <v>5404147.1100000003</v>
      </c>
      <c r="H23" s="16">
        <v>104844451.09999999</v>
      </c>
      <c r="I23" s="16">
        <v>20102359.84</v>
      </c>
      <c r="J23" s="16">
        <v>212393884.07999989</v>
      </c>
      <c r="K23" s="16">
        <v>0</v>
      </c>
      <c r="L23" s="16">
        <v>0</v>
      </c>
      <c r="M23" s="16">
        <v>0</v>
      </c>
      <c r="N23" s="18">
        <f t="shared" si="0"/>
        <v>2069262620.7166035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547095890.92999995</v>
      </c>
      <c r="C24" s="16">
        <v>0</v>
      </c>
      <c r="D24" s="16">
        <v>15159959.865456073</v>
      </c>
      <c r="E24" s="16">
        <v>6379995.1799999997</v>
      </c>
      <c r="F24" s="16">
        <v>8722951.1999999993</v>
      </c>
      <c r="G24" s="16">
        <v>1072055.2163813864</v>
      </c>
      <c r="H24" s="16">
        <v>34203602.810000002</v>
      </c>
      <c r="I24" s="16">
        <v>20901885.52</v>
      </c>
      <c r="J24" s="16">
        <v>179717726.62999997</v>
      </c>
      <c r="K24" s="16">
        <v>0</v>
      </c>
      <c r="L24" s="16">
        <v>0</v>
      </c>
      <c r="M24" s="16">
        <v>0</v>
      </c>
      <c r="N24" s="18">
        <f t="shared" si="0"/>
        <v>813254067.35183752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2383610029.8699999</v>
      </c>
      <c r="C25" s="16">
        <v>0</v>
      </c>
      <c r="D25" s="16">
        <v>23358825.411823135</v>
      </c>
      <c r="E25" s="16">
        <v>25069581.619999997</v>
      </c>
      <c r="F25" s="16">
        <v>38687241.920000002</v>
      </c>
      <c r="G25" s="16">
        <v>12867988.02</v>
      </c>
      <c r="H25" s="16">
        <v>149019672.90000001</v>
      </c>
      <c r="I25" s="16">
        <v>92702146.629999995</v>
      </c>
      <c r="J25" s="16">
        <v>415452943.19999999</v>
      </c>
      <c r="K25" s="16">
        <v>0</v>
      </c>
      <c r="L25" s="16">
        <v>0</v>
      </c>
      <c r="M25" s="16">
        <v>0</v>
      </c>
      <c r="N25" s="18">
        <f t="shared" si="0"/>
        <v>3140768429.5718231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923634455.67000008</v>
      </c>
      <c r="C26" s="16">
        <v>0</v>
      </c>
      <c r="D26" s="16">
        <v>15682605.940409984</v>
      </c>
      <c r="E26" s="16">
        <v>10729060.58</v>
      </c>
      <c r="F26" s="16">
        <v>17594859.91</v>
      </c>
      <c r="G26" s="16">
        <v>8218382.21</v>
      </c>
      <c r="H26" s="16">
        <v>57744221.049999997</v>
      </c>
      <c r="I26" s="16">
        <v>42160702.140000001</v>
      </c>
      <c r="J26" s="16">
        <v>306554054.74000001</v>
      </c>
      <c r="K26" s="16">
        <v>0</v>
      </c>
      <c r="L26" s="16">
        <v>0</v>
      </c>
      <c r="M26" s="16">
        <v>0</v>
      </c>
      <c r="N26" s="18">
        <f t="shared" si="0"/>
        <v>1382318342.2404101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457290501.44</v>
      </c>
      <c r="C27" s="16">
        <v>0</v>
      </c>
      <c r="D27" s="16">
        <v>8145214.6230591852</v>
      </c>
      <c r="E27" s="16">
        <v>4891125.9399999995</v>
      </c>
      <c r="F27" s="16">
        <v>4373392.2</v>
      </c>
      <c r="G27" s="16">
        <v>1855763.72</v>
      </c>
      <c r="H27" s="16">
        <v>28589106.48</v>
      </c>
      <c r="I27" s="16">
        <v>10479497.25</v>
      </c>
      <c r="J27" s="16">
        <v>82148166.930000022</v>
      </c>
      <c r="K27" s="16">
        <v>0</v>
      </c>
      <c r="L27" s="16">
        <v>0</v>
      </c>
      <c r="M27" s="16">
        <v>0</v>
      </c>
      <c r="N27" s="18">
        <f t="shared" si="0"/>
        <v>597772768.58305931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1593984901.8999999</v>
      </c>
      <c r="C28" s="16">
        <v>0</v>
      </c>
      <c r="D28" s="16">
        <v>23826852.354452908</v>
      </c>
      <c r="E28" s="16">
        <v>18747099.48</v>
      </c>
      <c r="F28" s="16">
        <v>6023841.2999999998</v>
      </c>
      <c r="G28" s="16">
        <v>2691877.05</v>
      </c>
      <c r="H28" s="16">
        <v>99653511.150000006</v>
      </c>
      <c r="I28" s="16">
        <v>14434293.890000001</v>
      </c>
      <c r="J28" s="16">
        <v>167955676.53999999</v>
      </c>
      <c r="K28" s="16">
        <v>0</v>
      </c>
      <c r="L28" s="16">
        <v>0</v>
      </c>
      <c r="M28" s="16">
        <v>0</v>
      </c>
      <c r="N28" s="18">
        <f t="shared" si="0"/>
        <v>1927318053.6644528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890276432.08999991</v>
      </c>
      <c r="C29" s="16">
        <v>0</v>
      </c>
      <c r="D29" s="16">
        <v>25510821.553790614</v>
      </c>
      <c r="E29" s="16">
        <v>10712166.119999999</v>
      </c>
      <c r="F29" s="16">
        <v>3759687.3</v>
      </c>
      <c r="G29" s="16">
        <v>1631440.64</v>
      </c>
      <c r="H29" s="16">
        <v>55658728.170000002</v>
      </c>
      <c r="I29" s="16">
        <v>9008941.0899999999</v>
      </c>
      <c r="J29" s="16">
        <v>149730704.93000004</v>
      </c>
      <c r="K29" s="16">
        <v>0</v>
      </c>
      <c r="L29" s="16">
        <v>0</v>
      </c>
      <c r="M29" s="16">
        <v>0</v>
      </c>
      <c r="N29" s="18">
        <f t="shared" si="0"/>
        <v>1146288921.8937905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325347062.17000002</v>
      </c>
      <c r="C30" s="16">
        <v>0</v>
      </c>
      <c r="D30" s="16">
        <v>15749793.268860377</v>
      </c>
      <c r="E30" s="16">
        <v>3757040.38</v>
      </c>
      <c r="F30" s="16">
        <v>3247273.5</v>
      </c>
      <c r="G30" s="16">
        <v>2039300.8</v>
      </c>
      <c r="H30" s="16">
        <v>20340203.379999999</v>
      </c>
      <c r="I30" s="16">
        <v>7781098.0899999999</v>
      </c>
      <c r="J30" s="16">
        <v>116318351.77000001</v>
      </c>
      <c r="K30" s="16">
        <v>0</v>
      </c>
      <c r="L30" s="16">
        <v>0</v>
      </c>
      <c r="M30" s="16">
        <v>0</v>
      </c>
      <c r="N30" s="18">
        <f t="shared" si="0"/>
        <v>494580123.35886037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535277793.33999991</v>
      </c>
      <c r="C31" s="16">
        <v>0</v>
      </c>
      <c r="D31" s="16">
        <v>8581840.0899150707</v>
      </c>
      <c r="E31" s="16">
        <v>6467343.1399999997</v>
      </c>
      <c r="F31" s="16">
        <v>3878853.3</v>
      </c>
      <c r="G31" s="16">
        <v>1121615.44</v>
      </c>
      <c r="H31" s="16">
        <v>33464753.329999998</v>
      </c>
      <c r="I31" s="16">
        <v>9294485.9800000004</v>
      </c>
      <c r="J31" s="16">
        <v>82437976.38000004</v>
      </c>
      <c r="K31" s="16">
        <v>0</v>
      </c>
      <c r="L31" s="16">
        <v>0</v>
      </c>
      <c r="M31" s="16">
        <v>0</v>
      </c>
      <c r="N31" s="18">
        <f t="shared" si="0"/>
        <v>680524660.999915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2893489546.73</v>
      </c>
      <c r="C32" s="16">
        <v>0</v>
      </c>
      <c r="D32" s="16">
        <v>30966823.886042546</v>
      </c>
      <c r="E32" s="16">
        <v>29593702.379999999</v>
      </c>
      <c r="F32" s="16">
        <v>11439936</v>
      </c>
      <c r="G32" s="16">
        <v>6138295.3899999997</v>
      </c>
      <c r="H32" s="16">
        <v>180896564.62</v>
      </c>
      <c r="I32" s="16">
        <v>27412308.879999999</v>
      </c>
      <c r="J32" s="16">
        <v>257943502.22999996</v>
      </c>
      <c r="K32" s="16">
        <v>0</v>
      </c>
      <c r="L32" s="16">
        <v>0</v>
      </c>
      <c r="M32" s="16">
        <v>0</v>
      </c>
      <c r="N32" s="18">
        <f t="shared" si="0"/>
        <v>3437880680.1160426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1505273218.0900002</v>
      </c>
      <c r="C33" s="16">
        <v>0</v>
      </c>
      <c r="D33" s="16">
        <v>29869868.113988921</v>
      </c>
      <c r="E33" s="16">
        <v>18533222.82</v>
      </c>
      <c r="F33" s="16">
        <v>8395244.6999999993</v>
      </c>
      <c r="G33" s="16">
        <v>4935107.93</v>
      </c>
      <c r="H33" s="16">
        <v>94107391.640000001</v>
      </c>
      <c r="I33" s="16">
        <v>20116637.09</v>
      </c>
      <c r="J33" s="16">
        <v>246044803.21999985</v>
      </c>
      <c r="K33" s="16">
        <v>0</v>
      </c>
      <c r="L33" s="16">
        <v>0</v>
      </c>
      <c r="M33" s="16">
        <v>0</v>
      </c>
      <c r="N33" s="18">
        <f t="shared" si="0"/>
        <v>1927275493.6039889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2105596119.4299998</v>
      </c>
      <c r="C34" s="16">
        <v>0</v>
      </c>
      <c r="D34" s="16">
        <v>27875182.149371639</v>
      </c>
      <c r="E34" s="16">
        <v>32461272.43</v>
      </c>
      <c r="F34" s="16">
        <v>12208556.699999999</v>
      </c>
      <c r="G34" s="16">
        <v>8238775.21</v>
      </c>
      <c r="H34" s="16">
        <v>131638666.16</v>
      </c>
      <c r="I34" s="16">
        <v>29254073.379999999</v>
      </c>
      <c r="J34" s="16">
        <v>309499406.89999992</v>
      </c>
      <c r="K34" s="16">
        <v>0</v>
      </c>
      <c r="L34" s="16">
        <v>0</v>
      </c>
      <c r="M34" s="16">
        <v>0</v>
      </c>
      <c r="N34" s="18">
        <f t="shared" si="0"/>
        <v>2656772052.3593712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1065390865.4700001</v>
      </c>
      <c r="C35" s="16">
        <v>0</v>
      </c>
      <c r="D35" s="16">
        <v>15309578.552564275</v>
      </c>
      <c r="E35" s="16">
        <v>12501181.619999999</v>
      </c>
      <c r="F35" s="16">
        <v>7632582.2999999998</v>
      </c>
      <c r="G35" s="16">
        <v>3201702.25</v>
      </c>
      <c r="H35" s="16">
        <v>66606616.140000001</v>
      </c>
      <c r="I35" s="16">
        <v>18289149.829999998</v>
      </c>
      <c r="J35" s="16">
        <v>111235014.36999999</v>
      </c>
      <c r="K35" s="16">
        <v>0</v>
      </c>
      <c r="L35" s="16">
        <v>0</v>
      </c>
      <c r="M35" s="16">
        <v>0</v>
      </c>
      <c r="N35" s="18">
        <f t="shared" si="0"/>
        <v>1300166690.5325642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1209365067.3699999</v>
      </c>
      <c r="C36" s="16">
        <v>0</v>
      </c>
      <c r="D36" s="16">
        <v>18157352.603499487</v>
      </c>
      <c r="E36" s="16">
        <v>14343396.690000001</v>
      </c>
      <c r="F36" s="16">
        <v>4802389.8</v>
      </c>
      <c r="G36" s="16">
        <v>1855763.72</v>
      </c>
      <c r="H36" s="16">
        <v>75607664.219999999</v>
      </c>
      <c r="I36" s="16">
        <v>11507458.83</v>
      </c>
      <c r="J36" s="16">
        <v>112024161.55999999</v>
      </c>
      <c r="K36" s="16">
        <v>0</v>
      </c>
      <c r="L36" s="16">
        <v>0</v>
      </c>
      <c r="M36" s="16">
        <v>0</v>
      </c>
      <c r="N36" s="18">
        <f t="shared" si="0"/>
        <v>1447663254.7934992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1235127912.5100002</v>
      </c>
      <c r="C37" s="16">
        <v>0</v>
      </c>
      <c r="D37" s="16">
        <v>22867242.739255778</v>
      </c>
      <c r="E37" s="16">
        <v>14934702.789999999</v>
      </c>
      <c r="F37" s="16">
        <v>8907658.5</v>
      </c>
      <c r="G37" s="16">
        <v>2834628.11</v>
      </c>
      <c r="H37" s="16">
        <v>77218318.099999994</v>
      </c>
      <c r="I37" s="16">
        <v>21344480.09</v>
      </c>
      <c r="J37" s="16">
        <v>190149158.57999998</v>
      </c>
      <c r="K37" s="16">
        <v>0</v>
      </c>
      <c r="L37" s="16">
        <v>0</v>
      </c>
      <c r="M37" s="16">
        <v>0</v>
      </c>
      <c r="N37" s="18">
        <f t="shared" si="0"/>
        <v>1573384101.4192555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1045096548.7699999</v>
      </c>
      <c r="C38" s="16">
        <v>0</v>
      </c>
      <c r="D38" s="16">
        <v>3671879.1988785821</v>
      </c>
      <c r="E38" s="16">
        <v>12605424.030000001</v>
      </c>
      <c r="F38" s="16">
        <v>7960288.7999999998</v>
      </c>
      <c r="G38" s="16">
        <v>7851308.0599999996</v>
      </c>
      <c r="H38" s="16">
        <v>65337846.340000004</v>
      </c>
      <c r="I38" s="16">
        <v>19074398.260000002</v>
      </c>
      <c r="J38" s="16">
        <v>313786195.39000005</v>
      </c>
      <c r="K38" s="16">
        <v>0</v>
      </c>
      <c r="L38" s="16">
        <v>0</v>
      </c>
      <c r="M38" s="16">
        <v>0</v>
      </c>
      <c r="N38" s="18">
        <f t="shared" si="0"/>
        <v>1475383888.8488784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2037330655.8900001</v>
      </c>
      <c r="C39" s="16">
        <v>0</v>
      </c>
      <c r="D39" s="16">
        <v>31365087.944951441</v>
      </c>
      <c r="E39" s="16">
        <v>24230250.469999999</v>
      </c>
      <c r="F39" s="16">
        <v>10141026.6</v>
      </c>
      <c r="G39" s="16">
        <v>4894321.91</v>
      </c>
      <c r="H39" s="16">
        <v>127370813.23</v>
      </c>
      <c r="I39" s="16">
        <v>24299869.640000001</v>
      </c>
      <c r="J39" s="16">
        <v>272418032.19000012</v>
      </c>
      <c r="K39" s="16">
        <v>0</v>
      </c>
      <c r="L39" s="16">
        <v>0</v>
      </c>
      <c r="M39" s="16">
        <v>0</v>
      </c>
      <c r="N39" s="18">
        <f t="shared" si="0"/>
        <v>2532050057.8749514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1332801906.8399999</v>
      </c>
      <c r="C40" s="16">
        <v>0</v>
      </c>
      <c r="D40" s="16">
        <v>27672403.817229457</v>
      </c>
      <c r="E40" s="16">
        <v>15913503.109999999</v>
      </c>
      <c r="F40" s="16">
        <v>5416094.7000000002</v>
      </c>
      <c r="G40" s="16">
        <v>2141265.84</v>
      </c>
      <c r="H40" s="16">
        <v>83324747.640000001</v>
      </c>
      <c r="I40" s="16">
        <v>12978014.98</v>
      </c>
      <c r="J40" s="16">
        <v>150080298.25000003</v>
      </c>
      <c r="K40" s="16">
        <v>0</v>
      </c>
      <c r="L40" s="16">
        <v>0</v>
      </c>
      <c r="M40" s="16">
        <v>0</v>
      </c>
      <c r="N40" s="18">
        <f t="shared" ref="N40:N71" si="1">SUM(B40:M40)</f>
        <v>1630328235.1772294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1490022099.8699999</v>
      </c>
      <c r="C41" s="16">
        <v>0</v>
      </c>
      <c r="D41" s="16">
        <v>13068303.456798263</v>
      </c>
      <c r="E41" s="16">
        <v>16629540.66</v>
      </c>
      <c r="F41" s="16">
        <v>9169823.6999999993</v>
      </c>
      <c r="G41" s="16">
        <v>3731920.46</v>
      </c>
      <c r="H41" s="16">
        <v>93153914.930000007</v>
      </c>
      <c r="I41" s="16">
        <v>21972678.829999998</v>
      </c>
      <c r="J41" s="16">
        <v>154002120.29000002</v>
      </c>
      <c r="K41" s="16">
        <v>0</v>
      </c>
      <c r="L41" s="16">
        <v>0</v>
      </c>
      <c r="M41" s="16">
        <v>0</v>
      </c>
      <c r="N41" s="18">
        <f t="shared" si="1"/>
        <v>1801750402.1967983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851905590.78999996</v>
      </c>
      <c r="C42" s="16">
        <v>0</v>
      </c>
      <c r="D42" s="16">
        <v>8262323.1271300251</v>
      </c>
      <c r="E42" s="16">
        <v>10087430.550000001</v>
      </c>
      <c r="F42" s="16">
        <v>24905694.010000002</v>
      </c>
      <c r="G42" s="16">
        <v>0</v>
      </c>
      <c r="H42" s="16">
        <v>53259841.539999999</v>
      </c>
      <c r="I42" s="16">
        <v>59678880.780000001</v>
      </c>
      <c r="J42" s="16">
        <v>234672771.58999991</v>
      </c>
      <c r="K42" s="16">
        <v>0</v>
      </c>
      <c r="L42" s="16">
        <v>0</v>
      </c>
      <c r="M42" s="16">
        <v>0</v>
      </c>
      <c r="N42" s="18">
        <f t="shared" si="1"/>
        <v>1242772532.3871298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5426299261.3099995</v>
      </c>
      <c r="C43" s="16">
        <v>0</v>
      </c>
      <c r="D43" s="16">
        <v>26639555.575938262</v>
      </c>
      <c r="E43" s="16">
        <v>61093603.109999999</v>
      </c>
      <c r="F43" s="16">
        <v>103567170.67</v>
      </c>
      <c r="G43" s="16">
        <v>29814577.629999999</v>
      </c>
      <c r="H43" s="16">
        <v>339243974.81999999</v>
      </c>
      <c r="I43" s="16">
        <v>248167058.78999999</v>
      </c>
      <c r="J43" s="16">
        <v>768555291.6500001</v>
      </c>
      <c r="K43" s="16">
        <v>0</v>
      </c>
      <c r="L43" s="16">
        <v>0</v>
      </c>
      <c r="M43" s="16">
        <v>0</v>
      </c>
      <c r="N43" s="18">
        <f t="shared" si="1"/>
        <v>7003380493.5559368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4765336455.5699997</v>
      </c>
      <c r="C44" s="16">
        <v>0</v>
      </c>
      <c r="D44" s="16">
        <v>41055028.112485431</v>
      </c>
      <c r="E44" s="16">
        <v>55606138.650000006</v>
      </c>
      <c r="F44" s="16">
        <v>130313979.38</v>
      </c>
      <c r="G44" s="16">
        <v>51641497.215267994</v>
      </c>
      <c r="H44" s="16">
        <v>297921585.73000002</v>
      </c>
      <c r="I44" s="16">
        <v>312257608.02999997</v>
      </c>
      <c r="J44" s="16">
        <v>993858506.92999947</v>
      </c>
      <c r="K44" s="16">
        <v>0</v>
      </c>
      <c r="L44" s="16">
        <v>0</v>
      </c>
      <c r="M44" s="16">
        <v>0</v>
      </c>
      <c r="N44" s="18">
        <f t="shared" si="1"/>
        <v>6647990799.6177521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1388550516.3499999</v>
      </c>
      <c r="C45" s="16">
        <v>0</v>
      </c>
      <c r="D45" s="16">
        <v>9323490.575240165</v>
      </c>
      <c r="E45" s="16">
        <v>14861373.65</v>
      </c>
      <c r="F45" s="16">
        <v>9706070.6999999993</v>
      </c>
      <c r="G45" s="16">
        <v>4669998.82</v>
      </c>
      <c r="H45" s="16">
        <v>86810065.890000001</v>
      </c>
      <c r="I45" s="16">
        <v>23257630.809999999</v>
      </c>
      <c r="J45" s="16">
        <v>148783842.16</v>
      </c>
      <c r="K45" s="16">
        <v>0</v>
      </c>
      <c r="L45" s="16">
        <v>0</v>
      </c>
      <c r="M45" s="16">
        <v>0</v>
      </c>
      <c r="N45" s="18">
        <f t="shared" si="1"/>
        <v>1685962988.9552402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1887979067.6900001</v>
      </c>
      <c r="C46" s="16">
        <v>0</v>
      </c>
      <c r="D46" s="16">
        <v>22629702.122485433</v>
      </c>
      <c r="E46" s="16">
        <v>30128891.380000003</v>
      </c>
      <c r="F46" s="16">
        <v>76558196.75</v>
      </c>
      <c r="G46" s="16">
        <v>0</v>
      </c>
      <c r="H46" s="16">
        <v>118033579.15000001</v>
      </c>
      <c r="I46" s="16">
        <v>183448310.81</v>
      </c>
      <c r="J46" s="16">
        <v>629486613.60000002</v>
      </c>
      <c r="K46" s="16">
        <v>0</v>
      </c>
      <c r="L46" s="16">
        <v>0</v>
      </c>
      <c r="M46" s="16">
        <v>0</v>
      </c>
      <c r="N46" s="18">
        <f t="shared" si="1"/>
        <v>2948264361.5024858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6045762012.2200003</v>
      </c>
      <c r="C47" s="16">
        <v>0</v>
      </c>
      <c r="D47" s="16">
        <v>33695801.094489925</v>
      </c>
      <c r="E47" s="16">
        <v>91619188.310000002</v>
      </c>
      <c r="F47" s="16">
        <v>238665664.96000001</v>
      </c>
      <c r="G47" s="16">
        <v>58463699.106570788</v>
      </c>
      <c r="H47" s="16">
        <v>377971843.62</v>
      </c>
      <c r="I47" s="16">
        <v>571889293.91999996</v>
      </c>
      <c r="J47" s="16">
        <v>1514614196.4300005</v>
      </c>
      <c r="K47" s="16">
        <v>0</v>
      </c>
      <c r="L47" s="16">
        <v>0</v>
      </c>
      <c r="M47" s="16">
        <v>0</v>
      </c>
      <c r="N47" s="18">
        <f t="shared" si="1"/>
        <v>8932681699.6610622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555480967.88999999</v>
      </c>
      <c r="C48" s="16">
        <v>0</v>
      </c>
      <c r="D48" s="16">
        <v>8508951.714771945</v>
      </c>
      <c r="E48" s="16">
        <v>6918101.709999999</v>
      </c>
      <c r="F48" s="16">
        <v>2073488.4</v>
      </c>
      <c r="G48" s="16">
        <v>1264366.49</v>
      </c>
      <c r="H48" s="16">
        <v>34727825.07</v>
      </c>
      <c r="I48" s="16">
        <v>4968480.9800000004</v>
      </c>
      <c r="J48" s="16">
        <v>81261088.170000017</v>
      </c>
      <c r="K48" s="16">
        <v>0</v>
      </c>
      <c r="L48" s="16">
        <v>0</v>
      </c>
      <c r="M48" s="16">
        <v>0</v>
      </c>
      <c r="N48" s="18">
        <f t="shared" si="1"/>
        <v>695203270.42477202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1148603640.0999999</v>
      </c>
      <c r="C49" s="16">
        <v>0</v>
      </c>
      <c r="D49" s="16">
        <v>24249599.527239181</v>
      </c>
      <c r="E49" s="16">
        <v>10552521.723999999</v>
      </c>
      <c r="F49" s="16">
        <v>12244306.5</v>
      </c>
      <c r="G49" s="16">
        <v>5302182.07</v>
      </c>
      <c r="H49" s="16">
        <v>71808952.219999999</v>
      </c>
      <c r="I49" s="16">
        <v>29339736.84</v>
      </c>
      <c r="J49" s="16">
        <v>191256014.29999995</v>
      </c>
      <c r="K49" s="16">
        <v>0</v>
      </c>
      <c r="L49" s="16">
        <v>0</v>
      </c>
      <c r="M49" s="16">
        <v>0</v>
      </c>
      <c r="N49" s="18">
        <f t="shared" si="1"/>
        <v>1493356953.2812388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697024712.71000004</v>
      </c>
      <c r="C50" s="16">
        <v>0</v>
      </c>
      <c r="D50" s="16">
        <v>11707194.303380622</v>
      </c>
      <c r="E50" s="16">
        <v>8481378.459999999</v>
      </c>
      <c r="F50" s="16">
        <v>3431980.8</v>
      </c>
      <c r="G50" s="16">
        <v>1468296.57</v>
      </c>
      <c r="H50" s="16">
        <v>43576924.659999996</v>
      </c>
      <c r="I50" s="16">
        <v>8223692.6600000001</v>
      </c>
      <c r="J50" s="16">
        <v>138210637.02999997</v>
      </c>
      <c r="K50" s="16">
        <v>0</v>
      </c>
      <c r="L50" s="16">
        <v>0</v>
      </c>
      <c r="M50" s="16">
        <v>0</v>
      </c>
      <c r="N50" s="18">
        <f t="shared" si="1"/>
        <v>912124817.19338059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689125727.17000008</v>
      </c>
      <c r="C51" s="16">
        <v>0</v>
      </c>
      <c r="D51" s="16">
        <v>16513364.780983735</v>
      </c>
      <c r="E51" s="16">
        <v>8291944.8300000001</v>
      </c>
      <c r="F51" s="16">
        <v>4278059.4000000004</v>
      </c>
      <c r="G51" s="16">
        <v>1896549.74</v>
      </c>
      <c r="H51" s="16">
        <v>43083092.109999999</v>
      </c>
      <c r="I51" s="16">
        <v>10251061.34</v>
      </c>
      <c r="J51" s="16">
        <v>95885362.429999977</v>
      </c>
      <c r="K51" s="16">
        <v>0</v>
      </c>
      <c r="L51" s="16">
        <v>0</v>
      </c>
      <c r="M51" s="16">
        <v>0</v>
      </c>
      <c r="N51" s="18">
        <f t="shared" si="1"/>
        <v>869325161.80098379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818182998.64999986</v>
      </c>
      <c r="C52" s="16">
        <v>0</v>
      </c>
      <c r="D52" s="16">
        <v>17066465.604793772</v>
      </c>
      <c r="E52" s="16">
        <v>9778657.3300000001</v>
      </c>
      <c r="F52" s="16">
        <v>3938436.3</v>
      </c>
      <c r="G52" s="16">
        <v>2426767.9500000002</v>
      </c>
      <c r="H52" s="16">
        <v>51151556.390000001</v>
      </c>
      <c r="I52" s="16">
        <v>9437258.4199999999</v>
      </c>
      <c r="J52" s="16">
        <v>122907673.46000001</v>
      </c>
      <c r="K52" s="16">
        <v>0</v>
      </c>
      <c r="L52" s="16">
        <v>0</v>
      </c>
      <c r="M52" s="16">
        <v>0</v>
      </c>
      <c r="N52" s="18">
        <f t="shared" si="1"/>
        <v>1034889814.1047937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283117870.23000002</v>
      </c>
      <c r="C53" s="16">
        <v>0</v>
      </c>
      <c r="D53" s="16">
        <v>11127682.406108659</v>
      </c>
      <c r="E53" s="16">
        <v>3361638.11</v>
      </c>
      <c r="F53" s="16">
        <v>685204.5</v>
      </c>
      <c r="G53" s="16">
        <v>367074.14</v>
      </c>
      <c r="H53" s="16">
        <v>17700098.550000001</v>
      </c>
      <c r="I53" s="16">
        <v>1641883.08</v>
      </c>
      <c r="J53" s="16">
        <v>65001013.219999976</v>
      </c>
      <c r="K53" s="16">
        <v>0</v>
      </c>
      <c r="L53" s="16">
        <v>0</v>
      </c>
      <c r="M53" s="16">
        <v>0</v>
      </c>
      <c r="N53" s="18">
        <f t="shared" si="1"/>
        <v>383002464.23610866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1093462644.8500001</v>
      </c>
      <c r="C54" s="16">
        <v>0</v>
      </c>
      <c r="D54" s="16">
        <v>19318713.103335723</v>
      </c>
      <c r="E54" s="16">
        <v>13051509.66</v>
      </c>
      <c r="F54" s="16">
        <v>2353528.5</v>
      </c>
      <c r="G54" s="16">
        <v>1345938.53</v>
      </c>
      <c r="H54" s="16">
        <v>68361621.079999998</v>
      </c>
      <c r="I54" s="16">
        <v>5639511.46</v>
      </c>
      <c r="J54" s="16">
        <v>148710393.44000003</v>
      </c>
      <c r="K54" s="16">
        <v>0</v>
      </c>
      <c r="L54" s="16">
        <v>0</v>
      </c>
      <c r="M54" s="16">
        <v>0</v>
      </c>
      <c r="N54" s="18">
        <f t="shared" si="1"/>
        <v>1352243860.6233358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499701977.70000005</v>
      </c>
      <c r="C55" s="16">
        <v>0</v>
      </c>
      <c r="D55" s="16">
        <v>8648974.2867806721</v>
      </c>
      <c r="E55" s="16">
        <v>5928517.6899999995</v>
      </c>
      <c r="F55" s="16">
        <v>4343600.7</v>
      </c>
      <c r="G55" s="16">
        <v>2100479.8199999998</v>
      </c>
      <c r="H55" s="16">
        <v>31240607.460000001</v>
      </c>
      <c r="I55" s="16">
        <v>10408111.029999999</v>
      </c>
      <c r="J55" s="16">
        <v>104988453.70999996</v>
      </c>
      <c r="K55" s="16">
        <v>0</v>
      </c>
      <c r="L55" s="16">
        <v>0</v>
      </c>
      <c r="M55" s="16">
        <v>0</v>
      </c>
      <c r="N55" s="18">
        <f t="shared" si="1"/>
        <v>667360722.39678061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387080672.25</v>
      </c>
      <c r="C56" s="16">
        <v>0</v>
      </c>
      <c r="D56" s="16">
        <v>7426738.3443170618</v>
      </c>
      <c r="E56" s="16">
        <v>4521604.5600000005</v>
      </c>
      <c r="F56" s="16">
        <v>1227409.8</v>
      </c>
      <c r="G56" s="16">
        <v>571004.22</v>
      </c>
      <c r="H56" s="16">
        <v>24199694.77</v>
      </c>
      <c r="I56" s="16">
        <v>2941112.31</v>
      </c>
      <c r="J56" s="16">
        <v>86668397.200000048</v>
      </c>
      <c r="K56" s="16">
        <v>0</v>
      </c>
      <c r="L56" s="16">
        <v>0</v>
      </c>
      <c r="M56" s="16">
        <v>0</v>
      </c>
      <c r="N56" s="18">
        <f t="shared" si="1"/>
        <v>514636633.45431715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903643946.12000012</v>
      </c>
      <c r="C57" s="16">
        <v>0</v>
      </c>
      <c r="D57" s="16">
        <v>18632346.961813424</v>
      </c>
      <c r="E57" s="16">
        <v>11254586.120000001</v>
      </c>
      <c r="F57" s="16">
        <v>6303881.4000000004</v>
      </c>
      <c r="G57" s="16">
        <v>2630698.0299999998</v>
      </c>
      <c r="H57" s="16">
        <v>56494444.810000002</v>
      </c>
      <c r="I57" s="16">
        <v>15105324.369999999</v>
      </c>
      <c r="J57" s="16">
        <v>185046462.58000004</v>
      </c>
      <c r="K57" s="16">
        <v>0</v>
      </c>
      <c r="L57" s="16">
        <v>0</v>
      </c>
      <c r="M57" s="16">
        <v>0</v>
      </c>
      <c r="N57" s="18">
        <f t="shared" si="1"/>
        <v>1199111690.3918135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914094911.5999999</v>
      </c>
      <c r="C58" s="16">
        <v>0</v>
      </c>
      <c r="D58" s="16">
        <v>10718532.259747688</v>
      </c>
      <c r="E58" s="16">
        <v>10564429.460000001</v>
      </c>
      <c r="F58" s="16">
        <v>3670312.8</v>
      </c>
      <c r="G58" s="16">
        <v>1651833.64</v>
      </c>
      <c r="H58" s="16">
        <v>57147823.270000003</v>
      </c>
      <c r="I58" s="16">
        <v>8794782.4299999997</v>
      </c>
      <c r="J58" s="16">
        <v>104720280.23999998</v>
      </c>
      <c r="K58" s="16">
        <v>0</v>
      </c>
      <c r="L58" s="16">
        <v>0</v>
      </c>
      <c r="M58" s="16">
        <v>0</v>
      </c>
      <c r="N58" s="18">
        <f t="shared" si="1"/>
        <v>1111362905.6997476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897172854.11000001</v>
      </c>
      <c r="C59" s="16">
        <v>0</v>
      </c>
      <c r="D59" s="16">
        <v>14763507.061407059</v>
      </c>
      <c r="E59" s="16">
        <v>10745955.039999999</v>
      </c>
      <c r="F59" s="16">
        <v>3574980</v>
      </c>
      <c r="G59" s="16">
        <v>1509082.59</v>
      </c>
      <c r="H59" s="16">
        <v>56089881.979999997</v>
      </c>
      <c r="I59" s="16">
        <v>8566346.5199999996</v>
      </c>
      <c r="J59" s="16">
        <v>117126857.56999993</v>
      </c>
      <c r="K59" s="16">
        <v>0</v>
      </c>
      <c r="L59" s="16">
        <v>0</v>
      </c>
      <c r="M59" s="16">
        <v>0</v>
      </c>
      <c r="N59" s="18">
        <f t="shared" si="1"/>
        <v>1109549464.871407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6481482207.1000004</v>
      </c>
      <c r="C60" s="16">
        <v>0</v>
      </c>
      <c r="D60" s="16">
        <v>193004390.8471379</v>
      </c>
      <c r="E60" s="16">
        <v>116503012.95</v>
      </c>
      <c r="F60" s="16">
        <v>196653691.63</v>
      </c>
      <c r="G60" s="16">
        <v>77636181.189999998</v>
      </c>
      <c r="H60" s="16">
        <v>405212407.35000002</v>
      </c>
      <c r="I60" s="16">
        <v>471220445.02999997</v>
      </c>
      <c r="J60" s="16">
        <v>1957841019.3899992</v>
      </c>
      <c r="K60" s="16">
        <v>0</v>
      </c>
      <c r="L60" s="16">
        <v>0</v>
      </c>
      <c r="M60" s="16">
        <v>0</v>
      </c>
      <c r="N60" s="18">
        <f t="shared" si="1"/>
        <v>9899553355.4871368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1626249219.8000002</v>
      </c>
      <c r="C61" s="16">
        <v>0</v>
      </c>
      <c r="D61" s="16">
        <v>15100663.055046085</v>
      </c>
      <c r="E61" s="16">
        <v>18031061.950000003</v>
      </c>
      <c r="F61" s="16">
        <v>35106303.619999997</v>
      </c>
      <c r="G61" s="16">
        <v>7135242.170299625</v>
      </c>
      <c r="H61" s="16">
        <v>101670627.22</v>
      </c>
      <c r="I61" s="16">
        <v>84121522.859999999</v>
      </c>
      <c r="J61" s="16">
        <v>484774337.80000007</v>
      </c>
      <c r="K61" s="16">
        <v>0</v>
      </c>
      <c r="L61" s="16">
        <v>0</v>
      </c>
      <c r="M61" s="16">
        <v>0</v>
      </c>
      <c r="N61" s="18">
        <f t="shared" si="1"/>
        <v>2372188978.4753456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6815943483.4300003</v>
      </c>
      <c r="C62" s="16">
        <v>0</v>
      </c>
      <c r="D62" s="16">
        <v>73643654.159999996</v>
      </c>
      <c r="E62" s="16">
        <v>107457640</v>
      </c>
      <c r="F62" s="16">
        <v>157412327.80000001</v>
      </c>
      <c r="G62" s="16">
        <v>0</v>
      </c>
      <c r="H62" s="16">
        <v>426122417.52999997</v>
      </c>
      <c r="I62" s="16">
        <v>377190514.68000001</v>
      </c>
      <c r="J62" s="16">
        <v>964008134.00999999</v>
      </c>
      <c r="K62" s="16">
        <v>0</v>
      </c>
      <c r="L62" s="16">
        <v>0</v>
      </c>
      <c r="M62" s="16">
        <v>0</v>
      </c>
      <c r="N62" s="18">
        <f t="shared" si="1"/>
        <v>8921778171.6100006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1203926919.6200001</v>
      </c>
      <c r="C63" s="16">
        <v>0</v>
      </c>
      <c r="D63" s="16">
        <v>20852881.826033447</v>
      </c>
      <c r="E63" s="16">
        <v>14768993.300000001</v>
      </c>
      <c r="F63" s="16">
        <v>5547177.2999999998</v>
      </c>
      <c r="G63" s="16">
        <v>2630698.0299999998</v>
      </c>
      <c r="H63" s="16">
        <v>75267679.489999995</v>
      </c>
      <c r="I63" s="16">
        <v>13292114.359999999</v>
      </c>
      <c r="J63" s="16">
        <v>129362054.28</v>
      </c>
      <c r="K63" s="16">
        <v>0</v>
      </c>
      <c r="L63" s="16">
        <v>0</v>
      </c>
      <c r="M63" s="16">
        <v>0</v>
      </c>
      <c r="N63" s="18">
        <f t="shared" si="1"/>
        <v>1465648518.2060332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2014362836.3999999</v>
      </c>
      <c r="C64" s="16">
        <v>0</v>
      </c>
      <c r="D64" s="16">
        <v>52470263.03952869</v>
      </c>
      <c r="E64" s="16">
        <v>23015646.609999999</v>
      </c>
      <c r="F64" s="16">
        <v>10152943.199999999</v>
      </c>
      <c r="G64" s="16">
        <v>4098994.6</v>
      </c>
      <c r="H64" s="16">
        <v>125934900.09999999</v>
      </c>
      <c r="I64" s="16">
        <v>24328424.129999999</v>
      </c>
      <c r="J64" s="16">
        <v>274229768.21000004</v>
      </c>
      <c r="K64" s="16">
        <v>0</v>
      </c>
      <c r="L64" s="16">
        <v>0</v>
      </c>
      <c r="M64" s="16">
        <v>0</v>
      </c>
      <c r="N64" s="18">
        <f t="shared" si="1"/>
        <v>2528593776.2895284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1033643019.7</v>
      </c>
      <c r="C65" s="16">
        <v>0</v>
      </c>
      <c r="D65" s="16">
        <v>14648249.147839621</v>
      </c>
      <c r="E65" s="16">
        <v>12067317.5</v>
      </c>
      <c r="F65" s="16">
        <v>2210529.2999999998</v>
      </c>
      <c r="G65" s="16">
        <v>1366331.53</v>
      </c>
      <c r="H65" s="16">
        <v>64621789.119999997</v>
      </c>
      <c r="I65" s="16">
        <v>5296857.5999999996</v>
      </c>
      <c r="J65" s="16">
        <v>163566970.72999993</v>
      </c>
      <c r="K65" s="16">
        <v>0</v>
      </c>
      <c r="L65" s="16">
        <v>0</v>
      </c>
      <c r="M65" s="16">
        <v>0</v>
      </c>
      <c r="N65" s="18">
        <f t="shared" si="1"/>
        <v>1297421064.6278396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548645307.33999991</v>
      </c>
      <c r="C66" s="16">
        <v>0</v>
      </c>
      <c r="D66" s="16">
        <v>11215966.690078838</v>
      </c>
      <c r="E66" s="16">
        <v>6737654.5</v>
      </c>
      <c r="F66" s="16">
        <v>2162862.9</v>
      </c>
      <c r="G66" s="16">
        <v>1243973.49</v>
      </c>
      <c r="H66" s="16">
        <v>34300469.969999999</v>
      </c>
      <c r="I66" s="16">
        <v>5182639.6500000004</v>
      </c>
      <c r="J66" s="16">
        <v>72607799.39000003</v>
      </c>
      <c r="K66" s="16">
        <v>0</v>
      </c>
      <c r="L66" s="16">
        <v>0</v>
      </c>
      <c r="M66" s="16">
        <v>0</v>
      </c>
      <c r="N66" s="18">
        <f t="shared" si="1"/>
        <v>682096673.93007874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2529133648.1600003</v>
      </c>
      <c r="C67" s="16">
        <v>0</v>
      </c>
      <c r="D67" s="16">
        <v>23570624.739999998</v>
      </c>
      <c r="E67" s="16">
        <v>38730697.939999998</v>
      </c>
      <c r="F67" s="16">
        <v>58117258.229999997</v>
      </c>
      <c r="G67" s="16">
        <v>24874494.721257214</v>
      </c>
      <c r="H67" s="16">
        <v>158117588.13</v>
      </c>
      <c r="I67" s="16">
        <v>139260239.99000001</v>
      </c>
      <c r="J67" s="16">
        <v>467819631.12999982</v>
      </c>
      <c r="K67" s="16">
        <v>0</v>
      </c>
      <c r="L67" s="16">
        <v>0</v>
      </c>
      <c r="M67" s="16">
        <v>0</v>
      </c>
      <c r="N67" s="18">
        <f t="shared" si="1"/>
        <v>3439624183.0412574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1595686221.8799999</v>
      </c>
      <c r="C68" s="16">
        <v>0</v>
      </c>
      <c r="D68" s="16">
        <v>28280404.549999997</v>
      </c>
      <c r="E68" s="16">
        <v>18907776.600000001</v>
      </c>
      <c r="F68" s="16">
        <v>51253296.630000003</v>
      </c>
      <c r="G68" s="16">
        <v>24548035.669034749</v>
      </c>
      <c r="H68" s="16">
        <v>99759875.090000004</v>
      </c>
      <c r="I68" s="16">
        <v>122812854.66</v>
      </c>
      <c r="J68" s="16">
        <v>392893925.39999986</v>
      </c>
      <c r="K68" s="16">
        <v>0</v>
      </c>
      <c r="L68" s="16">
        <v>0</v>
      </c>
      <c r="M68" s="16">
        <v>0</v>
      </c>
      <c r="N68" s="18">
        <f t="shared" si="1"/>
        <v>2334142390.4790344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5702763755.3200006</v>
      </c>
      <c r="C69" s="16">
        <v>0</v>
      </c>
      <c r="D69" s="16">
        <v>28676380.439593635</v>
      </c>
      <c r="E69" s="16">
        <v>67532549.170000002</v>
      </c>
      <c r="F69" s="16">
        <v>151263362.19999999</v>
      </c>
      <c r="G69" s="16">
        <v>26612030.001393687</v>
      </c>
      <c r="H69" s="16">
        <v>356528114.41000003</v>
      </c>
      <c r="I69" s="16">
        <v>362456398.66000003</v>
      </c>
      <c r="J69" s="16">
        <v>917475782.86999953</v>
      </c>
      <c r="K69" s="16">
        <v>0</v>
      </c>
      <c r="L69" s="16">
        <v>0</v>
      </c>
      <c r="M69" s="16">
        <v>0</v>
      </c>
      <c r="N69" s="18">
        <f t="shared" si="1"/>
        <v>7613308373.0709867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1185455445.7199998</v>
      </c>
      <c r="C70" s="16">
        <v>0</v>
      </c>
      <c r="D70" s="16">
        <v>39924899.488541953</v>
      </c>
      <c r="E70" s="16">
        <v>14026715.43</v>
      </c>
      <c r="F70" s="16">
        <v>33592895.420000002</v>
      </c>
      <c r="G70" s="16">
        <v>12072660.710000001</v>
      </c>
      <c r="H70" s="16">
        <v>74112871.049999997</v>
      </c>
      <c r="I70" s="16">
        <v>80495102.829999998</v>
      </c>
      <c r="J70" s="16">
        <v>389983304.81000012</v>
      </c>
      <c r="K70" s="16">
        <v>0</v>
      </c>
      <c r="L70" s="16">
        <v>0</v>
      </c>
      <c r="M70" s="16">
        <v>0</v>
      </c>
      <c r="N70" s="18">
        <f t="shared" si="1"/>
        <v>1829663895.4585419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4624521847.8799992</v>
      </c>
      <c r="C71" s="16">
        <v>0</v>
      </c>
      <c r="D71" s="16">
        <v>28171165.93</v>
      </c>
      <c r="E71" s="16">
        <v>43348460.240000002</v>
      </c>
      <c r="F71" s="16">
        <v>21151965.010000002</v>
      </c>
      <c r="G71" s="16">
        <v>11725979.57</v>
      </c>
      <c r="H71" s="16">
        <v>289118070.68000001</v>
      </c>
      <c r="I71" s="16">
        <v>50684216.93</v>
      </c>
      <c r="J71" s="16">
        <v>325932001.10999995</v>
      </c>
      <c r="K71" s="16">
        <v>0</v>
      </c>
      <c r="L71" s="16">
        <v>0</v>
      </c>
      <c r="M71" s="16">
        <v>0</v>
      </c>
      <c r="N71" s="18">
        <f t="shared" si="1"/>
        <v>5394653707.3499994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19999806066.629997</v>
      </c>
      <c r="C72" s="16">
        <v>0</v>
      </c>
      <c r="D72" s="16">
        <v>136472826.35822052</v>
      </c>
      <c r="E72" s="16">
        <v>308982915.69</v>
      </c>
      <c r="F72" s="16">
        <v>615462599.50999999</v>
      </c>
      <c r="G72" s="16">
        <v>0</v>
      </c>
      <c r="H72" s="16">
        <v>1250357449.7</v>
      </c>
      <c r="I72" s="16">
        <v>1474767940.28</v>
      </c>
      <c r="J72" s="16">
        <v>4775221554.3499975</v>
      </c>
      <c r="K72" s="16">
        <v>0</v>
      </c>
      <c r="L72" s="16">
        <v>0</v>
      </c>
      <c r="M72" s="16">
        <v>0</v>
      </c>
      <c r="N72" s="18">
        <f t="shared" ref="N72:N103" si="2">SUM(B72:M72)</f>
        <v>28561071352.518211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9630169748.3800011</v>
      </c>
      <c r="C73" s="16">
        <v>0</v>
      </c>
      <c r="D73" s="16">
        <v>215743771.92770377</v>
      </c>
      <c r="E73" s="16">
        <v>143043952.98000002</v>
      </c>
      <c r="F73" s="16">
        <v>228441222.15000001</v>
      </c>
      <c r="G73" s="16">
        <v>108338707.51126179</v>
      </c>
      <c r="H73" s="16">
        <v>602063562.35000002</v>
      </c>
      <c r="I73" s="16">
        <v>547389542.87</v>
      </c>
      <c r="J73" s="16">
        <v>2080053491.8799992</v>
      </c>
      <c r="K73" s="16">
        <v>0</v>
      </c>
      <c r="L73" s="16">
        <v>0</v>
      </c>
      <c r="M73" s="16">
        <v>0</v>
      </c>
      <c r="N73" s="18">
        <f t="shared" si="2"/>
        <v>13555244000.048965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4976938126.0100002</v>
      </c>
      <c r="C74" s="16">
        <v>0</v>
      </c>
      <c r="D74" s="16">
        <v>73308514.469999984</v>
      </c>
      <c r="E74" s="16">
        <v>74476371.870000005</v>
      </c>
      <c r="F74" s="16">
        <v>165855238.91</v>
      </c>
      <c r="G74" s="16">
        <v>171424618.02824962</v>
      </c>
      <c r="H74" s="16">
        <v>311150600.25999999</v>
      </c>
      <c r="I74" s="16">
        <v>397421369.72000003</v>
      </c>
      <c r="J74" s="16">
        <v>1115841523.2900002</v>
      </c>
      <c r="K74" s="16">
        <v>0</v>
      </c>
      <c r="L74" s="16">
        <v>0</v>
      </c>
      <c r="M74" s="16">
        <v>0</v>
      </c>
      <c r="N74" s="18">
        <f t="shared" si="2"/>
        <v>7286416362.5582504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865911099.76999998</v>
      </c>
      <c r="C75" s="16">
        <v>0</v>
      </c>
      <c r="D75" s="16">
        <v>15498292.612351377</v>
      </c>
      <c r="E75" s="16">
        <v>9847313.5399999991</v>
      </c>
      <c r="F75" s="16">
        <v>3014899.8</v>
      </c>
      <c r="G75" s="16">
        <v>1345938.53</v>
      </c>
      <c r="H75" s="16">
        <v>54135444.659999996</v>
      </c>
      <c r="I75" s="16">
        <v>7224285.5700000003</v>
      </c>
      <c r="J75" s="16">
        <v>125749969.59000005</v>
      </c>
      <c r="K75" s="16">
        <v>0</v>
      </c>
      <c r="L75" s="16">
        <v>0</v>
      </c>
      <c r="M75" s="16">
        <v>0</v>
      </c>
      <c r="N75" s="18">
        <f t="shared" si="2"/>
        <v>1082727244.0723515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839297594.65999985</v>
      </c>
      <c r="C76" s="16">
        <v>0</v>
      </c>
      <c r="D76" s="16">
        <v>20145511.462223407</v>
      </c>
      <c r="E76" s="16">
        <v>9945804.6499999985</v>
      </c>
      <c r="F76" s="16">
        <v>5428011.2999999998</v>
      </c>
      <c r="G76" s="16">
        <v>3160916.23</v>
      </c>
      <c r="H76" s="16">
        <v>52471608.799999997</v>
      </c>
      <c r="I76" s="16">
        <v>13006569.470000001</v>
      </c>
      <c r="J76" s="16">
        <v>186731798.51999995</v>
      </c>
      <c r="K76" s="16">
        <v>0</v>
      </c>
      <c r="L76" s="16">
        <v>0</v>
      </c>
      <c r="M76" s="16">
        <v>0</v>
      </c>
      <c r="N76" s="18">
        <f t="shared" si="2"/>
        <v>1130187815.0922232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895106965.57000005</v>
      </c>
      <c r="C77" s="16">
        <v>0</v>
      </c>
      <c r="D77" s="16">
        <v>11078386.49648894</v>
      </c>
      <c r="E77" s="16">
        <v>11148186.98</v>
      </c>
      <c r="F77" s="16">
        <v>6375381</v>
      </c>
      <c r="G77" s="16">
        <v>2018907.79</v>
      </c>
      <c r="H77" s="16">
        <v>55960725.770000003</v>
      </c>
      <c r="I77" s="16">
        <v>15276651.300000001</v>
      </c>
      <c r="J77" s="16">
        <v>126881877.58000006</v>
      </c>
      <c r="K77" s="16">
        <v>0</v>
      </c>
      <c r="L77" s="16">
        <v>0</v>
      </c>
      <c r="M77" s="16">
        <v>0</v>
      </c>
      <c r="N77" s="18">
        <f t="shared" si="2"/>
        <v>1123847082.4864891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353084653.69</v>
      </c>
      <c r="C78" s="16">
        <v>0</v>
      </c>
      <c r="D78" s="16">
        <v>7304733.9019110743</v>
      </c>
      <c r="E78" s="16">
        <v>4284722.66</v>
      </c>
      <c r="F78" s="16">
        <v>2264154</v>
      </c>
      <c r="G78" s="16">
        <v>713755.28</v>
      </c>
      <c r="H78" s="16">
        <v>22074315.41</v>
      </c>
      <c r="I78" s="16">
        <v>5425352.7999999998</v>
      </c>
      <c r="J78" s="16">
        <v>54413004.429999977</v>
      </c>
      <c r="K78" s="16">
        <v>0</v>
      </c>
      <c r="L78" s="16">
        <v>0</v>
      </c>
      <c r="M78" s="16">
        <v>0</v>
      </c>
      <c r="N78" s="18">
        <f t="shared" si="2"/>
        <v>449564692.17191112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1833233021.7200003</v>
      </c>
      <c r="C79" s="16">
        <v>0</v>
      </c>
      <c r="D79" s="16">
        <v>37551966.340804778</v>
      </c>
      <c r="E79" s="16">
        <v>22048348.899999999</v>
      </c>
      <c r="F79" s="16">
        <v>11380353</v>
      </c>
      <c r="G79" s="16">
        <v>5302182.07</v>
      </c>
      <c r="H79" s="16">
        <v>114610939.64</v>
      </c>
      <c r="I79" s="16">
        <v>27269536.43</v>
      </c>
      <c r="J79" s="16">
        <v>294757842.34000009</v>
      </c>
      <c r="K79" s="16">
        <v>0</v>
      </c>
      <c r="L79" s="16">
        <v>0</v>
      </c>
      <c r="M79" s="16">
        <v>0</v>
      </c>
      <c r="N79" s="18">
        <f t="shared" si="2"/>
        <v>2346154190.4408054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1006209235.3099999</v>
      </c>
      <c r="C80" s="16">
        <v>0</v>
      </c>
      <c r="D80" s="16">
        <v>31871261.514417112</v>
      </c>
      <c r="E80" s="16">
        <v>11758184.82</v>
      </c>
      <c r="F80" s="16">
        <v>3682229.4</v>
      </c>
      <c r="G80" s="16">
        <v>2120872.83</v>
      </c>
      <c r="H80" s="16">
        <v>62906670.659999996</v>
      </c>
      <c r="I80" s="16">
        <v>8823336.9199999999</v>
      </c>
      <c r="J80" s="16">
        <v>190497613.15999991</v>
      </c>
      <c r="K80" s="16">
        <v>0</v>
      </c>
      <c r="L80" s="16">
        <v>0</v>
      </c>
      <c r="M80" s="16">
        <v>0</v>
      </c>
      <c r="N80" s="18">
        <f t="shared" si="2"/>
        <v>1317869404.6144171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559430460.68000007</v>
      </c>
      <c r="C81" s="16">
        <v>0</v>
      </c>
      <c r="D81" s="16">
        <v>19748563.520705339</v>
      </c>
      <c r="E81" s="16">
        <v>6601779.9100000001</v>
      </c>
      <c r="F81" s="16">
        <v>9563071.5</v>
      </c>
      <c r="G81" s="16">
        <v>4853535.8899999997</v>
      </c>
      <c r="H81" s="16">
        <v>34974741.350000001</v>
      </c>
      <c r="I81" s="16">
        <v>22914976.949999999</v>
      </c>
      <c r="J81" s="16">
        <v>222723398.69999999</v>
      </c>
      <c r="K81" s="16">
        <v>0</v>
      </c>
      <c r="L81" s="16">
        <v>0</v>
      </c>
      <c r="M81" s="16">
        <v>0</v>
      </c>
      <c r="N81" s="18">
        <f t="shared" si="2"/>
        <v>880810528.50070548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9261560549.9099998</v>
      </c>
      <c r="C82" s="16">
        <v>0</v>
      </c>
      <c r="D82" s="16">
        <v>79619262.559999987</v>
      </c>
      <c r="E82" s="16">
        <v>137386639.31999999</v>
      </c>
      <c r="F82" s="16">
        <v>275613083.27999997</v>
      </c>
      <c r="G82" s="16">
        <v>198735796.69889107</v>
      </c>
      <c r="H82" s="16">
        <v>579018676.02999997</v>
      </c>
      <c r="I82" s="16">
        <v>660422485.25</v>
      </c>
      <c r="J82" s="16">
        <v>1848794664.1000004</v>
      </c>
      <c r="K82" s="16">
        <v>0</v>
      </c>
      <c r="L82" s="16">
        <v>0</v>
      </c>
      <c r="M82" s="16">
        <v>0</v>
      </c>
      <c r="N82" s="18">
        <f t="shared" si="2"/>
        <v>13041151157.148891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2284143573.4300003</v>
      </c>
      <c r="C83" s="16">
        <v>0</v>
      </c>
      <c r="D83" s="16">
        <v>29595927.023721486</v>
      </c>
      <c r="E83" s="16">
        <v>35516304.710000001</v>
      </c>
      <c r="F83" s="16">
        <v>30518412.620000001</v>
      </c>
      <c r="G83" s="16">
        <v>12949560.050000001</v>
      </c>
      <c r="H83" s="16">
        <v>142801181.36000001</v>
      </c>
      <c r="I83" s="16">
        <v>73128044.819999993</v>
      </c>
      <c r="J83" s="16">
        <v>400137453.53999978</v>
      </c>
      <c r="K83" s="16">
        <v>0</v>
      </c>
      <c r="L83" s="16">
        <v>0</v>
      </c>
      <c r="M83" s="16">
        <v>0</v>
      </c>
      <c r="N83" s="18">
        <f t="shared" si="2"/>
        <v>3008790457.5537224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998431772.62000012</v>
      </c>
      <c r="C84" s="16">
        <v>0</v>
      </c>
      <c r="D84" s="16">
        <v>24926446.364833191</v>
      </c>
      <c r="E84" s="16">
        <v>11653942.41</v>
      </c>
      <c r="F84" s="16">
        <v>6125132.4000000004</v>
      </c>
      <c r="G84" s="16">
        <v>1433824.9747905787</v>
      </c>
      <c r="H84" s="16">
        <v>62420435.520000003</v>
      </c>
      <c r="I84" s="16">
        <v>14677007.039999999</v>
      </c>
      <c r="J84" s="16">
        <v>164542871.29999995</v>
      </c>
      <c r="K84" s="16">
        <v>0</v>
      </c>
      <c r="L84" s="16">
        <v>0</v>
      </c>
      <c r="M84" s="16">
        <v>0</v>
      </c>
      <c r="N84" s="18">
        <f t="shared" si="2"/>
        <v>1284211432.6296239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748854210.14999998</v>
      </c>
      <c r="C85" s="16">
        <v>0</v>
      </c>
      <c r="D85" s="16">
        <v>13064757.871393722</v>
      </c>
      <c r="E85" s="16">
        <v>9326460.9299999997</v>
      </c>
      <c r="F85" s="16">
        <v>2895733.8</v>
      </c>
      <c r="G85" s="16">
        <v>1325545.52</v>
      </c>
      <c r="H85" s="16">
        <v>46817226</v>
      </c>
      <c r="I85" s="16">
        <v>6938740.6799999997</v>
      </c>
      <c r="J85" s="16">
        <v>96999050.670000002</v>
      </c>
      <c r="K85" s="16">
        <v>0</v>
      </c>
      <c r="L85" s="16">
        <v>0</v>
      </c>
      <c r="M85" s="16">
        <v>0</v>
      </c>
      <c r="N85" s="18">
        <f t="shared" si="2"/>
        <v>926221725.62139344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9639071297.4699993</v>
      </c>
      <c r="C86" s="16">
        <v>0</v>
      </c>
      <c r="D86" s="16">
        <v>28740751.860000003</v>
      </c>
      <c r="E86" s="16">
        <v>149319366.03999999</v>
      </c>
      <c r="F86" s="16">
        <v>172927741.00999999</v>
      </c>
      <c r="G86" s="16">
        <v>50228770.164293796</v>
      </c>
      <c r="H86" s="16">
        <v>602620073.65999997</v>
      </c>
      <c r="I86" s="16">
        <v>414368458.60000002</v>
      </c>
      <c r="J86" s="16">
        <v>816217273.41999972</v>
      </c>
      <c r="K86" s="16">
        <v>0</v>
      </c>
      <c r="L86" s="16">
        <v>0</v>
      </c>
      <c r="M86" s="16">
        <v>0</v>
      </c>
      <c r="N86" s="18">
        <f t="shared" si="2"/>
        <v>11873493732.224295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1552697512.0799999</v>
      </c>
      <c r="C87" s="16">
        <v>0</v>
      </c>
      <c r="D87" s="16">
        <v>16022062.431014052</v>
      </c>
      <c r="E87" s="16">
        <v>18157950.120000001</v>
      </c>
      <c r="F87" s="16">
        <v>4909639.2</v>
      </c>
      <c r="G87" s="16">
        <v>3854278.5</v>
      </c>
      <c r="H87" s="16">
        <v>97072286.349999994</v>
      </c>
      <c r="I87" s="16">
        <v>11764449.23</v>
      </c>
      <c r="J87" s="16">
        <v>184562497.91000006</v>
      </c>
      <c r="K87" s="16">
        <v>0</v>
      </c>
      <c r="L87" s="16">
        <v>0</v>
      </c>
      <c r="M87" s="16">
        <v>0</v>
      </c>
      <c r="N87" s="18">
        <f t="shared" si="2"/>
        <v>1889040675.8210139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1490356287.7199998</v>
      </c>
      <c r="C88" s="16">
        <v>0</v>
      </c>
      <c r="D88" s="16">
        <v>11904528.509580299</v>
      </c>
      <c r="E88" s="16">
        <v>16678786.209999999</v>
      </c>
      <c r="F88" s="16">
        <v>24095365.210000001</v>
      </c>
      <c r="G88" s="16">
        <v>7790129.04</v>
      </c>
      <c r="H88" s="16">
        <v>93174807.840000004</v>
      </c>
      <c r="I88" s="16">
        <v>57737175.57</v>
      </c>
      <c r="J88" s="16">
        <v>280949475.59999996</v>
      </c>
      <c r="K88" s="16">
        <v>0</v>
      </c>
      <c r="L88" s="16">
        <v>0</v>
      </c>
      <c r="M88" s="16">
        <v>0</v>
      </c>
      <c r="N88" s="18">
        <f t="shared" si="2"/>
        <v>1982686555.69958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1992124154.02</v>
      </c>
      <c r="C89" s="16">
        <v>0</v>
      </c>
      <c r="D89" s="16">
        <v>21495896.7128378</v>
      </c>
      <c r="E89" s="16">
        <v>23598685.210000001</v>
      </c>
      <c r="F89" s="16">
        <v>20264178.309999999</v>
      </c>
      <c r="G89" s="16">
        <v>8483491.3100000005</v>
      </c>
      <c r="H89" s="16">
        <v>124544571.51000001</v>
      </c>
      <c r="I89" s="16">
        <v>48556907.549999997</v>
      </c>
      <c r="J89" s="16">
        <v>288519252.82999998</v>
      </c>
      <c r="K89" s="16">
        <v>0</v>
      </c>
      <c r="L89" s="16">
        <v>0</v>
      </c>
      <c r="M89" s="16">
        <v>0</v>
      </c>
      <c r="N89" s="18">
        <f t="shared" si="2"/>
        <v>2527587137.4528379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8994453315.6900005</v>
      </c>
      <c r="C90" s="16">
        <v>0</v>
      </c>
      <c r="D90" s="16">
        <v>41534511.873244777</v>
      </c>
      <c r="E90" s="16">
        <v>137331830.21000001</v>
      </c>
      <c r="F90" s="16">
        <v>274880212.38</v>
      </c>
      <c r="G90" s="16">
        <v>80925839.084789917</v>
      </c>
      <c r="H90" s="16">
        <v>562319538.09000003</v>
      </c>
      <c r="I90" s="16">
        <v>658666384.21000004</v>
      </c>
      <c r="J90" s="16">
        <v>1681887198.0699992</v>
      </c>
      <c r="K90" s="16">
        <v>0</v>
      </c>
      <c r="L90" s="16">
        <v>0</v>
      </c>
      <c r="M90" s="16">
        <v>0</v>
      </c>
      <c r="N90" s="18">
        <f t="shared" si="2"/>
        <v>12431998829.608032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423203340.77000004</v>
      </c>
      <c r="C91" s="16">
        <v>0</v>
      </c>
      <c r="D91" s="16">
        <v>18492107.178188976</v>
      </c>
      <c r="E91" s="16">
        <v>4951155.1999999993</v>
      </c>
      <c r="F91" s="16">
        <v>6381339.2999999998</v>
      </c>
      <c r="G91" s="16">
        <v>2895807.13</v>
      </c>
      <c r="H91" s="16">
        <v>26458029.050000001</v>
      </c>
      <c r="I91" s="16">
        <v>15290928.539999999</v>
      </c>
      <c r="J91" s="16">
        <v>129708800.82999998</v>
      </c>
      <c r="K91" s="16">
        <v>0</v>
      </c>
      <c r="L91" s="16">
        <v>0</v>
      </c>
      <c r="M91" s="16">
        <v>0</v>
      </c>
      <c r="N91" s="18">
        <f t="shared" si="2"/>
        <v>627381507.99818897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568666197.62</v>
      </c>
      <c r="C92" s="16">
        <v>0</v>
      </c>
      <c r="D92" s="16">
        <v>1569485.67</v>
      </c>
      <c r="E92" s="16">
        <v>6919481.1200000001</v>
      </c>
      <c r="F92" s="16">
        <v>1364450.7</v>
      </c>
      <c r="G92" s="16">
        <v>978864.38</v>
      </c>
      <c r="H92" s="16">
        <v>35552145.57</v>
      </c>
      <c r="I92" s="16">
        <v>3269488.92</v>
      </c>
      <c r="J92" s="16">
        <v>50435953.409999989</v>
      </c>
      <c r="K92" s="16">
        <v>0</v>
      </c>
      <c r="L92" s="16">
        <v>0</v>
      </c>
      <c r="M92" s="16">
        <v>0</v>
      </c>
      <c r="N92" s="18">
        <f t="shared" si="2"/>
        <v>668756067.38999999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6671240144.4099998</v>
      </c>
      <c r="C93" s="16">
        <v>0</v>
      </c>
      <c r="D93" s="16">
        <v>42239412.106242724</v>
      </c>
      <c r="E93" s="16">
        <v>99504331.180000007</v>
      </c>
      <c r="F93" s="16">
        <v>222780837.15000001</v>
      </c>
      <c r="G93" s="16">
        <v>40427636.424929909</v>
      </c>
      <c r="H93" s="16">
        <v>417075784.91000003</v>
      </c>
      <c r="I93" s="16">
        <v>533826160.87</v>
      </c>
      <c r="J93" s="16">
        <v>1736269456.5699992</v>
      </c>
      <c r="K93" s="16">
        <v>0</v>
      </c>
      <c r="L93" s="16">
        <v>0</v>
      </c>
      <c r="M93" s="16">
        <v>0</v>
      </c>
      <c r="N93" s="18">
        <f t="shared" si="2"/>
        <v>9763363763.621172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3290899661.7099996</v>
      </c>
      <c r="C94" s="16">
        <v>0</v>
      </c>
      <c r="D94" s="16">
        <v>56600182.280000009</v>
      </c>
      <c r="E94" s="16">
        <v>51170063.5</v>
      </c>
      <c r="F94" s="16">
        <v>100736978.16</v>
      </c>
      <c r="G94" s="16">
        <v>48021806.847482502</v>
      </c>
      <c r="H94" s="16">
        <v>205742040.43000001</v>
      </c>
      <c r="I94" s="16">
        <v>241385367.78999999</v>
      </c>
      <c r="J94" s="16">
        <v>820016111.62999976</v>
      </c>
      <c r="K94" s="16">
        <v>0</v>
      </c>
      <c r="L94" s="16">
        <v>0</v>
      </c>
      <c r="M94" s="16">
        <v>0</v>
      </c>
      <c r="N94" s="18">
        <f t="shared" si="2"/>
        <v>4814572212.3474817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667221232.63</v>
      </c>
      <c r="C95" s="16">
        <v>0</v>
      </c>
      <c r="D95" s="16">
        <v>13234162.122311959</v>
      </c>
      <c r="E95" s="16">
        <v>8116530.0199999996</v>
      </c>
      <c r="F95" s="16">
        <v>4939430.7</v>
      </c>
      <c r="G95" s="16">
        <v>2324802.91</v>
      </c>
      <c r="H95" s="16">
        <v>41713656.43</v>
      </c>
      <c r="I95" s="16">
        <v>11835835.449999999</v>
      </c>
      <c r="J95" s="16">
        <v>131066748.84999995</v>
      </c>
      <c r="K95" s="16">
        <v>0</v>
      </c>
      <c r="L95" s="16">
        <v>0</v>
      </c>
      <c r="M95" s="16">
        <v>0</v>
      </c>
      <c r="N95" s="18">
        <f t="shared" si="2"/>
        <v>880452399.11231184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2162013104.6400003</v>
      </c>
      <c r="C96" s="16">
        <v>0</v>
      </c>
      <c r="D96" s="16">
        <v>40906611.369225465</v>
      </c>
      <c r="E96" s="16">
        <v>20301567.859999999</v>
      </c>
      <c r="F96" s="16">
        <v>27682261.809999999</v>
      </c>
      <c r="G96" s="16">
        <v>11889123.640000001</v>
      </c>
      <c r="H96" s="16">
        <v>135165770.25</v>
      </c>
      <c r="I96" s="16">
        <v>66332076.579999998</v>
      </c>
      <c r="J96" s="16">
        <v>444155465.81999981</v>
      </c>
      <c r="K96" s="16">
        <v>0</v>
      </c>
      <c r="L96" s="16">
        <v>0</v>
      </c>
      <c r="M96" s="16">
        <v>0</v>
      </c>
      <c r="N96" s="18">
        <f t="shared" si="2"/>
        <v>2908445981.9692254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1073654419.5699999</v>
      </c>
      <c r="C97" s="16">
        <v>0</v>
      </c>
      <c r="D97" s="16">
        <v>42205244.699599043</v>
      </c>
      <c r="E97" s="16">
        <v>12684504.49</v>
      </c>
      <c r="F97" s="16">
        <v>12780553.5</v>
      </c>
      <c r="G97" s="16">
        <v>6117902.3899999997</v>
      </c>
      <c r="H97" s="16">
        <v>67123240.969999999</v>
      </c>
      <c r="I97" s="16">
        <v>30624688.82</v>
      </c>
      <c r="J97" s="16">
        <v>301855042.24000007</v>
      </c>
      <c r="K97" s="16">
        <v>0</v>
      </c>
      <c r="L97" s="16">
        <v>0</v>
      </c>
      <c r="M97" s="16">
        <v>0</v>
      </c>
      <c r="N97" s="18">
        <f t="shared" si="2"/>
        <v>1547045596.679599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3078994184.1300001</v>
      </c>
      <c r="C98" s="16">
        <v>0</v>
      </c>
      <c r="D98" s="16">
        <v>60131629.775462091</v>
      </c>
      <c r="E98" s="16">
        <v>46764147.810000002</v>
      </c>
      <c r="F98" s="16">
        <v>29720000.420000002</v>
      </c>
      <c r="G98" s="16">
        <v>14642179.710000001</v>
      </c>
      <c r="H98" s="16">
        <v>192494032.34</v>
      </c>
      <c r="I98" s="16">
        <v>71214894.099999994</v>
      </c>
      <c r="J98" s="16">
        <v>581987471.74000001</v>
      </c>
      <c r="K98" s="16">
        <v>0</v>
      </c>
      <c r="L98" s="16">
        <v>0</v>
      </c>
      <c r="M98" s="16">
        <v>0</v>
      </c>
      <c r="N98" s="18">
        <f t="shared" si="2"/>
        <v>4075948540.0254622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2217731333.46</v>
      </c>
      <c r="C99" s="16">
        <v>0</v>
      </c>
      <c r="D99" s="16">
        <v>26875199.082902748</v>
      </c>
      <c r="E99" s="16">
        <v>25886267.02</v>
      </c>
      <c r="F99" s="16">
        <v>11016896.699999999</v>
      </c>
      <c r="G99" s="16">
        <v>4384496.71</v>
      </c>
      <c r="H99" s="16">
        <v>138649189.15000001</v>
      </c>
      <c r="I99" s="16">
        <v>26398624.539999999</v>
      </c>
      <c r="J99" s="16">
        <v>381622103.06000012</v>
      </c>
      <c r="K99" s="16">
        <v>0</v>
      </c>
      <c r="L99" s="16">
        <v>0</v>
      </c>
      <c r="M99" s="16">
        <v>0</v>
      </c>
      <c r="N99" s="18">
        <f t="shared" si="2"/>
        <v>2832564109.7229028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2251940016.98</v>
      </c>
      <c r="C100" s="16">
        <v>0</v>
      </c>
      <c r="D100" s="16">
        <v>32443370.614218801</v>
      </c>
      <c r="E100" s="16">
        <v>27350333.73</v>
      </c>
      <c r="F100" s="16">
        <v>12369430.800000001</v>
      </c>
      <c r="G100" s="16">
        <v>5220610.04</v>
      </c>
      <c r="H100" s="16">
        <v>140787864</v>
      </c>
      <c r="I100" s="16">
        <v>29639558.969999999</v>
      </c>
      <c r="J100" s="16">
        <v>295112560.05000001</v>
      </c>
      <c r="K100" s="16">
        <v>0</v>
      </c>
      <c r="L100" s="16">
        <v>0</v>
      </c>
      <c r="M100" s="16">
        <v>0</v>
      </c>
      <c r="N100" s="18">
        <f t="shared" si="2"/>
        <v>2794863745.1842189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481990021.63</v>
      </c>
      <c r="C101" s="16">
        <v>0</v>
      </c>
      <c r="D101" s="16">
        <v>28921857.770282019</v>
      </c>
      <c r="E101" s="16">
        <v>5604287.8399999999</v>
      </c>
      <c r="F101" s="16">
        <v>1477658.4</v>
      </c>
      <c r="G101" s="16">
        <v>836113.33</v>
      </c>
      <c r="H101" s="16">
        <v>30133282.91</v>
      </c>
      <c r="I101" s="16">
        <v>3540756.56</v>
      </c>
      <c r="J101" s="16">
        <v>68108635.919999987</v>
      </c>
      <c r="K101" s="16">
        <v>0</v>
      </c>
      <c r="L101" s="16">
        <v>0</v>
      </c>
      <c r="M101" s="16">
        <v>0</v>
      </c>
      <c r="N101" s="18">
        <f t="shared" si="2"/>
        <v>620612614.36028183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1316365940.77</v>
      </c>
      <c r="C102" s="16">
        <v>0</v>
      </c>
      <c r="D102" s="16">
        <v>68294687.182497561</v>
      </c>
      <c r="E102" s="16">
        <v>19900774.120000001</v>
      </c>
      <c r="F102" s="16">
        <v>28611756.609999999</v>
      </c>
      <c r="G102" s="16">
        <v>13418599.23</v>
      </c>
      <c r="H102" s="16">
        <v>82297196.040000007</v>
      </c>
      <c r="I102" s="16">
        <v>68559326.680000007</v>
      </c>
      <c r="J102" s="16">
        <v>438650225.00000024</v>
      </c>
      <c r="K102" s="16">
        <v>0</v>
      </c>
      <c r="L102" s="16">
        <v>0</v>
      </c>
      <c r="M102" s="16">
        <v>0</v>
      </c>
      <c r="N102" s="18">
        <f t="shared" si="2"/>
        <v>2036098505.6324975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462880552.77999997</v>
      </c>
      <c r="C103" s="16">
        <v>0</v>
      </c>
      <c r="D103" s="16">
        <v>17790200.275371145</v>
      </c>
      <c r="E103" s="16">
        <v>5764964.9399999995</v>
      </c>
      <c r="F103" s="16">
        <v>709037.7</v>
      </c>
      <c r="G103" s="16">
        <v>530218.21</v>
      </c>
      <c r="H103" s="16">
        <v>28938587.989999998</v>
      </c>
      <c r="I103" s="16">
        <v>1698992.06</v>
      </c>
      <c r="J103" s="16">
        <v>96278227.919999957</v>
      </c>
      <c r="K103" s="16">
        <v>0</v>
      </c>
      <c r="L103" s="16">
        <v>0</v>
      </c>
      <c r="M103" s="16">
        <v>0</v>
      </c>
      <c r="N103" s="18">
        <f t="shared" si="2"/>
        <v>614590781.87537098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7347211022.6799994</v>
      </c>
      <c r="C104" s="16">
        <v>0</v>
      </c>
      <c r="D104" s="16">
        <v>58729831.025377229</v>
      </c>
      <c r="E104" s="16">
        <v>110749871.38</v>
      </c>
      <c r="F104" s="16">
        <v>145305062.19</v>
      </c>
      <c r="G104" s="16">
        <v>26792717.966652747</v>
      </c>
      <c r="H104" s="16">
        <v>459336455.87</v>
      </c>
      <c r="I104" s="16">
        <v>348179154.45999998</v>
      </c>
      <c r="J104" s="16">
        <v>1065262657.8100002</v>
      </c>
      <c r="K104" s="16">
        <v>0</v>
      </c>
      <c r="L104" s="16">
        <v>0</v>
      </c>
      <c r="M104" s="16">
        <v>0</v>
      </c>
      <c r="N104" s="18">
        <f t="shared" ref="N104:N135" si="3">SUM(B104:M104)</f>
        <v>9561566773.3820286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1189496080.6200001</v>
      </c>
      <c r="C105" s="16">
        <v>0</v>
      </c>
      <c r="D105" s="16">
        <v>13233174.510000002</v>
      </c>
      <c r="E105" s="16">
        <v>14787430.914000001</v>
      </c>
      <c r="F105" s="16">
        <v>6262173.2999999998</v>
      </c>
      <c r="G105" s="16">
        <v>4588426.79</v>
      </c>
      <c r="H105" s="16">
        <v>74365485.390000001</v>
      </c>
      <c r="I105" s="16">
        <v>15005383.66</v>
      </c>
      <c r="J105" s="16">
        <v>139109103.26999995</v>
      </c>
      <c r="K105" s="16">
        <v>0</v>
      </c>
      <c r="L105" s="16">
        <v>0</v>
      </c>
      <c r="M105" s="16">
        <v>0</v>
      </c>
      <c r="N105" s="18">
        <f t="shared" si="3"/>
        <v>1456847258.4540002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1351880994.9999998</v>
      </c>
      <c r="C106" s="16">
        <v>0</v>
      </c>
      <c r="D106" s="16">
        <v>7489458.6200000001</v>
      </c>
      <c r="E106" s="16">
        <v>15799195.92</v>
      </c>
      <c r="F106" s="16">
        <v>44371460.130000003</v>
      </c>
      <c r="G106" s="16">
        <v>12624918.845247725</v>
      </c>
      <c r="H106" s="16">
        <v>84517543.200000003</v>
      </c>
      <c r="I106" s="16">
        <v>106322637.59999999</v>
      </c>
      <c r="J106" s="16">
        <v>365605149.16000009</v>
      </c>
      <c r="K106" s="16">
        <v>0</v>
      </c>
      <c r="L106" s="16">
        <v>0</v>
      </c>
      <c r="M106" s="16">
        <v>0</v>
      </c>
      <c r="N106" s="18">
        <f t="shared" si="3"/>
        <v>1988611358.4752476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1785504920.6000004</v>
      </c>
      <c r="C107" s="16">
        <v>0</v>
      </c>
      <c r="D107" s="16">
        <v>19926458.416120771</v>
      </c>
      <c r="E107" s="16">
        <v>21206861</v>
      </c>
      <c r="F107" s="16">
        <v>2466736.2000000002</v>
      </c>
      <c r="G107" s="16">
        <v>1937335.76</v>
      </c>
      <c r="H107" s="16">
        <v>111627051.37</v>
      </c>
      <c r="I107" s="16">
        <v>5910779.0999999996</v>
      </c>
      <c r="J107" s="16">
        <v>169383657.06000006</v>
      </c>
      <c r="K107" s="16">
        <v>0</v>
      </c>
      <c r="L107" s="16">
        <v>0</v>
      </c>
      <c r="M107" s="16">
        <v>0</v>
      </c>
      <c r="N107" s="18">
        <f t="shared" si="3"/>
        <v>2117963799.5061212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668254176.90999997</v>
      </c>
      <c r="C108" s="16">
        <v>0</v>
      </c>
      <c r="D108" s="16">
        <v>7571798.3512972938</v>
      </c>
      <c r="E108" s="16">
        <v>7750603.1999999993</v>
      </c>
      <c r="F108" s="16">
        <v>2502486</v>
      </c>
      <c r="G108" s="16">
        <v>1427510.56</v>
      </c>
      <c r="H108" s="16">
        <v>41778234.530000001</v>
      </c>
      <c r="I108" s="16">
        <v>5996442.5700000003</v>
      </c>
      <c r="J108" s="16">
        <v>90359624.379999965</v>
      </c>
      <c r="K108" s="16">
        <v>0</v>
      </c>
      <c r="L108" s="16">
        <v>0</v>
      </c>
      <c r="M108" s="16">
        <v>0</v>
      </c>
      <c r="N108" s="18">
        <f t="shared" si="3"/>
        <v>825640876.50129724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6049468459.29</v>
      </c>
      <c r="C109" s="16">
        <v>0</v>
      </c>
      <c r="D109" s="16">
        <v>70650012.594441399</v>
      </c>
      <c r="E109" s="16">
        <v>90991416.710000008</v>
      </c>
      <c r="F109" s="16">
        <v>255503820.77000001</v>
      </c>
      <c r="G109" s="16">
        <v>120814614.25362267</v>
      </c>
      <c r="H109" s="16">
        <v>378203565.06</v>
      </c>
      <c r="I109" s="16">
        <v>612236786.04999995</v>
      </c>
      <c r="J109" s="16">
        <v>1648681526.3400002</v>
      </c>
      <c r="K109" s="16">
        <v>0</v>
      </c>
      <c r="L109" s="16">
        <v>0</v>
      </c>
      <c r="M109" s="16">
        <v>0</v>
      </c>
      <c r="N109" s="18">
        <f t="shared" si="3"/>
        <v>9226550201.0680656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684568620.11999989</v>
      </c>
      <c r="C110" s="16">
        <v>0</v>
      </c>
      <c r="D110" s="16">
        <v>20265285.469010174</v>
      </c>
      <c r="E110" s="16">
        <v>10527034.189999999</v>
      </c>
      <c r="F110" s="16">
        <v>9765653.6999999993</v>
      </c>
      <c r="G110" s="16">
        <v>4629212.8099999996</v>
      </c>
      <c r="H110" s="16">
        <v>42798188.710000001</v>
      </c>
      <c r="I110" s="16">
        <v>23400403.25</v>
      </c>
      <c r="J110" s="16">
        <v>191032251.83000007</v>
      </c>
      <c r="K110" s="16">
        <v>0</v>
      </c>
      <c r="L110" s="16">
        <v>0</v>
      </c>
      <c r="M110" s="16">
        <v>0</v>
      </c>
      <c r="N110" s="18">
        <f t="shared" si="3"/>
        <v>986986650.07901013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837353228.95000005</v>
      </c>
      <c r="C111" s="16">
        <v>0</v>
      </c>
      <c r="D111" s="16">
        <v>17318949.338669308</v>
      </c>
      <c r="E111" s="16">
        <v>9808492.2300000004</v>
      </c>
      <c r="F111" s="16">
        <v>3402189.3</v>
      </c>
      <c r="G111" s="16">
        <v>1937335.76</v>
      </c>
      <c r="H111" s="16">
        <v>52350050.020000003</v>
      </c>
      <c r="I111" s="16">
        <v>8152306.4400000004</v>
      </c>
      <c r="J111" s="16">
        <v>148824836.85000002</v>
      </c>
      <c r="K111" s="16">
        <v>0</v>
      </c>
      <c r="L111" s="16">
        <v>0</v>
      </c>
      <c r="M111" s="16">
        <v>0</v>
      </c>
      <c r="N111" s="18">
        <f t="shared" si="3"/>
        <v>1079147388.8886695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1193779761.26</v>
      </c>
      <c r="C112" s="16">
        <v>0</v>
      </c>
      <c r="D112" s="16">
        <v>27616283.372797158</v>
      </c>
      <c r="E112" s="16">
        <v>14117657.940000001</v>
      </c>
      <c r="F112" s="16">
        <v>4135060.2</v>
      </c>
      <c r="G112" s="16">
        <v>2304409.9</v>
      </c>
      <c r="H112" s="16">
        <v>74633294.590000004</v>
      </c>
      <c r="I112" s="16">
        <v>9908407.4800000004</v>
      </c>
      <c r="J112" s="16">
        <v>156115622.55000001</v>
      </c>
      <c r="K112" s="16">
        <v>0</v>
      </c>
      <c r="L112" s="16">
        <v>0</v>
      </c>
      <c r="M112" s="16">
        <v>0</v>
      </c>
      <c r="N112" s="18">
        <f t="shared" si="3"/>
        <v>1482610497.2927973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961124256.29999995</v>
      </c>
      <c r="C113" s="16">
        <v>0</v>
      </c>
      <c r="D113" s="16">
        <v>26893470.432934843</v>
      </c>
      <c r="E113" s="16">
        <v>11174786.77</v>
      </c>
      <c r="F113" s="16">
        <v>5827217.4000000004</v>
      </c>
      <c r="G113" s="16">
        <v>2977379.16</v>
      </c>
      <c r="H113" s="16">
        <v>60088026.359999999</v>
      </c>
      <c r="I113" s="16">
        <v>13963144.83</v>
      </c>
      <c r="J113" s="16">
        <v>152460835.09999996</v>
      </c>
      <c r="K113" s="16">
        <v>0</v>
      </c>
      <c r="L113" s="16">
        <v>0</v>
      </c>
      <c r="M113" s="16">
        <v>0</v>
      </c>
      <c r="N113" s="18">
        <f t="shared" si="3"/>
        <v>1234509116.3529346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594034093.50999999</v>
      </c>
      <c r="C114" s="16">
        <v>0</v>
      </c>
      <c r="D114" s="16">
        <v>10074425.873583805</v>
      </c>
      <c r="E114" s="16">
        <v>6839021.2599999998</v>
      </c>
      <c r="F114" s="16">
        <v>3527313.6</v>
      </c>
      <c r="G114" s="16">
        <v>1631440.64</v>
      </c>
      <c r="H114" s="16">
        <v>37138107.829999998</v>
      </c>
      <c r="I114" s="16">
        <v>8452128.5700000003</v>
      </c>
      <c r="J114" s="16">
        <v>116465249.29999995</v>
      </c>
      <c r="K114" s="16">
        <v>0</v>
      </c>
      <c r="L114" s="16">
        <v>0</v>
      </c>
      <c r="M114" s="16">
        <v>0</v>
      </c>
      <c r="N114" s="18">
        <f t="shared" si="3"/>
        <v>778161780.58358383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1398545771.1199999</v>
      </c>
      <c r="C115" s="16">
        <v>0</v>
      </c>
      <c r="D115" s="16">
        <v>15747840.056360971</v>
      </c>
      <c r="E115" s="16">
        <v>16971383.890000001</v>
      </c>
      <c r="F115" s="16">
        <v>3652437.9</v>
      </c>
      <c r="G115" s="16">
        <v>2610305.02</v>
      </c>
      <c r="H115" s="16">
        <v>87434954.019999996</v>
      </c>
      <c r="I115" s="16">
        <v>8751950.6999999993</v>
      </c>
      <c r="J115" s="16">
        <v>156052422.45000005</v>
      </c>
      <c r="K115" s="16">
        <v>0</v>
      </c>
      <c r="L115" s="16">
        <v>0</v>
      </c>
      <c r="M115" s="16">
        <v>0</v>
      </c>
      <c r="N115" s="18">
        <f t="shared" si="3"/>
        <v>1689767065.1563611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905892118.91000009</v>
      </c>
      <c r="C116" s="16">
        <v>0</v>
      </c>
      <c r="D116" s="16">
        <v>18302348.587508474</v>
      </c>
      <c r="E116" s="16">
        <v>10690239.27</v>
      </c>
      <c r="F116" s="16">
        <v>10081443.6</v>
      </c>
      <c r="G116" s="16">
        <v>4139780.61</v>
      </c>
      <c r="H116" s="16">
        <v>56634997.149999999</v>
      </c>
      <c r="I116" s="16">
        <v>24157097.199999999</v>
      </c>
      <c r="J116" s="16">
        <v>211700391.10000011</v>
      </c>
      <c r="K116" s="16">
        <v>0</v>
      </c>
      <c r="L116" s="16">
        <v>0</v>
      </c>
      <c r="M116" s="16">
        <v>0</v>
      </c>
      <c r="N116" s="18">
        <f t="shared" si="3"/>
        <v>1241598416.4275086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496603144.90000004</v>
      </c>
      <c r="C117" s="16">
        <v>0</v>
      </c>
      <c r="D117" s="16">
        <v>6256287.1882690359</v>
      </c>
      <c r="E117" s="16">
        <v>5786891.79</v>
      </c>
      <c r="F117" s="16">
        <v>2121154.7999999998</v>
      </c>
      <c r="G117" s="16">
        <v>1101222.43</v>
      </c>
      <c r="H117" s="16">
        <v>31046873.149999999</v>
      </c>
      <c r="I117" s="16">
        <v>5082698.9400000004</v>
      </c>
      <c r="J117" s="16">
        <v>62393866.88000001</v>
      </c>
      <c r="K117" s="16">
        <v>0</v>
      </c>
      <c r="L117" s="16">
        <v>0</v>
      </c>
      <c r="M117" s="16">
        <v>0</v>
      </c>
      <c r="N117" s="18">
        <f t="shared" si="3"/>
        <v>610392140.07826912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822314775.71000004</v>
      </c>
      <c r="C118" s="16">
        <v>0</v>
      </c>
      <c r="D118" s="16">
        <v>23480655.169672474</v>
      </c>
      <c r="E118" s="16">
        <v>9924956.1699999999</v>
      </c>
      <c r="F118" s="16">
        <v>10003985.699999999</v>
      </c>
      <c r="G118" s="16">
        <v>4588426.79</v>
      </c>
      <c r="H118" s="16">
        <v>51409868.799999997</v>
      </c>
      <c r="I118" s="16">
        <v>23971493.02</v>
      </c>
      <c r="J118" s="16">
        <v>171982262.71000007</v>
      </c>
      <c r="K118" s="16">
        <v>0</v>
      </c>
      <c r="L118" s="16">
        <v>0</v>
      </c>
      <c r="M118" s="16">
        <v>0</v>
      </c>
      <c r="N118" s="18">
        <f t="shared" si="3"/>
        <v>1117676424.0696726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1072469571.7599999</v>
      </c>
      <c r="C119" s="16">
        <v>0</v>
      </c>
      <c r="D119" s="16">
        <v>17897991.285067301</v>
      </c>
      <c r="E119" s="16">
        <v>13008374.880000001</v>
      </c>
      <c r="F119" s="16">
        <v>8037746.7000000002</v>
      </c>
      <c r="G119" s="16">
        <v>3079344.2</v>
      </c>
      <c r="H119" s="16">
        <v>67049166.090000004</v>
      </c>
      <c r="I119" s="16">
        <v>19260002.43</v>
      </c>
      <c r="J119" s="16">
        <v>156549482.74000001</v>
      </c>
      <c r="K119" s="16">
        <v>0</v>
      </c>
      <c r="L119" s="16">
        <v>0</v>
      </c>
      <c r="M119" s="16">
        <v>0</v>
      </c>
      <c r="N119" s="18">
        <f t="shared" si="3"/>
        <v>1357351680.0850673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657985495.69000006</v>
      </c>
      <c r="C120" s="16">
        <v>0</v>
      </c>
      <c r="D120" s="16">
        <v>17141232.45142103</v>
      </c>
      <c r="E120" s="16">
        <v>8043919.7899999991</v>
      </c>
      <c r="F120" s="16">
        <v>5416094.7000000002</v>
      </c>
      <c r="G120" s="16">
        <v>3120130.22</v>
      </c>
      <c r="H120" s="16">
        <v>41136252.210000001</v>
      </c>
      <c r="I120" s="16">
        <v>12978014.98</v>
      </c>
      <c r="J120" s="16">
        <v>162302968.87999994</v>
      </c>
      <c r="K120" s="16">
        <v>0</v>
      </c>
      <c r="L120" s="16">
        <v>0</v>
      </c>
      <c r="M120" s="16">
        <v>0</v>
      </c>
      <c r="N120" s="18">
        <f t="shared" si="3"/>
        <v>908124108.92142105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847773813.74000001</v>
      </c>
      <c r="C121" s="16">
        <v>0</v>
      </c>
      <c r="D121" s="16">
        <v>16305944.423760291</v>
      </c>
      <c r="E121" s="16">
        <v>10320717.890000001</v>
      </c>
      <c r="F121" s="16">
        <v>2276070.6</v>
      </c>
      <c r="G121" s="16">
        <v>1040043.41</v>
      </c>
      <c r="H121" s="16">
        <v>53001529.130000003</v>
      </c>
      <c r="I121" s="16">
        <v>5453907.29</v>
      </c>
      <c r="J121" s="16">
        <v>90186535.810000002</v>
      </c>
      <c r="K121" s="16">
        <v>0</v>
      </c>
      <c r="L121" s="16">
        <v>0</v>
      </c>
      <c r="M121" s="16">
        <v>0</v>
      </c>
      <c r="N121" s="18">
        <f t="shared" si="3"/>
        <v>1026358562.2937603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2727945038.1400003</v>
      </c>
      <c r="C122" s="16">
        <v>0</v>
      </c>
      <c r="D122" s="16">
        <v>27011727.159999996</v>
      </c>
      <c r="E122" s="16">
        <v>41062618.399999999</v>
      </c>
      <c r="F122" s="16">
        <v>68520450.040000007</v>
      </c>
      <c r="G122" s="16">
        <v>29031402.146871142</v>
      </c>
      <c r="H122" s="16">
        <v>170546973.78</v>
      </c>
      <c r="I122" s="16">
        <v>164188308.37</v>
      </c>
      <c r="J122" s="16">
        <v>423059160.13999975</v>
      </c>
      <c r="K122" s="16">
        <v>0</v>
      </c>
      <c r="L122" s="16">
        <v>0</v>
      </c>
      <c r="M122" s="16">
        <v>0</v>
      </c>
      <c r="N122" s="18">
        <f t="shared" si="3"/>
        <v>3651365678.1768713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5428668956.9899998</v>
      </c>
      <c r="C123" s="16">
        <v>0</v>
      </c>
      <c r="D123" s="16">
        <v>71369821.344999984</v>
      </c>
      <c r="E123" s="16">
        <v>67611270.170000002</v>
      </c>
      <c r="F123" s="16">
        <v>95249383.859999999</v>
      </c>
      <c r="G123" s="16">
        <v>70266808.959545001</v>
      </c>
      <c r="H123" s="16">
        <v>339392124.58999997</v>
      </c>
      <c r="I123" s="16">
        <v>228236025.88</v>
      </c>
      <c r="J123" s="16">
        <v>552011267.97000027</v>
      </c>
      <c r="K123" s="16">
        <v>0</v>
      </c>
      <c r="L123" s="16">
        <v>0</v>
      </c>
      <c r="M123" s="16">
        <v>0</v>
      </c>
      <c r="N123" s="18">
        <f t="shared" si="3"/>
        <v>6852805659.7645454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5681132687.2399998</v>
      </c>
      <c r="C124" s="16">
        <v>0</v>
      </c>
      <c r="D124" s="16">
        <v>40704817.780000001</v>
      </c>
      <c r="E124" s="16">
        <v>83415323.549999997</v>
      </c>
      <c r="F124" s="16">
        <v>121972359.38</v>
      </c>
      <c r="G124" s="16">
        <v>0</v>
      </c>
      <c r="H124" s="16">
        <v>355175772.94</v>
      </c>
      <c r="I124" s="16">
        <v>292269466.13999999</v>
      </c>
      <c r="J124" s="16">
        <v>789738710.92000031</v>
      </c>
      <c r="K124" s="16">
        <v>0</v>
      </c>
      <c r="L124" s="16">
        <v>0</v>
      </c>
      <c r="M124" s="16">
        <v>0</v>
      </c>
      <c r="N124" s="18">
        <f t="shared" si="3"/>
        <v>7364409137.9499998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1792067154.7900004</v>
      </c>
      <c r="C125" s="16">
        <v>0</v>
      </c>
      <c r="D125" s="16">
        <v>40402248.140573747</v>
      </c>
      <c r="E125" s="16">
        <v>20771918.520000003</v>
      </c>
      <c r="F125" s="16">
        <v>47428068.030000001</v>
      </c>
      <c r="G125" s="16">
        <v>19556894.629999999</v>
      </c>
      <c r="H125" s="16">
        <v>112037312.26000001</v>
      </c>
      <c r="I125" s="16">
        <v>113646863.88</v>
      </c>
      <c r="J125" s="16">
        <v>488028858.03000003</v>
      </c>
      <c r="K125" s="16">
        <v>0</v>
      </c>
      <c r="L125" s="16">
        <v>0</v>
      </c>
      <c r="M125" s="16">
        <v>0</v>
      </c>
      <c r="N125" s="18">
        <f t="shared" si="3"/>
        <v>2633939318.2805743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1851826018.47</v>
      </c>
      <c r="C126" s="16">
        <v>0</v>
      </c>
      <c r="D126" s="16">
        <v>26902304.070908524</v>
      </c>
      <c r="E126" s="16">
        <v>22572796.079999998</v>
      </c>
      <c r="F126" s="16">
        <v>23743825.510000002</v>
      </c>
      <c r="G126" s="16">
        <v>7994059.1200000001</v>
      </c>
      <c r="H126" s="16">
        <v>115773345.51000001</v>
      </c>
      <c r="I126" s="16">
        <v>56894818.159999996</v>
      </c>
      <c r="J126" s="16">
        <v>334858018.18999994</v>
      </c>
      <c r="K126" s="16">
        <v>0</v>
      </c>
      <c r="L126" s="16">
        <v>0</v>
      </c>
      <c r="M126" s="16">
        <v>0</v>
      </c>
      <c r="N126" s="18">
        <f t="shared" si="3"/>
        <v>2440565185.1109085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1130435973.3499999</v>
      </c>
      <c r="C127" s="16">
        <v>0</v>
      </c>
      <c r="D127" s="16">
        <v>13857398.129045967</v>
      </c>
      <c r="E127" s="16">
        <v>13247413.52</v>
      </c>
      <c r="F127" s="16">
        <v>25203609.010000002</v>
      </c>
      <c r="G127" s="16">
        <v>11420084.449999999</v>
      </c>
      <c r="H127" s="16">
        <v>70673137.329999998</v>
      </c>
      <c r="I127" s="16">
        <v>60392742.990000002</v>
      </c>
      <c r="J127" s="16">
        <v>371281770.38000005</v>
      </c>
      <c r="K127" s="16">
        <v>0</v>
      </c>
      <c r="L127" s="16">
        <v>0</v>
      </c>
      <c r="M127" s="16">
        <v>0</v>
      </c>
      <c r="N127" s="18">
        <f t="shared" si="3"/>
        <v>1696512129.1590459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506537638.25000006</v>
      </c>
      <c r="C128" s="16">
        <v>0</v>
      </c>
      <c r="D128" s="16">
        <v>6498507.5090853851</v>
      </c>
      <c r="E128" s="16">
        <v>5738724.6100000003</v>
      </c>
      <c r="F128" s="16">
        <v>2305862.1</v>
      </c>
      <c r="G128" s="16">
        <v>1366331.53</v>
      </c>
      <c r="H128" s="16">
        <v>31667962.559999999</v>
      </c>
      <c r="I128" s="16">
        <v>5525293.5099999998</v>
      </c>
      <c r="J128" s="16">
        <v>79790404.890000015</v>
      </c>
      <c r="K128" s="16">
        <v>0</v>
      </c>
      <c r="L128" s="16">
        <v>0</v>
      </c>
      <c r="M128" s="16">
        <v>0</v>
      </c>
      <c r="N128" s="18">
        <f t="shared" si="3"/>
        <v>639430724.95908535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3073191467.8500004</v>
      </c>
      <c r="C129" s="16">
        <v>0</v>
      </c>
      <c r="D129" s="16">
        <v>78199915.396075249</v>
      </c>
      <c r="E129" s="16">
        <v>30556750.82</v>
      </c>
      <c r="F129" s="16">
        <v>29326752.620000001</v>
      </c>
      <c r="G129" s="16">
        <v>16946589.609999999</v>
      </c>
      <c r="H129" s="16">
        <v>192131255.34999999</v>
      </c>
      <c r="I129" s="16">
        <v>70272595.980000004</v>
      </c>
      <c r="J129" s="16">
        <v>499949193.13</v>
      </c>
      <c r="K129" s="16">
        <v>0</v>
      </c>
      <c r="L129" s="16">
        <v>0</v>
      </c>
      <c r="M129" s="16">
        <v>0</v>
      </c>
      <c r="N129" s="18">
        <f t="shared" si="3"/>
        <v>3990574520.7560759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853060057.91000009</v>
      </c>
      <c r="C130" s="16">
        <v>0</v>
      </c>
      <c r="D130" s="16">
        <v>22576476.157754693</v>
      </c>
      <c r="E130" s="16">
        <v>9899794.1999999993</v>
      </c>
      <c r="F130" s="16">
        <v>3628604.7</v>
      </c>
      <c r="G130" s="16">
        <v>1264366.49</v>
      </c>
      <c r="H130" s="16">
        <v>53332017.07</v>
      </c>
      <c r="I130" s="16">
        <v>8694841.7200000007</v>
      </c>
      <c r="J130" s="16">
        <v>137409533.18000001</v>
      </c>
      <c r="K130" s="16">
        <v>0</v>
      </c>
      <c r="L130" s="16">
        <v>0</v>
      </c>
      <c r="M130" s="16">
        <v>0</v>
      </c>
      <c r="N130" s="18">
        <f t="shared" si="3"/>
        <v>1089865691.4277549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5436628703.9400005</v>
      </c>
      <c r="C131" s="16">
        <v>0</v>
      </c>
      <c r="D131" s="16">
        <v>75901418.209999993</v>
      </c>
      <c r="E131" s="16">
        <v>114547138.55</v>
      </c>
      <c r="F131" s="16">
        <v>160224645.40000001</v>
      </c>
      <c r="G131" s="16">
        <v>0</v>
      </c>
      <c r="H131" s="16">
        <v>339889755.86000001</v>
      </c>
      <c r="I131" s="16">
        <v>383929373.94999999</v>
      </c>
      <c r="J131" s="16">
        <v>1079629007.46</v>
      </c>
      <c r="K131" s="16">
        <v>0</v>
      </c>
      <c r="L131" s="16">
        <v>0</v>
      </c>
      <c r="M131" s="16">
        <v>0</v>
      </c>
      <c r="N131" s="18">
        <f t="shared" si="3"/>
        <v>7590750043.3699999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192218775.02999997</v>
      </c>
      <c r="C132" s="16">
        <v>0</v>
      </c>
      <c r="D132" s="16">
        <v>5317345.6254524505</v>
      </c>
      <c r="E132" s="16">
        <v>2393980.9500000002</v>
      </c>
      <c r="F132" s="16">
        <v>685204.5</v>
      </c>
      <c r="G132" s="16">
        <v>305895.12</v>
      </c>
      <c r="H132" s="16">
        <v>12017225.4</v>
      </c>
      <c r="I132" s="16">
        <v>1641883.08</v>
      </c>
      <c r="J132" s="16">
        <v>38768418.69000002</v>
      </c>
      <c r="K132" s="16">
        <v>0</v>
      </c>
      <c r="L132" s="16">
        <v>0</v>
      </c>
      <c r="M132" s="16">
        <v>0</v>
      </c>
      <c r="N132" s="18">
        <f t="shared" si="3"/>
        <v>253348728.39545247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1392378486.27</v>
      </c>
      <c r="C133" s="16">
        <v>0</v>
      </c>
      <c r="D133" s="16">
        <v>14423943.947508473</v>
      </c>
      <c r="E133" s="16">
        <v>9369093.1600000001</v>
      </c>
      <c r="F133" s="16">
        <v>2478652.7999999998</v>
      </c>
      <c r="G133" s="16">
        <v>1733405.68</v>
      </c>
      <c r="H133" s="16">
        <v>87049384.75</v>
      </c>
      <c r="I133" s="16">
        <v>5939333.5899999999</v>
      </c>
      <c r="J133" s="16">
        <v>143010428.09000003</v>
      </c>
      <c r="K133" s="16">
        <v>0</v>
      </c>
      <c r="L133" s="16">
        <v>0</v>
      </c>
      <c r="M133" s="16">
        <v>0</v>
      </c>
      <c r="N133" s="18">
        <f t="shared" si="3"/>
        <v>1656382728.2875085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2307172154.3900003</v>
      </c>
      <c r="C134" s="16">
        <v>0</v>
      </c>
      <c r="D134" s="16">
        <v>37861052.440492436</v>
      </c>
      <c r="E134" s="16">
        <v>27769460.140000001</v>
      </c>
      <c r="F134" s="16">
        <v>11565060.300000001</v>
      </c>
      <c r="G134" s="16">
        <v>5750828.2400000002</v>
      </c>
      <c r="H134" s="16">
        <v>144240893.21000001</v>
      </c>
      <c r="I134" s="16">
        <v>27712131</v>
      </c>
      <c r="J134" s="16">
        <v>322967859.75000012</v>
      </c>
      <c r="K134" s="16">
        <v>0</v>
      </c>
      <c r="L134" s="16">
        <v>0</v>
      </c>
      <c r="M134" s="16">
        <v>0</v>
      </c>
      <c r="N134" s="18">
        <f t="shared" si="3"/>
        <v>2885039439.4704928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1952507703.4499998</v>
      </c>
      <c r="C135" s="16">
        <v>0</v>
      </c>
      <c r="D135" s="16">
        <v>56877246.465277113</v>
      </c>
      <c r="E135" s="16">
        <v>29671995.259999998</v>
      </c>
      <c r="F135" s="16">
        <v>17410152.609999999</v>
      </c>
      <c r="G135" s="16">
        <v>7259910.8300000001</v>
      </c>
      <c r="H135" s="16">
        <v>122067811.29000001</v>
      </c>
      <c r="I135" s="16">
        <v>41718107.57</v>
      </c>
      <c r="J135" s="16">
        <v>332965431.48999989</v>
      </c>
      <c r="K135" s="16">
        <v>0</v>
      </c>
      <c r="L135" s="16">
        <v>0</v>
      </c>
      <c r="M135" s="16">
        <v>0</v>
      </c>
      <c r="N135" s="18">
        <f t="shared" si="3"/>
        <v>2560478358.9652767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3037797936.4400005</v>
      </c>
      <c r="C136" s="16">
        <v>0</v>
      </c>
      <c r="D136" s="16">
        <v>44299117.410000004</v>
      </c>
      <c r="E136" s="16">
        <v>46166774.549999997</v>
      </c>
      <c r="F136" s="16">
        <v>103585045.56999999</v>
      </c>
      <c r="G136" s="16">
        <v>53149119.49652537</v>
      </c>
      <c r="H136" s="16">
        <v>189918505.61000001</v>
      </c>
      <c r="I136" s="16">
        <v>248209890.52000001</v>
      </c>
      <c r="J136" s="16">
        <v>757009602.16000009</v>
      </c>
      <c r="K136" s="16">
        <v>0</v>
      </c>
      <c r="L136" s="16">
        <v>0</v>
      </c>
      <c r="M136" s="16">
        <v>0</v>
      </c>
      <c r="N136" s="18">
        <f t="shared" ref="N136:N142" si="4">SUM(B136:M136)</f>
        <v>4480135991.756526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477979767.43000001</v>
      </c>
      <c r="C137" s="16">
        <v>0</v>
      </c>
      <c r="D137" s="16">
        <v>6800825.2508472782</v>
      </c>
      <c r="E137" s="16">
        <v>5639874.0499999998</v>
      </c>
      <c r="F137" s="16">
        <v>1239326.3999999999</v>
      </c>
      <c r="G137" s="16">
        <v>1060436.4099999999</v>
      </c>
      <c r="H137" s="16">
        <v>29882567.920000002</v>
      </c>
      <c r="I137" s="16">
        <v>2969666.79</v>
      </c>
      <c r="J137" s="16">
        <v>74261250.520000011</v>
      </c>
      <c r="K137" s="16">
        <v>0</v>
      </c>
      <c r="L137" s="16">
        <v>0</v>
      </c>
      <c r="M137" s="16">
        <v>0</v>
      </c>
      <c r="N137" s="18">
        <f t="shared" si="4"/>
        <v>599833714.77084732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1404530771.71</v>
      </c>
      <c r="C138" s="16">
        <v>0</v>
      </c>
      <c r="D138" s="16">
        <v>26891215.957833529</v>
      </c>
      <c r="E138" s="16">
        <v>16786623.199999999</v>
      </c>
      <c r="F138" s="16">
        <v>10790481.300000001</v>
      </c>
      <c r="G138" s="16">
        <v>4139780.61</v>
      </c>
      <c r="H138" s="16">
        <v>87809127.150000006</v>
      </c>
      <c r="I138" s="16">
        <v>25856089.260000002</v>
      </c>
      <c r="J138" s="16">
        <v>269827967.01000011</v>
      </c>
      <c r="K138" s="16">
        <v>0</v>
      </c>
      <c r="L138" s="16">
        <v>0</v>
      </c>
      <c r="M138" s="16">
        <v>0</v>
      </c>
      <c r="N138" s="18">
        <f t="shared" si="4"/>
        <v>1846632056.1978335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4633818346.2700005</v>
      </c>
      <c r="C139" s="16">
        <v>0</v>
      </c>
      <c r="D139" s="16">
        <v>64708075.919999994</v>
      </c>
      <c r="E139" s="16">
        <v>57123045.579999998</v>
      </c>
      <c r="F139" s="16">
        <v>55495606.229999997</v>
      </c>
      <c r="G139" s="16">
        <v>48757873.226953931</v>
      </c>
      <c r="H139" s="16">
        <v>289699273.61000001</v>
      </c>
      <c r="I139" s="16">
        <v>132978252.59</v>
      </c>
      <c r="J139" s="16">
        <v>481793115.28000003</v>
      </c>
      <c r="K139" s="16">
        <v>0</v>
      </c>
      <c r="L139" s="16">
        <v>0</v>
      </c>
      <c r="M139" s="16">
        <v>0</v>
      </c>
      <c r="N139" s="18">
        <f t="shared" si="4"/>
        <v>5764373588.706953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1422425012.0599999</v>
      </c>
      <c r="C140" s="16">
        <v>0</v>
      </c>
      <c r="D140" s="16">
        <v>10072627.720000001</v>
      </c>
      <c r="E140" s="16">
        <v>17123434.030000001</v>
      </c>
      <c r="F140" s="16">
        <v>9151948.8000000007</v>
      </c>
      <c r="G140" s="16">
        <v>4364103.7</v>
      </c>
      <c r="H140" s="16">
        <v>88927847.829999998</v>
      </c>
      <c r="I140" s="16">
        <v>21929847.100000001</v>
      </c>
      <c r="J140" s="16">
        <v>121783736.61999992</v>
      </c>
      <c r="K140" s="16">
        <v>0</v>
      </c>
      <c r="L140" s="16">
        <v>0</v>
      </c>
      <c r="M140" s="16">
        <v>0</v>
      </c>
      <c r="N140" s="18">
        <f t="shared" si="4"/>
        <v>1695778557.8599997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1611605715.8200002</v>
      </c>
      <c r="C141" s="16">
        <v>0</v>
      </c>
      <c r="D141" s="16">
        <v>16779197.166725449</v>
      </c>
      <c r="E141" s="16">
        <v>19344156.899999999</v>
      </c>
      <c r="F141" s="16">
        <v>13197634.5</v>
      </c>
      <c r="G141" s="16">
        <v>3813492.49</v>
      </c>
      <c r="H141" s="16">
        <v>100755137.63</v>
      </c>
      <c r="I141" s="16">
        <v>31624095.920000002</v>
      </c>
      <c r="J141" s="16">
        <v>338692726.60000014</v>
      </c>
      <c r="K141" s="16">
        <v>0</v>
      </c>
      <c r="L141" s="16">
        <v>0</v>
      </c>
      <c r="M141" s="16">
        <v>0</v>
      </c>
      <c r="N141" s="18">
        <f t="shared" si="4"/>
        <v>2135812157.026726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1668782218.8699999</v>
      </c>
      <c r="C142" s="16">
        <v>0</v>
      </c>
      <c r="D142" s="16">
        <v>32718966.726282138</v>
      </c>
      <c r="E142" s="16">
        <v>25192386.640000001</v>
      </c>
      <c r="F142" s="16">
        <v>56740890.93</v>
      </c>
      <c r="G142" s="16">
        <v>15396721.01</v>
      </c>
      <c r="H142" s="16">
        <v>104329725.62</v>
      </c>
      <c r="I142" s="16">
        <v>135962196.58000001</v>
      </c>
      <c r="J142" s="16">
        <v>459114529.71000022</v>
      </c>
      <c r="K142" s="16">
        <v>0</v>
      </c>
      <c r="L142" s="16">
        <v>0</v>
      </c>
      <c r="M142" s="16">
        <v>0</v>
      </c>
      <c r="N142" s="18">
        <f t="shared" si="4"/>
        <v>2498237636.0862823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L143" si="5">SUM(B8:B142)</f>
        <v>303807136283.6601</v>
      </c>
      <c r="C143" s="23">
        <f t="shared" si="5"/>
        <v>0</v>
      </c>
      <c r="D143" s="23">
        <f t="shared" si="5"/>
        <v>4147982578.971549</v>
      </c>
      <c r="E143" s="23">
        <f t="shared" si="5"/>
        <v>4141103719.0480003</v>
      </c>
      <c r="F143" s="23">
        <f t="shared" si="5"/>
        <v>5958300004.079999</v>
      </c>
      <c r="G143" s="23">
        <f t="shared" si="5"/>
        <v>2039300795.4200001</v>
      </c>
      <c r="H143" s="23">
        <f t="shared" si="5"/>
        <v>18993559981.150009</v>
      </c>
      <c r="I143" s="23">
        <f t="shared" si="5"/>
        <v>14277244206.190004</v>
      </c>
      <c r="J143" s="23">
        <f t="shared" si="5"/>
        <v>56937022744.559975</v>
      </c>
      <c r="K143" s="23">
        <f t="shared" si="5"/>
        <v>0</v>
      </c>
      <c r="L143" s="23">
        <f t="shared" si="5"/>
        <v>0</v>
      </c>
      <c r="M143" s="23">
        <f>SUM(M8:M142)</f>
        <v>0</v>
      </c>
      <c r="N143" s="23">
        <f>SUM(N8:N142)</f>
        <v>410301650313.07959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44AEAC"/>
  </sheetPr>
  <dimension ref="A1:Y275"/>
  <sheetViews>
    <sheetView showGridLines="0" zoomScale="80" zoomScaleNormal="80" workbookViewId="0"/>
  </sheetViews>
  <sheetFormatPr baseColWidth="10" defaultColWidth="12" defaultRowHeight="14.25" x14ac:dyDescent="0.2"/>
  <cols>
    <col min="1" max="1" width="41.83203125" style="11" customWidth="1"/>
    <col min="2" max="2" width="24.6640625" style="1" customWidth="1"/>
    <col min="3" max="3" width="22.33203125" style="1" hidden="1" customWidth="1"/>
    <col min="4" max="8" width="22.33203125" style="1" customWidth="1"/>
    <col min="9" max="9" width="23" style="1" customWidth="1"/>
    <col min="10" max="10" width="22.33203125" style="1" customWidth="1"/>
    <col min="11" max="11" width="25" style="1" customWidth="1"/>
    <col min="12" max="13" width="22.33203125" style="1" hidden="1" customWidth="1"/>
    <col min="14" max="14" width="23.83203125" style="1" customWidth="1"/>
    <col min="15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171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172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x14ac:dyDescent="0.2">
      <c r="A7" s="33"/>
      <c r="B7" s="19" t="s">
        <v>139</v>
      </c>
      <c r="C7" s="19" t="s">
        <v>177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27" t="s">
        <v>178</v>
      </c>
      <c r="L7" s="19"/>
      <c r="M7" s="19"/>
      <c r="N7" s="20" t="s">
        <v>140</v>
      </c>
    </row>
    <row r="8" spans="1:25" ht="18" customHeight="1" x14ac:dyDescent="0.2">
      <c r="A8" s="17" t="s">
        <v>3</v>
      </c>
      <c r="B8" s="16">
        <v>1560788032.4100001</v>
      </c>
      <c r="C8" s="16">
        <v>0</v>
      </c>
      <c r="D8" s="16">
        <v>271751332.38814908</v>
      </c>
      <c r="E8" s="16">
        <v>23860601.440000001</v>
      </c>
      <c r="F8" s="16">
        <v>5309179.1500000004</v>
      </c>
      <c r="G8" s="16">
        <v>2272501.66</v>
      </c>
      <c r="H8" s="16">
        <v>87481239.879999995</v>
      </c>
      <c r="I8" s="16">
        <v>11632379.35</v>
      </c>
      <c r="J8" s="16">
        <v>186964151.05000001</v>
      </c>
      <c r="K8" s="16">
        <v>87672000</v>
      </c>
      <c r="L8" s="16"/>
      <c r="M8" s="16"/>
      <c r="N8" s="18">
        <f t="shared" ref="N8:N39" si="0">SUM(B8:M8)</f>
        <v>2237731417.3281493</v>
      </c>
      <c r="O8" s="10"/>
      <c r="P8" s="10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818801946.8599999</v>
      </c>
      <c r="C9" s="16">
        <v>0</v>
      </c>
      <c r="D9" s="16">
        <v>265340936.5557915</v>
      </c>
      <c r="E9" s="16">
        <v>13242742.950000001</v>
      </c>
      <c r="F9" s="16">
        <v>3719723.03</v>
      </c>
      <c r="G9" s="16">
        <v>1681651.23</v>
      </c>
      <c r="H9" s="16">
        <v>45893361.590000004</v>
      </c>
      <c r="I9" s="16">
        <v>8149890.6200000001</v>
      </c>
      <c r="J9" s="16">
        <v>141784475.00999996</v>
      </c>
      <c r="K9" s="16">
        <v>48626000</v>
      </c>
      <c r="L9" s="16"/>
      <c r="M9" s="16"/>
      <c r="N9" s="18">
        <f t="shared" si="0"/>
        <v>1347240727.8457913</v>
      </c>
      <c r="P9" s="10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868764589.59000015</v>
      </c>
      <c r="C10" s="16">
        <v>0</v>
      </c>
      <c r="D10" s="16">
        <v>211222666.65532002</v>
      </c>
      <c r="E10" s="16">
        <v>14100925.32</v>
      </c>
      <c r="F10" s="16">
        <v>2598529.92</v>
      </c>
      <c r="G10" s="16">
        <v>1681651.23</v>
      </c>
      <c r="H10" s="16">
        <v>48693737.960000001</v>
      </c>
      <c r="I10" s="16">
        <v>5693363.3099999996</v>
      </c>
      <c r="J10" s="16">
        <v>83798424.710000008</v>
      </c>
      <c r="K10" s="16">
        <v>51874000</v>
      </c>
      <c r="L10" s="16"/>
      <c r="M10" s="16"/>
      <c r="N10" s="18">
        <f t="shared" si="0"/>
        <v>1288427888.6953201</v>
      </c>
      <c r="P10" s="10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6842363497.5100012</v>
      </c>
      <c r="C11" s="16">
        <v>0</v>
      </c>
      <c r="D11" s="16">
        <v>86030799.456243724</v>
      </c>
      <c r="E11" s="16">
        <v>135917225.31</v>
      </c>
      <c r="F11" s="16">
        <v>278913275.13999999</v>
      </c>
      <c r="G11" s="16">
        <v>138523145.99168432</v>
      </c>
      <c r="H11" s="16">
        <v>383510399.86000001</v>
      </c>
      <c r="I11" s="16">
        <v>611097295.15999997</v>
      </c>
      <c r="J11" s="16">
        <v>1576595666.1399994</v>
      </c>
      <c r="K11" s="16">
        <v>402052000</v>
      </c>
      <c r="L11" s="16"/>
      <c r="M11" s="16"/>
      <c r="N11" s="18">
        <f t="shared" si="0"/>
        <v>10455003304.567928</v>
      </c>
      <c r="P11" s="10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896162360.25999999</v>
      </c>
      <c r="C12" s="16">
        <v>0</v>
      </c>
      <c r="D12" s="16">
        <v>246451406.23148346</v>
      </c>
      <c r="E12" s="16">
        <v>14638399.75</v>
      </c>
      <c r="F12" s="16">
        <v>9536736.7100000009</v>
      </c>
      <c r="G12" s="16">
        <v>4181403.05</v>
      </c>
      <c r="H12" s="16">
        <v>50229366.689999998</v>
      </c>
      <c r="I12" s="16">
        <v>20894932.34</v>
      </c>
      <c r="J12" s="16">
        <v>169994145.65000007</v>
      </c>
      <c r="K12" s="16">
        <v>52962000</v>
      </c>
      <c r="L12" s="16"/>
      <c r="M12" s="16"/>
      <c r="N12" s="18">
        <f t="shared" si="0"/>
        <v>1465050750.6814835</v>
      </c>
      <c r="P12" s="10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4078626141.8299999</v>
      </c>
      <c r="C13" s="16">
        <v>0</v>
      </c>
      <c r="D13" s="16">
        <v>61066380.939795226</v>
      </c>
      <c r="E13" s="16">
        <v>77929444.899999991</v>
      </c>
      <c r="F13" s="16">
        <v>135631390.47</v>
      </c>
      <c r="G13" s="16">
        <v>0</v>
      </c>
      <c r="H13" s="16">
        <v>228604566.69999999</v>
      </c>
      <c r="I13" s="16">
        <v>297167554.38999999</v>
      </c>
      <c r="J13" s="16">
        <v>1172312900.1700001</v>
      </c>
      <c r="K13" s="16">
        <v>238760000</v>
      </c>
      <c r="L13" s="16"/>
      <c r="M13" s="16"/>
      <c r="N13" s="18">
        <f t="shared" si="0"/>
        <v>6290098379.3997955</v>
      </c>
      <c r="P13" s="10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1428495939.6800001</v>
      </c>
      <c r="C14" s="16">
        <v>0</v>
      </c>
      <c r="D14" s="16">
        <v>400287169.51341951</v>
      </c>
      <c r="E14" s="16">
        <v>23693974.919999998</v>
      </c>
      <c r="F14" s="16">
        <v>6173157.3700000001</v>
      </c>
      <c r="G14" s="16">
        <v>2840627.07</v>
      </c>
      <c r="H14" s="16">
        <v>80066346.849999994</v>
      </c>
      <c r="I14" s="16">
        <v>13525350.4</v>
      </c>
      <c r="J14" s="16">
        <v>251666789.54999989</v>
      </c>
      <c r="K14" s="16">
        <v>86720000</v>
      </c>
      <c r="L14" s="16"/>
      <c r="M14" s="16"/>
      <c r="N14" s="18">
        <f t="shared" si="0"/>
        <v>2293469355.3534193</v>
      </c>
      <c r="P14" s="10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2399125781.1500001</v>
      </c>
      <c r="C15" s="16">
        <v>0</v>
      </c>
      <c r="D15" s="16">
        <v>579831887.94549453</v>
      </c>
      <c r="E15" s="16">
        <v>40350858.019999996</v>
      </c>
      <c r="F15" s="16">
        <v>22997649.329999998</v>
      </c>
      <c r="G15" s="16">
        <v>9839932.1699999999</v>
      </c>
      <c r="H15" s="16">
        <v>134469571.50999999</v>
      </c>
      <c r="I15" s="16">
        <v>50387710.289999999</v>
      </c>
      <c r="J15" s="16">
        <v>401537906.19999981</v>
      </c>
      <c r="K15" s="16">
        <v>146742000</v>
      </c>
      <c r="L15" s="16"/>
      <c r="M15" s="16"/>
      <c r="N15" s="18">
        <f t="shared" si="0"/>
        <v>3785283296.6154947</v>
      </c>
      <c r="P15" s="10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4518828335.7700005</v>
      </c>
      <c r="C16" s="16">
        <v>0</v>
      </c>
      <c r="D16" s="16">
        <v>171478667.20339233</v>
      </c>
      <c r="E16" s="16">
        <v>84764625.950000003</v>
      </c>
      <c r="F16" s="16">
        <v>85771273.180000007</v>
      </c>
      <c r="G16" s="16">
        <v>43654756.829999998</v>
      </c>
      <c r="H16" s="16">
        <v>253277637.56</v>
      </c>
      <c r="I16" s="16">
        <v>187924339.63999999</v>
      </c>
      <c r="J16" s="16">
        <v>997471878.94999957</v>
      </c>
      <c r="K16" s="16">
        <v>265984000</v>
      </c>
      <c r="L16" s="16"/>
      <c r="M16" s="16"/>
      <c r="N16" s="18">
        <f t="shared" si="0"/>
        <v>6609155515.0833931</v>
      </c>
      <c r="P16" s="10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1744506251.2999997</v>
      </c>
      <c r="C17" s="16">
        <v>0</v>
      </c>
      <c r="D17" s="16">
        <v>560895417.65294945</v>
      </c>
      <c r="E17" s="16">
        <v>28490501.890000001</v>
      </c>
      <c r="F17" s="16">
        <v>17615922.390000001</v>
      </c>
      <c r="G17" s="16">
        <v>6363004.6399999997</v>
      </c>
      <c r="H17" s="16">
        <v>97778536.650000006</v>
      </c>
      <c r="I17" s="16">
        <v>38596379.18</v>
      </c>
      <c r="J17" s="16">
        <v>270371641.25000012</v>
      </c>
      <c r="K17" s="16">
        <v>102974000.00000001</v>
      </c>
      <c r="L17" s="16"/>
      <c r="M17" s="16"/>
      <c r="N17" s="18">
        <f t="shared" si="0"/>
        <v>2867591654.9529486</v>
      </c>
      <c r="P17" s="10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984005398.98000002</v>
      </c>
      <c r="C18" s="16">
        <v>0</v>
      </c>
      <c r="D18" s="16">
        <v>204072101.08017549</v>
      </c>
      <c r="E18" s="16">
        <v>16077434.85</v>
      </c>
      <c r="F18" s="16">
        <v>11871456.49</v>
      </c>
      <c r="G18" s="16">
        <v>5181303.78</v>
      </c>
      <c r="H18" s="16">
        <v>55152916.710000001</v>
      </c>
      <c r="I18" s="16">
        <v>26010289.219999999</v>
      </c>
      <c r="J18" s="16">
        <v>220427079.08999994</v>
      </c>
      <c r="K18" s="16">
        <v>57818000</v>
      </c>
      <c r="L18" s="16"/>
      <c r="M18" s="16"/>
      <c r="N18" s="18">
        <f t="shared" si="0"/>
        <v>1580615980.2001753</v>
      </c>
      <c r="P18" s="10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1597851600.4699998</v>
      </c>
      <c r="C19" s="16">
        <v>0</v>
      </c>
      <c r="D19" s="16">
        <v>394871818.94287866</v>
      </c>
      <c r="E19" s="16">
        <v>25369921.689999998</v>
      </c>
      <c r="F19" s="16">
        <v>4794749.37</v>
      </c>
      <c r="G19" s="16">
        <v>2886077.1</v>
      </c>
      <c r="H19" s="16">
        <v>89558630.799999997</v>
      </c>
      <c r="I19" s="16">
        <v>10505266.810000001</v>
      </c>
      <c r="J19" s="16">
        <v>191778943.71999994</v>
      </c>
      <c r="K19" s="16">
        <v>93188000</v>
      </c>
      <c r="L19" s="16"/>
      <c r="M19" s="16"/>
      <c r="N19" s="18">
        <f t="shared" si="0"/>
        <v>2410805008.9028783</v>
      </c>
      <c r="P19" s="10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5711907654.5599995</v>
      </c>
      <c r="C20" s="16">
        <v>0</v>
      </c>
      <c r="D20" s="16">
        <v>50224699.678982601</v>
      </c>
      <c r="E20" s="16">
        <v>109976705.05000001</v>
      </c>
      <c r="F20" s="16">
        <v>153036264.75</v>
      </c>
      <c r="G20" s="16">
        <v>71926187.056100905</v>
      </c>
      <c r="H20" s="16">
        <v>320149022.98000002</v>
      </c>
      <c r="I20" s="16">
        <v>335301528.42000002</v>
      </c>
      <c r="J20" s="16">
        <v>1090535096.1300004</v>
      </c>
      <c r="K20" s="16">
        <v>333778000</v>
      </c>
      <c r="L20" s="16"/>
      <c r="M20" s="16"/>
      <c r="N20" s="18">
        <f t="shared" si="0"/>
        <v>8176835158.625083</v>
      </c>
      <c r="P20" s="10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2466411983.1900001</v>
      </c>
      <c r="C21" s="16">
        <v>0</v>
      </c>
      <c r="D21" s="16">
        <v>36499826.610366888</v>
      </c>
      <c r="E21" s="16">
        <v>41168633.869999997</v>
      </c>
      <c r="F21" s="16">
        <v>40692714.759999998</v>
      </c>
      <c r="G21" s="16">
        <v>9602240.7181662228</v>
      </c>
      <c r="H21" s="16">
        <v>138240923.08000001</v>
      </c>
      <c r="I21" s="16">
        <v>89157491.400000006</v>
      </c>
      <c r="J21" s="16">
        <v>357536975.02999991</v>
      </c>
      <c r="K21" s="16">
        <v>144874000</v>
      </c>
      <c r="L21" s="16"/>
      <c r="M21" s="16"/>
      <c r="N21" s="18">
        <f t="shared" si="0"/>
        <v>3324184788.6585331</v>
      </c>
      <c r="P21" s="10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2066132255.1100001</v>
      </c>
      <c r="C22" s="16">
        <v>0</v>
      </c>
      <c r="D22" s="16">
        <v>318959509.25220233</v>
      </c>
      <c r="E22" s="16">
        <v>32410035.209999997</v>
      </c>
      <c r="F22" s="16">
        <v>9688427.5500000007</v>
      </c>
      <c r="G22" s="16">
        <v>4885878.5599999996</v>
      </c>
      <c r="H22" s="16">
        <v>115805482.66</v>
      </c>
      <c r="I22" s="16">
        <v>21227286.039999999</v>
      </c>
      <c r="J22" s="16">
        <v>268490640.05000001</v>
      </c>
      <c r="K22" s="16">
        <v>118605999.99999999</v>
      </c>
      <c r="L22" s="16"/>
      <c r="M22" s="16"/>
      <c r="N22" s="18">
        <f t="shared" si="0"/>
        <v>2956205514.4322028</v>
      </c>
      <c r="P22" s="10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1878704275.9499998</v>
      </c>
      <c r="C23" s="16">
        <v>0</v>
      </c>
      <c r="D23" s="16">
        <v>248223174.96557984</v>
      </c>
      <c r="E23" s="16">
        <v>30677536.609999999</v>
      </c>
      <c r="F23" s="16">
        <v>9286117.0800000001</v>
      </c>
      <c r="G23" s="16">
        <v>6022129.3899999997</v>
      </c>
      <c r="H23" s="16">
        <v>105300256.03</v>
      </c>
      <c r="I23" s="16">
        <v>20345826.239999998</v>
      </c>
      <c r="J23" s="16">
        <v>221628400.77999988</v>
      </c>
      <c r="K23" s="16">
        <v>111874000</v>
      </c>
      <c r="L23" s="16"/>
      <c r="M23" s="16"/>
      <c r="N23" s="18">
        <f t="shared" si="0"/>
        <v>2632061717.045579</v>
      </c>
      <c r="P23" s="10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612893235.48000002</v>
      </c>
      <c r="C24" s="16">
        <v>0</v>
      </c>
      <c r="D24" s="16">
        <v>136836404.19474983</v>
      </c>
      <c r="E24" s="16">
        <v>10108160.379999999</v>
      </c>
      <c r="F24" s="16">
        <v>9655451.2799999993</v>
      </c>
      <c r="G24" s="16">
        <v>1293126.7593238298</v>
      </c>
      <c r="H24" s="16">
        <v>34352300.920000002</v>
      </c>
      <c r="I24" s="16">
        <v>21155035.239999998</v>
      </c>
      <c r="J24" s="16">
        <v>187531540.82999995</v>
      </c>
      <c r="K24" s="16">
        <v>35498000</v>
      </c>
      <c r="L24" s="16"/>
      <c r="M24" s="16"/>
      <c r="N24" s="18">
        <f t="shared" si="0"/>
        <v>1049323255.0840735</v>
      </c>
      <c r="P24" s="10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2670278624.75</v>
      </c>
      <c r="C25" s="16">
        <v>0</v>
      </c>
      <c r="D25" s="16">
        <v>86041677.264409736</v>
      </c>
      <c r="E25" s="16">
        <v>39542039.490000002</v>
      </c>
      <c r="F25" s="16">
        <v>42822981.68</v>
      </c>
      <c r="G25" s="16">
        <v>14339485.460000001</v>
      </c>
      <c r="H25" s="16">
        <v>149667526.94</v>
      </c>
      <c r="I25" s="16">
        <v>93824893.299999997</v>
      </c>
      <c r="J25" s="16">
        <v>433516114.61999995</v>
      </c>
      <c r="K25" s="16">
        <v>139486000</v>
      </c>
      <c r="L25" s="16"/>
      <c r="M25" s="16"/>
      <c r="N25" s="18">
        <f t="shared" si="0"/>
        <v>3669519343.5044093</v>
      </c>
      <c r="P25" s="10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1034716800.6199999</v>
      </c>
      <c r="C26" s="16">
        <v>0</v>
      </c>
      <c r="D26" s="16">
        <v>120523374.04952352</v>
      </c>
      <c r="E26" s="16">
        <v>17311929.009999998</v>
      </c>
      <c r="F26" s="16">
        <v>19475783.899999999</v>
      </c>
      <c r="G26" s="16">
        <v>9158181.6799999997</v>
      </c>
      <c r="H26" s="16">
        <v>57995260.57</v>
      </c>
      <c r="I26" s="16">
        <v>42671324.490000002</v>
      </c>
      <c r="J26" s="16">
        <v>319882491.89000005</v>
      </c>
      <c r="K26" s="16">
        <v>59696000</v>
      </c>
      <c r="L26" s="16"/>
      <c r="M26" s="16"/>
      <c r="N26" s="18">
        <f t="shared" si="0"/>
        <v>1681431146.2095237</v>
      </c>
      <c r="P26" s="10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512287260.09999996</v>
      </c>
      <c r="C27" s="16">
        <v>0</v>
      </c>
      <c r="D27" s="16">
        <v>111716909.20992512</v>
      </c>
      <c r="E27" s="16">
        <v>7565343.25</v>
      </c>
      <c r="F27" s="16">
        <v>4840916.1399999997</v>
      </c>
      <c r="G27" s="16">
        <v>2067976.51</v>
      </c>
      <c r="H27" s="16">
        <v>28713395.899999999</v>
      </c>
      <c r="I27" s="16">
        <v>10606417.939999999</v>
      </c>
      <c r="J27" s="16">
        <v>85719826.370000035</v>
      </c>
      <c r="K27" s="16">
        <v>27214000</v>
      </c>
      <c r="L27" s="16"/>
      <c r="M27" s="16"/>
      <c r="N27" s="18">
        <f t="shared" si="0"/>
        <v>790732045.41992509</v>
      </c>
      <c r="P27" s="10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1785687993.5799999</v>
      </c>
      <c r="C28" s="16">
        <v>0</v>
      </c>
      <c r="D28" s="16">
        <v>246276352.27938718</v>
      </c>
      <c r="E28" s="16">
        <v>28485917.859999999</v>
      </c>
      <c r="F28" s="16">
        <v>6667801.3899999997</v>
      </c>
      <c r="G28" s="16">
        <v>2999702.19</v>
      </c>
      <c r="H28" s="16">
        <v>100086748.79000001</v>
      </c>
      <c r="I28" s="16">
        <v>14609112.449999999</v>
      </c>
      <c r="J28" s="16">
        <v>175258097.25999999</v>
      </c>
      <c r="K28" s="16">
        <v>104308000</v>
      </c>
      <c r="L28" s="16"/>
      <c r="M28" s="16"/>
      <c r="N28" s="18">
        <f t="shared" si="0"/>
        <v>2464379725.799387</v>
      </c>
      <c r="P28" s="10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997346922.11000013</v>
      </c>
      <c r="C29" s="16">
        <v>0</v>
      </c>
      <c r="D29" s="16">
        <v>279316758.31428677</v>
      </c>
      <c r="E29" s="16">
        <v>16240879.640000001</v>
      </c>
      <c r="F29" s="16">
        <v>4161605.02</v>
      </c>
      <c r="G29" s="16">
        <v>1818001.33</v>
      </c>
      <c r="H29" s="16">
        <v>55900701.130000003</v>
      </c>
      <c r="I29" s="16">
        <v>9118051.3900000006</v>
      </c>
      <c r="J29" s="16">
        <v>156240735.58000007</v>
      </c>
      <c r="K29" s="16">
        <v>59602000</v>
      </c>
      <c r="L29" s="16"/>
      <c r="M29" s="16"/>
      <c r="N29" s="18">
        <f t="shared" si="0"/>
        <v>1579745654.5142872</v>
      </c>
      <c r="P29" s="10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364475436.36000001</v>
      </c>
      <c r="C30" s="16">
        <v>0</v>
      </c>
      <c r="D30" s="16">
        <v>165594370.99050471</v>
      </c>
      <c r="E30" s="16">
        <v>5837748.8499999996</v>
      </c>
      <c r="F30" s="16">
        <v>3594413.21</v>
      </c>
      <c r="G30" s="16">
        <v>2272501.66</v>
      </c>
      <c r="H30" s="16">
        <v>20428631.190000001</v>
      </c>
      <c r="I30" s="16">
        <v>7875337.5700000003</v>
      </c>
      <c r="J30" s="16">
        <v>121375671.42</v>
      </c>
      <c r="K30" s="16">
        <v>20904000</v>
      </c>
      <c r="L30" s="16"/>
      <c r="M30" s="16"/>
      <c r="N30" s="18">
        <f t="shared" si="0"/>
        <v>712358111.25050485</v>
      </c>
      <c r="P30" s="10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599653815.83999991</v>
      </c>
      <c r="C31" s="16">
        <v>0</v>
      </c>
      <c r="D31" s="16">
        <v>88396401.471081838</v>
      </c>
      <c r="E31" s="16">
        <v>9839415.9200000018</v>
      </c>
      <c r="F31" s="16">
        <v>4293510.09</v>
      </c>
      <c r="G31" s="16">
        <v>1249875.9099999999</v>
      </c>
      <c r="H31" s="16">
        <v>33610239.329999998</v>
      </c>
      <c r="I31" s="16">
        <v>9407054.5999999996</v>
      </c>
      <c r="J31" s="16">
        <v>86022236.210000038</v>
      </c>
      <c r="K31" s="16">
        <v>35984000</v>
      </c>
      <c r="L31" s="16"/>
      <c r="M31" s="16"/>
      <c r="N31" s="18">
        <f t="shared" si="0"/>
        <v>868456549.37108183</v>
      </c>
      <c r="P31" s="10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3241479600.54</v>
      </c>
      <c r="C32" s="16">
        <v>0</v>
      </c>
      <c r="D32" s="16">
        <v>452274289.48651838</v>
      </c>
      <c r="E32" s="16">
        <v>45063179.559999995</v>
      </c>
      <c r="F32" s="16">
        <v>12662886.93</v>
      </c>
      <c r="G32" s="16">
        <v>6840229.9900000002</v>
      </c>
      <c r="H32" s="16">
        <v>181683001.53</v>
      </c>
      <c r="I32" s="16">
        <v>27744308.510000002</v>
      </c>
      <c r="J32" s="16">
        <v>269158437.09999996</v>
      </c>
      <c r="K32" s="16">
        <v>164658000</v>
      </c>
      <c r="L32" s="16"/>
      <c r="M32" s="16"/>
      <c r="N32" s="18">
        <f t="shared" si="0"/>
        <v>4401563933.6465187</v>
      </c>
      <c r="P32" s="10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1686307260.1500001</v>
      </c>
      <c r="C33" s="16">
        <v>0</v>
      </c>
      <c r="D33" s="16">
        <v>277145421.10347158</v>
      </c>
      <c r="E33" s="16">
        <v>28319741.490000002</v>
      </c>
      <c r="F33" s="16">
        <v>9292712.3300000001</v>
      </c>
      <c r="G33" s="16">
        <v>5499454.0099999998</v>
      </c>
      <c r="H33" s="16">
        <v>94516517.849999994</v>
      </c>
      <c r="I33" s="16">
        <v>20360276.399999999</v>
      </c>
      <c r="J33" s="16">
        <v>256742403.35999984</v>
      </c>
      <c r="K33" s="16">
        <v>103118000</v>
      </c>
      <c r="L33" s="16"/>
      <c r="M33" s="16"/>
      <c r="N33" s="18">
        <f t="shared" si="0"/>
        <v>2481301786.6934714</v>
      </c>
      <c r="P33" s="10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2358828935.7799997</v>
      </c>
      <c r="C34" s="16">
        <v>0</v>
      </c>
      <c r="D34" s="16">
        <v>296952829.84606713</v>
      </c>
      <c r="E34" s="16">
        <v>44115035.660000004</v>
      </c>
      <c r="F34" s="16">
        <v>13513674.640000001</v>
      </c>
      <c r="G34" s="16">
        <v>9180906.6899999995</v>
      </c>
      <c r="H34" s="16">
        <v>132210957.33</v>
      </c>
      <c r="I34" s="16">
        <v>29608379.23</v>
      </c>
      <c r="J34" s="16">
        <v>322955902.86999989</v>
      </c>
      <c r="K34" s="16">
        <v>140958000</v>
      </c>
      <c r="L34" s="16"/>
      <c r="M34" s="16"/>
      <c r="N34" s="18">
        <f t="shared" si="0"/>
        <v>3348324622.0460663</v>
      </c>
      <c r="P34" s="10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1193521767.1699998</v>
      </c>
      <c r="C35" s="16">
        <v>0</v>
      </c>
      <c r="D35" s="16">
        <v>232324766.60148337</v>
      </c>
      <c r="E35" s="16">
        <v>19067106.350000001</v>
      </c>
      <c r="F35" s="16">
        <v>8448519.8699999992</v>
      </c>
      <c r="G35" s="16">
        <v>3567827.6</v>
      </c>
      <c r="H35" s="16">
        <v>66896184.390000001</v>
      </c>
      <c r="I35" s="16">
        <v>18510655.829999998</v>
      </c>
      <c r="J35" s="16">
        <v>116071319.34999999</v>
      </c>
      <c r="K35" s="16">
        <v>69556000</v>
      </c>
      <c r="L35" s="16"/>
      <c r="M35" s="16"/>
      <c r="N35" s="18">
        <f t="shared" si="0"/>
        <v>1727964147.1614828</v>
      </c>
      <c r="P35" s="10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1354811252.02</v>
      </c>
      <c r="C36" s="16">
        <v>0</v>
      </c>
      <c r="D36" s="16">
        <v>254909883.524849</v>
      </c>
      <c r="E36" s="16">
        <v>21713135.57</v>
      </c>
      <c r="F36" s="16">
        <v>5315774.4000000004</v>
      </c>
      <c r="G36" s="16">
        <v>2067976.51</v>
      </c>
      <c r="H36" s="16">
        <v>75936363.980000004</v>
      </c>
      <c r="I36" s="16">
        <v>11646829.51</v>
      </c>
      <c r="J36" s="16">
        <v>116894777.28999999</v>
      </c>
      <c r="K36" s="16">
        <v>79806000</v>
      </c>
      <c r="L36" s="16"/>
      <c r="M36" s="16"/>
      <c r="N36" s="18">
        <f t="shared" si="0"/>
        <v>1923101992.8048489</v>
      </c>
      <c r="P36" s="10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1383672506.1100001</v>
      </c>
      <c r="C37" s="16">
        <v>0</v>
      </c>
      <c r="D37" s="16">
        <v>252211879.20462286</v>
      </c>
      <c r="E37" s="16">
        <v>22719379.260000002</v>
      </c>
      <c r="F37" s="16">
        <v>9859904.1400000006</v>
      </c>
      <c r="G37" s="16">
        <v>3158777.3</v>
      </c>
      <c r="H37" s="16">
        <v>77554020.090000004</v>
      </c>
      <c r="I37" s="16">
        <v>21602990.219999999</v>
      </c>
      <c r="J37" s="16">
        <v>198416513.30000001</v>
      </c>
      <c r="K37" s="16">
        <v>83096000</v>
      </c>
      <c r="L37" s="16"/>
      <c r="M37" s="16"/>
      <c r="N37" s="18">
        <f t="shared" si="0"/>
        <v>2052291969.6246228</v>
      </c>
      <c r="P37" s="10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1170786722.6599998</v>
      </c>
      <c r="C38" s="16">
        <v>0</v>
      </c>
      <c r="D38" s="16">
        <v>26561871.761677336</v>
      </c>
      <c r="E38" s="16">
        <v>19400109.350000001</v>
      </c>
      <c r="F38" s="16">
        <v>8811258.8200000003</v>
      </c>
      <c r="G38" s="16">
        <v>8749131.3800000008</v>
      </c>
      <c r="H38" s="16">
        <v>65621898.68</v>
      </c>
      <c r="I38" s="16">
        <v>19305414.670000002</v>
      </c>
      <c r="J38" s="16">
        <v>327429073.46000004</v>
      </c>
      <c r="K38" s="16">
        <v>70136000</v>
      </c>
      <c r="L38" s="16"/>
      <c r="M38" s="16"/>
      <c r="N38" s="18">
        <f t="shared" si="0"/>
        <v>1716801480.7816772</v>
      </c>
      <c r="P38" s="10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2282353419.3199997</v>
      </c>
      <c r="C39" s="16">
        <v>0</v>
      </c>
      <c r="D39" s="16">
        <v>367937698.70359606</v>
      </c>
      <c r="E39" s="16">
        <v>36696752.420000002</v>
      </c>
      <c r="F39" s="16">
        <v>11225121.640000001</v>
      </c>
      <c r="G39" s="16">
        <v>5454003.9800000004</v>
      </c>
      <c r="H39" s="16">
        <v>127924550.17</v>
      </c>
      <c r="I39" s="16">
        <v>24594173.48</v>
      </c>
      <c r="J39" s="16">
        <v>284262294.4600001</v>
      </c>
      <c r="K39" s="16">
        <v>134816000</v>
      </c>
      <c r="L39" s="16"/>
      <c r="M39" s="16"/>
      <c r="N39" s="18">
        <f t="shared" si="0"/>
        <v>3275264014.1735959</v>
      </c>
      <c r="P39" s="10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1493093416.3800004</v>
      </c>
      <c r="C40" s="16">
        <v>0</v>
      </c>
      <c r="D40" s="16">
        <v>340354592.16833496</v>
      </c>
      <c r="E40" s="16">
        <v>24140302.329999998</v>
      </c>
      <c r="F40" s="16">
        <v>5995085.5300000003</v>
      </c>
      <c r="G40" s="16">
        <v>2386126.7400000002</v>
      </c>
      <c r="H40" s="16">
        <v>83686996.950000003</v>
      </c>
      <c r="I40" s="16">
        <v>13135196.060000001</v>
      </c>
      <c r="J40" s="16">
        <v>156605528.60000005</v>
      </c>
      <c r="K40" s="16">
        <v>88542000</v>
      </c>
      <c r="L40" s="16"/>
      <c r="M40" s="16"/>
      <c r="N40" s="18">
        <f t="shared" ref="N40:N71" si="1">SUM(B40:M40)</f>
        <v>2207939244.7583351</v>
      </c>
      <c r="P40" s="10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1669221942.2800002</v>
      </c>
      <c r="C41" s="16">
        <v>0</v>
      </c>
      <c r="D41" s="16">
        <v>95607422.838997453</v>
      </c>
      <c r="E41" s="16">
        <v>25282126.66</v>
      </c>
      <c r="F41" s="16">
        <v>10150095.300000001</v>
      </c>
      <c r="G41" s="16">
        <v>4158678.03</v>
      </c>
      <c r="H41" s="16">
        <v>93558895.959999993</v>
      </c>
      <c r="I41" s="16">
        <v>22238797.289999999</v>
      </c>
      <c r="J41" s="16">
        <v>160697864.66000006</v>
      </c>
      <c r="K41" s="16">
        <v>92526000</v>
      </c>
      <c r="L41" s="16"/>
      <c r="M41" s="16"/>
      <c r="N41" s="18">
        <f t="shared" si="1"/>
        <v>2173441823.0189977</v>
      </c>
      <c r="P41" s="10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954361351.45000005</v>
      </c>
      <c r="C42" s="16">
        <v>0</v>
      </c>
      <c r="D42" s="16">
        <v>16654498.003673445</v>
      </c>
      <c r="E42" s="16">
        <v>16339227.470000001</v>
      </c>
      <c r="F42" s="16">
        <v>27568160.079999998</v>
      </c>
      <c r="G42" s="16">
        <v>0</v>
      </c>
      <c r="H42" s="16">
        <v>53491385.490000002</v>
      </c>
      <c r="I42" s="16">
        <v>60401671.640000001</v>
      </c>
      <c r="J42" s="16">
        <v>244875935.58999988</v>
      </c>
      <c r="K42" s="16">
        <v>56126000</v>
      </c>
      <c r="L42" s="16"/>
      <c r="M42" s="16"/>
      <c r="N42" s="18">
        <f t="shared" si="1"/>
        <v>1429818229.7236736</v>
      </c>
      <c r="P42" s="10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6078901643.8400002</v>
      </c>
      <c r="C43" s="16">
        <v>0</v>
      </c>
      <c r="D43" s="16">
        <v>96481966.141837984</v>
      </c>
      <c r="E43" s="16">
        <v>97039073.069999993</v>
      </c>
      <c r="F43" s="16">
        <v>114638698.23</v>
      </c>
      <c r="G43" s="16">
        <v>33223974.219999999</v>
      </c>
      <c r="H43" s="16">
        <v>340718817.55000001</v>
      </c>
      <c r="I43" s="16">
        <v>251172692.94</v>
      </c>
      <c r="J43" s="16">
        <v>801970739.09000015</v>
      </c>
      <c r="K43" s="16">
        <v>339922000</v>
      </c>
      <c r="L43" s="16"/>
      <c r="M43" s="16"/>
      <c r="N43" s="18">
        <f t="shared" si="1"/>
        <v>8154069605.0818377</v>
      </c>
      <c r="P43" s="10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5338447110.7099991</v>
      </c>
      <c r="C44" s="16">
        <v>0</v>
      </c>
      <c r="D44" s="16">
        <v>57648329.569510132</v>
      </c>
      <c r="E44" s="16">
        <v>90209849.770000011</v>
      </c>
      <c r="F44" s="16">
        <v>144244791.69</v>
      </c>
      <c r="G44" s="16">
        <v>57261760.334320344</v>
      </c>
      <c r="H44" s="16">
        <v>299216781.86000001</v>
      </c>
      <c r="I44" s="16">
        <v>316039464.23000002</v>
      </c>
      <c r="J44" s="16">
        <v>1037069746.3499993</v>
      </c>
      <c r="K44" s="16">
        <v>309390000</v>
      </c>
      <c r="L44" s="16"/>
      <c r="M44" s="16"/>
      <c r="N44" s="18">
        <f t="shared" si="1"/>
        <v>7649527834.5138292</v>
      </c>
      <c r="P44" s="10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1555546719.7700002</v>
      </c>
      <c r="C45" s="16">
        <v>0</v>
      </c>
      <c r="D45" s="16">
        <v>119352143.14151816</v>
      </c>
      <c r="E45" s="16">
        <v>22917330</v>
      </c>
      <c r="F45" s="16">
        <v>10743668.119999999</v>
      </c>
      <c r="G45" s="16">
        <v>5204028.79</v>
      </c>
      <c r="H45" s="16">
        <v>87187467.420000002</v>
      </c>
      <c r="I45" s="16">
        <v>23539311.75</v>
      </c>
      <c r="J45" s="16">
        <v>155252704.84999999</v>
      </c>
      <c r="K45" s="16">
        <v>82687999.999999985</v>
      </c>
      <c r="L45" s="16"/>
      <c r="M45" s="16"/>
      <c r="N45" s="18">
        <f t="shared" si="1"/>
        <v>2062431373.8415182</v>
      </c>
      <c r="P45" s="10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2115039828.3799999</v>
      </c>
      <c r="C46" s="16">
        <v>0</v>
      </c>
      <c r="D46" s="16">
        <v>60701530.109510124</v>
      </c>
      <c r="E46" s="16">
        <v>44921042.710000001</v>
      </c>
      <c r="F46" s="16">
        <v>84742413.620000005</v>
      </c>
      <c r="G46" s="16">
        <v>0</v>
      </c>
      <c r="H46" s="16">
        <v>118546723.02</v>
      </c>
      <c r="I46" s="16">
        <v>185670114.58000001</v>
      </c>
      <c r="J46" s="16">
        <v>656855596.80000007</v>
      </c>
      <c r="K46" s="16">
        <v>130830000</v>
      </c>
      <c r="L46" s="16"/>
      <c r="M46" s="16"/>
      <c r="N46" s="18">
        <f t="shared" si="1"/>
        <v>3397307249.2195101</v>
      </c>
      <c r="P46" s="10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6772865053.0900002</v>
      </c>
      <c r="C47" s="16">
        <v>0</v>
      </c>
      <c r="D47" s="16">
        <v>59202676.008858144</v>
      </c>
      <c r="E47" s="16">
        <v>136640255.81</v>
      </c>
      <c r="F47" s="16">
        <v>264179478.56999999</v>
      </c>
      <c r="G47" s="16">
        <v>64656147.924040832</v>
      </c>
      <c r="H47" s="16">
        <v>379615053.43000001</v>
      </c>
      <c r="I47" s="16">
        <v>578815636.20000005</v>
      </c>
      <c r="J47" s="16">
        <v>1580466987.5800006</v>
      </c>
      <c r="K47" s="16">
        <v>397842000</v>
      </c>
      <c r="L47" s="16"/>
      <c r="M47" s="16"/>
      <c r="N47" s="18">
        <f t="shared" si="1"/>
        <v>10234283288.6129</v>
      </c>
      <c r="P47" s="10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622286756.8499999</v>
      </c>
      <c r="C48" s="16">
        <v>0</v>
      </c>
      <c r="D48" s="16">
        <v>132764402.43270959</v>
      </c>
      <c r="E48" s="16">
        <v>10510441.630000001</v>
      </c>
      <c r="F48" s="16">
        <v>2295148.25</v>
      </c>
      <c r="G48" s="16">
        <v>1408951.03</v>
      </c>
      <c r="H48" s="16">
        <v>34878802.200000003</v>
      </c>
      <c r="I48" s="16">
        <v>5028655.92</v>
      </c>
      <c r="J48" s="16">
        <v>84794178.970000029</v>
      </c>
      <c r="K48" s="16">
        <v>38492000</v>
      </c>
      <c r="L48" s="16"/>
      <c r="M48" s="16"/>
      <c r="N48" s="18">
        <f t="shared" si="1"/>
        <v>932459337.28270948</v>
      </c>
      <c r="P48" s="10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1286742256.5300002</v>
      </c>
      <c r="C49" s="16">
        <v>0</v>
      </c>
      <c r="D49" s="16">
        <v>224252651.45104712</v>
      </c>
      <c r="E49" s="16">
        <v>17972082.553999998</v>
      </c>
      <c r="F49" s="16">
        <v>13553246.16</v>
      </c>
      <c r="G49" s="16">
        <v>5908504.3099999996</v>
      </c>
      <c r="H49" s="16">
        <v>72121137.310000002</v>
      </c>
      <c r="I49" s="16">
        <v>29695080.199999999</v>
      </c>
      <c r="J49" s="16">
        <v>199571493.14999995</v>
      </c>
      <c r="K49" s="16">
        <v>72684000</v>
      </c>
      <c r="L49" s="16"/>
      <c r="M49" s="16"/>
      <c r="N49" s="18">
        <f t="shared" si="1"/>
        <v>1922500451.6650472</v>
      </c>
      <c r="P49" s="10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780853481.87999988</v>
      </c>
      <c r="C50" s="16">
        <v>0</v>
      </c>
      <c r="D50" s="16">
        <v>164835727.4947632</v>
      </c>
      <c r="E50" s="16">
        <v>12872643.99</v>
      </c>
      <c r="F50" s="16">
        <v>3798866.07</v>
      </c>
      <c r="G50" s="16">
        <v>1636201.19</v>
      </c>
      <c r="H50" s="16">
        <v>43766372.719999999</v>
      </c>
      <c r="I50" s="16">
        <v>8323292.5499999998</v>
      </c>
      <c r="J50" s="16">
        <v>144219795.15999994</v>
      </c>
      <c r="K50" s="16">
        <v>47190000</v>
      </c>
      <c r="L50" s="16"/>
      <c r="M50" s="16"/>
      <c r="N50" s="18">
        <f t="shared" si="1"/>
        <v>1207496381.0547631</v>
      </c>
      <c r="P50" s="10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772004512.48000002</v>
      </c>
      <c r="C51" s="16">
        <v>0</v>
      </c>
      <c r="D51" s="16">
        <v>262738653.77993852</v>
      </c>
      <c r="E51" s="16">
        <v>12571563.030000001</v>
      </c>
      <c r="F51" s="16">
        <v>4735392.09</v>
      </c>
      <c r="G51" s="16">
        <v>2113426.54</v>
      </c>
      <c r="H51" s="16">
        <v>43270393.25</v>
      </c>
      <c r="I51" s="16">
        <v>10375215.369999999</v>
      </c>
      <c r="J51" s="16">
        <v>100054291.22999996</v>
      </c>
      <c r="K51" s="16">
        <v>46136000</v>
      </c>
      <c r="L51" s="16"/>
      <c r="M51" s="16"/>
      <c r="N51" s="18">
        <f t="shared" si="1"/>
        <v>1253999447.7699385</v>
      </c>
      <c r="P51" s="10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916583058.93999994</v>
      </c>
      <c r="C52" s="16">
        <v>0</v>
      </c>
      <c r="D52" s="16">
        <v>156773393.73964942</v>
      </c>
      <c r="E52" s="16">
        <v>14885828.579999998</v>
      </c>
      <c r="F52" s="16">
        <v>4359462.63</v>
      </c>
      <c r="G52" s="16">
        <v>2704276.97</v>
      </c>
      <c r="H52" s="16">
        <v>51373934.689999998</v>
      </c>
      <c r="I52" s="16">
        <v>9551556.2100000009</v>
      </c>
      <c r="J52" s="16">
        <v>128251485.37</v>
      </c>
      <c r="K52" s="16">
        <v>54408000</v>
      </c>
      <c r="L52" s="16"/>
      <c r="M52" s="16"/>
      <c r="N52" s="18">
        <f t="shared" si="1"/>
        <v>1338890997.1296496</v>
      </c>
      <c r="P52" s="10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317167484.48000002</v>
      </c>
      <c r="C53" s="16">
        <v>0</v>
      </c>
      <c r="D53" s="16">
        <v>140709344.07713816</v>
      </c>
      <c r="E53" s="16">
        <v>5087814.24</v>
      </c>
      <c r="F53" s="16">
        <v>758454.16</v>
      </c>
      <c r="G53" s="16">
        <v>409050.3</v>
      </c>
      <c r="H53" s="16">
        <v>17777048.66</v>
      </c>
      <c r="I53" s="16">
        <v>1661768.48</v>
      </c>
      <c r="J53" s="16">
        <v>67827144.23999998</v>
      </c>
      <c r="K53" s="16">
        <v>18704000</v>
      </c>
      <c r="L53" s="16"/>
      <c r="M53" s="16"/>
      <c r="N53" s="18">
        <f t="shared" si="1"/>
        <v>570102108.63713825</v>
      </c>
      <c r="P53" s="10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1224969643.0999999</v>
      </c>
      <c r="C54" s="16">
        <v>0</v>
      </c>
      <c r="D54" s="16">
        <v>238102354.07395753</v>
      </c>
      <c r="E54" s="16">
        <v>19738553.740000002</v>
      </c>
      <c r="F54" s="16">
        <v>2605125.17</v>
      </c>
      <c r="G54" s="16">
        <v>1499851.09</v>
      </c>
      <c r="H54" s="16">
        <v>68658819.109999999</v>
      </c>
      <c r="I54" s="16">
        <v>5707813.4699999997</v>
      </c>
      <c r="J54" s="16">
        <v>155176062.73000002</v>
      </c>
      <c r="K54" s="16">
        <v>72618000</v>
      </c>
      <c r="L54" s="16"/>
      <c r="M54" s="16"/>
      <c r="N54" s="18">
        <f t="shared" si="1"/>
        <v>1789076222.4839573</v>
      </c>
      <c r="P54" s="10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559799418.97000003</v>
      </c>
      <c r="C55" s="16">
        <v>0</v>
      </c>
      <c r="D55" s="16">
        <v>80640897.834950641</v>
      </c>
      <c r="E55" s="16">
        <v>9158429.790000001</v>
      </c>
      <c r="F55" s="16">
        <v>4807939.88</v>
      </c>
      <c r="G55" s="16">
        <v>2340676.71</v>
      </c>
      <c r="H55" s="16">
        <v>31376424.109999999</v>
      </c>
      <c r="I55" s="16">
        <v>10534167.140000001</v>
      </c>
      <c r="J55" s="16">
        <v>109553169.07999997</v>
      </c>
      <c r="K55" s="16">
        <v>32986000</v>
      </c>
      <c r="L55" s="16"/>
      <c r="M55" s="16"/>
      <c r="N55" s="18">
        <f t="shared" si="1"/>
        <v>841197123.51495063</v>
      </c>
      <c r="P55" s="10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433633535.82000005</v>
      </c>
      <c r="C56" s="16">
        <v>0</v>
      </c>
      <c r="D56" s="16">
        <v>70570950.302380368</v>
      </c>
      <c r="E56" s="16">
        <v>6873093.1699999999</v>
      </c>
      <c r="F56" s="16">
        <v>1358622.24</v>
      </c>
      <c r="G56" s="16">
        <v>636300.46</v>
      </c>
      <c r="H56" s="16">
        <v>24304901.489999998</v>
      </c>
      <c r="I56" s="16">
        <v>2976733.1</v>
      </c>
      <c r="J56" s="16">
        <v>90436588.360000044</v>
      </c>
      <c r="K56" s="16">
        <v>25158000.000000004</v>
      </c>
      <c r="L56" s="16"/>
      <c r="M56" s="16"/>
      <c r="N56" s="18">
        <f t="shared" si="1"/>
        <v>655948724.94238043</v>
      </c>
      <c r="P56" s="10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1012322101.1200001</v>
      </c>
      <c r="C57" s="16">
        <v>0</v>
      </c>
      <c r="D57" s="16">
        <v>150202769.95169762</v>
      </c>
      <c r="E57" s="16">
        <v>17285659.539999999</v>
      </c>
      <c r="F57" s="16">
        <v>6977778.3099999996</v>
      </c>
      <c r="G57" s="16">
        <v>2931527.14</v>
      </c>
      <c r="H57" s="16">
        <v>56740051</v>
      </c>
      <c r="I57" s="16">
        <v>15288270</v>
      </c>
      <c r="J57" s="16">
        <v>193091960.95000005</v>
      </c>
      <c r="K57" s="16">
        <v>62620000</v>
      </c>
      <c r="L57" s="16"/>
      <c r="M57" s="16"/>
      <c r="N57" s="18">
        <f t="shared" si="1"/>
        <v>1517460118.0116978</v>
      </c>
      <c r="P57" s="10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1024029968.3299999</v>
      </c>
      <c r="C58" s="16">
        <v>0</v>
      </c>
      <c r="D58" s="16">
        <v>101512891.83442311</v>
      </c>
      <c r="E58" s="16">
        <v>16045190.530000001</v>
      </c>
      <c r="F58" s="16">
        <v>4062676.22</v>
      </c>
      <c r="G58" s="16">
        <v>1840726.34</v>
      </c>
      <c r="H58" s="16">
        <v>57396269.990000002</v>
      </c>
      <c r="I58" s="16">
        <v>8901298.9800000004</v>
      </c>
      <c r="J58" s="16">
        <v>109273335.89999996</v>
      </c>
      <c r="K58" s="16">
        <v>58780000</v>
      </c>
      <c r="L58" s="16"/>
      <c r="M58" s="16"/>
      <c r="N58" s="18">
        <f t="shared" si="1"/>
        <v>1381842358.1244228</v>
      </c>
      <c r="P58" s="10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1005072753.0799999</v>
      </c>
      <c r="C59" s="16">
        <v>0</v>
      </c>
      <c r="D59" s="16">
        <v>238976178.30794138</v>
      </c>
      <c r="E59" s="16">
        <v>16278425.690000001</v>
      </c>
      <c r="F59" s="16">
        <v>3957152.16</v>
      </c>
      <c r="G59" s="16">
        <v>1681651.23</v>
      </c>
      <c r="H59" s="16">
        <v>56333729.359999999</v>
      </c>
      <c r="I59" s="16">
        <v>8670096.4100000001</v>
      </c>
      <c r="J59" s="16">
        <v>122219329.63999993</v>
      </c>
      <c r="K59" s="16">
        <v>59790000</v>
      </c>
      <c r="L59" s="16"/>
      <c r="M59" s="16"/>
      <c r="N59" s="18">
        <f t="shared" si="1"/>
        <v>1512979315.8779414</v>
      </c>
      <c r="P59" s="10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7260987819.8699999</v>
      </c>
      <c r="C60" s="16">
        <v>0</v>
      </c>
      <c r="D60" s="16">
        <v>407979081.14500815</v>
      </c>
      <c r="E60" s="16">
        <v>160718467.37</v>
      </c>
      <c r="F60" s="16">
        <v>217676345.37</v>
      </c>
      <c r="G60" s="16">
        <v>86514138.079999998</v>
      </c>
      <c r="H60" s="16">
        <v>406974043.86000001</v>
      </c>
      <c r="I60" s="16">
        <v>476927553.25</v>
      </c>
      <c r="J60" s="16">
        <v>2042964541.9699991</v>
      </c>
      <c r="K60" s="16">
        <v>427220000</v>
      </c>
      <c r="L60" s="16"/>
      <c r="M60" s="16"/>
      <c r="N60" s="18">
        <f t="shared" si="1"/>
        <v>11487961990.915007</v>
      </c>
      <c r="P60" s="10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1821832630.1799998</v>
      </c>
      <c r="C61" s="16">
        <v>0</v>
      </c>
      <c r="D61" s="16">
        <v>69326413.78522633</v>
      </c>
      <c r="E61" s="16">
        <v>29554855.869999997</v>
      </c>
      <c r="F61" s="16">
        <v>38859234.259999998</v>
      </c>
      <c r="G61" s="16">
        <v>7897328.6493793931</v>
      </c>
      <c r="H61" s="16">
        <v>102112634.15000001</v>
      </c>
      <c r="I61" s="16">
        <v>85140346.730000004</v>
      </c>
      <c r="J61" s="16">
        <v>505851482.92000008</v>
      </c>
      <c r="K61" s="16">
        <v>100324000</v>
      </c>
      <c r="L61" s="16"/>
      <c r="M61" s="16"/>
      <c r="N61" s="18">
        <f t="shared" si="1"/>
        <v>2760898926.5446057</v>
      </c>
      <c r="P61" s="10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7635673605.6599998</v>
      </c>
      <c r="C62" s="16">
        <v>0</v>
      </c>
      <c r="D62" s="16">
        <v>79990580.919999987</v>
      </c>
      <c r="E62" s="16">
        <v>150032582.87</v>
      </c>
      <c r="F62" s="16">
        <v>174240005.09999999</v>
      </c>
      <c r="G62" s="16">
        <v>0</v>
      </c>
      <c r="H62" s="16">
        <v>427974959.06</v>
      </c>
      <c r="I62" s="16">
        <v>381758795.00999999</v>
      </c>
      <c r="J62" s="16">
        <v>1005921531.15</v>
      </c>
      <c r="K62" s="16">
        <v>466618000</v>
      </c>
      <c r="L62" s="16"/>
      <c r="M62" s="16"/>
      <c r="N62" s="18">
        <f t="shared" si="1"/>
        <v>10322210059.77</v>
      </c>
      <c r="P62" s="10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1348719076.9100003</v>
      </c>
      <c r="C63" s="16">
        <v>0</v>
      </c>
      <c r="D63" s="16">
        <v>234274961.68093207</v>
      </c>
      <c r="E63" s="16">
        <v>22378464.969999999</v>
      </c>
      <c r="F63" s="16">
        <v>6140181.1100000003</v>
      </c>
      <c r="G63" s="16">
        <v>2931527.14</v>
      </c>
      <c r="H63" s="16">
        <v>75594901.189999998</v>
      </c>
      <c r="I63" s="16">
        <v>13453099.59</v>
      </c>
      <c r="J63" s="16">
        <v>134986491.43000001</v>
      </c>
      <c r="K63" s="16">
        <v>82174000</v>
      </c>
      <c r="L63" s="16"/>
      <c r="M63" s="16"/>
      <c r="N63" s="18">
        <f t="shared" si="1"/>
        <v>1920652704.0209324</v>
      </c>
      <c r="P63" s="10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2256623339.0100002</v>
      </c>
      <c r="C64" s="16">
        <v>0</v>
      </c>
      <c r="D64" s="16">
        <v>765216904.37288809</v>
      </c>
      <c r="E64" s="16">
        <v>35079921</v>
      </c>
      <c r="F64" s="16">
        <v>11238312.15</v>
      </c>
      <c r="G64" s="16">
        <v>4567728.33</v>
      </c>
      <c r="H64" s="16">
        <v>126482394.48999999</v>
      </c>
      <c r="I64" s="16">
        <v>24623073.800000001</v>
      </c>
      <c r="J64" s="16">
        <v>286152801.61000001</v>
      </c>
      <c r="K64" s="16">
        <v>128058000</v>
      </c>
      <c r="L64" s="16"/>
      <c r="M64" s="16"/>
      <c r="N64" s="18">
        <f t="shared" si="1"/>
        <v>3638042474.7628884</v>
      </c>
      <c r="P64" s="10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1157955717.02</v>
      </c>
      <c r="C65" s="16">
        <v>0</v>
      </c>
      <c r="D65" s="16">
        <v>203345783.02109522</v>
      </c>
      <c r="E65" s="16">
        <v>18228279.849999998</v>
      </c>
      <c r="F65" s="16">
        <v>2446839.08</v>
      </c>
      <c r="G65" s="16">
        <v>1522576.11</v>
      </c>
      <c r="H65" s="16">
        <v>64902728.460000001</v>
      </c>
      <c r="I65" s="16">
        <v>5361009.6100000003</v>
      </c>
      <c r="J65" s="16">
        <v>170678578.14999995</v>
      </c>
      <c r="K65" s="16">
        <v>67142000</v>
      </c>
      <c r="L65" s="16"/>
      <c r="M65" s="16"/>
      <c r="N65" s="18">
        <f t="shared" si="1"/>
        <v>1691583511.3010948</v>
      </c>
      <c r="P65" s="10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614628994.85000002</v>
      </c>
      <c r="C66" s="16">
        <v>0</v>
      </c>
      <c r="D66" s="16">
        <v>137688571.17197332</v>
      </c>
      <c r="E66" s="16">
        <v>10220384.280000001</v>
      </c>
      <c r="F66" s="16">
        <v>2394077.06</v>
      </c>
      <c r="G66" s="16">
        <v>1386226.01</v>
      </c>
      <c r="H66" s="16">
        <v>34449589.200000003</v>
      </c>
      <c r="I66" s="16">
        <v>5245408.33</v>
      </c>
      <c r="J66" s="16">
        <v>75764660.230000049</v>
      </c>
      <c r="K66" s="16">
        <v>37488000</v>
      </c>
      <c r="L66" s="16"/>
      <c r="M66" s="16"/>
      <c r="N66" s="18">
        <f t="shared" si="1"/>
        <v>919265911.13197339</v>
      </c>
      <c r="P66" s="10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2833303868.9700003</v>
      </c>
      <c r="C67" s="16">
        <v>0</v>
      </c>
      <c r="D67" s="16">
        <v>25488182.320000004</v>
      </c>
      <c r="E67" s="16">
        <v>54478543.719999999</v>
      </c>
      <c r="F67" s="16">
        <v>64330103.700000003</v>
      </c>
      <c r="G67" s="16">
        <v>27698043.360714152</v>
      </c>
      <c r="H67" s="16">
        <v>158804994.81</v>
      </c>
      <c r="I67" s="16">
        <v>140946867.27000001</v>
      </c>
      <c r="J67" s="16">
        <v>488159615.09999979</v>
      </c>
      <c r="K67" s="16">
        <v>168182000</v>
      </c>
      <c r="L67" s="16"/>
      <c r="M67" s="16"/>
      <c r="N67" s="18">
        <f t="shared" si="1"/>
        <v>3961392219.2507138</v>
      </c>
      <c r="P67" s="10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1787593925.48</v>
      </c>
      <c r="C68" s="16">
        <v>0</v>
      </c>
      <c r="D68" s="16">
        <v>34100093.449999996</v>
      </c>
      <c r="E68" s="16">
        <v>30168238.830000002</v>
      </c>
      <c r="F68" s="16">
        <v>56732371.539999999</v>
      </c>
      <c r="G68" s="16">
        <v>27179772.396320213</v>
      </c>
      <c r="H68" s="16">
        <v>100193575.13</v>
      </c>
      <c r="I68" s="16">
        <v>124300282.17</v>
      </c>
      <c r="J68" s="16">
        <v>409976269.97999984</v>
      </c>
      <c r="K68" s="16">
        <v>105202000</v>
      </c>
      <c r="L68" s="16"/>
      <c r="M68" s="16"/>
      <c r="N68" s="18">
        <f t="shared" si="1"/>
        <v>2675446528.9763203</v>
      </c>
      <c r="P68" s="10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6388615573.4400005</v>
      </c>
      <c r="C69" s="16">
        <v>0</v>
      </c>
      <c r="D69" s="16">
        <v>33476090.026243728</v>
      </c>
      <c r="E69" s="16">
        <v>108233246.74000001</v>
      </c>
      <c r="F69" s="16">
        <v>167433703.38</v>
      </c>
      <c r="G69" s="16">
        <v>27597448.489913113</v>
      </c>
      <c r="H69" s="16">
        <v>358078098.88999999</v>
      </c>
      <c r="I69" s="16">
        <v>366846229.19</v>
      </c>
      <c r="J69" s="16">
        <v>957366034.29999948</v>
      </c>
      <c r="K69" s="16">
        <v>375748000</v>
      </c>
      <c r="L69" s="16"/>
      <c r="M69" s="16"/>
      <c r="N69" s="18">
        <f t="shared" si="1"/>
        <v>8783394424.4561577</v>
      </c>
      <c r="P69" s="10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1328026102.29</v>
      </c>
      <c r="C70" s="16">
        <v>0</v>
      </c>
      <c r="D70" s="16">
        <v>307833833.52430809</v>
      </c>
      <c r="E70" s="16">
        <v>21991169.490000002</v>
      </c>
      <c r="F70" s="16">
        <v>37184039.840000004</v>
      </c>
      <c r="G70" s="16">
        <v>13453209.810000001</v>
      </c>
      <c r="H70" s="16">
        <v>74435072.290000007</v>
      </c>
      <c r="I70" s="16">
        <v>81470005.909999996</v>
      </c>
      <c r="J70" s="16">
        <v>406939100.69000018</v>
      </c>
      <c r="K70" s="16">
        <v>78044000</v>
      </c>
      <c r="L70" s="16"/>
      <c r="M70" s="16"/>
      <c r="N70" s="18">
        <f t="shared" si="1"/>
        <v>2349376533.8443084</v>
      </c>
      <c r="P70" s="10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5180697213.6499996</v>
      </c>
      <c r="C71" s="16">
        <v>0</v>
      </c>
      <c r="D71" s="16">
        <v>35269292.909999996</v>
      </c>
      <c r="E71" s="16">
        <v>67298155.159999996</v>
      </c>
      <c r="F71" s="16">
        <v>23413150.309999999</v>
      </c>
      <c r="G71" s="16">
        <v>13066884.529999999</v>
      </c>
      <c r="H71" s="16">
        <v>290374994.06</v>
      </c>
      <c r="I71" s="16">
        <v>51298070.409999996</v>
      </c>
      <c r="J71" s="16">
        <v>340102957.67999995</v>
      </c>
      <c r="K71" s="16">
        <v>304063999.99999994</v>
      </c>
      <c r="L71" s="16"/>
      <c r="M71" s="16"/>
      <c r="N71" s="18">
        <f t="shared" si="1"/>
        <v>6305584718.71</v>
      </c>
      <c r="P71" s="10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22405114078.790001</v>
      </c>
      <c r="C72" s="16">
        <v>0</v>
      </c>
      <c r="D72" s="16">
        <v>166355861.98946995</v>
      </c>
      <c r="E72" s="16">
        <v>458033201.98000002</v>
      </c>
      <c r="F72" s="16">
        <v>681256722.28000009</v>
      </c>
      <c r="G72" s="16">
        <v>0</v>
      </c>
      <c r="H72" s="16">
        <v>1255793303.3299999</v>
      </c>
      <c r="I72" s="16">
        <v>1492629347.45</v>
      </c>
      <c r="J72" s="16">
        <v>4982839882.8099976</v>
      </c>
      <c r="K72" s="16">
        <v>1341710000</v>
      </c>
      <c r="L72" s="16"/>
      <c r="M72" s="16"/>
      <c r="N72" s="18">
        <f t="shared" ref="N72:N103" si="2">SUM(B72:M72)</f>
        <v>32783732398.629467</v>
      </c>
      <c r="P72" s="10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10788357201.68</v>
      </c>
      <c r="C73" s="16">
        <v>0</v>
      </c>
      <c r="D73" s="16">
        <v>337274629.60408843</v>
      </c>
      <c r="E73" s="16">
        <v>203282373.90000001</v>
      </c>
      <c r="F73" s="16">
        <v>252862023.38</v>
      </c>
      <c r="G73" s="16">
        <v>121446660.09166923</v>
      </c>
      <c r="H73" s="16">
        <v>604680997.38999999</v>
      </c>
      <c r="I73" s="16">
        <v>554019160.48000002</v>
      </c>
      <c r="J73" s="16">
        <v>2170490600.2299991</v>
      </c>
      <c r="K73" s="16">
        <v>621146000</v>
      </c>
      <c r="L73" s="16"/>
      <c r="M73" s="16"/>
      <c r="N73" s="18">
        <f t="shared" si="2"/>
        <v>15653559646.755754</v>
      </c>
      <c r="P73" s="10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5575497387.5799999</v>
      </c>
      <c r="C74" s="16">
        <v>0</v>
      </c>
      <c r="D74" s="16">
        <v>69972908.420000002</v>
      </c>
      <c r="E74" s="16">
        <v>105132800.55000001</v>
      </c>
      <c r="F74" s="16">
        <v>183585479.47</v>
      </c>
      <c r="G74" s="16">
        <v>190738515.36237168</v>
      </c>
      <c r="H74" s="16">
        <v>312503308.73000002</v>
      </c>
      <c r="I74" s="16">
        <v>402234672.69</v>
      </c>
      <c r="J74" s="16">
        <v>1164356372.1300001</v>
      </c>
      <c r="K74" s="16">
        <v>323402000</v>
      </c>
      <c r="L74" s="16"/>
      <c r="M74" s="16"/>
      <c r="N74" s="18">
        <f t="shared" si="2"/>
        <v>8327423444.9323711</v>
      </c>
      <c r="P74" s="10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970051254.91999984</v>
      </c>
      <c r="C75" s="16">
        <v>0</v>
      </c>
      <c r="D75" s="16">
        <v>175860298.65689319</v>
      </c>
      <c r="E75" s="16">
        <v>14929079.720000001</v>
      </c>
      <c r="F75" s="16">
        <v>3337198.32</v>
      </c>
      <c r="G75" s="16">
        <v>1499851.09</v>
      </c>
      <c r="H75" s="16">
        <v>54370795.240000002</v>
      </c>
      <c r="I75" s="16">
        <v>7311781.2999999998</v>
      </c>
      <c r="J75" s="16">
        <v>131217359.57000004</v>
      </c>
      <c r="K75" s="16">
        <v>54790000.000000007</v>
      </c>
      <c r="L75" s="16"/>
      <c r="M75" s="16"/>
      <c r="N75" s="18">
        <f t="shared" si="2"/>
        <v>1413367618.8168929</v>
      </c>
      <c r="P75" s="10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940237034.87999988</v>
      </c>
      <c r="C76" s="16">
        <v>0</v>
      </c>
      <c r="D76" s="16">
        <v>257001416.03122112</v>
      </c>
      <c r="E76" s="16">
        <v>15221838.710000001</v>
      </c>
      <c r="F76" s="16">
        <v>6008276.0300000003</v>
      </c>
      <c r="G76" s="16">
        <v>3522377.57</v>
      </c>
      <c r="H76" s="16">
        <v>52699725.960000001</v>
      </c>
      <c r="I76" s="16">
        <v>13164096.380000001</v>
      </c>
      <c r="J76" s="16">
        <v>194850572.37999994</v>
      </c>
      <c r="K76" s="16">
        <v>55338000</v>
      </c>
      <c r="L76" s="16"/>
      <c r="M76" s="16"/>
      <c r="N76" s="18">
        <f t="shared" si="2"/>
        <v>1538043337.941221</v>
      </c>
      <c r="P76" s="10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1002758407.27</v>
      </c>
      <c r="C77" s="16">
        <v>0</v>
      </c>
      <c r="D77" s="16">
        <v>198499017.81838709</v>
      </c>
      <c r="E77" s="16">
        <v>16967947.099999998</v>
      </c>
      <c r="F77" s="16">
        <v>7056921.3600000003</v>
      </c>
      <c r="G77" s="16">
        <v>2249776.64</v>
      </c>
      <c r="H77" s="16">
        <v>56204011.649999999</v>
      </c>
      <c r="I77" s="16">
        <v>15461671.93</v>
      </c>
      <c r="J77" s="16">
        <v>132398480.96000005</v>
      </c>
      <c r="K77" s="16">
        <v>62028000.000000007</v>
      </c>
      <c r="L77" s="16"/>
      <c r="M77" s="16"/>
      <c r="N77" s="18">
        <f t="shared" si="2"/>
        <v>1493624234.7283871</v>
      </c>
      <c r="P77" s="10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395548932.78999996</v>
      </c>
      <c r="C78" s="16">
        <v>0</v>
      </c>
      <c r="D78" s="16">
        <v>85162284.991969332</v>
      </c>
      <c r="E78" s="16">
        <v>6485922.7999999989</v>
      </c>
      <c r="F78" s="16">
        <v>2506196.37</v>
      </c>
      <c r="G78" s="16">
        <v>795375.58</v>
      </c>
      <c r="H78" s="16">
        <v>22170282.170000002</v>
      </c>
      <c r="I78" s="16">
        <v>5491061.0599999996</v>
      </c>
      <c r="J78" s="16">
        <v>56778787.239999972</v>
      </c>
      <c r="K78" s="16">
        <v>23840000</v>
      </c>
      <c r="L78" s="16"/>
      <c r="M78" s="16"/>
      <c r="N78" s="18">
        <f t="shared" si="2"/>
        <v>598778843.00196934</v>
      </c>
      <c r="P78" s="10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2053709663.4200001</v>
      </c>
      <c r="C79" s="16">
        <v>0</v>
      </c>
      <c r="D79" s="16">
        <v>515266992.08651596</v>
      </c>
      <c r="E79" s="16">
        <v>33543720.950000003</v>
      </c>
      <c r="F79" s="16">
        <v>12596934.390000001</v>
      </c>
      <c r="G79" s="16">
        <v>5908504.3099999996</v>
      </c>
      <c r="H79" s="16">
        <v>115109203.79000001</v>
      </c>
      <c r="I79" s="16">
        <v>27599806.899999999</v>
      </c>
      <c r="J79" s="16">
        <v>307573400.70000017</v>
      </c>
      <c r="K79" s="16">
        <v>122676000</v>
      </c>
      <c r="L79" s="16"/>
      <c r="M79" s="16"/>
      <c r="N79" s="18">
        <f t="shared" si="2"/>
        <v>3193984226.5465159</v>
      </c>
      <c r="P79" s="10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1127222565.5299997</v>
      </c>
      <c r="C80" s="16">
        <v>0</v>
      </c>
      <c r="D80" s="16">
        <v>558929752.47416782</v>
      </c>
      <c r="E80" s="16">
        <v>17885455.260000002</v>
      </c>
      <c r="F80" s="16">
        <v>4075866.73</v>
      </c>
      <c r="G80" s="16">
        <v>2363401.7200000002</v>
      </c>
      <c r="H80" s="16">
        <v>63180153.619999997</v>
      </c>
      <c r="I80" s="16">
        <v>8930199.3000000007</v>
      </c>
      <c r="J80" s="16">
        <v>198780118.0999999</v>
      </c>
      <c r="K80" s="16">
        <v>65422000</v>
      </c>
      <c r="L80" s="16"/>
      <c r="M80" s="16"/>
      <c r="N80" s="18">
        <f t="shared" si="2"/>
        <v>2046789512.7341673</v>
      </c>
      <c r="P80" s="10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626711241.55999994</v>
      </c>
      <c r="C81" s="16">
        <v>0</v>
      </c>
      <c r="D81" s="16">
        <v>158365491.26185432</v>
      </c>
      <c r="E81" s="16">
        <v>10348310.029999999</v>
      </c>
      <c r="F81" s="16">
        <v>10585382.039999999</v>
      </c>
      <c r="G81" s="16">
        <v>5408553.9400000004</v>
      </c>
      <c r="H81" s="16">
        <v>35126791.93</v>
      </c>
      <c r="I81" s="16">
        <v>23192507.890000001</v>
      </c>
      <c r="J81" s="16">
        <v>232407024.72999999</v>
      </c>
      <c r="K81" s="16">
        <v>36732000</v>
      </c>
      <c r="L81" s="16"/>
      <c r="M81" s="16"/>
      <c r="N81" s="18">
        <f t="shared" si="2"/>
        <v>1138877303.3818541</v>
      </c>
      <c r="P81" s="10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10375416640.4</v>
      </c>
      <c r="C82" s="16">
        <v>0</v>
      </c>
      <c r="D82" s="16">
        <v>83098315.620000005</v>
      </c>
      <c r="E82" s="16">
        <v>195610064.72999999</v>
      </c>
      <c r="F82" s="16">
        <v>305076646.19999999</v>
      </c>
      <c r="G82" s="16">
        <v>222742863.31904316</v>
      </c>
      <c r="H82" s="16">
        <v>581535924.82000005</v>
      </c>
      <c r="I82" s="16">
        <v>668421082.58000004</v>
      </c>
      <c r="J82" s="16">
        <v>1929177040.8000004</v>
      </c>
      <c r="K82" s="16">
        <v>596580000</v>
      </c>
      <c r="L82" s="16"/>
      <c r="M82" s="16"/>
      <c r="N82" s="18">
        <f t="shared" si="2"/>
        <v>14957658578.469044</v>
      </c>
      <c r="P82" s="10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2558849679.0899997</v>
      </c>
      <c r="C83" s="16">
        <v>0</v>
      </c>
      <c r="D83" s="16">
        <v>148891601.67502552</v>
      </c>
      <c r="E83" s="16">
        <v>49048782.859999992</v>
      </c>
      <c r="F83" s="16">
        <v>33780888.979999997</v>
      </c>
      <c r="G83" s="16">
        <v>14430385.52</v>
      </c>
      <c r="H83" s="16">
        <v>143422000.88999999</v>
      </c>
      <c r="I83" s="16">
        <v>74013723</v>
      </c>
      <c r="J83" s="16">
        <v>417534734.11999983</v>
      </c>
      <c r="K83" s="16">
        <v>154224000</v>
      </c>
      <c r="L83" s="16"/>
      <c r="M83" s="16"/>
      <c r="N83" s="18">
        <f t="shared" si="2"/>
        <v>3594195796.135025</v>
      </c>
      <c r="P83" s="10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1118509734.1200001</v>
      </c>
      <c r="C84" s="16">
        <v>0</v>
      </c>
      <c r="D84" s="16">
        <v>136196583.05063608</v>
      </c>
      <c r="E84" s="16">
        <v>17838086.960000001</v>
      </c>
      <c r="F84" s="16">
        <v>6779920.71</v>
      </c>
      <c r="G84" s="16">
        <v>1563518.488348461</v>
      </c>
      <c r="H84" s="16">
        <v>62691804.600000001</v>
      </c>
      <c r="I84" s="16">
        <v>14854765.18</v>
      </c>
      <c r="J84" s="16">
        <v>171696909.17999995</v>
      </c>
      <c r="K84" s="16">
        <v>64842000</v>
      </c>
      <c r="L84" s="16"/>
      <c r="M84" s="16"/>
      <c r="N84" s="18">
        <f t="shared" si="2"/>
        <v>1594973322.2889848</v>
      </c>
      <c r="P84" s="10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838916335.03999984</v>
      </c>
      <c r="C85" s="16">
        <v>0</v>
      </c>
      <c r="D85" s="16">
        <v>136116979.669462</v>
      </c>
      <c r="E85" s="16">
        <v>14164402.609999999</v>
      </c>
      <c r="F85" s="16">
        <v>3205293.25</v>
      </c>
      <c r="G85" s="16">
        <v>1477126.08</v>
      </c>
      <c r="H85" s="16">
        <v>47020761.07</v>
      </c>
      <c r="I85" s="16">
        <v>7022778.0899999999</v>
      </c>
      <c r="J85" s="16">
        <v>101216400.69000001</v>
      </c>
      <c r="K85" s="16">
        <v>51892000.000000007</v>
      </c>
      <c r="L85" s="16"/>
      <c r="M85" s="16"/>
      <c r="N85" s="18">
        <f t="shared" si="2"/>
        <v>1201032076.4994619</v>
      </c>
      <c r="P85" s="10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10798329309.539999</v>
      </c>
      <c r="C86" s="16">
        <v>0</v>
      </c>
      <c r="D86" s="16">
        <v>39284441.950000003</v>
      </c>
      <c r="E86" s="16">
        <v>207878213.27999997</v>
      </c>
      <c r="F86" s="16">
        <v>191414045.5</v>
      </c>
      <c r="G86" s="16">
        <v>61229817.827002883</v>
      </c>
      <c r="H86" s="16">
        <v>605239928.10000002</v>
      </c>
      <c r="I86" s="16">
        <v>419387013.42000002</v>
      </c>
      <c r="J86" s="16">
        <v>851704980.96999967</v>
      </c>
      <c r="K86" s="16">
        <v>648396000</v>
      </c>
      <c r="L86" s="16"/>
      <c r="M86" s="16"/>
      <c r="N86" s="18">
        <f t="shared" si="2"/>
        <v>13822863750.587004</v>
      </c>
      <c r="P86" s="10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1739435111.1499999</v>
      </c>
      <c r="C87" s="16">
        <v>0</v>
      </c>
      <c r="D87" s="16">
        <v>159752506.78533885</v>
      </c>
      <c r="E87" s="16">
        <v>27605629.82</v>
      </c>
      <c r="F87" s="16">
        <v>5434488.9699999997</v>
      </c>
      <c r="G87" s="16">
        <v>4295028.13</v>
      </c>
      <c r="H87" s="16">
        <v>97494302.260000005</v>
      </c>
      <c r="I87" s="16">
        <v>11906932.4</v>
      </c>
      <c r="J87" s="16">
        <v>192586954.36000007</v>
      </c>
      <c r="K87" s="16">
        <v>101030000</v>
      </c>
      <c r="L87" s="16"/>
      <c r="M87" s="16"/>
      <c r="N87" s="18">
        <f t="shared" si="2"/>
        <v>2339540953.875339</v>
      </c>
      <c r="P87" s="10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1669596321.75</v>
      </c>
      <c r="C88" s="16">
        <v>0</v>
      </c>
      <c r="D88" s="16">
        <v>60416372.617764391</v>
      </c>
      <c r="E88" s="16">
        <v>26499164.91</v>
      </c>
      <c r="F88" s="16">
        <v>26671205.59</v>
      </c>
      <c r="G88" s="16">
        <v>8680956.3300000001</v>
      </c>
      <c r="H88" s="16">
        <v>93579879.700000003</v>
      </c>
      <c r="I88" s="16">
        <v>58436449.789999999</v>
      </c>
      <c r="J88" s="16">
        <v>293164670.18999994</v>
      </c>
      <c r="K88" s="16">
        <v>92800000</v>
      </c>
      <c r="L88" s="16"/>
      <c r="M88" s="16"/>
      <c r="N88" s="18">
        <f t="shared" si="2"/>
        <v>2329845020.8777642</v>
      </c>
      <c r="P88" s="10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2231710086.6799994</v>
      </c>
      <c r="C89" s="16">
        <v>0</v>
      </c>
      <c r="D89" s="16">
        <v>160798773.55687436</v>
      </c>
      <c r="E89" s="16">
        <v>36312838.960000001</v>
      </c>
      <c r="F89" s="16">
        <v>22430457.52</v>
      </c>
      <c r="G89" s="16">
        <v>9453606.8900000006</v>
      </c>
      <c r="H89" s="16">
        <v>125086021.53</v>
      </c>
      <c r="I89" s="16">
        <v>49144996.469999999</v>
      </c>
      <c r="J89" s="16">
        <v>301063568.15999997</v>
      </c>
      <c r="K89" s="16">
        <v>131302000</v>
      </c>
      <c r="L89" s="16"/>
      <c r="M89" s="16"/>
      <c r="N89" s="18">
        <f t="shared" si="2"/>
        <v>3067302349.7668734</v>
      </c>
      <c r="P89" s="10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10076185336.139999</v>
      </c>
      <c r="C90" s="16">
        <v>0</v>
      </c>
      <c r="D90" s="16">
        <v>52182419.297756441</v>
      </c>
      <c r="E90" s="16">
        <v>196522312.43000001</v>
      </c>
      <c r="F90" s="16">
        <v>304265430.00999999</v>
      </c>
      <c r="G90" s="16">
        <v>88990205.949272811</v>
      </c>
      <c r="H90" s="16">
        <v>564764188.38</v>
      </c>
      <c r="I90" s="16">
        <v>666643712.82000005</v>
      </c>
      <c r="J90" s="16">
        <v>1755012728.4099991</v>
      </c>
      <c r="K90" s="16">
        <v>596342000</v>
      </c>
      <c r="L90" s="16"/>
      <c r="M90" s="16"/>
      <c r="N90" s="18">
        <f t="shared" si="2"/>
        <v>14300908333.437027</v>
      </c>
      <c r="P90" s="10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474100553.63999999</v>
      </c>
      <c r="C91" s="16">
        <v>0</v>
      </c>
      <c r="D91" s="16">
        <v>194394598.37981802</v>
      </c>
      <c r="E91" s="16">
        <v>7736844.669999999</v>
      </c>
      <c r="F91" s="16">
        <v>7063516.6100000003</v>
      </c>
      <c r="G91" s="16">
        <v>3226952.35</v>
      </c>
      <c r="H91" s="16">
        <v>26573053.739999998</v>
      </c>
      <c r="I91" s="16">
        <v>15476122.09</v>
      </c>
      <c r="J91" s="16">
        <v>135348313.92999998</v>
      </c>
      <c r="K91" s="16">
        <v>27548000</v>
      </c>
      <c r="L91" s="16"/>
      <c r="M91" s="16"/>
      <c r="N91" s="18">
        <f t="shared" si="2"/>
        <v>891467955.40981805</v>
      </c>
      <c r="P91" s="10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637057728.87999988</v>
      </c>
      <c r="C92" s="16">
        <v>0</v>
      </c>
      <c r="D92" s="16">
        <v>1881744.63</v>
      </c>
      <c r="E92" s="16">
        <v>10104289.149999999</v>
      </c>
      <c r="F92" s="16">
        <v>1510313.07</v>
      </c>
      <c r="G92" s="16">
        <v>1090800.8</v>
      </c>
      <c r="H92" s="16">
        <v>35706706.380000003</v>
      </c>
      <c r="I92" s="16">
        <v>3309086.8</v>
      </c>
      <c r="J92" s="16">
        <v>52628820.949999996</v>
      </c>
      <c r="K92" s="16">
        <v>38194000</v>
      </c>
      <c r="L92" s="16"/>
      <c r="M92" s="16"/>
      <c r="N92" s="18">
        <f t="shared" si="2"/>
        <v>781483490.65999985</v>
      </c>
      <c r="P92" s="10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7473567292.8400002</v>
      </c>
      <c r="C93" s="16">
        <v>0</v>
      </c>
      <c r="D93" s="16">
        <v>59229225.579755068</v>
      </c>
      <c r="E93" s="16">
        <v>145127941.22999999</v>
      </c>
      <c r="F93" s="16">
        <v>246596532.44999999</v>
      </c>
      <c r="G93" s="16">
        <v>44951009.505921237</v>
      </c>
      <c r="H93" s="16">
        <v>418888996.75</v>
      </c>
      <c r="I93" s="16">
        <v>540291507.83000004</v>
      </c>
      <c r="J93" s="16">
        <v>1811759432.9499993</v>
      </c>
      <c r="K93" s="16">
        <v>432082000</v>
      </c>
      <c r="L93" s="16"/>
      <c r="M93" s="16"/>
      <c r="N93" s="18">
        <f t="shared" si="2"/>
        <v>11172493939.135675</v>
      </c>
      <c r="P93" s="10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3686684865.6899996</v>
      </c>
      <c r="C94" s="16">
        <v>0</v>
      </c>
      <c r="D94" s="16">
        <v>66541779.82</v>
      </c>
      <c r="E94" s="16">
        <v>70968012.5</v>
      </c>
      <c r="F94" s="16">
        <v>111505952.77</v>
      </c>
      <c r="G94" s="16">
        <v>53351830.829206884</v>
      </c>
      <c r="H94" s="16">
        <v>206636491.55000001</v>
      </c>
      <c r="I94" s="16">
        <v>244308866.62</v>
      </c>
      <c r="J94" s="16">
        <v>855668986.0599997</v>
      </c>
      <c r="K94" s="16">
        <v>222198000</v>
      </c>
      <c r="L94" s="16"/>
      <c r="M94" s="16"/>
      <c r="N94" s="18">
        <f t="shared" si="2"/>
        <v>5517864785.8392067</v>
      </c>
      <c r="P94" s="10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747465639.57999992</v>
      </c>
      <c r="C95" s="16">
        <v>0</v>
      </c>
      <c r="D95" s="16">
        <v>143403569.05590653</v>
      </c>
      <c r="E95" s="16">
        <v>12446515.689999999</v>
      </c>
      <c r="F95" s="16">
        <v>5467465.2400000002</v>
      </c>
      <c r="G95" s="16">
        <v>2590651.89</v>
      </c>
      <c r="H95" s="16">
        <v>41895004.039999999</v>
      </c>
      <c r="I95" s="16">
        <v>11979183.199999999</v>
      </c>
      <c r="J95" s="16">
        <v>136765303.15999997</v>
      </c>
      <c r="K95" s="16">
        <v>45160000</v>
      </c>
      <c r="L95" s="16"/>
      <c r="M95" s="16"/>
      <c r="N95" s="18">
        <f t="shared" si="2"/>
        <v>1147173331.8559065</v>
      </c>
      <c r="P95" s="10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2422030998.0899997</v>
      </c>
      <c r="C96" s="16">
        <v>0</v>
      </c>
      <c r="D96" s="16">
        <v>345681484.8892225</v>
      </c>
      <c r="E96" s="16">
        <v>31135395.289999999</v>
      </c>
      <c r="F96" s="16">
        <v>30641548.260000002</v>
      </c>
      <c r="G96" s="16">
        <v>13248684.66</v>
      </c>
      <c r="H96" s="16">
        <v>135753395.28999999</v>
      </c>
      <c r="I96" s="16">
        <v>67135446.519999996</v>
      </c>
      <c r="J96" s="16">
        <v>463466573.0199998</v>
      </c>
      <c r="K96" s="16">
        <v>139026000</v>
      </c>
      <c r="L96" s="16"/>
      <c r="M96" s="16"/>
      <c r="N96" s="18">
        <f t="shared" si="2"/>
        <v>3648119526.0192223</v>
      </c>
      <c r="P96" s="10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1202779150.5599999</v>
      </c>
      <c r="C97" s="16">
        <v>0</v>
      </c>
      <c r="D97" s="16">
        <v>408327726.92640084</v>
      </c>
      <c r="E97" s="16">
        <v>19544220.189999998</v>
      </c>
      <c r="F97" s="16">
        <v>14146818.99</v>
      </c>
      <c r="G97" s="16">
        <v>6817504.9699999997</v>
      </c>
      <c r="H97" s="16">
        <v>67415055.219999999</v>
      </c>
      <c r="I97" s="16">
        <v>30995594.66</v>
      </c>
      <c r="J97" s="16">
        <v>314979174.52000004</v>
      </c>
      <c r="K97" s="16">
        <v>70576000.000000015</v>
      </c>
      <c r="L97" s="16"/>
      <c r="M97" s="16"/>
      <c r="N97" s="18">
        <f t="shared" si="2"/>
        <v>2135581246.036401</v>
      </c>
      <c r="P97" s="10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3449294243.8400002</v>
      </c>
      <c r="C98" s="16">
        <v>0</v>
      </c>
      <c r="D98" s="16">
        <v>508400205.03203267</v>
      </c>
      <c r="E98" s="16">
        <v>63642557.730000004</v>
      </c>
      <c r="F98" s="16">
        <v>32897125</v>
      </c>
      <c r="G98" s="16">
        <v>16316561.9</v>
      </c>
      <c r="H98" s="16">
        <v>193330888.53999999</v>
      </c>
      <c r="I98" s="16">
        <v>72077401.469999999</v>
      </c>
      <c r="J98" s="16">
        <v>607291274.88</v>
      </c>
      <c r="K98" s="16">
        <v>203066000</v>
      </c>
      <c r="L98" s="16"/>
      <c r="M98" s="16"/>
      <c r="N98" s="18">
        <f t="shared" si="2"/>
        <v>5146316258.3920326</v>
      </c>
      <c r="P98" s="10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2484450267.02</v>
      </c>
      <c r="C99" s="16">
        <v>0</v>
      </c>
      <c r="D99" s="16">
        <v>244037010.87126589</v>
      </c>
      <c r="E99" s="16">
        <v>39606217.050000004</v>
      </c>
      <c r="F99" s="16">
        <v>12194623.92</v>
      </c>
      <c r="G99" s="16">
        <v>4885878.5599999996</v>
      </c>
      <c r="H99" s="16">
        <v>139251958.13999999</v>
      </c>
      <c r="I99" s="16">
        <v>26718347.100000001</v>
      </c>
      <c r="J99" s="16">
        <v>398214368.42000014</v>
      </c>
      <c r="K99" s="16">
        <v>144030000</v>
      </c>
      <c r="L99" s="16"/>
      <c r="M99" s="16"/>
      <c r="N99" s="18">
        <f t="shared" si="2"/>
        <v>3493388671.0812659</v>
      </c>
      <c r="P99" s="10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2522773111.48</v>
      </c>
      <c r="C100" s="16">
        <v>0</v>
      </c>
      <c r="D100" s="16">
        <v>413348872.50498283</v>
      </c>
      <c r="E100" s="16">
        <v>41645511.219999999</v>
      </c>
      <c r="F100" s="16">
        <v>13691746.49</v>
      </c>
      <c r="G100" s="16">
        <v>5817604.2400000002</v>
      </c>
      <c r="H100" s="16">
        <v>141399930.75999999</v>
      </c>
      <c r="I100" s="16">
        <v>29998533.57</v>
      </c>
      <c r="J100" s="16">
        <v>307943540.91000003</v>
      </c>
      <c r="K100" s="16">
        <v>152176000</v>
      </c>
      <c r="L100" s="16"/>
      <c r="M100" s="16"/>
      <c r="N100" s="18">
        <f t="shared" si="2"/>
        <v>3628794851.1749825</v>
      </c>
      <c r="P100" s="10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539957306.76999998</v>
      </c>
      <c r="C101" s="16">
        <v>0</v>
      </c>
      <c r="D101" s="16">
        <v>131610029.00385144</v>
      </c>
      <c r="E101" s="16">
        <v>8488688.0999999996</v>
      </c>
      <c r="F101" s="16">
        <v>1635622.89</v>
      </c>
      <c r="G101" s="16">
        <v>931725.68</v>
      </c>
      <c r="H101" s="16">
        <v>30264285.539999999</v>
      </c>
      <c r="I101" s="16">
        <v>3583639.85</v>
      </c>
      <c r="J101" s="16">
        <v>71069880.960000008</v>
      </c>
      <c r="K101" s="16">
        <v>31182000</v>
      </c>
      <c r="L101" s="16"/>
      <c r="M101" s="16"/>
      <c r="N101" s="18">
        <f t="shared" si="2"/>
        <v>818723178.79385138</v>
      </c>
      <c r="P101" s="10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1474680753.0999999</v>
      </c>
      <c r="C102" s="16">
        <v>0</v>
      </c>
      <c r="D102" s="16">
        <v>660450164.64373791</v>
      </c>
      <c r="E102" s="16">
        <v>27788060.02</v>
      </c>
      <c r="F102" s="16">
        <v>31670407.829999998</v>
      </c>
      <c r="G102" s="16">
        <v>14953060.9</v>
      </c>
      <c r="H102" s="16">
        <v>82654978.140000001</v>
      </c>
      <c r="I102" s="16">
        <v>69389671.590000004</v>
      </c>
      <c r="J102" s="16">
        <v>457721973.91000026</v>
      </c>
      <c r="K102" s="16">
        <v>86416000</v>
      </c>
      <c r="L102" s="16"/>
      <c r="M102" s="16"/>
      <c r="N102" s="18">
        <f t="shared" si="2"/>
        <v>2905725070.133738</v>
      </c>
      <c r="P102" s="10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518549607.68000007</v>
      </c>
      <c r="C103" s="16">
        <v>0</v>
      </c>
      <c r="D103" s="16">
        <v>153006055.7458317</v>
      </c>
      <c r="E103" s="16">
        <v>8720368.1499999985</v>
      </c>
      <c r="F103" s="16">
        <v>784835.17</v>
      </c>
      <c r="G103" s="16">
        <v>590850.43000000005</v>
      </c>
      <c r="H103" s="16">
        <v>29064396.75</v>
      </c>
      <c r="I103" s="16">
        <v>1719569.12</v>
      </c>
      <c r="J103" s="16">
        <v>100464237.83999996</v>
      </c>
      <c r="K103" s="16">
        <v>32076000</v>
      </c>
      <c r="L103" s="16"/>
      <c r="M103" s="16"/>
      <c r="N103" s="18">
        <f t="shared" si="2"/>
        <v>844975920.88583159</v>
      </c>
      <c r="P103" s="10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8230834867.920002</v>
      </c>
      <c r="C104" s="16">
        <v>0</v>
      </c>
      <c r="D104" s="16">
        <v>135367332.29277653</v>
      </c>
      <c r="E104" s="16">
        <v>156182759.73000002</v>
      </c>
      <c r="F104" s="16">
        <v>160838449.77000001</v>
      </c>
      <c r="G104" s="16">
        <v>29542035.117053475</v>
      </c>
      <c r="H104" s="16">
        <v>461333393.42000002</v>
      </c>
      <c r="I104" s="16">
        <v>352396068.50999999</v>
      </c>
      <c r="J104" s="16">
        <v>1111578425.5400002</v>
      </c>
      <c r="K104" s="16">
        <v>480914000</v>
      </c>
      <c r="L104" s="16"/>
      <c r="M104" s="16"/>
      <c r="N104" s="18">
        <f t="shared" ref="N104:N135" si="3">SUM(B104:M104)</f>
        <v>11118987332.299833</v>
      </c>
      <c r="P104" s="10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1332552690.5</v>
      </c>
      <c r="C105" s="16">
        <v>0</v>
      </c>
      <c r="D105" s="16">
        <v>34002703.710000001</v>
      </c>
      <c r="E105" s="16">
        <v>24261577.170000002</v>
      </c>
      <c r="F105" s="16">
        <v>6931611.54</v>
      </c>
      <c r="G105" s="16">
        <v>5113128.7300000004</v>
      </c>
      <c r="H105" s="16">
        <v>74688784.859999999</v>
      </c>
      <c r="I105" s="16">
        <v>15187118.869999999</v>
      </c>
      <c r="J105" s="16">
        <v>145157325.15999994</v>
      </c>
      <c r="K105" s="16">
        <v>82428000</v>
      </c>
      <c r="L105" s="16"/>
      <c r="M105" s="16"/>
      <c r="N105" s="18">
        <f t="shared" si="3"/>
        <v>1720322940.5399997</v>
      </c>
      <c r="P105" s="10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1514467080.99</v>
      </c>
      <c r="C106" s="16">
        <v>0</v>
      </c>
      <c r="D106" s="16">
        <v>13492462.529999999</v>
      </c>
      <c r="E106" s="16">
        <v>26793030.020000003</v>
      </c>
      <c r="F106" s="16">
        <v>49114853.619999997</v>
      </c>
      <c r="G106" s="16">
        <v>14295354.637950689</v>
      </c>
      <c r="H106" s="16">
        <v>84884978.129999995</v>
      </c>
      <c r="I106" s="16">
        <v>107610346.58</v>
      </c>
      <c r="J106" s="16">
        <v>381501025.23000014</v>
      </c>
      <c r="K106" s="16">
        <v>87906000</v>
      </c>
      <c r="L106" s="16"/>
      <c r="M106" s="16"/>
      <c r="N106" s="18">
        <f t="shared" si="3"/>
        <v>2280065131.7379503</v>
      </c>
      <c r="P106" s="10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2000241467.4399996</v>
      </c>
      <c r="C107" s="16">
        <v>0</v>
      </c>
      <c r="D107" s="16">
        <v>191169457.35136589</v>
      </c>
      <c r="E107" s="16">
        <v>31972999.550000004</v>
      </c>
      <c r="F107" s="16">
        <v>2730434.99</v>
      </c>
      <c r="G107" s="16">
        <v>2158876.5699999998</v>
      </c>
      <c r="H107" s="16">
        <v>112112343.23999999</v>
      </c>
      <c r="I107" s="16">
        <v>5982366.5199999996</v>
      </c>
      <c r="J107" s="16">
        <v>176748163.89000008</v>
      </c>
      <c r="K107" s="16">
        <v>117994000</v>
      </c>
      <c r="L107" s="16"/>
      <c r="M107" s="16"/>
      <c r="N107" s="18">
        <f t="shared" si="3"/>
        <v>2641110109.5513654</v>
      </c>
      <c r="P107" s="10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748622812.51999998</v>
      </c>
      <c r="C108" s="16">
        <v>0</v>
      </c>
      <c r="D108" s="16">
        <v>80909896.723441914</v>
      </c>
      <c r="E108" s="16">
        <v>11797388.140000001</v>
      </c>
      <c r="F108" s="16">
        <v>2770006.51</v>
      </c>
      <c r="G108" s="16">
        <v>1590751.16</v>
      </c>
      <c r="H108" s="16">
        <v>41959862.890000001</v>
      </c>
      <c r="I108" s="16">
        <v>6069067.4900000002</v>
      </c>
      <c r="J108" s="16">
        <v>94288303.709999964</v>
      </c>
      <c r="K108" s="16">
        <v>43124000</v>
      </c>
      <c r="L108" s="16"/>
      <c r="M108" s="16"/>
      <c r="N108" s="18">
        <f t="shared" si="3"/>
        <v>1031132089.1434418</v>
      </c>
      <c r="P108" s="10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6777017261.79</v>
      </c>
      <c r="C109" s="16">
        <v>0</v>
      </c>
      <c r="D109" s="16">
        <v>94201393.872285172</v>
      </c>
      <c r="E109" s="16">
        <v>133243353.35999998</v>
      </c>
      <c r="F109" s="16">
        <v>282817665.26999998</v>
      </c>
      <c r="G109" s="16">
        <v>132655151.70864929</v>
      </c>
      <c r="H109" s="16">
        <v>379847782.25999999</v>
      </c>
      <c r="I109" s="16">
        <v>619651790.27999997</v>
      </c>
      <c r="J109" s="16">
        <v>1720363331.8199999</v>
      </c>
      <c r="K109" s="16">
        <v>395116000</v>
      </c>
      <c r="L109" s="16"/>
      <c r="M109" s="16"/>
      <c r="N109" s="18">
        <f t="shared" si="3"/>
        <v>10534913730.360933</v>
      </c>
      <c r="P109" s="10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766899337.80999994</v>
      </c>
      <c r="C110" s="16">
        <v>0</v>
      </c>
      <c r="D110" s="16">
        <v>233656413.37311664</v>
      </c>
      <c r="E110" s="16">
        <v>14553159.190000001</v>
      </c>
      <c r="F110" s="16">
        <v>10809620.66</v>
      </c>
      <c r="G110" s="16">
        <v>5158578.76</v>
      </c>
      <c r="H110" s="16">
        <v>42984251.25</v>
      </c>
      <c r="I110" s="16">
        <v>23683813.350000001</v>
      </c>
      <c r="J110" s="16">
        <v>199338001.92000008</v>
      </c>
      <c r="K110" s="16">
        <v>45712000</v>
      </c>
      <c r="L110" s="16"/>
      <c r="M110" s="16"/>
      <c r="N110" s="18">
        <f t="shared" si="3"/>
        <v>1342795176.3131166</v>
      </c>
      <c r="P110" s="10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938058827.02999985</v>
      </c>
      <c r="C111" s="16">
        <v>0</v>
      </c>
      <c r="D111" s="16">
        <v>207261039.90285435</v>
      </c>
      <c r="E111" s="16">
        <v>14877353.880000001</v>
      </c>
      <c r="F111" s="16">
        <v>3765889.81</v>
      </c>
      <c r="G111" s="16">
        <v>2158876.5699999998</v>
      </c>
      <c r="H111" s="16">
        <v>52577638.710000001</v>
      </c>
      <c r="I111" s="16">
        <v>8251041.75</v>
      </c>
      <c r="J111" s="16">
        <v>155295481.93000004</v>
      </c>
      <c r="K111" s="16">
        <v>54574000</v>
      </c>
      <c r="L111" s="16"/>
      <c r="M111" s="16"/>
      <c r="N111" s="18">
        <f t="shared" si="3"/>
        <v>1436820149.5828543</v>
      </c>
      <c r="P111" s="10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1337351554.6700001</v>
      </c>
      <c r="C112" s="16">
        <v>0</v>
      </c>
      <c r="D112" s="16">
        <v>353467408.75163621</v>
      </c>
      <c r="E112" s="16">
        <v>21479441.510000002</v>
      </c>
      <c r="F112" s="16">
        <v>4577106</v>
      </c>
      <c r="G112" s="16">
        <v>2567926.87</v>
      </c>
      <c r="H112" s="16">
        <v>74957758.340000004</v>
      </c>
      <c r="I112" s="16">
        <v>10028411.51</v>
      </c>
      <c r="J112" s="16">
        <v>162903258.31</v>
      </c>
      <c r="K112" s="16">
        <v>78550000</v>
      </c>
      <c r="L112" s="16"/>
      <c r="M112" s="16"/>
      <c r="N112" s="18">
        <f t="shared" si="3"/>
        <v>2045882865.9616361</v>
      </c>
      <c r="P112" s="10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1076715370.8599997</v>
      </c>
      <c r="C113" s="16">
        <v>0</v>
      </c>
      <c r="D113" s="16">
        <v>491751275.28002024</v>
      </c>
      <c r="E113" s="16">
        <v>17043525.899999999</v>
      </c>
      <c r="F113" s="16">
        <v>6450158.0199999996</v>
      </c>
      <c r="G113" s="16">
        <v>3317852.42</v>
      </c>
      <c r="H113" s="16">
        <v>60349255.43</v>
      </c>
      <c r="I113" s="16">
        <v>14132257.15</v>
      </c>
      <c r="J113" s="16">
        <v>159089567.05999997</v>
      </c>
      <c r="K113" s="16">
        <v>62176000</v>
      </c>
      <c r="L113" s="16"/>
      <c r="M113" s="16"/>
      <c r="N113" s="18">
        <f t="shared" si="3"/>
        <v>1891025262.1200202</v>
      </c>
      <c r="P113" s="10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665476534.49000001</v>
      </c>
      <c r="C114" s="16">
        <v>0</v>
      </c>
      <c r="D114" s="16">
        <v>148947160.42664135</v>
      </c>
      <c r="E114" s="16">
        <v>10437346.67</v>
      </c>
      <c r="F114" s="16">
        <v>3904390.13</v>
      </c>
      <c r="G114" s="16">
        <v>1818001.33</v>
      </c>
      <c r="H114" s="16">
        <v>37299563.520000003</v>
      </c>
      <c r="I114" s="16">
        <v>8554495.1199999992</v>
      </c>
      <c r="J114" s="16">
        <v>121528955.78999995</v>
      </c>
      <c r="K114" s="16">
        <v>38052000.000000007</v>
      </c>
      <c r="L114" s="16"/>
      <c r="M114" s="16"/>
      <c r="N114" s="18">
        <f t="shared" si="3"/>
        <v>1036018447.4766413</v>
      </c>
      <c r="P114" s="10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1566744069.5299997</v>
      </c>
      <c r="C115" s="16">
        <v>0</v>
      </c>
      <c r="D115" s="16">
        <v>143184335.082715</v>
      </c>
      <c r="E115" s="16">
        <v>25615937.950000003</v>
      </c>
      <c r="F115" s="16">
        <v>4042890.46</v>
      </c>
      <c r="G115" s="16">
        <v>2908802.12</v>
      </c>
      <c r="H115" s="16">
        <v>87815072.209999993</v>
      </c>
      <c r="I115" s="16">
        <v>8857948.5</v>
      </c>
      <c r="J115" s="16">
        <v>162837310.39000008</v>
      </c>
      <c r="K115" s="16">
        <v>94428000</v>
      </c>
      <c r="L115" s="16"/>
      <c r="M115" s="16"/>
      <c r="N115" s="18">
        <f t="shared" si="3"/>
        <v>2096434366.2427149</v>
      </c>
      <c r="P115" s="10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1014840653.9299999</v>
      </c>
      <c r="C116" s="16">
        <v>0</v>
      </c>
      <c r="D116" s="16">
        <v>203582415.76354504</v>
      </c>
      <c r="E116" s="16">
        <v>16364020.329999998</v>
      </c>
      <c r="F116" s="16">
        <v>11159169.1</v>
      </c>
      <c r="G116" s="16">
        <v>4613178.3600000003</v>
      </c>
      <c r="H116" s="16">
        <v>56881214.390000001</v>
      </c>
      <c r="I116" s="16">
        <v>24449671.870000001</v>
      </c>
      <c r="J116" s="16">
        <v>220904755.92000011</v>
      </c>
      <c r="K116" s="16">
        <v>59480000</v>
      </c>
      <c r="L116" s="16"/>
      <c r="M116" s="16"/>
      <c r="N116" s="18">
        <f t="shared" si="3"/>
        <v>1612275079.6635447</v>
      </c>
      <c r="P116" s="10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556327900.20000005</v>
      </c>
      <c r="C117" s="16">
        <v>0</v>
      </c>
      <c r="D117" s="16">
        <v>43549465.016042925</v>
      </c>
      <c r="E117" s="16">
        <v>8750885.6999999993</v>
      </c>
      <c r="F117" s="16">
        <v>2347910.2799999998</v>
      </c>
      <c r="G117" s="16">
        <v>1227150.8899999999</v>
      </c>
      <c r="H117" s="16">
        <v>31181847.550000001</v>
      </c>
      <c r="I117" s="16">
        <v>5144257.2</v>
      </c>
      <c r="J117" s="16">
        <v>65106643.720000006</v>
      </c>
      <c r="K117" s="16">
        <v>32198000</v>
      </c>
      <c r="L117" s="16"/>
      <c r="M117" s="16"/>
      <c r="N117" s="18">
        <f t="shared" si="3"/>
        <v>745834060.55604303</v>
      </c>
      <c r="P117" s="10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921211750.6400001</v>
      </c>
      <c r="C118" s="16">
        <v>0</v>
      </c>
      <c r="D118" s="16">
        <v>405623611.11821699</v>
      </c>
      <c r="E118" s="16">
        <v>15375670.15</v>
      </c>
      <c r="F118" s="16">
        <v>11073430.810000001</v>
      </c>
      <c r="G118" s="16">
        <v>5113128.7300000004</v>
      </c>
      <c r="H118" s="16">
        <v>51633370.109999999</v>
      </c>
      <c r="I118" s="16">
        <v>24261819.780000001</v>
      </c>
      <c r="J118" s="16">
        <v>179459752.37000009</v>
      </c>
      <c r="K118" s="16">
        <v>55222000</v>
      </c>
      <c r="L118" s="16"/>
      <c r="M118" s="16"/>
      <c r="N118" s="18">
        <f t="shared" si="3"/>
        <v>1668974533.7082171</v>
      </c>
      <c r="P118" s="10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1201451805.1399999</v>
      </c>
      <c r="C119" s="16">
        <v>0</v>
      </c>
      <c r="D119" s="16">
        <v>186729651.15504041</v>
      </c>
      <c r="E119" s="16">
        <v>19888664.130000003</v>
      </c>
      <c r="F119" s="16">
        <v>8896997.1099999994</v>
      </c>
      <c r="G119" s="16">
        <v>3431477.5</v>
      </c>
      <c r="H119" s="16">
        <v>67340658.299999997</v>
      </c>
      <c r="I119" s="16">
        <v>19493266.760000002</v>
      </c>
      <c r="J119" s="16">
        <v>163355981.99000001</v>
      </c>
      <c r="K119" s="16">
        <v>72378000</v>
      </c>
      <c r="L119" s="16"/>
      <c r="M119" s="16"/>
      <c r="N119" s="18">
        <f t="shared" si="3"/>
        <v>1742966502.0850403</v>
      </c>
      <c r="P119" s="10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737119152.28999996</v>
      </c>
      <c r="C120" s="16">
        <v>0</v>
      </c>
      <c r="D120" s="16">
        <v>174155227.09622091</v>
      </c>
      <c r="E120" s="16">
        <v>12335247.699999999</v>
      </c>
      <c r="F120" s="16">
        <v>5995085.5300000003</v>
      </c>
      <c r="G120" s="16">
        <v>3476927.54</v>
      </c>
      <c r="H120" s="16">
        <v>41315089.579999998</v>
      </c>
      <c r="I120" s="16">
        <v>13135196.060000001</v>
      </c>
      <c r="J120" s="16">
        <v>169359619.6999999</v>
      </c>
      <c r="K120" s="16">
        <v>44756000</v>
      </c>
      <c r="L120" s="16"/>
      <c r="M120" s="16"/>
      <c r="N120" s="18">
        <f t="shared" si="3"/>
        <v>1201647545.4962208</v>
      </c>
      <c r="P120" s="10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949732659.75000012</v>
      </c>
      <c r="C121" s="16">
        <v>0</v>
      </c>
      <c r="D121" s="16">
        <v>227458885.45888636</v>
      </c>
      <c r="E121" s="16">
        <v>15598240.550000001</v>
      </c>
      <c r="F121" s="16">
        <v>2519386.87</v>
      </c>
      <c r="G121" s="16">
        <v>1158975.8500000001</v>
      </c>
      <c r="H121" s="16">
        <v>53231950.079999998</v>
      </c>
      <c r="I121" s="16">
        <v>5519961.3799999999</v>
      </c>
      <c r="J121" s="16">
        <v>94107689.550000012</v>
      </c>
      <c r="K121" s="16">
        <v>57424000</v>
      </c>
      <c r="L121" s="16"/>
      <c r="M121" s="16"/>
      <c r="N121" s="18">
        <f t="shared" si="3"/>
        <v>1406751749.4888861</v>
      </c>
      <c r="P121" s="10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3056025622.29</v>
      </c>
      <c r="C122" s="16">
        <v>0</v>
      </c>
      <c r="D122" s="16">
        <v>51984002.284999996</v>
      </c>
      <c r="E122" s="16">
        <v>58027141.270000003</v>
      </c>
      <c r="F122" s="16">
        <v>75845416.5</v>
      </c>
      <c r="G122" s="16">
        <v>32012897.581174828</v>
      </c>
      <c r="H122" s="16">
        <v>171288416.47</v>
      </c>
      <c r="I122" s="16">
        <v>166176847.81999999</v>
      </c>
      <c r="J122" s="16">
        <v>441453036.67999971</v>
      </c>
      <c r="K122" s="16">
        <v>178308000</v>
      </c>
      <c r="L122" s="16"/>
      <c r="M122" s="16"/>
      <c r="N122" s="18">
        <f t="shared" si="3"/>
        <v>4231121380.8961744</v>
      </c>
      <c r="P122" s="10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6081556334.6599998</v>
      </c>
      <c r="C123" s="16">
        <v>0</v>
      </c>
      <c r="D123" s="16">
        <v>76706613.429999992</v>
      </c>
      <c r="E123" s="16">
        <v>104287117.90000001</v>
      </c>
      <c r="F123" s="16">
        <v>105431724.19</v>
      </c>
      <c r="G123" s="16">
        <v>78126491.735571325</v>
      </c>
      <c r="H123" s="16">
        <v>340867611.38999999</v>
      </c>
      <c r="I123" s="16">
        <v>231000268.63</v>
      </c>
      <c r="J123" s="16">
        <v>576011757.87000024</v>
      </c>
      <c r="K123" s="16">
        <v>376186000</v>
      </c>
      <c r="L123" s="16"/>
      <c r="M123" s="16"/>
      <c r="N123" s="18">
        <f t="shared" si="3"/>
        <v>7970173919.8055706</v>
      </c>
      <c r="P123" s="10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6364383011.0500011</v>
      </c>
      <c r="C124" s="16">
        <v>0</v>
      </c>
      <c r="D124" s="16">
        <v>42824210.439999998</v>
      </c>
      <c r="E124" s="16">
        <v>116495276.48999999</v>
      </c>
      <c r="F124" s="16">
        <v>135011436.63</v>
      </c>
      <c r="G124" s="16">
        <v>0</v>
      </c>
      <c r="H124" s="16">
        <v>356719878.19999999</v>
      </c>
      <c r="I124" s="16">
        <v>295809239.27999997</v>
      </c>
      <c r="J124" s="16">
        <v>824075176.64000034</v>
      </c>
      <c r="K124" s="16">
        <v>362218000</v>
      </c>
      <c r="L124" s="16"/>
      <c r="M124" s="16"/>
      <c r="N124" s="18">
        <f t="shared" si="3"/>
        <v>8497536228.7300005</v>
      </c>
      <c r="P124" s="10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2007592918.9699998</v>
      </c>
      <c r="C125" s="16">
        <v>0</v>
      </c>
      <c r="D125" s="16">
        <v>149139145.280415</v>
      </c>
      <c r="E125" s="16">
        <v>33067260.170000002</v>
      </c>
      <c r="F125" s="16">
        <v>52498218.729999997</v>
      </c>
      <c r="G125" s="16">
        <v>21793290.890000001</v>
      </c>
      <c r="H125" s="16">
        <v>112524387.72</v>
      </c>
      <c r="I125" s="16">
        <v>115023279.01000001</v>
      </c>
      <c r="J125" s="16">
        <v>509247504.02999997</v>
      </c>
      <c r="K125" s="16">
        <v>115574000</v>
      </c>
      <c r="L125" s="16"/>
      <c r="M125" s="16"/>
      <c r="N125" s="18">
        <f t="shared" si="3"/>
        <v>3116460004.800415</v>
      </c>
      <c r="P125" s="10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2074538776.0500002</v>
      </c>
      <c r="C126" s="16">
        <v>0</v>
      </c>
      <c r="D126" s="16">
        <v>244684179.03373244</v>
      </c>
      <c r="E126" s="16">
        <v>34972752.530000001</v>
      </c>
      <c r="F126" s="16">
        <v>26282085.629999999</v>
      </c>
      <c r="G126" s="16">
        <v>8908206.5</v>
      </c>
      <c r="H126" s="16">
        <v>116276663.15000001</v>
      </c>
      <c r="I126" s="16">
        <v>57583890.310000002</v>
      </c>
      <c r="J126" s="16">
        <v>349417062.45999998</v>
      </c>
      <c r="K126" s="16">
        <v>125594000</v>
      </c>
      <c r="L126" s="16"/>
      <c r="M126" s="16"/>
      <c r="N126" s="18">
        <f t="shared" si="3"/>
        <v>3038257615.663733</v>
      </c>
      <c r="P126" s="10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1266389626.8599999</v>
      </c>
      <c r="C127" s="16">
        <v>0</v>
      </c>
      <c r="D127" s="16">
        <v>81019492.988336056</v>
      </c>
      <c r="E127" s="16">
        <v>21802468.57</v>
      </c>
      <c r="F127" s="16">
        <v>27897922.760000002</v>
      </c>
      <c r="G127" s="16">
        <v>12726009.279999999</v>
      </c>
      <c r="H127" s="16">
        <v>70980384.540000007</v>
      </c>
      <c r="I127" s="16">
        <v>61124179.68</v>
      </c>
      <c r="J127" s="16">
        <v>387424456.05000007</v>
      </c>
      <c r="K127" s="16">
        <v>73708000</v>
      </c>
      <c r="L127" s="16"/>
      <c r="M127" s="16"/>
      <c r="N127" s="18">
        <f t="shared" si="3"/>
        <v>2003072540.7283359</v>
      </c>
      <c r="P127" s="10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567457180.96000004</v>
      </c>
      <c r="C128" s="16">
        <v>0</v>
      </c>
      <c r="D128" s="16">
        <v>88872690.819322705</v>
      </c>
      <c r="E128" s="16">
        <v>8753740.0700000003</v>
      </c>
      <c r="F128" s="16">
        <v>2552363.14</v>
      </c>
      <c r="G128" s="16">
        <v>1522576.11</v>
      </c>
      <c r="H128" s="16">
        <v>31805637.109999999</v>
      </c>
      <c r="I128" s="16">
        <v>5592212.1799999997</v>
      </c>
      <c r="J128" s="16">
        <v>83259552.940000027</v>
      </c>
      <c r="K128" s="16">
        <v>31929999.999999996</v>
      </c>
      <c r="L128" s="16"/>
      <c r="M128" s="16"/>
      <c r="N128" s="18">
        <f t="shared" si="3"/>
        <v>821745953.32932281</v>
      </c>
      <c r="P128" s="10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3442793654.7600002</v>
      </c>
      <c r="C129" s="16">
        <v>0</v>
      </c>
      <c r="D129" s="16">
        <v>665959069.96343434</v>
      </c>
      <c r="E129" s="16">
        <v>51882549.859999999</v>
      </c>
      <c r="F129" s="16">
        <v>32461838.260000002</v>
      </c>
      <c r="G129" s="16">
        <v>18884488.77</v>
      </c>
      <c r="H129" s="16">
        <v>192966534.40000001</v>
      </c>
      <c r="I129" s="16">
        <v>71123690.870000005</v>
      </c>
      <c r="J129" s="16">
        <v>521686114.56999999</v>
      </c>
      <c r="K129" s="16">
        <v>210726000</v>
      </c>
      <c r="L129" s="16"/>
      <c r="M129" s="16"/>
      <c r="N129" s="18">
        <f t="shared" si="3"/>
        <v>5208483941.453434</v>
      </c>
      <c r="P129" s="10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955654662.35000002</v>
      </c>
      <c r="C130" s="16">
        <v>0</v>
      </c>
      <c r="D130" s="16">
        <v>224652917.92217705</v>
      </c>
      <c r="E130" s="16">
        <v>14983000.1</v>
      </c>
      <c r="F130" s="16">
        <v>4016509.44</v>
      </c>
      <c r="G130" s="16">
        <v>1408951.03</v>
      </c>
      <c r="H130" s="16">
        <v>53563874.799999997</v>
      </c>
      <c r="I130" s="16">
        <v>8800147.8499999996</v>
      </c>
      <c r="J130" s="16">
        <v>143383860.70000002</v>
      </c>
      <c r="K130" s="16">
        <v>55082000</v>
      </c>
      <c r="L130" s="16"/>
      <c r="M130" s="16"/>
      <c r="N130" s="18">
        <f t="shared" si="3"/>
        <v>1461545924.1921768</v>
      </c>
      <c r="P130" s="10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6090473373.1000004</v>
      </c>
      <c r="C131" s="16">
        <v>0</v>
      </c>
      <c r="D131" s="16">
        <v>148446285.815</v>
      </c>
      <c r="E131" s="16">
        <v>149746304.97999999</v>
      </c>
      <c r="F131" s="16">
        <v>177352964.80000001</v>
      </c>
      <c r="G131" s="16">
        <v>0</v>
      </c>
      <c r="H131" s="16">
        <v>341367406.08999997</v>
      </c>
      <c r="I131" s="16">
        <v>388579270.85000002</v>
      </c>
      <c r="J131" s="16">
        <v>1126569399.0900002</v>
      </c>
      <c r="K131" s="16">
        <v>357302000</v>
      </c>
      <c r="L131" s="16"/>
      <c r="M131" s="16"/>
      <c r="N131" s="18">
        <f t="shared" si="3"/>
        <v>8779837004.7250004</v>
      </c>
      <c r="P131" s="10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215336267.19999999</v>
      </c>
      <c r="C132" s="16">
        <v>0</v>
      </c>
      <c r="D132" s="16">
        <v>24478571.988982596</v>
      </c>
      <c r="E132" s="16">
        <v>3636228.93</v>
      </c>
      <c r="F132" s="16">
        <v>758454.16</v>
      </c>
      <c r="G132" s="16">
        <v>340875.25</v>
      </c>
      <c r="H132" s="16">
        <v>12069469.560000001</v>
      </c>
      <c r="I132" s="16">
        <v>1661768.48</v>
      </c>
      <c r="J132" s="16">
        <v>40454002.110000022</v>
      </c>
      <c r="K132" s="16">
        <v>13320000.000000002</v>
      </c>
      <c r="L132" s="16"/>
      <c r="M132" s="16"/>
      <c r="N132" s="18">
        <f t="shared" si="3"/>
        <v>312055637.67898262</v>
      </c>
      <c r="P132" s="10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1559835066.49</v>
      </c>
      <c r="C133" s="16">
        <v>0</v>
      </c>
      <c r="D133" s="16">
        <v>143585276.12354502</v>
      </c>
      <c r="E133" s="16">
        <v>17383397.949999999</v>
      </c>
      <c r="F133" s="16">
        <v>2743625.5</v>
      </c>
      <c r="G133" s="16">
        <v>1931626.41</v>
      </c>
      <c r="H133" s="16">
        <v>87427826.700000003</v>
      </c>
      <c r="I133" s="16">
        <v>6011266.8399999999</v>
      </c>
      <c r="J133" s="16">
        <v>149228272.78999999</v>
      </c>
      <c r="K133" s="16">
        <v>89628000</v>
      </c>
      <c r="L133" s="16"/>
      <c r="M133" s="16"/>
      <c r="N133" s="18">
        <f t="shared" si="3"/>
        <v>2057774358.803545</v>
      </c>
      <c r="P133" s="10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2584647828.3899999</v>
      </c>
      <c r="C134" s="16">
        <v>0</v>
      </c>
      <c r="D134" s="16">
        <v>459913002.93726403</v>
      </c>
      <c r="E134" s="16">
        <v>42178072.759999998</v>
      </c>
      <c r="F134" s="16">
        <v>12801387.25</v>
      </c>
      <c r="G134" s="16">
        <v>6408454.6699999999</v>
      </c>
      <c r="H134" s="16">
        <v>144867971.80000001</v>
      </c>
      <c r="I134" s="16">
        <v>28047761.879999999</v>
      </c>
      <c r="J134" s="16">
        <v>337009940.62000018</v>
      </c>
      <c r="K134" s="16">
        <v>154508000</v>
      </c>
      <c r="L134" s="16"/>
      <c r="M134" s="16"/>
      <c r="N134" s="18">
        <f t="shared" si="3"/>
        <v>3770382420.3072648</v>
      </c>
      <c r="P134" s="10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2187329101.6000004</v>
      </c>
      <c r="C135" s="16">
        <v>0</v>
      </c>
      <c r="D135" s="16">
        <v>576831415.81132722</v>
      </c>
      <c r="E135" s="16">
        <v>40271036.780000001</v>
      </c>
      <c r="F135" s="16">
        <v>19271331.039999999</v>
      </c>
      <c r="G135" s="16">
        <v>8090105.9000000004</v>
      </c>
      <c r="H135" s="16">
        <v>122598493.73999999</v>
      </c>
      <c r="I135" s="16">
        <v>42223369.509999998</v>
      </c>
      <c r="J135" s="16">
        <v>347442189.39999986</v>
      </c>
      <c r="K135" s="16">
        <v>128846000</v>
      </c>
      <c r="L135" s="16"/>
      <c r="M135" s="16"/>
      <c r="N135" s="18">
        <f t="shared" si="3"/>
        <v>3472903043.7813272</v>
      </c>
      <c r="P135" s="10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3403143464.8799996</v>
      </c>
      <c r="C136" s="16">
        <v>0</v>
      </c>
      <c r="D136" s="16">
        <v>48927431.630000003</v>
      </c>
      <c r="E136" s="16">
        <v>65137648.300000004</v>
      </c>
      <c r="F136" s="16">
        <v>114658483.98999999</v>
      </c>
      <c r="G136" s="16">
        <v>59373253.278716974</v>
      </c>
      <c r="H136" s="16">
        <v>190744164.86000001</v>
      </c>
      <c r="I136" s="16">
        <v>251216043.41999999</v>
      </c>
      <c r="J136" s="16">
        <v>789923063.12000012</v>
      </c>
      <c r="K136" s="16">
        <v>200472000</v>
      </c>
      <c r="L136" s="16"/>
      <c r="M136" s="16"/>
      <c r="N136" s="18">
        <f t="shared" ref="N136:N142" si="4">SUM(B136:M136)</f>
        <v>5123595553.4787169</v>
      </c>
      <c r="P136" s="10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535464753.05999994</v>
      </c>
      <c r="C137" s="16">
        <v>0</v>
      </c>
      <c r="D137" s="16">
        <v>78677810.64580594</v>
      </c>
      <c r="E137" s="16">
        <v>8563192.6400000006</v>
      </c>
      <c r="F137" s="16">
        <v>1371812.75</v>
      </c>
      <c r="G137" s="16">
        <v>1181700.8600000001</v>
      </c>
      <c r="H137" s="16">
        <v>30012480.579999998</v>
      </c>
      <c r="I137" s="16">
        <v>3005633.42</v>
      </c>
      <c r="J137" s="16">
        <v>77490000.540000007</v>
      </c>
      <c r="K137" s="16">
        <v>31380000</v>
      </c>
      <c r="L137" s="16"/>
      <c r="M137" s="16"/>
      <c r="N137" s="18">
        <f t="shared" si="4"/>
        <v>767147384.49580586</v>
      </c>
      <c r="P137" s="10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1573448865.5999999</v>
      </c>
      <c r="C138" s="16">
        <v>0</v>
      </c>
      <c r="D138" s="16">
        <v>385442689.36415035</v>
      </c>
      <c r="E138" s="16">
        <v>25651680.43</v>
      </c>
      <c r="F138" s="16">
        <v>11944004.279999999</v>
      </c>
      <c r="G138" s="16">
        <v>4613178.3600000003</v>
      </c>
      <c r="H138" s="16">
        <v>88190872.040000007</v>
      </c>
      <c r="I138" s="16">
        <v>26169240.989999998</v>
      </c>
      <c r="J138" s="16">
        <v>281559617.76000011</v>
      </c>
      <c r="K138" s="16">
        <v>93400000</v>
      </c>
      <c r="L138" s="16"/>
      <c r="M138" s="16"/>
      <c r="N138" s="18">
        <f t="shared" si="4"/>
        <v>2490420148.8241501</v>
      </c>
      <c r="P138" s="10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5191111769.9200001</v>
      </c>
      <c r="C139" s="16">
        <v>0</v>
      </c>
      <c r="D139" s="16">
        <v>76449840.060000002</v>
      </c>
      <c r="E139" s="16">
        <v>87397067.799999997</v>
      </c>
      <c r="F139" s="16">
        <v>61428192.109999999</v>
      </c>
      <c r="G139" s="16">
        <v>53957223.06808389</v>
      </c>
      <c r="H139" s="16">
        <v>290958723.69999999</v>
      </c>
      <c r="I139" s="16">
        <v>134588796.54999998</v>
      </c>
      <c r="J139" s="16">
        <v>502740642.04000002</v>
      </c>
      <c r="K139" s="16">
        <v>317830000</v>
      </c>
      <c r="L139" s="16"/>
      <c r="M139" s="16"/>
      <c r="N139" s="18">
        <f t="shared" si="4"/>
        <v>6716462255.2480841</v>
      </c>
      <c r="P139" s="10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1593495184.78</v>
      </c>
      <c r="C140" s="16">
        <v>0</v>
      </c>
      <c r="D140" s="16">
        <v>12765655.169999998</v>
      </c>
      <c r="E140" s="16">
        <v>26361270.850000001</v>
      </c>
      <c r="F140" s="16">
        <v>10130309.539999999</v>
      </c>
      <c r="G140" s="16">
        <v>4863153.55</v>
      </c>
      <c r="H140" s="16">
        <v>89314456.290000007</v>
      </c>
      <c r="I140" s="16">
        <v>22195446.800000001</v>
      </c>
      <c r="J140" s="16">
        <v>127078681.69999993</v>
      </c>
      <c r="K140" s="16">
        <v>95274000</v>
      </c>
      <c r="L140" s="16"/>
      <c r="M140" s="16"/>
      <c r="N140" s="18">
        <f t="shared" si="4"/>
        <v>1981478158.6799998</v>
      </c>
      <c r="P140" s="10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1805428002.28</v>
      </c>
      <c r="C141" s="16">
        <v>0</v>
      </c>
      <c r="D141" s="16">
        <v>166842170.02430707</v>
      </c>
      <c r="E141" s="16">
        <v>29987881.390000001</v>
      </c>
      <c r="F141" s="16">
        <v>14608486.74</v>
      </c>
      <c r="G141" s="16">
        <v>4249578.0999999996</v>
      </c>
      <c r="H141" s="16">
        <v>101193164.52</v>
      </c>
      <c r="I141" s="16">
        <v>32007105.91</v>
      </c>
      <c r="J141" s="16">
        <v>353418497.32000017</v>
      </c>
      <c r="K141" s="16">
        <v>107630000</v>
      </c>
      <c r="L141" s="16"/>
      <c r="M141" s="16"/>
      <c r="N141" s="18">
        <f t="shared" si="4"/>
        <v>2615364886.284307</v>
      </c>
      <c r="P141" s="10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1869480927.0599999</v>
      </c>
      <c r="C142" s="16">
        <v>0</v>
      </c>
      <c r="D142" s="16">
        <v>156629933.71074173</v>
      </c>
      <c r="E142" s="16">
        <v>35979954.5</v>
      </c>
      <c r="F142" s="16">
        <v>62806600.119999997</v>
      </c>
      <c r="G142" s="16">
        <v>17157387.510000002</v>
      </c>
      <c r="H142" s="16">
        <v>104783292.81</v>
      </c>
      <c r="I142" s="16">
        <v>137608880.16</v>
      </c>
      <c r="J142" s="16">
        <v>479076031.00000018</v>
      </c>
      <c r="K142" s="16">
        <v>109394000</v>
      </c>
      <c r="L142" s="16"/>
      <c r="M142" s="16"/>
      <c r="N142" s="18">
        <f t="shared" si="4"/>
        <v>2972917006.8707414</v>
      </c>
      <c r="P142" s="10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I143" si="5">SUM(B8:B142)</f>
        <v>340344977533.32996</v>
      </c>
      <c r="C143" s="23"/>
      <c r="D143" s="23">
        <f t="shared" si="5"/>
        <v>26747383499.657475</v>
      </c>
      <c r="E143" s="23">
        <f t="shared" si="5"/>
        <v>6103247100.6939983</v>
      </c>
      <c r="F143" s="23">
        <f t="shared" si="5"/>
        <v>6595253609.3799982</v>
      </c>
      <c r="G143" s="23">
        <f t="shared" si="5"/>
        <v>2272501656.960001</v>
      </c>
      <c r="H143" s="23">
        <f t="shared" si="5"/>
        <v>19076133338.200008</v>
      </c>
      <c r="I143" s="23">
        <f t="shared" si="5"/>
        <v>14450160680.100004</v>
      </c>
      <c r="J143" s="23">
        <f t="shared" ref="J143:N143" si="6">SUM(J8:J142)</f>
        <v>59412545473.030014</v>
      </c>
      <c r="K143" s="23">
        <f t="shared" si="6"/>
        <v>20000000000</v>
      </c>
      <c r="L143" s="23">
        <f t="shared" si="6"/>
        <v>0</v>
      </c>
      <c r="M143" s="23">
        <f t="shared" si="6"/>
        <v>0</v>
      </c>
      <c r="N143" s="23">
        <f t="shared" si="6"/>
        <v>495002202891.35101</v>
      </c>
      <c r="P143" s="10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8"/>
      <c r="E145" s="8"/>
      <c r="F145" s="4"/>
      <c r="I145" s="9"/>
      <c r="J145" s="8"/>
      <c r="N145" s="4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44AEAC"/>
  </sheetPr>
  <dimension ref="A1:Y275"/>
  <sheetViews>
    <sheetView showGridLines="0" zoomScale="80" zoomScaleNormal="80" workbookViewId="0">
      <selection activeCell="K7" sqref="K7"/>
    </sheetView>
  </sheetViews>
  <sheetFormatPr baseColWidth="10" defaultColWidth="12" defaultRowHeight="14.25" x14ac:dyDescent="0.2"/>
  <cols>
    <col min="1" max="1" width="41.83203125" style="11" customWidth="1"/>
    <col min="2" max="2" width="24.5" style="1" customWidth="1"/>
    <col min="3" max="3" width="22.33203125" style="1" hidden="1" customWidth="1"/>
    <col min="4" max="11" width="22.33203125" style="1" customWidth="1"/>
    <col min="12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169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170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152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178</v>
      </c>
      <c r="L7" s="19"/>
      <c r="M7" s="19"/>
      <c r="N7" s="20" t="s">
        <v>140</v>
      </c>
    </row>
    <row r="8" spans="1:25" ht="18" customHeight="1" x14ac:dyDescent="0.2">
      <c r="A8" s="17" t="s">
        <v>3</v>
      </c>
      <c r="B8" s="16">
        <v>1907842058.0200005</v>
      </c>
      <c r="C8" s="16">
        <v>0</v>
      </c>
      <c r="D8" s="16">
        <v>51746048.872448288</v>
      </c>
      <c r="E8" s="16">
        <v>24378733.399999999</v>
      </c>
      <c r="F8" s="16">
        <v>3912500.54</v>
      </c>
      <c r="G8" s="16">
        <v>1861653.84</v>
      </c>
      <c r="H8" s="16">
        <v>98547349.790000007</v>
      </c>
      <c r="I8" s="16">
        <v>13015054.310000001</v>
      </c>
      <c r="J8" s="16">
        <v>148013286.22999996</v>
      </c>
      <c r="K8" s="16">
        <v>21426234.451368552</v>
      </c>
      <c r="L8" s="16">
        <v>0</v>
      </c>
      <c r="M8" s="16">
        <v>0</v>
      </c>
      <c r="N8" s="18">
        <f t="shared" ref="N8:N39" si="0">SUM(B8:M8)</f>
        <v>2270742919.4538169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1000869278.1999999</v>
      </c>
      <c r="C9" s="16">
        <v>0</v>
      </c>
      <c r="D9" s="16">
        <v>35682375.455781646</v>
      </c>
      <c r="E9" s="16">
        <v>13264775.190000001</v>
      </c>
      <c r="F9" s="16">
        <v>2741180.5</v>
      </c>
      <c r="G9" s="16">
        <v>1377623.85</v>
      </c>
      <c r="H9" s="16">
        <v>51698731.789999999</v>
      </c>
      <c r="I9" s="16">
        <v>9118621.9000000004</v>
      </c>
      <c r="J9" s="16">
        <v>112246042.72999996</v>
      </c>
      <c r="K9" s="16">
        <v>11883749.388998166</v>
      </c>
      <c r="L9" s="16">
        <v>0</v>
      </c>
      <c r="M9" s="16">
        <v>0</v>
      </c>
      <c r="N9" s="18">
        <f t="shared" si="0"/>
        <v>1238882379.0047801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1061941524.46</v>
      </c>
      <c r="C10" s="16">
        <v>0</v>
      </c>
      <c r="D10" s="16">
        <v>17602413.581746887</v>
      </c>
      <c r="E10" s="16">
        <v>14124913.99</v>
      </c>
      <c r="F10" s="16">
        <v>1914938.15</v>
      </c>
      <c r="G10" s="16">
        <v>1377623.85</v>
      </c>
      <c r="H10" s="16">
        <v>54853347.240000002</v>
      </c>
      <c r="I10" s="16">
        <v>6370101.1200000001</v>
      </c>
      <c r="J10" s="16">
        <v>66340419.560000017</v>
      </c>
      <c r="K10" s="16">
        <v>12677530.864247331</v>
      </c>
      <c r="L10" s="16">
        <v>0</v>
      </c>
      <c r="M10" s="16">
        <v>0</v>
      </c>
      <c r="N10" s="18">
        <f t="shared" si="0"/>
        <v>1237202812.815994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8363819163.9799995</v>
      </c>
      <c r="C11" s="16">
        <v>0</v>
      </c>
      <c r="D11" s="16">
        <v>64397034.686710417</v>
      </c>
      <c r="E11" s="16">
        <v>137444295.66999999</v>
      </c>
      <c r="F11" s="16">
        <v>205539935.63</v>
      </c>
      <c r="G11" s="16">
        <v>114483823.90713777</v>
      </c>
      <c r="H11" s="16">
        <v>432023295.25999999</v>
      </c>
      <c r="I11" s="16">
        <v>683734964.90999997</v>
      </c>
      <c r="J11" s="16">
        <v>1248138235.7</v>
      </c>
      <c r="K11" s="16">
        <v>98257829.33709313</v>
      </c>
      <c r="L11" s="16">
        <v>0</v>
      </c>
      <c r="M11" s="16">
        <v>0</v>
      </c>
      <c r="N11" s="18">
        <f t="shared" si="0"/>
        <v>11347838579.08094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1095431414.28</v>
      </c>
      <c r="C12" s="16">
        <v>0</v>
      </c>
      <c r="D12" s="16">
        <v>24434257.756721366</v>
      </c>
      <c r="E12" s="16">
        <v>14471397.700000001</v>
      </c>
      <c r="F12" s="16">
        <v>7027920.2300000004</v>
      </c>
      <c r="G12" s="16">
        <v>3425443.07</v>
      </c>
      <c r="H12" s="16">
        <v>56583228.32</v>
      </c>
      <c r="I12" s="16">
        <v>23378594.449999999</v>
      </c>
      <c r="J12" s="16">
        <v>134578698.60000005</v>
      </c>
      <c r="K12" s="16">
        <v>12943428.107187942</v>
      </c>
      <c r="L12" s="16">
        <v>0</v>
      </c>
      <c r="M12" s="16">
        <v>0</v>
      </c>
      <c r="N12" s="18">
        <f t="shared" si="0"/>
        <v>1372274382.5139093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4985542130.3400002</v>
      </c>
      <c r="C13" s="16">
        <v>0</v>
      </c>
      <c r="D13" s="16">
        <v>53310768.762666538</v>
      </c>
      <c r="E13" s="16">
        <v>81705333.819999993</v>
      </c>
      <c r="F13" s="16">
        <v>99951023.319999993</v>
      </c>
      <c r="G13" s="16">
        <v>0</v>
      </c>
      <c r="H13" s="16">
        <v>257522346.86000001</v>
      </c>
      <c r="I13" s="16">
        <v>332490176.24000001</v>
      </c>
      <c r="J13" s="16">
        <v>928081045.9600004</v>
      </c>
      <c r="K13" s="16">
        <v>58350758.937959157</v>
      </c>
      <c r="L13" s="16">
        <v>0</v>
      </c>
      <c r="M13" s="16">
        <v>0</v>
      </c>
      <c r="N13" s="18">
        <f t="shared" si="0"/>
        <v>6796953584.2406244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1746133732.9300001</v>
      </c>
      <c r="C14" s="16">
        <v>0</v>
      </c>
      <c r="D14" s="16">
        <v>62384472.691958681</v>
      </c>
      <c r="E14" s="16">
        <v>23482649.629999999</v>
      </c>
      <c r="F14" s="16">
        <v>4549193.18</v>
      </c>
      <c r="G14" s="16">
        <v>2327067.31</v>
      </c>
      <c r="H14" s="16">
        <v>90194495.420000002</v>
      </c>
      <c r="I14" s="16">
        <v>15133032.09</v>
      </c>
      <c r="J14" s="16">
        <v>199236208.36999997</v>
      </c>
      <c r="K14" s="16">
        <v>21193574.363795519</v>
      </c>
      <c r="L14" s="16">
        <v>0</v>
      </c>
      <c r="M14" s="16">
        <v>0</v>
      </c>
      <c r="N14" s="18">
        <f t="shared" si="0"/>
        <v>2164634425.985754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2932591083.8500004</v>
      </c>
      <c r="C15" s="16">
        <v>0</v>
      </c>
      <c r="D15" s="16">
        <v>77655287.399949819</v>
      </c>
      <c r="E15" s="16">
        <v>39636845.600000001</v>
      </c>
      <c r="F15" s="16">
        <v>16947688.710000001</v>
      </c>
      <c r="G15" s="16">
        <v>8060961.1500000004</v>
      </c>
      <c r="H15" s="16">
        <v>151479562.00999999</v>
      </c>
      <c r="I15" s="16">
        <v>56377011.649999999</v>
      </c>
      <c r="J15" s="16">
        <v>317884175.70999998</v>
      </c>
      <c r="K15" s="16">
        <v>35862401.859917916</v>
      </c>
      <c r="L15" s="16">
        <v>0</v>
      </c>
      <c r="M15" s="16">
        <v>0</v>
      </c>
      <c r="N15" s="18">
        <f t="shared" si="0"/>
        <v>3636495017.9398689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5523626894.0299997</v>
      </c>
      <c r="C16" s="16">
        <v>0</v>
      </c>
      <c r="D16" s="16">
        <v>93197395.542865619</v>
      </c>
      <c r="E16" s="16">
        <v>90885538.569999993</v>
      </c>
      <c r="F16" s="16">
        <v>63207539.909999996</v>
      </c>
      <c r="G16" s="16">
        <v>35762370.359999999</v>
      </c>
      <c r="H16" s="16">
        <v>285316485.89999998</v>
      </c>
      <c r="I16" s="16">
        <v>210261840.12</v>
      </c>
      <c r="J16" s="16">
        <v>789665237.50999987</v>
      </c>
      <c r="K16" s="16">
        <v>65004055.391833343</v>
      </c>
      <c r="L16" s="16">
        <v>0</v>
      </c>
      <c r="M16" s="16">
        <v>0</v>
      </c>
      <c r="N16" s="18">
        <f t="shared" si="0"/>
        <v>7156927357.3346977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2132411530.29</v>
      </c>
      <c r="C17" s="16">
        <v>0</v>
      </c>
      <c r="D17" s="16">
        <v>72976092.298305348</v>
      </c>
      <c r="E17" s="16">
        <v>28148218.219999999</v>
      </c>
      <c r="F17" s="16">
        <v>12981725.42</v>
      </c>
      <c r="G17" s="16">
        <v>5212630.7699999996</v>
      </c>
      <c r="H17" s="16">
        <v>110147223.19</v>
      </c>
      <c r="I17" s="16">
        <v>43184111.880000003</v>
      </c>
      <c r="J17" s="16">
        <v>214044215.96000007</v>
      </c>
      <c r="K17" s="16">
        <v>25165903.211917434</v>
      </c>
      <c r="L17" s="16">
        <v>0</v>
      </c>
      <c r="M17" s="16">
        <v>0</v>
      </c>
      <c r="N17" s="18">
        <f t="shared" si="0"/>
        <v>2644271651.2402229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1202807073.4200001</v>
      </c>
      <c r="C18" s="16">
        <v>0</v>
      </c>
      <c r="D18" s="16">
        <v>26309576.958215408</v>
      </c>
      <c r="E18" s="16">
        <v>15829322.189999999</v>
      </c>
      <c r="F18" s="16">
        <v>8748448.4299999997</v>
      </c>
      <c r="G18" s="16">
        <v>4244570.7699999996</v>
      </c>
      <c r="H18" s="16">
        <v>62129592.390000001</v>
      </c>
      <c r="I18" s="16">
        <v>29101984.789999999</v>
      </c>
      <c r="J18" s="16">
        <v>174504770.95999995</v>
      </c>
      <c r="K18" s="16">
        <v>14130190.066489039</v>
      </c>
      <c r="L18" s="16">
        <v>0</v>
      </c>
      <c r="M18" s="16">
        <v>0</v>
      </c>
      <c r="N18" s="18">
        <f t="shared" si="0"/>
        <v>1537805529.9747047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1953147014.5599999</v>
      </c>
      <c r="C19" s="16">
        <v>0</v>
      </c>
      <c r="D19" s="16">
        <v>67120735.002937898</v>
      </c>
      <c r="E19" s="16">
        <v>25577913.839999996</v>
      </c>
      <c r="F19" s="16">
        <v>3533401.11</v>
      </c>
      <c r="G19" s="16">
        <v>2364300.38</v>
      </c>
      <c r="H19" s="16">
        <v>100887524.33</v>
      </c>
      <c r="I19" s="16">
        <v>11753968.300000001</v>
      </c>
      <c r="J19" s="16">
        <v>151824997.07999992</v>
      </c>
      <c r="K19" s="16">
        <v>22774294.370541707</v>
      </c>
      <c r="L19" s="16">
        <v>0</v>
      </c>
      <c r="M19" s="16">
        <v>0</v>
      </c>
      <c r="N19" s="18">
        <f t="shared" si="0"/>
        <v>2338984148.9734793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6981997188.8099995</v>
      </c>
      <c r="C20" s="16">
        <v>0</v>
      </c>
      <c r="D20" s="16">
        <v>41088552.228938431</v>
      </c>
      <c r="E20" s="16">
        <v>114276621.12</v>
      </c>
      <c r="F20" s="16">
        <v>112777220.77</v>
      </c>
      <c r="G20" s="16">
        <v>57887732.052400708</v>
      </c>
      <c r="H20" s="16">
        <v>360646897.52999997</v>
      </c>
      <c r="I20" s="16">
        <v>375156919.5</v>
      </c>
      <c r="J20" s="16">
        <v>863340284.45000041</v>
      </c>
      <c r="K20" s="16">
        <v>81572288.560873389</v>
      </c>
      <c r="L20" s="16">
        <v>0</v>
      </c>
      <c r="M20" s="16">
        <v>0</v>
      </c>
      <c r="N20" s="18">
        <f t="shared" si="0"/>
        <v>8988743705.0222111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3014838925.02</v>
      </c>
      <c r="C21" s="16">
        <v>0</v>
      </c>
      <c r="D21" s="16">
        <v>18767323.731186785</v>
      </c>
      <c r="E21" s="16">
        <v>39667753.359999999</v>
      </c>
      <c r="F21" s="16">
        <v>29987737.120000001</v>
      </c>
      <c r="G21" s="16">
        <v>8259867.7139958851</v>
      </c>
      <c r="H21" s="16">
        <v>155727978.03999999</v>
      </c>
      <c r="I21" s="16">
        <v>99755136.760000005</v>
      </c>
      <c r="J21" s="16">
        <v>283050105.24000013</v>
      </c>
      <c r="K21" s="16">
        <v>35405879.755310327</v>
      </c>
      <c r="L21" s="16">
        <v>0</v>
      </c>
      <c r="M21" s="16">
        <v>0</v>
      </c>
      <c r="N21" s="18">
        <f t="shared" si="0"/>
        <v>3685460706.7404938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2525553715.0099993</v>
      </c>
      <c r="C22" s="16">
        <v>0</v>
      </c>
      <c r="D22" s="16">
        <v>50937938.491569698</v>
      </c>
      <c r="E22" s="16">
        <v>32732179.560000002</v>
      </c>
      <c r="F22" s="16">
        <v>7139705.96</v>
      </c>
      <c r="G22" s="16">
        <v>4002555.77</v>
      </c>
      <c r="H22" s="16">
        <v>130454522.86</v>
      </c>
      <c r="I22" s="16">
        <v>23750453.140000001</v>
      </c>
      <c r="J22" s="16">
        <v>212555090</v>
      </c>
      <c r="K22" s="16">
        <v>28986220.952402342</v>
      </c>
      <c r="L22" s="16">
        <v>0</v>
      </c>
      <c r="M22" s="16">
        <v>0</v>
      </c>
      <c r="N22" s="18">
        <f t="shared" si="0"/>
        <v>3016112381.7439709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2296449586.8299999</v>
      </c>
      <c r="C23" s="16">
        <v>0</v>
      </c>
      <c r="D23" s="16">
        <v>42303617.359691814</v>
      </c>
      <c r="E23" s="16">
        <v>30490308.259999998</v>
      </c>
      <c r="F23" s="16">
        <v>6843230.7699999996</v>
      </c>
      <c r="G23" s="16">
        <v>4933382.6900000004</v>
      </c>
      <c r="H23" s="16">
        <v>118620417.12</v>
      </c>
      <c r="I23" s="16">
        <v>22764219.210000001</v>
      </c>
      <c r="J23" s="16">
        <v>175455817.29999998</v>
      </c>
      <c r="K23" s="16">
        <v>27340981.761707336</v>
      </c>
      <c r="L23" s="16">
        <v>0</v>
      </c>
      <c r="M23" s="16">
        <v>0</v>
      </c>
      <c r="N23" s="18">
        <f t="shared" si="0"/>
        <v>2725201561.3013992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749175075.30000007</v>
      </c>
      <c r="C24" s="16">
        <v>0</v>
      </c>
      <c r="D24" s="16">
        <v>25179659.00360807</v>
      </c>
      <c r="E24" s="16">
        <v>9766494.8300000001</v>
      </c>
      <c r="F24" s="16">
        <v>7115404.7199999997</v>
      </c>
      <c r="G24" s="16">
        <v>1280675.2780095991</v>
      </c>
      <c r="H24" s="16">
        <v>38697762.159999996</v>
      </c>
      <c r="I24" s="16">
        <v>23669614.300000001</v>
      </c>
      <c r="J24" s="16">
        <v>148462469.80000001</v>
      </c>
      <c r="K24" s="16">
        <v>8675386.3326339182</v>
      </c>
      <c r="L24" s="16">
        <v>0</v>
      </c>
      <c r="M24" s="16">
        <v>0</v>
      </c>
      <c r="N24" s="18">
        <f t="shared" si="0"/>
        <v>1012022541.7242517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3264036987.0599999</v>
      </c>
      <c r="C25" s="16">
        <v>0</v>
      </c>
      <c r="D25" s="16">
        <v>24026079.843927182</v>
      </c>
      <c r="E25" s="16">
        <v>39810482.230000004</v>
      </c>
      <c r="F25" s="16">
        <v>31557597.59</v>
      </c>
      <c r="G25" s="16">
        <v>11747035.76</v>
      </c>
      <c r="H25" s="16">
        <v>168600012.43000001</v>
      </c>
      <c r="I25" s="16">
        <v>104977326.25</v>
      </c>
      <c r="J25" s="16">
        <v>343200257.37</v>
      </c>
      <c r="K25" s="16">
        <v>34089101.864718422</v>
      </c>
      <c r="L25" s="16">
        <v>0</v>
      </c>
      <c r="M25" s="16">
        <v>0</v>
      </c>
      <c r="N25" s="18">
        <f t="shared" si="0"/>
        <v>4022044880.3986459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1264794571.3299999</v>
      </c>
      <c r="C26" s="16">
        <v>0</v>
      </c>
      <c r="D26" s="16">
        <v>24313495.307959206</v>
      </c>
      <c r="E26" s="16">
        <v>16446109.09</v>
      </c>
      <c r="F26" s="16">
        <v>14352315.67</v>
      </c>
      <c r="G26" s="16">
        <v>7502465</v>
      </c>
      <c r="H26" s="16">
        <v>65331484.079999998</v>
      </c>
      <c r="I26" s="16">
        <v>47743422.829999998</v>
      </c>
      <c r="J26" s="16">
        <v>253240306.03999996</v>
      </c>
      <c r="K26" s="16">
        <v>14589156.079579538</v>
      </c>
      <c r="L26" s="16">
        <v>0</v>
      </c>
      <c r="M26" s="16">
        <v>0</v>
      </c>
      <c r="N26" s="18">
        <f t="shared" si="0"/>
        <v>1708313325.4275386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626198535.83000004</v>
      </c>
      <c r="C27" s="16">
        <v>0</v>
      </c>
      <c r="D27" s="16">
        <v>11554071.486639008</v>
      </c>
      <c r="E27" s="16">
        <v>7719541.3900000006</v>
      </c>
      <c r="F27" s="16">
        <v>3567422.86</v>
      </c>
      <c r="G27" s="16">
        <v>1694105</v>
      </c>
      <c r="H27" s="16">
        <v>32345552.870000001</v>
      </c>
      <c r="I27" s="16">
        <v>11867142.689999999</v>
      </c>
      <c r="J27" s="16">
        <v>67861529.170000002</v>
      </c>
      <c r="K27" s="16">
        <v>6650852.5453912737</v>
      </c>
      <c r="L27" s="16">
        <v>0</v>
      </c>
      <c r="M27" s="16">
        <v>0</v>
      </c>
      <c r="N27" s="18">
        <f t="shared" si="0"/>
        <v>769458753.84203041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2182750370.8800001</v>
      </c>
      <c r="C28" s="16">
        <v>0</v>
      </c>
      <c r="D28" s="16">
        <v>45706993.395599298</v>
      </c>
      <c r="E28" s="16">
        <v>28614584.539999999</v>
      </c>
      <c r="F28" s="16">
        <v>4913711.8600000003</v>
      </c>
      <c r="G28" s="16">
        <v>2457383.08</v>
      </c>
      <c r="H28" s="16">
        <v>112747417.12</v>
      </c>
      <c r="I28" s="16">
        <v>16345614.789999999</v>
      </c>
      <c r="J28" s="16">
        <v>138745993.66999999</v>
      </c>
      <c r="K28" s="16">
        <v>25491920.603537627</v>
      </c>
      <c r="L28" s="16">
        <v>0</v>
      </c>
      <c r="M28" s="16">
        <v>0</v>
      </c>
      <c r="N28" s="18">
        <f t="shared" si="0"/>
        <v>2557773989.939137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1219115193.6700001</v>
      </c>
      <c r="C29" s="16">
        <v>0</v>
      </c>
      <c r="D29" s="16">
        <v>43381169.365929343</v>
      </c>
      <c r="E29" s="16">
        <v>16224577.66</v>
      </c>
      <c r="F29" s="16">
        <v>3066817.19</v>
      </c>
      <c r="G29" s="16">
        <v>1489323.08</v>
      </c>
      <c r="H29" s="16">
        <v>62971969.259999998</v>
      </c>
      <c r="I29" s="16">
        <v>10201862.449999999</v>
      </c>
      <c r="J29" s="16">
        <v>123690582.34000005</v>
      </c>
      <c r="K29" s="16">
        <v>14566183.339840181</v>
      </c>
      <c r="L29" s="16">
        <v>0</v>
      </c>
      <c r="M29" s="16">
        <v>0</v>
      </c>
      <c r="N29" s="18">
        <f t="shared" si="0"/>
        <v>1494707678.3557699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445519540.23000002</v>
      </c>
      <c r="C30" s="16">
        <v>0</v>
      </c>
      <c r="D30" s="16">
        <v>18446249.921146356</v>
      </c>
      <c r="E30" s="16">
        <v>5770740.6699999999</v>
      </c>
      <c r="F30" s="16">
        <v>2648835.77</v>
      </c>
      <c r="G30" s="16">
        <v>1861653.84</v>
      </c>
      <c r="H30" s="16">
        <v>23012790.710000001</v>
      </c>
      <c r="I30" s="16">
        <v>8811434.2799999993</v>
      </c>
      <c r="J30" s="16">
        <v>96089073.170000002</v>
      </c>
      <c r="K30" s="16">
        <v>5108746.2926750639</v>
      </c>
      <c r="L30" s="16">
        <v>0</v>
      </c>
      <c r="M30" s="16">
        <v>0</v>
      </c>
      <c r="N30" s="18">
        <f t="shared" si="0"/>
        <v>607269064.88382125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732991762.07999992</v>
      </c>
      <c r="C31" s="16">
        <v>0</v>
      </c>
      <c r="D31" s="16">
        <v>18762781.628041565</v>
      </c>
      <c r="E31" s="16">
        <v>9781807.3399999999</v>
      </c>
      <c r="F31" s="16">
        <v>3164022.18</v>
      </c>
      <c r="G31" s="16">
        <v>1023909.61</v>
      </c>
      <c r="H31" s="16">
        <v>37861832.049999997</v>
      </c>
      <c r="I31" s="16">
        <v>10525217.83</v>
      </c>
      <c r="J31" s="16">
        <v>68100936.970000029</v>
      </c>
      <c r="K31" s="16">
        <v>8794160.2849033419</v>
      </c>
      <c r="L31" s="16">
        <v>0</v>
      </c>
      <c r="M31" s="16">
        <v>0</v>
      </c>
      <c r="N31" s="18">
        <f t="shared" si="0"/>
        <v>891006429.97294474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3962249186.6700001</v>
      </c>
      <c r="C32" s="16">
        <v>0</v>
      </c>
      <c r="D32" s="16">
        <v>49671188.549398839</v>
      </c>
      <c r="E32" s="16">
        <v>47483674.539999999</v>
      </c>
      <c r="F32" s="16">
        <v>9331678.3200000003</v>
      </c>
      <c r="G32" s="16">
        <v>5603578.0700000003</v>
      </c>
      <c r="H32" s="16">
        <v>204665346.86000001</v>
      </c>
      <c r="I32" s="16">
        <v>31042117.109999999</v>
      </c>
      <c r="J32" s="16">
        <v>213083762.71999994</v>
      </c>
      <c r="K32" s="16">
        <v>40240908.297899477</v>
      </c>
      <c r="L32" s="16">
        <v>0</v>
      </c>
      <c r="M32" s="16">
        <v>0</v>
      </c>
      <c r="N32" s="18">
        <f t="shared" si="0"/>
        <v>4563371441.1372986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2061271515.9099998</v>
      </c>
      <c r="C33" s="16">
        <v>0</v>
      </c>
      <c r="D33" s="16">
        <v>49279280.624589078</v>
      </c>
      <c r="E33" s="16">
        <v>27855661.329999998</v>
      </c>
      <c r="F33" s="16">
        <v>6848091.0199999996</v>
      </c>
      <c r="G33" s="16">
        <v>4505202.3</v>
      </c>
      <c r="H33" s="16">
        <v>106472568.97</v>
      </c>
      <c r="I33" s="16">
        <v>22780386.98</v>
      </c>
      <c r="J33" s="16">
        <v>203254402.65999991</v>
      </c>
      <c r="K33" s="16">
        <v>25201095.494071335</v>
      </c>
      <c r="L33" s="16">
        <v>0</v>
      </c>
      <c r="M33" s="16">
        <v>0</v>
      </c>
      <c r="N33" s="18">
        <f t="shared" si="0"/>
        <v>2507468205.28866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2883333904.2800002</v>
      </c>
      <c r="C34" s="16">
        <v>0</v>
      </c>
      <c r="D34" s="16">
        <v>39115527.258482538</v>
      </c>
      <c r="E34" s="16">
        <v>47968096.760000005</v>
      </c>
      <c r="F34" s="16">
        <v>9958650.4600000009</v>
      </c>
      <c r="G34" s="16">
        <v>7521081.5300000003</v>
      </c>
      <c r="H34" s="16">
        <v>148935240.02000001</v>
      </c>
      <c r="I34" s="16">
        <v>33127759.350000001</v>
      </c>
      <c r="J34" s="16">
        <v>255673423.05999988</v>
      </c>
      <c r="K34" s="16">
        <v>34448845.193402775</v>
      </c>
      <c r="L34" s="16">
        <v>0</v>
      </c>
      <c r="M34" s="16">
        <v>0</v>
      </c>
      <c r="N34" s="18">
        <f t="shared" si="0"/>
        <v>3460082527.9118857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1458911125.1900001</v>
      </c>
      <c r="C35" s="16">
        <v>0</v>
      </c>
      <c r="D35" s="16">
        <v>19950278.826721363</v>
      </c>
      <c r="E35" s="16">
        <v>19096287.100000001</v>
      </c>
      <c r="F35" s="16">
        <v>6225979.1299999999</v>
      </c>
      <c r="G35" s="16">
        <v>2922796.54</v>
      </c>
      <c r="H35" s="16">
        <v>75358347.599999994</v>
      </c>
      <c r="I35" s="16">
        <v>20710912.510000002</v>
      </c>
      <c r="J35" s="16">
        <v>91889794.439999983</v>
      </c>
      <c r="K35" s="16">
        <v>16998849.843728796</v>
      </c>
      <c r="L35" s="16">
        <v>0</v>
      </c>
      <c r="M35" s="16">
        <v>0</v>
      </c>
      <c r="N35" s="18">
        <f t="shared" si="0"/>
        <v>1712064371.1804502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1656064650.4000001</v>
      </c>
      <c r="C36" s="16">
        <v>0</v>
      </c>
      <c r="D36" s="16">
        <v>32378137.558081057</v>
      </c>
      <c r="E36" s="16">
        <v>21830506.82</v>
      </c>
      <c r="F36" s="16">
        <v>3917360.79</v>
      </c>
      <c r="G36" s="16">
        <v>1694105</v>
      </c>
      <c r="H36" s="16">
        <v>85542082.319999993</v>
      </c>
      <c r="I36" s="16">
        <v>13031222.08</v>
      </c>
      <c r="J36" s="16">
        <v>92541698.679999992</v>
      </c>
      <c r="K36" s="16">
        <v>19503856.038711544</v>
      </c>
      <c r="L36" s="16">
        <v>0</v>
      </c>
      <c r="M36" s="16">
        <v>0</v>
      </c>
      <c r="N36" s="18">
        <f t="shared" si="0"/>
        <v>1926503619.6867926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1691343441.1599998</v>
      </c>
      <c r="C37" s="16">
        <v>0</v>
      </c>
      <c r="D37" s="16">
        <v>45833134.837616667</v>
      </c>
      <c r="E37" s="16">
        <v>22582728.129999999</v>
      </c>
      <c r="F37" s="16">
        <v>7266072.4400000004</v>
      </c>
      <c r="G37" s="16">
        <v>2587698.84</v>
      </c>
      <c r="H37" s="16">
        <v>87364366.989999995</v>
      </c>
      <c r="I37" s="16">
        <v>24170815.149999999</v>
      </c>
      <c r="J37" s="16">
        <v>157079739.68000001</v>
      </c>
      <c r="K37" s="16">
        <v>20307901.929588936</v>
      </c>
      <c r="L37" s="16">
        <v>0</v>
      </c>
      <c r="M37" s="16">
        <v>0</v>
      </c>
      <c r="N37" s="18">
        <f t="shared" si="0"/>
        <v>2058535899.1572058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1431120756.99</v>
      </c>
      <c r="C38" s="16">
        <v>0</v>
      </c>
      <c r="D38" s="16">
        <v>7548505.4173048809</v>
      </c>
      <c r="E38" s="16">
        <v>19076601.359999999</v>
      </c>
      <c r="F38" s="16">
        <v>6493292.8300000001</v>
      </c>
      <c r="G38" s="16">
        <v>7167367.2999999998</v>
      </c>
      <c r="H38" s="16">
        <v>73922868.640000001</v>
      </c>
      <c r="I38" s="16">
        <v>21600139.82</v>
      </c>
      <c r="J38" s="16">
        <v>259214683.14000002</v>
      </c>
      <c r="K38" s="16">
        <v>17140596.535737574</v>
      </c>
      <c r="L38" s="16">
        <v>0</v>
      </c>
      <c r="M38" s="16">
        <v>0</v>
      </c>
      <c r="N38" s="18">
        <f t="shared" si="0"/>
        <v>1843284812.0330424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2789853429.2600002</v>
      </c>
      <c r="C39" s="16">
        <v>0</v>
      </c>
      <c r="D39" s="16">
        <v>53441872.990186572</v>
      </c>
      <c r="E39" s="16">
        <v>36843580.769999996</v>
      </c>
      <c r="F39" s="16">
        <v>8272144.0099999998</v>
      </c>
      <c r="G39" s="16">
        <v>4467969.2300000004</v>
      </c>
      <c r="H39" s="16">
        <v>144106615.44</v>
      </c>
      <c r="I39" s="16">
        <v>27517543.399999999</v>
      </c>
      <c r="J39" s="16">
        <v>225040983.12000006</v>
      </c>
      <c r="K39" s="16">
        <v>32947796.603199452</v>
      </c>
      <c r="L39" s="16">
        <v>0</v>
      </c>
      <c r="M39" s="16">
        <v>0</v>
      </c>
      <c r="N39" s="18">
        <f t="shared" si="0"/>
        <v>3322491934.8233867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1825094988.6500001</v>
      </c>
      <c r="C40" s="16">
        <v>0</v>
      </c>
      <c r="D40" s="16">
        <v>50058956.50704471</v>
      </c>
      <c r="E40" s="16">
        <v>24165330.57</v>
      </c>
      <c r="F40" s="16">
        <v>4417966.45</v>
      </c>
      <c r="G40" s="16">
        <v>1954736.54</v>
      </c>
      <c r="H40" s="16">
        <v>94273146.719999999</v>
      </c>
      <c r="I40" s="16">
        <v>14696502.32</v>
      </c>
      <c r="J40" s="16">
        <v>123979376.83</v>
      </c>
      <c r="K40" s="16">
        <v>21638854.489381719</v>
      </c>
      <c r="L40" s="16">
        <v>0</v>
      </c>
      <c r="M40" s="16">
        <v>0</v>
      </c>
      <c r="N40" s="18">
        <f t="shared" ref="N40:N71" si="1">SUM(B40:M40)</f>
        <v>2160279859.0764265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2040387137.4300003</v>
      </c>
      <c r="C41" s="16">
        <v>0</v>
      </c>
      <c r="D41" s="16">
        <v>20141124.113681909</v>
      </c>
      <c r="E41" s="16">
        <v>25849005.770000003</v>
      </c>
      <c r="F41" s="16">
        <v>7479923.4000000004</v>
      </c>
      <c r="G41" s="16">
        <v>3406826.54</v>
      </c>
      <c r="H41" s="16">
        <v>105393810.83</v>
      </c>
      <c r="I41" s="16">
        <v>24882197</v>
      </c>
      <c r="J41" s="16">
        <v>127219142.84999999</v>
      </c>
      <c r="K41" s="16">
        <v>22612507.628973063</v>
      </c>
      <c r="L41" s="16">
        <v>0</v>
      </c>
      <c r="M41" s="16">
        <v>0</v>
      </c>
      <c r="N41" s="18">
        <f t="shared" si="1"/>
        <v>2377371675.562655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1166571428.6800001</v>
      </c>
      <c r="C42" s="16">
        <v>0</v>
      </c>
      <c r="D42" s="16">
        <v>11096777.813941469</v>
      </c>
      <c r="E42" s="16">
        <v>15361448.02</v>
      </c>
      <c r="F42" s="16">
        <v>20315841.350000001</v>
      </c>
      <c r="G42" s="16">
        <v>0</v>
      </c>
      <c r="H42" s="16">
        <v>60257882.539999999</v>
      </c>
      <c r="I42" s="16">
        <v>67581275.790000007</v>
      </c>
      <c r="J42" s="16">
        <v>193860115.61999997</v>
      </c>
      <c r="K42" s="16">
        <v>13716680.751180666</v>
      </c>
      <c r="L42" s="16">
        <v>0</v>
      </c>
      <c r="M42" s="16">
        <v>0</v>
      </c>
      <c r="N42" s="18">
        <f t="shared" si="1"/>
        <v>1548761450.5651219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7430595302.8400002</v>
      </c>
      <c r="C43" s="16">
        <v>0</v>
      </c>
      <c r="D43" s="16">
        <v>32086021.820776798</v>
      </c>
      <c r="E43" s="16">
        <v>94671305.819999993</v>
      </c>
      <c r="F43" s="16">
        <v>84480850.340000004</v>
      </c>
      <c r="G43" s="16">
        <v>27217379.210000001</v>
      </c>
      <c r="H43" s="16">
        <v>383818708.36000001</v>
      </c>
      <c r="I43" s="16">
        <v>281028166.47000003</v>
      </c>
      <c r="J43" s="16">
        <v>634893501.75</v>
      </c>
      <c r="K43" s="16">
        <v>83073825.932773307</v>
      </c>
      <c r="L43" s="16">
        <v>0</v>
      </c>
      <c r="M43" s="16">
        <v>0</v>
      </c>
      <c r="N43" s="18">
        <f t="shared" si="1"/>
        <v>9051865062.5435505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6525494628.7099991</v>
      </c>
      <c r="C44" s="16">
        <v>0</v>
      </c>
      <c r="D44" s="16">
        <v>46389721.733597137</v>
      </c>
      <c r="E44" s="16">
        <v>85103535.960000008</v>
      </c>
      <c r="F44" s="16">
        <v>106298508.68000001</v>
      </c>
      <c r="G44" s="16">
        <v>48844130.951563895</v>
      </c>
      <c r="H44" s="16">
        <v>337066791.79000002</v>
      </c>
      <c r="I44" s="16">
        <v>353605282.99000001</v>
      </c>
      <c r="J44" s="16">
        <v>821013549.17999971</v>
      </c>
      <c r="K44" s="16">
        <v>75612084.55275248</v>
      </c>
      <c r="L44" s="16">
        <v>0</v>
      </c>
      <c r="M44" s="16">
        <v>0</v>
      </c>
      <c r="N44" s="18">
        <f t="shared" si="1"/>
        <v>8399428234.5479116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1901435296.48</v>
      </c>
      <c r="C45" s="16">
        <v>0</v>
      </c>
      <c r="D45" s="16">
        <v>19307246.724214375</v>
      </c>
      <c r="E45" s="16">
        <v>23449830</v>
      </c>
      <c r="F45" s="16">
        <v>7917345.8300000001</v>
      </c>
      <c r="G45" s="16">
        <v>4263187.3</v>
      </c>
      <c r="H45" s="16">
        <v>98216416.019999996</v>
      </c>
      <c r="I45" s="16">
        <v>26337296.239999998</v>
      </c>
      <c r="J45" s="16">
        <v>122908391.30000004</v>
      </c>
      <c r="K45" s="16">
        <v>20208190.463486206</v>
      </c>
      <c r="L45" s="16">
        <v>0</v>
      </c>
      <c r="M45" s="16">
        <v>0</v>
      </c>
      <c r="N45" s="18">
        <f t="shared" si="1"/>
        <v>2224043200.3577003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2585336288.5</v>
      </c>
      <c r="C46" s="16">
        <v>0</v>
      </c>
      <c r="D46" s="16">
        <v>23812680.433597133</v>
      </c>
      <c r="E46" s="16">
        <v>44114808.579999998</v>
      </c>
      <c r="F46" s="16">
        <v>62449341.039999999</v>
      </c>
      <c r="G46" s="16">
        <v>0</v>
      </c>
      <c r="H46" s="16">
        <v>133542521.77</v>
      </c>
      <c r="I46" s="16">
        <v>207739668.09999999</v>
      </c>
      <c r="J46" s="16">
        <v>520010680.78999984</v>
      </c>
      <c r="K46" s="16">
        <v>31973654.681911532</v>
      </c>
      <c r="L46" s="16">
        <v>0</v>
      </c>
      <c r="M46" s="16">
        <v>0</v>
      </c>
      <c r="N46" s="18">
        <f t="shared" si="1"/>
        <v>3608979643.8955083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8278867170.1900005</v>
      </c>
      <c r="C47" s="16">
        <v>0</v>
      </c>
      <c r="D47" s="16">
        <v>39865057.923340932</v>
      </c>
      <c r="E47" s="16">
        <v>136016845.50999999</v>
      </c>
      <c r="F47" s="16">
        <v>194682139.08000001</v>
      </c>
      <c r="G47" s="16">
        <v>53526369.037170537</v>
      </c>
      <c r="H47" s="16">
        <v>427635199.39999998</v>
      </c>
      <c r="I47" s="16">
        <v>647616168.23000002</v>
      </c>
      <c r="J47" s="16">
        <v>1251203031.8399999</v>
      </c>
      <c r="K47" s="16">
        <v>97228943.865788028</v>
      </c>
      <c r="L47" s="16">
        <v>0</v>
      </c>
      <c r="M47" s="16">
        <v>0</v>
      </c>
      <c r="N47" s="18">
        <f t="shared" si="1"/>
        <v>11126640925.0763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760657323.21999991</v>
      </c>
      <c r="C48" s="16">
        <v>0</v>
      </c>
      <c r="D48" s="16">
        <v>21596788.243109945</v>
      </c>
      <c r="E48" s="16">
        <v>10358691.050000001</v>
      </c>
      <c r="F48" s="16">
        <v>1691366.69</v>
      </c>
      <c r="G48" s="16">
        <v>1154225.3799999999</v>
      </c>
      <c r="H48" s="16">
        <v>39290864.25</v>
      </c>
      <c r="I48" s="16">
        <v>5626383.7300000004</v>
      </c>
      <c r="J48" s="16">
        <v>67128725</v>
      </c>
      <c r="K48" s="16">
        <v>9407092.5324171707</v>
      </c>
      <c r="L48" s="16">
        <v>0</v>
      </c>
      <c r="M48" s="16">
        <v>0</v>
      </c>
      <c r="N48" s="18">
        <f t="shared" si="1"/>
        <v>916911460.09552705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1572859955.21</v>
      </c>
      <c r="C49" s="16">
        <v>0</v>
      </c>
      <c r="D49" s="16">
        <v>37778654.39054855</v>
      </c>
      <c r="E49" s="16">
        <v>16724061.624</v>
      </c>
      <c r="F49" s="16">
        <v>9987811.9499999993</v>
      </c>
      <c r="G49" s="16">
        <v>4840300</v>
      </c>
      <c r="H49" s="16">
        <v>81244241.120000005</v>
      </c>
      <c r="I49" s="16">
        <v>33224765.969999999</v>
      </c>
      <c r="J49" s="16">
        <v>157994098.72999996</v>
      </c>
      <c r="K49" s="16">
        <v>17763304.417183045</v>
      </c>
      <c r="L49" s="16">
        <v>0</v>
      </c>
      <c r="M49" s="16">
        <v>0</v>
      </c>
      <c r="N49" s="18">
        <f t="shared" si="1"/>
        <v>1932417193.4117317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954482660.6400001</v>
      </c>
      <c r="C50" s="16">
        <v>0</v>
      </c>
      <c r="D50" s="16">
        <v>23720150.257970136</v>
      </c>
      <c r="E50" s="16">
        <v>12797683.67</v>
      </c>
      <c r="F50" s="16">
        <v>2799503.49</v>
      </c>
      <c r="G50" s="16">
        <v>1340390.77</v>
      </c>
      <c r="H50" s="16">
        <v>49302685.329999998</v>
      </c>
      <c r="I50" s="16">
        <v>9312635.1300000008</v>
      </c>
      <c r="J50" s="16">
        <v>114174004.47999997</v>
      </c>
      <c r="K50" s="16">
        <v>11532804.130852289</v>
      </c>
      <c r="L50" s="16">
        <v>0</v>
      </c>
      <c r="M50" s="16">
        <v>0</v>
      </c>
      <c r="N50" s="18">
        <f t="shared" si="1"/>
        <v>1179462517.8988223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943666050.29000008</v>
      </c>
      <c r="C51" s="16">
        <v>0</v>
      </c>
      <c r="D51" s="16">
        <v>24763282.01100108</v>
      </c>
      <c r="E51" s="16">
        <v>12558872.43</v>
      </c>
      <c r="F51" s="16">
        <v>3489658.87</v>
      </c>
      <c r="G51" s="16">
        <v>1731338.08</v>
      </c>
      <c r="H51" s="16">
        <v>48743965.969999999</v>
      </c>
      <c r="I51" s="16">
        <v>11608458.380000001</v>
      </c>
      <c r="J51" s="16">
        <v>79209647.209999979</v>
      </c>
      <c r="K51" s="16">
        <v>11275216.176753575</v>
      </c>
      <c r="L51" s="16">
        <v>0</v>
      </c>
      <c r="M51" s="16">
        <v>0</v>
      </c>
      <c r="N51" s="18">
        <f t="shared" si="1"/>
        <v>1137046489.4177547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1120392822.8299999</v>
      </c>
      <c r="C52" s="16">
        <v>0</v>
      </c>
      <c r="D52" s="16">
        <v>23710132.653938115</v>
      </c>
      <c r="E52" s="16">
        <v>14844352.939999999</v>
      </c>
      <c r="F52" s="16">
        <v>3212624.67</v>
      </c>
      <c r="G52" s="16">
        <v>2215368.08</v>
      </c>
      <c r="H52" s="16">
        <v>57872580.68</v>
      </c>
      <c r="I52" s="16">
        <v>10686895.529999999</v>
      </c>
      <c r="J52" s="16">
        <v>101532425.90000001</v>
      </c>
      <c r="K52" s="16">
        <v>13296817.273816727</v>
      </c>
      <c r="L52" s="16">
        <v>0</v>
      </c>
      <c r="M52" s="16">
        <v>0</v>
      </c>
      <c r="N52" s="18">
        <f t="shared" si="1"/>
        <v>1347764020.557755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387692277.11000001</v>
      </c>
      <c r="C53" s="16">
        <v>0</v>
      </c>
      <c r="D53" s="16">
        <v>26730521.879774168</v>
      </c>
      <c r="E53" s="16">
        <v>5114423.4799999995</v>
      </c>
      <c r="F53" s="16">
        <v>558928.64000000001</v>
      </c>
      <c r="G53" s="16">
        <v>335097.69</v>
      </c>
      <c r="H53" s="16">
        <v>20025791.07</v>
      </c>
      <c r="I53" s="16">
        <v>1859293.47</v>
      </c>
      <c r="J53" s="16">
        <v>53696489.189999975</v>
      </c>
      <c r="K53" s="16">
        <v>4571086.4264348634</v>
      </c>
      <c r="L53" s="16">
        <v>0</v>
      </c>
      <c r="M53" s="16">
        <v>0</v>
      </c>
      <c r="N53" s="18">
        <f t="shared" si="1"/>
        <v>500583908.95620906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1497351694.3399999</v>
      </c>
      <c r="C54" s="16">
        <v>0</v>
      </c>
      <c r="D54" s="16">
        <v>36586566.46299839</v>
      </c>
      <c r="E54" s="16">
        <v>19821485.399999999</v>
      </c>
      <c r="F54" s="16">
        <v>1919798.4</v>
      </c>
      <c r="G54" s="16">
        <v>1228691.54</v>
      </c>
      <c r="H54" s="16">
        <v>77343950.230000004</v>
      </c>
      <c r="I54" s="16">
        <v>6386268.8799999999</v>
      </c>
      <c r="J54" s="16">
        <v>122847716.32000001</v>
      </c>
      <c r="K54" s="16">
        <v>17747174.621195838</v>
      </c>
      <c r="L54" s="16">
        <v>0</v>
      </c>
      <c r="M54" s="16">
        <v>0</v>
      </c>
      <c r="N54" s="18">
        <f t="shared" si="1"/>
        <v>1781233346.1941943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684275413.08000016</v>
      </c>
      <c r="C55" s="16">
        <v>0</v>
      </c>
      <c r="D55" s="16">
        <v>14867128.122947965</v>
      </c>
      <c r="E55" s="16">
        <v>9022153.6400000006</v>
      </c>
      <c r="F55" s="16">
        <v>3543121.61</v>
      </c>
      <c r="G55" s="16">
        <v>1917503.46</v>
      </c>
      <c r="H55" s="16">
        <v>35345446.030000001</v>
      </c>
      <c r="I55" s="16">
        <v>11786303.84</v>
      </c>
      <c r="J55" s="16">
        <v>86729592.209999993</v>
      </c>
      <c r="K55" s="16">
        <v>8061476.5217269249</v>
      </c>
      <c r="L55" s="16">
        <v>0</v>
      </c>
      <c r="M55" s="16">
        <v>0</v>
      </c>
      <c r="N55" s="18">
        <f t="shared" si="1"/>
        <v>855548138.51467514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530055510.51999998</v>
      </c>
      <c r="C56" s="16">
        <v>0</v>
      </c>
      <c r="D56" s="16">
        <v>11921271.410178998</v>
      </c>
      <c r="E56" s="16">
        <v>6917654.9300000006</v>
      </c>
      <c r="F56" s="16">
        <v>1001211.32</v>
      </c>
      <c r="G56" s="16">
        <v>521263.08</v>
      </c>
      <c r="H56" s="16">
        <v>27379397.359999999</v>
      </c>
      <c r="I56" s="16">
        <v>3330560.48</v>
      </c>
      <c r="J56" s="16">
        <v>71595632.430000007</v>
      </c>
      <c r="K56" s="16">
        <v>6148384.9613049785</v>
      </c>
      <c r="L56" s="16">
        <v>0</v>
      </c>
      <c r="M56" s="16">
        <v>0</v>
      </c>
      <c r="N56" s="18">
        <f t="shared" si="1"/>
        <v>658870886.49148405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1237420226.6199999</v>
      </c>
      <c r="C57" s="16">
        <v>0</v>
      </c>
      <c r="D57" s="16">
        <v>24469374.150423337</v>
      </c>
      <c r="E57" s="16">
        <v>16851661.340000004</v>
      </c>
      <c r="F57" s="16">
        <v>5142143.57</v>
      </c>
      <c r="G57" s="16">
        <v>2401533.46</v>
      </c>
      <c r="H57" s="16">
        <v>63917494.329999998</v>
      </c>
      <c r="I57" s="16">
        <v>17105499.949999999</v>
      </c>
      <c r="J57" s="16">
        <v>152864469.03000003</v>
      </c>
      <c r="K57" s="16">
        <v>15303754.919982418</v>
      </c>
      <c r="L57" s="16">
        <v>0</v>
      </c>
      <c r="M57" s="16">
        <v>0</v>
      </c>
      <c r="N57" s="18">
        <f t="shared" si="1"/>
        <v>1535476157.3704054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1251731434.1800001</v>
      </c>
      <c r="C58" s="16">
        <v>0</v>
      </c>
      <c r="D58" s="16">
        <v>15151532.268289257</v>
      </c>
      <c r="E58" s="16">
        <v>16222163.52</v>
      </c>
      <c r="F58" s="16">
        <v>2993913.46</v>
      </c>
      <c r="G58" s="16">
        <v>1507939.61</v>
      </c>
      <c r="H58" s="16">
        <v>64656723.009999998</v>
      </c>
      <c r="I58" s="16">
        <v>9959345.9100000001</v>
      </c>
      <c r="J58" s="16">
        <v>86508057.549999967</v>
      </c>
      <c r="K58" s="16">
        <v>14365294.062544977</v>
      </c>
      <c r="L58" s="16">
        <v>0</v>
      </c>
      <c r="M58" s="16">
        <v>0</v>
      </c>
      <c r="N58" s="18">
        <f t="shared" si="1"/>
        <v>1463096403.5708344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1228558926.5599999</v>
      </c>
      <c r="C59" s="16">
        <v>0</v>
      </c>
      <c r="D59" s="16">
        <v>25927349.197133772</v>
      </c>
      <c r="E59" s="16">
        <v>16300823.560000001</v>
      </c>
      <c r="F59" s="16">
        <v>2916149.47</v>
      </c>
      <c r="G59" s="16">
        <v>1377623.85</v>
      </c>
      <c r="H59" s="16">
        <v>63459774.240000002</v>
      </c>
      <c r="I59" s="16">
        <v>9700661.5999999996</v>
      </c>
      <c r="J59" s="16">
        <v>96756969.319999963</v>
      </c>
      <c r="K59" s="16">
        <v>14612128.819318889</v>
      </c>
      <c r="L59" s="16">
        <v>0</v>
      </c>
      <c r="M59" s="16">
        <v>0</v>
      </c>
      <c r="N59" s="18">
        <f t="shared" si="1"/>
        <v>1459610406.6164522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8875528039.3500004</v>
      </c>
      <c r="C60" s="16">
        <v>0</v>
      </c>
      <c r="D60" s="16">
        <v>220566949.1111716</v>
      </c>
      <c r="E60" s="16">
        <v>180819388.35000002</v>
      </c>
      <c r="F60" s="16">
        <v>160412522.47999999</v>
      </c>
      <c r="G60" s="16">
        <v>70873161.819999993</v>
      </c>
      <c r="H60" s="16">
        <v>458455018.63999999</v>
      </c>
      <c r="I60" s="16">
        <v>533617226.69</v>
      </c>
      <c r="J60" s="16">
        <v>1617346929.0299997</v>
      </c>
      <c r="K60" s="16">
        <v>104408658.206881</v>
      </c>
      <c r="L60" s="16">
        <v>0</v>
      </c>
      <c r="M60" s="16">
        <v>0</v>
      </c>
      <c r="N60" s="18">
        <f t="shared" si="1"/>
        <v>12222027893.678053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2226932064.04</v>
      </c>
      <c r="C61" s="16">
        <v>0</v>
      </c>
      <c r="D61" s="16">
        <v>20162125.265648857</v>
      </c>
      <c r="E61" s="16">
        <v>28092837.91</v>
      </c>
      <c r="F61" s="16">
        <v>28636587.859999999</v>
      </c>
      <c r="G61" s="16">
        <v>6936494.8142480273</v>
      </c>
      <c r="H61" s="16">
        <v>115029570.8</v>
      </c>
      <c r="I61" s="16">
        <v>95260496.879999995</v>
      </c>
      <c r="J61" s="16">
        <v>400465757.28000003</v>
      </c>
      <c r="K61" s="16">
        <v>24518267.463946279</v>
      </c>
      <c r="L61" s="16">
        <v>0</v>
      </c>
      <c r="M61" s="16">
        <v>0</v>
      </c>
      <c r="N61" s="18">
        <f t="shared" si="1"/>
        <v>2946034202.3138437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9333528283.960001</v>
      </c>
      <c r="C62" s="16">
        <v>0</v>
      </c>
      <c r="D62" s="16">
        <v>82151721.190000013</v>
      </c>
      <c r="E62" s="16">
        <v>157844335.94999999</v>
      </c>
      <c r="F62" s="16">
        <v>128402921.72</v>
      </c>
      <c r="G62" s="16">
        <v>0</v>
      </c>
      <c r="H62" s="16">
        <v>482112485.52999997</v>
      </c>
      <c r="I62" s="16">
        <v>427136297.88999999</v>
      </c>
      <c r="J62" s="16">
        <v>796354545.46999991</v>
      </c>
      <c r="K62" s="16">
        <v>114037168.84784983</v>
      </c>
      <c r="L62" s="16">
        <v>0</v>
      </c>
      <c r="M62" s="16">
        <v>0</v>
      </c>
      <c r="N62" s="18">
        <f t="shared" si="1"/>
        <v>11521567760.55785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1648617830.1899998</v>
      </c>
      <c r="C63" s="16">
        <v>0</v>
      </c>
      <c r="D63" s="16">
        <v>35836364.761319578</v>
      </c>
      <c r="E63" s="16">
        <v>22224869.740000002</v>
      </c>
      <c r="F63" s="16">
        <v>4524891.93</v>
      </c>
      <c r="G63" s="16">
        <v>2401533.46</v>
      </c>
      <c r="H63" s="16">
        <v>85157425.540000007</v>
      </c>
      <c r="I63" s="16">
        <v>15052193.25</v>
      </c>
      <c r="J63" s="16">
        <v>106864305.67</v>
      </c>
      <c r="K63" s="16">
        <v>20082573.567464635</v>
      </c>
      <c r="L63" s="16">
        <v>0</v>
      </c>
      <c r="M63" s="16">
        <v>0</v>
      </c>
      <c r="N63" s="18">
        <f t="shared" si="1"/>
        <v>1940761988.1087842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2758402054.48</v>
      </c>
      <c r="C64" s="16">
        <v>0</v>
      </c>
      <c r="D64" s="16">
        <v>80844762.589306414</v>
      </c>
      <c r="E64" s="16">
        <v>35482105.939999998</v>
      </c>
      <c r="F64" s="16">
        <v>8281864.5099999998</v>
      </c>
      <c r="G64" s="16">
        <v>3741924.23</v>
      </c>
      <c r="H64" s="16">
        <v>142482031.46000001</v>
      </c>
      <c r="I64" s="16">
        <v>27549878.940000001</v>
      </c>
      <c r="J64" s="16">
        <v>226537634.60000005</v>
      </c>
      <c r="K64" s="16">
        <v>31296203.250448875</v>
      </c>
      <c r="L64" s="16">
        <v>0</v>
      </c>
      <c r="M64" s="16">
        <v>0</v>
      </c>
      <c r="N64" s="18">
        <f t="shared" si="1"/>
        <v>3314618459.9997554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1415436671.9599998</v>
      </c>
      <c r="C65" s="16">
        <v>0</v>
      </c>
      <c r="D65" s="16">
        <v>31628600.992403638</v>
      </c>
      <c r="E65" s="16">
        <v>18465589.219999999</v>
      </c>
      <c r="F65" s="16">
        <v>1803152.42</v>
      </c>
      <c r="G65" s="16">
        <v>1247308.08</v>
      </c>
      <c r="H65" s="16">
        <v>73112725.569999993</v>
      </c>
      <c r="I65" s="16">
        <v>5998242.4199999999</v>
      </c>
      <c r="J65" s="16">
        <v>135120540.99000001</v>
      </c>
      <c r="K65" s="16">
        <v>16408890.33595432</v>
      </c>
      <c r="L65" s="16">
        <v>0</v>
      </c>
      <c r="M65" s="16">
        <v>0</v>
      </c>
      <c r="N65" s="18">
        <f t="shared" si="1"/>
        <v>1699221721.988358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751296795</v>
      </c>
      <c r="C66" s="16">
        <v>0</v>
      </c>
      <c r="D66" s="16">
        <v>14978474.39312423</v>
      </c>
      <c r="E66" s="16">
        <v>10135431.209999999</v>
      </c>
      <c r="F66" s="16">
        <v>1764270.43</v>
      </c>
      <c r="G66" s="16">
        <v>1135608.8500000001</v>
      </c>
      <c r="H66" s="16">
        <v>38807357.119999997</v>
      </c>
      <c r="I66" s="16">
        <v>5868900.2699999996</v>
      </c>
      <c r="J66" s="16">
        <v>59980355.970000029</v>
      </c>
      <c r="K66" s="16">
        <v>9161724.1207330078</v>
      </c>
      <c r="L66" s="16">
        <v>0</v>
      </c>
      <c r="M66" s="16">
        <v>0</v>
      </c>
      <c r="N66" s="18">
        <f t="shared" si="1"/>
        <v>893128917.36385727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3463312232.04</v>
      </c>
      <c r="C67" s="16">
        <v>0</v>
      </c>
      <c r="D67" s="16">
        <v>26077724.260000002</v>
      </c>
      <c r="E67" s="16">
        <v>57335901.649999999</v>
      </c>
      <c r="F67" s="16">
        <v>47406869.990000002</v>
      </c>
      <c r="G67" s="16">
        <v>22998013.677483648</v>
      </c>
      <c r="H67" s="16">
        <v>178893342.11000001</v>
      </c>
      <c r="I67" s="16">
        <v>157700422.03</v>
      </c>
      <c r="J67" s="16">
        <v>386459695.24999994</v>
      </c>
      <c r="K67" s="16">
        <v>41102141.64727696</v>
      </c>
      <c r="L67" s="16">
        <v>0</v>
      </c>
      <c r="M67" s="16">
        <v>0</v>
      </c>
      <c r="N67" s="18">
        <f t="shared" si="1"/>
        <v>4381286342.6547604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2185080102.3399997</v>
      </c>
      <c r="C68" s="16">
        <v>0</v>
      </c>
      <c r="D68" s="16">
        <v>38150725.279999994</v>
      </c>
      <c r="E68" s="16">
        <v>28786492.060000002</v>
      </c>
      <c r="F68" s="16">
        <v>41807863</v>
      </c>
      <c r="G68" s="16">
        <v>22082769.11033842</v>
      </c>
      <c r="H68" s="16">
        <v>112867756.67</v>
      </c>
      <c r="I68" s="16">
        <v>139075151.77000001</v>
      </c>
      <c r="J68" s="16">
        <v>324564547.0199998</v>
      </c>
      <c r="K68" s="16">
        <v>25710406.021909781</v>
      </c>
      <c r="L68" s="16">
        <v>0</v>
      </c>
      <c r="M68" s="16">
        <v>0</v>
      </c>
      <c r="N68" s="18">
        <f t="shared" si="1"/>
        <v>2918125813.2722478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7809176665.9500008</v>
      </c>
      <c r="C69" s="16">
        <v>0</v>
      </c>
      <c r="D69" s="16">
        <v>31391815.636710439</v>
      </c>
      <c r="E69" s="16">
        <v>102837518.87</v>
      </c>
      <c r="F69" s="16">
        <v>123387144.62</v>
      </c>
      <c r="G69" s="16">
        <v>25641241.498539887</v>
      </c>
      <c r="H69" s="16">
        <v>403373885.81999999</v>
      </c>
      <c r="I69" s="16">
        <v>410451159.94999999</v>
      </c>
      <c r="J69" s="16">
        <v>757914777.15999973</v>
      </c>
      <c r="K69" s="16">
        <v>91829372.463646665</v>
      </c>
      <c r="L69" s="16">
        <v>0</v>
      </c>
      <c r="M69" s="16">
        <v>0</v>
      </c>
      <c r="N69" s="18">
        <f t="shared" si="1"/>
        <v>9756003581.9688969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1623323602.8399999</v>
      </c>
      <c r="C70" s="16">
        <v>0</v>
      </c>
      <c r="D70" s="16">
        <v>59259362.049060278</v>
      </c>
      <c r="E70" s="16">
        <v>21365638.050000001</v>
      </c>
      <c r="F70" s="16">
        <v>27402084.579999998</v>
      </c>
      <c r="G70" s="16">
        <v>11020990.76</v>
      </c>
      <c r="H70" s="16">
        <v>83850881.810000002</v>
      </c>
      <c r="I70" s="16">
        <v>91153883.480000004</v>
      </c>
      <c r="J70" s="16">
        <v>322160121.35000014</v>
      </c>
      <c r="K70" s="16">
        <v>19073239.364022803</v>
      </c>
      <c r="L70" s="16">
        <v>0</v>
      </c>
      <c r="M70" s="16">
        <v>0</v>
      </c>
      <c r="N70" s="18">
        <f t="shared" si="1"/>
        <v>2258609804.283083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6332667747.6200008</v>
      </c>
      <c r="C71" s="16">
        <v>0</v>
      </c>
      <c r="D71" s="16">
        <v>21624071.460000005</v>
      </c>
      <c r="E71" s="16">
        <v>74717521.219999999</v>
      </c>
      <c r="F71" s="16">
        <v>17253884.399999999</v>
      </c>
      <c r="G71" s="16">
        <v>10704509.609999999</v>
      </c>
      <c r="H71" s="16">
        <v>327106544.81</v>
      </c>
      <c r="I71" s="16">
        <v>57395581.119999997</v>
      </c>
      <c r="J71" s="16">
        <v>269248174.81999993</v>
      </c>
      <c r="K71" s="16">
        <v>74310458.894754604</v>
      </c>
      <c r="L71" s="16">
        <v>0</v>
      </c>
      <c r="M71" s="16">
        <v>0</v>
      </c>
      <c r="N71" s="18">
        <f t="shared" si="1"/>
        <v>7185028493.9547548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27387075032.110001</v>
      </c>
      <c r="C72" s="16">
        <v>0</v>
      </c>
      <c r="D72" s="16">
        <v>157147292.8577292</v>
      </c>
      <c r="E72" s="16">
        <v>456325195.94</v>
      </c>
      <c r="F72" s="16">
        <v>502039434.39999998</v>
      </c>
      <c r="G72" s="16">
        <v>0</v>
      </c>
      <c r="H72" s="16">
        <v>1414647324.5</v>
      </c>
      <c r="I72" s="16">
        <v>1670049732.8099999</v>
      </c>
      <c r="J72" s="16">
        <v>3944748240.5499988</v>
      </c>
      <c r="K72" s="16">
        <v>327901645.06051755</v>
      </c>
      <c r="L72" s="16">
        <v>0</v>
      </c>
      <c r="M72" s="16">
        <v>0</v>
      </c>
      <c r="N72" s="18">
        <f t="shared" ref="N72:N103" si="2">SUM(B72:M72)</f>
        <v>35859933898.228249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13187236945.839998</v>
      </c>
      <c r="C73" s="16">
        <v>0</v>
      </c>
      <c r="D73" s="16">
        <v>258644108.76698339</v>
      </c>
      <c r="E73" s="16">
        <v>213532668.73000002</v>
      </c>
      <c r="F73" s="16">
        <v>186341951.58000001</v>
      </c>
      <c r="G73" s="16">
        <v>100136436.86194405</v>
      </c>
      <c r="H73" s="16">
        <v>681171298.54999995</v>
      </c>
      <c r="I73" s="16">
        <v>619872276.05999994</v>
      </c>
      <c r="J73" s="16">
        <v>1718305058.4599996</v>
      </c>
      <c r="K73" s="16">
        <v>151802397.85256147</v>
      </c>
      <c r="L73" s="16">
        <v>0</v>
      </c>
      <c r="M73" s="16">
        <v>0</v>
      </c>
      <c r="N73" s="18">
        <f t="shared" si="2"/>
        <v>17117043142.701485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6815254979.6599998</v>
      </c>
      <c r="C74" s="16">
        <v>0</v>
      </c>
      <c r="D74" s="16">
        <v>87933789.50999999</v>
      </c>
      <c r="E74" s="16">
        <v>110949419.05</v>
      </c>
      <c r="F74" s="16">
        <v>135289894.72999999</v>
      </c>
      <c r="G74" s="16">
        <v>149582260.94821325</v>
      </c>
      <c r="H74" s="16">
        <v>352034023.76999998</v>
      </c>
      <c r="I74" s="16">
        <v>450046027.02999997</v>
      </c>
      <c r="J74" s="16">
        <v>921782127.95000041</v>
      </c>
      <c r="K74" s="16">
        <v>79036489.119005978</v>
      </c>
      <c r="L74" s="16">
        <v>0</v>
      </c>
      <c r="M74" s="16">
        <v>0</v>
      </c>
      <c r="N74" s="18">
        <f t="shared" si="2"/>
        <v>9101909011.7672176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1185750110.9200001</v>
      </c>
      <c r="C75" s="16">
        <v>0</v>
      </c>
      <c r="D75" s="16">
        <v>30820427.316572737</v>
      </c>
      <c r="E75" s="16">
        <v>15206021.18</v>
      </c>
      <c r="F75" s="16">
        <v>2459286.0499999998</v>
      </c>
      <c r="G75" s="16">
        <v>1228691.54</v>
      </c>
      <c r="H75" s="16">
        <v>61248534.939999998</v>
      </c>
      <c r="I75" s="16">
        <v>8180891.2800000003</v>
      </c>
      <c r="J75" s="16">
        <v>103880409.63000005</v>
      </c>
      <c r="K75" s="16">
        <v>13390174.577863891</v>
      </c>
      <c r="L75" s="16">
        <v>0</v>
      </c>
      <c r="M75" s="16">
        <v>0</v>
      </c>
      <c r="N75" s="18">
        <f t="shared" si="2"/>
        <v>1422164547.4344368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1149306454.4199998</v>
      </c>
      <c r="C76" s="16">
        <v>0</v>
      </c>
      <c r="D76" s="16">
        <v>39807616.66838254</v>
      </c>
      <c r="E76" s="16">
        <v>15141806</v>
      </c>
      <c r="F76" s="16">
        <v>4427686.95</v>
      </c>
      <c r="G76" s="16">
        <v>2885563.46</v>
      </c>
      <c r="H76" s="16">
        <v>59366080.5</v>
      </c>
      <c r="I76" s="16">
        <v>14728837.859999999</v>
      </c>
      <c r="J76" s="16">
        <v>154256703.13999996</v>
      </c>
      <c r="K76" s="16">
        <v>13524100.762727356</v>
      </c>
      <c r="L76" s="16">
        <v>0</v>
      </c>
      <c r="M76" s="16">
        <v>0</v>
      </c>
      <c r="N76" s="18">
        <f t="shared" si="2"/>
        <v>1453444849.7611096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1225729966.9399998</v>
      </c>
      <c r="C77" s="16">
        <v>0</v>
      </c>
      <c r="D77" s="16">
        <v>23404069.469675109</v>
      </c>
      <c r="E77" s="16">
        <v>16692384.66</v>
      </c>
      <c r="F77" s="16">
        <v>5200466.5599999996</v>
      </c>
      <c r="G77" s="16">
        <v>1843037.31</v>
      </c>
      <c r="H77" s="16">
        <v>63313647.640000001</v>
      </c>
      <c r="I77" s="16">
        <v>17299513.18</v>
      </c>
      <c r="J77" s="16">
        <v>104815464.04000002</v>
      </c>
      <c r="K77" s="16">
        <v>15159075.537794149</v>
      </c>
      <c r="L77" s="16">
        <v>0</v>
      </c>
      <c r="M77" s="16">
        <v>0</v>
      </c>
      <c r="N77" s="18">
        <f t="shared" si="2"/>
        <v>1473457625.3374691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483502483.58999997</v>
      </c>
      <c r="C78" s="16">
        <v>0</v>
      </c>
      <c r="D78" s="16">
        <v>11966462.465130677</v>
      </c>
      <c r="E78" s="16">
        <v>6471131.4800000004</v>
      </c>
      <c r="F78" s="16">
        <v>1846894.66</v>
      </c>
      <c r="G78" s="16">
        <v>651578.85</v>
      </c>
      <c r="H78" s="16">
        <v>24974755.210000001</v>
      </c>
      <c r="I78" s="16">
        <v>6143752.3399999999</v>
      </c>
      <c r="J78" s="16">
        <v>44949873.199999996</v>
      </c>
      <c r="K78" s="16">
        <v>5826277.8232574388</v>
      </c>
      <c r="L78" s="16">
        <v>0</v>
      </c>
      <c r="M78" s="16">
        <v>0</v>
      </c>
      <c r="N78" s="18">
        <f t="shared" si="2"/>
        <v>586333209.61838818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2510368858.1300006</v>
      </c>
      <c r="C79" s="16">
        <v>0</v>
      </c>
      <c r="D79" s="16">
        <v>86283104.669004947</v>
      </c>
      <c r="E79" s="16">
        <v>33399307.939999998</v>
      </c>
      <c r="F79" s="16">
        <v>9283075.8300000001</v>
      </c>
      <c r="G79" s="16">
        <v>4840300</v>
      </c>
      <c r="H79" s="16">
        <v>129670166.84</v>
      </c>
      <c r="I79" s="16">
        <v>30880439.420000002</v>
      </c>
      <c r="J79" s="16">
        <v>243495608.85000008</v>
      </c>
      <c r="K79" s="16">
        <v>29980891.704946719</v>
      </c>
      <c r="L79" s="16">
        <v>0</v>
      </c>
      <c r="M79" s="16">
        <v>0</v>
      </c>
      <c r="N79" s="18">
        <f t="shared" si="2"/>
        <v>3078201753.3839521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1377869752.0699999</v>
      </c>
      <c r="C80" s="16">
        <v>0</v>
      </c>
      <c r="D80" s="16">
        <v>50884089.568706818</v>
      </c>
      <c r="E80" s="16">
        <v>17986696.200000003</v>
      </c>
      <c r="F80" s="16">
        <v>3003633.96</v>
      </c>
      <c r="G80" s="16">
        <v>1936120</v>
      </c>
      <c r="H80" s="16">
        <v>71172250.269999996</v>
      </c>
      <c r="I80" s="16">
        <v>9991681.4499999993</v>
      </c>
      <c r="J80" s="16">
        <v>157367593.47999999</v>
      </c>
      <c r="K80" s="16">
        <v>15988538.076893801</v>
      </c>
      <c r="L80" s="16">
        <v>0</v>
      </c>
      <c r="M80" s="16">
        <v>0</v>
      </c>
      <c r="N80" s="18">
        <f t="shared" si="2"/>
        <v>1706200355.0756006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766065628.42999995</v>
      </c>
      <c r="C81" s="16">
        <v>0</v>
      </c>
      <c r="D81" s="16">
        <v>37120102.025901705</v>
      </c>
      <c r="E81" s="16">
        <v>10065017.02</v>
      </c>
      <c r="F81" s="16">
        <v>7800699.8499999996</v>
      </c>
      <c r="G81" s="16">
        <v>4430736.1500000004</v>
      </c>
      <c r="H81" s="16">
        <v>39570223.93</v>
      </c>
      <c r="I81" s="16">
        <v>25949269.77</v>
      </c>
      <c r="J81" s="16">
        <v>183988894.56999999</v>
      </c>
      <c r="K81" s="16">
        <v>8976964.6394250114</v>
      </c>
      <c r="L81" s="16">
        <v>0</v>
      </c>
      <c r="M81" s="16">
        <v>0</v>
      </c>
      <c r="N81" s="18">
        <f t="shared" si="2"/>
        <v>1083967536.3853266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12682475662.57</v>
      </c>
      <c r="C82" s="16">
        <v>0</v>
      </c>
      <c r="D82" s="16">
        <v>89472727.029999986</v>
      </c>
      <c r="E82" s="16">
        <v>205162735.90000001</v>
      </c>
      <c r="F82" s="16">
        <v>224820543.91999999</v>
      </c>
      <c r="G82" s="16">
        <v>178901470.95330465</v>
      </c>
      <c r="H82" s="16">
        <v>655098444.90999997</v>
      </c>
      <c r="I82" s="16">
        <v>747872505.84000003</v>
      </c>
      <c r="J82" s="16">
        <v>1527265157.3000004</v>
      </c>
      <c r="K82" s="16">
        <v>145798692.27344477</v>
      </c>
      <c r="L82" s="16">
        <v>0</v>
      </c>
      <c r="M82" s="16">
        <v>0</v>
      </c>
      <c r="N82" s="18">
        <f t="shared" si="2"/>
        <v>16456867940.696751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3127830901.0699997</v>
      </c>
      <c r="C83" s="16">
        <v>0</v>
      </c>
      <c r="D83" s="16">
        <v>41162831.016308963</v>
      </c>
      <c r="E83" s="16">
        <v>52362233.710000008</v>
      </c>
      <c r="F83" s="16">
        <v>24894196.030000001</v>
      </c>
      <c r="G83" s="16">
        <v>11821501.92</v>
      </c>
      <c r="H83" s="16">
        <v>161564446.38999999</v>
      </c>
      <c r="I83" s="16">
        <v>82811314.5</v>
      </c>
      <c r="J83" s="16">
        <v>330548331.19999993</v>
      </c>
      <c r="K83" s="16">
        <v>37690934.186831184</v>
      </c>
      <c r="L83" s="16">
        <v>0</v>
      </c>
      <c r="M83" s="16">
        <v>0</v>
      </c>
      <c r="N83" s="18">
        <f t="shared" si="2"/>
        <v>3870686690.0231395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1367219551.0900002</v>
      </c>
      <c r="C84" s="16">
        <v>0</v>
      </c>
      <c r="D84" s="16">
        <v>24843085.055500232</v>
      </c>
      <c r="E84" s="16">
        <v>17834244.370000001</v>
      </c>
      <c r="F84" s="16">
        <v>4996336.0999999996</v>
      </c>
      <c r="G84" s="16">
        <v>1371060.9882955439</v>
      </c>
      <c r="H84" s="16">
        <v>70622126.599999994</v>
      </c>
      <c r="I84" s="16">
        <v>16620466.869999999</v>
      </c>
      <c r="J84" s="16">
        <v>135926719.71999997</v>
      </c>
      <c r="K84" s="16">
        <v>15846791.384885021</v>
      </c>
      <c r="L84" s="16">
        <v>0</v>
      </c>
      <c r="M84" s="16">
        <v>0</v>
      </c>
      <c r="N84" s="18">
        <f t="shared" si="2"/>
        <v>1655280382.1786807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1025456265.6300001</v>
      </c>
      <c r="C85" s="16">
        <v>0</v>
      </c>
      <c r="D85" s="16">
        <v>26597644.258960284</v>
      </c>
      <c r="E85" s="16">
        <v>13964783.52</v>
      </c>
      <c r="F85" s="16">
        <v>2362081.0699999998</v>
      </c>
      <c r="G85" s="16">
        <v>1210075</v>
      </c>
      <c r="H85" s="16">
        <v>52968743.869999997</v>
      </c>
      <c r="I85" s="16">
        <v>7857535.8899999997</v>
      </c>
      <c r="J85" s="16">
        <v>80129650.560000017</v>
      </c>
      <c r="K85" s="16">
        <v>12681929.899516573</v>
      </c>
      <c r="L85" s="16">
        <v>0</v>
      </c>
      <c r="M85" s="16">
        <v>0</v>
      </c>
      <c r="N85" s="18">
        <f t="shared" si="2"/>
        <v>1223228709.698477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13199426433.709999</v>
      </c>
      <c r="C86" s="16">
        <v>0</v>
      </c>
      <c r="D86" s="16">
        <v>31261158.030000001</v>
      </c>
      <c r="E86" s="16">
        <v>220364371.12</v>
      </c>
      <c r="F86" s="16">
        <v>141059010.44999999</v>
      </c>
      <c r="G86" s="16">
        <v>53029927.373215534</v>
      </c>
      <c r="H86" s="16">
        <v>681800932.27999997</v>
      </c>
      <c r="I86" s="16">
        <v>469237169.23000002</v>
      </c>
      <c r="J86" s="16">
        <v>674266443.25999999</v>
      </c>
      <c r="K86" s="16">
        <v>158462048.4684912</v>
      </c>
      <c r="L86" s="16">
        <v>0</v>
      </c>
      <c r="M86" s="16">
        <v>0</v>
      </c>
      <c r="N86" s="18">
        <f t="shared" si="2"/>
        <v>15628907493.921707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2126212780.5300002</v>
      </c>
      <c r="C87" s="16">
        <v>0</v>
      </c>
      <c r="D87" s="16">
        <v>26712603.134483933</v>
      </c>
      <c r="E87" s="16">
        <v>27769333.379999999</v>
      </c>
      <c r="F87" s="16">
        <v>4004845.28</v>
      </c>
      <c r="G87" s="16">
        <v>3518525.77</v>
      </c>
      <c r="H87" s="16">
        <v>109827034.02</v>
      </c>
      <c r="I87" s="16">
        <v>13322241.93</v>
      </c>
      <c r="J87" s="16">
        <v>152464672.17000008</v>
      </c>
      <c r="K87" s="16">
        <v>24690807.402839728</v>
      </c>
      <c r="L87" s="16">
        <v>0</v>
      </c>
      <c r="M87" s="16">
        <v>0</v>
      </c>
      <c r="N87" s="18">
        <f t="shared" si="2"/>
        <v>2488522843.6173239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2040844763.24</v>
      </c>
      <c r="C88" s="16">
        <v>0</v>
      </c>
      <c r="D88" s="16">
        <v>13700540.508536948</v>
      </c>
      <c r="E88" s="16">
        <v>25900545.109999999</v>
      </c>
      <c r="F88" s="16">
        <v>19654847.469999999</v>
      </c>
      <c r="G88" s="16">
        <v>7111517.6900000004</v>
      </c>
      <c r="H88" s="16">
        <v>105417448.95</v>
      </c>
      <c r="I88" s="16">
        <v>65382459.170000002</v>
      </c>
      <c r="J88" s="16">
        <v>232088697.21000004</v>
      </c>
      <c r="K88" s="16">
        <v>22679470.721404802</v>
      </c>
      <c r="L88" s="16">
        <v>0</v>
      </c>
      <c r="M88" s="16">
        <v>0</v>
      </c>
      <c r="N88" s="18">
        <f t="shared" si="2"/>
        <v>2532780290.069942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2727949136.02</v>
      </c>
      <c r="C89" s="16">
        <v>0</v>
      </c>
      <c r="D89" s="16">
        <v>29620356.163835689</v>
      </c>
      <c r="E89" s="16">
        <v>35931670.920000002</v>
      </c>
      <c r="F89" s="16">
        <v>16529707.279999999</v>
      </c>
      <c r="G89" s="16">
        <v>7744480</v>
      </c>
      <c r="H89" s="16">
        <v>140909021.58000001</v>
      </c>
      <c r="I89" s="16">
        <v>54986583.490000002</v>
      </c>
      <c r="J89" s="16">
        <v>238341991.46000004</v>
      </c>
      <c r="K89" s="16">
        <v>32089007.162304882</v>
      </c>
      <c r="L89" s="16">
        <v>0</v>
      </c>
      <c r="M89" s="16">
        <v>0</v>
      </c>
      <c r="N89" s="18">
        <f t="shared" si="2"/>
        <v>3284101954.0761404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12316707822.560001</v>
      </c>
      <c r="C90" s="16">
        <v>0</v>
      </c>
      <c r="D90" s="16">
        <v>46372077.152549841</v>
      </c>
      <c r="E90" s="16">
        <v>203465629.89999998</v>
      </c>
      <c r="F90" s="16">
        <v>224222733.28</v>
      </c>
      <c r="G90" s="16">
        <v>71634571.6511392</v>
      </c>
      <c r="H90" s="16">
        <v>636205134.99000001</v>
      </c>
      <c r="I90" s="16">
        <v>745883870.21000004</v>
      </c>
      <c r="J90" s="16">
        <v>1389385076.6499999</v>
      </c>
      <c r="K90" s="16">
        <v>145740527.25155151</v>
      </c>
      <c r="L90" s="16">
        <v>0</v>
      </c>
      <c r="M90" s="16">
        <v>0</v>
      </c>
      <c r="N90" s="18">
        <f t="shared" si="2"/>
        <v>15779617443.645241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579520701.79999995</v>
      </c>
      <c r="C91" s="16">
        <v>0</v>
      </c>
      <c r="D91" s="16">
        <v>26888061.743397139</v>
      </c>
      <c r="E91" s="16">
        <v>7570844.5199999996</v>
      </c>
      <c r="F91" s="16">
        <v>5205326.8099999996</v>
      </c>
      <c r="G91" s="16">
        <v>2643548.46</v>
      </c>
      <c r="H91" s="16">
        <v>29934463.960000001</v>
      </c>
      <c r="I91" s="16">
        <v>17315680.949999999</v>
      </c>
      <c r="J91" s="16">
        <v>107150748.51999998</v>
      </c>
      <c r="K91" s="16">
        <v>6732479.0887204669</v>
      </c>
      <c r="L91" s="16">
        <v>0</v>
      </c>
      <c r="M91" s="16">
        <v>0</v>
      </c>
      <c r="N91" s="18">
        <f t="shared" si="2"/>
        <v>782961855.85211754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778712742.08999991</v>
      </c>
      <c r="C92" s="16">
        <v>0</v>
      </c>
      <c r="D92" s="16">
        <v>1286918.7099999997</v>
      </c>
      <c r="E92" s="16">
        <v>9787875.5700000003</v>
      </c>
      <c r="F92" s="16">
        <v>1112997.05</v>
      </c>
      <c r="G92" s="16">
        <v>893593.85</v>
      </c>
      <c r="H92" s="16">
        <v>40223495.789999999</v>
      </c>
      <c r="I92" s="16">
        <v>3702419.18</v>
      </c>
      <c r="J92" s="16">
        <v>41664483.25999999</v>
      </c>
      <c r="K92" s="16">
        <v>9334264.0596264526</v>
      </c>
      <c r="L92" s="16">
        <v>0</v>
      </c>
      <c r="M92" s="16">
        <v>0</v>
      </c>
      <c r="N92" s="18">
        <f t="shared" si="2"/>
        <v>886718789.55962634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9135376302.3800011</v>
      </c>
      <c r="C93" s="16">
        <v>0</v>
      </c>
      <c r="D93" s="16">
        <v>53104623.156798571</v>
      </c>
      <c r="E93" s="16">
        <v>148367850.53999999</v>
      </c>
      <c r="F93" s="16">
        <v>181724714.90000001</v>
      </c>
      <c r="G93" s="16">
        <v>38383003.319198012</v>
      </c>
      <c r="H93" s="16">
        <v>471877176.70999998</v>
      </c>
      <c r="I93" s="16">
        <v>604512895.20000005</v>
      </c>
      <c r="J93" s="16">
        <v>1434309551.0399995</v>
      </c>
      <c r="K93" s="16">
        <v>105596886.51127186</v>
      </c>
      <c r="L93" s="16">
        <v>0</v>
      </c>
      <c r="M93" s="16">
        <v>0</v>
      </c>
      <c r="N93" s="18">
        <f t="shared" si="2"/>
        <v>12173253003.757271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4506449495.4899998</v>
      </c>
      <c r="C94" s="16">
        <v>0</v>
      </c>
      <c r="D94" s="16">
        <v>72595224.840000004</v>
      </c>
      <c r="E94" s="16">
        <v>75440952.979999989</v>
      </c>
      <c r="F94" s="16">
        <v>82172232.010000005</v>
      </c>
      <c r="G94" s="16">
        <v>42895804.335220501</v>
      </c>
      <c r="H94" s="16">
        <v>232775377.22999999</v>
      </c>
      <c r="I94" s="16">
        <v>273348476.04000002</v>
      </c>
      <c r="J94" s="16">
        <v>677404613.97000003</v>
      </c>
      <c r="K94" s="16">
        <v>54303157.708563611</v>
      </c>
      <c r="L94" s="16">
        <v>0</v>
      </c>
      <c r="M94" s="16">
        <v>0</v>
      </c>
      <c r="N94" s="18">
        <f t="shared" si="2"/>
        <v>6017385334.6037836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913670757.6400001</v>
      </c>
      <c r="C95" s="16">
        <v>0</v>
      </c>
      <c r="D95" s="16">
        <v>26451225.835010622</v>
      </c>
      <c r="E95" s="16">
        <v>12248267.130000001</v>
      </c>
      <c r="F95" s="16">
        <v>4029146.52</v>
      </c>
      <c r="G95" s="16">
        <v>2122285.38</v>
      </c>
      <c r="H95" s="16">
        <v>47194594.219999999</v>
      </c>
      <c r="I95" s="16">
        <v>13403080.77</v>
      </c>
      <c r="J95" s="16">
        <v>108272531.68999997</v>
      </c>
      <c r="K95" s="16">
        <v>11036690.708821559</v>
      </c>
      <c r="L95" s="16">
        <v>0</v>
      </c>
      <c r="M95" s="16">
        <v>0</v>
      </c>
      <c r="N95" s="18">
        <f t="shared" si="2"/>
        <v>1138428579.8938322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2960589463.7599998</v>
      </c>
      <c r="C96" s="16">
        <v>0</v>
      </c>
      <c r="D96" s="16">
        <v>61873839.434133813</v>
      </c>
      <c r="E96" s="16">
        <v>34474087.849999994</v>
      </c>
      <c r="F96" s="16">
        <v>22580717.449999999</v>
      </c>
      <c r="G96" s="16">
        <v>10853441.92</v>
      </c>
      <c r="H96" s="16">
        <v>152925785.58000001</v>
      </c>
      <c r="I96" s="16">
        <v>75115456.299999997</v>
      </c>
      <c r="J96" s="16">
        <v>366911036.98999995</v>
      </c>
      <c r="K96" s="16">
        <v>33976682.074504569</v>
      </c>
      <c r="L96" s="16">
        <v>0</v>
      </c>
      <c r="M96" s="16">
        <v>0</v>
      </c>
      <c r="N96" s="18">
        <f t="shared" si="2"/>
        <v>3719300511.3586378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1470226963.7200003</v>
      </c>
      <c r="C97" s="16">
        <v>0</v>
      </c>
      <c r="D97" s="16">
        <v>115376868.81977597</v>
      </c>
      <c r="E97" s="16">
        <v>19331192.789999999</v>
      </c>
      <c r="F97" s="16">
        <v>10425234.380000001</v>
      </c>
      <c r="G97" s="16">
        <v>5584961.5300000003</v>
      </c>
      <c r="H97" s="16">
        <v>75942854</v>
      </c>
      <c r="I97" s="16">
        <v>34679865.210000001</v>
      </c>
      <c r="J97" s="16">
        <v>249358513.13000005</v>
      </c>
      <c r="K97" s="16">
        <v>17248128.508985616</v>
      </c>
      <c r="L97" s="16">
        <v>0</v>
      </c>
      <c r="M97" s="16">
        <v>0</v>
      </c>
      <c r="N97" s="18">
        <f t="shared" si="2"/>
        <v>1998174582.088762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4216273121.0600004</v>
      </c>
      <c r="C98" s="16">
        <v>0</v>
      </c>
      <c r="D98" s="16">
        <v>89066608.05209817</v>
      </c>
      <c r="E98" s="16">
        <v>69383379.580000013</v>
      </c>
      <c r="F98" s="16">
        <v>24242922.649999999</v>
      </c>
      <c r="G98" s="16">
        <v>13366674.609999999</v>
      </c>
      <c r="H98" s="16">
        <v>217786656.05000001</v>
      </c>
      <c r="I98" s="16">
        <v>80644833.409999996</v>
      </c>
      <c r="J98" s="16">
        <v>480772259.27000004</v>
      </c>
      <c r="K98" s="16">
        <v>49627471.999060199</v>
      </c>
      <c r="L98" s="16">
        <v>0</v>
      </c>
      <c r="M98" s="16">
        <v>0</v>
      </c>
      <c r="N98" s="18">
        <f t="shared" si="2"/>
        <v>5241163926.681159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3036888169.2400002</v>
      </c>
      <c r="C99" s="16">
        <v>0</v>
      </c>
      <c r="D99" s="16">
        <v>67493363.190760568</v>
      </c>
      <c r="E99" s="16">
        <v>39614046.370000005</v>
      </c>
      <c r="F99" s="16">
        <v>8986600.6300000008</v>
      </c>
      <c r="G99" s="16">
        <v>4002555.77</v>
      </c>
      <c r="H99" s="16">
        <v>156866905.96000001</v>
      </c>
      <c r="I99" s="16">
        <v>29894205.489999998</v>
      </c>
      <c r="J99" s="16">
        <v>315253041.64999998</v>
      </c>
      <c r="K99" s="16">
        <v>35199613.879352726</v>
      </c>
      <c r="L99" s="16">
        <v>0</v>
      </c>
      <c r="M99" s="16">
        <v>0</v>
      </c>
      <c r="N99" s="18">
        <f t="shared" si="2"/>
        <v>3694198502.1801133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3083732412.6300001</v>
      </c>
      <c r="C100" s="16">
        <v>0</v>
      </c>
      <c r="D100" s="16">
        <v>62424834.740047075</v>
      </c>
      <c r="E100" s="16">
        <v>41295152.340000004</v>
      </c>
      <c r="F100" s="16">
        <v>10089877.189999999</v>
      </c>
      <c r="G100" s="16">
        <v>4765833.84</v>
      </c>
      <c r="H100" s="16">
        <v>159286590.55000001</v>
      </c>
      <c r="I100" s="16">
        <v>33564289.130000003</v>
      </c>
      <c r="J100" s="16">
        <v>243788636.53000006</v>
      </c>
      <c r="K100" s="16">
        <v>37190421.729531214</v>
      </c>
      <c r="L100" s="16">
        <v>0</v>
      </c>
      <c r="M100" s="16">
        <v>0</v>
      </c>
      <c r="N100" s="18">
        <f t="shared" si="2"/>
        <v>3676138048.6795793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660021244.39999998</v>
      </c>
      <c r="C101" s="16">
        <v>0</v>
      </c>
      <c r="D101" s="16">
        <v>13445812.129769012</v>
      </c>
      <c r="E101" s="16">
        <v>8587703.209999999</v>
      </c>
      <c r="F101" s="16">
        <v>1205341.78</v>
      </c>
      <c r="G101" s="16">
        <v>763278.08</v>
      </c>
      <c r="H101" s="16">
        <v>34092625.32</v>
      </c>
      <c r="I101" s="16">
        <v>4009606.79</v>
      </c>
      <c r="J101" s="16">
        <v>56263655.75999999</v>
      </c>
      <c r="K101" s="16">
        <v>7620595.4314099606</v>
      </c>
      <c r="L101" s="16">
        <v>0</v>
      </c>
      <c r="M101" s="16">
        <v>0</v>
      </c>
      <c r="N101" s="18">
        <f t="shared" si="2"/>
        <v>786009862.90117896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1802588118.6099999</v>
      </c>
      <c r="C102" s="16">
        <v>0</v>
      </c>
      <c r="D102" s="16">
        <v>74439345.970921457</v>
      </c>
      <c r="E102" s="16">
        <v>29563816.770000003</v>
      </c>
      <c r="F102" s="16">
        <v>23338916.309999999</v>
      </c>
      <c r="G102" s="16">
        <v>12249682.300000001</v>
      </c>
      <c r="H102" s="16">
        <v>93110580.680000007</v>
      </c>
      <c r="I102" s="16">
        <v>77637628.319999993</v>
      </c>
      <c r="J102" s="16">
        <v>362363229.29000008</v>
      </c>
      <c r="K102" s="16">
        <v>21119279.545915056</v>
      </c>
      <c r="L102" s="16">
        <v>0</v>
      </c>
      <c r="M102" s="16">
        <v>0</v>
      </c>
      <c r="N102" s="18">
        <f t="shared" si="2"/>
        <v>2496410597.7968364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633853367.75999999</v>
      </c>
      <c r="C103" s="16">
        <v>0</v>
      </c>
      <c r="D103" s="16">
        <v>30453392.581649631</v>
      </c>
      <c r="E103" s="16">
        <v>8631997.9299999997</v>
      </c>
      <c r="F103" s="16">
        <v>578369.64</v>
      </c>
      <c r="G103" s="16">
        <v>484030</v>
      </c>
      <c r="H103" s="16">
        <v>32740954.260000002</v>
      </c>
      <c r="I103" s="16">
        <v>1923964.55</v>
      </c>
      <c r="J103" s="16">
        <v>79534188.279999971</v>
      </c>
      <c r="K103" s="16">
        <v>7839080.8497821148</v>
      </c>
      <c r="L103" s="16">
        <v>0</v>
      </c>
      <c r="M103" s="16">
        <v>0</v>
      </c>
      <c r="N103" s="18">
        <f t="shared" si="2"/>
        <v>796039345.85143161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10061028536.239998</v>
      </c>
      <c r="C104" s="16">
        <v>0</v>
      </c>
      <c r="D104" s="16">
        <v>107939983.00048386</v>
      </c>
      <c r="E104" s="16">
        <v>164657532.86000001</v>
      </c>
      <c r="F104" s="16">
        <v>118526895.48999999</v>
      </c>
      <c r="G104" s="16">
        <v>24537598.542976171</v>
      </c>
      <c r="H104" s="16">
        <v>519690660.06</v>
      </c>
      <c r="I104" s="16">
        <v>394283390.62</v>
      </c>
      <c r="J104" s="16">
        <v>879999586.87000024</v>
      </c>
      <c r="K104" s="16">
        <v>117530980.41501796</v>
      </c>
      <c r="L104" s="16">
        <v>0</v>
      </c>
      <c r="M104" s="16">
        <v>0</v>
      </c>
      <c r="N104" s="18">
        <f t="shared" ref="N104:N135" si="3">SUM(B104:M104)</f>
        <v>12388195164.098478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1628856715.0799999</v>
      </c>
      <c r="C105" s="16">
        <v>0</v>
      </c>
      <c r="D105" s="16">
        <v>10347168.77</v>
      </c>
      <c r="E105" s="16">
        <v>22534178.43</v>
      </c>
      <c r="F105" s="16">
        <v>5108121.83</v>
      </c>
      <c r="G105" s="16">
        <v>4188721.15</v>
      </c>
      <c r="H105" s="16">
        <v>84136688.25</v>
      </c>
      <c r="I105" s="16">
        <v>16992325.559999999</v>
      </c>
      <c r="J105" s="16">
        <v>114916215.72999997</v>
      </c>
      <c r="K105" s="16">
        <v>20144648.842930548</v>
      </c>
      <c r="L105" s="16">
        <v>0</v>
      </c>
      <c r="M105" s="16">
        <v>0</v>
      </c>
      <c r="N105" s="18">
        <f t="shared" si="3"/>
        <v>1907224783.6429305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1851221262.9499998</v>
      </c>
      <c r="C106" s="16">
        <v>0</v>
      </c>
      <c r="D106" s="16">
        <v>7846433.9800000004</v>
      </c>
      <c r="E106" s="16">
        <v>24167449.710000001</v>
      </c>
      <c r="F106" s="16">
        <v>36194275.25</v>
      </c>
      <c r="G106" s="16">
        <v>12265100.183981821</v>
      </c>
      <c r="H106" s="16">
        <v>95622668.859999999</v>
      </c>
      <c r="I106" s="16">
        <v>120401378.19</v>
      </c>
      <c r="J106" s="16">
        <v>302021644.95000011</v>
      </c>
      <c r="K106" s="16">
        <v>21483421.909868646</v>
      </c>
      <c r="L106" s="16">
        <v>0</v>
      </c>
      <c r="M106" s="16">
        <v>0</v>
      </c>
      <c r="N106" s="18">
        <f t="shared" si="3"/>
        <v>2471223635.9838505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2445011570.0799999</v>
      </c>
      <c r="C107" s="16">
        <v>0</v>
      </c>
      <c r="D107" s="16">
        <v>42481553.53709849</v>
      </c>
      <c r="E107" s="16">
        <v>32260970.469999999</v>
      </c>
      <c r="F107" s="16">
        <v>2012143.13</v>
      </c>
      <c r="G107" s="16">
        <v>1768571.15</v>
      </c>
      <c r="H107" s="16">
        <v>126294212.58</v>
      </c>
      <c r="I107" s="16">
        <v>6693456.5</v>
      </c>
      <c r="J107" s="16">
        <v>139925629.75999999</v>
      </c>
      <c r="K107" s="16">
        <v>28836653.753248252</v>
      </c>
      <c r="L107" s="16">
        <v>0</v>
      </c>
      <c r="M107" s="16">
        <v>0</v>
      </c>
      <c r="N107" s="18">
        <f t="shared" si="3"/>
        <v>2825284760.9603462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915085237.4799999</v>
      </c>
      <c r="C108" s="16">
        <v>0</v>
      </c>
      <c r="D108" s="16">
        <v>13882391.505102107</v>
      </c>
      <c r="E108" s="16">
        <v>11886857.34</v>
      </c>
      <c r="F108" s="16">
        <v>2041304.63</v>
      </c>
      <c r="G108" s="16">
        <v>1303157.69</v>
      </c>
      <c r="H108" s="16">
        <v>47267657.520000003</v>
      </c>
      <c r="I108" s="16">
        <v>6790463.1200000001</v>
      </c>
      <c r="J108" s="16">
        <v>74644907.079999983</v>
      </c>
      <c r="K108" s="16">
        <v>10539110.941701083</v>
      </c>
      <c r="L108" s="16">
        <v>0</v>
      </c>
      <c r="M108" s="16">
        <v>0</v>
      </c>
      <c r="N108" s="18">
        <f t="shared" si="3"/>
        <v>1083441087.3068032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8283942656.6000004</v>
      </c>
      <c r="C109" s="16">
        <v>0</v>
      </c>
      <c r="D109" s="16">
        <v>95292867.023699582</v>
      </c>
      <c r="E109" s="16">
        <v>135361613.16</v>
      </c>
      <c r="F109" s="16">
        <v>208417203.12</v>
      </c>
      <c r="G109" s="16">
        <v>108987401.70622438</v>
      </c>
      <c r="H109" s="16">
        <v>427897367.70999998</v>
      </c>
      <c r="I109" s="16">
        <v>693306284.35000002</v>
      </c>
      <c r="J109" s="16">
        <v>1361954304.3100002</v>
      </c>
      <c r="K109" s="16">
        <v>96562734.413346753</v>
      </c>
      <c r="L109" s="16">
        <v>0</v>
      </c>
      <c r="M109" s="16">
        <v>0</v>
      </c>
      <c r="N109" s="18">
        <f t="shared" si="3"/>
        <v>11411722432.39327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937425698.1400001</v>
      </c>
      <c r="C110" s="16">
        <v>0</v>
      </c>
      <c r="D110" s="16">
        <v>23278994.290164717</v>
      </c>
      <c r="E110" s="16">
        <v>15566455.23</v>
      </c>
      <c r="F110" s="16">
        <v>7965948.3200000003</v>
      </c>
      <c r="G110" s="16">
        <v>4225954.2300000004</v>
      </c>
      <c r="H110" s="16">
        <v>48421627.880000003</v>
      </c>
      <c r="I110" s="16">
        <v>26498973.93</v>
      </c>
      <c r="J110" s="16">
        <v>157809251.51000002</v>
      </c>
      <c r="K110" s="16">
        <v>11171594.457078192</v>
      </c>
      <c r="L110" s="16">
        <v>0</v>
      </c>
      <c r="M110" s="16">
        <v>0</v>
      </c>
      <c r="N110" s="18">
        <f t="shared" si="3"/>
        <v>1232364497.9872432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1146643904.1500001</v>
      </c>
      <c r="C111" s="16">
        <v>0</v>
      </c>
      <c r="D111" s="16">
        <v>33070899.051825896</v>
      </c>
      <c r="E111" s="16">
        <v>14991888.800000001</v>
      </c>
      <c r="F111" s="16">
        <v>2775202.25</v>
      </c>
      <c r="G111" s="16">
        <v>1768571.15</v>
      </c>
      <c r="H111" s="16">
        <v>59228549.579999998</v>
      </c>
      <c r="I111" s="16">
        <v>9231796.2899999991</v>
      </c>
      <c r="J111" s="16">
        <v>122942256.51999998</v>
      </c>
      <c r="K111" s="16">
        <v>13337386.154633034</v>
      </c>
      <c r="L111" s="16">
        <v>0</v>
      </c>
      <c r="M111" s="16">
        <v>0</v>
      </c>
      <c r="N111" s="18">
        <f t="shared" si="3"/>
        <v>1403990453.9464591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1634722646.0999999</v>
      </c>
      <c r="C112" s="16">
        <v>0</v>
      </c>
      <c r="D112" s="16">
        <v>45607858.371424422</v>
      </c>
      <c r="E112" s="16">
        <v>21508077.27</v>
      </c>
      <c r="F112" s="16">
        <v>3373012.89</v>
      </c>
      <c r="G112" s="16">
        <v>2103668.84</v>
      </c>
      <c r="H112" s="16">
        <v>84439686.060000002</v>
      </c>
      <c r="I112" s="16">
        <v>11220431.91</v>
      </c>
      <c r="J112" s="16">
        <v>128965079.45000005</v>
      </c>
      <c r="K112" s="16">
        <v>19196901.133258048</v>
      </c>
      <c r="L112" s="16">
        <v>0</v>
      </c>
      <c r="M112" s="16">
        <v>0</v>
      </c>
      <c r="N112" s="18">
        <f t="shared" si="3"/>
        <v>1951137362.0246825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1316131868.25</v>
      </c>
      <c r="C113" s="16">
        <v>0</v>
      </c>
      <c r="D113" s="16">
        <v>47154736.963118441</v>
      </c>
      <c r="E113" s="16">
        <v>17123937.890000001</v>
      </c>
      <c r="F113" s="16">
        <v>4753323.6399999997</v>
      </c>
      <c r="G113" s="16">
        <v>2718014.61</v>
      </c>
      <c r="H113" s="16">
        <v>67983252.099999994</v>
      </c>
      <c r="I113" s="16">
        <v>15812078.4</v>
      </c>
      <c r="J113" s="16">
        <v>125945907.23999995</v>
      </c>
      <c r="K113" s="16">
        <v>15195245.383341216</v>
      </c>
      <c r="L113" s="16">
        <v>0</v>
      </c>
      <c r="M113" s="16">
        <v>0</v>
      </c>
      <c r="N113" s="18">
        <f t="shared" si="3"/>
        <v>1612818364.47646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813450702.33999991</v>
      </c>
      <c r="C114" s="16">
        <v>0</v>
      </c>
      <c r="D114" s="16">
        <v>22889094.91461492</v>
      </c>
      <c r="E114" s="16">
        <v>10515627.629999999</v>
      </c>
      <c r="F114" s="16">
        <v>2877267.48</v>
      </c>
      <c r="G114" s="16">
        <v>1489323.08</v>
      </c>
      <c r="H114" s="16">
        <v>42017844.490000002</v>
      </c>
      <c r="I114" s="16">
        <v>9571319.4399999995</v>
      </c>
      <c r="J114" s="16">
        <v>96210423.309999987</v>
      </c>
      <c r="K114" s="16">
        <v>9299560.5591691323</v>
      </c>
      <c r="L114" s="16">
        <v>0</v>
      </c>
      <c r="M114" s="16">
        <v>0</v>
      </c>
      <c r="N114" s="18">
        <f t="shared" si="3"/>
        <v>1008321163.2437841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1915122468.8400002</v>
      </c>
      <c r="C115" s="16">
        <v>0</v>
      </c>
      <c r="D115" s="16">
        <v>24851386.941484913</v>
      </c>
      <c r="E115" s="16">
        <v>25631608.969999999</v>
      </c>
      <c r="F115" s="16">
        <v>2979332.71</v>
      </c>
      <c r="G115" s="16">
        <v>2382916.92</v>
      </c>
      <c r="H115" s="16">
        <v>98923410.900000006</v>
      </c>
      <c r="I115" s="16">
        <v>9910842.5999999996</v>
      </c>
      <c r="J115" s="16">
        <v>128912870.68000007</v>
      </c>
      <c r="K115" s="16">
        <v>23077339.022422548</v>
      </c>
      <c r="L115" s="16">
        <v>0</v>
      </c>
      <c r="M115" s="16">
        <v>0</v>
      </c>
      <c r="N115" s="18">
        <f t="shared" si="3"/>
        <v>2231792177.5839076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1240498800.3599999</v>
      </c>
      <c r="C116" s="16">
        <v>0</v>
      </c>
      <c r="D116" s="16">
        <v>35922768.20756866</v>
      </c>
      <c r="E116" s="16">
        <v>16298298.110000001</v>
      </c>
      <c r="F116" s="16">
        <v>8223541.5199999996</v>
      </c>
      <c r="G116" s="16">
        <v>3779157.31</v>
      </c>
      <c r="H116" s="16">
        <v>64076514.450000003</v>
      </c>
      <c r="I116" s="16">
        <v>27355865.699999999</v>
      </c>
      <c r="J116" s="16">
        <v>174882931.76000005</v>
      </c>
      <c r="K116" s="16">
        <v>14536367.656348679</v>
      </c>
      <c r="L116" s="16">
        <v>0</v>
      </c>
      <c r="M116" s="16">
        <v>0</v>
      </c>
      <c r="N116" s="18">
        <f t="shared" si="3"/>
        <v>1585574245.0739172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680031973.6099999</v>
      </c>
      <c r="C117" s="16">
        <v>0</v>
      </c>
      <c r="D117" s="16">
        <v>7637110.9473705329</v>
      </c>
      <c r="E117" s="16">
        <v>8860822.3000000007</v>
      </c>
      <c r="F117" s="16">
        <v>1730248.68</v>
      </c>
      <c r="G117" s="16">
        <v>1005293.08</v>
      </c>
      <c r="H117" s="16">
        <v>35126256.130000003</v>
      </c>
      <c r="I117" s="16">
        <v>5755725.8799999999</v>
      </c>
      <c r="J117" s="16">
        <v>51542759.590000004</v>
      </c>
      <c r="K117" s="16">
        <v>7868896.5332736168</v>
      </c>
      <c r="L117" s="16">
        <v>0</v>
      </c>
      <c r="M117" s="16">
        <v>0</v>
      </c>
      <c r="N117" s="18">
        <f t="shared" si="3"/>
        <v>799559086.75064397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1126050742.1199999</v>
      </c>
      <c r="C118" s="16">
        <v>0</v>
      </c>
      <c r="D118" s="16">
        <v>26750364.499834664</v>
      </c>
      <c r="E118" s="16">
        <v>15016714.49</v>
      </c>
      <c r="F118" s="16">
        <v>8160358.2800000003</v>
      </c>
      <c r="G118" s="16">
        <v>4188721.15</v>
      </c>
      <c r="H118" s="16">
        <v>58164833.880000003</v>
      </c>
      <c r="I118" s="16">
        <v>27145684.699999999</v>
      </c>
      <c r="J118" s="16">
        <v>142072303.93000007</v>
      </c>
      <c r="K118" s="16">
        <v>13495751.424325602</v>
      </c>
      <c r="L118" s="16">
        <v>0</v>
      </c>
      <c r="M118" s="16">
        <v>0</v>
      </c>
      <c r="N118" s="18">
        <f t="shared" si="3"/>
        <v>1421045474.4741607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1468604472.1500001</v>
      </c>
      <c r="C119" s="16">
        <v>0</v>
      </c>
      <c r="D119" s="16">
        <v>27365208.381052442</v>
      </c>
      <c r="E119" s="16">
        <v>19649405.830000002</v>
      </c>
      <c r="F119" s="16">
        <v>6556476.0700000003</v>
      </c>
      <c r="G119" s="16">
        <v>2811097.31</v>
      </c>
      <c r="H119" s="16">
        <v>75859046.099999994</v>
      </c>
      <c r="I119" s="16">
        <v>21810320.82</v>
      </c>
      <c r="J119" s="16">
        <v>129323485.75</v>
      </c>
      <c r="K119" s="16">
        <v>17688520.817605995</v>
      </c>
      <c r="L119" s="16">
        <v>0</v>
      </c>
      <c r="M119" s="16">
        <v>0</v>
      </c>
      <c r="N119" s="18">
        <f t="shared" si="3"/>
        <v>1769668033.2286582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901023643.99000001</v>
      </c>
      <c r="C120" s="16">
        <v>0</v>
      </c>
      <c r="D120" s="16">
        <v>26416555.683198079</v>
      </c>
      <c r="E120" s="16">
        <v>12118662.33</v>
      </c>
      <c r="F120" s="16">
        <v>4417966.45</v>
      </c>
      <c r="G120" s="16">
        <v>2848330.38</v>
      </c>
      <c r="H120" s="16">
        <v>46541322.350000001</v>
      </c>
      <c r="I120" s="16">
        <v>14696502.32</v>
      </c>
      <c r="J120" s="16">
        <v>134076365.57999995</v>
      </c>
      <c r="K120" s="16">
        <v>10937956.806111997</v>
      </c>
      <c r="L120" s="16">
        <v>0</v>
      </c>
      <c r="M120" s="16">
        <v>0</v>
      </c>
      <c r="N120" s="18">
        <f t="shared" si="3"/>
        <v>1153077305.8893104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1160913509.3699999</v>
      </c>
      <c r="C121" s="16">
        <v>0</v>
      </c>
      <c r="D121" s="16">
        <v>27254601.012446493</v>
      </c>
      <c r="E121" s="16">
        <v>15570557.48</v>
      </c>
      <c r="F121" s="16">
        <v>1856615.16</v>
      </c>
      <c r="G121" s="16">
        <v>949443.46</v>
      </c>
      <c r="H121" s="16">
        <v>59965629.340000004</v>
      </c>
      <c r="I121" s="16">
        <v>6176087.8799999999</v>
      </c>
      <c r="J121" s="16">
        <v>74501920.87999998</v>
      </c>
      <c r="K121" s="16">
        <v>14033900.072262382</v>
      </c>
      <c r="L121" s="16">
        <v>0</v>
      </c>
      <c r="M121" s="16">
        <v>0</v>
      </c>
      <c r="N121" s="18">
        <f t="shared" si="3"/>
        <v>1361222264.6547086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3735557994.6599998</v>
      </c>
      <c r="C122" s="16">
        <v>0</v>
      </c>
      <c r="D122" s="16">
        <v>661071984.60000002</v>
      </c>
      <c r="E122" s="16">
        <v>61073375.169999994</v>
      </c>
      <c r="F122" s="16">
        <v>55892864.969999999</v>
      </c>
      <c r="G122" s="16">
        <v>28965489.43381298</v>
      </c>
      <c r="H122" s="16">
        <v>192955878.50999999</v>
      </c>
      <c r="I122" s="16">
        <v>185929347.28</v>
      </c>
      <c r="J122" s="16">
        <v>349483654.05999994</v>
      </c>
      <c r="K122" s="16">
        <v>43576843.377071626</v>
      </c>
      <c r="L122" s="16">
        <v>0</v>
      </c>
      <c r="M122" s="16">
        <v>0</v>
      </c>
      <c r="N122" s="18">
        <f t="shared" si="3"/>
        <v>5314507432.0608845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7433840285.9400005</v>
      </c>
      <c r="C123" s="16">
        <v>0</v>
      </c>
      <c r="D123" s="16">
        <v>193357498.905</v>
      </c>
      <c r="E123" s="16">
        <v>101235867.64</v>
      </c>
      <c r="F123" s="16">
        <v>77695942.560000002</v>
      </c>
      <c r="G123" s="16">
        <v>62284260.436609522</v>
      </c>
      <c r="H123" s="16">
        <v>383986324.17000002</v>
      </c>
      <c r="I123" s="16">
        <v>258457960.49000001</v>
      </c>
      <c r="J123" s="16">
        <v>456009308.2900002</v>
      </c>
      <c r="K123" s="16">
        <v>91936415.655198112</v>
      </c>
      <c r="L123" s="16">
        <v>0</v>
      </c>
      <c r="M123" s="16">
        <v>0</v>
      </c>
      <c r="N123" s="18">
        <f t="shared" si="3"/>
        <v>9058803864.0868092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7779555794.4300003</v>
      </c>
      <c r="C124" s="16">
        <v>0</v>
      </c>
      <c r="D124" s="16">
        <v>53268971.190000005</v>
      </c>
      <c r="E124" s="16">
        <v>124921175.53999999</v>
      </c>
      <c r="F124" s="16">
        <v>99494159.900000006</v>
      </c>
      <c r="G124" s="16">
        <v>0</v>
      </c>
      <c r="H124" s="16">
        <v>401843854.36000001</v>
      </c>
      <c r="I124" s="16">
        <v>330970405.93000001</v>
      </c>
      <c r="J124" s="16">
        <v>652392848.12000012</v>
      </c>
      <c r="K124" s="16">
        <v>88522764.286269441</v>
      </c>
      <c r="L124" s="16">
        <v>0</v>
      </c>
      <c r="M124" s="16">
        <v>0</v>
      </c>
      <c r="N124" s="18">
        <f t="shared" si="3"/>
        <v>9530969973.7562695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2453997677.1500001</v>
      </c>
      <c r="C125" s="16">
        <v>0</v>
      </c>
      <c r="D125" s="16">
        <v>41435397.173041873</v>
      </c>
      <c r="E125" s="16">
        <v>31864108.219999999</v>
      </c>
      <c r="F125" s="16">
        <v>38687583.060000002</v>
      </c>
      <c r="G125" s="16">
        <v>17853260.370000001</v>
      </c>
      <c r="H125" s="16">
        <v>126758379.43000001</v>
      </c>
      <c r="I125" s="16">
        <v>128695443.86</v>
      </c>
      <c r="J125" s="16">
        <v>403154274</v>
      </c>
      <c r="K125" s="16">
        <v>28245227.900384031</v>
      </c>
      <c r="L125" s="16">
        <v>0</v>
      </c>
      <c r="M125" s="16">
        <v>0</v>
      </c>
      <c r="N125" s="18">
        <f t="shared" si="3"/>
        <v>3270691351.1634254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2535829494.8500004</v>
      </c>
      <c r="C126" s="16">
        <v>0</v>
      </c>
      <c r="D126" s="16">
        <v>33330531.48254649</v>
      </c>
      <c r="E126" s="16">
        <v>34040372.460000001</v>
      </c>
      <c r="F126" s="16">
        <v>19368092.77</v>
      </c>
      <c r="G126" s="16">
        <v>7297683.0700000003</v>
      </c>
      <c r="H126" s="16">
        <v>130985306.25</v>
      </c>
      <c r="I126" s="16">
        <v>64428560.770000003</v>
      </c>
      <c r="J126" s="16">
        <v>276621841.12000006</v>
      </c>
      <c r="K126" s="16">
        <v>30694024.200259853</v>
      </c>
      <c r="L126" s="16">
        <v>0</v>
      </c>
      <c r="M126" s="16">
        <v>0</v>
      </c>
      <c r="N126" s="18">
        <f t="shared" si="3"/>
        <v>3132595906.9728065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1547981751.3499999</v>
      </c>
      <c r="C127" s="16">
        <v>0</v>
      </c>
      <c r="D127" s="16">
        <v>19512525.697057191</v>
      </c>
      <c r="E127" s="16">
        <v>20245084.309999999</v>
      </c>
      <c r="F127" s="16">
        <v>20558853.809999999</v>
      </c>
      <c r="G127" s="16">
        <v>10425261.529999999</v>
      </c>
      <c r="H127" s="16">
        <v>79959186.599999994</v>
      </c>
      <c r="I127" s="16">
        <v>68389664.260000005</v>
      </c>
      <c r="J127" s="16">
        <v>306711027.71999991</v>
      </c>
      <c r="K127" s="16">
        <v>18013560.645833027</v>
      </c>
      <c r="L127" s="16">
        <v>0</v>
      </c>
      <c r="M127" s="16">
        <v>0</v>
      </c>
      <c r="N127" s="18">
        <f t="shared" si="3"/>
        <v>2091796915.9228897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693635941.26999998</v>
      </c>
      <c r="C128" s="16">
        <v>0</v>
      </c>
      <c r="D128" s="16">
        <v>13995058.628619306</v>
      </c>
      <c r="E128" s="16">
        <v>8873334.7599999998</v>
      </c>
      <c r="F128" s="16">
        <v>1880916.41</v>
      </c>
      <c r="G128" s="16">
        <v>1247308.08</v>
      </c>
      <c r="H128" s="16">
        <v>35828953.159999996</v>
      </c>
      <c r="I128" s="16">
        <v>6256926.7300000004</v>
      </c>
      <c r="J128" s="16">
        <v>65913812.749999993</v>
      </c>
      <c r="K128" s="16">
        <v>7803399.7859316291</v>
      </c>
      <c r="L128" s="16">
        <v>0</v>
      </c>
      <c r="M128" s="16">
        <v>0</v>
      </c>
      <c r="N128" s="18">
        <f t="shared" si="3"/>
        <v>835435651.57455087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4208327072.6900005</v>
      </c>
      <c r="C129" s="16">
        <v>0</v>
      </c>
      <c r="D129" s="16">
        <v>159216534.54670218</v>
      </c>
      <c r="E129" s="16">
        <v>45161347.469999999</v>
      </c>
      <c r="F129" s="16">
        <v>23922146.199999999</v>
      </c>
      <c r="G129" s="16">
        <v>15470343.449999999</v>
      </c>
      <c r="H129" s="16">
        <v>217376212.21000001</v>
      </c>
      <c r="I129" s="16">
        <v>79577760.640000001</v>
      </c>
      <c r="J129" s="16">
        <v>413001507.36000001</v>
      </c>
      <c r="K129" s="16">
        <v>51499505.896969274</v>
      </c>
      <c r="L129" s="16">
        <v>0</v>
      </c>
      <c r="M129" s="16">
        <v>0</v>
      </c>
      <c r="N129" s="18">
        <f t="shared" si="3"/>
        <v>5213552430.4636717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1168152317.8799999</v>
      </c>
      <c r="C130" s="16">
        <v>0</v>
      </c>
      <c r="D130" s="16">
        <v>42604492.120445192</v>
      </c>
      <c r="E130" s="16">
        <v>15179959.199999999</v>
      </c>
      <c r="F130" s="16">
        <v>2959891.71</v>
      </c>
      <c r="G130" s="16">
        <v>1154225.3799999999</v>
      </c>
      <c r="H130" s="16">
        <v>60339541.530000001</v>
      </c>
      <c r="I130" s="16">
        <v>9846171.5199999996</v>
      </c>
      <c r="J130" s="16">
        <v>113512223.07000001</v>
      </c>
      <c r="K130" s="16">
        <v>13461536.705564862</v>
      </c>
      <c r="L130" s="16">
        <v>0</v>
      </c>
      <c r="M130" s="16">
        <v>0</v>
      </c>
      <c r="N130" s="18">
        <f t="shared" si="3"/>
        <v>1427210359.1160102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7444740101.0200005</v>
      </c>
      <c r="C131" s="16">
        <v>0</v>
      </c>
      <c r="D131" s="16">
        <v>411371857.82500005</v>
      </c>
      <c r="E131" s="16">
        <v>144643687.80000001</v>
      </c>
      <c r="F131" s="16">
        <v>130696959.3</v>
      </c>
      <c r="G131" s="16">
        <v>0</v>
      </c>
      <c r="H131" s="16">
        <v>384549341.37</v>
      </c>
      <c r="I131" s="16">
        <v>434767485.01999998</v>
      </c>
      <c r="J131" s="16">
        <v>891867440.96000004</v>
      </c>
      <c r="K131" s="16">
        <v>87321338.876070887</v>
      </c>
      <c r="L131" s="16">
        <v>0</v>
      </c>
      <c r="M131" s="16">
        <v>0</v>
      </c>
      <c r="N131" s="18">
        <f t="shared" si="3"/>
        <v>9929958212.171072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263218053.09</v>
      </c>
      <c r="C132" s="16">
        <v>0</v>
      </c>
      <c r="D132" s="16">
        <v>2267152.0089384243</v>
      </c>
      <c r="E132" s="16">
        <v>3584563.55</v>
      </c>
      <c r="F132" s="16">
        <v>558928.64000000001</v>
      </c>
      <c r="G132" s="16">
        <v>279248.08</v>
      </c>
      <c r="H132" s="16">
        <v>13596220.640000001</v>
      </c>
      <c r="I132" s="16">
        <v>1859293.47</v>
      </c>
      <c r="J132" s="16">
        <v>32026084.980000012</v>
      </c>
      <c r="K132" s="16">
        <v>3255286.09923612</v>
      </c>
      <c r="L132" s="16">
        <v>0</v>
      </c>
      <c r="M132" s="16">
        <v>0</v>
      </c>
      <c r="N132" s="18">
        <f t="shared" si="3"/>
        <v>320644830.55817455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1906677192.2799997</v>
      </c>
      <c r="C133" s="16">
        <v>0</v>
      </c>
      <c r="D133" s="16">
        <v>29580775.687568657</v>
      </c>
      <c r="E133" s="16">
        <v>17062518</v>
      </c>
      <c r="F133" s="16">
        <v>2021863.63</v>
      </c>
      <c r="G133" s="16">
        <v>1582405.77</v>
      </c>
      <c r="H133" s="16">
        <v>98487180.019999996</v>
      </c>
      <c r="I133" s="16">
        <v>6725792.04</v>
      </c>
      <c r="J133" s="16">
        <v>118139049.30000004</v>
      </c>
      <c r="K133" s="16">
        <v>21904262.950625744</v>
      </c>
      <c r="L133" s="16">
        <v>0</v>
      </c>
      <c r="M133" s="16">
        <v>0</v>
      </c>
      <c r="N133" s="18">
        <f t="shared" si="3"/>
        <v>2202181039.6781945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3159365480.5300002</v>
      </c>
      <c r="C134" s="16">
        <v>0</v>
      </c>
      <c r="D134" s="16">
        <v>62412267.31575308</v>
      </c>
      <c r="E134" s="16">
        <v>42055046.170000002</v>
      </c>
      <c r="F134" s="16">
        <v>9433743.5500000007</v>
      </c>
      <c r="G134" s="16">
        <v>5249863.84</v>
      </c>
      <c r="H134" s="16">
        <v>163193328.19999999</v>
      </c>
      <c r="I134" s="16">
        <v>31381640.27</v>
      </c>
      <c r="J134" s="16">
        <v>266799536.3300001</v>
      </c>
      <c r="K134" s="16">
        <v>37760341.187745824</v>
      </c>
      <c r="L134" s="16">
        <v>0</v>
      </c>
      <c r="M134" s="16">
        <v>0</v>
      </c>
      <c r="N134" s="18">
        <f t="shared" si="3"/>
        <v>3777651247.3934994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2673699674.7800007</v>
      </c>
      <c r="C135" s="16">
        <v>0</v>
      </c>
      <c r="D135" s="16">
        <v>76025462.631611913</v>
      </c>
      <c r="E135" s="16">
        <v>44017077.530000001</v>
      </c>
      <c r="F135" s="16">
        <v>14201647.949999999</v>
      </c>
      <c r="G135" s="16">
        <v>6627487.6900000004</v>
      </c>
      <c r="H135" s="16">
        <v>138106829.12</v>
      </c>
      <c r="I135" s="16">
        <v>47242221.979999997</v>
      </c>
      <c r="J135" s="16">
        <v>275058399.90999991</v>
      </c>
      <c r="K135" s="16">
        <v>31488783.238902181</v>
      </c>
      <c r="L135" s="16">
        <v>0</v>
      </c>
      <c r="M135" s="16">
        <v>0</v>
      </c>
      <c r="N135" s="18">
        <f t="shared" si="3"/>
        <v>3306467584.8305144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4159860337.71</v>
      </c>
      <c r="C136" s="16">
        <v>0</v>
      </c>
      <c r="D136" s="16">
        <v>51965198.560000002</v>
      </c>
      <c r="E136" s="16">
        <v>68485630.25</v>
      </c>
      <c r="F136" s="16">
        <v>84495431.090000004</v>
      </c>
      <c r="G136" s="16">
        <v>47591003.989409</v>
      </c>
      <c r="H136" s="16">
        <v>214872719.71000001</v>
      </c>
      <c r="I136" s="16">
        <v>281076669.77999997</v>
      </c>
      <c r="J136" s="16">
        <v>625355758.25</v>
      </c>
      <c r="K136" s="16">
        <v>48993522.138593346</v>
      </c>
      <c r="L136" s="16">
        <v>0</v>
      </c>
      <c r="M136" s="16">
        <v>0</v>
      </c>
      <c r="N136" s="18">
        <f t="shared" ref="N136:N142" si="4">SUM(B136:M136)</f>
        <v>5582696271.4780025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654529734.53999996</v>
      </c>
      <c r="C137" s="16">
        <v>0</v>
      </c>
      <c r="D137" s="16">
        <v>20585753.300156206</v>
      </c>
      <c r="E137" s="16">
        <v>8598875.0399999991</v>
      </c>
      <c r="F137" s="16">
        <v>1010931.81</v>
      </c>
      <c r="G137" s="16">
        <v>968060</v>
      </c>
      <c r="H137" s="16">
        <v>33808967.799999997</v>
      </c>
      <c r="I137" s="16">
        <v>3362896.02</v>
      </c>
      <c r="J137" s="16">
        <v>61346250.390000023</v>
      </c>
      <c r="K137" s="16">
        <v>7668984.8193715801</v>
      </c>
      <c r="L137" s="16">
        <v>0</v>
      </c>
      <c r="M137" s="16">
        <v>0</v>
      </c>
      <c r="N137" s="18">
        <f t="shared" si="4"/>
        <v>791880453.7195276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1923318131.3299997</v>
      </c>
      <c r="C138" s="16">
        <v>0</v>
      </c>
      <c r="D138" s="16">
        <v>64338069.733569428</v>
      </c>
      <c r="E138" s="16">
        <v>25482631.16</v>
      </c>
      <c r="F138" s="16">
        <v>8801911.1699999999</v>
      </c>
      <c r="G138" s="16">
        <v>3779157.31</v>
      </c>
      <c r="H138" s="16">
        <v>99346748.260000005</v>
      </c>
      <c r="I138" s="16">
        <v>29279830.25</v>
      </c>
      <c r="J138" s="16">
        <v>222901364.05000004</v>
      </c>
      <c r="K138" s="16">
        <v>22826105.230379399</v>
      </c>
      <c r="L138" s="16">
        <v>0</v>
      </c>
      <c r="M138" s="16">
        <v>0</v>
      </c>
      <c r="N138" s="18">
        <f t="shared" si="4"/>
        <v>2400073948.4939489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6345398065.9699993</v>
      </c>
      <c r="C139" s="16">
        <v>0</v>
      </c>
      <c r="D139" s="16">
        <v>102131066.00999999</v>
      </c>
      <c r="E139" s="16">
        <v>85821499.370000005</v>
      </c>
      <c r="F139" s="16">
        <v>45268360.380000003</v>
      </c>
      <c r="G139" s="16">
        <v>43475058.835566893</v>
      </c>
      <c r="H139" s="16">
        <v>327764114.53999996</v>
      </c>
      <c r="I139" s="16">
        <v>150586603.55000001</v>
      </c>
      <c r="J139" s="16">
        <v>398003008.25</v>
      </c>
      <c r="K139" s="16">
        <v>77674743.312328532</v>
      </c>
      <c r="L139" s="16">
        <v>0</v>
      </c>
      <c r="M139" s="16">
        <v>0</v>
      </c>
      <c r="N139" s="18">
        <f t="shared" si="4"/>
        <v>7576122520.2178946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1947821914.0599999</v>
      </c>
      <c r="C140" s="16">
        <v>0</v>
      </c>
      <c r="D140" s="16">
        <v>8536875.0700000003</v>
      </c>
      <c r="E140" s="16">
        <v>25930842.829999998</v>
      </c>
      <c r="F140" s="16">
        <v>7465342.6600000001</v>
      </c>
      <c r="G140" s="16">
        <v>3983939.23</v>
      </c>
      <c r="H140" s="16">
        <v>100612462.48999999</v>
      </c>
      <c r="I140" s="16">
        <v>24833693.690000001</v>
      </c>
      <c r="J140" s="16">
        <v>100603956.32999995</v>
      </c>
      <c r="K140" s="16">
        <v>23284093.680076733</v>
      </c>
      <c r="L140" s="16">
        <v>0</v>
      </c>
      <c r="M140" s="16">
        <v>0</v>
      </c>
      <c r="N140" s="18">
        <f t="shared" si="4"/>
        <v>2243073120.0400767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2206879732.48</v>
      </c>
      <c r="C141" s="16">
        <v>0</v>
      </c>
      <c r="D141" s="16">
        <v>43614142.889047801</v>
      </c>
      <c r="E141" s="16">
        <v>29322658.369999997</v>
      </c>
      <c r="F141" s="16">
        <v>10765451.810000001</v>
      </c>
      <c r="G141" s="16">
        <v>3481292.69</v>
      </c>
      <c r="H141" s="16">
        <v>113993791.06999999</v>
      </c>
      <c r="I141" s="16">
        <v>35811609.060000002</v>
      </c>
      <c r="J141" s="16">
        <v>279789643.69</v>
      </c>
      <c r="K141" s="16">
        <v>26303787.00156033</v>
      </c>
      <c r="L141" s="16">
        <v>0</v>
      </c>
      <c r="M141" s="16">
        <v>0</v>
      </c>
      <c r="N141" s="18">
        <f t="shared" si="4"/>
        <v>2749962109.0606079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2285175350.6499996</v>
      </c>
      <c r="C142" s="16">
        <v>0</v>
      </c>
      <c r="D142" s="16">
        <v>49502612.478360683</v>
      </c>
      <c r="E142" s="16">
        <v>37439515.700000003</v>
      </c>
      <c r="F142" s="16">
        <v>46284152.439999998</v>
      </c>
      <c r="G142" s="16">
        <v>14055486.529999999</v>
      </c>
      <c r="H142" s="16">
        <v>118038059.64</v>
      </c>
      <c r="I142" s="16">
        <v>153965667.31999999</v>
      </c>
      <c r="J142" s="16">
        <v>379268524.52000004</v>
      </c>
      <c r="K142" s="16">
        <v>26734892.457945652</v>
      </c>
      <c r="L142" s="16">
        <v>0</v>
      </c>
      <c r="M142" s="16">
        <v>0</v>
      </c>
      <c r="N142" s="18">
        <f t="shared" si="4"/>
        <v>3110464261.7363062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I143" si="5">SUM(B8:B142)</f>
        <v>416023475881.74017</v>
      </c>
      <c r="C143" s="23">
        <f t="shared" si="5"/>
        <v>0</v>
      </c>
      <c r="D143" s="23">
        <f t="shared" si="5"/>
        <v>7075923761.7507114</v>
      </c>
      <c r="E143" s="23">
        <f t="shared" si="5"/>
        <v>6208944235.2140026</v>
      </c>
      <c r="F143" s="23">
        <f t="shared" si="5"/>
        <v>4860249128.3300028</v>
      </c>
      <c r="G143" s="23">
        <f t="shared" si="5"/>
        <v>1861653844.9500003</v>
      </c>
      <c r="H143" s="23">
        <f t="shared" si="5"/>
        <v>21489205999.869991</v>
      </c>
      <c r="I143" s="23">
        <f t="shared" si="5"/>
        <v>16167769328.700006</v>
      </c>
      <c r="J143" s="23">
        <f t="shared" ref="J143:N143" si="6">SUM(J8:J142)</f>
        <v>47034931830.660004</v>
      </c>
      <c r="K143" s="23">
        <f t="shared" si="6"/>
        <v>4887816965.8199968</v>
      </c>
      <c r="L143" s="23">
        <f t="shared" si="6"/>
        <v>0</v>
      </c>
      <c r="M143" s="23">
        <f t="shared" si="6"/>
        <v>0</v>
      </c>
      <c r="N143" s="23">
        <f t="shared" si="6"/>
        <v>525609970977.03485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44AEAC"/>
  </sheetPr>
  <dimension ref="A1:Y275"/>
  <sheetViews>
    <sheetView showGridLines="0" tabSelected="1" zoomScale="80" zoomScaleNormal="80" workbookViewId="0"/>
  </sheetViews>
  <sheetFormatPr baseColWidth="10" defaultColWidth="12" defaultRowHeight="14.25" x14ac:dyDescent="0.2"/>
  <cols>
    <col min="1" max="1" width="41.83203125" style="11" customWidth="1"/>
    <col min="2" max="2" width="23.832031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" width="12" style="1"/>
    <col min="17" max="17" width="19.5" style="1" bestFit="1" customWidth="1"/>
    <col min="18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167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168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5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32" t="s">
        <v>178</v>
      </c>
      <c r="L7" s="19"/>
      <c r="M7" s="19"/>
      <c r="N7" s="20" t="s">
        <v>140</v>
      </c>
    </row>
    <row r="8" spans="1:25" ht="18" customHeight="1" x14ac:dyDescent="0.2">
      <c r="A8" s="17" t="s">
        <v>3</v>
      </c>
      <c r="B8" s="16">
        <v>1681811689.9800003</v>
      </c>
      <c r="C8" s="16">
        <v>0</v>
      </c>
      <c r="D8" s="16">
        <v>46251172.900860362</v>
      </c>
      <c r="E8" s="16">
        <v>29111979.339999996</v>
      </c>
      <c r="F8" s="16">
        <v>4243913.87</v>
      </c>
      <c r="G8" s="16">
        <v>1938115.62</v>
      </c>
      <c r="H8" s="16">
        <v>96201639.260000005</v>
      </c>
      <c r="I8" s="16">
        <v>12704429.220000001</v>
      </c>
      <c r="J8" s="16">
        <v>163593632.14999998</v>
      </c>
      <c r="K8" s="16">
        <v>0</v>
      </c>
      <c r="L8" s="16">
        <v>0</v>
      </c>
      <c r="M8" s="16">
        <v>0</v>
      </c>
      <c r="N8" s="18">
        <f t="shared" ref="N8:N39" si="0">SUM(B8:M8)</f>
        <v>2035856572.3408604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882291930.37</v>
      </c>
      <c r="C9" s="16">
        <v>0</v>
      </c>
      <c r="D9" s="16">
        <v>30215313.504431661</v>
      </c>
      <c r="E9" s="16">
        <v>14652936.32</v>
      </c>
      <c r="F9" s="16">
        <v>2973375.68</v>
      </c>
      <c r="G9" s="16">
        <v>1434205.56</v>
      </c>
      <c r="H9" s="16">
        <v>50468153.189999998</v>
      </c>
      <c r="I9" s="16">
        <v>8900991.4100000001</v>
      </c>
      <c r="J9" s="16">
        <v>124061415.62999995</v>
      </c>
      <c r="K9" s="16">
        <v>0</v>
      </c>
      <c r="L9" s="16">
        <v>0</v>
      </c>
      <c r="M9" s="16">
        <v>0</v>
      </c>
      <c r="N9" s="18">
        <f t="shared" si="0"/>
        <v>1114998321.6644316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936128681.31000006</v>
      </c>
      <c r="C10" s="16">
        <v>0</v>
      </c>
      <c r="D10" s="16">
        <v>14605697.277427036</v>
      </c>
      <c r="E10" s="16">
        <v>16504614.809999999</v>
      </c>
      <c r="F10" s="16">
        <v>2077145.42</v>
      </c>
      <c r="G10" s="16">
        <v>1434205.56</v>
      </c>
      <c r="H10" s="16">
        <v>53547679.710000001</v>
      </c>
      <c r="I10" s="16">
        <v>6218068.4699999997</v>
      </c>
      <c r="J10" s="16">
        <v>73323621.610000014</v>
      </c>
      <c r="K10" s="16">
        <v>0</v>
      </c>
      <c r="L10" s="16">
        <v>0</v>
      </c>
      <c r="M10" s="16">
        <v>0</v>
      </c>
      <c r="N10" s="18">
        <f t="shared" si="0"/>
        <v>1103839714.1674271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7372921036.079999</v>
      </c>
      <c r="C11" s="16">
        <v>0</v>
      </c>
      <c r="D11" s="16">
        <v>65437255.448289804</v>
      </c>
      <c r="E11" s="16">
        <v>99400014.729999989</v>
      </c>
      <c r="F11" s="16">
        <v>222950456.88999999</v>
      </c>
      <c r="G11" s="16">
        <v>116787213.35748678</v>
      </c>
      <c r="H11" s="16">
        <v>421739897.5</v>
      </c>
      <c r="I11" s="16">
        <v>667416536.50999999</v>
      </c>
      <c r="J11" s="16">
        <v>1379521207.8499999</v>
      </c>
      <c r="K11" s="16">
        <v>0</v>
      </c>
      <c r="L11" s="16">
        <v>0</v>
      </c>
      <c r="M11" s="16">
        <v>0</v>
      </c>
      <c r="N11" s="18">
        <f t="shared" si="0"/>
        <v>10346173618.365776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965650877.84000003</v>
      </c>
      <c r="C12" s="16">
        <v>0</v>
      </c>
      <c r="D12" s="16">
        <v>19420157.596076593</v>
      </c>
      <c r="E12" s="16">
        <v>16104723.840000002</v>
      </c>
      <c r="F12" s="16">
        <v>7623229.1399999997</v>
      </c>
      <c r="G12" s="16">
        <v>3566132.75</v>
      </c>
      <c r="H12" s="16">
        <v>55236384.640000001</v>
      </c>
      <c r="I12" s="16">
        <v>22820626.899999999</v>
      </c>
      <c r="J12" s="16">
        <v>148744877.42000008</v>
      </c>
      <c r="K12" s="16">
        <v>0</v>
      </c>
      <c r="L12" s="16">
        <v>0</v>
      </c>
      <c r="M12" s="16">
        <v>0</v>
      </c>
      <c r="N12" s="18">
        <f t="shared" si="0"/>
        <v>1239167010.1260767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4394883214.0100002</v>
      </c>
      <c r="C13" s="16">
        <v>0</v>
      </c>
      <c r="D13" s="16">
        <v>56177347.931614913</v>
      </c>
      <c r="E13" s="16">
        <v>61907894.270000003</v>
      </c>
      <c r="F13" s="16">
        <v>108417501.68000001</v>
      </c>
      <c r="G13" s="16">
        <v>0</v>
      </c>
      <c r="H13" s="16">
        <v>251392573.87</v>
      </c>
      <c r="I13" s="16">
        <v>324554766.44999999</v>
      </c>
      <c r="J13" s="16">
        <v>1025773787.6500005</v>
      </c>
      <c r="K13" s="16">
        <v>0</v>
      </c>
      <c r="L13" s="16">
        <v>0</v>
      </c>
      <c r="M13" s="16">
        <v>0</v>
      </c>
      <c r="N13" s="18">
        <f t="shared" si="0"/>
        <v>6223107085.8616161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1539261655.3099999</v>
      </c>
      <c r="C14" s="16">
        <v>0</v>
      </c>
      <c r="D14" s="16">
        <v>51514117.355329201</v>
      </c>
      <c r="E14" s="16">
        <v>25766471.769999996</v>
      </c>
      <c r="F14" s="16">
        <v>4934538.3600000003</v>
      </c>
      <c r="G14" s="16">
        <v>2422644.5299999998</v>
      </c>
      <c r="H14" s="16">
        <v>88047606.859999999</v>
      </c>
      <c r="I14" s="16">
        <v>14771858.08</v>
      </c>
      <c r="J14" s="16">
        <v>220208440.82999992</v>
      </c>
      <c r="K14" s="16">
        <v>0</v>
      </c>
      <c r="L14" s="16">
        <v>0</v>
      </c>
      <c r="M14" s="16">
        <v>0</v>
      </c>
      <c r="N14" s="18">
        <f t="shared" si="0"/>
        <v>1946927333.0953288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2585154230.1500001</v>
      </c>
      <c r="C15" s="16">
        <v>0</v>
      </c>
      <c r="D15" s="16">
        <v>58962934.176000424</v>
      </c>
      <c r="E15" s="16">
        <v>43362106.989999995</v>
      </c>
      <c r="F15" s="16">
        <v>18383264.199999999</v>
      </c>
      <c r="G15" s="16">
        <v>8392040.6500000004</v>
      </c>
      <c r="H15" s="16">
        <v>147873912.49000001</v>
      </c>
      <c r="I15" s="16">
        <v>55031484.109999999</v>
      </c>
      <c r="J15" s="16">
        <v>351345667.88999993</v>
      </c>
      <c r="K15" s="16">
        <v>0</v>
      </c>
      <c r="L15" s="16">
        <v>0</v>
      </c>
      <c r="M15" s="16">
        <v>0</v>
      </c>
      <c r="N15" s="18">
        <f t="shared" si="0"/>
        <v>3268505640.6560001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4869218729.3900003</v>
      </c>
      <c r="C16" s="16">
        <v>0</v>
      </c>
      <c r="D16" s="16">
        <v>92545870.703613758</v>
      </c>
      <c r="E16" s="16">
        <v>65835620.920000002</v>
      </c>
      <c r="F16" s="16">
        <v>68561614.840000004</v>
      </c>
      <c r="G16" s="16">
        <v>37231201.130000003</v>
      </c>
      <c r="H16" s="16">
        <v>278525132.42000002</v>
      </c>
      <c r="I16" s="16">
        <v>205243605.03999999</v>
      </c>
      <c r="J16" s="16">
        <v>872787894.07999969</v>
      </c>
      <c r="K16" s="16">
        <v>0</v>
      </c>
      <c r="L16" s="16">
        <v>0</v>
      </c>
      <c r="M16" s="16">
        <v>0</v>
      </c>
      <c r="N16" s="18">
        <f t="shared" si="0"/>
        <v>6489949668.5236149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1879775437.6199996</v>
      </c>
      <c r="C17" s="16">
        <v>0</v>
      </c>
      <c r="D17" s="16">
        <v>62314554.987893678</v>
      </c>
      <c r="E17" s="16">
        <v>31218952.390000001</v>
      </c>
      <c r="F17" s="16">
        <v>14081358.949999999</v>
      </c>
      <c r="G17" s="16">
        <v>5426723.75</v>
      </c>
      <c r="H17" s="16">
        <v>107525402.29000001</v>
      </c>
      <c r="I17" s="16">
        <v>42153453.979999997</v>
      </c>
      <c r="J17" s="16">
        <v>236575186.06000009</v>
      </c>
      <c r="K17" s="16">
        <v>0</v>
      </c>
      <c r="L17" s="16">
        <v>0</v>
      </c>
      <c r="M17" s="16">
        <v>0</v>
      </c>
      <c r="N17" s="18">
        <f t="shared" si="0"/>
        <v>2379071070.0278935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1060305274.4</v>
      </c>
      <c r="C18" s="16">
        <v>0</v>
      </c>
      <c r="D18" s="16">
        <v>24524759.351272132</v>
      </c>
      <c r="E18" s="16">
        <v>17609348.030000001</v>
      </c>
      <c r="F18" s="16">
        <v>9489496.8599999994</v>
      </c>
      <c r="G18" s="16">
        <v>4418903.62</v>
      </c>
      <c r="H18" s="16">
        <v>60650729.280000001</v>
      </c>
      <c r="I18" s="16">
        <v>28407419.379999999</v>
      </c>
      <c r="J18" s="16">
        <v>192873694.17999995</v>
      </c>
      <c r="K18" s="16">
        <v>0</v>
      </c>
      <c r="L18" s="16">
        <v>0</v>
      </c>
      <c r="M18" s="16">
        <v>0</v>
      </c>
      <c r="N18" s="18">
        <f t="shared" si="0"/>
        <v>1398279625.1012721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1721749170.73</v>
      </c>
      <c r="C19" s="16">
        <v>0</v>
      </c>
      <c r="D19" s="16">
        <v>49481454.236391507</v>
      </c>
      <c r="E19" s="16">
        <v>28642595.530000001</v>
      </c>
      <c r="F19" s="16">
        <v>3832702.34</v>
      </c>
      <c r="G19" s="16">
        <v>2461406.84</v>
      </c>
      <c r="H19" s="16">
        <v>98486110.900000006</v>
      </c>
      <c r="I19" s="16">
        <v>11473441.050000001</v>
      </c>
      <c r="J19" s="16">
        <v>167806575.71999991</v>
      </c>
      <c r="K19" s="16">
        <v>0</v>
      </c>
      <c r="L19" s="16">
        <v>0</v>
      </c>
      <c r="M19" s="16">
        <v>0</v>
      </c>
      <c r="N19" s="18">
        <f t="shared" si="0"/>
        <v>2083933457.3463912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6154809535.9099998</v>
      </c>
      <c r="C20" s="16">
        <v>0</v>
      </c>
      <c r="D20" s="16">
        <v>43198053.00707446</v>
      </c>
      <c r="E20" s="16">
        <v>82502285.340000004</v>
      </c>
      <c r="F20" s="16">
        <v>122330158.47</v>
      </c>
      <c r="G20" s="16">
        <v>61213176.055954561</v>
      </c>
      <c r="H20" s="16">
        <v>352062463.45999998</v>
      </c>
      <c r="I20" s="16">
        <v>366203199.64999998</v>
      </c>
      <c r="J20" s="16">
        <v>954218209.10000038</v>
      </c>
      <c r="K20" s="16">
        <v>0</v>
      </c>
      <c r="L20" s="16">
        <v>0</v>
      </c>
      <c r="M20" s="16">
        <v>0</v>
      </c>
      <c r="N20" s="18">
        <f t="shared" si="0"/>
        <v>8136537080.9930296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2657657810.9499998</v>
      </c>
      <c r="C21" s="16">
        <v>0</v>
      </c>
      <c r="D21" s="16">
        <v>16783156.717234667</v>
      </c>
      <c r="E21" s="16">
        <v>45476394.890000001</v>
      </c>
      <c r="F21" s="16">
        <v>32527886.469999999</v>
      </c>
      <c r="G21" s="16">
        <v>8069854.1835915837</v>
      </c>
      <c r="H21" s="16">
        <v>152021203.99000001</v>
      </c>
      <c r="I21" s="16">
        <v>97374320.890000001</v>
      </c>
      <c r="J21" s="16">
        <v>312844853.15000004</v>
      </c>
      <c r="K21" s="16">
        <v>0</v>
      </c>
      <c r="L21" s="16">
        <v>0</v>
      </c>
      <c r="M21" s="16">
        <v>0</v>
      </c>
      <c r="N21" s="18">
        <f t="shared" si="0"/>
        <v>3322755481.2408257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2226340353.3800001</v>
      </c>
      <c r="C22" s="16">
        <v>0</v>
      </c>
      <c r="D22" s="16">
        <v>35543809.551001802</v>
      </c>
      <c r="E22" s="16">
        <v>36974636.509999998</v>
      </c>
      <c r="F22" s="16">
        <v>7744483.8300000001</v>
      </c>
      <c r="G22" s="16">
        <v>4166948.59</v>
      </c>
      <c r="H22" s="16">
        <v>127349329.78</v>
      </c>
      <c r="I22" s="16">
        <v>23183610.600000001</v>
      </c>
      <c r="J22" s="16">
        <v>234929310.01999998</v>
      </c>
      <c r="K22" s="16">
        <v>0</v>
      </c>
      <c r="L22" s="16">
        <v>0</v>
      </c>
      <c r="M22" s="16">
        <v>0</v>
      </c>
      <c r="N22" s="18">
        <f t="shared" si="0"/>
        <v>2696232482.2610025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2024379190.3099999</v>
      </c>
      <c r="C23" s="16">
        <v>0</v>
      </c>
      <c r="D23" s="16">
        <v>28353118.652623892</v>
      </c>
      <c r="E23" s="16">
        <v>35043846.630000003</v>
      </c>
      <c r="F23" s="16">
        <v>7422895.3200000003</v>
      </c>
      <c r="G23" s="16">
        <v>5136006.4000000004</v>
      </c>
      <c r="H23" s="16">
        <v>115796909.81</v>
      </c>
      <c r="I23" s="16">
        <v>22220914.719999999</v>
      </c>
      <c r="J23" s="16">
        <v>193924850.65999994</v>
      </c>
      <c r="K23" s="16">
        <v>0</v>
      </c>
      <c r="L23" s="16">
        <v>0</v>
      </c>
      <c r="M23" s="16">
        <v>0</v>
      </c>
      <c r="N23" s="18">
        <f t="shared" si="0"/>
        <v>2432277732.5026236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660417037.24000013</v>
      </c>
      <c r="C24" s="16">
        <v>0</v>
      </c>
      <c r="D24" s="16">
        <v>27235731.421376389</v>
      </c>
      <c r="E24" s="16">
        <v>11780545.709999999</v>
      </c>
      <c r="F24" s="16">
        <v>7718124.1100000003</v>
      </c>
      <c r="G24" s="16">
        <v>1199649.9610824129</v>
      </c>
      <c r="H24" s="16">
        <v>37776644.060000002</v>
      </c>
      <c r="I24" s="16">
        <v>23104701.100000001</v>
      </c>
      <c r="J24" s="16">
        <v>164090098.19999999</v>
      </c>
      <c r="K24" s="16">
        <v>0</v>
      </c>
      <c r="L24" s="16">
        <v>0</v>
      </c>
      <c r="M24" s="16">
        <v>0</v>
      </c>
      <c r="N24" s="18">
        <f t="shared" si="0"/>
        <v>933322531.802459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2877332291.9300003</v>
      </c>
      <c r="C25" s="16">
        <v>0</v>
      </c>
      <c r="D25" s="16">
        <v>24076616.876539297</v>
      </c>
      <c r="E25" s="16">
        <v>47935092.389999993</v>
      </c>
      <c r="F25" s="16">
        <v>34230723.960000001</v>
      </c>
      <c r="G25" s="16">
        <v>12229509.58</v>
      </c>
      <c r="H25" s="16">
        <v>164586846.91999999</v>
      </c>
      <c r="I25" s="16">
        <v>102471874.48</v>
      </c>
      <c r="J25" s="16">
        <v>379326600.27999997</v>
      </c>
      <c r="K25" s="16">
        <v>0</v>
      </c>
      <c r="L25" s="16">
        <v>0</v>
      </c>
      <c r="M25" s="16">
        <v>0</v>
      </c>
      <c r="N25" s="18">
        <f t="shared" si="0"/>
        <v>3642189556.4165392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1114948843.1399999</v>
      </c>
      <c r="C26" s="16">
        <v>0</v>
      </c>
      <c r="D26" s="16">
        <v>21528680.006012149</v>
      </c>
      <c r="E26" s="16">
        <v>21891387.740000002</v>
      </c>
      <c r="F26" s="16">
        <v>15568046.800000001</v>
      </c>
      <c r="G26" s="16">
        <v>7810605.96</v>
      </c>
      <c r="H26" s="16">
        <v>63776406.740000002</v>
      </c>
      <c r="I26" s="16">
        <v>46603949.689999998</v>
      </c>
      <c r="J26" s="16">
        <v>279897180.38999999</v>
      </c>
      <c r="K26" s="16">
        <v>0</v>
      </c>
      <c r="L26" s="16">
        <v>0</v>
      </c>
      <c r="M26" s="16">
        <v>0</v>
      </c>
      <c r="N26" s="18">
        <f t="shared" si="0"/>
        <v>1572025100.466012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552010064.62</v>
      </c>
      <c r="C27" s="16">
        <v>0</v>
      </c>
      <c r="D27" s="16">
        <v>10571880.504213346</v>
      </c>
      <c r="E27" s="16">
        <v>10169492.85</v>
      </c>
      <c r="F27" s="16">
        <v>3869605.94</v>
      </c>
      <c r="G27" s="16">
        <v>1763685.22</v>
      </c>
      <c r="H27" s="16">
        <v>31575635.620000001</v>
      </c>
      <c r="I27" s="16">
        <v>11583914.35</v>
      </c>
      <c r="J27" s="16">
        <v>75004848.040000021</v>
      </c>
      <c r="K27" s="16">
        <v>0</v>
      </c>
      <c r="L27" s="16">
        <v>0</v>
      </c>
      <c r="M27" s="16">
        <v>0</v>
      </c>
      <c r="N27" s="18">
        <f t="shared" si="0"/>
        <v>696549127.14421344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1924150416.2499998</v>
      </c>
      <c r="C28" s="16">
        <v>0</v>
      </c>
      <c r="D28" s="16">
        <v>39902035.186861396</v>
      </c>
      <c r="E28" s="16">
        <v>32754567.41</v>
      </c>
      <c r="F28" s="16">
        <v>5329934.07</v>
      </c>
      <c r="G28" s="16">
        <v>2558312.62</v>
      </c>
      <c r="H28" s="16">
        <v>110063704.11</v>
      </c>
      <c r="I28" s="16">
        <v>15955500.550000001</v>
      </c>
      <c r="J28" s="16">
        <v>153350835.09</v>
      </c>
      <c r="K28" s="16">
        <v>0</v>
      </c>
      <c r="L28" s="16">
        <v>0</v>
      </c>
      <c r="M28" s="16">
        <v>0</v>
      </c>
      <c r="N28" s="18">
        <f t="shared" si="0"/>
        <v>2284065305.2868609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1074681300.55</v>
      </c>
      <c r="C29" s="16">
        <v>0</v>
      </c>
      <c r="D29" s="16">
        <v>31107888.209811091</v>
      </c>
      <c r="E29" s="16">
        <v>17848102.34</v>
      </c>
      <c r="F29" s="16">
        <v>3326595.84</v>
      </c>
      <c r="G29" s="16">
        <v>1550492.5</v>
      </c>
      <c r="H29" s="16">
        <v>61473055.159999996</v>
      </c>
      <c r="I29" s="16">
        <v>9958378.6799999997</v>
      </c>
      <c r="J29" s="16">
        <v>136710643.62000006</v>
      </c>
      <c r="K29" s="16">
        <v>0</v>
      </c>
      <c r="L29" s="16">
        <v>0</v>
      </c>
      <c r="M29" s="16">
        <v>0</v>
      </c>
      <c r="N29" s="18">
        <f t="shared" si="0"/>
        <v>1336656456.899811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392736897.53999996</v>
      </c>
      <c r="C30" s="16">
        <v>0</v>
      </c>
      <c r="D30" s="16">
        <v>16553591.528402058</v>
      </c>
      <c r="E30" s="16">
        <v>6522499.5899999999</v>
      </c>
      <c r="F30" s="16">
        <v>2873208.77</v>
      </c>
      <c r="G30" s="16">
        <v>1938115.62</v>
      </c>
      <c r="H30" s="16">
        <v>22465020.059999999</v>
      </c>
      <c r="I30" s="16">
        <v>8601135.3100000005</v>
      </c>
      <c r="J30" s="16">
        <v>106203712.46000001</v>
      </c>
      <c r="K30" s="16">
        <v>0</v>
      </c>
      <c r="L30" s="16">
        <v>0</v>
      </c>
      <c r="M30" s="16">
        <v>0</v>
      </c>
      <c r="N30" s="18">
        <f t="shared" si="0"/>
        <v>557894180.87840199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646151031.72000015</v>
      </c>
      <c r="C31" s="16">
        <v>0</v>
      </c>
      <c r="D31" s="16">
        <v>24793981.227875393</v>
      </c>
      <c r="E31" s="16">
        <v>10731153.25</v>
      </c>
      <c r="F31" s="16">
        <v>3432034.69</v>
      </c>
      <c r="G31" s="16">
        <v>1065963.5900000001</v>
      </c>
      <c r="H31" s="16">
        <v>36960611.479999997</v>
      </c>
      <c r="I31" s="16">
        <v>10274016.68</v>
      </c>
      <c r="J31" s="16">
        <v>75269456.650000036</v>
      </c>
      <c r="K31" s="16">
        <v>0</v>
      </c>
      <c r="L31" s="16">
        <v>0</v>
      </c>
      <c r="M31" s="16">
        <v>0</v>
      </c>
      <c r="N31" s="18">
        <f t="shared" si="0"/>
        <v>808678249.28787565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3492824247.5899992</v>
      </c>
      <c r="C32" s="16">
        <v>0</v>
      </c>
      <c r="D32" s="16">
        <v>43895748.135478303</v>
      </c>
      <c r="E32" s="16">
        <v>59016424.719999999</v>
      </c>
      <c r="F32" s="16">
        <v>10122129.98</v>
      </c>
      <c r="G32" s="16">
        <v>5833728.0300000003</v>
      </c>
      <c r="H32" s="16">
        <v>199793722.59999999</v>
      </c>
      <c r="I32" s="16">
        <v>30301247.34</v>
      </c>
      <c r="J32" s="16">
        <v>235513632.47999996</v>
      </c>
      <c r="K32" s="16">
        <v>0</v>
      </c>
      <c r="L32" s="16">
        <v>0</v>
      </c>
      <c r="M32" s="16">
        <v>0</v>
      </c>
      <c r="N32" s="18">
        <f t="shared" si="0"/>
        <v>4077300880.8754778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1817063690.9499993</v>
      </c>
      <c r="C33" s="16">
        <v>0</v>
      </c>
      <c r="D33" s="16">
        <v>40065097.180555239</v>
      </c>
      <c r="E33" s="16">
        <v>31190896.420000002</v>
      </c>
      <c r="F33" s="16">
        <v>7428167.2599999998</v>
      </c>
      <c r="G33" s="16">
        <v>4690239.8099999996</v>
      </c>
      <c r="H33" s="16">
        <v>103938215.41</v>
      </c>
      <c r="I33" s="16">
        <v>22236696.620000001</v>
      </c>
      <c r="J33" s="16">
        <v>224649602.92999989</v>
      </c>
      <c r="K33" s="16">
        <v>0</v>
      </c>
      <c r="L33" s="16">
        <v>0</v>
      </c>
      <c r="M33" s="16">
        <v>0</v>
      </c>
      <c r="N33" s="18">
        <f t="shared" si="0"/>
        <v>2251262606.5805545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2541732763.4400001</v>
      </c>
      <c r="C34" s="16">
        <v>0</v>
      </c>
      <c r="D34" s="16">
        <v>34810116.464318916</v>
      </c>
      <c r="E34" s="16">
        <v>38770543.07</v>
      </c>
      <c r="F34" s="16">
        <v>10802210.59</v>
      </c>
      <c r="G34" s="16">
        <v>7829987.1200000001</v>
      </c>
      <c r="H34" s="16">
        <v>145390152.69</v>
      </c>
      <c r="I34" s="16">
        <v>32337112.399999999</v>
      </c>
      <c r="J34" s="16">
        <v>282586414.9799999</v>
      </c>
      <c r="K34" s="16">
        <v>0</v>
      </c>
      <c r="L34" s="16">
        <v>0</v>
      </c>
      <c r="M34" s="16">
        <v>0</v>
      </c>
      <c r="N34" s="18">
        <f t="shared" si="0"/>
        <v>3094259300.7543192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1286067562.3800001</v>
      </c>
      <c r="C35" s="16">
        <v>0</v>
      </c>
      <c r="D35" s="16">
        <v>27728055.1860766</v>
      </c>
      <c r="E35" s="16">
        <v>22806916.940000001</v>
      </c>
      <c r="F35" s="16">
        <v>6753358.5999999996</v>
      </c>
      <c r="G35" s="16">
        <v>3042841.53</v>
      </c>
      <c r="H35" s="16">
        <v>73564602.049999997</v>
      </c>
      <c r="I35" s="16">
        <v>20216613.460000001</v>
      </c>
      <c r="J35" s="16">
        <v>101562404.39999999</v>
      </c>
      <c r="K35" s="16">
        <v>0</v>
      </c>
      <c r="L35" s="16">
        <v>0</v>
      </c>
      <c r="M35" s="16">
        <v>0</v>
      </c>
      <c r="N35" s="18">
        <f t="shared" si="0"/>
        <v>1541742354.5460768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1459863449.7700002</v>
      </c>
      <c r="C36" s="16">
        <v>0</v>
      </c>
      <c r="D36" s="16">
        <v>24148970.687292766</v>
      </c>
      <c r="E36" s="16">
        <v>24586346.52</v>
      </c>
      <c r="F36" s="16">
        <v>4249185.8099999996</v>
      </c>
      <c r="G36" s="16">
        <v>1763685.22</v>
      </c>
      <c r="H36" s="16">
        <v>83505934.579999998</v>
      </c>
      <c r="I36" s="16">
        <v>12720211.119999999</v>
      </c>
      <c r="J36" s="16">
        <v>102282930.11999999</v>
      </c>
      <c r="K36" s="16">
        <v>0</v>
      </c>
      <c r="L36" s="16">
        <v>0</v>
      </c>
      <c r="M36" s="16">
        <v>0</v>
      </c>
      <c r="N36" s="18">
        <f t="shared" si="0"/>
        <v>1713120713.8272927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1490962608.3499997</v>
      </c>
      <c r="C37" s="16">
        <v>0</v>
      </c>
      <c r="D37" s="16">
        <v>30258429.770363703</v>
      </c>
      <c r="E37" s="16">
        <v>24761622.989999998</v>
      </c>
      <c r="F37" s="16">
        <v>7881554.3399999999</v>
      </c>
      <c r="G37" s="16">
        <v>2693980.72</v>
      </c>
      <c r="H37" s="16">
        <v>85284843.629999995</v>
      </c>
      <c r="I37" s="16">
        <v>23593939.989999998</v>
      </c>
      <c r="J37" s="16">
        <v>173614449.13</v>
      </c>
      <c r="K37" s="16">
        <v>0</v>
      </c>
      <c r="L37" s="16">
        <v>0</v>
      </c>
      <c r="M37" s="16">
        <v>0</v>
      </c>
      <c r="N37" s="18">
        <f t="shared" si="0"/>
        <v>1839051428.9203634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1261569640.3000002</v>
      </c>
      <c r="C38" s="16">
        <v>0</v>
      </c>
      <c r="D38" s="16">
        <v>11398632.4367545</v>
      </c>
      <c r="E38" s="16">
        <v>21910118.790000003</v>
      </c>
      <c r="F38" s="16">
        <v>7043315.4500000002</v>
      </c>
      <c r="G38" s="16">
        <v>7461745.1500000004</v>
      </c>
      <c r="H38" s="16">
        <v>72163291.620000005</v>
      </c>
      <c r="I38" s="16">
        <v>21084617.940000001</v>
      </c>
      <c r="J38" s="16">
        <v>286500439.28000003</v>
      </c>
      <c r="K38" s="16">
        <v>0</v>
      </c>
      <c r="L38" s="16">
        <v>0</v>
      </c>
      <c r="M38" s="16">
        <v>0</v>
      </c>
      <c r="N38" s="18">
        <f t="shared" si="0"/>
        <v>1689131800.9667547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2459327327.9499998</v>
      </c>
      <c r="C39" s="16">
        <v>0</v>
      </c>
      <c r="D39" s="16">
        <v>50774577.949300081</v>
      </c>
      <c r="E39" s="16">
        <v>41216661.659999996</v>
      </c>
      <c r="F39" s="16">
        <v>8972846.4800000004</v>
      </c>
      <c r="G39" s="16">
        <v>4651477.5</v>
      </c>
      <c r="H39" s="16">
        <v>140676463.25999999</v>
      </c>
      <c r="I39" s="16">
        <v>26860793.219999999</v>
      </c>
      <c r="J39" s="16">
        <v>248729507.64000008</v>
      </c>
      <c r="K39" s="16">
        <v>0</v>
      </c>
      <c r="L39" s="16">
        <v>0</v>
      </c>
      <c r="M39" s="16">
        <v>0</v>
      </c>
      <c r="N39" s="18">
        <f t="shared" si="0"/>
        <v>2981209655.6592999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1608868026.7699997</v>
      </c>
      <c r="C40" s="16">
        <v>0</v>
      </c>
      <c r="D40" s="16">
        <v>37821010.962969303</v>
      </c>
      <c r="E40" s="16">
        <v>26933362.069999997</v>
      </c>
      <c r="F40" s="16">
        <v>4792195.91</v>
      </c>
      <c r="G40" s="16">
        <v>2035021.4</v>
      </c>
      <c r="H40" s="16">
        <v>92029174.519999996</v>
      </c>
      <c r="I40" s="16">
        <v>14345746.789999999</v>
      </c>
      <c r="J40" s="16">
        <v>137029837.53</v>
      </c>
      <c r="K40" s="16">
        <v>0</v>
      </c>
      <c r="L40" s="16">
        <v>0</v>
      </c>
      <c r="M40" s="16">
        <v>0</v>
      </c>
      <c r="N40" s="18">
        <f t="shared" ref="N40:N71" si="1">SUM(B40:M40)</f>
        <v>1923854375.9529691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1798653575.8600001</v>
      </c>
      <c r="C41" s="16">
        <v>0</v>
      </c>
      <c r="D41" s="16">
        <v>16248404.979066104</v>
      </c>
      <c r="E41" s="16">
        <v>30255764.82</v>
      </c>
      <c r="F41" s="16">
        <v>8113519.8099999996</v>
      </c>
      <c r="G41" s="16">
        <v>3546751.59</v>
      </c>
      <c r="H41" s="16">
        <v>102885134.81</v>
      </c>
      <c r="I41" s="16">
        <v>24288343.57</v>
      </c>
      <c r="J41" s="16">
        <v>140610631.58000001</v>
      </c>
      <c r="K41" s="16">
        <v>0</v>
      </c>
      <c r="L41" s="16">
        <v>0</v>
      </c>
      <c r="M41" s="16">
        <v>0</v>
      </c>
      <c r="N41" s="18">
        <f t="shared" si="1"/>
        <v>2124602127.0190659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1028362624.47</v>
      </c>
      <c r="C42" s="16">
        <v>0</v>
      </c>
      <c r="D42" s="16">
        <v>10601517.027354587</v>
      </c>
      <c r="E42" s="16">
        <v>18457518.989999998</v>
      </c>
      <c r="F42" s="16">
        <v>22036720.489999998</v>
      </c>
      <c r="G42" s="16">
        <v>0</v>
      </c>
      <c r="H42" s="16">
        <v>58823571.520000003</v>
      </c>
      <c r="I42" s="16">
        <v>65968340.57</v>
      </c>
      <c r="J42" s="16">
        <v>214266443.59999993</v>
      </c>
      <c r="K42" s="16">
        <v>0</v>
      </c>
      <c r="L42" s="16">
        <v>0</v>
      </c>
      <c r="M42" s="16">
        <v>0</v>
      </c>
      <c r="N42" s="18">
        <f t="shared" si="1"/>
        <v>1418516736.6673543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6550260275.2300005</v>
      </c>
      <c r="C43" s="16">
        <v>0</v>
      </c>
      <c r="D43" s="16">
        <v>47302659.536034979</v>
      </c>
      <c r="E43" s="16">
        <v>109721267.45</v>
      </c>
      <c r="F43" s="16">
        <v>91636908.049999997</v>
      </c>
      <c r="G43" s="16">
        <v>28335250.420000002</v>
      </c>
      <c r="H43" s="16">
        <v>374682718.5</v>
      </c>
      <c r="I43" s="16">
        <v>274320979.83999997</v>
      </c>
      <c r="J43" s="16">
        <v>701724396.69000006</v>
      </c>
      <c r="K43" s="16">
        <v>0</v>
      </c>
      <c r="L43" s="16">
        <v>0</v>
      </c>
      <c r="M43" s="16">
        <v>0</v>
      </c>
      <c r="N43" s="18">
        <f t="shared" si="1"/>
        <v>8177984455.7160358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5752390824.749999</v>
      </c>
      <c r="C44" s="16">
        <v>0</v>
      </c>
      <c r="D44" s="16">
        <v>47963250.12358959</v>
      </c>
      <c r="E44" s="16">
        <v>97979092.75</v>
      </c>
      <c r="F44" s="16">
        <v>115302658.84999999</v>
      </c>
      <c r="G44" s="16">
        <v>49868810.462545261</v>
      </c>
      <c r="H44" s="16">
        <v>329043632.08999997</v>
      </c>
      <c r="I44" s="16">
        <v>345165927.41000003</v>
      </c>
      <c r="J44" s="16">
        <v>907436028.0399996</v>
      </c>
      <c r="K44" s="16">
        <v>0</v>
      </c>
      <c r="L44" s="16">
        <v>0</v>
      </c>
      <c r="M44" s="16">
        <v>0</v>
      </c>
      <c r="N44" s="18">
        <f t="shared" si="1"/>
        <v>7645150224.4761343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1676163965.4200001</v>
      </c>
      <c r="C45" s="16">
        <v>0</v>
      </c>
      <c r="D45" s="16">
        <v>13519928.907043125</v>
      </c>
      <c r="E45" s="16">
        <v>28792885.010000002</v>
      </c>
      <c r="F45" s="16">
        <v>8587994.6600000001</v>
      </c>
      <c r="G45" s="16">
        <v>4438284.78</v>
      </c>
      <c r="H45" s="16">
        <v>95878582.659999996</v>
      </c>
      <c r="I45" s="16">
        <v>25708714.539999999</v>
      </c>
      <c r="J45" s="16">
        <v>135846116.73000002</v>
      </c>
      <c r="K45" s="16">
        <v>0</v>
      </c>
      <c r="L45" s="16">
        <v>0</v>
      </c>
      <c r="M45" s="16">
        <v>0</v>
      </c>
      <c r="N45" s="18">
        <f t="shared" si="1"/>
        <v>1988936472.7070434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2279040224.6900001</v>
      </c>
      <c r="C46" s="16">
        <v>0</v>
      </c>
      <c r="D46" s="16">
        <v>23253044.823589593</v>
      </c>
      <c r="E46" s="16">
        <v>30030918.949999999</v>
      </c>
      <c r="F46" s="16">
        <v>67739191.780000001</v>
      </c>
      <c r="G46" s="16">
        <v>0</v>
      </c>
      <c r="H46" s="16">
        <v>130363825.42</v>
      </c>
      <c r="I46" s="16">
        <v>202781628.69999999</v>
      </c>
      <c r="J46" s="16">
        <v>574748647.17999995</v>
      </c>
      <c r="K46" s="16">
        <v>0</v>
      </c>
      <c r="L46" s="16">
        <v>0</v>
      </c>
      <c r="M46" s="16">
        <v>0</v>
      </c>
      <c r="N46" s="18">
        <f t="shared" si="1"/>
        <v>3307957481.5435896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7298033675.4499989</v>
      </c>
      <c r="C47" s="16">
        <v>0</v>
      </c>
      <c r="D47" s="16">
        <v>37635522.708329611</v>
      </c>
      <c r="E47" s="16">
        <v>100272460.58</v>
      </c>
      <c r="F47" s="16">
        <v>211172936.88999999</v>
      </c>
      <c r="G47" s="16">
        <v>55729888.218145259</v>
      </c>
      <c r="H47" s="16">
        <v>417456250.94999999</v>
      </c>
      <c r="I47" s="16">
        <v>632159772.67999995</v>
      </c>
      <c r="J47" s="16">
        <v>1382908614.1200001</v>
      </c>
      <c r="K47" s="16">
        <v>0</v>
      </c>
      <c r="L47" s="16">
        <v>0</v>
      </c>
      <c r="M47" s="16">
        <v>0</v>
      </c>
      <c r="N47" s="18">
        <f t="shared" si="1"/>
        <v>10135369121.596474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670538933.17000008</v>
      </c>
      <c r="C48" s="16">
        <v>0</v>
      </c>
      <c r="D48" s="16">
        <v>13881665.241671706</v>
      </c>
      <c r="E48" s="16">
        <v>11145004.949999999</v>
      </c>
      <c r="F48" s="16">
        <v>1834636.06</v>
      </c>
      <c r="G48" s="16">
        <v>1201631.69</v>
      </c>
      <c r="H48" s="16">
        <v>38355628.600000001</v>
      </c>
      <c r="I48" s="16">
        <v>5492101.0800000001</v>
      </c>
      <c r="J48" s="16">
        <v>74194906.590000004</v>
      </c>
      <c r="K48" s="16">
        <v>0</v>
      </c>
      <c r="L48" s="16">
        <v>0</v>
      </c>
      <c r="M48" s="16">
        <v>0</v>
      </c>
      <c r="N48" s="18">
        <f t="shared" si="1"/>
        <v>816644507.38167191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1386516377.6500001</v>
      </c>
      <c r="C49" s="16">
        <v>0</v>
      </c>
      <c r="D49" s="16">
        <v>33518367.616908856</v>
      </c>
      <c r="E49" s="16">
        <v>22362728.870000001</v>
      </c>
      <c r="F49" s="16">
        <v>10833842.25</v>
      </c>
      <c r="G49" s="16">
        <v>5039100.62</v>
      </c>
      <c r="H49" s="16">
        <v>79310394.370000005</v>
      </c>
      <c r="I49" s="16">
        <v>32431803.800000001</v>
      </c>
      <c r="J49" s="16">
        <v>174625056.48999995</v>
      </c>
      <c r="K49" s="16">
        <v>0</v>
      </c>
      <c r="L49" s="16">
        <v>0</v>
      </c>
      <c r="M49" s="16">
        <v>0</v>
      </c>
      <c r="N49" s="18">
        <f t="shared" si="1"/>
        <v>1744637671.6669087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841400937.71000004</v>
      </c>
      <c r="C50" s="16">
        <v>0</v>
      </c>
      <c r="D50" s="16">
        <v>21395025.743798941</v>
      </c>
      <c r="E50" s="16">
        <v>14772909.120000001</v>
      </c>
      <c r="F50" s="16">
        <v>3036638.99</v>
      </c>
      <c r="G50" s="16">
        <v>1395443.25</v>
      </c>
      <c r="H50" s="16">
        <v>48129139.530000001</v>
      </c>
      <c r="I50" s="16">
        <v>9090374.1999999993</v>
      </c>
      <c r="J50" s="16">
        <v>126192320.74999997</v>
      </c>
      <c r="K50" s="16">
        <v>0</v>
      </c>
      <c r="L50" s="16">
        <v>0</v>
      </c>
      <c r="M50" s="16">
        <v>0</v>
      </c>
      <c r="N50" s="18">
        <f t="shared" si="1"/>
        <v>1065412789.293799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831865818.29999995</v>
      </c>
      <c r="C51" s="16">
        <v>0</v>
      </c>
      <c r="D51" s="16">
        <v>18297144.416635897</v>
      </c>
      <c r="E51" s="16">
        <v>13815469.060000001</v>
      </c>
      <c r="F51" s="16">
        <v>3785254.86</v>
      </c>
      <c r="G51" s="16">
        <v>1802447.53</v>
      </c>
      <c r="H51" s="16">
        <v>47583719.299999997</v>
      </c>
      <c r="I51" s="16">
        <v>11331403.949999999</v>
      </c>
      <c r="J51" s="16">
        <v>87547504.809999958</v>
      </c>
      <c r="K51" s="16">
        <v>0</v>
      </c>
      <c r="L51" s="16">
        <v>0</v>
      </c>
      <c r="M51" s="16">
        <v>0</v>
      </c>
      <c r="N51" s="18">
        <f t="shared" si="1"/>
        <v>1016028762.2266357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987654999.46999991</v>
      </c>
      <c r="C52" s="16">
        <v>0</v>
      </c>
      <c r="D52" s="16">
        <v>26623098.374326095</v>
      </c>
      <c r="E52" s="16">
        <v>18085694.699999999</v>
      </c>
      <c r="F52" s="16">
        <v>3484754.12</v>
      </c>
      <c r="G52" s="16">
        <v>2306357.59</v>
      </c>
      <c r="H52" s="16">
        <v>56495046.700000003</v>
      </c>
      <c r="I52" s="16">
        <v>10431835.67</v>
      </c>
      <c r="J52" s="16">
        <v>112220049.67</v>
      </c>
      <c r="K52" s="16">
        <v>0</v>
      </c>
      <c r="L52" s="16">
        <v>0</v>
      </c>
      <c r="M52" s="16">
        <v>0</v>
      </c>
      <c r="N52" s="18">
        <f t="shared" si="1"/>
        <v>1217301836.2943263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341760682.41999996</v>
      </c>
      <c r="C53" s="16">
        <v>0</v>
      </c>
      <c r="D53" s="16">
        <v>19382714.924487136</v>
      </c>
      <c r="E53" s="16">
        <v>5675896.3200000003</v>
      </c>
      <c r="F53" s="16">
        <v>606273.41</v>
      </c>
      <c r="G53" s="16">
        <v>348860.81</v>
      </c>
      <c r="H53" s="16">
        <v>19549119.609999999</v>
      </c>
      <c r="I53" s="16">
        <v>1814918.46</v>
      </c>
      <c r="J53" s="16">
        <v>59348751.189999975</v>
      </c>
      <c r="K53" s="16">
        <v>0</v>
      </c>
      <c r="L53" s="16">
        <v>0</v>
      </c>
      <c r="M53" s="16">
        <v>0</v>
      </c>
      <c r="N53" s="18">
        <f t="shared" si="1"/>
        <v>448487217.14448708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1319953909.6900001</v>
      </c>
      <c r="C54" s="16">
        <v>0</v>
      </c>
      <c r="D54" s="16">
        <v>25651865.242681161</v>
      </c>
      <c r="E54" s="16">
        <v>21921543.109999999</v>
      </c>
      <c r="F54" s="16">
        <v>2082417.36</v>
      </c>
      <c r="G54" s="16">
        <v>1279156.31</v>
      </c>
      <c r="H54" s="16">
        <v>75502941.629999995</v>
      </c>
      <c r="I54" s="16">
        <v>6233850.3600000003</v>
      </c>
      <c r="J54" s="16">
        <v>135779054.88</v>
      </c>
      <c r="K54" s="16">
        <v>0</v>
      </c>
      <c r="L54" s="16">
        <v>0</v>
      </c>
      <c r="M54" s="16">
        <v>0</v>
      </c>
      <c r="N54" s="18">
        <f t="shared" si="1"/>
        <v>1588404738.5826807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603206320.96999979</v>
      </c>
      <c r="C55" s="16">
        <v>0</v>
      </c>
      <c r="D55" s="16">
        <v>11604285.80547699</v>
      </c>
      <c r="E55" s="16">
        <v>10017935.689999999</v>
      </c>
      <c r="F55" s="16">
        <v>3843246.23</v>
      </c>
      <c r="G55" s="16">
        <v>1996259.09</v>
      </c>
      <c r="H55" s="16">
        <v>34504122.689999998</v>
      </c>
      <c r="I55" s="16">
        <v>11505004.85</v>
      </c>
      <c r="J55" s="16">
        <v>95859022.929999992</v>
      </c>
      <c r="K55" s="16">
        <v>0</v>
      </c>
      <c r="L55" s="16">
        <v>0</v>
      </c>
      <c r="M55" s="16">
        <v>0</v>
      </c>
      <c r="N55" s="18">
        <f t="shared" si="1"/>
        <v>772536198.25547695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467257522.81</v>
      </c>
      <c r="C56" s="16">
        <v>0</v>
      </c>
      <c r="D56" s="16">
        <v>9352807.3145417832</v>
      </c>
      <c r="E56" s="16">
        <v>7760123.9299999997</v>
      </c>
      <c r="F56" s="16">
        <v>1086020.19</v>
      </c>
      <c r="G56" s="16">
        <v>542672.37</v>
      </c>
      <c r="H56" s="16">
        <v>26727688.91</v>
      </c>
      <c r="I56" s="16">
        <v>3251071.33</v>
      </c>
      <c r="J56" s="16">
        <v>79132014.790000021</v>
      </c>
      <c r="K56" s="16">
        <v>0</v>
      </c>
      <c r="L56" s="16">
        <v>0</v>
      </c>
      <c r="M56" s="16">
        <v>0</v>
      </c>
      <c r="N56" s="18">
        <f t="shared" si="1"/>
        <v>595109921.64454174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1090817656.4100001</v>
      </c>
      <c r="C57" s="16">
        <v>0</v>
      </c>
      <c r="D57" s="16">
        <v>18190046.592599742</v>
      </c>
      <c r="E57" s="16">
        <v>18808880.16</v>
      </c>
      <c r="F57" s="16">
        <v>5577715.3700000001</v>
      </c>
      <c r="G57" s="16">
        <v>2500169.15</v>
      </c>
      <c r="H57" s="16">
        <v>62396074.009999998</v>
      </c>
      <c r="I57" s="16">
        <v>16697249.84</v>
      </c>
      <c r="J57" s="16">
        <v>168955465.80000004</v>
      </c>
      <c r="K57" s="16">
        <v>0</v>
      </c>
      <c r="L57" s="16">
        <v>0</v>
      </c>
      <c r="M57" s="16">
        <v>0</v>
      </c>
      <c r="N57" s="18">
        <f t="shared" si="1"/>
        <v>1383943257.3325996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1103433352.8199999</v>
      </c>
      <c r="C58" s="16">
        <v>0</v>
      </c>
      <c r="D58" s="16">
        <v>11690903.488961846</v>
      </c>
      <c r="E58" s="16">
        <v>18325610.940000001</v>
      </c>
      <c r="F58" s="16">
        <v>3247516.7</v>
      </c>
      <c r="G58" s="16">
        <v>1569873.66</v>
      </c>
      <c r="H58" s="16">
        <v>63117706.93</v>
      </c>
      <c r="I58" s="16">
        <v>9721650.1899999995</v>
      </c>
      <c r="J58" s="16">
        <v>95614168.879999965</v>
      </c>
      <c r="K58" s="16">
        <v>0</v>
      </c>
      <c r="L58" s="16">
        <v>0</v>
      </c>
      <c r="M58" s="16">
        <v>0</v>
      </c>
      <c r="N58" s="18">
        <f t="shared" si="1"/>
        <v>1306720783.6089621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1083006193.24</v>
      </c>
      <c r="C59" s="16">
        <v>0</v>
      </c>
      <c r="D59" s="16">
        <v>21461290.420889542</v>
      </c>
      <c r="E59" s="16">
        <v>18852619.43</v>
      </c>
      <c r="F59" s="16">
        <v>3163165.62</v>
      </c>
      <c r="G59" s="16">
        <v>1434205.56</v>
      </c>
      <c r="H59" s="16">
        <v>61949248.979999997</v>
      </c>
      <c r="I59" s="16">
        <v>9469139.7899999991</v>
      </c>
      <c r="J59" s="16">
        <v>106941913.44999996</v>
      </c>
      <c r="K59" s="16">
        <v>0</v>
      </c>
      <c r="L59" s="16">
        <v>0</v>
      </c>
      <c r="M59" s="16">
        <v>0</v>
      </c>
      <c r="N59" s="18">
        <f t="shared" si="1"/>
        <v>1306277776.4908895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7824005529.6100006</v>
      </c>
      <c r="C60" s="16">
        <v>0</v>
      </c>
      <c r="D60" s="16">
        <v>199160790.8870042</v>
      </c>
      <c r="E60" s="16">
        <v>206278677.10999998</v>
      </c>
      <c r="F60" s="16">
        <v>174000468.90000001</v>
      </c>
      <c r="G60" s="16">
        <v>73784061.790000007</v>
      </c>
      <c r="H60" s="16">
        <v>447542469.80000001</v>
      </c>
      <c r="I60" s="16">
        <v>520881598.19</v>
      </c>
      <c r="J60" s="16">
        <v>1787593974.1999996</v>
      </c>
      <c r="K60" s="16">
        <v>0</v>
      </c>
      <c r="L60" s="16">
        <v>0</v>
      </c>
      <c r="M60" s="16">
        <v>0</v>
      </c>
      <c r="N60" s="18">
        <f t="shared" si="1"/>
        <v>11233247570.487003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1963097711.5399997</v>
      </c>
      <c r="C61" s="16">
        <v>0</v>
      </c>
      <c r="D61" s="16">
        <v>17660241.365364246</v>
      </c>
      <c r="E61" s="16">
        <v>34122429.640000001</v>
      </c>
      <c r="F61" s="16">
        <v>31062286.399999999</v>
      </c>
      <c r="G61" s="16">
        <v>6445749.163308084</v>
      </c>
      <c r="H61" s="16">
        <v>112291535.95999999</v>
      </c>
      <c r="I61" s="16">
        <v>92986952.780000001</v>
      </c>
      <c r="J61" s="16">
        <v>442620047.52000004</v>
      </c>
      <c r="K61" s="16">
        <v>0</v>
      </c>
      <c r="L61" s="16">
        <v>0</v>
      </c>
      <c r="M61" s="16">
        <v>0</v>
      </c>
      <c r="N61" s="18">
        <f t="shared" si="1"/>
        <v>2700286954.3686724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8227744488.0800009</v>
      </c>
      <c r="C62" s="16">
        <v>0</v>
      </c>
      <c r="D62" s="16">
        <v>84544298.959999979</v>
      </c>
      <c r="E62" s="16">
        <v>126590573.75999999</v>
      </c>
      <c r="F62" s="16">
        <v>139279454.25999999</v>
      </c>
      <c r="G62" s="16">
        <v>0</v>
      </c>
      <c r="H62" s="16">
        <v>470636820.88999999</v>
      </c>
      <c r="I62" s="16">
        <v>416942007.05000001</v>
      </c>
      <c r="J62" s="16">
        <v>880181339.74000001</v>
      </c>
      <c r="K62" s="16">
        <v>0</v>
      </c>
      <c r="L62" s="16">
        <v>0</v>
      </c>
      <c r="M62" s="16">
        <v>0</v>
      </c>
      <c r="N62" s="18">
        <f t="shared" si="1"/>
        <v>10345918982.74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1453298886.8099999</v>
      </c>
      <c r="C63" s="16">
        <v>0</v>
      </c>
      <c r="D63" s="16">
        <v>30639402.736302085</v>
      </c>
      <c r="E63" s="16">
        <v>24136111.079999998</v>
      </c>
      <c r="F63" s="16">
        <v>4908178.6500000004</v>
      </c>
      <c r="G63" s="16">
        <v>2500169.15</v>
      </c>
      <c r="H63" s="16">
        <v>83130433.730000004</v>
      </c>
      <c r="I63" s="16">
        <v>14692948.58</v>
      </c>
      <c r="J63" s="16">
        <v>118113179.97000001</v>
      </c>
      <c r="K63" s="16">
        <v>0</v>
      </c>
      <c r="L63" s="16">
        <v>0</v>
      </c>
      <c r="M63" s="16">
        <v>0</v>
      </c>
      <c r="N63" s="18">
        <f t="shared" si="1"/>
        <v>1731419310.7063022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2431602134.6800003</v>
      </c>
      <c r="C64" s="16">
        <v>0</v>
      </c>
      <c r="D64" s="16">
        <v>71473030.914529592</v>
      </c>
      <c r="E64" s="16">
        <v>45015921.359999999</v>
      </c>
      <c r="F64" s="16">
        <v>8983390.3599999994</v>
      </c>
      <c r="G64" s="16">
        <v>3895612.4</v>
      </c>
      <c r="H64" s="16">
        <v>139090549.06</v>
      </c>
      <c r="I64" s="16">
        <v>26892357.02</v>
      </c>
      <c r="J64" s="16">
        <v>250383701.39000008</v>
      </c>
      <c r="K64" s="16">
        <v>0</v>
      </c>
      <c r="L64" s="16">
        <v>0</v>
      </c>
      <c r="M64" s="16">
        <v>0</v>
      </c>
      <c r="N64" s="18">
        <f t="shared" si="1"/>
        <v>2977336697.1845303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1247743717.1900001</v>
      </c>
      <c r="C65" s="16">
        <v>0</v>
      </c>
      <c r="D65" s="16">
        <v>37193449.010297939</v>
      </c>
      <c r="E65" s="16">
        <v>20722289.98</v>
      </c>
      <c r="F65" s="16">
        <v>1955890.74</v>
      </c>
      <c r="G65" s="16">
        <v>1298537.47</v>
      </c>
      <c r="H65" s="16">
        <v>71372432.290000007</v>
      </c>
      <c r="I65" s="16">
        <v>5855084.7699999996</v>
      </c>
      <c r="J65" s="16">
        <v>149343755.86999997</v>
      </c>
      <c r="K65" s="16">
        <v>0</v>
      </c>
      <c r="L65" s="16">
        <v>0</v>
      </c>
      <c r="M65" s="16">
        <v>0</v>
      </c>
      <c r="N65" s="18">
        <f t="shared" si="1"/>
        <v>1535485157.320298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662287387.56000006</v>
      </c>
      <c r="C66" s="16">
        <v>0</v>
      </c>
      <c r="D66" s="16">
        <v>16148059.802486997</v>
      </c>
      <c r="E66" s="16">
        <v>11042169.35</v>
      </c>
      <c r="F66" s="16">
        <v>1913715.2</v>
      </c>
      <c r="G66" s="16">
        <v>1182250.53</v>
      </c>
      <c r="H66" s="16">
        <v>37883630.329999998</v>
      </c>
      <c r="I66" s="16">
        <v>5728829.5800000001</v>
      </c>
      <c r="J66" s="16">
        <v>66294077.660000026</v>
      </c>
      <c r="K66" s="16">
        <v>0</v>
      </c>
      <c r="L66" s="16">
        <v>0</v>
      </c>
      <c r="M66" s="16">
        <v>0</v>
      </c>
      <c r="N66" s="18">
        <f t="shared" si="1"/>
        <v>802480120.01248717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3052998529.6600003</v>
      </c>
      <c r="C67" s="16">
        <v>0</v>
      </c>
      <c r="D67" s="16">
        <v>27190292.780000001</v>
      </c>
      <c r="E67" s="16">
        <v>42570193.329999998</v>
      </c>
      <c r="F67" s="16">
        <v>51422529.119999997</v>
      </c>
      <c r="G67" s="16">
        <v>21921080.177543938</v>
      </c>
      <c r="H67" s="16">
        <v>174635165.72</v>
      </c>
      <c r="I67" s="16">
        <v>153936649.25999999</v>
      </c>
      <c r="J67" s="16">
        <v>427139663.17999989</v>
      </c>
      <c r="K67" s="16">
        <v>0</v>
      </c>
      <c r="L67" s="16">
        <v>0</v>
      </c>
      <c r="M67" s="16">
        <v>0</v>
      </c>
      <c r="N67" s="18">
        <f t="shared" si="1"/>
        <v>3951814103.2275443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1926204134.2800002</v>
      </c>
      <c r="C68" s="16">
        <v>0</v>
      </c>
      <c r="D68" s="16">
        <v>33732297.57</v>
      </c>
      <c r="E68" s="16">
        <v>31990031.360000003</v>
      </c>
      <c r="F68" s="16">
        <v>45349251.119999997</v>
      </c>
      <c r="G68" s="16">
        <v>23142531.828411303</v>
      </c>
      <c r="H68" s="16">
        <v>110181179.23999999</v>
      </c>
      <c r="I68" s="16">
        <v>135755900.84999999</v>
      </c>
      <c r="J68" s="16">
        <v>358729236.19999981</v>
      </c>
      <c r="K68" s="16">
        <v>0</v>
      </c>
      <c r="L68" s="16">
        <v>0</v>
      </c>
      <c r="M68" s="16">
        <v>0</v>
      </c>
      <c r="N68" s="18">
        <f t="shared" si="1"/>
        <v>2665084562.448411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6883989453.3499994</v>
      </c>
      <c r="C69" s="16">
        <v>0</v>
      </c>
      <c r="D69" s="16">
        <v>31312930.988289796</v>
      </c>
      <c r="E69" s="16">
        <v>114327985.55000001</v>
      </c>
      <c r="F69" s="16">
        <v>133838809.39</v>
      </c>
      <c r="G69" s="16">
        <v>28823875.51095213</v>
      </c>
      <c r="H69" s="16">
        <v>393772426.45999998</v>
      </c>
      <c r="I69" s="16">
        <v>400655086.60000002</v>
      </c>
      <c r="J69" s="16">
        <v>837695279.98999965</v>
      </c>
      <c r="K69" s="16">
        <v>0</v>
      </c>
      <c r="L69" s="16">
        <v>0</v>
      </c>
      <c r="M69" s="16">
        <v>0</v>
      </c>
      <c r="N69" s="18">
        <f t="shared" si="1"/>
        <v>8824415847.839241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1431001376.8999999</v>
      </c>
      <c r="C70" s="16">
        <v>0</v>
      </c>
      <c r="D70" s="16">
        <v>46660432.888355076</v>
      </c>
      <c r="E70" s="16">
        <v>25747041.530000001</v>
      </c>
      <c r="F70" s="16">
        <v>29723212.949999999</v>
      </c>
      <c r="G70" s="16">
        <v>11473644.49</v>
      </c>
      <c r="H70" s="16">
        <v>81854989.510000005</v>
      </c>
      <c r="I70" s="16">
        <v>88978350.269999996</v>
      </c>
      <c r="J70" s="16">
        <v>356071713.06000018</v>
      </c>
      <c r="K70" s="16">
        <v>0</v>
      </c>
      <c r="L70" s="16">
        <v>0</v>
      </c>
      <c r="M70" s="16">
        <v>0</v>
      </c>
      <c r="N70" s="18">
        <f t="shared" si="1"/>
        <v>2071510761.5983551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5582408985.1099997</v>
      </c>
      <c r="C71" s="16">
        <v>0</v>
      </c>
      <c r="D71" s="16">
        <v>17687921.860000003</v>
      </c>
      <c r="E71" s="16">
        <v>535408.68000000005</v>
      </c>
      <c r="F71" s="16">
        <v>18715396.59</v>
      </c>
      <c r="G71" s="16">
        <v>11144164.84</v>
      </c>
      <c r="H71" s="16">
        <v>319320467.64999998</v>
      </c>
      <c r="I71" s="16">
        <v>56025743.780000001</v>
      </c>
      <c r="J71" s="16">
        <v>297590087.95999992</v>
      </c>
      <c r="K71" s="16">
        <v>0</v>
      </c>
      <c r="L71" s="16">
        <v>0</v>
      </c>
      <c r="M71" s="16">
        <v>0</v>
      </c>
      <c r="N71" s="18">
        <f t="shared" si="1"/>
        <v>6303428176.4699993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24142408828.130001</v>
      </c>
      <c r="C72" s="16">
        <v>0</v>
      </c>
      <c r="D72" s="16">
        <v>147452675.67876947</v>
      </c>
      <c r="E72" s="16">
        <v>321724604.65000004</v>
      </c>
      <c r="F72" s="16">
        <v>544565322.11000001</v>
      </c>
      <c r="G72" s="16">
        <v>0</v>
      </c>
      <c r="H72" s="16">
        <v>1380974646.9100001</v>
      </c>
      <c r="I72" s="16">
        <v>1630191325.1099999</v>
      </c>
      <c r="J72" s="16">
        <v>4359984897.4299984</v>
      </c>
      <c r="K72" s="16">
        <v>0</v>
      </c>
      <c r="L72" s="16">
        <v>0</v>
      </c>
      <c r="M72" s="16">
        <v>0</v>
      </c>
      <c r="N72" s="18">
        <f t="shared" ref="N72:N103" si="2">SUM(B72:M72)</f>
        <v>32527302300.018768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11624887480.190001</v>
      </c>
      <c r="C73" s="16">
        <v>0</v>
      </c>
      <c r="D73" s="16">
        <v>222025408.42797834</v>
      </c>
      <c r="E73" s="16">
        <v>175241335.67999998</v>
      </c>
      <c r="F73" s="16">
        <v>202126283.22</v>
      </c>
      <c r="G73" s="16">
        <v>104064936.05185378</v>
      </c>
      <c r="H73" s="16">
        <v>664957461.27999997</v>
      </c>
      <c r="I73" s="16">
        <v>605078032.86000001</v>
      </c>
      <c r="J73" s="16">
        <v>1899179275.1699994</v>
      </c>
      <c r="K73" s="16">
        <v>0</v>
      </c>
      <c r="L73" s="16">
        <v>0</v>
      </c>
      <c r="M73" s="16">
        <v>0</v>
      </c>
      <c r="N73" s="18">
        <f t="shared" si="2"/>
        <v>15497560212.879833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6007822003.3899984</v>
      </c>
      <c r="C74" s="16">
        <v>0</v>
      </c>
      <c r="D74" s="16">
        <v>69703105.060000002</v>
      </c>
      <c r="E74" s="16">
        <v>81666509.939999998</v>
      </c>
      <c r="F74" s="16">
        <v>146749797.06999999</v>
      </c>
      <c r="G74" s="16">
        <v>156731940.37211907</v>
      </c>
      <c r="H74" s="16">
        <v>343654600.87</v>
      </c>
      <c r="I74" s="16">
        <v>439304958.86000001</v>
      </c>
      <c r="J74" s="16">
        <v>1018811825.6100004</v>
      </c>
      <c r="K74" s="16">
        <v>0</v>
      </c>
      <c r="L74" s="16">
        <v>0</v>
      </c>
      <c r="M74" s="16">
        <v>0</v>
      </c>
      <c r="N74" s="18">
        <f t="shared" si="2"/>
        <v>8264444741.1721172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1045269124.6199999</v>
      </c>
      <c r="C75" s="16">
        <v>0</v>
      </c>
      <c r="D75" s="16">
        <v>20367299.361281939</v>
      </c>
      <c r="E75" s="16">
        <v>17546105.140000001</v>
      </c>
      <c r="F75" s="16">
        <v>2667603</v>
      </c>
      <c r="G75" s="16">
        <v>1279156.31</v>
      </c>
      <c r="H75" s="16">
        <v>59790643.539999999</v>
      </c>
      <c r="I75" s="16">
        <v>7985641.2300000004</v>
      </c>
      <c r="J75" s="16">
        <v>114815189.61000006</v>
      </c>
      <c r="K75" s="16">
        <v>0</v>
      </c>
      <c r="L75" s="16">
        <v>0</v>
      </c>
      <c r="M75" s="16">
        <v>0</v>
      </c>
      <c r="N75" s="18">
        <f t="shared" si="2"/>
        <v>1269720762.8112819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1013143107.0400001</v>
      </c>
      <c r="C76" s="16">
        <v>0</v>
      </c>
      <c r="D76" s="16">
        <v>30264448.128611889</v>
      </c>
      <c r="E76" s="16">
        <v>16826087.740000002</v>
      </c>
      <c r="F76" s="16">
        <v>4802739.8</v>
      </c>
      <c r="G76" s="16">
        <v>3004079.22</v>
      </c>
      <c r="H76" s="16">
        <v>57952996.93</v>
      </c>
      <c r="I76" s="16">
        <v>14377310.59</v>
      </c>
      <c r="J76" s="16">
        <v>170494250.81999993</v>
      </c>
      <c r="K76" s="16">
        <v>0</v>
      </c>
      <c r="L76" s="16">
        <v>0</v>
      </c>
      <c r="M76" s="16">
        <v>0</v>
      </c>
      <c r="N76" s="18">
        <f t="shared" si="2"/>
        <v>1310865020.2686119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1080512392.8000002</v>
      </c>
      <c r="C77" s="16">
        <v>0</v>
      </c>
      <c r="D77" s="16">
        <v>17883235.448195338</v>
      </c>
      <c r="E77" s="16">
        <v>18265301.239999998</v>
      </c>
      <c r="F77" s="16">
        <v>5640978.6900000004</v>
      </c>
      <c r="G77" s="16">
        <v>1918734.47</v>
      </c>
      <c r="H77" s="16">
        <v>61806600.609999999</v>
      </c>
      <c r="I77" s="16">
        <v>16886632.629999999</v>
      </c>
      <c r="J77" s="16">
        <v>115848670.80000003</v>
      </c>
      <c r="K77" s="16">
        <v>0</v>
      </c>
      <c r="L77" s="16">
        <v>0</v>
      </c>
      <c r="M77" s="16">
        <v>0</v>
      </c>
      <c r="N77" s="18">
        <f t="shared" si="2"/>
        <v>1318762546.6881957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426219835.97000003</v>
      </c>
      <c r="C78" s="16">
        <v>0</v>
      </c>
      <c r="D78" s="16">
        <v>8794043.2282025144</v>
      </c>
      <c r="E78" s="16">
        <v>7078577.8399999999</v>
      </c>
      <c r="F78" s="16">
        <v>2003338.22</v>
      </c>
      <c r="G78" s="16">
        <v>678340.47</v>
      </c>
      <c r="H78" s="16">
        <v>24380284.16</v>
      </c>
      <c r="I78" s="16">
        <v>5997121.8700000001</v>
      </c>
      <c r="J78" s="16">
        <v>49681438.809999987</v>
      </c>
      <c r="K78" s="16">
        <v>0</v>
      </c>
      <c r="L78" s="16">
        <v>0</v>
      </c>
      <c r="M78" s="16">
        <v>0</v>
      </c>
      <c r="N78" s="18">
        <f t="shared" si="2"/>
        <v>524832980.56820261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2212954512.6900001</v>
      </c>
      <c r="C79" s="16">
        <v>0</v>
      </c>
      <c r="D79" s="16">
        <v>71487307.87321046</v>
      </c>
      <c r="E79" s="16">
        <v>37837565.870000005</v>
      </c>
      <c r="F79" s="16">
        <v>10069410.560000001</v>
      </c>
      <c r="G79" s="16">
        <v>5039100.62</v>
      </c>
      <c r="H79" s="16">
        <v>126583643.69</v>
      </c>
      <c r="I79" s="16">
        <v>30143428.350000001</v>
      </c>
      <c r="J79" s="16">
        <v>269126725.60000014</v>
      </c>
      <c r="K79" s="16">
        <v>0</v>
      </c>
      <c r="L79" s="16">
        <v>0</v>
      </c>
      <c r="M79" s="16">
        <v>0</v>
      </c>
      <c r="N79" s="18">
        <f t="shared" si="2"/>
        <v>2763241695.2532101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1214627514.1399999</v>
      </c>
      <c r="C80" s="16">
        <v>0</v>
      </c>
      <c r="D80" s="16">
        <v>38332178.384919845</v>
      </c>
      <c r="E80" s="16">
        <v>20172302.379999999</v>
      </c>
      <c r="F80" s="16">
        <v>3258060.59</v>
      </c>
      <c r="G80" s="16">
        <v>2015640.25</v>
      </c>
      <c r="H80" s="16">
        <v>69478145.890000001</v>
      </c>
      <c r="I80" s="16">
        <v>9753213.9900000002</v>
      </c>
      <c r="J80" s="16">
        <v>173932603.31999996</v>
      </c>
      <c r="K80" s="16">
        <v>0</v>
      </c>
      <c r="L80" s="16">
        <v>0</v>
      </c>
      <c r="M80" s="16">
        <v>0</v>
      </c>
      <c r="N80" s="18">
        <f t="shared" si="2"/>
        <v>1531569658.9449198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675306492.8900001</v>
      </c>
      <c r="C81" s="16">
        <v>0</v>
      </c>
      <c r="D81" s="16">
        <v>31344889.307595737</v>
      </c>
      <c r="E81" s="16">
        <v>11788558.02</v>
      </c>
      <c r="F81" s="16">
        <v>8461468.0299999993</v>
      </c>
      <c r="G81" s="16">
        <v>4612715.18</v>
      </c>
      <c r="H81" s="16">
        <v>38628338.719999999</v>
      </c>
      <c r="I81" s="16">
        <v>25329948.949999999</v>
      </c>
      <c r="J81" s="16">
        <v>203356146.61000001</v>
      </c>
      <c r="K81" s="16">
        <v>0</v>
      </c>
      <c r="L81" s="16">
        <v>0</v>
      </c>
      <c r="M81" s="16">
        <v>0</v>
      </c>
      <c r="N81" s="18">
        <f t="shared" si="2"/>
        <v>998828557.70759583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11179927467.199999</v>
      </c>
      <c r="C82" s="16">
        <v>0</v>
      </c>
      <c r="D82" s="16">
        <v>88350387.059999987</v>
      </c>
      <c r="E82" s="16">
        <v>148537565.82000002</v>
      </c>
      <c r="F82" s="16">
        <v>243864253.59</v>
      </c>
      <c r="G82" s="16">
        <v>178198724.72491765</v>
      </c>
      <c r="H82" s="16">
        <v>639505216.59000003</v>
      </c>
      <c r="I82" s="16">
        <v>730023332.45000005</v>
      </c>
      <c r="J82" s="16">
        <v>1688029910.6800005</v>
      </c>
      <c r="K82" s="16">
        <v>0</v>
      </c>
      <c r="L82" s="16">
        <v>0</v>
      </c>
      <c r="M82" s="16">
        <v>0</v>
      </c>
      <c r="N82" s="18">
        <f t="shared" si="2"/>
        <v>14896436858.114918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2757263134.9100003</v>
      </c>
      <c r="C83" s="16">
        <v>0</v>
      </c>
      <c r="D83" s="16">
        <v>32089274.131263647</v>
      </c>
      <c r="E83" s="16">
        <v>39793469.860000007</v>
      </c>
      <c r="F83" s="16">
        <v>27002890.52</v>
      </c>
      <c r="G83" s="16">
        <v>12307034.210000001</v>
      </c>
      <c r="H83" s="16">
        <v>157718747.59</v>
      </c>
      <c r="I83" s="16">
        <v>80834890.049999997</v>
      </c>
      <c r="J83" s="16">
        <v>365342892.3599999</v>
      </c>
      <c r="K83" s="16">
        <v>0</v>
      </c>
      <c r="L83" s="16">
        <v>0</v>
      </c>
      <c r="M83" s="16">
        <v>0</v>
      </c>
      <c r="N83" s="18">
        <f t="shared" si="2"/>
        <v>3472352333.6312647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1205239088.9299998</v>
      </c>
      <c r="C84" s="16">
        <v>0</v>
      </c>
      <c r="D84" s="16">
        <v>18051144.100569587</v>
      </c>
      <c r="E84" s="16">
        <v>20216166.780000001</v>
      </c>
      <c r="F84" s="16">
        <v>5419557.0899999999</v>
      </c>
      <c r="G84" s="16">
        <v>1581011.6235841918</v>
      </c>
      <c r="H84" s="16">
        <v>68941116.739999995</v>
      </c>
      <c r="I84" s="16">
        <v>16223792.85</v>
      </c>
      <c r="J84" s="16">
        <v>150234795.51999995</v>
      </c>
      <c r="K84" s="16">
        <v>0</v>
      </c>
      <c r="L84" s="16">
        <v>0</v>
      </c>
      <c r="M84" s="16">
        <v>0</v>
      </c>
      <c r="N84" s="18">
        <f t="shared" si="2"/>
        <v>1485906673.6341534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903965990.18000007</v>
      </c>
      <c r="C85" s="16">
        <v>0</v>
      </c>
      <c r="D85" s="16">
        <v>18819041.602648038</v>
      </c>
      <c r="E85" s="16">
        <v>15742212.380000001</v>
      </c>
      <c r="F85" s="16">
        <v>2562164.15</v>
      </c>
      <c r="G85" s="16">
        <v>1259775.1599999999</v>
      </c>
      <c r="H85" s="16">
        <v>51707935.32</v>
      </c>
      <c r="I85" s="16">
        <v>7670003.2300000004</v>
      </c>
      <c r="J85" s="16">
        <v>88564350.600000024</v>
      </c>
      <c r="K85" s="16">
        <v>0</v>
      </c>
      <c r="L85" s="16">
        <v>0</v>
      </c>
      <c r="M85" s="16">
        <v>0</v>
      </c>
      <c r="N85" s="18">
        <f t="shared" si="2"/>
        <v>1090291472.6226482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11635632826.25</v>
      </c>
      <c r="C86" s="16">
        <v>0</v>
      </c>
      <c r="D86" s="16">
        <v>30284831.110000003</v>
      </c>
      <c r="E86" s="16">
        <v>154046067.13</v>
      </c>
      <c r="F86" s="16">
        <v>153007593.06</v>
      </c>
      <c r="G86" s="16">
        <v>58335102.779314905</v>
      </c>
      <c r="H86" s="16">
        <v>665572107.91999996</v>
      </c>
      <c r="I86" s="16">
        <v>458038073.75999999</v>
      </c>
      <c r="J86" s="16">
        <v>745241858.32999992</v>
      </c>
      <c r="K86" s="16">
        <v>0</v>
      </c>
      <c r="L86" s="16">
        <v>0</v>
      </c>
      <c r="M86" s="16">
        <v>0</v>
      </c>
      <c r="N86" s="18">
        <f t="shared" si="2"/>
        <v>13900158460.339314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1874311080.78</v>
      </c>
      <c r="C87" s="16">
        <v>0</v>
      </c>
      <c r="D87" s="16">
        <v>19935716.493703175</v>
      </c>
      <c r="E87" s="16">
        <v>31229343.919999998</v>
      </c>
      <c r="F87" s="16">
        <v>4344080.78</v>
      </c>
      <c r="G87" s="16">
        <v>3663038.53</v>
      </c>
      <c r="H87" s="16">
        <v>107212834.54000001</v>
      </c>
      <c r="I87" s="16">
        <v>13004285.32</v>
      </c>
      <c r="J87" s="16">
        <v>168513585.04000008</v>
      </c>
      <c r="K87" s="16">
        <v>0</v>
      </c>
      <c r="L87" s="16">
        <v>0</v>
      </c>
      <c r="M87" s="16">
        <v>0</v>
      </c>
      <c r="N87" s="18">
        <f t="shared" si="2"/>
        <v>2222213965.4037032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1799056984.74</v>
      </c>
      <c r="C88" s="16">
        <v>0</v>
      </c>
      <c r="D88" s="16">
        <v>13567143.1000483</v>
      </c>
      <c r="E88" s="16">
        <v>29947652.079999998</v>
      </c>
      <c r="F88" s="16">
        <v>21319736.280000001</v>
      </c>
      <c r="G88" s="16">
        <v>7403601.6799999997</v>
      </c>
      <c r="H88" s="16">
        <v>102908210.28</v>
      </c>
      <c r="I88" s="16">
        <v>63822002.210000001</v>
      </c>
      <c r="J88" s="16">
        <v>256519086.41000003</v>
      </c>
      <c r="K88" s="16">
        <v>0</v>
      </c>
      <c r="L88" s="16">
        <v>0</v>
      </c>
      <c r="M88" s="16">
        <v>0</v>
      </c>
      <c r="N88" s="18">
        <f t="shared" si="2"/>
        <v>2294544416.7800484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2404757106.2800002</v>
      </c>
      <c r="C89" s="16">
        <v>0</v>
      </c>
      <c r="D89" s="16">
        <v>26827207.2150058</v>
      </c>
      <c r="E89" s="16">
        <v>46825736.530000001</v>
      </c>
      <c r="F89" s="16">
        <v>17929877.129999999</v>
      </c>
      <c r="G89" s="16">
        <v>8062560.9900000002</v>
      </c>
      <c r="H89" s="16">
        <v>137554981.34</v>
      </c>
      <c r="I89" s="16">
        <v>53674240.729999997</v>
      </c>
      <c r="J89" s="16">
        <v>263430622.12000006</v>
      </c>
      <c r="K89" s="16">
        <v>0</v>
      </c>
      <c r="L89" s="16">
        <v>0</v>
      </c>
      <c r="M89" s="16">
        <v>0</v>
      </c>
      <c r="N89" s="18">
        <f t="shared" si="2"/>
        <v>2959062332.3350062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10857493738.17</v>
      </c>
      <c r="C90" s="16">
        <v>0</v>
      </c>
      <c r="D90" s="16">
        <v>49822663.381479338</v>
      </c>
      <c r="E90" s="16">
        <v>146421778.56</v>
      </c>
      <c r="F90" s="16">
        <v>243215804.63999999</v>
      </c>
      <c r="G90" s="16">
        <v>73402862.018982291</v>
      </c>
      <c r="H90" s="16">
        <v>621061621.82000005</v>
      </c>
      <c r="I90" s="16">
        <v>728082158.78999996</v>
      </c>
      <c r="J90" s="16">
        <v>1535636137.3499994</v>
      </c>
      <c r="K90" s="16">
        <v>0</v>
      </c>
      <c r="L90" s="16">
        <v>0</v>
      </c>
      <c r="M90" s="16">
        <v>0</v>
      </c>
      <c r="N90" s="18">
        <f t="shared" si="2"/>
        <v>14255136764.730457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510862357.20000005</v>
      </c>
      <c r="C91" s="16">
        <v>0</v>
      </c>
      <c r="D91" s="16">
        <v>23774509.812175538</v>
      </c>
      <c r="E91" s="16">
        <v>8521196.5799999982</v>
      </c>
      <c r="F91" s="16">
        <v>5646250.6299999999</v>
      </c>
      <c r="G91" s="16">
        <v>2752124.19</v>
      </c>
      <c r="H91" s="16">
        <v>29221937.57</v>
      </c>
      <c r="I91" s="16">
        <v>16902414.530000001</v>
      </c>
      <c r="J91" s="16">
        <v>118429774.66999997</v>
      </c>
      <c r="K91" s="16">
        <v>0</v>
      </c>
      <c r="L91" s="16">
        <v>0</v>
      </c>
      <c r="M91" s="16">
        <v>0</v>
      </c>
      <c r="N91" s="18">
        <f t="shared" si="2"/>
        <v>716110565.18217564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686455247.83000016</v>
      </c>
      <c r="C92" s="16">
        <v>0</v>
      </c>
      <c r="D92" s="16">
        <v>1036449.7599999999</v>
      </c>
      <c r="E92" s="16">
        <v>13009334.139999999</v>
      </c>
      <c r="F92" s="16">
        <v>1207274.8700000001</v>
      </c>
      <c r="G92" s="16">
        <v>930295.5</v>
      </c>
      <c r="H92" s="16">
        <v>39266060.829999998</v>
      </c>
      <c r="I92" s="16">
        <v>3614055.02</v>
      </c>
      <c r="J92" s="16">
        <v>46050218.339999989</v>
      </c>
      <c r="K92" s="16">
        <v>0</v>
      </c>
      <c r="L92" s="16">
        <v>0</v>
      </c>
      <c r="M92" s="16">
        <v>0</v>
      </c>
      <c r="N92" s="18">
        <f t="shared" si="2"/>
        <v>791568936.2900002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8053068435.8099995</v>
      </c>
      <c r="C93" s="16">
        <v>0</v>
      </c>
      <c r="D93" s="16">
        <v>50681300.506794803</v>
      </c>
      <c r="E93" s="16">
        <v>107594813.5</v>
      </c>
      <c r="F93" s="16">
        <v>197117937.65000001</v>
      </c>
      <c r="G93" s="16">
        <v>40981581.484885521</v>
      </c>
      <c r="H93" s="16">
        <v>460645141.87</v>
      </c>
      <c r="I93" s="16">
        <v>590085228.19000006</v>
      </c>
      <c r="J93" s="16">
        <v>1585289503.7899995</v>
      </c>
      <c r="K93" s="16">
        <v>0</v>
      </c>
      <c r="L93" s="16">
        <v>0</v>
      </c>
      <c r="M93" s="16">
        <v>0</v>
      </c>
      <c r="N93" s="18">
        <f t="shared" si="2"/>
        <v>11085463942.80168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3972550772.77</v>
      </c>
      <c r="C94" s="16">
        <v>0</v>
      </c>
      <c r="D94" s="16">
        <v>72693323.750000015</v>
      </c>
      <c r="E94" s="16">
        <v>56220418.559999995</v>
      </c>
      <c r="F94" s="16">
        <v>89132735.269999996</v>
      </c>
      <c r="G94" s="16">
        <v>45278400.105649695</v>
      </c>
      <c r="H94" s="16">
        <v>227234653.34</v>
      </c>
      <c r="I94" s="16">
        <v>266824577.50999999</v>
      </c>
      <c r="J94" s="16">
        <v>748710362.77999985</v>
      </c>
      <c r="K94" s="16">
        <v>0</v>
      </c>
      <c r="L94" s="16">
        <v>0</v>
      </c>
      <c r="M94" s="16">
        <v>0</v>
      </c>
      <c r="N94" s="18">
        <f t="shared" si="2"/>
        <v>5478645244.0856495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805424198.7900002</v>
      </c>
      <c r="C95" s="16">
        <v>0</v>
      </c>
      <c r="D95" s="16">
        <v>18934293.86503844</v>
      </c>
      <c r="E95" s="16">
        <v>14084514.02</v>
      </c>
      <c r="F95" s="16">
        <v>4370440.5</v>
      </c>
      <c r="G95" s="16">
        <v>2209451.81</v>
      </c>
      <c r="H95" s="16">
        <v>46071227.049999997</v>
      </c>
      <c r="I95" s="16">
        <v>13083194.82</v>
      </c>
      <c r="J95" s="16">
        <v>119669640.26999997</v>
      </c>
      <c r="K95" s="16">
        <v>0</v>
      </c>
      <c r="L95" s="16">
        <v>0</v>
      </c>
      <c r="M95" s="16">
        <v>0</v>
      </c>
      <c r="N95" s="18">
        <f t="shared" si="2"/>
        <v>1023846961.1250385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2609835519.9300003</v>
      </c>
      <c r="C96" s="16">
        <v>0</v>
      </c>
      <c r="D96" s="16">
        <v>46583124.873296425</v>
      </c>
      <c r="E96" s="16">
        <v>186360</v>
      </c>
      <c r="F96" s="16">
        <v>24493445.789999999</v>
      </c>
      <c r="G96" s="16">
        <v>11299214.09</v>
      </c>
      <c r="H96" s="16">
        <v>149285711.77000001</v>
      </c>
      <c r="I96" s="16">
        <v>73322705.810000002</v>
      </c>
      <c r="J96" s="16">
        <v>405533251.37999988</v>
      </c>
      <c r="K96" s="16">
        <v>0</v>
      </c>
      <c r="L96" s="16">
        <v>0</v>
      </c>
      <c r="M96" s="16">
        <v>0</v>
      </c>
      <c r="N96" s="18">
        <f t="shared" si="2"/>
        <v>3320539333.6432962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1296042764.1700001</v>
      </c>
      <c r="C97" s="16">
        <v>0</v>
      </c>
      <c r="D97" s="16">
        <v>62126812.532603681</v>
      </c>
      <c r="E97" s="16">
        <v>23647605.710000001</v>
      </c>
      <c r="F97" s="16">
        <v>11308317.09</v>
      </c>
      <c r="G97" s="16">
        <v>5814346.8700000001</v>
      </c>
      <c r="H97" s="16">
        <v>74135195.519999996</v>
      </c>
      <c r="I97" s="16">
        <v>33852174.770000003</v>
      </c>
      <c r="J97" s="16">
        <v>275606777.68000007</v>
      </c>
      <c r="K97" s="16">
        <v>0</v>
      </c>
      <c r="L97" s="16">
        <v>0</v>
      </c>
      <c r="M97" s="16">
        <v>0</v>
      </c>
      <c r="N97" s="18">
        <f t="shared" si="2"/>
        <v>1782533994.3426037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3716752858.7800007</v>
      </c>
      <c r="C98" s="16">
        <v>0</v>
      </c>
      <c r="D98" s="16">
        <v>72551957.580453604</v>
      </c>
      <c r="E98" s="16">
        <v>48975662.049999997</v>
      </c>
      <c r="F98" s="16">
        <v>26296450.199999999</v>
      </c>
      <c r="G98" s="16">
        <v>13915670.18</v>
      </c>
      <c r="H98" s="16">
        <v>212602706.86000001</v>
      </c>
      <c r="I98" s="16">
        <v>78720115.489999995</v>
      </c>
      <c r="J98" s="16">
        <v>531379865.51000005</v>
      </c>
      <c r="K98" s="16">
        <v>0</v>
      </c>
      <c r="L98" s="16">
        <v>0</v>
      </c>
      <c r="M98" s="16">
        <v>0</v>
      </c>
      <c r="N98" s="18">
        <f t="shared" si="2"/>
        <v>4701195286.6504536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2677094785.0600004</v>
      </c>
      <c r="C99" s="16">
        <v>0</v>
      </c>
      <c r="D99" s="16">
        <v>45115301.033334993</v>
      </c>
      <c r="E99" s="16">
        <v>44460680.259999998</v>
      </c>
      <c r="F99" s="16">
        <v>9747822.0500000007</v>
      </c>
      <c r="G99" s="16">
        <v>4166948.59</v>
      </c>
      <c r="H99" s="16">
        <v>153133022.13999999</v>
      </c>
      <c r="I99" s="16">
        <v>29180732.469999999</v>
      </c>
      <c r="J99" s="16">
        <v>348437572.34000009</v>
      </c>
      <c r="K99" s="16">
        <v>0</v>
      </c>
      <c r="L99" s="16">
        <v>0</v>
      </c>
      <c r="M99" s="16">
        <v>0</v>
      </c>
      <c r="N99" s="18">
        <f t="shared" si="2"/>
        <v>3311336863.943336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2718389186.6700001</v>
      </c>
      <c r="C100" s="16">
        <v>0</v>
      </c>
      <c r="D100" s="16">
        <v>48003603.454175681</v>
      </c>
      <c r="E100" s="16">
        <v>45146489.810000002</v>
      </c>
      <c r="F100" s="16">
        <v>10944553.050000001</v>
      </c>
      <c r="G100" s="16">
        <v>4961576</v>
      </c>
      <c r="H100" s="16">
        <v>155495111.28</v>
      </c>
      <c r="I100" s="16">
        <v>32763223.690000001</v>
      </c>
      <c r="J100" s="16">
        <v>269450598.27000004</v>
      </c>
      <c r="K100" s="16">
        <v>0</v>
      </c>
      <c r="L100" s="16">
        <v>0</v>
      </c>
      <c r="M100" s="16">
        <v>0</v>
      </c>
      <c r="N100" s="18">
        <f t="shared" si="2"/>
        <v>3285154342.2241759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581825649.44000006</v>
      </c>
      <c r="C101" s="16">
        <v>0</v>
      </c>
      <c r="D101" s="16">
        <v>13193618.463342099</v>
      </c>
      <c r="E101" s="16">
        <v>9708556.5899999999</v>
      </c>
      <c r="F101" s="16">
        <v>1307441.79</v>
      </c>
      <c r="G101" s="16">
        <v>794627.41</v>
      </c>
      <c r="H101" s="16">
        <v>33281122.719999999</v>
      </c>
      <c r="I101" s="16">
        <v>3913911.12</v>
      </c>
      <c r="J101" s="16">
        <v>62186145.829999991</v>
      </c>
      <c r="K101" s="16">
        <v>0</v>
      </c>
      <c r="L101" s="16">
        <v>0</v>
      </c>
      <c r="M101" s="16">
        <v>0</v>
      </c>
      <c r="N101" s="18">
        <f t="shared" si="2"/>
        <v>706211073.36334217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1589027643.75</v>
      </c>
      <c r="C102" s="16">
        <v>0</v>
      </c>
      <c r="D102" s="16">
        <v>62917288.802304439</v>
      </c>
      <c r="E102" s="16">
        <v>28741176.919999998</v>
      </c>
      <c r="F102" s="16">
        <v>25315868.850000001</v>
      </c>
      <c r="G102" s="16">
        <v>12752800.800000001</v>
      </c>
      <c r="H102" s="16">
        <v>90894280.890000001</v>
      </c>
      <c r="I102" s="16">
        <v>75784682.150000006</v>
      </c>
      <c r="J102" s="16">
        <v>400506727.15000015</v>
      </c>
      <c r="K102" s="16">
        <v>0</v>
      </c>
      <c r="L102" s="16">
        <v>0</v>
      </c>
      <c r="M102" s="16">
        <v>0</v>
      </c>
      <c r="N102" s="18">
        <f t="shared" si="2"/>
        <v>2285940469.312305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558757995.26999998</v>
      </c>
      <c r="C103" s="16">
        <v>0</v>
      </c>
      <c r="D103" s="16">
        <v>22425284.269251786</v>
      </c>
      <c r="E103" s="16">
        <v>9336146.410000002</v>
      </c>
      <c r="F103" s="16">
        <v>627361.18000000005</v>
      </c>
      <c r="G103" s="16">
        <v>503910.06</v>
      </c>
      <c r="H103" s="16">
        <v>31961625.32</v>
      </c>
      <c r="I103" s="16">
        <v>1878046.06</v>
      </c>
      <c r="J103" s="16">
        <v>87906208.099999964</v>
      </c>
      <c r="K103" s="16">
        <v>0</v>
      </c>
      <c r="L103" s="16">
        <v>0</v>
      </c>
      <c r="M103" s="16">
        <v>0</v>
      </c>
      <c r="N103" s="18">
        <f t="shared" si="2"/>
        <v>713396576.66925168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8869054613.1000004</v>
      </c>
      <c r="C104" s="16">
        <v>0</v>
      </c>
      <c r="D104" s="16">
        <v>93837363.098889396</v>
      </c>
      <c r="E104" s="16">
        <v>118530426.56999999</v>
      </c>
      <c r="F104" s="16">
        <v>128566866.69</v>
      </c>
      <c r="G104" s="16">
        <v>25947298.008171991</v>
      </c>
      <c r="H104" s="16">
        <v>507320526.72000003</v>
      </c>
      <c r="I104" s="16">
        <v>384873186.94999999</v>
      </c>
      <c r="J104" s="16">
        <v>972631122.33000016</v>
      </c>
      <c r="K104" s="16">
        <v>0</v>
      </c>
      <c r="L104" s="16">
        <v>0</v>
      </c>
      <c r="M104" s="16">
        <v>0</v>
      </c>
      <c r="N104" s="18">
        <f t="shared" ref="N104:N135" si="3">SUM(B104:M104)</f>
        <v>11100761403.467062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1435878957.2</v>
      </c>
      <c r="C105" s="16">
        <v>0</v>
      </c>
      <c r="D105" s="16">
        <v>8833556.1300000008</v>
      </c>
      <c r="E105" s="16">
        <v>39129258.050000004</v>
      </c>
      <c r="F105" s="16">
        <v>5540811.7800000003</v>
      </c>
      <c r="G105" s="16">
        <v>4360760.1500000004</v>
      </c>
      <c r="H105" s="16">
        <v>82133992.930000007</v>
      </c>
      <c r="I105" s="16">
        <v>16586776.539999999</v>
      </c>
      <c r="J105" s="16">
        <v>127012659.47999996</v>
      </c>
      <c r="K105" s="16">
        <v>0</v>
      </c>
      <c r="L105" s="16">
        <v>0</v>
      </c>
      <c r="M105" s="16">
        <v>0</v>
      </c>
      <c r="N105" s="18">
        <f t="shared" si="3"/>
        <v>1719476772.2600002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1631899007.4099996</v>
      </c>
      <c r="C106" s="16">
        <v>0</v>
      </c>
      <c r="D106" s="16">
        <v>8251360.1400000015</v>
      </c>
      <c r="E106" s="16">
        <v>27102267.859999999</v>
      </c>
      <c r="F106" s="16">
        <v>39260157.299999997</v>
      </c>
      <c r="G106" s="16">
        <v>13187587.666865923</v>
      </c>
      <c r="H106" s="16">
        <v>93346574.140000001</v>
      </c>
      <c r="I106" s="16">
        <v>117527806.75</v>
      </c>
      <c r="J106" s="16">
        <v>333813397.05000013</v>
      </c>
      <c r="K106" s="16">
        <v>0</v>
      </c>
      <c r="L106" s="16">
        <v>0</v>
      </c>
      <c r="M106" s="16">
        <v>0</v>
      </c>
      <c r="N106" s="18">
        <f t="shared" si="3"/>
        <v>2264388158.3168654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2155340387.5600004</v>
      </c>
      <c r="C107" s="16">
        <v>0</v>
      </c>
      <c r="D107" s="16">
        <v>28958262.94320197</v>
      </c>
      <c r="E107" s="16">
        <v>35950396.539999999</v>
      </c>
      <c r="F107" s="16">
        <v>2182584.27</v>
      </c>
      <c r="G107" s="16">
        <v>1841209.84</v>
      </c>
      <c r="H107" s="16">
        <v>123288046.86</v>
      </c>
      <c r="I107" s="16">
        <v>6533706.46</v>
      </c>
      <c r="J107" s="16">
        <v>154654643.41000003</v>
      </c>
      <c r="K107" s="16">
        <v>0</v>
      </c>
      <c r="L107" s="16">
        <v>0</v>
      </c>
      <c r="M107" s="16">
        <v>0</v>
      </c>
      <c r="N107" s="18">
        <f t="shared" si="3"/>
        <v>2508749237.8832026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806671099.01999998</v>
      </c>
      <c r="C108" s="16">
        <v>0</v>
      </c>
      <c r="D108" s="16">
        <v>10190704.506571934</v>
      </c>
      <c r="E108" s="16">
        <v>13397039.949999999</v>
      </c>
      <c r="F108" s="16">
        <v>2214215.9300000002</v>
      </c>
      <c r="G108" s="16">
        <v>1356680.94</v>
      </c>
      <c r="H108" s="16">
        <v>46142551.240000002</v>
      </c>
      <c r="I108" s="16">
        <v>6628397.8600000003</v>
      </c>
      <c r="J108" s="16">
        <v>82502265.719999969</v>
      </c>
      <c r="K108" s="16">
        <v>0</v>
      </c>
      <c r="L108" s="16">
        <v>0</v>
      </c>
      <c r="M108" s="16">
        <v>0</v>
      </c>
      <c r="N108" s="18">
        <f t="shared" si="3"/>
        <v>969102955.16657186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7302507846.8399992</v>
      </c>
      <c r="C109" s="16">
        <v>0</v>
      </c>
      <c r="D109" s="16">
        <v>92342395.772909895</v>
      </c>
      <c r="E109" s="16">
        <v>99933264.319999993</v>
      </c>
      <c r="F109" s="16">
        <v>226071446.97</v>
      </c>
      <c r="G109" s="16">
        <v>116478233.9401094</v>
      </c>
      <c r="H109" s="16">
        <v>417712178.89999998</v>
      </c>
      <c r="I109" s="16">
        <v>676759421.11000001</v>
      </c>
      <c r="J109" s="16">
        <v>1505317915.3300002</v>
      </c>
      <c r="K109" s="16">
        <v>0</v>
      </c>
      <c r="L109" s="16">
        <v>0</v>
      </c>
      <c r="M109" s="16">
        <v>0</v>
      </c>
      <c r="N109" s="18">
        <f t="shared" si="3"/>
        <v>10437122703.183018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826364787.8900001</v>
      </c>
      <c r="C110" s="16">
        <v>0</v>
      </c>
      <c r="D110" s="16">
        <v>17167389.273726489</v>
      </c>
      <c r="E110" s="16">
        <v>11701692.899999999</v>
      </c>
      <c r="F110" s="16">
        <v>8640714.0800000001</v>
      </c>
      <c r="G110" s="16">
        <v>4399522.47</v>
      </c>
      <c r="H110" s="16">
        <v>47269053.780000001</v>
      </c>
      <c r="I110" s="16">
        <v>25866533.539999999</v>
      </c>
      <c r="J110" s="16">
        <v>174420751.66000006</v>
      </c>
      <c r="K110" s="16">
        <v>0</v>
      </c>
      <c r="L110" s="16">
        <v>0</v>
      </c>
      <c r="M110" s="16">
        <v>0</v>
      </c>
      <c r="N110" s="18">
        <f t="shared" si="3"/>
        <v>1115830445.5937266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1010796000.7200001</v>
      </c>
      <c r="C111" s="16">
        <v>0</v>
      </c>
      <c r="D111" s="16">
        <v>25310413.136261787</v>
      </c>
      <c r="E111" s="16">
        <v>16787107.439999998</v>
      </c>
      <c r="F111" s="16">
        <v>3010279.28</v>
      </c>
      <c r="G111" s="16">
        <v>1841209.84</v>
      </c>
      <c r="H111" s="16">
        <v>57818739.640000001</v>
      </c>
      <c r="I111" s="16">
        <v>9011464.6999999993</v>
      </c>
      <c r="J111" s="16">
        <v>135883546.67999998</v>
      </c>
      <c r="K111" s="16">
        <v>0</v>
      </c>
      <c r="L111" s="16">
        <v>0</v>
      </c>
      <c r="M111" s="16">
        <v>0</v>
      </c>
      <c r="N111" s="18">
        <f t="shared" si="3"/>
        <v>1260458761.4362621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1441049925.75</v>
      </c>
      <c r="C112" s="16">
        <v>0</v>
      </c>
      <c r="D112" s="16">
        <v>30572515.23923564</v>
      </c>
      <c r="E112" s="16">
        <v>24820470.470000003</v>
      </c>
      <c r="F112" s="16">
        <v>3658728.23</v>
      </c>
      <c r="G112" s="16">
        <v>2190070.65</v>
      </c>
      <c r="H112" s="16">
        <v>82429778.519999996</v>
      </c>
      <c r="I112" s="16">
        <v>10952638.359999999</v>
      </c>
      <c r="J112" s="16">
        <v>142540350.99000004</v>
      </c>
      <c r="K112" s="16">
        <v>0</v>
      </c>
      <c r="L112" s="16">
        <v>0</v>
      </c>
      <c r="M112" s="16">
        <v>0</v>
      </c>
      <c r="N112" s="18">
        <f t="shared" si="3"/>
        <v>1738214478.2092357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1160203986.6100001</v>
      </c>
      <c r="C113" s="16">
        <v>0</v>
      </c>
      <c r="D113" s="16">
        <v>43182526.895845242</v>
      </c>
      <c r="E113" s="16">
        <v>19407077.619999997</v>
      </c>
      <c r="F113" s="16">
        <v>5155959.96</v>
      </c>
      <c r="G113" s="16">
        <v>2829648.81</v>
      </c>
      <c r="H113" s="16">
        <v>66365055.049999997</v>
      </c>
      <c r="I113" s="16">
        <v>15434697.859999999</v>
      </c>
      <c r="J113" s="16">
        <v>139203371.16999993</v>
      </c>
      <c r="K113" s="16">
        <v>0</v>
      </c>
      <c r="L113" s="16">
        <v>0</v>
      </c>
      <c r="M113" s="16">
        <v>0</v>
      </c>
      <c r="N113" s="18">
        <f t="shared" si="3"/>
        <v>1451782323.9758449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717077650.45000005</v>
      </c>
      <c r="C114" s="16">
        <v>0</v>
      </c>
      <c r="D114" s="16">
        <v>15731209.564654041</v>
      </c>
      <c r="E114" s="16">
        <v>11909089.030000001</v>
      </c>
      <c r="F114" s="16">
        <v>3120990.08</v>
      </c>
      <c r="G114" s="16">
        <v>1550492.5</v>
      </c>
      <c r="H114" s="16">
        <v>41017698.869999997</v>
      </c>
      <c r="I114" s="16">
        <v>9342884.5999999996</v>
      </c>
      <c r="J114" s="16">
        <v>106337836.29999997</v>
      </c>
      <c r="K114" s="16">
        <v>0</v>
      </c>
      <c r="L114" s="16">
        <v>0</v>
      </c>
      <c r="M114" s="16">
        <v>0</v>
      </c>
      <c r="N114" s="18">
        <f t="shared" si="3"/>
        <v>906087851.39465404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1688229558.7800002</v>
      </c>
      <c r="C115" s="16">
        <v>0</v>
      </c>
      <c r="D115" s="16">
        <v>17868029.435525291</v>
      </c>
      <c r="E115" s="16">
        <v>28120744.559999999</v>
      </c>
      <c r="F115" s="16">
        <v>3231700.87</v>
      </c>
      <c r="G115" s="16">
        <v>2480788</v>
      </c>
      <c r="H115" s="16">
        <v>96568749.030000001</v>
      </c>
      <c r="I115" s="16">
        <v>9674304.4900000002</v>
      </c>
      <c r="J115" s="16">
        <v>142482646.56000006</v>
      </c>
      <c r="K115" s="16">
        <v>0</v>
      </c>
      <c r="L115" s="16">
        <v>0</v>
      </c>
      <c r="M115" s="16">
        <v>0</v>
      </c>
      <c r="N115" s="18">
        <f t="shared" si="3"/>
        <v>1988656521.7255254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1093531498.0899999</v>
      </c>
      <c r="C116" s="16">
        <v>0</v>
      </c>
      <c r="D116" s="16">
        <v>29191947.836772796</v>
      </c>
      <c r="E116" s="16">
        <v>19116706.800000001</v>
      </c>
      <c r="F116" s="16">
        <v>8920127.0500000007</v>
      </c>
      <c r="G116" s="16">
        <v>3934374.72</v>
      </c>
      <c r="H116" s="16">
        <v>62551309</v>
      </c>
      <c r="I116" s="16">
        <v>26702974.219999999</v>
      </c>
      <c r="J116" s="16">
        <v>193291661.42000008</v>
      </c>
      <c r="K116" s="16">
        <v>0</v>
      </c>
      <c r="L116" s="16">
        <v>0</v>
      </c>
      <c r="M116" s="16">
        <v>0</v>
      </c>
      <c r="N116" s="18">
        <f t="shared" si="3"/>
        <v>1437240599.1367726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599465620.31000006</v>
      </c>
      <c r="C117" s="16">
        <v>0</v>
      </c>
      <c r="D117" s="16">
        <v>9257524.2941891961</v>
      </c>
      <c r="E117" s="16">
        <v>10544555.739999998</v>
      </c>
      <c r="F117" s="16">
        <v>1876811.6</v>
      </c>
      <c r="G117" s="16">
        <v>1046582.44</v>
      </c>
      <c r="H117" s="16">
        <v>34290150.140000001</v>
      </c>
      <c r="I117" s="16">
        <v>5618356.2800000003</v>
      </c>
      <c r="J117" s="16">
        <v>56968313.240000002</v>
      </c>
      <c r="K117" s="16">
        <v>0</v>
      </c>
      <c r="L117" s="16">
        <v>0</v>
      </c>
      <c r="M117" s="16">
        <v>0</v>
      </c>
      <c r="N117" s="18">
        <f t="shared" si="3"/>
        <v>719067914.04418933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992642600.38</v>
      </c>
      <c r="C118" s="16">
        <v>0</v>
      </c>
      <c r="D118" s="16">
        <v>20966748.450776793</v>
      </c>
      <c r="E118" s="16">
        <v>17839424.420000002</v>
      </c>
      <c r="F118" s="16">
        <v>8851591.7899999991</v>
      </c>
      <c r="G118" s="16">
        <v>4360760.1500000004</v>
      </c>
      <c r="H118" s="16">
        <v>56780343.439999998</v>
      </c>
      <c r="I118" s="16">
        <v>26497809.52</v>
      </c>
      <c r="J118" s="16">
        <v>157027283.30000007</v>
      </c>
      <c r="K118" s="16">
        <v>0</v>
      </c>
      <c r="L118" s="16">
        <v>0</v>
      </c>
      <c r="M118" s="16">
        <v>0</v>
      </c>
      <c r="N118" s="18">
        <f t="shared" si="3"/>
        <v>1284966561.4507766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1294612496.27</v>
      </c>
      <c r="C119" s="16">
        <v>0</v>
      </c>
      <c r="D119" s="16">
        <v>17052999.9332553</v>
      </c>
      <c r="E119" s="16">
        <v>21823626.289999995</v>
      </c>
      <c r="F119" s="16">
        <v>7111850.7000000002</v>
      </c>
      <c r="G119" s="16">
        <v>2926554.59</v>
      </c>
      <c r="H119" s="16">
        <v>74053382.489999995</v>
      </c>
      <c r="I119" s="16">
        <v>21289782.640000001</v>
      </c>
      <c r="J119" s="16">
        <v>142936484.24000001</v>
      </c>
      <c r="K119" s="16">
        <v>0</v>
      </c>
      <c r="L119" s="16">
        <v>0</v>
      </c>
      <c r="M119" s="16">
        <v>0</v>
      </c>
      <c r="N119" s="18">
        <f t="shared" si="3"/>
        <v>1581807177.1532552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794275443.84000003</v>
      </c>
      <c r="C120" s="16">
        <v>0</v>
      </c>
      <c r="D120" s="16">
        <v>26717967.140176706</v>
      </c>
      <c r="E120" s="16">
        <v>14222290.799999999</v>
      </c>
      <c r="F120" s="16">
        <v>4792195.91</v>
      </c>
      <c r="G120" s="16">
        <v>2965316.9</v>
      </c>
      <c r="H120" s="16">
        <v>45433504.939999998</v>
      </c>
      <c r="I120" s="16">
        <v>14345746.789999999</v>
      </c>
      <c r="J120" s="16">
        <v>148189667.21999994</v>
      </c>
      <c r="K120" s="16">
        <v>0</v>
      </c>
      <c r="L120" s="16">
        <v>0</v>
      </c>
      <c r="M120" s="16">
        <v>0</v>
      </c>
      <c r="N120" s="18">
        <f t="shared" si="3"/>
        <v>1050942133.5401765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1023375023.6199999</v>
      </c>
      <c r="C121" s="16">
        <v>0</v>
      </c>
      <c r="D121" s="16">
        <v>23533588.652743813</v>
      </c>
      <c r="E121" s="16">
        <v>16996017.449999999</v>
      </c>
      <c r="F121" s="16">
        <v>2013882.11</v>
      </c>
      <c r="G121" s="16">
        <v>988438.97</v>
      </c>
      <c r="H121" s="16">
        <v>58538274.789999999</v>
      </c>
      <c r="I121" s="16">
        <v>6028685.6699999999</v>
      </c>
      <c r="J121" s="16">
        <v>82344228.339999989</v>
      </c>
      <c r="K121" s="16">
        <v>0</v>
      </c>
      <c r="L121" s="16">
        <v>0</v>
      </c>
      <c r="M121" s="16">
        <v>0</v>
      </c>
      <c r="N121" s="18">
        <f t="shared" si="3"/>
        <v>1213818139.6027439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3292990149.6400003</v>
      </c>
      <c r="C122" s="16">
        <v>0</v>
      </c>
      <c r="D122" s="16">
        <v>75524878.194999993</v>
      </c>
      <c r="E122" s="16">
        <v>46884004.380000003</v>
      </c>
      <c r="F122" s="16">
        <v>60627341.079999998</v>
      </c>
      <c r="G122" s="16">
        <v>32377377.698717691</v>
      </c>
      <c r="H122" s="16">
        <v>188362973.28999999</v>
      </c>
      <c r="I122" s="16">
        <v>181491846.06</v>
      </c>
      <c r="J122" s="16">
        <v>386271407.09999979</v>
      </c>
      <c r="K122" s="16">
        <v>0</v>
      </c>
      <c r="L122" s="16">
        <v>0</v>
      </c>
      <c r="M122" s="16">
        <v>0</v>
      </c>
      <c r="N122" s="18">
        <f t="shared" si="3"/>
        <v>4264529977.443718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6553120811.0600004</v>
      </c>
      <c r="C123" s="16">
        <v>0</v>
      </c>
      <c r="D123" s="16">
        <v>88717402.75</v>
      </c>
      <c r="E123" s="16">
        <v>115749755.88</v>
      </c>
      <c r="F123" s="16">
        <v>84277276.040000007</v>
      </c>
      <c r="G123" s="16">
        <v>64047094.473630756</v>
      </c>
      <c r="H123" s="16">
        <v>374846344.56999999</v>
      </c>
      <c r="I123" s="16">
        <v>252289447.91999999</v>
      </c>
      <c r="J123" s="16">
        <v>504010288.12000024</v>
      </c>
      <c r="K123" s="16">
        <v>0</v>
      </c>
      <c r="L123" s="16">
        <v>0</v>
      </c>
      <c r="M123" s="16">
        <v>0</v>
      </c>
      <c r="N123" s="18">
        <f t="shared" si="3"/>
        <v>8037058420.8136311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6857877895.6800003</v>
      </c>
      <c r="C124" s="16">
        <v>0</v>
      </c>
      <c r="D124" s="16">
        <v>47599988.499999993</v>
      </c>
      <c r="E124" s="16">
        <v>94525779.820000008</v>
      </c>
      <c r="F124" s="16">
        <v>107921939.06</v>
      </c>
      <c r="G124" s="16">
        <v>0</v>
      </c>
      <c r="H124" s="16">
        <v>392278814.13999999</v>
      </c>
      <c r="I124" s="16">
        <v>323071267.88999999</v>
      </c>
      <c r="J124" s="16">
        <v>721065779.52000022</v>
      </c>
      <c r="K124" s="16">
        <v>0</v>
      </c>
      <c r="L124" s="16">
        <v>0</v>
      </c>
      <c r="M124" s="16">
        <v>0</v>
      </c>
      <c r="N124" s="18">
        <f t="shared" si="3"/>
        <v>8544341464.6100016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2163261871.3699999</v>
      </c>
      <c r="C125" s="16">
        <v>0</v>
      </c>
      <c r="D125" s="16">
        <v>37726899.240623742</v>
      </c>
      <c r="E125" s="16">
        <v>35927041.100000001</v>
      </c>
      <c r="F125" s="16">
        <v>41964663.909999996</v>
      </c>
      <c r="G125" s="16">
        <v>18586528.829999998</v>
      </c>
      <c r="H125" s="16">
        <v>123741165.2</v>
      </c>
      <c r="I125" s="16">
        <v>125623921.27</v>
      </c>
      <c r="J125" s="16">
        <v>445591566</v>
      </c>
      <c r="K125" s="16">
        <v>0</v>
      </c>
      <c r="L125" s="16">
        <v>0</v>
      </c>
      <c r="M125" s="16">
        <v>0</v>
      </c>
      <c r="N125" s="18">
        <f t="shared" si="3"/>
        <v>2992423656.9206233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2235398716.77</v>
      </c>
      <c r="C126" s="16">
        <v>0</v>
      </c>
      <c r="D126" s="16">
        <v>27026246.478450842</v>
      </c>
      <c r="E126" s="16">
        <v>37863492.93</v>
      </c>
      <c r="F126" s="16">
        <v>21008691.670000002</v>
      </c>
      <c r="G126" s="16">
        <v>7597413.2400000002</v>
      </c>
      <c r="H126" s="16">
        <v>127867479</v>
      </c>
      <c r="I126" s="16">
        <v>62890870.130000003</v>
      </c>
      <c r="J126" s="16">
        <v>305739929.66000003</v>
      </c>
      <c r="K126" s="16">
        <v>0</v>
      </c>
      <c r="L126" s="16">
        <v>0</v>
      </c>
      <c r="M126" s="16">
        <v>0</v>
      </c>
      <c r="N126" s="18">
        <f t="shared" si="3"/>
        <v>2825392839.8784504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1364585603.0799999</v>
      </c>
      <c r="C127" s="16">
        <v>0</v>
      </c>
      <c r="D127" s="16">
        <v>17071204.715668049</v>
      </c>
      <c r="E127" s="16">
        <v>25680188.370000005</v>
      </c>
      <c r="F127" s="16">
        <v>22300317.629999999</v>
      </c>
      <c r="G127" s="16">
        <v>10853447.49</v>
      </c>
      <c r="H127" s="16">
        <v>78055927.849999994</v>
      </c>
      <c r="I127" s="16">
        <v>66757435.549999997</v>
      </c>
      <c r="J127" s="16">
        <v>338996399.03999996</v>
      </c>
      <c r="K127" s="16">
        <v>0</v>
      </c>
      <c r="L127" s="16">
        <v>0</v>
      </c>
      <c r="M127" s="16">
        <v>0</v>
      </c>
      <c r="N127" s="18">
        <f t="shared" si="3"/>
        <v>1924300523.725668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611457866.59000003</v>
      </c>
      <c r="C128" s="16">
        <v>0</v>
      </c>
      <c r="D128" s="16">
        <v>10733280.961911544</v>
      </c>
      <c r="E128" s="16">
        <v>10303980.879999999</v>
      </c>
      <c r="F128" s="16">
        <v>2040241.82</v>
      </c>
      <c r="G128" s="16">
        <v>1298537.47</v>
      </c>
      <c r="H128" s="16">
        <v>34976120.969999999</v>
      </c>
      <c r="I128" s="16">
        <v>6107595.1699999999</v>
      </c>
      <c r="J128" s="16">
        <v>72852108.810000002</v>
      </c>
      <c r="K128" s="16">
        <v>0</v>
      </c>
      <c r="L128" s="16">
        <v>0</v>
      </c>
      <c r="M128" s="16">
        <v>0</v>
      </c>
      <c r="N128" s="18">
        <f t="shared" si="3"/>
        <v>749769732.67191172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3709748213.3799996</v>
      </c>
      <c r="C129" s="16">
        <v>0</v>
      </c>
      <c r="D129" s="16">
        <v>149907146.66732085</v>
      </c>
      <c r="E129" s="16">
        <v>37469143.879999995</v>
      </c>
      <c r="F129" s="16">
        <v>25948501.98</v>
      </c>
      <c r="G129" s="16">
        <v>16105740.83</v>
      </c>
      <c r="H129" s="16">
        <v>212202032.77000001</v>
      </c>
      <c r="I129" s="16">
        <v>77678510.109999999</v>
      </c>
      <c r="J129" s="16">
        <v>456475350.22999996</v>
      </c>
      <c r="K129" s="16">
        <v>0</v>
      </c>
      <c r="L129" s="16">
        <v>0</v>
      </c>
      <c r="M129" s="16">
        <v>0</v>
      </c>
      <c r="N129" s="18">
        <f t="shared" si="3"/>
        <v>4685534639.8473206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1029756218.88</v>
      </c>
      <c r="C130" s="16">
        <v>0</v>
      </c>
      <c r="D130" s="16">
        <v>28566062.428173337</v>
      </c>
      <c r="E130" s="16">
        <v>17188628.059999999</v>
      </c>
      <c r="F130" s="16">
        <v>3210613.1</v>
      </c>
      <c r="G130" s="16">
        <v>1201631.69</v>
      </c>
      <c r="H130" s="16">
        <v>58903286.789999999</v>
      </c>
      <c r="I130" s="16">
        <v>9611176.8900000006</v>
      </c>
      <c r="J130" s="16">
        <v>125460878.11000001</v>
      </c>
      <c r="K130" s="16">
        <v>0</v>
      </c>
      <c r="L130" s="16">
        <v>0</v>
      </c>
      <c r="M130" s="16">
        <v>0</v>
      </c>
      <c r="N130" s="18">
        <f t="shared" si="3"/>
        <v>1273898495.9481735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6562729277.4799995</v>
      </c>
      <c r="C131" s="16">
        <v>0</v>
      </c>
      <c r="D131" s="16">
        <v>116171755.495</v>
      </c>
      <c r="E131" s="16">
        <v>174904616.65000004</v>
      </c>
      <c r="F131" s="16">
        <v>141767811.21000001</v>
      </c>
      <c r="G131" s="16">
        <v>0</v>
      </c>
      <c r="H131" s="16">
        <v>375395960.33999997</v>
      </c>
      <c r="I131" s="16">
        <v>424391063.69</v>
      </c>
      <c r="J131" s="16">
        <v>985748224.21000004</v>
      </c>
      <c r="K131" s="16">
        <v>0</v>
      </c>
      <c r="L131" s="16">
        <v>0</v>
      </c>
      <c r="M131" s="16">
        <v>0</v>
      </c>
      <c r="N131" s="18">
        <f t="shared" si="3"/>
        <v>8781108709.0749989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232033462.53000003</v>
      </c>
      <c r="C132" s="16">
        <v>0</v>
      </c>
      <c r="D132" s="16">
        <v>2777185.5470744506</v>
      </c>
      <c r="E132" s="16">
        <v>3853567.55</v>
      </c>
      <c r="F132" s="16">
        <v>606273.41</v>
      </c>
      <c r="G132" s="16">
        <v>290717.34000000003</v>
      </c>
      <c r="H132" s="16">
        <v>13272591.460000001</v>
      </c>
      <c r="I132" s="16">
        <v>1814918.46</v>
      </c>
      <c r="J132" s="16">
        <v>35397251.830000021</v>
      </c>
      <c r="K132" s="16">
        <v>0</v>
      </c>
      <c r="L132" s="16">
        <v>0</v>
      </c>
      <c r="M132" s="16">
        <v>0</v>
      </c>
      <c r="N132" s="18">
        <f t="shared" si="3"/>
        <v>290045968.12707454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1680784830.9900002</v>
      </c>
      <c r="C133" s="16">
        <v>0</v>
      </c>
      <c r="D133" s="16">
        <v>19287946.526772793</v>
      </c>
      <c r="E133" s="16">
        <v>7939332.8800000008</v>
      </c>
      <c r="F133" s="16">
        <v>2193128.16</v>
      </c>
      <c r="G133" s="16">
        <v>1647398.28</v>
      </c>
      <c r="H133" s="16">
        <v>96142901.689999998</v>
      </c>
      <c r="I133" s="16">
        <v>6565270.2599999998</v>
      </c>
      <c r="J133" s="16">
        <v>130574738.68000004</v>
      </c>
      <c r="K133" s="16">
        <v>0</v>
      </c>
      <c r="L133" s="16">
        <v>0</v>
      </c>
      <c r="M133" s="16">
        <v>0</v>
      </c>
      <c r="N133" s="18">
        <f t="shared" si="3"/>
        <v>1945135547.4667733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2785061675.2199998</v>
      </c>
      <c r="C134" s="16">
        <v>0</v>
      </c>
      <c r="D134" s="16">
        <v>50971524.802801087</v>
      </c>
      <c r="E134" s="16">
        <v>47210094.730000004</v>
      </c>
      <c r="F134" s="16">
        <v>10232840.779999999</v>
      </c>
      <c r="G134" s="16">
        <v>5465486.0599999996</v>
      </c>
      <c r="H134" s="16">
        <v>159308857.33000001</v>
      </c>
      <c r="I134" s="16">
        <v>30632667.239999998</v>
      </c>
      <c r="J134" s="16">
        <v>294883698.03000015</v>
      </c>
      <c r="K134" s="16">
        <v>0</v>
      </c>
      <c r="L134" s="16">
        <v>0</v>
      </c>
      <c r="M134" s="16">
        <v>0</v>
      </c>
      <c r="N134" s="18">
        <f t="shared" si="3"/>
        <v>3383766844.192801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2356934815.2599998</v>
      </c>
      <c r="C135" s="16">
        <v>0</v>
      </c>
      <c r="D135" s="16">
        <v>60165309.517950952</v>
      </c>
      <c r="E135" s="16">
        <v>31057336.170000002</v>
      </c>
      <c r="F135" s="16">
        <v>15404616.57</v>
      </c>
      <c r="G135" s="16">
        <v>6899691.6200000001</v>
      </c>
      <c r="H135" s="16">
        <v>134819489.12</v>
      </c>
      <c r="I135" s="16">
        <v>46114710.799999997</v>
      </c>
      <c r="J135" s="16">
        <v>304011915.69999987</v>
      </c>
      <c r="K135" s="16">
        <v>0</v>
      </c>
      <c r="L135" s="16">
        <v>0</v>
      </c>
      <c r="M135" s="16">
        <v>0</v>
      </c>
      <c r="N135" s="18">
        <f t="shared" si="3"/>
        <v>2955407884.7579508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3667023543.8999996</v>
      </c>
      <c r="C136" s="16">
        <v>0</v>
      </c>
      <c r="D136" s="16">
        <v>50128307.18999999</v>
      </c>
      <c r="E136" s="16">
        <v>59087807.32</v>
      </c>
      <c r="F136" s="16">
        <v>91652723.879999995</v>
      </c>
      <c r="G136" s="16">
        <v>50565688.80482582</v>
      </c>
      <c r="H136" s="16">
        <v>209758130.59999999</v>
      </c>
      <c r="I136" s="16">
        <v>274368325.54000002</v>
      </c>
      <c r="J136" s="16">
        <v>691182680.20000005</v>
      </c>
      <c r="K136" s="16">
        <v>0</v>
      </c>
      <c r="L136" s="16">
        <v>0</v>
      </c>
      <c r="M136" s="16">
        <v>0</v>
      </c>
      <c r="N136" s="18">
        <f t="shared" ref="N136:N142" si="4">SUM(B136:M136)</f>
        <v>5093767207.4348259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576984742.71000004</v>
      </c>
      <c r="C137" s="16">
        <v>0</v>
      </c>
      <c r="D137" s="16">
        <v>8282182.7595529575</v>
      </c>
      <c r="E137" s="16">
        <v>9881636.459999999</v>
      </c>
      <c r="F137" s="16">
        <v>1096564.08</v>
      </c>
      <c r="G137" s="16">
        <v>1007820.12</v>
      </c>
      <c r="H137" s="16">
        <v>33004217.07</v>
      </c>
      <c r="I137" s="16">
        <v>3282635.13</v>
      </c>
      <c r="J137" s="16">
        <v>67803750.460000023</v>
      </c>
      <c r="K137" s="16">
        <v>0</v>
      </c>
      <c r="L137" s="16">
        <v>0</v>
      </c>
      <c r="M137" s="16">
        <v>0</v>
      </c>
      <c r="N137" s="18">
        <f t="shared" si="4"/>
        <v>701343548.78955317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1695454245.4100001</v>
      </c>
      <c r="C138" s="16">
        <v>0</v>
      </c>
      <c r="D138" s="16">
        <v>48957270.220660329</v>
      </c>
      <c r="E138" s="16">
        <v>30819445.809999999</v>
      </c>
      <c r="F138" s="16">
        <v>9547488.2300000004</v>
      </c>
      <c r="G138" s="16">
        <v>3934374.72</v>
      </c>
      <c r="H138" s="16">
        <v>96982009.739999995</v>
      </c>
      <c r="I138" s="16">
        <v>28581020.280000001</v>
      </c>
      <c r="J138" s="16">
        <v>246364665.52000007</v>
      </c>
      <c r="K138" s="16">
        <v>0</v>
      </c>
      <c r="L138" s="16">
        <v>0</v>
      </c>
      <c r="M138" s="16">
        <v>0</v>
      </c>
      <c r="N138" s="18">
        <f t="shared" si="4"/>
        <v>2160640519.9306607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5593631087.1499996</v>
      </c>
      <c r="C139" s="16">
        <v>0</v>
      </c>
      <c r="D139" s="16">
        <v>69746244.045000002</v>
      </c>
      <c r="E139" s="16">
        <v>105414369.38</v>
      </c>
      <c r="F139" s="16">
        <v>49102874.329999998</v>
      </c>
      <c r="G139" s="16">
        <v>46062565.327350304</v>
      </c>
      <c r="H139" s="16">
        <v>319962385.29000002</v>
      </c>
      <c r="I139" s="16">
        <v>146992613.41999999</v>
      </c>
      <c r="J139" s="16">
        <v>439898061.75999999</v>
      </c>
      <c r="K139" s="16">
        <v>0</v>
      </c>
      <c r="L139" s="16">
        <v>0</v>
      </c>
      <c r="M139" s="16">
        <v>0</v>
      </c>
      <c r="N139" s="18">
        <f t="shared" si="4"/>
        <v>6770810200.7023506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1717054958.1299999</v>
      </c>
      <c r="C140" s="16">
        <v>0</v>
      </c>
      <c r="D140" s="16">
        <v>7872469.5299999984</v>
      </c>
      <c r="E140" s="16">
        <v>29396570.590000004</v>
      </c>
      <c r="F140" s="16">
        <v>8097703.9900000002</v>
      </c>
      <c r="G140" s="16">
        <v>4147567.43</v>
      </c>
      <c r="H140" s="16">
        <v>98217596.329999998</v>
      </c>
      <c r="I140" s="16">
        <v>24240997.870000001</v>
      </c>
      <c r="J140" s="16">
        <v>111193846.45999995</v>
      </c>
      <c r="K140" s="16">
        <v>0</v>
      </c>
      <c r="L140" s="16">
        <v>0</v>
      </c>
      <c r="M140" s="16">
        <v>0</v>
      </c>
      <c r="N140" s="18">
        <f t="shared" si="4"/>
        <v>2000221710.3299997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1945421067.1799996</v>
      </c>
      <c r="C141" s="16">
        <v>0</v>
      </c>
      <c r="D141" s="16">
        <v>34060675.125656329</v>
      </c>
      <c r="E141" s="16">
        <v>32443148.489999998</v>
      </c>
      <c r="F141" s="16">
        <v>11677353.08</v>
      </c>
      <c r="G141" s="16">
        <v>3624276.22</v>
      </c>
      <c r="H141" s="16">
        <v>111280410.77</v>
      </c>
      <c r="I141" s="16">
        <v>34956907.740000002</v>
      </c>
      <c r="J141" s="16">
        <v>309241185.14000005</v>
      </c>
      <c r="K141" s="16">
        <v>0</v>
      </c>
      <c r="L141" s="16">
        <v>0</v>
      </c>
      <c r="M141" s="16">
        <v>0</v>
      </c>
      <c r="N141" s="18">
        <f t="shared" si="4"/>
        <v>2482705023.7456555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2014440662.0200002</v>
      </c>
      <c r="C142" s="16">
        <v>0</v>
      </c>
      <c r="D142" s="16">
        <v>29352548.123038292</v>
      </c>
      <c r="E142" s="16">
        <v>26544289.82</v>
      </c>
      <c r="F142" s="16">
        <v>50204710.350000001</v>
      </c>
      <c r="G142" s="16">
        <v>14632772.960000001</v>
      </c>
      <c r="H142" s="16">
        <v>115228414.11</v>
      </c>
      <c r="I142" s="16">
        <v>150291030.44</v>
      </c>
      <c r="J142" s="16">
        <v>419191527.12000012</v>
      </c>
      <c r="K142" s="16">
        <v>0</v>
      </c>
      <c r="L142" s="16">
        <v>0</v>
      </c>
      <c r="M142" s="16">
        <v>0</v>
      </c>
      <c r="N142" s="18">
        <f t="shared" si="4"/>
        <v>2819885954.9430389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I143" si="5">SUM(B8:B142)</f>
        <v>366735360566.57025</v>
      </c>
      <c r="C143" s="23">
        <f t="shared" si="5"/>
        <v>0</v>
      </c>
      <c r="D143" s="23">
        <f t="shared" si="5"/>
        <v>5228028409.2435989</v>
      </c>
      <c r="E143" s="23">
        <f t="shared" si="5"/>
        <v>5659088898.4000006</v>
      </c>
      <c r="F143" s="23">
        <f t="shared" si="5"/>
        <v>5271942702.6999989</v>
      </c>
      <c r="G143" s="23">
        <f t="shared" si="5"/>
        <v>1938115623.52</v>
      </c>
      <c r="H143" s="23">
        <f t="shared" si="5"/>
        <v>20977701052.620003</v>
      </c>
      <c r="I143" s="23">
        <f t="shared" si="5"/>
        <v>15781899657.400005</v>
      </c>
      <c r="J143" s="23">
        <f t="shared" ref="J143:N143" si="6">SUM(J8:J142)</f>
        <v>51985977286.569984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473578114197.02374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D145" s="7"/>
      <c r="E145" s="7"/>
      <c r="F145" s="8"/>
      <c r="G145" s="8"/>
      <c r="H145" s="8"/>
      <c r="I145" s="8"/>
      <c r="J145" s="8"/>
      <c r="N145" s="8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44AEAC"/>
  </sheetPr>
  <dimension ref="A1:Y275"/>
  <sheetViews>
    <sheetView showGridLines="0" zoomScale="80" zoomScaleNormal="80" workbookViewId="0"/>
  </sheetViews>
  <sheetFormatPr baseColWidth="10" defaultColWidth="12" defaultRowHeight="14.25" x14ac:dyDescent="0.2"/>
  <cols>
    <col min="1" max="1" width="41.83203125" style="11" customWidth="1"/>
    <col min="2" max="2" width="23.6640625" style="1" bestFit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7" width="12" style="1"/>
    <col min="18" max="18" width="18.33203125" style="1" bestFit="1" customWidth="1"/>
    <col min="19" max="19" width="12" style="1"/>
    <col min="20" max="21" width="16.83203125" style="1" bestFit="1" customWidth="1"/>
    <col min="22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166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152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29" t="s">
        <v>151</v>
      </c>
      <c r="L7" s="19" t="s">
        <v>148</v>
      </c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>
        <v>0</v>
      </c>
      <c r="L8" s="16">
        <v>0</v>
      </c>
      <c r="M8" s="16">
        <v>0</v>
      </c>
      <c r="N8" s="18">
        <f t="shared" ref="N8:N39" si="0">SUM(B8:M8)</f>
        <v>0</v>
      </c>
      <c r="O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>
        <v>0</v>
      </c>
      <c r="L9" s="16">
        <v>0</v>
      </c>
      <c r="M9" s="16">
        <v>0</v>
      </c>
      <c r="N9" s="18">
        <f t="shared" si="0"/>
        <v>0</v>
      </c>
      <c r="O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>
        <v>0</v>
      </c>
      <c r="L10" s="16">
        <v>0</v>
      </c>
      <c r="M10" s="16">
        <v>0</v>
      </c>
      <c r="N10" s="18">
        <f t="shared" si="0"/>
        <v>0</v>
      </c>
      <c r="O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>
        <v>0</v>
      </c>
      <c r="L11" s="16">
        <v>0</v>
      </c>
      <c r="M11" s="16">
        <v>0</v>
      </c>
      <c r="N11" s="18">
        <f t="shared" si="0"/>
        <v>0</v>
      </c>
      <c r="O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>
        <v>0</v>
      </c>
      <c r="L12" s="16">
        <v>0</v>
      </c>
      <c r="M12" s="16">
        <v>0</v>
      </c>
      <c r="N12" s="18">
        <f t="shared" si="0"/>
        <v>0</v>
      </c>
      <c r="O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>
        <v>0</v>
      </c>
      <c r="L13" s="16">
        <v>0</v>
      </c>
      <c r="M13" s="16">
        <v>0</v>
      </c>
      <c r="N13" s="18">
        <f t="shared" si="0"/>
        <v>0</v>
      </c>
      <c r="O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/>
      <c r="C14" s="16"/>
      <c r="D14" s="16"/>
      <c r="E14" s="16"/>
      <c r="F14" s="16"/>
      <c r="G14" s="16"/>
      <c r="H14" s="16"/>
      <c r="I14" s="16"/>
      <c r="J14" s="16"/>
      <c r="K14" s="16">
        <v>0</v>
      </c>
      <c r="L14" s="16">
        <v>0</v>
      </c>
      <c r="M14" s="16">
        <v>0</v>
      </c>
      <c r="N14" s="18">
        <f t="shared" si="0"/>
        <v>0</v>
      </c>
      <c r="O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>
        <v>0</v>
      </c>
      <c r="L15" s="16">
        <v>0</v>
      </c>
      <c r="M15" s="16">
        <v>0</v>
      </c>
      <c r="N15" s="18">
        <f t="shared" si="0"/>
        <v>0</v>
      </c>
      <c r="O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/>
      <c r="C16" s="16"/>
      <c r="D16" s="16"/>
      <c r="E16" s="16"/>
      <c r="F16" s="16"/>
      <c r="G16" s="16"/>
      <c r="H16" s="16"/>
      <c r="I16" s="16"/>
      <c r="J16" s="16"/>
      <c r="K16" s="16">
        <v>0</v>
      </c>
      <c r="L16" s="16">
        <v>0</v>
      </c>
      <c r="M16" s="16">
        <v>0</v>
      </c>
      <c r="N16" s="18">
        <f t="shared" si="0"/>
        <v>0</v>
      </c>
      <c r="O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/>
      <c r="C17" s="16"/>
      <c r="D17" s="16"/>
      <c r="E17" s="16"/>
      <c r="F17" s="16"/>
      <c r="G17" s="16"/>
      <c r="H17" s="16"/>
      <c r="I17" s="16"/>
      <c r="J17" s="16"/>
      <c r="K17" s="16">
        <v>0</v>
      </c>
      <c r="L17" s="16">
        <v>0</v>
      </c>
      <c r="M17" s="16">
        <v>0</v>
      </c>
      <c r="N17" s="18">
        <f t="shared" si="0"/>
        <v>0</v>
      </c>
      <c r="O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/>
      <c r="C18" s="16"/>
      <c r="D18" s="16"/>
      <c r="E18" s="16"/>
      <c r="F18" s="16"/>
      <c r="G18" s="16"/>
      <c r="H18" s="16"/>
      <c r="I18" s="16"/>
      <c r="J18" s="16"/>
      <c r="K18" s="16">
        <v>0</v>
      </c>
      <c r="L18" s="16">
        <v>0</v>
      </c>
      <c r="M18" s="16">
        <v>0</v>
      </c>
      <c r="N18" s="18">
        <f t="shared" si="0"/>
        <v>0</v>
      </c>
      <c r="O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/>
      <c r="C19" s="16"/>
      <c r="D19" s="16"/>
      <c r="E19" s="16"/>
      <c r="F19" s="16"/>
      <c r="G19" s="16"/>
      <c r="H19" s="16"/>
      <c r="I19" s="16"/>
      <c r="J19" s="16"/>
      <c r="K19" s="16">
        <v>0</v>
      </c>
      <c r="L19" s="16">
        <v>0</v>
      </c>
      <c r="M19" s="16">
        <v>0</v>
      </c>
      <c r="N19" s="18">
        <f t="shared" si="0"/>
        <v>0</v>
      </c>
      <c r="O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>
        <v>0</v>
      </c>
      <c r="L20" s="16">
        <v>0</v>
      </c>
      <c r="M20" s="16">
        <v>0</v>
      </c>
      <c r="N20" s="18">
        <f t="shared" si="0"/>
        <v>0</v>
      </c>
      <c r="O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/>
      <c r="C21" s="16"/>
      <c r="D21" s="16"/>
      <c r="E21" s="16"/>
      <c r="F21" s="16"/>
      <c r="G21" s="16"/>
      <c r="H21" s="16"/>
      <c r="I21" s="16"/>
      <c r="J21" s="16"/>
      <c r="K21" s="16">
        <v>0</v>
      </c>
      <c r="L21" s="16">
        <v>0</v>
      </c>
      <c r="M21" s="16">
        <v>0</v>
      </c>
      <c r="N21" s="18">
        <f t="shared" si="0"/>
        <v>0</v>
      </c>
      <c r="O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/>
      <c r="C22" s="16"/>
      <c r="D22" s="16"/>
      <c r="E22" s="16"/>
      <c r="F22" s="16"/>
      <c r="G22" s="16"/>
      <c r="H22" s="16"/>
      <c r="I22" s="16"/>
      <c r="J22" s="16"/>
      <c r="K22" s="16">
        <v>0</v>
      </c>
      <c r="L22" s="16">
        <v>0</v>
      </c>
      <c r="M22" s="16">
        <v>0</v>
      </c>
      <c r="N22" s="18">
        <f t="shared" si="0"/>
        <v>0</v>
      </c>
      <c r="O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/>
      <c r="C23" s="16"/>
      <c r="D23" s="16"/>
      <c r="E23" s="16"/>
      <c r="F23" s="16"/>
      <c r="G23" s="16"/>
      <c r="H23" s="16"/>
      <c r="I23" s="16"/>
      <c r="J23" s="16"/>
      <c r="K23" s="16">
        <v>0</v>
      </c>
      <c r="L23" s="16">
        <v>0</v>
      </c>
      <c r="M23" s="16">
        <v>0</v>
      </c>
      <c r="N23" s="18">
        <f t="shared" si="0"/>
        <v>0</v>
      </c>
      <c r="O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/>
      <c r="C24" s="16"/>
      <c r="D24" s="16"/>
      <c r="E24" s="16"/>
      <c r="F24" s="16"/>
      <c r="G24" s="16"/>
      <c r="H24" s="16"/>
      <c r="I24" s="16"/>
      <c r="J24" s="16"/>
      <c r="K24" s="16">
        <v>0</v>
      </c>
      <c r="L24" s="16">
        <v>0</v>
      </c>
      <c r="M24" s="16">
        <v>0</v>
      </c>
      <c r="N24" s="18">
        <f t="shared" si="0"/>
        <v>0</v>
      </c>
      <c r="O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/>
      <c r="C25" s="16"/>
      <c r="D25" s="16"/>
      <c r="E25" s="16"/>
      <c r="F25" s="16"/>
      <c r="G25" s="16"/>
      <c r="H25" s="16"/>
      <c r="I25" s="16"/>
      <c r="J25" s="16"/>
      <c r="K25" s="16">
        <v>0</v>
      </c>
      <c r="L25" s="16">
        <v>0</v>
      </c>
      <c r="M25" s="16">
        <v>0</v>
      </c>
      <c r="N25" s="18">
        <f t="shared" si="0"/>
        <v>0</v>
      </c>
      <c r="O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>
        <v>0</v>
      </c>
      <c r="L26" s="16">
        <v>0</v>
      </c>
      <c r="M26" s="16">
        <v>0</v>
      </c>
      <c r="N26" s="18">
        <f t="shared" si="0"/>
        <v>0</v>
      </c>
      <c r="O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>
        <v>0</v>
      </c>
      <c r="L27" s="16">
        <v>0</v>
      </c>
      <c r="M27" s="16">
        <v>0</v>
      </c>
      <c r="N27" s="18">
        <f t="shared" si="0"/>
        <v>0</v>
      </c>
      <c r="O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>
        <v>0</v>
      </c>
      <c r="L28" s="16">
        <v>0</v>
      </c>
      <c r="M28" s="16">
        <v>0</v>
      </c>
      <c r="N28" s="18">
        <f t="shared" si="0"/>
        <v>0</v>
      </c>
      <c r="O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>
        <v>0</v>
      </c>
      <c r="L29" s="16">
        <v>0</v>
      </c>
      <c r="M29" s="16">
        <v>0</v>
      </c>
      <c r="N29" s="18">
        <f t="shared" si="0"/>
        <v>0</v>
      </c>
      <c r="O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>
        <v>0</v>
      </c>
      <c r="L30" s="16">
        <v>0</v>
      </c>
      <c r="M30" s="16">
        <v>0</v>
      </c>
      <c r="N30" s="18">
        <f t="shared" si="0"/>
        <v>0</v>
      </c>
      <c r="O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>
        <v>0</v>
      </c>
      <c r="L31" s="16">
        <v>0</v>
      </c>
      <c r="M31" s="16">
        <v>0</v>
      </c>
      <c r="N31" s="18">
        <f t="shared" si="0"/>
        <v>0</v>
      </c>
      <c r="O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/>
      <c r="C32" s="16"/>
      <c r="D32" s="16"/>
      <c r="E32" s="16"/>
      <c r="F32" s="16"/>
      <c r="G32" s="16"/>
      <c r="H32" s="16"/>
      <c r="I32" s="16"/>
      <c r="J32" s="16"/>
      <c r="K32" s="16">
        <v>0</v>
      </c>
      <c r="L32" s="16">
        <v>0</v>
      </c>
      <c r="M32" s="16">
        <v>0</v>
      </c>
      <c r="N32" s="18">
        <f t="shared" si="0"/>
        <v>0</v>
      </c>
      <c r="O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/>
      <c r="C33" s="16"/>
      <c r="D33" s="16"/>
      <c r="E33" s="16"/>
      <c r="F33" s="16"/>
      <c r="G33" s="16"/>
      <c r="H33" s="16"/>
      <c r="I33" s="16"/>
      <c r="J33" s="16"/>
      <c r="K33" s="16">
        <v>0</v>
      </c>
      <c r="L33" s="16">
        <v>0</v>
      </c>
      <c r="M33" s="16">
        <v>0</v>
      </c>
      <c r="N33" s="18">
        <f t="shared" si="0"/>
        <v>0</v>
      </c>
      <c r="O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/>
      <c r="C34" s="16"/>
      <c r="D34" s="16"/>
      <c r="E34" s="16"/>
      <c r="F34" s="16"/>
      <c r="G34" s="16"/>
      <c r="H34" s="16"/>
      <c r="I34" s="16"/>
      <c r="J34" s="16"/>
      <c r="K34" s="16">
        <v>0</v>
      </c>
      <c r="L34" s="16">
        <v>0</v>
      </c>
      <c r="M34" s="16">
        <v>0</v>
      </c>
      <c r="N34" s="18">
        <f t="shared" si="0"/>
        <v>0</v>
      </c>
      <c r="O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/>
      <c r="C35" s="16"/>
      <c r="D35" s="16"/>
      <c r="E35" s="16"/>
      <c r="F35" s="16"/>
      <c r="G35" s="16"/>
      <c r="H35" s="16"/>
      <c r="I35" s="16"/>
      <c r="J35" s="16"/>
      <c r="K35" s="16">
        <v>0</v>
      </c>
      <c r="L35" s="16">
        <v>0</v>
      </c>
      <c r="M35" s="16">
        <v>0</v>
      </c>
      <c r="N35" s="18">
        <f t="shared" si="0"/>
        <v>0</v>
      </c>
      <c r="O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/>
      <c r="C36" s="16"/>
      <c r="D36" s="16"/>
      <c r="E36" s="16"/>
      <c r="F36" s="16"/>
      <c r="G36" s="16"/>
      <c r="H36" s="16"/>
      <c r="I36" s="16"/>
      <c r="J36" s="16"/>
      <c r="K36" s="16">
        <v>0</v>
      </c>
      <c r="L36" s="16">
        <v>0</v>
      </c>
      <c r="M36" s="16">
        <v>0</v>
      </c>
      <c r="N36" s="18">
        <f t="shared" si="0"/>
        <v>0</v>
      </c>
      <c r="O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/>
      <c r="C37" s="16"/>
      <c r="D37" s="16"/>
      <c r="E37" s="16"/>
      <c r="F37" s="16"/>
      <c r="G37" s="16"/>
      <c r="H37" s="16"/>
      <c r="I37" s="16"/>
      <c r="J37" s="16"/>
      <c r="K37" s="16">
        <v>0</v>
      </c>
      <c r="L37" s="16">
        <v>0</v>
      </c>
      <c r="M37" s="16">
        <v>0</v>
      </c>
      <c r="N37" s="18">
        <f t="shared" si="0"/>
        <v>0</v>
      </c>
      <c r="O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/>
      <c r="C38" s="16"/>
      <c r="D38" s="16"/>
      <c r="E38" s="16"/>
      <c r="F38" s="16"/>
      <c r="G38" s="16"/>
      <c r="H38" s="16"/>
      <c r="I38" s="16"/>
      <c r="J38" s="16"/>
      <c r="K38" s="16">
        <v>0</v>
      </c>
      <c r="L38" s="16">
        <v>0</v>
      </c>
      <c r="M38" s="16">
        <v>0</v>
      </c>
      <c r="N38" s="18">
        <f t="shared" si="0"/>
        <v>0</v>
      </c>
      <c r="O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/>
      <c r="C39" s="16"/>
      <c r="D39" s="16"/>
      <c r="E39" s="16"/>
      <c r="F39" s="16"/>
      <c r="G39" s="16"/>
      <c r="H39" s="16"/>
      <c r="I39" s="16"/>
      <c r="J39" s="16"/>
      <c r="K39" s="16">
        <v>0</v>
      </c>
      <c r="L39" s="16">
        <v>0</v>
      </c>
      <c r="M39" s="16">
        <v>0</v>
      </c>
      <c r="N39" s="18">
        <f t="shared" si="0"/>
        <v>0</v>
      </c>
      <c r="O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/>
      <c r="C40" s="16"/>
      <c r="D40" s="16"/>
      <c r="E40" s="16"/>
      <c r="F40" s="16"/>
      <c r="G40" s="16"/>
      <c r="H40" s="16"/>
      <c r="I40" s="16"/>
      <c r="J40" s="16"/>
      <c r="K40" s="16">
        <v>0</v>
      </c>
      <c r="L40" s="16">
        <v>0</v>
      </c>
      <c r="M40" s="16">
        <v>0</v>
      </c>
      <c r="N40" s="18">
        <f t="shared" ref="N40:N71" si="1">SUM(B40:M40)</f>
        <v>0</v>
      </c>
      <c r="O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/>
      <c r="C41" s="16"/>
      <c r="D41" s="16"/>
      <c r="E41" s="16"/>
      <c r="F41" s="16"/>
      <c r="G41" s="16"/>
      <c r="H41" s="16"/>
      <c r="I41" s="16"/>
      <c r="J41" s="16"/>
      <c r="K41" s="16">
        <v>0</v>
      </c>
      <c r="L41" s="16">
        <v>0</v>
      </c>
      <c r="M41" s="16">
        <v>0</v>
      </c>
      <c r="N41" s="18">
        <f t="shared" si="1"/>
        <v>0</v>
      </c>
      <c r="O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/>
      <c r="C42" s="16"/>
      <c r="D42" s="16"/>
      <c r="E42" s="16"/>
      <c r="F42" s="16"/>
      <c r="G42" s="16"/>
      <c r="H42" s="16"/>
      <c r="I42" s="16"/>
      <c r="J42" s="16"/>
      <c r="K42" s="16">
        <v>0</v>
      </c>
      <c r="L42" s="16">
        <v>0</v>
      </c>
      <c r="M42" s="16">
        <v>0</v>
      </c>
      <c r="N42" s="18">
        <f t="shared" si="1"/>
        <v>0</v>
      </c>
      <c r="O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/>
      <c r="C43" s="16"/>
      <c r="D43" s="16"/>
      <c r="E43" s="16"/>
      <c r="F43" s="16"/>
      <c r="G43" s="16"/>
      <c r="H43" s="16"/>
      <c r="I43" s="16"/>
      <c r="J43" s="16"/>
      <c r="K43" s="16">
        <v>0</v>
      </c>
      <c r="L43" s="16">
        <v>0</v>
      </c>
      <c r="M43" s="16">
        <v>0</v>
      </c>
      <c r="N43" s="18">
        <f t="shared" si="1"/>
        <v>0</v>
      </c>
      <c r="O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/>
      <c r="C44" s="16"/>
      <c r="D44" s="16"/>
      <c r="E44" s="16"/>
      <c r="F44" s="16"/>
      <c r="G44" s="16"/>
      <c r="H44" s="16"/>
      <c r="I44" s="16"/>
      <c r="J44" s="16"/>
      <c r="K44" s="16">
        <v>0</v>
      </c>
      <c r="L44" s="16">
        <v>0</v>
      </c>
      <c r="M44" s="16">
        <v>0</v>
      </c>
      <c r="N44" s="18">
        <f t="shared" si="1"/>
        <v>0</v>
      </c>
      <c r="O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/>
      <c r="C45" s="16"/>
      <c r="D45" s="16"/>
      <c r="E45" s="16"/>
      <c r="F45" s="16"/>
      <c r="G45" s="16"/>
      <c r="H45" s="16"/>
      <c r="I45" s="16"/>
      <c r="J45" s="16"/>
      <c r="K45" s="16">
        <v>0</v>
      </c>
      <c r="L45" s="16">
        <v>0</v>
      </c>
      <c r="M45" s="16">
        <v>0</v>
      </c>
      <c r="N45" s="18">
        <f t="shared" si="1"/>
        <v>0</v>
      </c>
      <c r="O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/>
      <c r="C46" s="16"/>
      <c r="D46" s="16"/>
      <c r="E46" s="16"/>
      <c r="F46" s="16"/>
      <c r="G46" s="16"/>
      <c r="H46" s="16"/>
      <c r="I46" s="16"/>
      <c r="J46" s="16"/>
      <c r="K46" s="16">
        <v>0</v>
      </c>
      <c r="L46" s="16">
        <v>0</v>
      </c>
      <c r="M46" s="16">
        <v>0</v>
      </c>
      <c r="N46" s="18">
        <f t="shared" si="1"/>
        <v>0</v>
      </c>
      <c r="O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/>
      <c r="C47" s="16"/>
      <c r="D47" s="16"/>
      <c r="E47" s="16"/>
      <c r="F47" s="16"/>
      <c r="G47" s="16"/>
      <c r="H47" s="16"/>
      <c r="I47" s="16"/>
      <c r="J47" s="16"/>
      <c r="K47" s="16">
        <v>0</v>
      </c>
      <c r="L47" s="16">
        <v>0</v>
      </c>
      <c r="M47" s="16">
        <v>0</v>
      </c>
      <c r="N47" s="18">
        <f t="shared" si="1"/>
        <v>0</v>
      </c>
      <c r="O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/>
      <c r="C48" s="16"/>
      <c r="D48" s="16"/>
      <c r="E48" s="16"/>
      <c r="F48" s="16"/>
      <c r="G48" s="16"/>
      <c r="H48" s="16"/>
      <c r="I48" s="16"/>
      <c r="J48" s="16"/>
      <c r="K48" s="16">
        <v>0</v>
      </c>
      <c r="L48" s="16">
        <v>0</v>
      </c>
      <c r="M48" s="16">
        <v>0</v>
      </c>
      <c r="N48" s="18">
        <f t="shared" si="1"/>
        <v>0</v>
      </c>
      <c r="O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/>
      <c r="C49" s="16"/>
      <c r="D49" s="16"/>
      <c r="E49" s="16"/>
      <c r="F49" s="16"/>
      <c r="G49" s="16"/>
      <c r="H49" s="16"/>
      <c r="I49" s="16"/>
      <c r="J49" s="16"/>
      <c r="K49" s="16">
        <v>0</v>
      </c>
      <c r="L49" s="16">
        <v>0</v>
      </c>
      <c r="M49" s="16">
        <v>0</v>
      </c>
      <c r="N49" s="18">
        <f t="shared" si="1"/>
        <v>0</v>
      </c>
      <c r="O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/>
      <c r="C50" s="16"/>
      <c r="D50" s="16"/>
      <c r="E50" s="16"/>
      <c r="F50" s="16"/>
      <c r="G50" s="16"/>
      <c r="H50" s="16"/>
      <c r="I50" s="16"/>
      <c r="J50" s="16"/>
      <c r="K50" s="16">
        <v>0</v>
      </c>
      <c r="L50" s="16">
        <v>0</v>
      </c>
      <c r="M50" s="16">
        <v>0</v>
      </c>
      <c r="N50" s="18">
        <f t="shared" si="1"/>
        <v>0</v>
      </c>
      <c r="O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/>
      <c r="C51" s="16"/>
      <c r="D51" s="16"/>
      <c r="E51" s="16"/>
      <c r="F51" s="16"/>
      <c r="G51" s="16"/>
      <c r="H51" s="16"/>
      <c r="I51" s="16"/>
      <c r="J51" s="16"/>
      <c r="K51" s="16">
        <v>0</v>
      </c>
      <c r="L51" s="16">
        <v>0</v>
      </c>
      <c r="M51" s="16">
        <v>0</v>
      </c>
      <c r="N51" s="18">
        <f t="shared" si="1"/>
        <v>0</v>
      </c>
      <c r="O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/>
      <c r="C52" s="16"/>
      <c r="D52" s="16"/>
      <c r="E52" s="16"/>
      <c r="F52" s="16"/>
      <c r="G52" s="16"/>
      <c r="H52" s="16"/>
      <c r="I52" s="16"/>
      <c r="J52" s="16"/>
      <c r="K52" s="16">
        <v>0</v>
      </c>
      <c r="L52" s="16">
        <v>0</v>
      </c>
      <c r="M52" s="16">
        <v>0</v>
      </c>
      <c r="N52" s="18">
        <f t="shared" si="1"/>
        <v>0</v>
      </c>
      <c r="O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>
        <v>0</v>
      </c>
      <c r="L53" s="16">
        <v>0</v>
      </c>
      <c r="M53" s="16">
        <v>0</v>
      </c>
      <c r="N53" s="18">
        <f t="shared" si="1"/>
        <v>0</v>
      </c>
      <c r="O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/>
      <c r="C54" s="16"/>
      <c r="D54" s="16"/>
      <c r="E54" s="16"/>
      <c r="F54" s="16"/>
      <c r="G54" s="16"/>
      <c r="H54" s="16"/>
      <c r="I54" s="16"/>
      <c r="J54" s="16"/>
      <c r="K54" s="16">
        <v>0</v>
      </c>
      <c r="L54" s="16">
        <v>0</v>
      </c>
      <c r="M54" s="16">
        <v>0</v>
      </c>
      <c r="N54" s="18">
        <f t="shared" si="1"/>
        <v>0</v>
      </c>
      <c r="O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/>
      <c r="C55" s="16"/>
      <c r="D55" s="16"/>
      <c r="E55" s="16"/>
      <c r="F55" s="16"/>
      <c r="G55" s="16"/>
      <c r="H55" s="16"/>
      <c r="I55" s="16"/>
      <c r="J55" s="16"/>
      <c r="K55" s="16">
        <v>0</v>
      </c>
      <c r="L55" s="16">
        <v>0</v>
      </c>
      <c r="M55" s="16">
        <v>0</v>
      </c>
      <c r="N55" s="18">
        <f t="shared" si="1"/>
        <v>0</v>
      </c>
      <c r="O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0</v>
      </c>
      <c r="L56" s="16">
        <v>0</v>
      </c>
      <c r="M56" s="16">
        <v>0</v>
      </c>
      <c r="N56" s="18">
        <f t="shared" si="1"/>
        <v>0</v>
      </c>
      <c r="O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/>
      <c r="C57" s="16"/>
      <c r="D57" s="16"/>
      <c r="E57" s="16"/>
      <c r="F57" s="16"/>
      <c r="G57" s="16"/>
      <c r="H57" s="16"/>
      <c r="I57" s="16"/>
      <c r="J57" s="16"/>
      <c r="K57" s="16">
        <v>0</v>
      </c>
      <c r="L57" s="16">
        <v>0</v>
      </c>
      <c r="M57" s="16">
        <v>0</v>
      </c>
      <c r="N57" s="18">
        <f t="shared" si="1"/>
        <v>0</v>
      </c>
      <c r="O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/>
      <c r="C58" s="16"/>
      <c r="D58" s="16"/>
      <c r="E58" s="16"/>
      <c r="F58" s="16"/>
      <c r="G58" s="16"/>
      <c r="H58" s="16"/>
      <c r="I58" s="16"/>
      <c r="J58" s="16"/>
      <c r="K58" s="16">
        <v>0</v>
      </c>
      <c r="L58" s="16">
        <v>0</v>
      </c>
      <c r="M58" s="16">
        <v>0</v>
      </c>
      <c r="N58" s="18">
        <f t="shared" si="1"/>
        <v>0</v>
      </c>
      <c r="O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/>
      <c r="C59" s="16"/>
      <c r="D59" s="16"/>
      <c r="E59" s="16"/>
      <c r="F59" s="16"/>
      <c r="G59" s="16"/>
      <c r="H59" s="16"/>
      <c r="I59" s="16"/>
      <c r="J59" s="16"/>
      <c r="K59" s="16">
        <v>0</v>
      </c>
      <c r="L59" s="16">
        <v>0</v>
      </c>
      <c r="M59" s="16">
        <v>0</v>
      </c>
      <c r="N59" s="18">
        <f t="shared" si="1"/>
        <v>0</v>
      </c>
      <c r="O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/>
      <c r="C60" s="16"/>
      <c r="D60" s="16"/>
      <c r="E60" s="16"/>
      <c r="F60" s="16"/>
      <c r="G60" s="16"/>
      <c r="H60" s="16"/>
      <c r="I60" s="16"/>
      <c r="J60" s="16"/>
      <c r="K60" s="16">
        <v>0</v>
      </c>
      <c r="L60" s="16">
        <v>0</v>
      </c>
      <c r="M60" s="16">
        <v>0</v>
      </c>
      <c r="N60" s="18">
        <f t="shared" si="1"/>
        <v>0</v>
      </c>
      <c r="O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/>
      <c r="C61" s="16"/>
      <c r="D61" s="16"/>
      <c r="E61" s="16"/>
      <c r="F61" s="16"/>
      <c r="G61" s="16"/>
      <c r="H61" s="16"/>
      <c r="I61" s="16"/>
      <c r="J61" s="16"/>
      <c r="K61" s="16">
        <v>0</v>
      </c>
      <c r="L61" s="16">
        <v>0</v>
      </c>
      <c r="M61" s="16">
        <v>0</v>
      </c>
      <c r="N61" s="18">
        <f t="shared" si="1"/>
        <v>0</v>
      </c>
      <c r="O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/>
      <c r="C62" s="16"/>
      <c r="D62" s="16"/>
      <c r="E62" s="16"/>
      <c r="F62" s="16"/>
      <c r="G62" s="16"/>
      <c r="H62" s="16"/>
      <c r="I62" s="16"/>
      <c r="J62" s="16"/>
      <c r="K62" s="16">
        <v>0</v>
      </c>
      <c r="L62" s="16">
        <v>0</v>
      </c>
      <c r="M62" s="16">
        <v>0</v>
      </c>
      <c r="N62" s="18">
        <f t="shared" si="1"/>
        <v>0</v>
      </c>
      <c r="O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/>
      <c r="C63" s="16"/>
      <c r="D63" s="16"/>
      <c r="E63" s="16"/>
      <c r="F63" s="16"/>
      <c r="G63" s="16"/>
      <c r="H63" s="16"/>
      <c r="I63" s="16"/>
      <c r="J63" s="16"/>
      <c r="K63" s="16">
        <v>0</v>
      </c>
      <c r="L63" s="16">
        <v>0</v>
      </c>
      <c r="M63" s="16">
        <v>0</v>
      </c>
      <c r="N63" s="18">
        <f t="shared" si="1"/>
        <v>0</v>
      </c>
      <c r="O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/>
      <c r="C64" s="16"/>
      <c r="D64" s="16"/>
      <c r="E64" s="16"/>
      <c r="F64" s="16"/>
      <c r="G64" s="16"/>
      <c r="H64" s="16"/>
      <c r="I64" s="16"/>
      <c r="J64" s="16"/>
      <c r="K64" s="16">
        <v>0</v>
      </c>
      <c r="L64" s="16">
        <v>0</v>
      </c>
      <c r="M64" s="16">
        <v>0</v>
      </c>
      <c r="N64" s="18">
        <f t="shared" si="1"/>
        <v>0</v>
      </c>
      <c r="O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</v>
      </c>
      <c r="L65" s="16">
        <v>0</v>
      </c>
      <c r="M65" s="16">
        <v>0</v>
      </c>
      <c r="N65" s="18">
        <f t="shared" si="1"/>
        <v>0</v>
      </c>
      <c r="O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/>
      <c r="C66" s="16"/>
      <c r="D66" s="16"/>
      <c r="E66" s="16"/>
      <c r="F66" s="16"/>
      <c r="G66" s="16"/>
      <c r="H66" s="16"/>
      <c r="I66" s="16"/>
      <c r="J66" s="16"/>
      <c r="K66" s="16">
        <v>0</v>
      </c>
      <c r="L66" s="16">
        <v>0</v>
      </c>
      <c r="M66" s="16">
        <v>0</v>
      </c>
      <c r="N66" s="18">
        <f t="shared" si="1"/>
        <v>0</v>
      </c>
      <c r="O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/>
      <c r="C67" s="16"/>
      <c r="D67" s="16"/>
      <c r="E67" s="16"/>
      <c r="F67" s="16"/>
      <c r="G67" s="16"/>
      <c r="H67" s="16"/>
      <c r="I67" s="16"/>
      <c r="J67" s="16"/>
      <c r="K67" s="16">
        <v>0</v>
      </c>
      <c r="L67" s="16">
        <v>0</v>
      </c>
      <c r="M67" s="16">
        <v>0</v>
      </c>
      <c r="N67" s="18">
        <f t="shared" si="1"/>
        <v>0</v>
      </c>
      <c r="O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/>
      <c r="C68" s="16"/>
      <c r="D68" s="16"/>
      <c r="E68" s="16"/>
      <c r="F68" s="16"/>
      <c r="G68" s="16"/>
      <c r="H68" s="16"/>
      <c r="I68" s="16"/>
      <c r="J68" s="16"/>
      <c r="K68" s="16">
        <v>0</v>
      </c>
      <c r="L68" s="16">
        <v>0</v>
      </c>
      <c r="M68" s="16">
        <v>0</v>
      </c>
      <c r="N68" s="18">
        <f t="shared" si="1"/>
        <v>0</v>
      </c>
      <c r="O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/>
      <c r="C69" s="16"/>
      <c r="D69" s="16"/>
      <c r="E69" s="16"/>
      <c r="F69" s="16"/>
      <c r="G69" s="16"/>
      <c r="H69" s="16"/>
      <c r="I69" s="16"/>
      <c r="J69" s="16"/>
      <c r="K69" s="16">
        <v>0</v>
      </c>
      <c r="L69" s="16">
        <v>0</v>
      </c>
      <c r="M69" s="16">
        <v>0</v>
      </c>
      <c r="N69" s="18">
        <f t="shared" si="1"/>
        <v>0</v>
      </c>
      <c r="O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/>
      <c r="C70" s="16"/>
      <c r="D70" s="16"/>
      <c r="E70" s="16"/>
      <c r="F70" s="16"/>
      <c r="G70" s="16"/>
      <c r="H70" s="16"/>
      <c r="I70" s="16"/>
      <c r="J70" s="16"/>
      <c r="K70" s="16">
        <v>0</v>
      </c>
      <c r="L70" s="16">
        <v>0</v>
      </c>
      <c r="M70" s="16">
        <v>0</v>
      </c>
      <c r="N70" s="18">
        <f t="shared" si="1"/>
        <v>0</v>
      </c>
      <c r="O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/>
      <c r="C71" s="16"/>
      <c r="D71" s="16"/>
      <c r="E71" s="16"/>
      <c r="F71" s="16"/>
      <c r="G71" s="16"/>
      <c r="H71" s="16"/>
      <c r="I71" s="16"/>
      <c r="J71" s="16"/>
      <c r="K71" s="16">
        <v>0</v>
      </c>
      <c r="L71" s="16">
        <v>0</v>
      </c>
      <c r="M71" s="16">
        <v>0</v>
      </c>
      <c r="N71" s="18">
        <f t="shared" si="1"/>
        <v>0</v>
      </c>
      <c r="O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/>
      <c r="C72" s="16"/>
      <c r="D72" s="16"/>
      <c r="E72" s="16"/>
      <c r="F72" s="16"/>
      <c r="G72" s="16"/>
      <c r="H72" s="16"/>
      <c r="I72" s="16"/>
      <c r="J72" s="16"/>
      <c r="K72" s="16">
        <v>0</v>
      </c>
      <c r="L72" s="16">
        <v>0</v>
      </c>
      <c r="M72" s="16">
        <v>0</v>
      </c>
      <c r="N72" s="18">
        <f t="shared" ref="N72:N103" si="2">SUM(B72:M72)</f>
        <v>0</v>
      </c>
      <c r="O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/>
      <c r="C73" s="16"/>
      <c r="D73" s="16"/>
      <c r="E73" s="16"/>
      <c r="F73" s="16"/>
      <c r="G73" s="16"/>
      <c r="H73" s="16"/>
      <c r="I73" s="16"/>
      <c r="J73" s="16"/>
      <c r="K73" s="16">
        <v>0</v>
      </c>
      <c r="L73" s="16">
        <v>0</v>
      </c>
      <c r="M73" s="16">
        <v>0</v>
      </c>
      <c r="N73" s="18">
        <f t="shared" si="2"/>
        <v>0</v>
      </c>
      <c r="O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/>
      <c r="C74" s="16"/>
      <c r="D74" s="16"/>
      <c r="E74" s="16"/>
      <c r="F74" s="16"/>
      <c r="G74" s="16"/>
      <c r="H74" s="16"/>
      <c r="I74" s="16"/>
      <c r="J74" s="16"/>
      <c r="K74" s="16">
        <v>0</v>
      </c>
      <c r="L74" s="16">
        <v>0</v>
      </c>
      <c r="M74" s="16">
        <v>0</v>
      </c>
      <c r="N74" s="18">
        <f t="shared" si="2"/>
        <v>0</v>
      </c>
      <c r="O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/>
      <c r="C75" s="16"/>
      <c r="D75" s="16"/>
      <c r="E75" s="16"/>
      <c r="F75" s="16"/>
      <c r="G75" s="16"/>
      <c r="H75" s="16"/>
      <c r="I75" s="16"/>
      <c r="J75" s="16"/>
      <c r="K75" s="16">
        <v>0</v>
      </c>
      <c r="L75" s="16">
        <v>0</v>
      </c>
      <c r="M75" s="16">
        <v>0</v>
      </c>
      <c r="N75" s="18">
        <f t="shared" si="2"/>
        <v>0</v>
      </c>
      <c r="O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/>
      <c r="C76" s="16"/>
      <c r="D76" s="16"/>
      <c r="E76" s="16"/>
      <c r="F76" s="16"/>
      <c r="G76" s="16"/>
      <c r="H76" s="16"/>
      <c r="I76" s="16"/>
      <c r="J76" s="16"/>
      <c r="K76" s="16">
        <v>0</v>
      </c>
      <c r="L76" s="16">
        <v>0</v>
      </c>
      <c r="M76" s="16">
        <v>0</v>
      </c>
      <c r="N76" s="18">
        <f t="shared" si="2"/>
        <v>0</v>
      </c>
      <c r="O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/>
      <c r="C77" s="16"/>
      <c r="D77" s="16"/>
      <c r="E77" s="16"/>
      <c r="F77" s="16"/>
      <c r="G77" s="16"/>
      <c r="H77" s="16"/>
      <c r="I77" s="16"/>
      <c r="J77" s="16"/>
      <c r="K77" s="16">
        <v>0</v>
      </c>
      <c r="L77" s="16">
        <v>0</v>
      </c>
      <c r="M77" s="16">
        <v>0</v>
      </c>
      <c r="N77" s="18">
        <f t="shared" si="2"/>
        <v>0</v>
      </c>
      <c r="O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/>
      <c r="C78" s="16"/>
      <c r="D78" s="16"/>
      <c r="E78" s="16"/>
      <c r="F78" s="16"/>
      <c r="G78" s="16"/>
      <c r="H78" s="16"/>
      <c r="I78" s="16"/>
      <c r="J78" s="16"/>
      <c r="K78" s="16">
        <v>0</v>
      </c>
      <c r="L78" s="16">
        <v>0</v>
      </c>
      <c r="M78" s="16">
        <v>0</v>
      </c>
      <c r="N78" s="18">
        <f t="shared" si="2"/>
        <v>0</v>
      </c>
      <c r="O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/>
      <c r="C79" s="16"/>
      <c r="D79" s="16"/>
      <c r="E79" s="16"/>
      <c r="F79" s="16"/>
      <c r="G79" s="16"/>
      <c r="H79" s="16"/>
      <c r="I79" s="16"/>
      <c r="J79" s="16"/>
      <c r="K79" s="16">
        <v>0</v>
      </c>
      <c r="L79" s="16">
        <v>0</v>
      </c>
      <c r="M79" s="16">
        <v>0</v>
      </c>
      <c r="N79" s="18">
        <f t="shared" si="2"/>
        <v>0</v>
      </c>
      <c r="O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/>
      <c r="C80" s="16"/>
      <c r="D80" s="16"/>
      <c r="E80" s="16"/>
      <c r="F80" s="16"/>
      <c r="G80" s="16"/>
      <c r="H80" s="16"/>
      <c r="I80" s="16"/>
      <c r="J80" s="16"/>
      <c r="K80" s="16">
        <v>0</v>
      </c>
      <c r="L80" s="16">
        <v>0</v>
      </c>
      <c r="M80" s="16">
        <v>0</v>
      </c>
      <c r="N80" s="18">
        <f t="shared" si="2"/>
        <v>0</v>
      </c>
      <c r="O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/>
      <c r="C81" s="16"/>
      <c r="D81" s="16"/>
      <c r="E81" s="16"/>
      <c r="F81" s="16"/>
      <c r="G81" s="16"/>
      <c r="H81" s="16"/>
      <c r="I81" s="16"/>
      <c r="J81" s="16"/>
      <c r="K81" s="16">
        <v>0</v>
      </c>
      <c r="L81" s="16">
        <v>0</v>
      </c>
      <c r="M81" s="16">
        <v>0</v>
      </c>
      <c r="N81" s="18">
        <f t="shared" si="2"/>
        <v>0</v>
      </c>
      <c r="O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/>
      <c r="C82" s="16"/>
      <c r="D82" s="16"/>
      <c r="E82" s="16"/>
      <c r="F82" s="16"/>
      <c r="G82" s="16"/>
      <c r="H82" s="16"/>
      <c r="I82" s="16"/>
      <c r="J82" s="16"/>
      <c r="K82" s="16">
        <v>0</v>
      </c>
      <c r="L82" s="16">
        <v>0</v>
      </c>
      <c r="M82" s="16">
        <v>0</v>
      </c>
      <c r="N82" s="18">
        <f t="shared" si="2"/>
        <v>0</v>
      </c>
      <c r="O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/>
      <c r="C83" s="16"/>
      <c r="D83" s="16"/>
      <c r="E83" s="16"/>
      <c r="F83" s="16"/>
      <c r="G83" s="16"/>
      <c r="H83" s="16"/>
      <c r="I83" s="16"/>
      <c r="J83" s="16"/>
      <c r="K83" s="16">
        <v>0</v>
      </c>
      <c r="L83" s="16">
        <v>0</v>
      </c>
      <c r="M83" s="16">
        <v>0</v>
      </c>
      <c r="N83" s="18">
        <f t="shared" si="2"/>
        <v>0</v>
      </c>
      <c r="O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/>
      <c r="C84" s="16"/>
      <c r="D84" s="16"/>
      <c r="E84" s="16"/>
      <c r="F84" s="16"/>
      <c r="G84" s="16"/>
      <c r="H84" s="16"/>
      <c r="I84" s="16"/>
      <c r="J84" s="16"/>
      <c r="K84" s="16">
        <v>0</v>
      </c>
      <c r="L84" s="16">
        <v>0</v>
      </c>
      <c r="M84" s="16">
        <v>0</v>
      </c>
      <c r="N84" s="18">
        <f t="shared" si="2"/>
        <v>0</v>
      </c>
      <c r="O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/>
      <c r="C85" s="16"/>
      <c r="D85" s="16"/>
      <c r="E85" s="16"/>
      <c r="F85" s="16"/>
      <c r="G85" s="16"/>
      <c r="H85" s="16"/>
      <c r="I85" s="16"/>
      <c r="J85" s="16"/>
      <c r="K85" s="16">
        <v>0</v>
      </c>
      <c r="L85" s="16">
        <v>0</v>
      </c>
      <c r="M85" s="16">
        <v>0</v>
      </c>
      <c r="N85" s="18">
        <f t="shared" si="2"/>
        <v>0</v>
      </c>
      <c r="O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/>
      <c r="C86" s="16"/>
      <c r="D86" s="16"/>
      <c r="E86" s="16"/>
      <c r="F86" s="16"/>
      <c r="G86" s="16"/>
      <c r="H86" s="16"/>
      <c r="I86" s="16"/>
      <c r="J86" s="16"/>
      <c r="K86" s="16">
        <v>0</v>
      </c>
      <c r="L86" s="16">
        <v>0</v>
      </c>
      <c r="M86" s="16">
        <v>0</v>
      </c>
      <c r="N86" s="18">
        <f t="shared" si="2"/>
        <v>0</v>
      </c>
      <c r="O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/>
      <c r="C87" s="16"/>
      <c r="D87" s="16"/>
      <c r="E87" s="16"/>
      <c r="F87" s="16"/>
      <c r="G87" s="16"/>
      <c r="H87" s="16"/>
      <c r="I87" s="16"/>
      <c r="J87" s="16"/>
      <c r="K87" s="16">
        <v>0</v>
      </c>
      <c r="L87" s="16">
        <v>0</v>
      </c>
      <c r="M87" s="16">
        <v>0</v>
      </c>
      <c r="N87" s="18">
        <f t="shared" si="2"/>
        <v>0</v>
      </c>
      <c r="O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/>
      <c r="C88" s="16"/>
      <c r="D88" s="16"/>
      <c r="E88" s="16"/>
      <c r="F88" s="16"/>
      <c r="G88" s="16"/>
      <c r="H88" s="16"/>
      <c r="I88" s="16"/>
      <c r="J88" s="16"/>
      <c r="K88" s="16">
        <v>0</v>
      </c>
      <c r="L88" s="16">
        <v>0</v>
      </c>
      <c r="M88" s="16">
        <v>0</v>
      </c>
      <c r="N88" s="18">
        <f t="shared" si="2"/>
        <v>0</v>
      </c>
      <c r="O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/>
      <c r="C89" s="16"/>
      <c r="D89" s="16"/>
      <c r="E89" s="16"/>
      <c r="F89" s="16"/>
      <c r="G89" s="16"/>
      <c r="H89" s="16"/>
      <c r="I89" s="16"/>
      <c r="J89" s="16"/>
      <c r="K89" s="16">
        <v>0</v>
      </c>
      <c r="L89" s="16">
        <v>0</v>
      </c>
      <c r="M89" s="16">
        <v>0</v>
      </c>
      <c r="N89" s="18">
        <f t="shared" si="2"/>
        <v>0</v>
      </c>
      <c r="O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/>
      <c r="C90" s="16"/>
      <c r="D90" s="16"/>
      <c r="E90" s="16"/>
      <c r="F90" s="16"/>
      <c r="G90" s="16"/>
      <c r="H90" s="16"/>
      <c r="I90" s="16"/>
      <c r="J90" s="16"/>
      <c r="K90" s="16">
        <v>0</v>
      </c>
      <c r="L90" s="16">
        <v>0</v>
      </c>
      <c r="M90" s="16">
        <v>0</v>
      </c>
      <c r="N90" s="18">
        <f t="shared" si="2"/>
        <v>0</v>
      </c>
      <c r="O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/>
      <c r="C91" s="16"/>
      <c r="D91" s="16"/>
      <c r="E91" s="16"/>
      <c r="F91" s="16"/>
      <c r="G91" s="16"/>
      <c r="H91" s="16"/>
      <c r="I91" s="16"/>
      <c r="J91" s="16"/>
      <c r="K91" s="16">
        <v>0</v>
      </c>
      <c r="L91" s="16">
        <v>0</v>
      </c>
      <c r="M91" s="16">
        <v>0</v>
      </c>
      <c r="N91" s="18">
        <f t="shared" si="2"/>
        <v>0</v>
      </c>
      <c r="O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/>
      <c r="C92" s="16"/>
      <c r="D92" s="16"/>
      <c r="E92" s="16"/>
      <c r="F92" s="16"/>
      <c r="G92" s="16"/>
      <c r="H92" s="16"/>
      <c r="I92" s="16"/>
      <c r="J92" s="16"/>
      <c r="K92" s="16">
        <v>0</v>
      </c>
      <c r="L92" s="16">
        <v>0</v>
      </c>
      <c r="M92" s="16">
        <v>0</v>
      </c>
      <c r="N92" s="18">
        <f t="shared" si="2"/>
        <v>0</v>
      </c>
      <c r="O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/>
      <c r="C93" s="16"/>
      <c r="D93" s="16"/>
      <c r="E93" s="16"/>
      <c r="F93" s="16"/>
      <c r="G93" s="16"/>
      <c r="H93" s="16"/>
      <c r="I93" s="16"/>
      <c r="J93" s="16"/>
      <c r="K93" s="16">
        <v>0</v>
      </c>
      <c r="L93" s="16">
        <v>0</v>
      </c>
      <c r="M93" s="16">
        <v>0</v>
      </c>
      <c r="N93" s="18">
        <f t="shared" si="2"/>
        <v>0</v>
      </c>
      <c r="O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/>
      <c r="C94" s="16"/>
      <c r="D94" s="16"/>
      <c r="E94" s="16"/>
      <c r="F94" s="16"/>
      <c r="G94" s="16"/>
      <c r="H94" s="16"/>
      <c r="I94" s="16"/>
      <c r="J94" s="16"/>
      <c r="K94" s="16">
        <v>0</v>
      </c>
      <c r="L94" s="16">
        <v>0</v>
      </c>
      <c r="M94" s="16">
        <v>0</v>
      </c>
      <c r="N94" s="18">
        <f t="shared" si="2"/>
        <v>0</v>
      </c>
      <c r="O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/>
      <c r="C95" s="16"/>
      <c r="D95" s="16"/>
      <c r="E95" s="16"/>
      <c r="F95" s="16"/>
      <c r="G95" s="16"/>
      <c r="H95" s="16"/>
      <c r="I95" s="16"/>
      <c r="J95" s="16"/>
      <c r="K95" s="16">
        <v>0</v>
      </c>
      <c r="L95" s="16">
        <v>0</v>
      </c>
      <c r="M95" s="16">
        <v>0</v>
      </c>
      <c r="N95" s="18">
        <f t="shared" si="2"/>
        <v>0</v>
      </c>
      <c r="O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/>
      <c r="C96" s="16"/>
      <c r="D96" s="16"/>
      <c r="E96" s="16"/>
      <c r="F96" s="16"/>
      <c r="G96" s="16"/>
      <c r="H96" s="16"/>
      <c r="I96" s="16"/>
      <c r="J96" s="16"/>
      <c r="K96" s="16">
        <v>0</v>
      </c>
      <c r="L96" s="16">
        <v>0</v>
      </c>
      <c r="M96" s="16">
        <v>0</v>
      </c>
      <c r="N96" s="18">
        <f t="shared" si="2"/>
        <v>0</v>
      </c>
      <c r="O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/>
      <c r="C97" s="16"/>
      <c r="D97" s="16"/>
      <c r="E97" s="16"/>
      <c r="F97" s="16"/>
      <c r="G97" s="16"/>
      <c r="H97" s="16"/>
      <c r="I97" s="16"/>
      <c r="J97" s="16"/>
      <c r="K97" s="16">
        <v>0</v>
      </c>
      <c r="L97" s="16">
        <v>0</v>
      </c>
      <c r="M97" s="16">
        <v>0</v>
      </c>
      <c r="N97" s="18">
        <f t="shared" si="2"/>
        <v>0</v>
      </c>
      <c r="O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/>
      <c r="C98" s="16"/>
      <c r="D98" s="16"/>
      <c r="E98" s="16"/>
      <c r="F98" s="16"/>
      <c r="G98" s="16"/>
      <c r="H98" s="16"/>
      <c r="I98" s="16"/>
      <c r="J98" s="16"/>
      <c r="K98" s="16">
        <v>0</v>
      </c>
      <c r="L98" s="16">
        <v>0</v>
      </c>
      <c r="M98" s="16">
        <v>0</v>
      </c>
      <c r="N98" s="18">
        <f t="shared" si="2"/>
        <v>0</v>
      </c>
      <c r="O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</v>
      </c>
      <c r="L99" s="16">
        <v>0</v>
      </c>
      <c r="M99" s="16">
        <v>0</v>
      </c>
      <c r="N99" s="18">
        <f t="shared" si="2"/>
        <v>0</v>
      </c>
      <c r="O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>
        <v>0</v>
      </c>
      <c r="L100" s="16">
        <v>0</v>
      </c>
      <c r="M100" s="16">
        <v>0</v>
      </c>
      <c r="N100" s="18">
        <f t="shared" si="2"/>
        <v>0</v>
      </c>
      <c r="O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>
        <v>0</v>
      </c>
      <c r="L101" s="16">
        <v>0</v>
      </c>
      <c r="M101" s="16">
        <v>0</v>
      </c>
      <c r="N101" s="18">
        <f t="shared" si="2"/>
        <v>0</v>
      </c>
      <c r="O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>
        <v>0</v>
      </c>
      <c r="L102" s="16">
        <v>0</v>
      </c>
      <c r="M102" s="16">
        <v>0</v>
      </c>
      <c r="N102" s="18">
        <f t="shared" si="2"/>
        <v>0</v>
      </c>
      <c r="O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>
        <v>0</v>
      </c>
      <c r="L103" s="16">
        <v>0</v>
      </c>
      <c r="M103" s="16">
        <v>0</v>
      </c>
      <c r="N103" s="18">
        <f t="shared" si="2"/>
        <v>0</v>
      </c>
      <c r="O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>
        <v>0</v>
      </c>
      <c r="L104" s="16">
        <v>0</v>
      </c>
      <c r="M104" s="16">
        <v>0</v>
      </c>
      <c r="N104" s="18">
        <f t="shared" ref="N104:N135" si="3">SUM(B104:M104)</f>
        <v>0</v>
      </c>
      <c r="O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>
        <v>0</v>
      </c>
      <c r="L105" s="16">
        <v>0</v>
      </c>
      <c r="M105" s="16">
        <v>0</v>
      </c>
      <c r="N105" s="18">
        <f t="shared" si="3"/>
        <v>0</v>
      </c>
      <c r="O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>
        <v>0</v>
      </c>
      <c r="L106" s="16">
        <v>0</v>
      </c>
      <c r="M106" s="16">
        <v>0</v>
      </c>
      <c r="N106" s="18">
        <f t="shared" si="3"/>
        <v>0</v>
      </c>
      <c r="O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>
        <v>0</v>
      </c>
      <c r="L107" s="16">
        <v>0</v>
      </c>
      <c r="M107" s="16">
        <v>0</v>
      </c>
      <c r="N107" s="18">
        <f t="shared" si="3"/>
        <v>0</v>
      </c>
      <c r="O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>
        <v>0</v>
      </c>
      <c r="L108" s="16">
        <v>0</v>
      </c>
      <c r="M108" s="16">
        <v>0</v>
      </c>
      <c r="N108" s="18">
        <f t="shared" si="3"/>
        <v>0</v>
      </c>
      <c r="O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>
        <v>0</v>
      </c>
      <c r="L109" s="16">
        <v>0</v>
      </c>
      <c r="M109" s="16">
        <v>0</v>
      </c>
      <c r="N109" s="18">
        <f t="shared" si="3"/>
        <v>0</v>
      </c>
      <c r="O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>
        <v>0</v>
      </c>
      <c r="L110" s="16">
        <v>0</v>
      </c>
      <c r="M110" s="16">
        <v>0</v>
      </c>
      <c r="N110" s="18">
        <f t="shared" si="3"/>
        <v>0</v>
      </c>
      <c r="O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>
        <v>0</v>
      </c>
      <c r="L111" s="16">
        <v>0</v>
      </c>
      <c r="M111" s="16">
        <v>0</v>
      </c>
      <c r="N111" s="18">
        <f t="shared" si="3"/>
        <v>0</v>
      </c>
      <c r="O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>
        <v>0</v>
      </c>
      <c r="L112" s="16">
        <v>0</v>
      </c>
      <c r="M112" s="16">
        <v>0</v>
      </c>
      <c r="N112" s="18">
        <f t="shared" si="3"/>
        <v>0</v>
      </c>
      <c r="O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>
        <v>0</v>
      </c>
      <c r="L113" s="16">
        <v>0</v>
      </c>
      <c r="M113" s="16">
        <v>0</v>
      </c>
      <c r="N113" s="18">
        <f t="shared" si="3"/>
        <v>0</v>
      </c>
      <c r="O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>
        <v>0</v>
      </c>
      <c r="L114" s="16">
        <v>0</v>
      </c>
      <c r="M114" s="16">
        <v>0</v>
      </c>
      <c r="N114" s="18">
        <f t="shared" si="3"/>
        <v>0</v>
      </c>
      <c r="O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>
        <v>0</v>
      </c>
      <c r="L115" s="16">
        <v>0</v>
      </c>
      <c r="M115" s="16">
        <v>0</v>
      </c>
      <c r="N115" s="18">
        <f t="shared" si="3"/>
        <v>0</v>
      </c>
      <c r="O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>
        <v>0</v>
      </c>
      <c r="L116" s="16">
        <v>0</v>
      </c>
      <c r="M116" s="16">
        <v>0</v>
      </c>
      <c r="N116" s="18">
        <f t="shared" si="3"/>
        <v>0</v>
      </c>
      <c r="O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>
        <v>0</v>
      </c>
      <c r="L117" s="16">
        <v>0</v>
      </c>
      <c r="M117" s="16">
        <v>0</v>
      </c>
      <c r="N117" s="18">
        <f t="shared" si="3"/>
        <v>0</v>
      </c>
      <c r="O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>
        <v>0</v>
      </c>
      <c r="L118" s="16">
        <v>0</v>
      </c>
      <c r="M118" s="16">
        <v>0</v>
      </c>
      <c r="N118" s="18">
        <f t="shared" si="3"/>
        <v>0</v>
      </c>
      <c r="O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>
        <v>0</v>
      </c>
      <c r="L119" s="16">
        <v>0</v>
      </c>
      <c r="M119" s="16">
        <v>0</v>
      </c>
      <c r="N119" s="18">
        <f t="shared" si="3"/>
        <v>0</v>
      </c>
      <c r="O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>
        <v>0</v>
      </c>
      <c r="L120" s="16">
        <v>0</v>
      </c>
      <c r="M120" s="16">
        <v>0</v>
      </c>
      <c r="N120" s="18">
        <f t="shared" si="3"/>
        <v>0</v>
      </c>
      <c r="O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>
        <v>0</v>
      </c>
      <c r="L121" s="16">
        <v>0</v>
      </c>
      <c r="M121" s="16">
        <v>0</v>
      </c>
      <c r="N121" s="18">
        <f t="shared" si="3"/>
        <v>0</v>
      </c>
      <c r="O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>
        <v>0</v>
      </c>
      <c r="L122" s="16">
        <v>0</v>
      </c>
      <c r="M122" s="16">
        <v>0</v>
      </c>
      <c r="N122" s="18">
        <f t="shared" si="3"/>
        <v>0</v>
      </c>
      <c r="O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>
        <v>0</v>
      </c>
      <c r="L123" s="16">
        <v>0</v>
      </c>
      <c r="M123" s="16">
        <v>0</v>
      </c>
      <c r="N123" s="18">
        <f t="shared" si="3"/>
        <v>0</v>
      </c>
      <c r="O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>
        <v>0</v>
      </c>
      <c r="L124" s="16">
        <v>0</v>
      </c>
      <c r="M124" s="16">
        <v>0</v>
      </c>
      <c r="N124" s="18">
        <f t="shared" si="3"/>
        <v>0</v>
      </c>
      <c r="O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>
        <v>0</v>
      </c>
      <c r="L125" s="16">
        <v>0</v>
      </c>
      <c r="M125" s="16">
        <v>0</v>
      </c>
      <c r="N125" s="18">
        <f t="shared" si="3"/>
        <v>0</v>
      </c>
      <c r="O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>
        <v>0</v>
      </c>
      <c r="L126" s="16">
        <v>0</v>
      </c>
      <c r="M126" s="16">
        <v>0</v>
      </c>
      <c r="N126" s="18">
        <f t="shared" si="3"/>
        <v>0</v>
      </c>
      <c r="O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>
        <v>0</v>
      </c>
      <c r="L127" s="16">
        <v>0</v>
      </c>
      <c r="M127" s="16">
        <v>0</v>
      </c>
      <c r="N127" s="18">
        <f t="shared" si="3"/>
        <v>0</v>
      </c>
      <c r="O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>
        <v>0</v>
      </c>
      <c r="L128" s="16">
        <v>0</v>
      </c>
      <c r="M128" s="16">
        <v>0</v>
      </c>
      <c r="N128" s="18">
        <f t="shared" si="3"/>
        <v>0</v>
      </c>
      <c r="O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>
        <v>0</v>
      </c>
      <c r="L129" s="16">
        <v>0</v>
      </c>
      <c r="M129" s="16">
        <v>0</v>
      </c>
      <c r="N129" s="18">
        <f t="shared" si="3"/>
        <v>0</v>
      </c>
      <c r="O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>
        <v>0</v>
      </c>
      <c r="L130" s="16">
        <v>0</v>
      </c>
      <c r="M130" s="16">
        <v>0</v>
      </c>
      <c r="N130" s="18">
        <f t="shared" si="3"/>
        <v>0</v>
      </c>
      <c r="O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>
        <v>0</v>
      </c>
      <c r="L131" s="16">
        <v>0</v>
      </c>
      <c r="M131" s="16">
        <v>0</v>
      </c>
      <c r="N131" s="18">
        <f t="shared" si="3"/>
        <v>0</v>
      </c>
      <c r="O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>
        <v>0</v>
      </c>
      <c r="L132" s="16">
        <v>0</v>
      </c>
      <c r="M132" s="16">
        <v>0</v>
      </c>
      <c r="N132" s="18">
        <f t="shared" si="3"/>
        <v>0</v>
      </c>
      <c r="O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>
        <v>0</v>
      </c>
      <c r="L133" s="16">
        <v>0</v>
      </c>
      <c r="M133" s="16">
        <v>0</v>
      </c>
      <c r="N133" s="18">
        <f t="shared" si="3"/>
        <v>0</v>
      </c>
      <c r="O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>
        <v>0</v>
      </c>
      <c r="L134" s="16">
        <v>0</v>
      </c>
      <c r="M134" s="16">
        <v>0</v>
      </c>
      <c r="N134" s="18">
        <f t="shared" si="3"/>
        <v>0</v>
      </c>
      <c r="O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>
        <v>0</v>
      </c>
      <c r="L135" s="16">
        <v>0</v>
      </c>
      <c r="M135" s="16">
        <v>0</v>
      </c>
      <c r="N135" s="18">
        <f t="shared" si="3"/>
        <v>0</v>
      </c>
      <c r="O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>
        <v>0</v>
      </c>
      <c r="L136" s="16">
        <v>0</v>
      </c>
      <c r="M136" s="16">
        <v>0</v>
      </c>
      <c r="N136" s="18">
        <f t="shared" ref="N136:N142" si="4">SUM(B136:M136)</f>
        <v>0</v>
      </c>
      <c r="O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>
        <v>0</v>
      </c>
      <c r="L137" s="16">
        <v>0</v>
      </c>
      <c r="M137" s="16">
        <v>0</v>
      </c>
      <c r="N137" s="18">
        <f t="shared" si="4"/>
        <v>0</v>
      </c>
      <c r="O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>
        <v>0</v>
      </c>
      <c r="L138" s="16">
        <v>0</v>
      </c>
      <c r="M138" s="16">
        <v>0</v>
      </c>
      <c r="N138" s="18">
        <f t="shared" si="4"/>
        <v>0</v>
      </c>
      <c r="O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>
        <v>0</v>
      </c>
      <c r="L139" s="16">
        <v>0</v>
      </c>
      <c r="M139" s="16">
        <v>0</v>
      </c>
      <c r="N139" s="18">
        <f t="shared" si="4"/>
        <v>0</v>
      </c>
      <c r="O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>
        <v>0</v>
      </c>
      <c r="L140" s="16">
        <v>0</v>
      </c>
      <c r="M140" s="16">
        <v>0</v>
      </c>
      <c r="N140" s="18">
        <f t="shared" si="4"/>
        <v>0</v>
      </c>
      <c r="O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>
        <v>0</v>
      </c>
      <c r="L141" s="16">
        <v>0</v>
      </c>
      <c r="M141" s="16">
        <v>0</v>
      </c>
      <c r="N141" s="18">
        <f t="shared" si="4"/>
        <v>0</v>
      </c>
      <c r="O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>
        <v>0</v>
      </c>
      <c r="L142" s="16">
        <v>0</v>
      </c>
      <c r="M142" s="16">
        <v>0</v>
      </c>
      <c r="N142" s="18">
        <f t="shared" si="4"/>
        <v>0</v>
      </c>
      <c r="O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I143" si="5">SUM(B8:B142)</f>
        <v>0</v>
      </c>
      <c r="C143" s="23">
        <f t="shared" si="5"/>
        <v>0</v>
      </c>
      <c r="D143" s="23">
        <f t="shared" si="5"/>
        <v>0</v>
      </c>
      <c r="E143" s="23">
        <f t="shared" si="5"/>
        <v>0</v>
      </c>
      <c r="F143" s="23">
        <f t="shared" si="5"/>
        <v>0</v>
      </c>
      <c r="G143" s="23">
        <f t="shared" si="5"/>
        <v>0</v>
      </c>
      <c r="H143" s="23">
        <f t="shared" si="5"/>
        <v>0</v>
      </c>
      <c r="I143" s="23">
        <f t="shared" si="5"/>
        <v>0</v>
      </c>
      <c r="J143" s="23">
        <f t="shared" ref="J143:N143" si="6">SUM(J8:J142)</f>
        <v>0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0</v>
      </c>
      <c r="O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44AEAC"/>
  </sheetPr>
  <dimension ref="A1:Y275"/>
  <sheetViews>
    <sheetView showGridLines="0" zoomScale="80" zoomScaleNormal="80" workbookViewId="0"/>
  </sheetViews>
  <sheetFormatPr baseColWidth="10" defaultColWidth="12" defaultRowHeight="14.25" x14ac:dyDescent="0.2"/>
  <cols>
    <col min="1" max="1" width="41.83203125" style="11" customWidth="1"/>
    <col min="2" max="2" width="24.16406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163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164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30" t="s">
        <v>151</v>
      </c>
      <c r="L7" s="19" t="s">
        <v>148</v>
      </c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>
        <v>0</v>
      </c>
      <c r="L8" s="16">
        <v>0</v>
      </c>
      <c r="M8" s="16">
        <v>0</v>
      </c>
      <c r="N8" s="18">
        <f t="shared" ref="N8:N39" si="0">SUM(B8:M8)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>
        <v>0</v>
      </c>
      <c r="L9" s="16">
        <v>0</v>
      </c>
      <c r="M9" s="16">
        <v>0</v>
      </c>
      <c r="N9" s="18">
        <f t="shared" si="0"/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>
        <v>0</v>
      </c>
      <c r="L10" s="16">
        <v>0</v>
      </c>
      <c r="M10" s="16">
        <v>0</v>
      </c>
      <c r="N10" s="18">
        <f t="shared" si="0"/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>
        <v>0</v>
      </c>
      <c r="L11" s="16">
        <v>0</v>
      </c>
      <c r="M11" s="16">
        <v>0</v>
      </c>
      <c r="N11" s="18">
        <f t="shared" si="0"/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>
        <v>0</v>
      </c>
      <c r="L12" s="16">
        <v>0</v>
      </c>
      <c r="M12" s="16">
        <v>0</v>
      </c>
      <c r="N12" s="18">
        <f t="shared" si="0"/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>
        <v>0</v>
      </c>
      <c r="L13" s="16">
        <v>0</v>
      </c>
      <c r="M13" s="16">
        <v>0</v>
      </c>
      <c r="N13" s="18">
        <f t="shared" si="0"/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/>
      <c r="C14" s="16"/>
      <c r="D14" s="16"/>
      <c r="E14" s="16"/>
      <c r="F14" s="16"/>
      <c r="G14" s="16"/>
      <c r="H14" s="16"/>
      <c r="I14" s="16"/>
      <c r="J14" s="16"/>
      <c r="K14" s="16">
        <v>0</v>
      </c>
      <c r="L14" s="16">
        <v>0</v>
      </c>
      <c r="M14" s="16">
        <v>0</v>
      </c>
      <c r="N14" s="18">
        <f t="shared" si="0"/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>
        <v>0</v>
      </c>
      <c r="L15" s="16">
        <v>0</v>
      </c>
      <c r="M15" s="16">
        <v>0</v>
      </c>
      <c r="N15" s="18">
        <f t="shared" si="0"/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/>
      <c r="C16" s="16"/>
      <c r="D16" s="16"/>
      <c r="E16" s="16"/>
      <c r="F16" s="16"/>
      <c r="G16" s="16"/>
      <c r="H16" s="16"/>
      <c r="I16" s="16"/>
      <c r="J16" s="16"/>
      <c r="K16" s="16">
        <v>0</v>
      </c>
      <c r="L16" s="16">
        <v>0</v>
      </c>
      <c r="M16" s="16">
        <v>0</v>
      </c>
      <c r="N16" s="18">
        <f t="shared" si="0"/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/>
      <c r="C17" s="16"/>
      <c r="D17" s="16"/>
      <c r="E17" s="16"/>
      <c r="F17" s="16"/>
      <c r="G17" s="16"/>
      <c r="H17" s="16"/>
      <c r="I17" s="16"/>
      <c r="J17" s="16"/>
      <c r="K17" s="16">
        <v>0</v>
      </c>
      <c r="L17" s="16">
        <v>0</v>
      </c>
      <c r="M17" s="16">
        <v>0</v>
      </c>
      <c r="N17" s="18">
        <f t="shared" si="0"/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/>
      <c r="C18" s="16"/>
      <c r="D18" s="16"/>
      <c r="E18" s="16"/>
      <c r="F18" s="16"/>
      <c r="G18" s="16"/>
      <c r="H18" s="16"/>
      <c r="I18" s="16"/>
      <c r="J18" s="16"/>
      <c r="K18" s="16">
        <v>0</v>
      </c>
      <c r="L18" s="16">
        <v>0</v>
      </c>
      <c r="M18" s="16">
        <v>0</v>
      </c>
      <c r="N18" s="18">
        <f t="shared" si="0"/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/>
      <c r="C19" s="16"/>
      <c r="D19" s="16"/>
      <c r="E19" s="16"/>
      <c r="F19" s="16"/>
      <c r="G19" s="16"/>
      <c r="H19" s="16"/>
      <c r="I19" s="16"/>
      <c r="J19" s="16"/>
      <c r="K19" s="16">
        <v>0</v>
      </c>
      <c r="L19" s="16">
        <v>0</v>
      </c>
      <c r="M19" s="16">
        <v>0</v>
      </c>
      <c r="N19" s="18">
        <f t="shared" si="0"/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>
        <v>0</v>
      </c>
      <c r="L20" s="16">
        <v>0</v>
      </c>
      <c r="M20" s="16">
        <v>0</v>
      </c>
      <c r="N20" s="18">
        <f t="shared" si="0"/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/>
      <c r="C21" s="16"/>
      <c r="D21" s="16"/>
      <c r="E21" s="16"/>
      <c r="F21" s="16"/>
      <c r="G21" s="16"/>
      <c r="H21" s="16"/>
      <c r="I21" s="16"/>
      <c r="J21" s="16"/>
      <c r="K21" s="16">
        <v>0</v>
      </c>
      <c r="L21" s="16">
        <v>0</v>
      </c>
      <c r="M21" s="16">
        <v>0</v>
      </c>
      <c r="N21" s="18">
        <f t="shared" si="0"/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/>
      <c r="C22" s="16"/>
      <c r="D22" s="16"/>
      <c r="E22" s="16"/>
      <c r="F22" s="16"/>
      <c r="G22" s="16"/>
      <c r="H22" s="16"/>
      <c r="I22" s="16"/>
      <c r="J22" s="16"/>
      <c r="K22" s="16">
        <v>0</v>
      </c>
      <c r="L22" s="16">
        <v>0</v>
      </c>
      <c r="M22" s="16">
        <v>0</v>
      </c>
      <c r="N22" s="18">
        <f t="shared" si="0"/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/>
      <c r="C23" s="16"/>
      <c r="D23" s="16"/>
      <c r="E23" s="16"/>
      <c r="F23" s="16"/>
      <c r="G23" s="16"/>
      <c r="H23" s="16"/>
      <c r="I23" s="16"/>
      <c r="J23" s="16"/>
      <c r="K23" s="16">
        <v>0</v>
      </c>
      <c r="L23" s="16">
        <v>0</v>
      </c>
      <c r="M23" s="16">
        <v>0</v>
      </c>
      <c r="N23" s="18">
        <f t="shared" si="0"/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/>
      <c r="C24" s="16"/>
      <c r="D24" s="16"/>
      <c r="E24" s="16"/>
      <c r="F24" s="16"/>
      <c r="G24" s="16"/>
      <c r="H24" s="16"/>
      <c r="I24" s="16"/>
      <c r="J24" s="16"/>
      <c r="K24" s="16">
        <v>0</v>
      </c>
      <c r="L24" s="16">
        <v>0</v>
      </c>
      <c r="M24" s="16">
        <v>0</v>
      </c>
      <c r="N24" s="18">
        <f t="shared" si="0"/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/>
      <c r="C25" s="16"/>
      <c r="D25" s="16"/>
      <c r="E25" s="16"/>
      <c r="F25" s="16"/>
      <c r="G25" s="16"/>
      <c r="H25" s="16"/>
      <c r="I25" s="16"/>
      <c r="J25" s="16"/>
      <c r="K25" s="16">
        <v>0</v>
      </c>
      <c r="L25" s="16">
        <v>0</v>
      </c>
      <c r="M25" s="16">
        <v>0</v>
      </c>
      <c r="N25" s="18">
        <f t="shared" si="0"/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>
        <v>0</v>
      </c>
      <c r="L26" s="16">
        <v>0</v>
      </c>
      <c r="M26" s="16">
        <v>0</v>
      </c>
      <c r="N26" s="18">
        <f t="shared" si="0"/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>
        <v>0</v>
      </c>
      <c r="L27" s="16">
        <v>0</v>
      </c>
      <c r="M27" s="16">
        <v>0</v>
      </c>
      <c r="N27" s="18">
        <f t="shared" si="0"/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>
        <v>0</v>
      </c>
      <c r="L28" s="16">
        <v>0</v>
      </c>
      <c r="M28" s="16">
        <v>0</v>
      </c>
      <c r="N28" s="18">
        <f t="shared" si="0"/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>
        <v>0</v>
      </c>
      <c r="L29" s="16">
        <v>0</v>
      </c>
      <c r="M29" s="16">
        <v>0</v>
      </c>
      <c r="N29" s="18">
        <f t="shared" si="0"/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>
        <v>0</v>
      </c>
      <c r="L30" s="16">
        <v>0</v>
      </c>
      <c r="M30" s="16">
        <v>0</v>
      </c>
      <c r="N30" s="18">
        <f t="shared" si="0"/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>
        <v>0</v>
      </c>
      <c r="L31" s="16">
        <v>0</v>
      </c>
      <c r="M31" s="16">
        <v>0</v>
      </c>
      <c r="N31" s="18">
        <f t="shared" si="0"/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/>
      <c r="C32" s="16"/>
      <c r="D32" s="16"/>
      <c r="E32" s="16"/>
      <c r="F32" s="16"/>
      <c r="G32" s="16"/>
      <c r="H32" s="16"/>
      <c r="I32" s="16"/>
      <c r="J32" s="16"/>
      <c r="K32" s="16">
        <v>0</v>
      </c>
      <c r="L32" s="16">
        <v>0</v>
      </c>
      <c r="M32" s="16">
        <v>0</v>
      </c>
      <c r="N32" s="18">
        <f t="shared" si="0"/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/>
      <c r="C33" s="16"/>
      <c r="D33" s="16"/>
      <c r="E33" s="16"/>
      <c r="F33" s="16"/>
      <c r="G33" s="16"/>
      <c r="H33" s="16"/>
      <c r="I33" s="16"/>
      <c r="J33" s="16"/>
      <c r="K33" s="16">
        <v>0</v>
      </c>
      <c r="L33" s="16">
        <v>0</v>
      </c>
      <c r="M33" s="16">
        <v>0</v>
      </c>
      <c r="N33" s="18">
        <f t="shared" si="0"/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/>
      <c r="C34" s="16"/>
      <c r="D34" s="16"/>
      <c r="E34" s="16"/>
      <c r="F34" s="16"/>
      <c r="G34" s="16"/>
      <c r="H34" s="16"/>
      <c r="I34" s="16"/>
      <c r="J34" s="16"/>
      <c r="K34" s="16">
        <v>0</v>
      </c>
      <c r="L34" s="16">
        <v>0</v>
      </c>
      <c r="M34" s="16">
        <v>0</v>
      </c>
      <c r="N34" s="18">
        <f t="shared" si="0"/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/>
      <c r="C35" s="16"/>
      <c r="D35" s="16"/>
      <c r="E35" s="16"/>
      <c r="F35" s="16"/>
      <c r="G35" s="16"/>
      <c r="H35" s="16"/>
      <c r="I35" s="16"/>
      <c r="J35" s="16"/>
      <c r="K35" s="16">
        <v>0</v>
      </c>
      <c r="L35" s="16">
        <v>0</v>
      </c>
      <c r="M35" s="16">
        <v>0</v>
      </c>
      <c r="N35" s="18">
        <f t="shared" si="0"/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/>
      <c r="C36" s="16"/>
      <c r="D36" s="16"/>
      <c r="E36" s="16"/>
      <c r="F36" s="16"/>
      <c r="G36" s="16"/>
      <c r="H36" s="16"/>
      <c r="I36" s="16"/>
      <c r="J36" s="16"/>
      <c r="K36" s="16">
        <v>0</v>
      </c>
      <c r="L36" s="16">
        <v>0</v>
      </c>
      <c r="M36" s="16">
        <v>0</v>
      </c>
      <c r="N36" s="18">
        <f t="shared" si="0"/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/>
      <c r="C37" s="16"/>
      <c r="D37" s="16"/>
      <c r="E37" s="16"/>
      <c r="F37" s="16"/>
      <c r="G37" s="16"/>
      <c r="H37" s="16"/>
      <c r="I37" s="16"/>
      <c r="J37" s="16"/>
      <c r="K37" s="16">
        <v>0</v>
      </c>
      <c r="L37" s="16">
        <v>0</v>
      </c>
      <c r="M37" s="16">
        <v>0</v>
      </c>
      <c r="N37" s="18">
        <f t="shared" si="0"/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/>
      <c r="C38" s="16"/>
      <c r="D38" s="16"/>
      <c r="E38" s="16"/>
      <c r="F38" s="16"/>
      <c r="G38" s="16"/>
      <c r="H38" s="16"/>
      <c r="I38" s="16"/>
      <c r="J38" s="16"/>
      <c r="K38" s="16">
        <v>0</v>
      </c>
      <c r="L38" s="16">
        <v>0</v>
      </c>
      <c r="M38" s="16">
        <v>0</v>
      </c>
      <c r="N38" s="18">
        <f t="shared" si="0"/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/>
      <c r="C39" s="16"/>
      <c r="D39" s="16"/>
      <c r="E39" s="16"/>
      <c r="F39" s="16"/>
      <c r="G39" s="16"/>
      <c r="H39" s="16"/>
      <c r="I39" s="16"/>
      <c r="J39" s="16"/>
      <c r="K39" s="16">
        <v>0</v>
      </c>
      <c r="L39" s="16">
        <v>0</v>
      </c>
      <c r="M39" s="16">
        <v>0</v>
      </c>
      <c r="N39" s="18">
        <f t="shared" si="0"/>
        <v>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/>
      <c r="C40" s="16"/>
      <c r="D40" s="16"/>
      <c r="E40" s="16"/>
      <c r="F40" s="16"/>
      <c r="G40" s="16"/>
      <c r="H40" s="16"/>
      <c r="I40" s="16"/>
      <c r="J40" s="16"/>
      <c r="K40" s="16">
        <v>0</v>
      </c>
      <c r="L40" s="16">
        <v>0</v>
      </c>
      <c r="M40" s="16">
        <v>0</v>
      </c>
      <c r="N40" s="18">
        <f t="shared" ref="N40:N71" si="1">SUM(B40:M40)</f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/>
      <c r="C41" s="16"/>
      <c r="D41" s="16"/>
      <c r="E41" s="16"/>
      <c r="F41" s="16"/>
      <c r="G41" s="16"/>
      <c r="H41" s="16"/>
      <c r="I41" s="16"/>
      <c r="J41" s="16"/>
      <c r="K41" s="16">
        <v>0</v>
      </c>
      <c r="L41" s="16">
        <v>0</v>
      </c>
      <c r="M41" s="16">
        <v>0</v>
      </c>
      <c r="N41" s="18">
        <f t="shared" si="1"/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/>
      <c r="C42" s="16"/>
      <c r="D42" s="16"/>
      <c r="E42" s="16"/>
      <c r="F42" s="16"/>
      <c r="G42" s="16"/>
      <c r="H42" s="16"/>
      <c r="I42" s="16"/>
      <c r="J42" s="16"/>
      <c r="K42" s="16">
        <v>0</v>
      </c>
      <c r="L42" s="16">
        <v>0</v>
      </c>
      <c r="M42" s="16">
        <v>0</v>
      </c>
      <c r="N42" s="18">
        <f t="shared" si="1"/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/>
      <c r="C43" s="16"/>
      <c r="D43" s="16"/>
      <c r="E43" s="16"/>
      <c r="F43" s="16"/>
      <c r="G43" s="16"/>
      <c r="H43" s="16"/>
      <c r="I43" s="16"/>
      <c r="J43" s="16"/>
      <c r="K43" s="16">
        <v>0</v>
      </c>
      <c r="L43" s="16">
        <v>0</v>
      </c>
      <c r="M43" s="16">
        <v>0</v>
      </c>
      <c r="N43" s="18">
        <f t="shared" si="1"/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/>
      <c r="C44" s="16"/>
      <c r="D44" s="16"/>
      <c r="E44" s="16"/>
      <c r="F44" s="16"/>
      <c r="G44" s="16"/>
      <c r="H44" s="16"/>
      <c r="I44" s="16"/>
      <c r="J44" s="16"/>
      <c r="K44" s="16">
        <v>0</v>
      </c>
      <c r="L44" s="16">
        <v>0</v>
      </c>
      <c r="M44" s="16">
        <v>0</v>
      </c>
      <c r="N44" s="18">
        <f t="shared" si="1"/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/>
      <c r="C45" s="16"/>
      <c r="D45" s="16"/>
      <c r="E45" s="16"/>
      <c r="F45" s="16"/>
      <c r="G45" s="16"/>
      <c r="H45" s="16"/>
      <c r="I45" s="16"/>
      <c r="J45" s="16"/>
      <c r="K45" s="16">
        <v>0</v>
      </c>
      <c r="L45" s="16">
        <v>0</v>
      </c>
      <c r="M45" s="16">
        <v>0</v>
      </c>
      <c r="N45" s="18">
        <f t="shared" si="1"/>
        <v>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/>
      <c r="C46" s="16"/>
      <c r="D46" s="16"/>
      <c r="E46" s="16"/>
      <c r="F46" s="16"/>
      <c r="G46" s="16"/>
      <c r="H46" s="16"/>
      <c r="I46" s="16"/>
      <c r="J46" s="16"/>
      <c r="K46" s="16">
        <v>0</v>
      </c>
      <c r="L46" s="16">
        <v>0</v>
      </c>
      <c r="M46" s="16">
        <v>0</v>
      </c>
      <c r="N46" s="18">
        <f t="shared" si="1"/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/>
      <c r="C47" s="16"/>
      <c r="D47" s="16"/>
      <c r="E47" s="16"/>
      <c r="F47" s="16"/>
      <c r="G47" s="16"/>
      <c r="H47" s="16"/>
      <c r="I47" s="16"/>
      <c r="J47" s="16"/>
      <c r="K47" s="16">
        <v>0</v>
      </c>
      <c r="L47" s="16">
        <v>0</v>
      </c>
      <c r="M47" s="16">
        <v>0</v>
      </c>
      <c r="N47" s="18">
        <f t="shared" si="1"/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/>
      <c r="C48" s="16"/>
      <c r="D48" s="16"/>
      <c r="E48" s="16"/>
      <c r="F48" s="16"/>
      <c r="G48" s="16"/>
      <c r="H48" s="16"/>
      <c r="I48" s="16"/>
      <c r="J48" s="16"/>
      <c r="K48" s="16">
        <v>0</v>
      </c>
      <c r="L48" s="16">
        <v>0</v>
      </c>
      <c r="M48" s="16">
        <v>0</v>
      </c>
      <c r="N48" s="18">
        <f t="shared" si="1"/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/>
      <c r="C49" s="16"/>
      <c r="D49" s="16"/>
      <c r="E49" s="16"/>
      <c r="F49" s="16"/>
      <c r="G49" s="16"/>
      <c r="H49" s="16"/>
      <c r="I49" s="16"/>
      <c r="J49" s="16"/>
      <c r="K49" s="16">
        <v>0</v>
      </c>
      <c r="L49" s="16">
        <v>0</v>
      </c>
      <c r="M49" s="16">
        <v>0</v>
      </c>
      <c r="N49" s="18">
        <f t="shared" si="1"/>
        <v>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/>
      <c r="C50" s="16"/>
      <c r="D50" s="16"/>
      <c r="E50" s="16"/>
      <c r="F50" s="16"/>
      <c r="G50" s="16"/>
      <c r="H50" s="16"/>
      <c r="I50" s="16"/>
      <c r="J50" s="16"/>
      <c r="K50" s="16">
        <v>0</v>
      </c>
      <c r="L50" s="16">
        <v>0</v>
      </c>
      <c r="M50" s="16">
        <v>0</v>
      </c>
      <c r="N50" s="18">
        <f t="shared" si="1"/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/>
      <c r="C51" s="16"/>
      <c r="D51" s="16"/>
      <c r="E51" s="16"/>
      <c r="F51" s="16"/>
      <c r="G51" s="16"/>
      <c r="H51" s="16"/>
      <c r="I51" s="16"/>
      <c r="J51" s="16"/>
      <c r="K51" s="16">
        <v>0</v>
      </c>
      <c r="L51" s="16">
        <v>0</v>
      </c>
      <c r="M51" s="16">
        <v>0</v>
      </c>
      <c r="N51" s="18">
        <f t="shared" si="1"/>
        <v>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/>
      <c r="C52" s="16"/>
      <c r="D52" s="16"/>
      <c r="E52" s="16"/>
      <c r="F52" s="16"/>
      <c r="G52" s="16"/>
      <c r="H52" s="16"/>
      <c r="I52" s="16"/>
      <c r="J52" s="16"/>
      <c r="K52" s="16">
        <v>0</v>
      </c>
      <c r="L52" s="16">
        <v>0</v>
      </c>
      <c r="M52" s="16">
        <v>0</v>
      </c>
      <c r="N52" s="18">
        <f t="shared" si="1"/>
        <v>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>
        <v>0</v>
      </c>
      <c r="L53" s="16">
        <v>0</v>
      </c>
      <c r="M53" s="16">
        <v>0</v>
      </c>
      <c r="N53" s="18">
        <f t="shared" si="1"/>
        <v>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/>
      <c r="C54" s="16"/>
      <c r="D54" s="16"/>
      <c r="E54" s="16"/>
      <c r="F54" s="16"/>
      <c r="G54" s="16"/>
      <c r="H54" s="16"/>
      <c r="I54" s="16"/>
      <c r="J54" s="16"/>
      <c r="K54" s="16">
        <v>0</v>
      </c>
      <c r="L54" s="16">
        <v>0</v>
      </c>
      <c r="M54" s="16">
        <v>0</v>
      </c>
      <c r="N54" s="18">
        <f t="shared" si="1"/>
        <v>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/>
      <c r="C55" s="16"/>
      <c r="D55" s="16"/>
      <c r="E55" s="16"/>
      <c r="F55" s="16"/>
      <c r="G55" s="16"/>
      <c r="H55" s="16"/>
      <c r="I55" s="16"/>
      <c r="J55" s="16"/>
      <c r="K55" s="16">
        <v>0</v>
      </c>
      <c r="L55" s="16">
        <v>0</v>
      </c>
      <c r="M55" s="16">
        <v>0</v>
      </c>
      <c r="N55" s="18">
        <f t="shared" si="1"/>
        <v>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0</v>
      </c>
      <c r="L56" s="16">
        <v>0</v>
      </c>
      <c r="M56" s="16">
        <v>0</v>
      </c>
      <c r="N56" s="18">
        <f t="shared" si="1"/>
        <v>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/>
      <c r="C57" s="16"/>
      <c r="D57" s="16"/>
      <c r="E57" s="16"/>
      <c r="F57" s="16"/>
      <c r="G57" s="16"/>
      <c r="H57" s="16"/>
      <c r="I57" s="16"/>
      <c r="J57" s="16"/>
      <c r="K57" s="16">
        <v>0</v>
      </c>
      <c r="L57" s="16">
        <v>0</v>
      </c>
      <c r="M57" s="16">
        <v>0</v>
      </c>
      <c r="N57" s="18">
        <f t="shared" si="1"/>
        <v>0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/>
      <c r="C58" s="16"/>
      <c r="D58" s="16"/>
      <c r="E58" s="16"/>
      <c r="F58" s="16"/>
      <c r="G58" s="16"/>
      <c r="H58" s="16"/>
      <c r="I58" s="16"/>
      <c r="J58" s="16"/>
      <c r="K58" s="16">
        <v>0</v>
      </c>
      <c r="L58" s="16">
        <v>0</v>
      </c>
      <c r="M58" s="16">
        <v>0</v>
      </c>
      <c r="N58" s="18">
        <f t="shared" si="1"/>
        <v>0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/>
      <c r="C59" s="16"/>
      <c r="D59" s="16"/>
      <c r="E59" s="16"/>
      <c r="F59" s="16"/>
      <c r="G59" s="16"/>
      <c r="H59" s="16"/>
      <c r="I59" s="16"/>
      <c r="J59" s="16"/>
      <c r="K59" s="16">
        <v>0</v>
      </c>
      <c r="L59" s="16">
        <v>0</v>
      </c>
      <c r="M59" s="16">
        <v>0</v>
      </c>
      <c r="N59" s="18">
        <f t="shared" si="1"/>
        <v>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/>
      <c r="C60" s="16"/>
      <c r="D60" s="16"/>
      <c r="E60" s="16"/>
      <c r="F60" s="16"/>
      <c r="G60" s="16"/>
      <c r="H60" s="16"/>
      <c r="I60" s="16"/>
      <c r="J60" s="16"/>
      <c r="K60" s="16">
        <v>0</v>
      </c>
      <c r="L60" s="16">
        <v>0</v>
      </c>
      <c r="M60" s="16">
        <v>0</v>
      </c>
      <c r="N60" s="18">
        <f t="shared" si="1"/>
        <v>0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/>
      <c r="C61" s="16"/>
      <c r="D61" s="16"/>
      <c r="E61" s="16"/>
      <c r="F61" s="16"/>
      <c r="G61" s="16"/>
      <c r="H61" s="16"/>
      <c r="I61" s="16"/>
      <c r="J61" s="16"/>
      <c r="K61" s="16">
        <v>0</v>
      </c>
      <c r="L61" s="16">
        <v>0</v>
      </c>
      <c r="M61" s="16">
        <v>0</v>
      </c>
      <c r="N61" s="18">
        <f t="shared" si="1"/>
        <v>0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/>
      <c r="C62" s="16"/>
      <c r="D62" s="16"/>
      <c r="E62" s="16"/>
      <c r="F62" s="16"/>
      <c r="G62" s="16"/>
      <c r="H62" s="16"/>
      <c r="I62" s="16"/>
      <c r="J62" s="16"/>
      <c r="K62" s="16">
        <v>0</v>
      </c>
      <c r="L62" s="16">
        <v>0</v>
      </c>
      <c r="M62" s="16">
        <v>0</v>
      </c>
      <c r="N62" s="18">
        <f t="shared" si="1"/>
        <v>0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/>
      <c r="C63" s="16"/>
      <c r="D63" s="16"/>
      <c r="E63" s="16"/>
      <c r="F63" s="16"/>
      <c r="G63" s="16"/>
      <c r="H63" s="16"/>
      <c r="I63" s="16"/>
      <c r="J63" s="16"/>
      <c r="K63" s="16">
        <v>0</v>
      </c>
      <c r="L63" s="16">
        <v>0</v>
      </c>
      <c r="M63" s="16">
        <v>0</v>
      </c>
      <c r="N63" s="18">
        <f t="shared" si="1"/>
        <v>0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/>
      <c r="C64" s="16"/>
      <c r="D64" s="16"/>
      <c r="E64" s="16"/>
      <c r="F64" s="16"/>
      <c r="G64" s="16"/>
      <c r="H64" s="16"/>
      <c r="I64" s="16"/>
      <c r="J64" s="16"/>
      <c r="K64" s="16">
        <v>0</v>
      </c>
      <c r="L64" s="16">
        <v>0</v>
      </c>
      <c r="M64" s="16">
        <v>0</v>
      </c>
      <c r="N64" s="18">
        <f t="shared" si="1"/>
        <v>0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</v>
      </c>
      <c r="L65" s="16">
        <v>0</v>
      </c>
      <c r="M65" s="16">
        <v>0</v>
      </c>
      <c r="N65" s="18">
        <f t="shared" si="1"/>
        <v>0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/>
      <c r="C66" s="16"/>
      <c r="D66" s="16"/>
      <c r="E66" s="16"/>
      <c r="F66" s="16"/>
      <c r="G66" s="16"/>
      <c r="H66" s="16"/>
      <c r="I66" s="16"/>
      <c r="J66" s="16"/>
      <c r="K66" s="16">
        <v>0</v>
      </c>
      <c r="L66" s="16">
        <v>0</v>
      </c>
      <c r="M66" s="16">
        <v>0</v>
      </c>
      <c r="N66" s="18">
        <f t="shared" si="1"/>
        <v>0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/>
      <c r="C67" s="16"/>
      <c r="D67" s="16"/>
      <c r="E67" s="16"/>
      <c r="F67" s="16"/>
      <c r="G67" s="16"/>
      <c r="H67" s="16"/>
      <c r="I67" s="16"/>
      <c r="J67" s="16"/>
      <c r="K67" s="16">
        <v>0</v>
      </c>
      <c r="L67" s="16">
        <v>0</v>
      </c>
      <c r="M67" s="16">
        <v>0</v>
      </c>
      <c r="N67" s="18">
        <f t="shared" si="1"/>
        <v>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/>
      <c r="C68" s="16"/>
      <c r="D68" s="16"/>
      <c r="E68" s="16"/>
      <c r="F68" s="16"/>
      <c r="G68" s="16"/>
      <c r="H68" s="16"/>
      <c r="I68" s="16"/>
      <c r="J68" s="16"/>
      <c r="K68" s="16">
        <v>0</v>
      </c>
      <c r="L68" s="16">
        <v>0</v>
      </c>
      <c r="M68" s="16">
        <v>0</v>
      </c>
      <c r="N68" s="18">
        <f t="shared" si="1"/>
        <v>0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/>
      <c r="C69" s="16"/>
      <c r="D69" s="16"/>
      <c r="E69" s="16"/>
      <c r="F69" s="16"/>
      <c r="G69" s="16"/>
      <c r="H69" s="16"/>
      <c r="I69" s="16"/>
      <c r="J69" s="16"/>
      <c r="K69" s="16">
        <v>0</v>
      </c>
      <c r="L69" s="16">
        <v>0</v>
      </c>
      <c r="M69" s="16">
        <v>0</v>
      </c>
      <c r="N69" s="18">
        <f t="shared" si="1"/>
        <v>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/>
      <c r="C70" s="16"/>
      <c r="D70" s="16"/>
      <c r="E70" s="16"/>
      <c r="F70" s="16"/>
      <c r="G70" s="16"/>
      <c r="H70" s="16"/>
      <c r="I70" s="16"/>
      <c r="J70" s="16"/>
      <c r="K70" s="16">
        <v>0</v>
      </c>
      <c r="L70" s="16">
        <v>0</v>
      </c>
      <c r="M70" s="16">
        <v>0</v>
      </c>
      <c r="N70" s="18">
        <f t="shared" si="1"/>
        <v>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/>
      <c r="C71" s="16"/>
      <c r="D71" s="16"/>
      <c r="E71" s="16"/>
      <c r="F71" s="16"/>
      <c r="G71" s="16"/>
      <c r="H71" s="16"/>
      <c r="I71" s="16"/>
      <c r="J71" s="16"/>
      <c r="K71" s="16">
        <v>0</v>
      </c>
      <c r="L71" s="16">
        <v>0</v>
      </c>
      <c r="M71" s="16">
        <v>0</v>
      </c>
      <c r="N71" s="18">
        <f t="shared" si="1"/>
        <v>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/>
      <c r="C72" s="16"/>
      <c r="D72" s="16"/>
      <c r="E72" s="16"/>
      <c r="F72" s="16"/>
      <c r="G72" s="16"/>
      <c r="H72" s="16"/>
      <c r="I72" s="16"/>
      <c r="J72" s="16"/>
      <c r="K72" s="16">
        <v>0</v>
      </c>
      <c r="L72" s="16">
        <v>0</v>
      </c>
      <c r="M72" s="16">
        <v>0</v>
      </c>
      <c r="N72" s="18">
        <f t="shared" ref="N72:N103" si="2">SUM(B72:M72)</f>
        <v>0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/>
      <c r="C73" s="16"/>
      <c r="D73" s="16"/>
      <c r="E73" s="16"/>
      <c r="F73" s="16"/>
      <c r="G73" s="16"/>
      <c r="H73" s="16"/>
      <c r="I73" s="16"/>
      <c r="J73" s="16"/>
      <c r="K73" s="16">
        <v>0</v>
      </c>
      <c r="L73" s="16">
        <v>0</v>
      </c>
      <c r="M73" s="16">
        <v>0</v>
      </c>
      <c r="N73" s="18">
        <f t="shared" si="2"/>
        <v>0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/>
      <c r="C74" s="16"/>
      <c r="D74" s="16"/>
      <c r="E74" s="16"/>
      <c r="F74" s="16"/>
      <c r="G74" s="16"/>
      <c r="H74" s="16"/>
      <c r="I74" s="16"/>
      <c r="J74" s="16"/>
      <c r="K74" s="16">
        <v>0</v>
      </c>
      <c r="L74" s="16">
        <v>0</v>
      </c>
      <c r="M74" s="16">
        <v>0</v>
      </c>
      <c r="N74" s="18">
        <f t="shared" si="2"/>
        <v>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/>
      <c r="C75" s="16"/>
      <c r="D75" s="16"/>
      <c r="E75" s="16"/>
      <c r="F75" s="16"/>
      <c r="G75" s="16"/>
      <c r="H75" s="16"/>
      <c r="I75" s="16"/>
      <c r="J75" s="16"/>
      <c r="K75" s="16">
        <v>0</v>
      </c>
      <c r="L75" s="16">
        <v>0</v>
      </c>
      <c r="M75" s="16">
        <v>0</v>
      </c>
      <c r="N75" s="18">
        <f t="shared" si="2"/>
        <v>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/>
      <c r="C76" s="16"/>
      <c r="D76" s="16"/>
      <c r="E76" s="16"/>
      <c r="F76" s="16"/>
      <c r="G76" s="16"/>
      <c r="H76" s="16"/>
      <c r="I76" s="16"/>
      <c r="J76" s="16"/>
      <c r="K76" s="16">
        <v>0</v>
      </c>
      <c r="L76" s="16">
        <v>0</v>
      </c>
      <c r="M76" s="16">
        <v>0</v>
      </c>
      <c r="N76" s="18">
        <f t="shared" si="2"/>
        <v>0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/>
      <c r="C77" s="16"/>
      <c r="D77" s="16"/>
      <c r="E77" s="16"/>
      <c r="F77" s="16"/>
      <c r="G77" s="16"/>
      <c r="H77" s="16"/>
      <c r="I77" s="16"/>
      <c r="J77" s="16"/>
      <c r="K77" s="16">
        <v>0</v>
      </c>
      <c r="L77" s="16">
        <v>0</v>
      </c>
      <c r="M77" s="16">
        <v>0</v>
      </c>
      <c r="N77" s="18">
        <f t="shared" si="2"/>
        <v>0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/>
      <c r="C78" s="16"/>
      <c r="D78" s="16"/>
      <c r="E78" s="16"/>
      <c r="F78" s="16"/>
      <c r="G78" s="16"/>
      <c r="H78" s="16"/>
      <c r="I78" s="16"/>
      <c r="J78" s="16"/>
      <c r="K78" s="16">
        <v>0</v>
      </c>
      <c r="L78" s="16">
        <v>0</v>
      </c>
      <c r="M78" s="16">
        <v>0</v>
      </c>
      <c r="N78" s="18">
        <f t="shared" si="2"/>
        <v>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/>
      <c r="C79" s="16"/>
      <c r="D79" s="16"/>
      <c r="E79" s="16"/>
      <c r="F79" s="16"/>
      <c r="G79" s="16"/>
      <c r="H79" s="16"/>
      <c r="I79" s="16"/>
      <c r="J79" s="16"/>
      <c r="K79" s="16">
        <v>0</v>
      </c>
      <c r="L79" s="16">
        <v>0</v>
      </c>
      <c r="M79" s="16">
        <v>0</v>
      </c>
      <c r="N79" s="18">
        <f t="shared" si="2"/>
        <v>0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/>
      <c r="C80" s="16"/>
      <c r="D80" s="16"/>
      <c r="E80" s="16"/>
      <c r="F80" s="16"/>
      <c r="G80" s="16"/>
      <c r="H80" s="16"/>
      <c r="I80" s="16"/>
      <c r="J80" s="16"/>
      <c r="K80" s="16">
        <v>0</v>
      </c>
      <c r="L80" s="16">
        <v>0</v>
      </c>
      <c r="M80" s="16">
        <v>0</v>
      </c>
      <c r="N80" s="18">
        <f t="shared" si="2"/>
        <v>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/>
      <c r="C81" s="16"/>
      <c r="D81" s="16"/>
      <c r="E81" s="16"/>
      <c r="F81" s="16"/>
      <c r="G81" s="16"/>
      <c r="H81" s="16"/>
      <c r="I81" s="16"/>
      <c r="J81" s="16"/>
      <c r="K81" s="16">
        <v>0</v>
      </c>
      <c r="L81" s="16">
        <v>0</v>
      </c>
      <c r="M81" s="16">
        <v>0</v>
      </c>
      <c r="N81" s="18">
        <f t="shared" si="2"/>
        <v>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/>
      <c r="C82" s="16"/>
      <c r="D82" s="16"/>
      <c r="E82" s="16"/>
      <c r="F82" s="16"/>
      <c r="G82" s="16"/>
      <c r="H82" s="16"/>
      <c r="I82" s="16"/>
      <c r="J82" s="16"/>
      <c r="K82" s="16">
        <v>0</v>
      </c>
      <c r="L82" s="16">
        <v>0</v>
      </c>
      <c r="M82" s="16">
        <v>0</v>
      </c>
      <c r="N82" s="18">
        <f t="shared" si="2"/>
        <v>0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/>
      <c r="C83" s="16"/>
      <c r="D83" s="16"/>
      <c r="E83" s="16"/>
      <c r="F83" s="16"/>
      <c r="G83" s="16"/>
      <c r="H83" s="16"/>
      <c r="I83" s="16"/>
      <c r="J83" s="16"/>
      <c r="K83" s="16">
        <v>0</v>
      </c>
      <c r="L83" s="16">
        <v>0</v>
      </c>
      <c r="M83" s="16">
        <v>0</v>
      </c>
      <c r="N83" s="18">
        <f t="shared" si="2"/>
        <v>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/>
      <c r="C84" s="16"/>
      <c r="D84" s="16"/>
      <c r="E84" s="16"/>
      <c r="F84" s="16"/>
      <c r="G84" s="16"/>
      <c r="H84" s="16"/>
      <c r="I84" s="16"/>
      <c r="J84" s="16"/>
      <c r="K84" s="16">
        <v>0</v>
      </c>
      <c r="L84" s="16">
        <v>0</v>
      </c>
      <c r="M84" s="16">
        <v>0</v>
      </c>
      <c r="N84" s="18">
        <f t="shared" si="2"/>
        <v>0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/>
      <c r="C85" s="16"/>
      <c r="D85" s="16"/>
      <c r="E85" s="16"/>
      <c r="F85" s="16"/>
      <c r="G85" s="16"/>
      <c r="H85" s="16"/>
      <c r="I85" s="16"/>
      <c r="J85" s="16"/>
      <c r="K85" s="16">
        <v>0</v>
      </c>
      <c r="L85" s="16">
        <v>0</v>
      </c>
      <c r="M85" s="16">
        <v>0</v>
      </c>
      <c r="N85" s="18">
        <f t="shared" si="2"/>
        <v>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/>
      <c r="C86" s="16"/>
      <c r="D86" s="16"/>
      <c r="E86" s="16"/>
      <c r="F86" s="16"/>
      <c r="G86" s="16"/>
      <c r="H86" s="16"/>
      <c r="I86" s="16"/>
      <c r="J86" s="16"/>
      <c r="K86" s="16">
        <v>0</v>
      </c>
      <c r="L86" s="16">
        <v>0</v>
      </c>
      <c r="M86" s="16">
        <v>0</v>
      </c>
      <c r="N86" s="18">
        <f t="shared" si="2"/>
        <v>0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/>
      <c r="C87" s="16"/>
      <c r="D87" s="16"/>
      <c r="E87" s="16"/>
      <c r="F87" s="16"/>
      <c r="G87" s="16"/>
      <c r="H87" s="16"/>
      <c r="I87" s="16"/>
      <c r="J87" s="16"/>
      <c r="K87" s="16">
        <v>0</v>
      </c>
      <c r="L87" s="16">
        <v>0</v>
      </c>
      <c r="M87" s="16">
        <v>0</v>
      </c>
      <c r="N87" s="18">
        <f t="shared" si="2"/>
        <v>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/>
      <c r="C88" s="16"/>
      <c r="D88" s="16"/>
      <c r="E88" s="16"/>
      <c r="F88" s="16"/>
      <c r="G88" s="16"/>
      <c r="H88" s="16"/>
      <c r="I88" s="16"/>
      <c r="J88" s="16"/>
      <c r="K88" s="16">
        <v>0</v>
      </c>
      <c r="L88" s="16">
        <v>0</v>
      </c>
      <c r="M88" s="16">
        <v>0</v>
      </c>
      <c r="N88" s="18">
        <f t="shared" si="2"/>
        <v>0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/>
      <c r="C89" s="16"/>
      <c r="D89" s="16"/>
      <c r="E89" s="16"/>
      <c r="F89" s="16"/>
      <c r="G89" s="16"/>
      <c r="H89" s="16"/>
      <c r="I89" s="16"/>
      <c r="J89" s="16"/>
      <c r="K89" s="16">
        <v>0</v>
      </c>
      <c r="L89" s="16">
        <v>0</v>
      </c>
      <c r="M89" s="16">
        <v>0</v>
      </c>
      <c r="N89" s="18">
        <f t="shared" si="2"/>
        <v>0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/>
      <c r="C90" s="16"/>
      <c r="D90" s="16"/>
      <c r="E90" s="16"/>
      <c r="F90" s="16"/>
      <c r="G90" s="16"/>
      <c r="H90" s="16"/>
      <c r="I90" s="16"/>
      <c r="J90" s="16"/>
      <c r="K90" s="16">
        <v>0</v>
      </c>
      <c r="L90" s="16">
        <v>0</v>
      </c>
      <c r="M90" s="16">
        <v>0</v>
      </c>
      <c r="N90" s="18">
        <f t="shared" si="2"/>
        <v>0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/>
      <c r="C91" s="16"/>
      <c r="D91" s="16"/>
      <c r="E91" s="16"/>
      <c r="F91" s="16"/>
      <c r="G91" s="16"/>
      <c r="H91" s="16"/>
      <c r="I91" s="16"/>
      <c r="J91" s="16"/>
      <c r="K91" s="16">
        <v>0</v>
      </c>
      <c r="L91" s="16">
        <v>0</v>
      </c>
      <c r="M91" s="16">
        <v>0</v>
      </c>
      <c r="N91" s="18">
        <f t="shared" si="2"/>
        <v>0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/>
      <c r="C92" s="16"/>
      <c r="D92" s="16"/>
      <c r="E92" s="16"/>
      <c r="F92" s="16"/>
      <c r="G92" s="16"/>
      <c r="H92" s="16"/>
      <c r="I92" s="16"/>
      <c r="J92" s="16"/>
      <c r="K92" s="16">
        <v>0</v>
      </c>
      <c r="L92" s="16">
        <v>0</v>
      </c>
      <c r="M92" s="16">
        <v>0</v>
      </c>
      <c r="N92" s="18">
        <f t="shared" si="2"/>
        <v>0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/>
      <c r="C93" s="16"/>
      <c r="D93" s="16"/>
      <c r="E93" s="16"/>
      <c r="F93" s="16"/>
      <c r="G93" s="16"/>
      <c r="H93" s="16"/>
      <c r="I93" s="16"/>
      <c r="J93" s="16"/>
      <c r="K93" s="16">
        <v>0</v>
      </c>
      <c r="L93" s="16">
        <v>0</v>
      </c>
      <c r="M93" s="16">
        <v>0</v>
      </c>
      <c r="N93" s="18">
        <f t="shared" si="2"/>
        <v>0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/>
      <c r="C94" s="16"/>
      <c r="D94" s="16"/>
      <c r="E94" s="16"/>
      <c r="F94" s="16"/>
      <c r="G94" s="16"/>
      <c r="H94" s="16"/>
      <c r="I94" s="16"/>
      <c r="J94" s="16"/>
      <c r="K94" s="16">
        <v>0</v>
      </c>
      <c r="L94" s="16">
        <v>0</v>
      </c>
      <c r="M94" s="16">
        <v>0</v>
      </c>
      <c r="N94" s="18">
        <f t="shared" si="2"/>
        <v>0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/>
      <c r="C95" s="16"/>
      <c r="D95" s="16"/>
      <c r="E95" s="16"/>
      <c r="F95" s="16"/>
      <c r="G95" s="16"/>
      <c r="H95" s="16"/>
      <c r="I95" s="16"/>
      <c r="J95" s="16"/>
      <c r="K95" s="16">
        <v>0</v>
      </c>
      <c r="L95" s="16">
        <v>0</v>
      </c>
      <c r="M95" s="16">
        <v>0</v>
      </c>
      <c r="N95" s="18">
        <f t="shared" si="2"/>
        <v>0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/>
      <c r="C96" s="16"/>
      <c r="D96" s="16"/>
      <c r="E96" s="16"/>
      <c r="F96" s="16"/>
      <c r="G96" s="16"/>
      <c r="H96" s="16"/>
      <c r="I96" s="16"/>
      <c r="J96" s="16"/>
      <c r="K96" s="16">
        <v>0</v>
      </c>
      <c r="L96" s="16">
        <v>0</v>
      </c>
      <c r="M96" s="16">
        <v>0</v>
      </c>
      <c r="N96" s="18">
        <f t="shared" si="2"/>
        <v>0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/>
      <c r="C97" s="16"/>
      <c r="D97" s="16"/>
      <c r="E97" s="16"/>
      <c r="F97" s="16"/>
      <c r="G97" s="16"/>
      <c r="H97" s="16"/>
      <c r="I97" s="16"/>
      <c r="J97" s="16"/>
      <c r="K97" s="16">
        <v>0</v>
      </c>
      <c r="L97" s="16">
        <v>0</v>
      </c>
      <c r="M97" s="16">
        <v>0</v>
      </c>
      <c r="N97" s="18">
        <f t="shared" si="2"/>
        <v>0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/>
      <c r="C98" s="16"/>
      <c r="D98" s="16"/>
      <c r="E98" s="16"/>
      <c r="F98" s="16"/>
      <c r="G98" s="16"/>
      <c r="H98" s="16"/>
      <c r="I98" s="16"/>
      <c r="J98" s="16"/>
      <c r="K98" s="16">
        <v>0</v>
      </c>
      <c r="L98" s="16">
        <v>0</v>
      </c>
      <c r="M98" s="16">
        <v>0</v>
      </c>
      <c r="N98" s="18">
        <f t="shared" si="2"/>
        <v>0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</v>
      </c>
      <c r="L99" s="16">
        <v>0</v>
      </c>
      <c r="M99" s="16">
        <v>0</v>
      </c>
      <c r="N99" s="18">
        <f t="shared" si="2"/>
        <v>0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>
        <v>0</v>
      </c>
      <c r="L100" s="16">
        <v>0</v>
      </c>
      <c r="M100" s="16">
        <v>0</v>
      </c>
      <c r="N100" s="18">
        <f t="shared" si="2"/>
        <v>0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>
        <v>0</v>
      </c>
      <c r="L101" s="16">
        <v>0</v>
      </c>
      <c r="M101" s="16">
        <v>0</v>
      </c>
      <c r="N101" s="18">
        <f t="shared" si="2"/>
        <v>0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>
        <v>0</v>
      </c>
      <c r="L102" s="16">
        <v>0</v>
      </c>
      <c r="M102" s="16">
        <v>0</v>
      </c>
      <c r="N102" s="18">
        <f t="shared" si="2"/>
        <v>0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>
        <v>0</v>
      </c>
      <c r="L103" s="16">
        <v>0</v>
      </c>
      <c r="M103" s="16">
        <v>0</v>
      </c>
      <c r="N103" s="18">
        <f t="shared" si="2"/>
        <v>0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>
        <v>0</v>
      </c>
      <c r="L104" s="16">
        <v>0</v>
      </c>
      <c r="M104" s="16">
        <v>0</v>
      </c>
      <c r="N104" s="18">
        <f t="shared" ref="N104:N135" si="3">SUM(B104:M104)</f>
        <v>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>
        <v>0</v>
      </c>
      <c r="L105" s="16">
        <v>0</v>
      </c>
      <c r="M105" s="16">
        <v>0</v>
      </c>
      <c r="N105" s="18">
        <f t="shared" si="3"/>
        <v>0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>
        <v>0</v>
      </c>
      <c r="L106" s="16">
        <v>0</v>
      </c>
      <c r="M106" s="16">
        <v>0</v>
      </c>
      <c r="N106" s="18">
        <f t="shared" si="3"/>
        <v>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>
        <v>0</v>
      </c>
      <c r="L107" s="16">
        <v>0</v>
      </c>
      <c r="M107" s="16">
        <v>0</v>
      </c>
      <c r="N107" s="18">
        <f t="shared" si="3"/>
        <v>0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>
        <v>0</v>
      </c>
      <c r="L108" s="16">
        <v>0</v>
      </c>
      <c r="M108" s="16">
        <v>0</v>
      </c>
      <c r="N108" s="18">
        <f t="shared" si="3"/>
        <v>0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>
        <v>0</v>
      </c>
      <c r="L109" s="16">
        <v>0</v>
      </c>
      <c r="M109" s="16">
        <v>0</v>
      </c>
      <c r="N109" s="18">
        <f t="shared" si="3"/>
        <v>0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>
        <v>0</v>
      </c>
      <c r="L110" s="16">
        <v>0</v>
      </c>
      <c r="M110" s="16">
        <v>0</v>
      </c>
      <c r="N110" s="18">
        <f t="shared" si="3"/>
        <v>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>
        <v>0</v>
      </c>
      <c r="L111" s="16">
        <v>0</v>
      </c>
      <c r="M111" s="16">
        <v>0</v>
      </c>
      <c r="N111" s="18">
        <f t="shared" si="3"/>
        <v>0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>
        <v>0</v>
      </c>
      <c r="L112" s="16">
        <v>0</v>
      </c>
      <c r="M112" s="16">
        <v>0</v>
      </c>
      <c r="N112" s="18">
        <f t="shared" si="3"/>
        <v>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>
        <v>0</v>
      </c>
      <c r="L113" s="16">
        <v>0</v>
      </c>
      <c r="M113" s="16">
        <v>0</v>
      </c>
      <c r="N113" s="18">
        <f t="shared" si="3"/>
        <v>0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>
        <v>0</v>
      </c>
      <c r="L114" s="16">
        <v>0</v>
      </c>
      <c r="M114" s="16">
        <v>0</v>
      </c>
      <c r="N114" s="18">
        <f t="shared" si="3"/>
        <v>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>
        <v>0</v>
      </c>
      <c r="L115" s="16">
        <v>0</v>
      </c>
      <c r="M115" s="16">
        <v>0</v>
      </c>
      <c r="N115" s="18">
        <f t="shared" si="3"/>
        <v>0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>
        <v>0</v>
      </c>
      <c r="L116" s="16">
        <v>0</v>
      </c>
      <c r="M116" s="16">
        <v>0</v>
      </c>
      <c r="N116" s="18">
        <f t="shared" si="3"/>
        <v>0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>
        <v>0</v>
      </c>
      <c r="L117" s="16">
        <v>0</v>
      </c>
      <c r="M117" s="16">
        <v>0</v>
      </c>
      <c r="N117" s="18">
        <f t="shared" si="3"/>
        <v>0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>
        <v>0</v>
      </c>
      <c r="L118" s="16">
        <v>0</v>
      </c>
      <c r="M118" s="16">
        <v>0</v>
      </c>
      <c r="N118" s="18">
        <f t="shared" si="3"/>
        <v>0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>
        <v>0</v>
      </c>
      <c r="L119" s="16">
        <v>0</v>
      </c>
      <c r="M119" s="16">
        <v>0</v>
      </c>
      <c r="N119" s="18">
        <f t="shared" si="3"/>
        <v>0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>
        <v>0</v>
      </c>
      <c r="L120" s="16">
        <v>0</v>
      </c>
      <c r="M120" s="16">
        <v>0</v>
      </c>
      <c r="N120" s="18">
        <f t="shared" si="3"/>
        <v>0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>
        <v>0</v>
      </c>
      <c r="L121" s="16">
        <v>0</v>
      </c>
      <c r="M121" s="16">
        <v>0</v>
      </c>
      <c r="N121" s="18">
        <f t="shared" si="3"/>
        <v>0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>
        <v>0</v>
      </c>
      <c r="L122" s="16">
        <v>0</v>
      </c>
      <c r="M122" s="16">
        <v>0</v>
      </c>
      <c r="N122" s="18">
        <f t="shared" si="3"/>
        <v>0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>
        <v>0</v>
      </c>
      <c r="L123" s="16">
        <v>0</v>
      </c>
      <c r="M123" s="16">
        <v>0</v>
      </c>
      <c r="N123" s="18">
        <f t="shared" si="3"/>
        <v>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>
        <v>0</v>
      </c>
      <c r="L124" s="16">
        <v>0</v>
      </c>
      <c r="M124" s="16">
        <v>0</v>
      </c>
      <c r="N124" s="18">
        <f t="shared" si="3"/>
        <v>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>
        <v>0</v>
      </c>
      <c r="L125" s="16">
        <v>0</v>
      </c>
      <c r="M125" s="16">
        <v>0</v>
      </c>
      <c r="N125" s="18">
        <f t="shared" si="3"/>
        <v>0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>
        <v>0</v>
      </c>
      <c r="L126" s="16">
        <v>0</v>
      </c>
      <c r="M126" s="16">
        <v>0</v>
      </c>
      <c r="N126" s="18">
        <f t="shared" si="3"/>
        <v>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>
        <v>0</v>
      </c>
      <c r="L127" s="16">
        <v>0</v>
      </c>
      <c r="M127" s="16">
        <v>0</v>
      </c>
      <c r="N127" s="18">
        <f t="shared" si="3"/>
        <v>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>
        <v>0</v>
      </c>
      <c r="L128" s="16">
        <v>0</v>
      </c>
      <c r="M128" s="16">
        <v>0</v>
      </c>
      <c r="N128" s="18">
        <f t="shared" si="3"/>
        <v>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>
        <v>0</v>
      </c>
      <c r="L129" s="16">
        <v>0</v>
      </c>
      <c r="M129" s="16">
        <v>0</v>
      </c>
      <c r="N129" s="18">
        <f t="shared" si="3"/>
        <v>0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>
        <v>0</v>
      </c>
      <c r="L130" s="16">
        <v>0</v>
      </c>
      <c r="M130" s="16">
        <v>0</v>
      </c>
      <c r="N130" s="18">
        <f t="shared" si="3"/>
        <v>0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>
        <v>0</v>
      </c>
      <c r="L131" s="16">
        <v>0</v>
      </c>
      <c r="M131" s="16">
        <v>0</v>
      </c>
      <c r="N131" s="18">
        <f t="shared" si="3"/>
        <v>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>
        <v>0</v>
      </c>
      <c r="L132" s="16">
        <v>0</v>
      </c>
      <c r="M132" s="16">
        <v>0</v>
      </c>
      <c r="N132" s="18">
        <f t="shared" si="3"/>
        <v>0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>
        <v>0</v>
      </c>
      <c r="L133" s="16">
        <v>0</v>
      </c>
      <c r="M133" s="16">
        <v>0</v>
      </c>
      <c r="N133" s="18">
        <f t="shared" si="3"/>
        <v>0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>
        <v>0</v>
      </c>
      <c r="L134" s="16">
        <v>0</v>
      </c>
      <c r="M134" s="16">
        <v>0</v>
      </c>
      <c r="N134" s="18">
        <f t="shared" si="3"/>
        <v>0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>
        <v>0</v>
      </c>
      <c r="L135" s="16">
        <v>0</v>
      </c>
      <c r="M135" s="16">
        <v>0</v>
      </c>
      <c r="N135" s="18">
        <f t="shared" si="3"/>
        <v>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>
        <v>0</v>
      </c>
      <c r="L136" s="16">
        <v>0</v>
      </c>
      <c r="M136" s="16">
        <v>0</v>
      </c>
      <c r="N136" s="18">
        <f t="shared" ref="N136:N142" si="4">SUM(B136:M136)</f>
        <v>0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>
        <v>0</v>
      </c>
      <c r="L137" s="16">
        <v>0</v>
      </c>
      <c r="M137" s="16">
        <v>0</v>
      </c>
      <c r="N137" s="18">
        <f t="shared" si="4"/>
        <v>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>
        <v>0</v>
      </c>
      <c r="L138" s="16">
        <v>0</v>
      </c>
      <c r="M138" s="16">
        <v>0</v>
      </c>
      <c r="N138" s="18">
        <f t="shared" si="4"/>
        <v>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>
        <v>0</v>
      </c>
      <c r="L139" s="16">
        <v>0</v>
      </c>
      <c r="M139" s="16">
        <v>0</v>
      </c>
      <c r="N139" s="18">
        <f t="shared" si="4"/>
        <v>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>
        <v>0</v>
      </c>
      <c r="L140" s="16">
        <v>0</v>
      </c>
      <c r="M140" s="16">
        <v>0</v>
      </c>
      <c r="N140" s="18">
        <f t="shared" si="4"/>
        <v>0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>
        <v>0</v>
      </c>
      <c r="L141" s="16">
        <v>0</v>
      </c>
      <c r="M141" s="16">
        <v>0</v>
      </c>
      <c r="N141" s="18">
        <f t="shared" si="4"/>
        <v>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>
        <v>0</v>
      </c>
      <c r="L142" s="16">
        <v>0</v>
      </c>
      <c r="M142" s="16">
        <v>0</v>
      </c>
      <c r="N142" s="18">
        <f t="shared" si="4"/>
        <v>0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I143" si="5">SUM(B8:B142)</f>
        <v>0</v>
      </c>
      <c r="C143" s="23">
        <f t="shared" si="5"/>
        <v>0</v>
      </c>
      <c r="D143" s="23">
        <f t="shared" si="5"/>
        <v>0</v>
      </c>
      <c r="E143" s="23">
        <f t="shared" si="5"/>
        <v>0</v>
      </c>
      <c r="F143" s="23">
        <f t="shared" si="5"/>
        <v>0</v>
      </c>
      <c r="G143" s="23">
        <f t="shared" si="5"/>
        <v>0</v>
      </c>
      <c r="H143" s="23">
        <f t="shared" si="5"/>
        <v>0</v>
      </c>
      <c r="I143" s="23">
        <f t="shared" si="5"/>
        <v>0</v>
      </c>
      <c r="J143" s="23">
        <f t="shared" ref="J143:N143" si="6">SUM(J8:J142)</f>
        <v>0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4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44AEAC"/>
  </sheetPr>
  <dimension ref="A1:X275"/>
  <sheetViews>
    <sheetView showGridLines="0" zoomScale="80" zoomScaleNormal="80" workbookViewId="0"/>
  </sheetViews>
  <sheetFormatPr baseColWidth="10" defaultColWidth="12" defaultRowHeight="14.25" x14ac:dyDescent="0.2"/>
  <cols>
    <col min="1" max="1" width="41.83203125" style="11" customWidth="1"/>
    <col min="2" max="2" width="24.832031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4.83203125" style="1" bestFit="1" customWidth="1"/>
    <col min="15" max="15" width="12" style="1" customWidth="1"/>
    <col min="16" max="16384" width="12" style="1"/>
  </cols>
  <sheetData>
    <row r="1" spans="1:24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4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4" ht="17.25" customHeight="1" x14ac:dyDescent="0.25">
      <c r="A4" s="21" t="s">
        <v>161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4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4" ht="18.75" customHeight="1" x14ac:dyDescent="0.2">
      <c r="A6" s="33" t="s">
        <v>2</v>
      </c>
      <c r="B6" s="34" t="s">
        <v>162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4" ht="60" customHeight="1" x14ac:dyDescent="0.2">
      <c r="A7" s="33"/>
      <c r="B7" s="19" t="s">
        <v>139</v>
      </c>
      <c r="C7" s="19" t="s">
        <v>152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19" t="s">
        <v>148</v>
      </c>
      <c r="M7" s="19" t="s">
        <v>142</v>
      </c>
      <c r="N7" s="20" t="s">
        <v>140</v>
      </c>
    </row>
    <row r="8" spans="1:24" ht="18" customHeight="1" x14ac:dyDescent="0.2">
      <c r="A8" s="17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>
        <v>0</v>
      </c>
      <c r="L8" s="16">
        <v>0</v>
      </c>
      <c r="M8" s="16">
        <v>0</v>
      </c>
      <c r="N8" s="18">
        <f t="shared" ref="N8:N39" si="0">SUM(B8:M8)</f>
        <v>0</v>
      </c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8" customHeight="1" x14ac:dyDescent="0.2">
      <c r="A9" s="17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>
        <v>0</v>
      </c>
      <c r="L9" s="16">
        <v>0</v>
      </c>
      <c r="M9" s="16">
        <v>0</v>
      </c>
      <c r="N9" s="18">
        <f t="shared" si="0"/>
        <v>0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8" customHeight="1" x14ac:dyDescent="0.2">
      <c r="A10" s="17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>
        <v>0</v>
      </c>
      <c r="L10" s="16">
        <v>0</v>
      </c>
      <c r="M10" s="16">
        <v>0</v>
      </c>
      <c r="N10" s="18">
        <f t="shared" si="0"/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8" customHeight="1" x14ac:dyDescent="0.2">
      <c r="A11" s="17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>
        <v>0</v>
      </c>
      <c r="L11" s="16">
        <v>0</v>
      </c>
      <c r="M11" s="16">
        <v>0</v>
      </c>
      <c r="N11" s="18">
        <f t="shared" si="0"/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8" customHeight="1" x14ac:dyDescent="0.2">
      <c r="A12" s="17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>
        <v>0</v>
      </c>
      <c r="L12" s="16">
        <v>0</v>
      </c>
      <c r="M12" s="16">
        <v>0</v>
      </c>
      <c r="N12" s="18">
        <f t="shared" si="0"/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8" customHeight="1" x14ac:dyDescent="0.2">
      <c r="A13" s="17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>
        <v>0</v>
      </c>
      <c r="L13" s="16">
        <v>0</v>
      </c>
      <c r="M13" s="16">
        <v>0</v>
      </c>
      <c r="N13" s="18">
        <f t="shared" si="0"/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8" customHeight="1" x14ac:dyDescent="0.2">
      <c r="A14" s="17" t="s">
        <v>9</v>
      </c>
      <c r="B14" s="16"/>
      <c r="C14" s="16"/>
      <c r="D14" s="16"/>
      <c r="E14" s="16"/>
      <c r="F14" s="16"/>
      <c r="G14" s="16"/>
      <c r="H14" s="16"/>
      <c r="I14" s="16"/>
      <c r="J14" s="16"/>
      <c r="K14" s="16">
        <v>0</v>
      </c>
      <c r="L14" s="16">
        <v>0</v>
      </c>
      <c r="M14" s="16">
        <v>0</v>
      </c>
      <c r="N14" s="18">
        <f t="shared" si="0"/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8" customHeight="1" x14ac:dyDescent="0.2">
      <c r="A15" s="17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>
        <v>0</v>
      </c>
      <c r="L15" s="16">
        <v>0</v>
      </c>
      <c r="M15" s="16">
        <v>0</v>
      </c>
      <c r="N15" s="18">
        <f t="shared" si="0"/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8" customHeight="1" x14ac:dyDescent="0.2">
      <c r="A16" s="17" t="s">
        <v>11</v>
      </c>
      <c r="B16" s="16"/>
      <c r="C16" s="16"/>
      <c r="D16" s="16"/>
      <c r="E16" s="16"/>
      <c r="F16" s="16"/>
      <c r="G16" s="16"/>
      <c r="H16" s="16"/>
      <c r="I16" s="16"/>
      <c r="J16" s="16"/>
      <c r="K16" s="16">
        <v>0</v>
      </c>
      <c r="L16" s="16">
        <v>0</v>
      </c>
      <c r="M16" s="16">
        <v>0</v>
      </c>
      <c r="N16" s="18">
        <f t="shared" si="0"/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" x14ac:dyDescent="0.2">
      <c r="A17" s="17" t="s">
        <v>12</v>
      </c>
      <c r="B17" s="16"/>
      <c r="C17" s="16"/>
      <c r="D17" s="16"/>
      <c r="E17" s="16"/>
      <c r="F17" s="16"/>
      <c r="G17" s="16"/>
      <c r="H17" s="16"/>
      <c r="I17" s="16"/>
      <c r="J17" s="16"/>
      <c r="K17" s="16">
        <v>0</v>
      </c>
      <c r="L17" s="16">
        <v>0</v>
      </c>
      <c r="M17" s="16">
        <v>0</v>
      </c>
      <c r="N17" s="18">
        <f t="shared" si="0"/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" x14ac:dyDescent="0.2">
      <c r="A18" s="17" t="s">
        <v>13</v>
      </c>
      <c r="B18" s="16"/>
      <c r="C18" s="16"/>
      <c r="D18" s="16"/>
      <c r="E18" s="16"/>
      <c r="F18" s="16"/>
      <c r="G18" s="16"/>
      <c r="H18" s="16"/>
      <c r="I18" s="16"/>
      <c r="J18" s="16"/>
      <c r="K18" s="16">
        <v>0</v>
      </c>
      <c r="L18" s="16">
        <v>0</v>
      </c>
      <c r="M18" s="16">
        <v>0</v>
      </c>
      <c r="N18" s="18">
        <f t="shared" si="0"/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" x14ac:dyDescent="0.2">
      <c r="A19" s="17" t="s">
        <v>14</v>
      </c>
      <c r="B19" s="16"/>
      <c r="C19" s="16"/>
      <c r="D19" s="16"/>
      <c r="E19" s="16"/>
      <c r="F19" s="16"/>
      <c r="G19" s="16"/>
      <c r="H19" s="16"/>
      <c r="I19" s="16"/>
      <c r="J19" s="16"/>
      <c r="K19" s="16">
        <v>0</v>
      </c>
      <c r="L19" s="16">
        <v>0</v>
      </c>
      <c r="M19" s="16">
        <v>0</v>
      </c>
      <c r="N19" s="18">
        <f t="shared" si="0"/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" x14ac:dyDescent="0.2">
      <c r="A20" s="17" t="s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>
        <v>0</v>
      </c>
      <c r="L20" s="16">
        <v>0</v>
      </c>
      <c r="M20" s="16">
        <v>0</v>
      </c>
      <c r="N20" s="18">
        <f t="shared" si="0"/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" x14ac:dyDescent="0.2">
      <c r="A21" s="17" t="s">
        <v>16</v>
      </c>
      <c r="B21" s="16"/>
      <c r="C21" s="16"/>
      <c r="D21" s="16"/>
      <c r="E21" s="16"/>
      <c r="F21" s="16"/>
      <c r="G21" s="16"/>
      <c r="H21" s="16"/>
      <c r="I21" s="16"/>
      <c r="J21" s="16"/>
      <c r="K21" s="16">
        <v>0</v>
      </c>
      <c r="L21" s="16">
        <v>0</v>
      </c>
      <c r="M21" s="16">
        <v>0</v>
      </c>
      <c r="N21" s="18">
        <f t="shared" si="0"/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" x14ac:dyDescent="0.2">
      <c r="A22" s="17" t="s">
        <v>17</v>
      </c>
      <c r="B22" s="16"/>
      <c r="C22" s="16"/>
      <c r="D22" s="16"/>
      <c r="E22" s="16"/>
      <c r="F22" s="16"/>
      <c r="G22" s="16"/>
      <c r="H22" s="16"/>
      <c r="I22" s="16"/>
      <c r="J22" s="16"/>
      <c r="K22" s="16">
        <v>0</v>
      </c>
      <c r="L22" s="16">
        <v>0</v>
      </c>
      <c r="M22" s="16">
        <v>0</v>
      </c>
      <c r="N22" s="18">
        <f t="shared" si="0"/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" x14ac:dyDescent="0.2">
      <c r="A23" s="17" t="s">
        <v>18</v>
      </c>
      <c r="B23" s="16"/>
      <c r="C23" s="16"/>
      <c r="D23" s="16"/>
      <c r="E23" s="16"/>
      <c r="F23" s="16"/>
      <c r="G23" s="16"/>
      <c r="H23" s="16"/>
      <c r="I23" s="16"/>
      <c r="J23" s="16"/>
      <c r="K23" s="16">
        <v>0</v>
      </c>
      <c r="L23" s="16">
        <v>0</v>
      </c>
      <c r="M23" s="16">
        <v>0</v>
      </c>
      <c r="N23" s="18">
        <f t="shared" si="0"/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" x14ac:dyDescent="0.2">
      <c r="A24" s="17" t="s">
        <v>19</v>
      </c>
      <c r="B24" s="16"/>
      <c r="C24" s="16"/>
      <c r="D24" s="16"/>
      <c r="E24" s="16"/>
      <c r="F24" s="16"/>
      <c r="G24" s="16"/>
      <c r="H24" s="16"/>
      <c r="I24" s="16"/>
      <c r="J24" s="16"/>
      <c r="K24" s="16">
        <v>0</v>
      </c>
      <c r="L24" s="16">
        <v>0</v>
      </c>
      <c r="M24" s="16">
        <v>0</v>
      </c>
      <c r="N24" s="18">
        <f t="shared" si="0"/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" x14ac:dyDescent="0.2">
      <c r="A25" s="17" t="s">
        <v>20</v>
      </c>
      <c r="B25" s="16"/>
      <c r="C25" s="16"/>
      <c r="D25" s="16"/>
      <c r="E25" s="16"/>
      <c r="F25" s="16"/>
      <c r="G25" s="16"/>
      <c r="H25" s="16"/>
      <c r="I25" s="16"/>
      <c r="J25" s="16"/>
      <c r="K25" s="16">
        <v>0</v>
      </c>
      <c r="L25" s="16">
        <v>0</v>
      </c>
      <c r="M25" s="16">
        <v>0</v>
      </c>
      <c r="N25" s="18">
        <f t="shared" si="0"/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" x14ac:dyDescent="0.2">
      <c r="A26" s="17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>
        <v>0</v>
      </c>
      <c r="L26" s="16">
        <v>0</v>
      </c>
      <c r="M26" s="16">
        <v>0</v>
      </c>
      <c r="N26" s="18">
        <f t="shared" si="0"/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" x14ac:dyDescent="0.2">
      <c r="A27" s="17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>
        <v>0</v>
      </c>
      <c r="L27" s="16">
        <v>0</v>
      </c>
      <c r="M27" s="16">
        <v>0</v>
      </c>
      <c r="N27" s="18">
        <f t="shared" si="0"/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" x14ac:dyDescent="0.2">
      <c r="A28" s="17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>
        <v>0</v>
      </c>
      <c r="L28" s="16">
        <v>0</v>
      </c>
      <c r="M28" s="16">
        <v>0</v>
      </c>
      <c r="N28" s="18">
        <f t="shared" si="0"/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" x14ac:dyDescent="0.2">
      <c r="A29" s="17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>
        <v>0</v>
      </c>
      <c r="L29" s="16">
        <v>0</v>
      </c>
      <c r="M29" s="16">
        <v>0</v>
      </c>
      <c r="N29" s="18">
        <f t="shared" si="0"/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" x14ac:dyDescent="0.2">
      <c r="A30" s="17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>
        <v>0</v>
      </c>
      <c r="L30" s="16">
        <v>0</v>
      </c>
      <c r="M30" s="16">
        <v>0</v>
      </c>
      <c r="N30" s="18">
        <f t="shared" si="0"/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" x14ac:dyDescent="0.2">
      <c r="A31" s="17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>
        <v>0</v>
      </c>
      <c r="L31" s="16">
        <v>0</v>
      </c>
      <c r="M31" s="16">
        <v>0</v>
      </c>
      <c r="N31" s="18">
        <f t="shared" si="0"/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" x14ac:dyDescent="0.2">
      <c r="A32" s="17" t="s">
        <v>27</v>
      </c>
      <c r="B32" s="16"/>
      <c r="C32" s="16"/>
      <c r="D32" s="16"/>
      <c r="E32" s="16"/>
      <c r="F32" s="16"/>
      <c r="G32" s="16"/>
      <c r="H32" s="16"/>
      <c r="I32" s="16"/>
      <c r="J32" s="16"/>
      <c r="K32" s="16">
        <v>0</v>
      </c>
      <c r="L32" s="16">
        <v>0</v>
      </c>
      <c r="M32" s="16">
        <v>0</v>
      </c>
      <c r="N32" s="18">
        <f t="shared" si="0"/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" x14ac:dyDescent="0.2">
      <c r="A33" s="17" t="s">
        <v>28</v>
      </c>
      <c r="B33" s="16"/>
      <c r="C33" s="16"/>
      <c r="D33" s="16"/>
      <c r="E33" s="16"/>
      <c r="F33" s="16"/>
      <c r="G33" s="16"/>
      <c r="H33" s="16"/>
      <c r="I33" s="16"/>
      <c r="J33" s="16"/>
      <c r="K33" s="16">
        <v>0</v>
      </c>
      <c r="L33" s="16">
        <v>0</v>
      </c>
      <c r="M33" s="16">
        <v>0</v>
      </c>
      <c r="N33" s="18">
        <f t="shared" si="0"/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" x14ac:dyDescent="0.2">
      <c r="A34" s="17" t="s">
        <v>29</v>
      </c>
      <c r="B34" s="16"/>
      <c r="C34" s="16"/>
      <c r="D34" s="16"/>
      <c r="E34" s="16"/>
      <c r="F34" s="16"/>
      <c r="G34" s="16"/>
      <c r="H34" s="16"/>
      <c r="I34" s="16"/>
      <c r="J34" s="16"/>
      <c r="K34" s="16">
        <v>0</v>
      </c>
      <c r="L34" s="16">
        <v>0</v>
      </c>
      <c r="M34" s="16">
        <v>0</v>
      </c>
      <c r="N34" s="18">
        <f t="shared" si="0"/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" x14ac:dyDescent="0.2">
      <c r="A35" s="17" t="s">
        <v>30</v>
      </c>
      <c r="B35" s="16"/>
      <c r="C35" s="16"/>
      <c r="D35" s="16"/>
      <c r="E35" s="16"/>
      <c r="F35" s="16"/>
      <c r="G35" s="16"/>
      <c r="H35" s="16"/>
      <c r="I35" s="16"/>
      <c r="J35" s="16"/>
      <c r="K35" s="16">
        <v>0</v>
      </c>
      <c r="L35" s="16">
        <v>0</v>
      </c>
      <c r="M35" s="16">
        <v>0</v>
      </c>
      <c r="N35" s="18">
        <f t="shared" si="0"/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" x14ac:dyDescent="0.2">
      <c r="A36" s="17" t="s">
        <v>31</v>
      </c>
      <c r="B36" s="16"/>
      <c r="C36" s="16"/>
      <c r="D36" s="16"/>
      <c r="E36" s="16"/>
      <c r="F36" s="16"/>
      <c r="G36" s="16"/>
      <c r="H36" s="16"/>
      <c r="I36" s="16"/>
      <c r="J36" s="16"/>
      <c r="K36" s="16">
        <v>0</v>
      </c>
      <c r="L36" s="16">
        <v>0</v>
      </c>
      <c r="M36" s="16">
        <v>0</v>
      </c>
      <c r="N36" s="18">
        <f t="shared" si="0"/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" x14ac:dyDescent="0.2">
      <c r="A37" s="17" t="s">
        <v>32</v>
      </c>
      <c r="B37" s="16"/>
      <c r="C37" s="16"/>
      <c r="D37" s="16"/>
      <c r="E37" s="16"/>
      <c r="F37" s="16"/>
      <c r="G37" s="16"/>
      <c r="H37" s="16"/>
      <c r="I37" s="16"/>
      <c r="J37" s="16"/>
      <c r="K37" s="16">
        <v>0</v>
      </c>
      <c r="L37" s="16">
        <v>0</v>
      </c>
      <c r="M37" s="16">
        <v>0</v>
      </c>
      <c r="N37" s="18">
        <f t="shared" si="0"/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" x14ac:dyDescent="0.2">
      <c r="A38" s="17" t="s">
        <v>33</v>
      </c>
      <c r="B38" s="16"/>
      <c r="C38" s="16"/>
      <c r="D38" s="16"/>
      <c r="E38" s="16"/>
      <c r="F38" s="16"/>
      <c r="G38" s="16"/>
      <c r="H38" s="16"/>
      <c r="I38" s="16"/>
      <c r="J38" s="16"/>
      <c r="K38" s="16">
        <v>0</v>
      </c>
      <c r="L38" s="16">
        <v>0</v>
      </c>
      <c r="M38" s="16">
        <v>0</v>
      </c>
      <c r="N38" s="18">
        <f t="shared" si="0"/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 x14ac:dyDescent="0.2">
      <c r="A39" s="17" t="s">
        <v>34</v>
      </c>
      <c r="B39" s="16"/>
      <c r="C39" s="16"/>
      <c r="D39" s="16"/>
      <c r="E39" s="16"/>
      <c r="F39" s="16"/>
      <c r="G39" s="16"/>
      <c r="H39" s="16"/>
      <c r="I39" s="16"/>
      <c r="J39" s="16"/>
      <c r="K39" s="16">
        <v>0</v>
      </c>
      <c r="L39" s="16">
        <v>0</v>
      </c>
      <c r="M39" s="16">
        <v>0</v>
      </c>
      <c r="N39" s="18">
        <f t="shared" si="0"/>
        <v>0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" x14ac:dyDescent="0.2">
      <c r="A40" s="17" t="s">
        <v>35</v>
      </c>
      <c r="B40" s="16"/>
      <c r="C40" s="16"/>
      <c r="D40" s="16"/>
      <c r="E40" s="16"/>
      <c r="F40" s="16"/>
      <c r="G40" s="16"/>
      <c r="H40" s="16"/>
      <c r="I40" s="16"/>
      <c r="J40" s="16"/>
      <c r="K40" s="16">
        <v>0</v>
      </c>
      <c r="L40" s="16">
        <v>0</v>
      </c>
      <c r="M40" s="16">
        <v>0</v>
      </c>
      <c r="N40" s="18">
        <f t="shared" ref="N40:N71" si="1">SUM(B40:M40)</f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" x14ac:dyDescent="0.2">
      <c r="A41" s="17" t="s">
        <v>36</v>
      </c>
      <c r="B41" s="16"/>
      <c r="C41" s="16"/>
      <c r="D41" s="16"/>
      <c r="E41" s="16"/>
      <c r="F41" s="16"/>
      <c r="G41" s="16"/>
      <c r="H41" s="16"/>
      <c r="I41" s="16"/>
      <c r="J41" s="16"/>
      <c r="K41" s="16">
        <v>0</v>
      </c>
      <c r="L41" s="16">
        <v>0</v>
      </c>
      <c r="M41" s="16">
        <v>0</v>
      </c>
      <c r="N41" s="18">
        <f t="shared" si="1"/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" x14ac:dyDescent="0.2">
      <c r="A42" s="17" t="s">
        <v>37</v>
      </c>
      <c r="B42" s="16"/>
      <c r="C42" s="16"/>
      <c r="D42" s="16"/>
      <c r="E42" s="16"/>
      <c r="F42" s="16"/>
      <c r="G42" s="16"/>
      <c r="H42" s="16"/>
      <c r="I42" s="16"/>
      <c r="J42" s="16"/>
      <c r="K42" s="16">
        <v>0</v>
      </c>
      <c r="L42" s="16">
        <v>0</v>
      </c>
      <c r="M42" s="16">
        <v>0</v>
      </c>
      <c r="N42" s="18">
        <f t="shared" si="1"/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" x14ac:dyDescent="0.2">
      <c r="A43" s="17" t="s">
        <v>38</v>
      </c>
      <c r="B43" s="16"/>
      <c r="C43" s="16"/>
      <c r="D43" s="16"/>
      <c r="E43" s="16"/>
      <c r="F43" s="16"/>
      <c r="G43" s="16"/>
      <c r="H43" s="16"/>
      <c r="I43" s="16"/>
      <c r="J43" s="16"/>
      <c r="K43" s="16">
        <v>0</v>
      </c>
      <c r="L43" s="16">
        <v>0</v>
      </c>
      <c r="M43" s="16">
        <v>0</v>
      </c>
      <c r="N43" s="18">
        <f t="shared" si="1"/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" x14ac:dyDescent="0.2">
      <c r="A44" s="17" t="s">
        <v>39</v>
      </c>
      <c r="B44" s="16"/>
      <c r="C44" s="16"/>
      <c r="D44" s="16"/>
      <c r="E44" s="16"/>
      <c r="F44" s="16"/>
      <c r="G44" s="16"/>
      <c r="H44" s="16"/>
      <c r="I44" s="16"/>
      <c r="J44" s="16"/>
      <c r="K44" s="16">
        <v>0</v>
      </c>
      <c r="L44" s="16">
        <v>0</v>
      </c>
      <c r="M44" s="16">
        <v>0</v>
      </c>
      <c r="N44" s="18">
        <f t="shared" si="1"/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" x14ac:dyDescent="0.2">
      <c r="A45" s="17" t="s">
        <v>40</v>
      </c>
      <c r="B45" s="16"/>
      <c r="C45" s="16"/>
      <c r="D45" s="16"/>
      <c r="E45" s="16"/>
      <c r="F45" s="16"/>
      <c r="G45" s="16"/>
      <c r="H45" s="16"/>
      <c r="I45" s="16"/>
      <c r="J45" s="16"/>
      <c r="K45" s="16">
        <v>0</v>
      </c>
      <c r="L45" s="16">
        <v>0</v>
      </c>
      <c r="M45" s="16">
        <v>0</v>
      </c>
      <c r="N45" s="18">
        <f t="shared" si="1"/>
        <v>0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" x14ac:dyDescent="0.2">
      <c r="A46" s="17" t="s">
        <v>41</v>
      </c>
      <c r="B46" s="16"/>
      <c r="C46" s="16"/>
      <c r="D46" s="16"/>
      <c r="E46" s="16"/>
      <c r="F46" s="16"/>
      <c r="G46" s="16"/>
      <c r="H46" s="16"/>
      <c r="I46" s="16"/>
      <c r="J46" s="16"/>
      <c r="K46" s="16">
        <v>0</v>
      </c>
      <c r="L46" s="16">
        <v>0</v>
      </c>
      <c r="M46" s="16">
        <v>0</v>
      </c>
      <c r="N46" s="18">
        <f t="shared" si="1"/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" x14ac:dyDescent="0.2">
      <c r="A47" s="17" t="s">
        <v>42</v>
      </c>
      <c r="B47" s="16"/>
      <c r="C47" s="16"/>
      <c r="D47" s="16"/>
      <c r="E47" s="16"/>
      <c r="F47" s="16"/>
      <c r="G47" s="16"/>
      <c r="H47" s="16"/>
      <c r="I47" s="16"/>
      <c r="J47" s="16"/>
      <c r="K47" s="16">
        <v>0</v>
      </c>
      <c r="L47" s="16">
        <v>0</v>
      </c>
      <c r="M47" s="16">
        <v>0</v>
      </c>
      <c r="N47" s="18">
        <f t="shared" si="1"/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" x14ac:dyDescent="0.2">
      <c r="A48" s="17" t="s">
        <v>43</v>
      </c>
      <c r="B48" s="16"/>
      <c r="C48" s="16"/>
      <c r="D48" s="16"/>
      <c r="E48" s="16"/>
      <c r="F48" s="16"/>
      <c r="G48" s="16"/>
      <c r="H48" s="16"/>
      <c r="I48" s="16"/>
      <c r="J48" s="16"/>
      <c r="K48" s="16">
        <v>0</v>
      </c>
      <c r="L48" s="16">
        <v>0</v>
      </c>
      <c r="M48" s="16">
        <v>0</v>
      </c>
      <c r="N48" s="18">
        <f t="shared" si="1"/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" x14ac:dyDescent="0.2">
      <c r="A49" s="17" t="s">
        <v>44</v>
      </c>
      <c r="B49" s="16"/>
      <c r="C49" s="16"/>
      <c r="D49" s="16"/>
      <c r="E49" s="16"/>
      <c r="F49" s="16"/>
      <c r="G49" s="16"/>
      <c r="H49" s="16"/>
      <c r="I49" s="16"/>
      <c r="J49" s="16"/>
      <c r="K49" s="16">
        <v>0</v>
      </c>
      <c r="L49" s="16">
        <v>0</v>
      </c>
      <c r="M49" s="16">
        <v>0</v>
      </c>
      <c r="N49" s="18">
        <f t="shared" si="1"/>
        <v>0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" x14ac:dyDescent="0.2">
      <c r="A50" s="17" t="s">
        <v>45</v>
      </c>
      <c r="B50" s="16"/>
      <c r="C50" s="16"/>
      <c r="D50" s="16"/>
      <c r="E50" s="16"/>
      <c r="F50" s="16"/>
      <c r="G50" s="16"/>
      <c r="H50" s="16"/>
      <c r="I50" s="16"/>
      <c r="J50" s="16"/>
      <c r="K50" s="16">
        <v>0</v>
      </c>
      <c r="L50" s="16">
        <v>0</v>
      </c>
      <c r="M50" s="16">
        <v>0</v>
      </c>
      <c r="N50" s="18">
        <f t="shared" si="1"/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" x14ac:dyDescent="0.2">
      <c r="A51" s="17" t="s">
        <v>46</v>
      </c>
      <c r="B51" s="16"/>
      <c r="C51" s="16"/>
      <c r="D51" s="16"/>
      <c r="E51" s="16"/>
      <c r="F51" s="16"/>
      <c r="G51" s="16"/>
      <c r="H51" s="16"/>
      <c r="I51" s="16"/>
      <c r="J51" s="16"/>
      <c r="K51" s="16">
        <v>0</v>
      </c>
      <c r="L51" s="16">
        <v>0</v>
      </c>
      <c r="M51" s="16">
        <v>0</v>
      </c>
      <c r="N51" s="18">
        <f t="shared" si="1"/>
        <v>0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" x14ac:dyDescent="0.2">
      <c r="A52" s="17" t="s">
        <v>47</v>
      </c>
      <c r="B52" s="16"/>
      <c r="C52" s="16"/>
      <c r="D52" s="16"/>
      <c r="E52" s="16"/>
      <c r="F52" s="16"/>
      <c r="G52" s="16"/>
      <c r="H52" s="16"/>
      <c r="I52" s="16"/>
      <c r="J52" s="16"/>
      <c r="K52" s="16">
        <v>0</v>
      </c>
      <c r="L52" s="16">
        <v>0</v>
      </c>
      <c r="M52" s="16">
        <v>0</v>
      </c>
      <c r="N52" s="18">
        <f t="shared" si="1"/>
        <v>0</v>
      </c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" x14ac:dyDescent="0.2">
      <c r="A53" s="17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>
        <v>0</v>
      </c>
      <c r="L53" s="16">
        <v>0</v>
      </c>
      <c r="M53" s="16">
        <v>0</v>
      </c>
      <c r="N53" s="18">
        <f t="shared" si="1"/>
        <v>0</v>
      </c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" x14ac:dyDescent="0.2">
      <c r="A54" s="17" t="s">
        <v>49</v>
      </c>
      <c r="B54" s="16"/>
      <c r="C54" s="16"/>
      <c r="D54" s="16"/>
      <c r="E54" s="16"/>
      <c r="F54" s="16"/>
      <c r="G54" s="16"/>
      <c r="H54" s="16"/>
      <c r="I54" s="16"/>
      <c r="J54" s="16"/>
      <c r="K54" s="16">
        <v>0</v>
      </c>
      <c r="L54" s="16">
        <v>0</v>
      </c>
      <c r="M54" s="16">
        <v>0</v>
      </c>
      <c r="N54" s="18">
        <f t="shared" si="1"/>
        <v>0</v>
      </c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" x14ac:dyDescent="0.2">
      <c r="A55" s="17" t="s">
        <v>50</v>
      </c>
      <c r="B55" s="16"/>
      <c r="C55" s="16"/>
      <c r="D55" s="16"/>
      <c r="E55" s="16"/>
      <c r="F55" s="16"/>
      <c r="G55" s="16"/>
      <c r="H55" s="16"/>
      <c r="I55" s="16"/>
      <c r="J55" s="16"/>
      <c r="K55" s="16">
        <v>0</v>
      </c>
      <c r="L55" s="16">
        <v>0</v>
      </c>
      <c r="M55" s="16">
        <v>0</v>
      </c>
      <c r="N55" s="18">
        <f t="shared" si="1"/>
        <v>0</v>
      </c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" x14ac:dyDescent="0.2">
      <c r="A56" s="17" t="s">
        <v>51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0</v>
      </c>
      <c r="L56" s="16">
        <v>0</v>
      </c>
      <c r="M56" s="16">
        <v>0</v>
      </c>
      <c r="N56" s="18">
        <f t="shared" si="1"/>
        <v>0</v>
      </c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" x14ac:dyDescent="0.2">
      <c r="A57" s="17" t="s">
        <v>52</v>
      </c>
      <c r="B57" s="16"/>
      <c r="C57" s="16"/>
      <c r="D57" s="16"/>
      <c r="E57" s="16"/>
      <c r="F57" s="16"/>
      <c r="G57" s="16"/>
      <c r="H57" s="16"/>
      <c r="I57" s="16"/>
      <c r="J57" s="16"/>
      <c r="K57" s="16">
        <v>0</v>
      </c>
      <c r="L57" s="16">
        <v>0</v>
      </c>
      <c r="M57" s="16">
        <v>0</v>
      </c>
      <c r="N57" s="18">
        <f t="shared" si="1"/>
        <v>0</v>
      </c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" x14ac:dyDescent="0.2">
      <c r="A58" s="17" t="s">
        <v>53</v>
      </c>
      <c r="B58" s="16"/>
      <c r="C58" s="16"/>
      <c r="D58" s="16"/>
      <c r="E58" s="16"/>
      <c r="F58" s="16"/>
      <c r="G58" s="16"/>
      <c r="H58" s="16"/>
      <c r="I58" s="16"/>
      <c r="J58" s="16"/>
      <c r="K58" s="16">
        <v>0</v>
      </c>
      <c r="L58" s="16">
        <v>0</v>
      </c>
      <c r="M58" s="16">
        <v>0</v>
      </c>
      <c r="N58" s="18">
        <f t="shared" si="1"/>
        <v>0</v>
      </c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" x14ac:dyDescent="0.2">
      <c r="A59" s="17" t="s">
        <v>54</v>
      </c>
      <c r="B59" s="16"/>
      <c r="C59" s="16"/>
      <c r="D59" s="16"/>
      <c r="E59" s="16"/>
      <c r="F59" s="16"/>
      <c r="G59" s="16"/>
      <c r="H59" s="16"/>
      <c r="I59" s="16"/>
      <c r="J59" s="16"/>
      <c r="K59" s="16">
        <v>0</v>
      </c>
      <c r="L59" s="16">
        <v>0</v>
      </c>
      <c r="M59" s="16">
        <v>0</v>
      </c>
      <c r="N59" s="18">
        <f t="shared" si="1"/>
        <v>0</v>
      </c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" x14ac:dyDescent="0.2">
      <c r="A60" s="17" t="s">
        <v>55</v>
      </c>
      <c r="B60" s="16"/>
      <c r="C60" s="16"/>
      <c r="D60" s="16"/>
      <c r="E60" s="16"/>
      <c r="F60" s="16"/>
      <c r="G60" s="16"/>
      <c r="H60" s="16"/>
      <c r="I60" s="16"/>
      <c r="J60" s="16"/>
      <c r="K60" s="16">
        <v>0</v>
      </c>
      <c r="L60" s="16">
        <v>0</v>
      </c>
      <c r="M60" s="16">
        <v>0</v>
      </c>
      <c r="N60" s="18">
        <f t="shared" si="1"/>
        <v>0</v>
      </c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" x14ac:dyDescent="0.2">
      <c r="A61" s="17" t="s">
        <v>56</v>
      </c>
      <c r="B61" s="16"/>
      <c r="C61" s="16"/>
      <c r="D61" s="16"/>
      <c r="E61" s="16"/>
      <c r="F61" s="16"/>
      <c r="G61" s="16"/>
      <c r="H61" s="16"/>
      <c r="I61" s="16"/>
      <c r="J61" s="16"/>
      <c r="K61" s="16">
        <v>0</v>
      </c>
      <c r="L61" s="16">
        <v>0</v>
      </c>
      <c r="M61" s="16">
        <v>0</v>
      </c>
      <c r="N61" s="18">
        <f t="shared" si="1"/>
        <v>0</v>
      </c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" x14ac:dyDescent="0.2">
      <c r="A62" s="17" t="s">
        <v>57</v>
      </c>
      <c r="B62" s="16"/>
      <c r="C62" s="16"/>
      <c r="D62" s="16"/>
      <c r="E62" s="16"/>
      <c r="F62" s="16"/>
      <c r="G62" s="16"/>
      <c r="H62" s="16"/>
      <c r="I62" s="16"/>
      <c r="J62" s="16"/>
      <c r="K62" s="16">
        <v>0</v>
      </c>
      <c r="L62" s="16">
        <v>0</v>
      </c>
      <c r="M62" s="16">
        <v>0</v>
      </c>
      <c r="N62" s="18">
        <f t="shared" si="1"/>
        <v>0</v>
      </c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" x14ac:dyDescent="0.2">
      <c r="A63" s="17" t="s">
        <v>58</v>
      </c>
      <c r="B63" s="16"/>
      <c r="C63" s="16"/>
      <c r="D63" s="16"/>
      <c r="E63" s="16"/>
      <c r="F63" s="16"/>
      <c r="G63" s="16"/>
      <c r="H63" s="16"/>
      <c r="I63" s="16"/>
      <c r="J63" s="16"/>
      <c r="K63" s="16">
        <v>0</v>
      </c>
      <c r="L63" s="16">
        <v>0</v>
      </c>
      <c r="M63" s="16">
        <v>0</v>
      </c>
      <c r="N63" s="18">
        <f t="shared" si="1"/>
        <v>0</v>
      </c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" x14ac:dyDescent="0.2">
      <c r="A64" s="17" t="s">
        <v>59</v>
      </c>
      <c r="B64" s="16"/>
      <c r="C64" s="16"/>
      <c r="D64" s="16"/>
      <c r="E64" s="16"/>
      <c r="F64" s="16"/>
      <c r="G64" s="16"/>
      <c r="H64" s="16"/>
      <c r="I64" s="16"/>
      <c r="J64" s="16"/>
      <c r="K64" s="16">
        <v>0</v>
      </c>
      <c r="L64" s="16">
        <v>0</v>
      </c>
      <c r="M64" s="16">
        <v>0</v>
      </c>
      <c r="N64" s="18">
        <f t="shared" si="1"/>
        <v>0</v>
      </c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" x14ac:dyDescent="0.2">
      <c r="A65" s="17" t="s">
        <v>60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</v>
      </c>
      <c r="L65" s="16">
        <v>0</v>
      </c>
      <c r="M65" s="16">
        <v>0</v>
      </c>
      <c r="N65" s="18">
        <f t="shared" si="1"/>
        <v>0</v>
      </c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" x14ac:dyDescent="0.2">
      <c r="A66" s="17" t="s">
        <v>61</v>
      </c>
      <c r="B66" s="16"/>
      <c r="C66" s="16"/>
      <c r="D66" s="16"/>
      <c r="E66" s="16"/>
      <c r="F66" s="16"/>
      <c r="G66" s="16"/>
      <c r="H66" s="16"/>
      <c r="I66" s="16"/>
      <c r="J66" s="16"/>
      <c r="K66" s="16">
        <v>0</v>
      </c>
      <c r="L66" s="16">
        <v>0</v>
      </c>
      <c r="M66" s="16">
        <v>0</v>
      </c>
      <c r="N66" s="18">
        <f t="shared" si="1"/>
        <v>0</v>
      </c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" x14ac:dyDescent="0.2">
      <c r="A67" s="17" t="s">
        <v>62</v>
      </c>
      <c r="B67" s="16"/>
      <c r="C67" s="16"/>
      <c r="D67" s="16"/>
      <c r="E67" s="16"/>
      <c r="F67" s="16"/>
      <c r="G67" s="16"/>
      <c r="H67" s="16"/>
      <c r="I67" s="16"/>
      <c r="J67" s="16"/>
      <c r="K67" s="16">
        <v>0</v>
      </c>
      <c r="L67" s="16">
        <v>0</v>
      </c>
      <c r="M67" s="16">
        <v>0</v>
      </c>
      <c r="N67" s="18">
        <f t="shared" si="1"/>
        <v>0</v>
      </c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" x14ac:dyDescent="0.2">
      <c r="A68" s="17" t="s">
        <v>63</v>
      </c>
      <c r="B68" s="16"/>
      <c r="C68" s="16"/>
      <c r="D68" s="16"/>
      <c r="E68" s="16"/>
      <c r="F68" s="16"/>
      <c r="G68" s="16"/>
      <c r="H68" s="16"/>
      <c r="I68" s="16"/>
      <c r="J68" s="16"/>
      <c r="K68" s="16">
        <v>0</v>
      </c>
      <c r="L68" s="16">
        <v>0</v>
      </c>
      <c r="M68" s="16">
        <v>0</v>
      </c>
      <c r="N68" s="18">
        <f t="shared" si="1"/>
        <v>0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" x14ac:dyDescent="0.2">
      <c r="A69" s="17" t="s">
        <v>64</v>
      </c>
      <c r="B69" s="16"/>
      <c r="C69" s="16"/>
      <c r="D69" s="16"/>
      <c r="E69" s="16"/>
      <c r="F69" s="16"/>
      <c r="G69" s="16"/>
      <c r="H69" s="16"/>
      <c r="I69" s="16"/>
      <c r="J69" s="16"/>
      <c r="K69" s="16">
        <v>0</v>
      </c>
      <c r="L69" s="16">
        <v>0</v>
      </c>
      <c r="M69" s="16">
        <v>0</v>
      </c>
      <c r="N69" s="18">
        <f t="shared" si="1"/>
        <v>0</v>
      </c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" x14ac:dyDescent="0.2">
      <c r="A70" s="17" t="s">
        <v>65</v>
      </c>
      <c r="B70" s="16"/>
      <c r="C70" s="16"/>
      <c r="D70" s="16"/>
      <c r="E70" s="16"/>
      <c r="F70" s="16"/>
      <c r="G70" s="16"/>
      <c r="H70" s="16"/>
      <c r="I70" s="16"/>
      <c r="J70" s="16"/>
      <c r="K70" s="16">
        <v>0</v>
      </c>
      <c r="L70" s="16">
        <v>0</v>
      </c>
      <c r="M70" s="16">
        <v>0</v>
      </c>
      <c r="N70" s="18">
        <f t="shared" si="1"/>
        <v>0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" x14ac:dyDescent="0.2">
      <c r="A71" s="17" t="s">
        <v>66</v>
      </c>
      <c r="B71" s="16"/>
      <c r="C71" s="16"/>
      <c r="D71" s="16"/>
      <c r="E71" s="16"/>
      <c r="F71" s="16"/>
      <c r="G71" s="16"/>
      <c r="H71" s="16"/>
      <c r="I71" s="16"/>
      <c r="J71" s="16"/>
      <c r="K71" s="16">
        <v>0</v>
      </c>
      <c r="L71" s="16">
        <v>0</v>
      </c>
      <c r="M71" s="16">
        <v>0</v>
      </c>
      <c r="N71" s="18">
        <f t="shared" si="1"/>
        <v>0</v>
      </c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" x14ac:dyDescent="0.2">
      <c r="A72" s="17" t="s">
        <v>67</v>
      </c>
      <c r="B72" s="16"/>
      <c r="C72" s="16"/>
      <c r="D72" s="16"/>
      <c r="E72" s="16"/>
      <c r="F72" s="16"/>
      <c r="G72" s="16"/>
      <c r="H72" s="16"/>
      <c r="I72" s="16"/>
      <c r="J72" s="16"/>
      <c r="K72" s="16">
        <v>0</v>
      </c>
      <c r="L72" s="16">
        <v>0</v>
      </c>
      <c r="M72" s="16">
        <v>0</v>
      </c>
      <c r="N72" s="18">
        <f t="shared" ref="N72:N103" si="2">SUM(B72:M72)</f>
        <v>0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" x14ac:dyDescent="0.2">
      <c r="A73" s="17" t="s">
        <v>68</v>
      </c>
      <c r="B73" s="16"/>
      <c r="C73" s="16"/>
      <c r="D73" s="16"/>
      <c r="E73" s="16"/>
      <c r="F73" s="16"/>
      <c r="G73" s="16"/>
      <c r="H73" s="16"/>
      <c r="I73" s="16"/>
      <c r="J73" s="16"/>
      <c r="K73" s="16">
        <v>0</v>
      </c>
      <c r="L73" s="16">
        <v>0</v>
      </c>
      <c r="M73" s="16">
        <v>0</v>
      </c>
      <c r="N73" s="18">
        <f t="shared" si="2"/>
        <v>0</v>
      </c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" x14ac:dyDescent="0.2">
      <c r="A74" s="17" t="s">
        <v>69</v>
      </c>
      <c r="B74" s="16"/>
      <c r="C74" s="16"/>
      <c r="D74" s="16"/>
      <c r="E74" s="16"/>
      <c r="F74" s="16"/>
      <c r="G74" s="16"/>
      <c r="H74" s="16"/>
      <c r="I74" s="16"/>
      <c r="J74" s="16"/>
      <c r="K74" s="16">
        <v>0</v>
      </c>
      <c r="L74" s="16">
        <v>0</v>
      </c>
      <c r="M74" s="16">
        <v>0</v>
      </c>
      <c r="N74" s="18">
        <f t="shared" si="2"/>
        <v>0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" x14ac:dyDescent="0.2">
      <c r="A75" s="17" t="s">
        <v>70</v>
      </c>
      <c r="B75" s="16"/>
      <c r="C75" s="16"/>
      <c r="D75" s="16"/>
      <c r="E75" s="16"/>
      <c r="F75" s="16"/>
      <c r="G75" s="16"/>
      <c r="H75" s="16"/>
      <c r="I75" s="16"/>
      <c r="J75" s="16"/>
      <c r="K75" s="16">
        <v>0</v>
      </c>
      <c r="L75" s="16">
        <v>0</v>
      </c>
      <c r="M75" s="16">
        <v>0</v>
      </c>
      <c r="N75" s="18">
        <f t="shared" si="2"/>
        <v>0</v>
      </c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" x14ac:dyDescent="0.2">
      <c r="A76" s="17" t="s">
        <v>71</v>
      </c>
      <c r="B76" s="16"/>
      <c r="C76" s="16"/>
      <c r="D76" s="16"/>
      <c r="E76" s="16"/>
      <c r="F76" s="16"/>
      <c r="G76" s="16"/>
      <c r="H76" s="16"/>
      <c r="I76" s="16"/>
      <c r="J76" s="16"/>
      <c r="K76" s="16">
        <v>0</v>
      </c>
      <c r="L76" s="16">
        <v>0</v>
      </c>
      <c r="M76" s="16">
        <v>0</v>
      </c>
      <c r="N76" s="18">
        <f t="shared" si="2"/>
        <v>0</v>
      </c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" x14ac:dyDescent="0.2">
      <c r="A77" s="17" t="s">
        <v>72</v>
      </c>
      <c r="B77" s="16"/>
      <c r="C77" s="16"/>
      <c r="D77" s="16"/>
      <c r="E77" s="16"/>
      <c r="F77" s="16"/>
      <c r="G77" s="16"/>
      <c r="H77" s="16"/>
      <c r="I77" s="16"/>
      <c r="J77" s="16"/>
      <c r="K77" s="16">
        <v>0</v>
      </c>
      <c r="L77" s="16">
        <v>0</v>
      </c>
      <c r="M77" s="16">
        <v>0</v>
      </c>
      <c r="N77" s="18">
        <f t="shared" si="2"/>
        <v>0</v>
      </c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" x14ac:dyDescent="0.2">
      <c r="A78" s="17" t="s">
        <v>73</v>
      </c>
      <c r="B78" s="16"/>
      <c r="C78" s="16"/>
      <c r="D78" s="16"/>
      <c r="E78" s="16"/>
      <c r="F78" s="16"/>
      <c r="G78" s="16"/>
      <c r="H78" s="16"/>
      <c r="I78" s="16"/>
      <c r="J78" s="16"/>
      <c r="K78" s="16">
        <v>0</v>
      </c>
      <c r="L78" s="16">
        <v>0</v>
      </c>
      <c r="M78" s="16">
        <v>0</v>
      </c>
      <c r="N78" s="18">
        <f t="shared" si="2"/>
        <v>0</v>
      </c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" x14ac:dyDescent="0.2">
      <c r="A79" s="17" t="s">
        <v>74</v>
      </c>
      <c r="B79" s="16"/>
      <c r="C79" s="16"/>
      <c r="D79" s="16"/>
      <c r="E79" s="16"/>
      <c r="F79" s="16"/>
      <c r="G79" s="16"/>
      <c r="H79" s="16"/>
      <c r="I79" s="16"/>
      <c r="J79" s="16"/>
      <c r="K79" s="16">
        <v>0</v>
      </c>
      <c r="L79" s="16">
        <v>0</v>
      </c>
      <c r="M79" s="16">
        <v>0</v>
      </c>
      <c r="N79" s="18">
        <f t="shared" si="2"/>
        <v>0</v>
      </c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" x14ac:dyDescent="0.2">
      <c r="A80" s="17" t="s">
        <v>75</v>
      </c>
      <c r="B80" s="16"/>
      <c r="C80" s="16"/>
      <c r="D80" s="16"/>
      <c r="E80" s="16"/>
      <c r="F80" s="16"/>
      <c r="G80" s="16"/>
      <c r="H80" s="16"/>
      <c r="I80" s="16"/>
      <c r="J80" s="16"/>
      <c r="K80" s="16">
        <v>0</v>
      </c>
      <c r="L80" s="16">
        <v>0</v>
      </c>
      <c r="M80" s="16">
        <v>0</v>
      </c>
      <c r="N80" s="18">
        <f t="shared" si="2"/>
        <v>0</v>
      </c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" x14ac:dyDescent="0.2">
      <c r="A81" s="17" t="s">
        <v>76</v>
      </c>
      <c r="B81" s="16"/>
      <c r="C81" s="16"/>
      <c r="D81" s="16"/>
      <c r="E81" s="16"/>
      <c r="F81" s="16"/>
      <c r="G81" s="16"/>
      <c r="H81" s="16"/>
      <c r="I81" s="16"/>
      <c r="J81" s="16"/>
      <c r="K81" s="16">
        <v>0</v>
      </c>
      <c r="L81" s="16">
        <v>0</v>
      </c>
      <c r="M81" s="16">
        <v>0</v>
      </c>
      <c r="N81" s="18">
        <f t="shared" si="2"/>
        <v>0</v>
      </c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" x14ac:dyDescent="0.2">
      <c r="A82" s="17" t="s">
        <v>77</v>
      </c>
      <c r="B82" s="16"/>
      <c r="C82" s="16"/>
      <c r="D82" s="16"/>
      <c r="E82" s="16"/>
      <c r="F82" s="16"/>
      <c r="G82" s="16"/>
      <c r="H82" s="16"/>
      <c r="I82" s="16"/>
      <c r="J82" s="16"/>
      <c r="K82" s="16">
        <v>0</v>
      </c>
      <c r="L82" s="16">
        <v>0</v>
      </c>
      <c r="M82" s="16">
        <v>0</v>
      </c>
      <c r="N82" s="18">
        <f t="shared" si="2"/>
        <v>0</v>
      </c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" x14ac:dyDescent="0.2">
      <c r="A83" s="17" t="s">
        <v>78</v>
      </c>
      <c r="B83" s="16"/>
      <c r="C83" s="16"/>
      <c r="D83" s="16"/>
      <c r="E83" s="16"/>
      <c r="F83" s="16"/>
      <c r="G83" s="16"/>
      <c r="H83" s="16"/>
      <c r="I83" s="16"/>
      <c r="J83" s="16"/>
      <c r="K83" s="16">
        <v>0</v>
      </c>
      <c r="L83" s="16">
        <v>0</v>
      </c>
      <c r="M83" s="16">
        <v>0</v>
      </c>
      <c r="N83" s="18">
        <f t="shared" si="2"/>
        <v>0</v>
      </c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" x14ac:dyDescent="0.2">
      <c r="A84" s="17" t="s">
        <v>79</v>
      </c>
      <c r="B84" s="16"/>
      <c r="C84" s="16"/>
      <c r="D84" s="16"/>
      <c r="E84" s="16"/>
      <c r="F84" s="16"/>
      <c r="G84" s="16"/>
      <c r="H84" s="16"/>
      <c r="I84" s="16"/>
      <c r="J84" s="16"/>
      <c r="K84" s="16">
        <v>0</v>
      </c>
      <c r="L84" s="16">
        <v>0</v>
      </c>
      <c r="M84" s="16">
        <v>0</v>
      </c>
      <c r="N84" s="18">
        <f t="shared" si="2"/>
        <v>0</v>
      </c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" x14ac:dyDescent="0.2">
      <c r="A85" s="17" t="s">
        <v>80</v>
      </c>
      <c r="B85" s="16"/>
      <c r="C85" s="16"/>
      <c r="D85" s="16"/>
      <c r="E85" s="16"/>
      <c r="F85" s="16"/>
      <c r="G85" s="16"/>
      <c r="H85" s="16"/>
      <c r="I85" s="16"/>
      <c r="J85" s="16"/>
      <c r="K85" s="16">
        <v>0</v>
      </c>
      <c r="L85" s="16">
        <v>0</v>
      </c>
      <c r="M85" s="16">
        <v>0</v>
      </c>
      <c r="N85" s="18">
        <f t="shared" si="2"/>
        <v>0</v>
      </c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" x14ac:dyDescent="0.2">
      <c r="A86" s="17" t="s">
        <v>81</v>
      </c>
      <c r="B86" s="16"/>
      <c r="C86" s="16"/>
      <c r="D86" s="16"/>
      <c r="E86" s="16"/>
      <c r="F86" s="16"/>
      <c r="G86" s="16"/>
      <c r="H86" s="16"/>
      <c r="I86" s="16"/>
      <c r="J86" s="16"/>
      <c r="K86" s="16">
        <v>0</v>
      </c>
      <c r="L86" s="16">
        <v>0</v>
      </c>
      <c r="M86" s="16">
        <v>0</v>
      </c>
      <c r="N86" s="18">
        <f t="shared" si="2"/>
        <v>0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" x14ac:dyDescent="0.2">
      <c r="A87" s="17" t="s">
        <v>82</v>
      </c>
      <c r="B87" s="16"/>
      <c r="C87" s="16"/>
      <c r="D87" s="16"/>
      <c r="E87" s="16"/>
      <c r="F87" s="16"/>
      <c r="G87" s="16"/>
      <c r="H87" s="16"/>
      <c r="I87" s="16"/>
      <c r="J87" s="16"/>
      <c r="K87" s="16">
        <v>0</v>
      </c>
      <c r="L87" s="16">
        <v>0</v>
      </c>
      <c r="M87" s="16">
        <v>0</v>
      </c>
      <c r="N87" s="18">
        <f t="shared" si="2"/>
        <v>0</v>
      </c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" x14ac:dyDescent="0.2">
      <c r="A88" s="17" t="s">
        <v>83</v>
      </c>
      <c r="B88" s="16"/>
      <c r="C88" s="16"/>
      <c r="D88" s="16"/>
      <c r="E88" s="16"/>
      <c r="F88" s="16"/>
      <c r="G88" s="16"/>
      <c r="H88" s="16"/>
      <c r="I88" s="16"/>
      <c r="J88" s="16"/>
      <c r="K88" s="16">
        <v>0</v>
      </c>
      <c r="L88" s="16">
        <v>0</v>
      </c>
      <c r="M88" s="16">
        <v>0</v>
      </c>
      <c r="N88" s="18">
        <f t="shared" si="2"/>
        <v>0</v>
      </c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" x14ac:dyDescent="0.2">
      <c r="A89" s="17" t="s">
        <v>84</v>
      </c>
      <c r="B89" s="16"/>
      <c r="C89" s="16"/>
      <c r="D89" s="16"/>
      <c r="E89" s="16"/>
      <c r="F89" s="16"/>
      <c r="G89" s="16"/>
      <c r="H89" s="16"/>
      <c r="I89" s="16"/>
      <c r="J89" s="16"/>
      <c r="K89" s="16">
        <v>0</v>
      </c>
      <c r="L89" s="16">
        <v>0</v>
      </c>
      <c r="M89" s="16">
        <v>0</v>
      </c>
      <c r="N89" s="18">
        <f t="shared" si="2"/>
        <v>0</v>
      </c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" x14ac:dyDescent="0.2">
      <c r="A90" s="17" t="s">
        <v>85</v>
      </c>
      <c r="B90" s="16"/>
      <c r="C90" s="16"/>
      <c r="D90" s="16"/>
      <c r="E90" s="16"/>
      <c r="F90" s="16"/>
      <c r="G90" s="16"/>
      <c r="H90" s="16"/>
      <c r="I90" s="16"/>
      <c r="J90" s="16"/>
      <c r="K90" s="16">
        <v>0</v>
      </c>
      <c r="L90" s="16">
        <v>0</v>
      </c>
      <c r="M90" s="16">
        <v>0</v>
      </c>
      <c r="N90" s="18">
        <f t="shared" si="2"/>
        <v>0</v>
      </c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" x14ac:dyDescent="0.2">
      <c r="A91" s="17" t="s">
        <v>86</v>
      </c>
      <c r="B91" s="16"/>
      <c r="C91" s="16"/>
      <c r="D91" s="16"/>
      <c r="E91" s="16"/>
      <c r="F91" s="16"/>
      <c r="G91" s="16"/>
      <c r="H91" s="16"/>
      <c r="I91" s="16"/>
      <c r="J91" s="16"/>
      <c r="K91" s="16">
        <v>0</v>
      </c>
      <c r="L91" s="16">
        <v>0</v>
      </c>
      <c r="M91" s="16">
        <v>0</v>
      </c>
      <c r="N91" s="18">
        <f t="shared" si="2"/>
        <v>0</v>
      </c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" x14ac:dyDescent="0.2">
      <c r="A92" s="17" t="s">
        <v>87</v>
      </c>
      <c r="B92" s="16"/>
      <c r="C92" s="16"/>
      <c r="D92" s="16"/>
      <c r="E92" s="16"/>
      <c r="F92" s="16"/>
      <c r="G92" s="16"/>
      <c r="H92" s="16"/>
      <c r="I92" s="16"/>
      <c r="J92" s="16"/>
      <c r="K92" s="16">
        <v>0</v>
      </c>
      <c r="L92" s="16">
        <v>0</v>
      </c>
      <c r="M92" s="16">
        <v>0</v>
      </c>
      <c r="N92" s="18">
        <f t="shared" si="2"/>
        <v>0</v>
      </c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" x14ac:dyDescent="0.2">
      <c r="A93" s="17" t="s">
        <v>88</v>
      </c>
      <c r="B93" s="16"/>
      <c r="C93" s="16"/>
      <c r="D93" s="16"/>
      <c r="E93" s="16"/>
      <c r="F93" s="16"/>
      <c r="G93" s="16"/>
      <c r="H93" s="16"/>
      <c r="I93" s="16"/>
      <c r="J93" s="16"/>
      <c r="K93" s="16">
        <v>0</v>
      </c>
      <c r="L93" s="16">
        <v>0</v>
      </c>
      <c r="M93" s="16">
        <v>0</v>
      </c>
      <c r="N93" s="18">
        <f t="shared" si="2"/>
        <v>0</v>
      </c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" x14ac:dyDescent="0.2">
      <c r="A94" s="17" t="s">
        <v>89</v>
      </c>
      <c r="B94" s="16"/>
      <c r="C94" s="16"/>
      <c r="D94" s="16"/>
      <c r="E94" s="16"/>
      <c r="F94" s="16"/>
      <c r="G94" s="16"/>
      <c r="H94" s="16"/>
      <c r="I94" s="16"/>
      <c r="J94" s="16"/>
      <c r="K94" s="16">
        <v>0</v>
      </c>
      <c r="L94" s="16">
        <v>0</v>
      </c>
      <c r="M94" s="16">
        <v>0</v>
      </c>
      <c r="N94" s="18">
        <f t="shared" si="2"/>
        <v>0</v>
      </c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" x14ac:dyDescent="0.2">
      <c r="A95" s="17" t="s">
        <v>90</v>
      </c>
      <c r="B95" s="16"/>
      <c r="C95" s="16"/>
      <c r="D95" s="16"/>
      <c r="E95" s="16"/>
      <c r="F95" s="16"/>
      <c r="G95" s="16"/>
      <c r="H95" s="16"/>
      <c r="I95" s="16"/>
      <c r="J95" s="16"/>
      <c r="K95" s="16">
        <v>0</v>
      </c>
      <c r="L95" s="16">
        <v>0</v>
      </c>
      <c r="M95" s="16">
        <v>0</v>
      </c>
      <c r="N95" s="18">
        <f t="shared" si="2"/>
        <v>0</v>
      </c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" x14ac:dyDescent="0.2">
      <c r="A96" s="17" t="s">
        <v>91</v>
      </c>
      <c r="B96" s="16"/>
      <c r="C96" s="16"/>
      <c r="D96" s="16"/>
      <c r="E96" s="16"/>
      <c r="F96" s="16"/>
      <c r="G96" s="16"/>
      <c r="H96" s="16"/>
      <c r="I96" s="16"/>
      <c r="J96" s="16"/>
      <c r="K96" s="16">
        <v>0</v>
      </c>
      <c r="L96" s="16">
        <v>0</v>
      </c>
      <c r="M96" s="16">
        <v>0</v>
      </c>
      <c r="N96" s="18">
        <f t="shared" si="2"/>
        <v>0</v>
      </c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" x14ac:dyDescent="0.2">
      <c r="A97" s="17" t="s">
        <v>92</v>
      </c>
      <c r="B97" s="16"/>
      <c r="C97" s="16"/>
      <c r="D97" s="16"/>
      <c r="E97" s="16"/>
      <c r="F97" s="16"/>
      <c r="G97" s="16"/>
      <c r="H97" s="16"/>
      <c r="I97" s="16"/>
      <c r="J97" s="16"/>
      <c r="K97" s="16">
        <v>0</v>
      </c>
      <c r="L97" s="16">
        <v>0</v>
      </c>
      <c r="M97" s="16">
        <v>0</v>
      </c>
      <c r="N97" s="18">
        <f t="shared" si="2"/>
        <v>0</v>
      </c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" x14ac:dyDescent="0.2">
      <c r="A98" s="17" t="s">
        <v>93</v>
      </c>
      <c r="B98" s="16"/>
      <c r="C98" s="16"/>
      <c r="D98" s="16"/>
      <c r="E98" s="16"/>
      <c r="F98" s="16"/>
      <c r="G98" s="16"/>
      <c r="H98" s="16"/>
      <c r="I98" s="16"/>
      <c r="J98" s="16"/>
      <c r="K98" s="16">
        <v>0</v>
      </c>
      <c r="L98" s="16">
        <v>0</v>
      </c>
      <c r="M98" s="16">
        <v>0</v>
      </c>
      <c r="N98" s="18">
        <f t="shared" si="2"/>
        <v>0</v>
      </c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" x14ac:dyDescent="0.2">
      <c r="A99" s="17" t="s">
        <v>94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</v>
      </c>
      <c r="L99" s="16">
        <v>0</v>
      </c>
      <c r="M99" s="16">
        <v>0</v>
      </c>
      <c r="N99" s="18">
        <f t="shared" si="2"/>
        <v>0</v>
      </c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" x14ac:dyDescent="0.2">
      <c r="A100" s="17" t="s">
        <v>95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>
        <v>0</v>
      </c>
      <c r="L100" s="16">
        <v>0</v>
      </c>
      <c r="M100" s="16">
        <v>0</v>
      </c>
      <c r="N100" s="18">
        <f t="shared" si="2"/>
        <v>0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" x14ac:dyDescent="0.2">
      <c r="A101" s="17" t="s">
        <v>96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>
        <v>0</v>
      </c>
      <c r="L101" s="16">
        <v>0</v>
      </c>
      <c r="M101" s="16">
        <v>0</v>
      </c>
      <c r="N101" s="18">
        <f t="shared" si="2"/>
        <v>0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" x14ac:dyDescent="0.2">
      <c r="A102" s="17" t="s">
        <v>97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>
        <v>0</v>
      </c>
      <c r="L102" s="16">
        <v>0</v>
      </c>
      <c r="M102" s="16">
        <v>0</v>
      </c>
      <c r="N102" s="18">
        <f t="shared" si="2"/>
        <v>0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" x14ac:dyDescent="0.2">
      <c r="A103" s="17" t="s">
        <v>98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>
        <v>0</v>
      </c>
      <c r="L103" s="16">
        <v>0</v>
      </c>
      <c r="M103" s="16">
        <v>0</v>
      </c>
      <c r="N103" s="18">
        <f t="shared" si="2"/>
        <v>0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" x14ac:dyDescent="0.2">
      <c r="A104" s="17" t="s">
        <v>99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>
        <v>0</v>
      </c>
      <c r="L104" s="16">
        <v>0</v>
      </c>
      <c r="M104" s="16">
        <v>0</v>
      </c>
      <c r="N104" s="18">
        <f t="shared" ref="N104:N135" si="3">SUM(B104:M104)</f>
        <v>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" x14ac:dyDescent="0.2">
      <c r="A105" s="17" t="s">
        <v>100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>
        <v>0</v>
      </c>
      <c r="L105" s="16">
        <v>0</v>
      </c>
      <c r="M105" s="16">
        <v>0</v>
      </c>
      <c r="N105" s="18">
        <f t="shared" si="3"/>
        <v>0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" x14ac:dyDescent="0.2">
      <c r="A106" s="17" t="s">
        <v>101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>
        <v>0</v>
      </c>
      <c r="L106" s="16">
        <v>0</v>
      </c>
      <c r="M106" s="16">
        <v>0</v>
      </c>
      <c r="N106" s="18">
        <f t="shared" si="3"/>
        <v>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" x14ac:dyDescent="0.2">
      <c r="A107" s="17" t="s">
        <v>102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>
        <v>0</v>
      </c>
      <c r="L107" s="16">
        <v>0</v>
      </c>
      <c r="M107" s="16">
        <v>0</v>
      </c>
      <c r="N107" s="18">
        <f t="shared" si="3"/>
        <v>0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" x14ac:dyDescent="0.2">
      <c r="A108" s="17" t="s">
        <v>103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>
        <v>0</v>
      </c>
      <c r="L108" s="16">
        <v>0</v>
      </c>
      <c r="M108" s="16">
        <v>0</v>
      </c>
      <c r="N108" s="18">
        <f t="shared" si="3"/>
        <v>0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" x14ac:dyDescent="0.2">
      <c r="A109" s="17" t="s">
        <v>104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>
        <v>0</v>
      </c>
      <c r="L109" s="16">
        <v>0</v>
      </c>
      <c r="M109" s="16">
        <v>0</v>
      </c>
      <c r="N109" s="18">
        <f t="shared" si="3"/>
        <v>0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" x14ac:dyDescent="0.2">
      <c r="A110" s="17" t="s">
        <v>105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>
        <v>0</v>
      </c>
      <c r="L110" s="16">
        <v>0</v>
      </c>
      <c r="M110" s="16">
        <v>0</v>
      </c>
      <c r="N110" s="18">
        <f t="shared" si="3"/>
        <v>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" x14ac:dyDescent="0.2">
      <c r="A111" s="17" t="s">
        <v>106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>
        <v>0</v>
      </c>
      <c r="L111" s="16">
        <v>0</v>
      </c>
      <c r="M111" s="16">
        <v>0</v>
      </c>
      <c r="N111" s="18">
        <f t="shared" si="3"/>
        <v>0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" x14ac:dyDescent="0.2">
      <c r="A112" s="17" t="s">
        <v>107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>
        <v>0</v>
      </c>
      <c r="L112" s="16">
        <v>0</v>
      </c>
      <c r="M112" s="16">
        <v>0</v>
      </c>
      <c r="N112" s="18">
        <f t="shared" si="3"/>
        <v>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" x14ac:dyDescent="0.2">
      <c r="A113" s="17" t="s">
        <v>108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>
        <v>0</v>
      </c>
      <c r="L113" s="16">
        <v>0</v>
      </c>
      <c r="M113" s="16">
        <v>0</v>
      </c>
      <c r="N113" s="18">
        <f t="shared" si="3"/>
        <v>0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" x14ac:dyDescent="0.2">
      <c r="A114" s="17" t="s">
        <v>109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>
        <v>0</v>
      </c>
      <c r="L114" s="16">
        <v>0</v>
      </c>
      <c r="M114" s="16">
        <v>0</v>
      </c>
      <c r="N114" s="18">
        <f t="shared" si="3"/>
        <v>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" x14ac:dyDescent="0.2">
      <c r="A115" s="17" t="s">
        <v>110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>
        <v>0</v>
      </c>
      <c r="L115" s="16">
        <v>0</v>
      </c>
      <c r="M115" s="16">
        <v>0</v>
      </c>
      <c r="N115" s="18">
        <f t="shared" si="3"/>
        <v>0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" x14ac:dyDescent="0.2">
      <c r="A116" s="17" t="s">
        <v>111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>
        <v>0</v>
      </c>
      <c r="L116" s="16">
        <v>0</v>
      </c>
      <c r="M116" s="16">
        <v>0</v>
      </c>
      <c r="N116" s="18">
        <f t="shared" si="3"/>
        <v>0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" x14ac:dyDescent="0.2">
      <c r="A117" s="17" t="s">
        <v>112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>
        <v>0</v>
      </c>
      <c r="L117" s="16">
        <v>0</v>
      </c>
      <c r="M117" s="16">
        <v>0</v>
      </c>
      <c r="N117" s="18">
        <f t="shared" si="3"/>
        <v>0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" x14ac:dyDescent="0.2">
      <c r="A118" s="17" t="s">
        <v>113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>
        <v>0</v>
      </c>
      <c r="L118" s="16">
        <v>0</v>
      </c>
      <c r="M118" s="16">
        <v>0</v>
      </c>
      <c r="N118" s="18">
        <f t="shared" si="3"/>
        <v>0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" x14ac:dyDescent="0.2">
      <c r="A119" s="17" t="s">
        <v>114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>
        <v>0</v>
      </c>
      <c r="L119" s="16">
        <v>0</v>
      </c>
      <c r="M119" s="16">
        <v>0</v>
      </c>
      <c r="N119" s="18">
        <f t="shared" si="3"/>
        <v>0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" x14ac:dyDescent="0.2">
      <c r="A120" s="17" t="s">
        <v>115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>
        <v>0</v>
      </c>
      <c r="L120" s="16">
        <v>0</v>
      </c>
      <c r="M120" s="16">
        <v>0</v>
      </c>
      <c r="N120" s="18">
        <f t="shared" si="3"/>
        <v>0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" x14ac:dyDescent="0.2">
      <c r="A121" s="17" t="s">
        <v>116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>
        <v>0</v>
      </c>
      <c r="L121" s="16">
        <v>0</v>
      </c>
      <c r="M121" s="16">
        <v>0</v>
      </c>
      <c r="N121" s="18">
        <f t="shared" si="3"/>
        <v>0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" x14ac:dyDescent="0.2">
      <c r="A122" s="17" t="s">
        <v>117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>
        <v>0</v>
      </c>
      <c r="L122" s="16">
        <v>0</v>
      </c>
      <c r="M122" s="16">
        <v>0</v>
      </c>
      <c r="N122" s="18">
        <f t="shared" si="3"/>
        <v>0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" x14ac:dyDescent="0.2">
      <c r="A123" s="17" t="s">
        <v>118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>
        <v>0</v>
      </c>
      <c r="L123" s="16">
        <v>0</v>
      </c>
      <c r="M123" s="16">
        <v>0</v>
      </c>
      <c r="N123" s="18">
        <f t="shared" si="3"/>
        <v>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" x14ac:dyDescent="0.2">
      <c r="A124" s="17" t="s">
        <v>119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>
        <v>0</v>
      </c>
      <c r="L124" s="16">
        <v>0</v>
      </c>
      <c r="M124" s="16">
        <v>0</v>
      </c>
      <c r="N124" s="18">
        <f t="shared" si="3"/>
        <v>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" x14ac:dyDescent="0.2">
      <c r="A125" s="17" t="s">
        <v>120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>
        <v>0</v>
      </c>
      <c r="L125" s="16">
        <v>0</v>
      </c>
      <c r="M125" s="16">
        <v>0</v>
      </c>
      <c r="N125" s="18">
        <f t="shared" si="3"/>
        <v>0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" x14ac:dyDescent="0.2">
      <c r="A126" s="17" t="s">
        <v>121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>
        <v>0</v>
      </c>
      <c r="L126" s="16">
        <v>0</v>
      </c>
      <c r="M126" s="16">
        <v>0</v>
      </c>
      <c r="N126" s="18">
        <f t="shared" si="3"/>
        <v>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" x14ac:dyDescent="0.2">
      <c r="A127" s="17" t="s">
        <v>122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>
        <v>0</v>
      </c>
      <c r="L127" s="16">
        <v>0</v>
      </c>
      <c r="M127" s="16">
        <v>0</v>
      </c>
      <c r="N127" s="18">
        <f t="shared" si="3"/>
        <v>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" x14ac:dyDescent="0.2">
      <c r="A128" s="17" t="s">
        <v>123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>
        <v>0</v>
      </c>
      <c r="L128" s="16">
        <v>0</v>
      </c>
      <c r="M128" s="16">
        <v>0</v>
      </c>
      <c r="N128" s="18">
        <f t="shared" si="3"/>
        <v>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" x14ac:dyDescent="0.2">
      <c r="A129" s="17" t="s">
        <v>124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>
        <v>0</v>
      </c>
      <c r="L129" s="16">
        <v>0</v>
      </c>
      <c r="M129" s="16">
        <v>0</v>
      </c>
      <c r="N129" s="18">
        <f t="shared" si="3"/>
        <v>0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" x14ac:dyDescent="0.2">
      <c r="A130" s="17" t="s">
        <v>125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>
        <v>0</v>
      </c>
      <c r="L130" s="16">
        <v>0</v>
      </c>
      <c r="M130" s="16">
        <v>0</v>
      </c>
      <c r="N130" s="18">
        <f t="shared" si="3"/>
        <v>0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" x14ac:dyDescent="0.2">
      <c r="A131" s="17" t="s">
        <v>126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>
        <v>0</v>
      </c>
      <c r="L131" s="16">
        <v>0</v>
      </c>
      <c r="M131" s="16">
        <v>0</v>
      </c>
      <c r="N131" s="18">
        <f t="shared" si="3"/>
        <v>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" x14ac:dyDescent="0.2">
      <c r="A132" s="17" t="s">
        <v>127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>
        <v>0</v>
      </c>
      <c r="L132" s="16">
        <v>0</v>
      </c>
      <c r="M132" s="16">
        <v>0</v>
      </c>
      <c r="N132" s="18">
        <f t="shared" si="3"/>
        <v>0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" x14ac:dyDescent="0.2">
      <c r="A133" s="17" t="s">
        <v>128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>
        <v>0</v>
      </c>
      <c r="L133" s="16">
        <v>0</v>
      </c>
      <c r="M133" s="16">
        <v>0</v>
      </c>
      <c r="N133" s="18">
        <f t="shared" si="3"/>
        <v>0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" x14ac:dyDescent="0.2">
      <c r="A134" s="17" t="s">
        <v>129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>
        <v>0</v>
      </c>
      <c r="L134" s="16">
        <v>0</v>
      </c>
      <c r="M134" s="16">
        <v>0</v>
      </c>
      <c r="N134" s="18">
        <f t="shared" si="3"/>
        <v>0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" x14ac:dyDescent="0.2">
      <c r="A135" s="17" t="s">
        <v>130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>
        <v>0</v>
      </c>
      <c r="L135" s="16">
        <v>0</v>
      </c>
      <c r="M135" s="16">
        <v>0</v>
      </c>
      <c r="N135" s="18">
        <f t="shared" si="3"/>
        <v>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" x14ac:dyDescent="0.2">
      <c r="A136" s="17" t="s">
        <v>131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>
        <v>0</v>
      </c>
      <c r="L136" s="16">
        <v>0</v>
      </c>
      <c r="M136" s="16">
        <v>0</v>
      </c>
      <c r="N136" s="18">
        <f t="shared" ref="N136:N142" si="4">SUM(B136:M136)</f>
        <v>0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" x14ac:dyDescent="0.2">
      <c r="A137" s="17" t="s">
        <v>132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>
        <v>0</v>
      </c>
      <c r="L137" s="16">
        <v>0</v>
      </c>
      <c r="M137" s="16">
        <v>0</v>
      </c>
      <c r="N137" s="18">
        <f t="shared" si="4"/>
        <v>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" x14ac:dyDescent="0.2">
      <c r="A138" s="17" t="s">
        <v>133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>
        <v>0</v>
      </c>
      <c r="L138" s="16">
        <v>0</v>
      </c>
      <c r="M138" s="16">
        <v>0</v>
      </c>
      <c r="N138" s="18">
        <f t="shared" si="4"/>
        <v>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" x14ac:dyDescent="0.2">
      <c r="A139" s="17" t="s">
        <v>134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>
        <v>0</v>
      </c>
      <c r="L139" s="16">
        <v>0</v>
      </c>
      <c r="M139" s="16">
        <v>0</v>
      </c>
      <c r="N139" s="18">
        <f t="shared" si="4"/>
        <v>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" x14ac:dyDescent="0.2">
      <c r="A140" s="17" t="s">
        <v>135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>
        <v>0</v>
      </c>
      <c r="L140" s="16">
        <v>0</v>
      </c>
      <c r="M140" s="16">
        <v>0</v>
      </c>
      <c r="N140" s="18">
        <f t="shared" si="4"/>
        <v>0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" x14ac:dyDescent="0.2">
      <c r="A141" s="17" t="s">
        <v>136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>
        <v>0</v>
      </c>
      <c r="L141" s="16">
        <v>0</v>
      </c>
      <c r="M141" s="16">
        <v>0</v>
      </c>
      <c r="N141" s="18">
        <f t="shared" si="4"/>
        <v>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" x14ac:dyDescent="0.2">
      <c r="A142" s="17" t="s">
        <v>137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>
        <v>0</v>
      </c>
      <c r="L142" s="16">
        <v>0</v>
      </c>
      <c r="M142" s="16">
        <v>0</v>
      </c>
      <c r="N142" s="18">
        <f t="shared" si="4"/>
        <v>0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4.75" customHeight="1" x14ac:dyDescent="0.2">
      <c r="A143" s="22" t="s">
        <v>138</v>
      </c>
      <c r="B143" s="23">
        <f t="shared" ref="B143:I143" si="5">SUM(B8:B142)</f>
        <v>0</v>
      </c>
      <c r="C143" s="23">
        <f t="shared" si="5"/>
        <v>0</v>
      </c>
      <c r="D143" s="23">
        <f t="shared" si="5"/>
        <v>0</v>
      </c>
      <c r="E143" s="23">
        <f t="shared" si="5"/>
        <v>0</v>
      </c>
      <c r="F143" s="23">
        <f t="shared" si="5"/>
        <v>0</v>
      </c>
      <c r="G143" s="23">
        <f t="shared" si="5"/>
        <v>0</v>
      </c>
      <c r="H143" s="23">
        <f t="shared" si="5"/>
        <v>0</v>
      </c>
      <c r="I143" s="23">
        <f t="shared" si="5"/>
        <v>0</v>
      </c>
      <c r="J143" s="23">
        <f t="shared" ref="J143:N143" si="6">SUM(J8:J142)</f>
        <v>0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44AEAC"/>
  </sheetPr>
  <dimension ref="A1:X275"/>
  <sheetViews>
    <sheetView showGridLines="0" zoomScale="80" zoomScaleNormal="80" workbookViewId="0"/>
  </sheetViews>
  <sheetFormatPr baseColWidth="10" defaultColWidth="12" defaultRowHeight="14.25" x14ac:dyDescent="0.2"/>
  <cols>
    <col min="1" max="1" width="41.83203125" style="11" customWidth="1"/>
    <col min="2" max="2" width="24.66406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4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4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4" ht="17.25" customHeight="1" x14ac:dyDescent="0.25">
      <c r="A4" s="21" t="s">
        <v>159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4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4" ht="18.75" customHeight="1" x14ac:dyDescent="0.2">
      <c r="A6" s="33" t="s">
        <v>2</v>
      </c>
      <c r="B6" s="34" t="s">
        <v>160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4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19" t="s">
        <v>148</v>
      </c>
      <c r="M7" s="19" t="s">
        <v>142</v>
      </c>
      <c r="N7" s="20" t="s">
        <v>140</v>
      </c>
    </row>
    <row r="8" spans="1:24" ht="18" customHeight="1" x14ac:dyDescent="0.2">
      <c r="A8" s="17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>
        <v>0</v>
      </c>
      <c r="L8" s="16">
        <v>0</v>
      </c>
      <c r="M8" s="16">
        <v>0</v>
      </c>
      <c r="N8" s="18">
        <f t="shared" ref="N8:N39" si="0">SUM(B8:M8)</f>
        <v>0</v>
      </c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8" customHeight="1" x14ac:dyDescent="0.2">
      <c r="A9" s="17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>
        <v>0</v>
      </c>
      <c r="L9" s="16">
        <v>0</v>
      </c>
      <c r="M9" s="16">
        <v>0</v>
      </c>
      <c r="N9" s="18">
        <f t="shared" si="0"/>
        <v>0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8" customHeight="1" x14ac:dyDescent="0.2">
      <c r="A10" s="17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>
        <v>0</v>
      </c>
      <c r="L10" s="16">
        <v>0</v>
      </c>
      <c r="M10" s="16">
        <v>0</v>
      </c>
      <c r="N10" s="18">
        <f t="shared" si="0"/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8" customHeight="1" x14ac:dyDescent="0.2">
      <c r="A11" s="17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>
        <v>0</v>
      </c>
      <c r="L11" s="16">
        <v>0</v>
      </c>
      <c r="M11" s="16">
        <v>0</v>
      </c>
      <c r="N11" s="18">
        <f t="shared" si="0"/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8" customHeight="1" x14ac:dyDescent="0.2">
      <c r="A12" s="17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>
        <v>0</v>
      </c>
      <c r="L12" s="16">
        <v>0</v>
      </c>
      <c r="M12" s="16">
        <v>0</v>
      </c>
      <c r="N12" s="18">
        <f t="shared" si="0"/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8" customHeight="1" x14ac:dyDescent="0.2">
      <c r="A13" s="17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>
        <v>0</v>
      </c>
      <c r="L13" s="16">
        <v>0</v>
      </c>
      <c r="M13" s="16">
        <v>0</v>
      </c>
      <c r="N13" s="18">
        <f t="shared" si="0"/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8" customHeight="1" x14ac:dyDescent="0.2">
      <c r="A14" s="17" t="s">
        <v>9</v>
      </c>
      <c r="B14" s="16"/>
      <c r="C14" s="16"/>
      <c r="D14" s="16"/>
      <c r="E14" s="16"/>
      <c r="F14" s="16"/>
      <c r="G14" s="16"/>
      <c r="H14" s="16"/>
      <c r="I14" s="16"/>
      <c r="J14" s="16"/>
      <c r="K14" s="16">
        <v>0</v>
      </c>
      <c r="L14" s="16">
        <v>0</v>
      </c>
      <c r="M14" s="16">
        <v>0</v>
      </c>
      <c r="N14" s="18">
        <f t="shared" si="0"/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8" customHeight="1" x14ac:dyDescent="0.2">
      <c r="A15" s="17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>
        <v>0</v>
      </c>
      <c r="L15" s="16">
        <v>0</v>
      </c>
      <c r="M15" s="16">
        <v>0</v>
      </c>
      <c r="N15" s="18">
        <f t="shared" si="0"/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8" customHeight="1" x14ac:dyDescent="0.2">
      <c r="A16" s="17" t="s">
        <v>11</v>
      </c>
      <c r="B16" s="16"/>
      <c r="C16" s="16"/>
      <c r="D16" s="16"/>
      <c r="E16" s="16"/>
      <c r="F16" s="16"/>
      <c r="G16" s="16"/>
      <c r="H16" s="16"/>
      <c r="I16" s="16"/>
      <c r="J16" s="16"/>
      <c r="K16" s="16">
        <v>0</v>
      </c>
      <c r="L16" s="16">
        <v>0</v>
      </c>
      <c r="M16" s="16">
        <v>0</v>
      </c>
      <c r="N16" s="18">
        <f t="shared" si="0"/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" x14ac:dyDescent="0.2">
      <c r="A17" s="17" t="s">
        <v>12</v>
      </c>
      <c r="B17" s="16"/>
      <c r="C17" s="16"/>
      <c r="D17" s="16"/>
      <c r="E17" s="16"/>
      <c r="F17" s="16"/>
      <c r="G17" s="16"/>
      <c r="H17" s="16"/>
      <c r="I17" s="16"/>
      <c r="J17" s="16"/>
      <c r="K17" s="16">
        <v>0</v>
      </c>
      <c r="L17" s="16">
        <v>0</v>
      </c>
      <c r="M17" s="16">
        <v>0</v>
      </c>
      <c r="N17" s="18">
        <f t="shared" si="0"/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" x14ac:dyDescent="0.2">
      <c r="A18" s="17" t="s">
        <v>13</v>
      </c>
      <c r="B18" s="16"/>
      <c r="C18" s="16"/>
      <c r="D18" s="16"/>
      <c r="E18" s="16"/>
      <c r="F18" s="16"/>
      <c r="G18" s="16"/>
      <c r="H18" s="16"/>
      <c r="I18" s="16"/>
      <c r="J18" s="16"/>
      <c r="K18" s="16">
        <v>0</v>
      </c>
      <c r="L18" s="16">
        <v>0</v>
      </c>
      <c r="M18" s="16">
        <v>0</v>
      </c>
      <c r="N18" s="18">
        <f t="shared" si="0"/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" x14ac:dyDescent="0.2">
      <c r="A19" s="17" t="s">
        <v>14</v>
      </c>
      <c r="B19" s="16"/>
      <c r="C19" s="16"/>
      <c r="D19" s="16"/>
      <c r="E19" s="16"/>
      <c r="F19" s="16"/>
      <c r="G19" s="16"/>
      <c r="H19" s="16"/>
      <c r="I19" s="16"/>
      <c r="J19" s="16"/>
      <c r="K19" s="16">
        <v>0</v>
      </c>
      <c r="L19" s="16">
        <v>0</v>
      </c>
      <c r="M19" s="16">
        <v>0</v>
      </c>
      <c r="N19" s="18">
        <f t="shared" si="0"/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" x14ac:dyDescent="0.2">
      <c r="A20" s="17" t="s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>
        <v>0</v>
      </c>
      <c r="L20" s="16">
        <v>0</v>
      </c>
      <c r="M20" s="16">
        <v>0</v>
      </c>
      <c r="N20" s="18">
        <f t="shared" si="0"/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" x14ac:dyDescent="0.2">
      <c r="A21" s="17" t="s">
        <v>16</v>
      </c>
      <c r="B21" s="16"/>
      <c r="C21" s="16"/>
      <c r="D21" s="16"/>
      <c r="E21" s="16"/>
      <c r="F21" s="16"/>
      <c r="G21" s="16"/>
      <c r="H21" s="16"/>
      <c r="I21" s="16"/>
      <c r="J21" s="16"/>
      <c r="K21" s="16">
        <v>0</v>
      </c>
      <c r="L21" s="16">
        <v>0</v>
      </c>
      <c r="M21" s="16">
        <v>0</v>
      </c>
      <c r="N21" s="18">
        <f t="shared" si="0"/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" x14ac:dyDescent="0.2">
      <c r="A22" s="17" t="s">
        <v>17</v>
      </c>
      <c r="B22" s="16"/>
      <c r="C22" s="16"/>
      <c r="D22" s="16"/>
      <c r="E22" s="16"/>
      <c r="F22" s="16"/>
      <c r="G22" s="16"/>
      <c r="H22" s="16"/>
      <c r="I22" s="16"/>
      <c r="J22" s="16"/>
      <c r="K22" s="16">
        <v>0</v>
      </c>
      <c r="L22" s="16">
        <v>0</v>
      </c>
      <c r="M22" s="16">
        <v>0</v>
      </c>
      <c r="N22" s="18">
        <f t="shared" si="0"/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" x14ac:dyDescent="0.2">
      <c r="A23" s="17" t="s">
        <v>18</v>
      </c>
      <c r="B23" s="16"/>
      <c r="C23" s="16"/>
      <c r="D23" s="16"/>
      <c r="E23" s="16"/>
      <c r="F23" s="16"/>
      <c r="G23" s="16"/>
      <c r="H23" s="16"/>
      <c r="I23" s="16"/>
      <c r="J23" s="16"/>
      <c r="K23" s="16">
        <v>0</v>
      </c>
      <c r="L23" s="16">
        <v>0</v>
      </c>
      <c r="M23" s="16">
        <v>0</v>
      </c>
      <c r="N23" s="18">
        <f t="shared" si="0"/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" x14ac:dyDescent="0.2">
      <c r="A24" s="17" t="s">
        <v>19</v>
      </c>
      <c r="B24" s="16"/>
      <c r="C24" s="16"/>
      <c r="D24" s="16"/>
      <c r="E24" s="16"/>
      <c r="F24" s="16"/>
      <c r="G24" s="16"/>
      <c r="H24" s="16"/>
      <c r="I24" s="16"/>
      <c r="J24" s="16"/>
      <c r="K24" s="16">
        <v>0</v>
      </c>
      <c r="L24" s="16">
        <v>0</v>
      </c>
      <c r="M24" s="16">
        <v>0</v>
      </c>
      <c r="N24" s="18">
        <f t="shared" si="0"/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" x14ac:dyDescent="0.2">
      <c r="A25" s="17" t="s">
        <v>20</v>
      </c>
      <c r="B25" s="16"/>
      <c r="C25" s="16"/>
      <c r="D25" s="16"/>
      <c r="E25" s="16"/>
      <c r="F25" s="16"/>
      <c r="G25" s="16"/>
      <c r="H25" s="16"/>
      <c r="I25" s="16"/>
      <c r="J25" s="16"/>
      <c r="K25" s="16">
        <v>0</v>
      </c>
      <c r="L25" s="16">
        <v>0</v>
      </c>
      <c r="M25" s="16">
        <v>0</v>
      </c>
      <c r="N25" s="18">
        <f t="shared" si="0"/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" x14ac:dyDescent="0.2">
      <c r="A26" s="17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>
        <v>0</v>
      </c>
      <c r="L26" s="16">
        <v>0</v>
      </c>
      <c r="M26" s="16">
        <v>0</v>
      </c>
      <c r="N26" s="18">
        <f t="shared" si="0"/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" x14ac:dyDescent="0.2">
      <c r="A27" s="17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>
        <v>0</v>
      </c>
      <c r="L27" s="16">
        <v>0</v>
      </c>
      <c r="M27" s="16">
        <v>0</v>
      </c>
      <c r="N27" s="18">
        <f t="shared" si="0"/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" x14ac:dyDescent="0.2">
      <c r="A28" s="17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>
        <v>0</v>
      </c>
      <c r="L28" s="16">
        <v>0</v>
      </c>
      <c r="M28" s="16">
        <v>0</v>
      </c>
      <c r="N28" s="18">
        <f t="shared" si="0"/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" x14ac:dyDescent="0.2">
      <c r="A29" s="17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>
        <v>0</v>
      </c>
      <c r="L29" s="16">
        <v>0</v>
      </c>
      <c r="M29" s="16">
        <v>0</v>
      </c>
      <c r="N29" s="18">
        <f t="shared" si="0"/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" x14ac:dyDescent="0.2">
      <c r="A30" s="17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>
        <v>0</v>
      </c>
      <c r="L30" s="16">
        <v>0</v>
      </c>
      <c r="M30" s="16">
        <v>0</v>
      </c>
      <c r="N30" s="18">
        <f t="shared" si="0"/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" x14ac:dyDescent="0.2">
      <c r="A31" s="17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>
        <v>0</v>
      </c>
      <c r="L31" s="16">
        <v>0</v>
      </c>
      <c r="M31" s="16">
        <v>0</v>
      </c>
      <c r="N31" s="18">
        <f t="shared" si="0"/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" x14ac:dyDescent="0.2">
      <c r="A32" s="17" t="s">
        <v>27</v>
      </c>
      <c r="B32" s="16"/>
      <c r="C32" s="16"/>
      <c r="D32" s="16"/>
      <c r="E32" s="16"/>
      <c r="F32" s="16"/>
      <c r="G32" s="16"/>
      <c r="H32" s="16"/>
      <c r="I32" s="16"/>
      <c r="J32" s="16"/>
      <c r="K32" s="16">
        <v>0</v>
      </c>
      <c r="L32" s="16">
        <v>0</v>
      </c>
      <c r="M32" s="16">
        <v>0</v>
      </c>
      <c r="N32" s="18">
        <f t="shared" si="0"/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" x14ac:dyDescent="0.2">
      <c r="A33" s="17" t="s">
        <v>28</v>
      </c>
      <c r="B33" s="16"/>
      <c r="C33" s="16"/>
      <c r="D33" s="16"/>
      <c r="E33" s="16"/>
      <c r="F33" s="16"/>
      <c r="G33" s="16"/>
      <c r="H33" s="16"/>
      <c r="I33" s="16"/>
      <c r="J33" s="16"/>
      <c r="K33" s="16">
        <v>0</v>
      </c>
      <c r="L33" s="16">
        <v>0</v>
      </c>
      <c r="M33" s="16">
        <v>0</v>
      </c>
      <c r="N33" s="18">
        <f t="shared" si="0"/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" x14ac:dyDescent="0.2">
      <c r="A34" s="17" t="s">
        <v>29</v>
      </c>
      <c r="B34" s="16"/>
      <c r="C34" s="16"/>
      <c r="D34" s="16"/>
      <c r="E34" s="16"/>
      <c r="F34" s="16"/>
      <c r="G34" s="16"/>
      <c r="H34" s="16"/>
      <c r="I34" s="16"/>
      <c r="J34" s="16"/>
      <c r="K34" s="16">
        <v>0</v>
      </c>
      <c r="L34" s="16">
        <v>0</v>
      </c>
      <c r="M34" s="16">
        <v>0</v>
      </c>
      <c r="N34" s="18">
        <f t="shared" si="0"/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" x14ac:dyDescent="0.2">
      <c r="A35" s="17" t="s">
        <v>30</v>
      </c>
      <c r="B35" s="16"/>
      <c r="C35" s="16"/>
      <c r="D35" s="16"/>
      <c r="E35" s="16"/>
      <c r="F35" s="16"/>
      <c r="G35" s="16"/>
      <c r="H35" s="16"/>
      <c r="I35" s="16"/>
      <c r="J35" s="16"/>
      <c r="K35" s="16">
        <v>0</v>
      </c>
      <c r="L35" s="16">
        <v>0</v>
      </c>
      <c r="M35" s="16">
        <v>0</v>
      </c>
      <c r="N35" s="18">
        <f t="shared" si="0"/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" x14ac:dyDescent="0.2">
      <c r="A36" s="17" t="s">
        <v>31</v>
      </c>
      <c r="B36" s="16"/>
      <c r="C36" s="16"/>
      <c r="D36" s="16"/>
      <c r="E36" s="16"/>
      <c r="F36" s="16"/>
      <c r="G36" s="16"/>
      <c r="H36" s="16"/>
      <c r="I36" s="16"/>
      <c r="J36" s="16"/>
      <c r="K36" s="16">
        <v>0</v>
      </c>
      <c r="L36" s="16">
        <v>0</v>
      </c>
      <c r="M36" s="16">
        <v>0</v>
      </c>
      <c r="N36" s="18">
        <f t="shared" si="0"/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" x14ac:dyDescent="0.2">
      <c r="A37" s="17" t="s">
        <v>32</v>
      </c>
      <c r="B37" s="16"/>
      <c r="C37" s="16"/>
      <c r="D37" s="16"/>
      <c r="E37" s="16"/>
      <c r="F37" s="16"/>
      <c r="G37" s="16"/>
      <c r="H37" s="16"/>
      <c r="I37" s="16"/>
      <c r="J37" s="16"/>
      <c r="K37" s="16">
        <v>0</v>
      </c>
      <c r="L37" s="16">
        <v>0</v>
      </c>
      <c r="M37" s="16">
        <v>0</v>
      </c>
      <c r="N37" s="18">
        <f t="shared" si="0"/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" x14ac:dyDescent="0.2">
      <c r="A38" s="17" t="s">
        <v>33</v>
      </c>
      <c r="B38" s="16"/>
      <c r="C38" s="16"/>
      <c r="D38" s="16"/>
      <c r="E38" s="16"/>
      <c r="F38" s="16"/>
      <c r="G38" s="16"/>
      <c r="H38" s="16"/>
      <c r="I38" s="16"/>
      <c r="J38" s="16"/>
      <c r="K38" s="16">
        <v>0</v>
      </c>
      <c r="L38" s="16">
        <v>0</v>
      </c>
      <c r="M38" s="16">
        <v>0</v>
      </c>
      <c r="N38" s="18">
        <f t="shared" si="0"/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 x14ac:dyDescent="0.2">
      <c r="A39" s="17" t="s">
        <v>34</v>
      </c>
      <c r="B39" s="16"/>
      <c r="C39" s="16"/>
      <c r="D39" s="16"/>
      <c r="E39" s="16"/>
      <c r="F39" s="16"/>
      <c r="G39" s="16"/>
      <c r="H39" s="16"/>
      <c r="I39" s="16"/>
      <c r="J39" s="16"/>
      <c r="K39" s="16">
        <v>0</v>
      </c>
      <c r="L39" s="16">
        <v>0</v>
      </c>
      <c r="M39" s="16">
        <v>0</v>
      </c>
      <c r="N39" s="18">
        <f t="shared" si="0"/>
        <v>0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" x14ac:dyDescent="0.2">
      <c r="A40" s="17" t="s">
        <v>35</v>
      </c>
      <c r="B40" s="16"/>
      <c r="C40" s="16"/>
      <c r="D40" s="16"/>
      <c r="E40" s="16"/>
      <c r="F40" s="16"/>
      <c r="G40" s="16"/>
      <c r="H40" s="16"/>
      <c r="I40" s="16"/>
      <c r="J40" s="16"/>
      <c r="K40" s="16">
        <v>0</v>
      </c>
      <c r="L40" s="16">
        <v>0</v>
      </c>
      <c r="M40" s="16">
        <v>0</v>
      </c>
      <c r="N40" s="18">
        <f t="shared" ref="N40:N71" si="1">SUM(B40:M40)</f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" x14ac:dyDescent="0.2">
      <c r="A41" s="17" t="s">
        <v>36</v>
      </c>
      <c r="B41" s="16"/>
      <c r="C41" s="16"/>
      <c r="D41" s="16"/>
      <c r="E41" s="16"/>
      <c r="F41" s="16"/>
      <c r="G41" s="16"/>
      <c r="H41" s="16"/>
      <c r="I41" s="16"/>
      <c r="J41" s="16"/>
      <c r="K41" s="16">
        <v>0</v>
      </c>
      <c r="L41" s="16">
        <v>0</v>
      </c>
      <c r="M41" s="16">
        <v>0</v>
      </c>
      <c r="N41" s="18">
        <f t="shared" si="1"/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" x14ac:dyDescent="0.2">
      <c r="A42" s="17" t="s">
        <v>37</v>
      </c>
      <c r="B42" s="16"/>
      <c r="C42" s="16"/>
      <c r="D42" s="16"/>
      <c r="E42" s="16"/>
      <c r="F42" s="16"/>
      <c r="G42" s="16"/>
      <c r="H42" s="16"/>
      <c r="I42" s="16"/>
      <c r="J42" s="16"/>
      <c r="K42" s="16">
        <v>0</v>
      </c>
      <c r="L42" s="16">
        <v>0</v>
      </c>
      <c r="M42" s="16">
        <v>0</v>
      </c>
      <c r="N42" s="18">
        <f t="shared" si="1"/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" x14ac:dyDescent="0.2">
      <c r="A43" s="17" t="s">
        <v>38</v>
      </c>
      <c r="B43" s="16"/>
      <c r="C43" s="16"/>
      <c r="D43" s="16"/>
      <c r="E43" s="16"/>
      <c r="F43" s="16"/>
      <c r="G43" s="16"/>
      <c r="H43" s="16"/>
      <c r="I43" s="16"/>
      <c r="J43" s="16"/>
      <c r="K43" s="16">
        <v>0</v>
      </c>
      <c r="L43" s="16">
        <v>0</v>
      </c>
      <c r="M43" s="16">
        <v>0</v>
      </c>
      <c r="N43" s="18">
        <f t="shared" si="1"/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" x14ac:dyDescent="0.2">
      <c r="A44" s="17" t="s">
        <v>39</v>
      </c>
      <c r="B44" s="16"/>
      <c r="C44" s="16"/>
      <c r="D44" s="16"/>
      <c r="E44" s="16"/>
      <c r="F44" s="16"/>
      <c r="G44" s="16"/>
      <c r="H44" s="16"/>
      <c r="I44" s="16"/>
      <c r="J44" s="16"/>
      <c r="K44" s="16">
        <v>0</v>
      </c>
      <c r="L44" s="16">
        <v>0</v>
      </c>
      <c r="M44" s="16">
        <v>0</v>
      </c>
      <c r="N44" s="18">
        <f t="shared" si="1"/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" x14ac:dyDescent="0.2">
      <c r="A45" s="17" t="s">
        <v>40</v>
      </c>
      <c r="B45" s="16"/>
      <c r="C45" s="16"/>
      <c r="D45" s="16"/>
      <c r="E45" s="16"/>
      <c r="F45" s="16"/>
      <c r="G45" s="16"/>
      <c r="H45" s="16"/>
      <c r="I45" s="16"/>
      <c r="J45" s="16"/>
      <c r="K45" s="16">
        <v>0</v>
      </c>
      <c r="L45" s="16">
        <v>0</v>
      </c>
      <c r="M45" s="16">
        <v>0</v>
      </c>
      <c r="N45" s="18">
        <f t="shared" si="1"/>
        <v>0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" x14ac:dyDescent="0.2">
      <c r="A46" s="17" t="s">
        <v>41</v>
      </c>
      <c r="B46" s="16"/>
      <c r="C46" s="16"/>
      <c r="D46" s="16"/>
      <c r="E46" s="16"/>
      <c r="F46" s="16"/>
      <c r="G46" s="16"/>
      <c r="H46" s="16"/>
      <c r="I46" s="16"/>
      <c r="J46" s="16"/>
      <c r="K46" s="16">
        <v>0</v>
      </c>
      <c r="L46" s="16">
        <v>0</v>
      </c>
      <c r="M46" s="16">
        <v>0</v>
      </c>
      <c r="N46" s="18">
        <f t="shared" si="1"/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" x14ac:dyDescent="0.2">
      <c r="A47" s="17" t="s">
        <v>42</v>
      </c>
      <c r="B47" s="16"/>
      <c r="C47" s="16"/>
      <c r="D47" s="16"/>
      <c r="E47" s="16"/>
      <c r="F47" s="16"/>
      <c r="G47" s="16"/>
      <c r="H47" s="16"/>
      <c r="I47" s="16"/>
      <c r="J47" s="16"/>
      <c r="K47" s="16">
        <v>0</v>
      </c>
      <c r="L47" s="16">
        <v>0</v>
      </c>
      <c r="M47" s="16">
        <v>0</v>
      </c>
      <c r="N47" s="18">
        <f t="shared" si="1"/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" x14ac:dyDescent="0.2">
      <c r="A48" s="17" t="s">
        <v>43</v>
      </c>
      <c r="B48" s="16"/>
      <c r="C48" s="16"/>
      <c r="D48" s="16"/>
      <c r="E48" s="16"/>
      <c r="F48" s="16"/>
      <c r="G48" s="16"/>
      <c r="H48" s="16"/>
      <c r="I48" s="16"/>
      <c r="J48" s="16"/>
      <c r="K48" s="16">
        <v>0</v>
      </c>
      <c r="L48" s="16">
        <v>0</v>
      </c>
      <c r="M48" s="16">
        <v>0</v>
      </c>
      <c r="N48" s="18">
        <f t="shared" si="1"/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" x14ac:dyDescent="0.2">
      <c r="A49" s="17" t="s">
        <v>44</v>
      </c>
      <c r="B49" s="16"/>
      <c r="C49" s="16"/>
      <c r="D49" s="16"/>
      <c r="E49" s="16"/>
      <c r="F49" s="16"/>
      <c r="G49" s="16"/>
      <c r="H49" s="16"/>
      <c r="I49" s="16"/>
      <c r="J49" s="16"/>
      <c r="K49" s="16">
        <v>0</v>
      </c>
      <c r="L49" s="16">
        <v>0</v>
      </c>
      <c r="M49" s="16">
        <v>0</v>
      </c>
      <c r="N49" s="18">
        <f t="shared" si="1"/>
        <v>0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" x14ac:dyDescent="0.2">
      <c r="A50" s="17" t="s">
        <v>45</v>
      </c>
      <c r="B50" s="16"/>
      <c r="C50" s="16"/>
      <c r="D50" s="16"/>
      <c r="E50" s="16"/>
      <c r="F50" s="16"/>
      <c r="G50" s="16"/>
      <c r="H50" s="16"/>
      <c r="I50" s="16"/>
      <c r="J50" s="16"/>
      <c r="K50" s="16">
        <v>0</v>
      </c>
      <c r="L50" s="16">
        <v>0</v>
      </c>
      <c r="M50" s="16">
        <v>0</v>
      </c>
      <c r="N50" s="18">
        <f t="shared" si="1"/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" x14ac:dyDescent="0.2">
      <c r="A51" s="17" t="s">
        <v>46</v>
      </c>
      <c r="B51" s="16"/>
      <c r="C51" s="16"/>
      <c r="D51" s="16"/>
      <c r="E51" s="16"/>
      <c r="F51" s="16"/>
      <c r="G51" s="16"/>
      <c r="H51" s="16"/>
      <c r="I51" s="16"/>
      <c r="J51" s="16"/>
      <c r="K51" s="16">
        <v>0</v>
      </c>
      <c r="L51" s="16">
        <v>0</v>
      </c>
      <c r="M51" s="16">
        <v>0</v>
      </c>
      <c r="N51" s="18">
        <f t="shared" si="1"/>
        <v>0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" x14ac:dyDescent="0.2">
      <c r="A52" s="17" t="s">
        <v>47</v>
      </c>
      <c r="B52" s="16"/>
      <c r="C52" s="16"/>
      <c r="D52" s="16"/>
      <c r="E52" s="16"/>
      <c r="F52" s="16"/>
      <c r="G52" s="16"/>
      <c r="H52" s="16"/>
      <c r="I52" s="16"/>
      <c r="J52" s="16"/>
      <c r="K52" s="16">
        <v>0</v>
      </c>
      <c r="L52" s="16">
        <v>0</v>
      </c>
      <c r="M52" s="16">
        <v>0</v>
      </c>
      <c r="N52" s="18">
        <f t="shared" si="1"/>
        <v>0</v>
      </c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" x14ac:dyDescent="0.2">
      <c r="A53" s="17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>
        <v>0</v>
      </c>
      <c r="L53" s="16">
        <v>0</v>
      </c>
      <c r="M53" s="16">
        <v>0</v>
      </c>
      <c r="N53" s="18">
        <f t="shared" si="1"/>
        <v>0</v>
      </c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" x14ac:dyDescent="0.2">
      <c r="A54" s="17" t="s">
        <v>49</v>
      </c>
      <c r="B54" s="16"/>
      <c r="C54" s="16"/>
      <c r="D54" s="16"/>
      <c r="E54" s="16"/>
      <c r="F54" s="16"/>
      <c r="G54" s="16"/>
      <c r="H54" s="16"/>
      <c r="I54" s="16"/>
      <c r="J54" s="16"/>
      <c r="K54" s="16">
        <v>0</v>
      </c>
      <c r="L54" s="16">
        <v>0</v>
      </c>
      <c r="M54" s="16">
        <v>0</v>
      </c>
      <c r="N54" s="18">
        <f t="shared" si="1"/>
        <v>0</v>
      </c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" x14ac:dyDescent="0.2">
      <c r="A55" s="17" t="s">
        <v>50</v>
      </c>
      <c r="B55" s="16"/>
      <c r="C55" s="16"/>
      <c r="D55" s="16"/>
      <c r="E55" s="16"/>
      <c r="F55" s="16"/>
      <c r="G55" s="16"/>
      <c r="H55" s="16"/>
      <c r="I55" s="16"/>
      <c r="J55" s="16"/>
      <c r="K55" s="16">
        <v>0</v>
      </c>
      <c r="L55" s="16">
        <v>0</v>
      </c>
      <c r="M55" s="16">
        <v>0</v>
      </c>
      <c r="N55" s="18">
        <f t="shared" si="1"/>
        <v>0</v>
      </c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" x14ac:dyDescent="0.2">
      <c r="A56" s="17" t="s">
        <v>51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0</v>
      </c>
      <c r="L56" s="16">
        <v>0</v>
      </c>
      <c r="M56" s="16">
        <v>0</v>
      </c>
      <c r="N56" s="18">
        <f t="shared" si="1"/>
        <v>0</v>
      </c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" x14ac:dyDescent="0.2">
      <c r="A57" s="17" t="s">
        <v>52</v>
      </c>
      <c r="B57" s="16"/>
      <c r="C57" s="16"/>
      <c r="D57" s="16"/>
      <c r="E57" s="16"/>
      <c r="F57" s="16"/>
      <c r="G57" s="16"/>
      <c r="H57" s="16"/>
      <c r="I57" s="16"/>
      <c r="J57" s="16"/>
      <c r="K57" s="16">
        <v>0</v>
      </c>
      <c r="L57" s="16">
        <v>0</v>
      </c>
      <c r="M57" s="16">
        <v>0</v>
      </c>
      <c r="N57" s="18">
        <f t="shared" si="1"/>
        <v>0</v>
      </c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" x14ac:dyDescent="0.2">
      <c r="A58" s="17" t="s">
        <v>53</v>
      </c>
      <c r="B58" s="16"/>
      <c r="C58" s="16"/>
      <c r="D58" s="16"/>
      <c r="E58" s="16"/>
      <c r="F58" s="16"/>
      <c r="G58" s="16"/>
      <c r="H58" s="16"/>
      <c r="I58" s="16"/>
      <c r="J58" s="16"/>
      <c r="K58" s="16">
        <v>0</v>
      </c>
      <c r="L58" s="16">
        <v>0</v>
      </c>
      <c r="M58" s="16">
        <v>0</v>
      </c>
      <c r="N58" s="18">
        <f t="shared" si="1"/>
        <v>0</v>
      </c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" x14ac:dyDescent="0.2">
      <c r="A59" s="17" t="s">
        <v>54</v>
      </c>
      <c r="B59" s="16"/>
      <c r="C59" s="16"/>
      <c r="D59" s="16"/>
      <c r="E59" s="16"/>
      <c r="F59" s="16"/>
      <c r="G59" s="16"/>
      <c r="H59" s="16"/>
      <c r="I59" s="16"/>
      <c r="J59" s="16"/>
      <c r="K59" s="16">
        <v>0</v>
      </c>
      <c r="L59" s="16">
        <v>0</v>
      </c>
      <c r="M59" s="16">
        <v>0</v>
      </c>
      <c r="N59" s="18">
        <f t="shared" si="1"/>
        <v>0</v>
      </c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" x14ac:dyDescent="0.2">
      <c r="A60" s="17" t="s">
        <v>55</v>
      </c>
      <c r="B60" s="16"/>
      <c r="C60" s="16"/>
      <c r="D60" s="16"/>
      <c r="E60" s="16"/>
      <c r="F60" s="16"/>
      <c r="G60" s="16"/>
      <c r="H60" s="16"/>
      <c r="I60" s="16"/>
      <c r="J60" s="16"/>
      <c r="K60" s="16">
        <v>0</v>
      </c>
      <c r="L60" s="16">
        <v>0</v>
      </c>
      <c r="M60" s="16">
        <v>0</v>
      </c>
      <c r="N60" s="18">
        <f t="shared" si="1"/>
        <v>0</v>
      </c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" x14ac:dyDescent="0.2">
      <c r="A61" s="17" t="s">
        <v>56</v>
      </c>
      <c r="B61" s="16"/>
      <c r="C61" s="16"/>
      <c r="D61" s="16"/>
      <c r="E61" s="16"/>
      <c r="F61" s="16"/>
      <c r="G61" s="16"/>
      <c r="H61" s="16"/>
      <c r="I61" s="16"/>
      <c r="J61" s="16"/>
      <c r="K61" s="16">
        <v>0</v>
      </c>
      <c r="L61" s="16">
        <v>0</v>
      </c>
      <c r="M61" s="16">
        <v>0</v>
      </c>
      <c r="N61" s="18">
        <f t="shared" si="1"/>
        <v>0</v>
      </c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" x14ac:dyDescent="0.2">
      <c r="A62" s="17" t="s">
        <v>57</v>
      </c>
      <c r="B62" s="16"/>
      <c r="C62" s="16"/>
      <c r="D62" s="16"/>
      <c r="E62" s="16"/>
      <c r="F62" s="16"/>
      <c r="G62" s="16"/>
      <c r="H62" s="16"/>
      <c r="I62" s="16"/>
      <c r="J62" s="16"/>
      <c r="K62" s="16">
        <v>0</v>
      </c>
      <c r="L62" s="16">
        <v>0</v>
      </c>
      <c r="M62" s="16">
        <v>0</v>
      </c>
      <c r="N62" s="18">
        <f t="shared" si="1"/>
        <v>0</v>
      </c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" x14ac:dyDescent="0.2">
      <c r="A63" s="17" t="s">
        <v>58</v>
      </c>
      <c r="B63" s="16"/>
      <c r="C63" s="16"/>
      <c r="D63" s="16"/>
      <c r="E63" s="16"/>
      <c r="F63" s="16"/>
      <c r="G63" s="16"/>
      <c r="H63" s="16"/>
      <c r="I63" s="16"/>
      <c r="J63" s="16"/>
      <c r="K63" s="16">
        <v>0</v>
      </c>
      <c r="L63" s="16">
        <v>0</v>
      </c>
      <c r="M63" s="16">
        <v>0</v>
      </c>
      <c r="N63" s="18">
        <f t="shared" si="1"/>
        <v>0</v>
      </c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" x14ac:dyDescent="0.2">
      <c r="A64" s="17" t="s">
        <v>59</v>
      </c>
      <c r="B64" s="16"/>
      <c r="C64" s="16"/>
      <c r="D64" s="16"/>
      <c r="E64" s="16"/>
      <c r="F64" s="16"/>
      <c r="G64" s="16"/>
      <c r="H64" s="16"/>
      <c r="I64" s="16"/>
      <c r="J64" s="16"/>
      <c r="K64" s="16">
        <v>0</v>
      </c>
      <c r="L64" s="16">
        <v>0</v>
      </c>
      <c r="M64" s="16">
        <v>0</v>
      </c>
      <c r="N64" s="18">
        <f t="shared" si="1"/>
        <v>0</v>
      </c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" x14ac:dyDescent="0.2">
      <c r="A65" s="17" t="s">
        <v>60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</v>
      </c>
      <c r="L65" s="16">
        <v>0</v>
      </c>
      <c r="M65" s="16">
        <v>0</v>
      </c>
      <c r="N65" s="18">
        <f t="shared" si="1"/>
        <v>0</v>
      </c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" x14ac:dyDescent="0.2">
      <c r="A66" s="17" t="s">
        <v>61</v>
      </c>
      <c r="B66" s="16"/>
      <c r="C66" s="16"/>
      <c r="D66" s="16"/>
      <c r="E66" s="16"/>
      <c r="F66" s="16"/>
      <c r="G66" s="16"/>
      <c r="H66" s="16"/>
      <c r="I66" s="16"/>
      <c r="J66" s="16"/>
      <c r="K66" s="16">
        <v>0</v>
      </c>
      <c r="L66" s="16">
        <v>0</v>
      </c>
      <c r="M66" s="16">
        <v>0</v>
      </c>
      <c r="N66" s="18">
        <f t="shared" si="1"/>
        <v>0</v>
      </c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" x14ac:dyDescent="0.2">
      <c r="A67" s="17" t="s">
        <v>62</v>
      </c>
      <c r="B67" s="16"/>
      <c r="C67" s="16"/>
      <c r="D67" s="16"/>
      <c r="E67" s="16"/>
      <c r="F67" s="16"/>
      <c r="G67" s="16"/>
      <c r="H67" s="16"/>
      <c r="I67" s="16"/>
      <c r="J67" s="16"/>
      <c r="K67" s="16">
        <v>0</v>
      </c>
      <c r="L67" s="16">
        <v>0</v>
      </c>
      <c r="M67" s="16">
        <v>0</v>
      </c>
      <c r="N67" s="18">
        <f t="shared" si="1"/>
        <v>0</v>
      </c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" x14ac:dyDescent="0.2">
      <c r="A68" s="17" t="s">
        <v>63</v>
      </c>
      <c r="B68" s="16"/>
      <c r="C68" s="16"/>
      <c r="D68" s="16"/>
      <c r="E68" s="16"/>
      <c r="F68" s="16"/>
      <c r="G68" s="16"/>
      <c r="H68" s="16"/>
      <c r="I68" s="16"/>
      <c r="J68" s="16"/>
      <c r="K68" s="16">
        <v>0</v>
      </c>
      <c r="L68" s="16">
        <v>0</v>
      </c>
      <c r="M68" s="16">
        <v>0</v>
      </c>
      <c r="N68" s="18">
        <f t="shared" si="1"/>
        <v>0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" x14ac:dyDescent="0.2">
      <c r="A69" s="17" t="s">
        <v>64</v>
      </c>
      <c r="B69" s="16"/>
      <c r="C69" s="16"/>
      <c r="D69" s="16"/>
      <c r="E69" s="16"/>
      <c r="F69" s="16"/>
      <c r="G69" s="16"/>
      <c r="H69" s="16"/>
      <c r="I69" s="16"/>
      <c r="J69" s="16"/>
      <c r="K69" s="16">
        <v>0</v>
      </c>
      <c r="L69" s="16">
        <v>0</v>
      </c>
      <c r="M69" s="16">
        <v>0</v>
      </c>
      <c r="N69" s="18">
        <f t="shared" si="1"/>
        <v>0</v>
      </c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" x14ac:dyDescent="0.2">
      <c r="A70" s="17" t="s">
        <v>65</v>
      </c>
      <c r="B70" s="16"/>
      <c r="C70" s="16"/>
      <c r="D70" s="16"/>
      <c r="E70" s="16"/>
      <c r="F70" s="16"/>
      <c r="G70" s="16"/>
      <c r="H70" s="16"/>
      <c r="I70" s="16"/>
      <c r="J70" s="16"/>
      <c r="K70" s="16">
        <v>0</v>
      </c>
      <c r="L70" s="16">
        <v>0</v>
      </c>
      <c r="M70" s="16">
        <v>0</v>
      </c>
      <c r="N70" s="18">
        <f t="shared" si="1"/>
        <v>0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" x14ac:dyDescent="0.2">
      <c r="A71" s="17" t="s">
        <v>66</v>
      </c>
      <c r="B71" s="16"/>
      <c r="C71" s="16"/>
      <c r="D71" s="16"/>
      <c r="E71" s="16"/>
      <c r="F71" s="16"/>
      <c r="G71" s="16"/>
      <c r="H71" s="16"/>
      <c r="I71" s="16"/>
      <c r="J71" s="16"/>
      <c r="K71" s="16">
        <v>0</v>
      </c>
      <c r="L71" s="16">
        <v>0</v>
      </c>
      <c r="M71" s="16">
        <v>0</v>
      </c>
      <c r="N71" s="18">
        <f t="shared" si="1"/>
        <v>0</v>
      </c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" x14ac:dyDescent="0.2">
      <c r="A72" s="17" t="s">
        <v>67</v>
      </c>
      <c r="B72" s="16"/>
      <c r="C72" s="16"/>
      <c r="D72" s="16"/>
      <c r="E72" s="16"/>
      <c r="F72" s="16"/>
      <c r="G72" s="16"/>
      <c r="H72" s="16"/>
      <c r="I72" s="16"/>
      <c r="J72" s="16"/>
      <c r="K72" s="16">
        <v>0</v>
      </c>
      <c r="L72" s="16">
        <v>0</v>
      </c>
      <c r="M72" s="16">
        <v>0</v>
      </c>
      <c r="N72" s="18">
        <f t="shared" ref="N72:N103" si="2">SUM(B72:M72)</f>
        <v>0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" x14ac:dyDescent="0.2">
      <c r="A73" s="17" t="s">
        <v>68</v>
      </c>
      <c r="B73" s="16"/>
      <c r="C73" s="16"/>
      <c r="D73" s="16"/>
      <c r="E73" s="16"/>
      <c r="F73" s="16"/>
      <c r="G73" s="16"/>
      <c r="H73" s="16"/>
      <c r="I73" s="16"/>
      <c r="J73" s="16"/>
      <c r="K73" s="16">
        <v>0</v>
      </c>
      <c r="L73" s="16">
        <v>0</v>
      </c>
      <c r="M73" s="16">
        <v>0</v>
      </c>
      <c r="N73" s="18">
        <f t="shared" si="2"/>
        <v>0</v>
      </c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" x14ac:dyDescent="0.2">
      <c r="A74" s="17" t="s">
        <v>69</v>
      </c>
      <c r="B74" s="16"/>
      <c r="C74" s="16"/>
      <c r="D74" s="16"/>
      <c r="E74" s="16"/>
      <c r="F74" s="16"/>
      <c r="G74" s="16"/>
      <c r="H74" s="16"/>
      <c r="I74" s="16"/>
      <c r="J74" s="16"/>
      <c r="K74" s="16">
        <v>0</v>
      </c>
      <c r="L74" s="16">
        <v>0</v>
      </c>
      <c r="M74" s="16">
        <v>0</v>
      </c>
      <c r="N74" s="18">
        <f t="shared" si="2"/>
        <v>0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" x14ac:dyDescent="0.2">
      <c r="A75" s="17" t="s">
        <v>70</v>
      </c>
      <c r="B75" s="16"/>
      <c r="C75" s="16"/>
      <c r="D75" s="16"/>
      <c r="E75" s="16"/>
      <c r="F75" s="16"/>
      <c r="G75" s="16"/>
      <c r="H75" s="16"/>
      <c r="I75" s="16"/>
      <c r="J75" s="16"/>
      <c r="K75" s="16">
        <v>0</v>
      </c>
      <c r="L75" s="16">
        <v>0</v>
      </c>
      <c r="M75" s="16">
        <v>0</v>
      </c>
      <c r="N75" s="18">
        <f t="shared" si="2"/>
        <v>0</v>
      </c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" x14ac:dyDescent="0.2">
      <c r="A76" s="17" t="s">
        <v>71</v>
      </c>
      <c r="B76" s="16"/>
      <c r="C76" s="16"/>
      <c r="D76" s="16"/>
      <c r="E76" s="16"/>
      <c r="F76" s="16"/>
      <c r="G76" s="16"/>
      <c r="H76" s="16"/>
      <c r="I76" s="16"/>
      <c r="J76" s="16"/>
      <c r="K76" s="16">
        <v>0</v>
      </c>
      <c r="L76" s="16">
        <v>0</v>
      </c>
      <c r="M76" s="16">
        <v>0</v>
      </c>
      <c r="N76" s="18">
        <f t="shared" si="2"/>
        <v>0</v>
      </c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" x14ac:dyDescent="0.2">
      <c r="A77" s="17" t="s">
        <v>72</v>
      </c>
      <c r="B77" s="16"/>
      <c r="C77" s="16"/>
      <c r="D77" s="16"/>
      <c r="E77" s="16"/>
      <c r="F77" s="16"/>
      <c r="G77" s="16"/>
      <c r="H77" s="16"/>
      <c r="I77" s="16"/>
      <c r="J77" s="16"/>
      <c r="K77" s="16">
        <v>0</v>
      </c>
      <c r="L77" s="16">
        <v>0</v>
      </c>
      <c r="M77" s="16">
        <v>0</v>
      </c>
      <c r="N77" s="18">
        <f t="shared" si="2"/>
        <v>0</v>
      </c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" x14ac:dyDescent="0.2">
      <c r="A78" s="17" t="s">
        <v>73</v>
      </c>
      <c r="B78" s="16"/>
      <c r="C78" s="16"/>
      <c r="D78" s="16"/>
      <c r="E78" s="16"/>
      <c r="F78" s="16"/>
      <c r="G78" s="16"/>
      <c r="H78" s="16"/>
      <c r="I78" s="16"/>
      <c r="J78" s="16"/>
      <c r="K78" s="16">
        <v>0</v>
      </c>
      <c r="L78" s="16">
        <v>0</v>
      </c>
      <c r="M78" s="16">
        <v>0</v>
      </c>
      <c r="N78" s="18">
        <f t="shared" si="2"/>
        <v>0</v>
      </c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" x14ac:dyDescent="0.2">
      <c r="A79" s="17" t="s">
        <v>74</v>
      </c>
      <c r="B79" s="16"/>
      <c r="C79" s="16"/>
      <c r="D79" s="16"/>
      <c r="E79" s="16"/>
      <c r="F79" s="16"/>
      <c r="G79" s="16"/>
      <c r="H79" s="16"/>
      <c r="I79" s="16"/>
      <c r="J79" s="16"/>
      <c r="K79" s="16">
        <v>0</v>
      </c>
      <c r="L79" s="16">
        <v>0</v>
      </c>
      <c r="M79" s="16">
        <v>0</v>
      </c>
      <c r="N79" s="18">
        <f t="shared" si="2"/>
        <v>0</v>
      </c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" x14ac:dyDescent="0.2">
      <c r="A80" s="17" t="s">
        <v>75</v>
      </c>
      <c r="B80" s="16"/>
      <c r="C80" s="16"/>
      <c r="D80" s="16"/>
      <c r="E80" s="16"/>
      <c r="F80" s="16"/>
      <c r="G80" s="16"/>
      <c r="H80" s="16"/>
      <c r="I80" s="16"/>
      <c r="J80" s="16"/>
      <c r="K80" s="16">
        <v>0</v>
      </c>
      <c r="L80" s="16">
        <v>0</v>
      </c>
      <c r="M80" s="16">
        <v>0</v>
      </c>
      <c r="N80" s="18">
        <f t="shared" si="2"/>
        <v>0</v>
      </c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" x14ac:dyDescent="0.2">
      <c r="A81" s="17" t="s">
        <v>76</v>
      </c>
      <c r="B81" s="16"/>
      <c r="C81" s="16"/>
      <c r="D81" s="16"/>
      <c r="E81" s="16"/>
      <c r="F81" s="16"/>
      <c r="G81" s="16"/>
      <c r="H81" s="16"/>
      <c r="I81" s="16"/>
      <c r="J81" s="16"/>
      <c r="K81" s="16">
        <v>0</v>
      </c>
      <c r="L81" s="16">
        <v>0</v>
      </c>
      <c r="M81" s="16">
        <v>0</v>
      </c>
      <c r="N81" s="18">
        <f t="shared" si="2"/>
        <v>0</v>
      </c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" x14ac:dyDescent="0.2">
      <c r="A82" s="17" t="s">
        <v>77</v>
      </c>
      <c r="B82" s="16"/>
      <c r="C82" s="16"/>
      <c r="D82" s="16"/>
      <c r="E82" s="16"/>
      <c r="F82" s="16"/>
      <c r="G82" s="16"/>
      <c r="H82" s="16"/>
      <c r="I82" s="16"/>
      <c r="J82" s="16"/>
      <c r="K82" s="16">
        <v>0</v>
      </c>
      <c r="L82" s="16">
        <v>0</v>
      </c>
      <c r="M82" s="16">
        <v>0</v>
      </c>
      <c r="N82" s="18">
        <f t="shared" si="2"/>
        <v>0</v>
      </c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" x14ac:dyDescent="0.2">
      <c r="A83" s="17" t="s">
        <v>78</v>
      </c>
      <c r="B83" s="16"/>
      <c r="C83" s="16"/>
      <c r="D83" s="16"/>
      <c r="E83" s="16"/>
      <c r="F83" s="16"/>
      <c r="G83" s="16"/>
      <c r="H83" s="16"/>
      <c r="I83" s="16"/>
      <c r="J83" s="16"/>
      <c r="K83" s="16">
        <v>0</v>
      </c>
      <c r="L83" s="16">
        <v>0</v>
      </c>
      <c r="M83" s="16">
        <v>0</v>
      </c>
      <c r="N83" s="18">
        <f t="shared" si="2"/>
        <v>0</v>
      </c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" x14ac:dyDescent="0.2">
      <c r="A84" s="17" t="s">
        <v>79</v>
      </c>
      <c r="B84" s="16"/>
      <c r="C84" s="16"/>
      <c r="D84" s="16"/>
      <c r="E84" s="16"/>
      <c r="F84" s="16"/>
      <c r="G84" s="16"/>
      <c r="H84" s="16"/>
      <c r="I84" s="16"/>
      <c r="J84" s="16"/>
      <c r="K84" s="16">
        <v>0</v>
      </c>
      <c r="L84" s="16">
        <v>0</v>
      </c>
      <c r="M84" s="16">
        <v>0</v>
      </c>
      <c r="N84" s="18">
        <f t="shared" si="2"/>
        <v>0</v>
      </c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" x14ac:dyDescent="0.2">
      <c r="A85" s="17" t="s">
        <v>80</v>
      </c>
      <c r="B85" s="16"/>
      <c r="C85" s="16"/>
      <c r="D85" s="16"/>
      <c r="E85" s="16"/>
      <c r="F85" s="16"/>
      <c r="G85" s="16"/>
      <c r="H85" s="16"/>
      <c r="I85" s="16"/>
      <c r="J85" s="16"/>
      <c r="K85" s="16">
        <v>0</v>
      </c>
      <c r="L85" s="16">
        <v>0</v>
      </c>
      <c r="M85" s="16">
        <v>0</v>
      </c>
      <c r="N85" s="18">
        <f t="shared" si="2"/>
        <v>0</v>
      </c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" x14ac:dyDescent="0.2">
      <c r="A86" s="17" t="s">
        <v>81</v>
      </c>
      <c r="B86" s="16"/>
      <c r="C86" s="16"/>
      <c r="D86" s="16"/>
      <c r="E86" s="16"/>
      <c r="F86" s="16"/>
      <c r="G86" s="16"/>
      <c r="H86" s="16"/>
      <c r="I86" s="16"/>
      <c r="J86" s="16"/>
      <c r="K86" s="16">
        <v>0</v>
      </c>
      <c r="L86" s="16">
        <v>0</v>
      </c>
      <c r="M86" s="16">
        <v>0</v>
      </c>
      <c r="N86" s="18">
        <f t="shared" si="2"/>
        <v>0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" x14ac:dyDescent="0.2">
      <c r="A87" s="17" t="s">
        <v>82</v>
      </c>
      <c r="B87" s="16"/>
      <c r="C87" s="16"/>
      <c r="D87" s="16"/>
      <c r="E87" s="16"/>
      <c r="F87" s="16"/>
      <c r="G87" s="16"/>
      <c r="H87" s="16"/>
      <c r="I87" s="16"/>
      <c r="J87" s="16"/>
      <c r="K87" s="16">
        <v>0</v>
      </c>
      <c r="L87" s="16">
        <v>0</v>
      </c>
      <c r="M87" s="16">
        <v>0</v>
      </c>
      <c r="N87" s="18">
        <f t="shared" si="2"/>
        <v>0</v>
      </c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" x14ac:dyDescent="0.2">
      <c r="A88" s="17" t="s">
        <v>83</v>
      </c>
      <c r="B88" s="16"/>
      <c r="C88" s="16"/>
      <c r="D88" s="16"/>
      <c r="E88" s="16"/>
      <c r="F88" s="16"/>
      <c r="G88" s="16"/>
      <c r="H88" s="16"/>
      <c r="I88" s="16"/>
      <c r="J88" s="16"/>
      <c r="K88" s="16">
        <v>0</v>
      </c>
      <c r="L88" s="16">
        <v>0</v>
      </c>
      <c r="M88" s="16">
        <v>0</v>
      </c>
      <c r="N88" s="18">
        <f t="shared" si="2"/>
        <v>0</v>
      </c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" x14ac:dyDescent="0.2">
      <c r="A89" s="17" t="s">
        <v>84</v>
      </c>
      <c r="B89" s="16"/>
      <c r="C89" s="16"/>
      <c r="D89" s="16"/>
      <c r="E89" s="16"/>
      <c r="F89" s="16"/>
      <c r="G89" s="16"/>
      <c r="H89" s="16"/>
      <c r="I89" s="16"/>
      <c r="J89" s="16"/>
      <c r="K89" s="16">
        <v>0</v>
      </c>
      <c r="L89" s="16">
        <v>0</v>
      </c>
      <c r="M89" s="16">
        <v>0</v>
      </c>
      <c r="N89" s="18">
        <f t="shared" si="2"/>
        <v>0</v>
      </c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" x14ac:dyDescent="0.2">
      <c r="A90" s="17" t="s">
        <v>85</v>
      </c>
      <c r="B90" s="16"/>
      <c r="C90" s="16"/>
      <c r="D90" s="16"/>
      <c r="E90" s="16"/>
      <c r="F90" s="16"/>
      <c r="G90" s="16"/>
      <c r="H90" s="16"/>
      <c r="I90" s="16"/>
      <c r="J90" s="16"/>
      <c r="K90" s="16">
        <v>0</v>
      </c>
      <c r="L90" s="16">
        <v>0</v>
      </c>
      <c r="M90" s="16">
        <v>0</v>
      </c>
      <c r="N90" s="18">
        <f t="shared" si="2"/>
        <v>0</v>
      </c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" x14ac:dyDescent="0.2">
      <c r="A91" s="17" t="s">
        <v>86</v>
      </c>
      <c r="B91" s="16"/>
      <c r="C91" s="16"/>
      <c r="D91" s="16"/>
      <c r="E91" s="16"/>
      <c r="F91" s="16"/>
      <c r="G91" s="16"/>
      <c r="H91" s="16"/>
      <c r="I91" s="16"/>
      <c r="J91" s="16"/>
      <c r="K91" s="16">
        <v>0</v>
      </c>
      <c r="L91" s="16">
        <v>0</v>
      </c>
      <c r="M91" s="16">
        <v>0</v>
      </c>
      <c r="N91" s="18">
        <f t="shared" si="2"/>
        <v>0</v>
      </c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" x14ac:dyDescent="0.2">
      <c r="A92" s="17" t="s">
        <v>87</v>
      </c>
      <c r="B92" s="16"/>
      <c r="C92" s="16"/>
      <c r="D92" s="16"/>
      <c r="E92" s="16"/>
      <c r="F92" s="16"/>
      <c r="G92" s="16"/>
      <c r="H92" s="16"/>
      <c r="I92" s="16"/>
      <c r="J92" s="16"/>
      <c r="K92" s="16">
        <v>0</v>
      </c>
      <c r="L92" s="16">
        <v>0</v>
      </c>
      <c r="M92" s="16">
        <v>0</v>
      </c>
      <c r="N92" s="18">
        <f t="shared" si="2"/>
        <v>0</v>
      </c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" x14ac:dyDescent="0.2">
      <c r="A93" s="17" t="s">
        <v>88</v>
      </c>
      <c r="B93" s="16"/>
      <c r="C93" s="16"/>
      <c r="D93" s="16"/>
      <c r="E93" s="16"/>
      <c r="F93" s="16"/>
      <c r="G93" s="16"/>
      <c r="H93" s="16"/>
      <c r="I93" s="16"/>
      <c r="J93" s="16"/>
      <c r="K93" s="16">
        <v>0</v>
      </c>
      <c r="L93" s="16">
        <v>0</v>
      </c>
      <c r="M93" s="16">
        <v>0</v>
      </c>
      <c r="N93" s="18">
        <f t="shared" si="2"/>
        <v>0</v>
      </c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" x14ac:dyDescent="0.2">
      <c r="A94" s="17" t="s">
        <v>89</v>
      </c>
      <c r="B94" s="16"/>
      <c r="C94" s="16"/>
      <c r="D94" s="16"/>
      <c r="E94" s="16"/>
      <c r="F94" s="16"/>
      <c r="G94" s="16"/>
      <c r="H94" s="16"/>
      <c r="I94" s="16"/>
      <c r="J94" s="16"/>
      <c r="K94" s="16">
        <v>0</v>
      </c>
      <c r="L94" s="16">
        <v>0</v>
      </c>
      <c r="M94" s="16">
        <v>0</v>
      </c>
      <c r="N94" s="18">
        <f t="shared" si="2"/>
        <v>0</v>
      </c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" x14ac:dyDescent="0.2">
      <c r="A95" s="17" t="s">
        <v>90</v>
      </c>
      <c r="B95" s="16"/>
      <c r="C95" s="16"/>
      <c r="D95" s="16"/>
      <c r="E95" s="16"/>
      <c r="F95" s="16"/>
      <c r="G95" s="16"/>
      <c r="H95" s="16"/>
      <c r="I95" s="16"/>
      <c r="J95" s="16"/>
      <c r="K95" s="16">
        <v>0</v>
      </c>
      <c r="L95" s="16">
        <v>0</v>
      </c>
      <c r="M95" s="16">
        <v>0</v>
      </c>
      <c r="N95" s="18">
        <f t="shared" si="2"/>
        <v>0</v>
      </c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" x14ac:dyDescent="0.2">
      <c r="A96" s="17" t="s">
        <v>91</v>
      </c>
      <c r="B96" s="16"/>
      <c r="C96" s="16"/>
      <c r="D96" s="16"/>
      <c r="E96" s="16"/>
      <c r="F96" s="16"/>
      <c r="G96" s="16"/>
      <c r="H96" s="16"/>
      <c r="I96" s="16"/>
      <c r="J96" s="16"/>
      <c r="K96" s="16">
        <v>0</v>
      </c>
      <c r="L96" s="16">
        <v>0</v>
      </c>
      <c r="M96" s="16">
        <v>0</v>
      </c>
      <c r="N96" s="18">
        <f t="shared" si="2"/>
        <v>0</v>
      </c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" x14ac:dyDescent="0.2">
      <c r="A97" s="17" t="s">
        <v>92</v>
      </c>
      <c r="B97" s="16"/>
      <c r="C97" s="16"/>
      <c r="D97" s="16"/>
      <c r="E97" s="16"/>
      <c r="F97" s="16"/>
      <c r="G97" s="16"/>
      <c r="H97" s="16"/>
      <c r="I97" s="16"/>
      <c r="J97" s="16"/>
      <c r="K97" s="16">
        <v>0</v>
      </c>
      <c r="L97" s="16">
        <v>0</v>
      </c>
      <c r="M97" s="16">
        <v>0</v>
      </c>
      <c r="N97" s="18">
        <f t="shared" si="2"/>
        <v>0</v>
      </c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" x14ac:dyDescent="0.2">
      <c r="A98" s="17" t="s">
        <v>93</v>
      </c>
      <c r="B98" s="16"/>
      <c r="C98" s="16"/>
      <c r="D98" s="16"/>
      <c r="E98" s="16"/>
      <c r="F98" s="16"/>
      <c r="G98" s="16"/>
      <c r="H98" s="16"/>
      <c r="I98" s="16"/>
      <c r="J98" s="16"/>
      <c r="K98" s="16">
        <v>0</v>
      </c>
      <c r="L98" s="16">
        <v>0</v>
      </c>
      <c r="M98" s="16">
        <v>0</v>
      </c>
      <c r="N98" s="18">
        <f t="shared" si="2"/>
        <v>0</v>
      </c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" x14ac:dyDescent="0.2">
      <c r="A99" s="17" t="s">
        <v>94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</v>
      </c>
      <c r="L99" s="16">
        <v>0</v>
      </c>
      <c r="M99" s="16">
        <v>0</v>
      </c>
      <c r="N99" s="18">
        <f t="shared" si="2"/>
        <v>0</v>
      </c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" x14ac:dyDescent="0.2">
      <c r="A100" s="17" t="s">
        <v>95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>
        <v>0</v>
      </c>
      <c r="L100" s="16">
        <v>0</v>
      </c>
      <c r="M100" s="16">
        <v>0</v>
      </c>
      <c r="N100" s="18">
        <f t="shared" si="2"/>
        <v>0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" x14ac:dyDescent="0.2">
      <c r="A101" s="17" t="s">
        <v>96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>
        <v>0</v>
      </c>
      <c r="L101" s="16">
        <v>0</v>
      </c>
      <c r="M101" s="16">
        <v>0</v>
      </c>
      <c r="N101" s="18">
        <f t="shared" si="2"/>
        <v>0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" x14ac:dyDescent="0.2">
      <c r="A102" s="17" t="s">
        <v>97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>
        <v>0</v>
      </c>
      <c r="L102" s="16">
        <v>0</v>
      </c>
      <c r="M102" s="16">
        <v>0</v>
      </c>
      <c r="N102" s="18">
        <f t="shared" si="2"/>
        <v>0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" x14ac:dyDescent="0.2">
      <c r="A103" s="17" t="s">
        <v>98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>
        <v>0</v>
      </c>
      <c r="L103" s="16">
        <v>0</v>
      </c>
      <c r="M103" s="16">
        <v>0</v>
      </c>
      <c r="N103" s="18">
        <f t="shared" si="2"/>
        <v>0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" x14ac:dyDescent="0.2">
      <c r="A104" s="17" t="s">
        <v>99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>
        <v>0</v>
      </c>
      <c r="L104" s="16">
        <v>0</v>
      </c>
      <c r="M104" s="16">
        <v>0</v>
      </c>
      <c r="N104" s="18">
        <f t="shared" ref="N104:N135" si="3">SUM(B104:M104)</f>
        <v>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" x14ac:dyDescent="0.2">
      <c r="A105" s="17" t="s">
        <v>100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>
        <v>0</v>
      </c>
      <c r="L105" s="16">
        <v>0</v>
      </c>
      <c r="M105" s="16">
        <v>0</v>
      </c>
      <c r="N105" s="18">
        <f t="shared" si="3"/>
        <v>0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" x14ac:dyDescent="0.2">
      <c r="A106" s="17" t="s">
        <v>101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>
        <v>0</v>
      </c>
      <c r="L106" s="16">
        <v>0</v>
      </c>
      <c r="M106" s="16">
        <v>0</v>
      </c>
      <c r="N106" s="18">
        <f t="shared" si="3"/>
        <v>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" x14ac:dyDescent="0.2">
      <c r="A107" s="17" t="s">
        <v>102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>
        <v>0</v>
      </c>
      <c r="L107" s="16">
        <v>0</v>
      </c>
      <c r="M107" s="16">
        <v>0</v>
      </c>
      <c r="N107" s="18">
        <f t="shared" si="3"/>
        <v>0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" x14ac:dyDescent="0.2">
      <c r="A108" s="17" t="s">
        <v>103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>
        <v>0</v>
      </c>
      <c r="L108" s="16">
        <v>0</v>
      </c>
      <c r="M108" s="16">
        <v>0</v>
      </c>
      <c r="N108" s="18">
        <f t="shared" si="3"/>
        <v>0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" x14ac:dyDescent="0.2">
      <c r="A109" s="17" t="s">
        <v>104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>
        <v>0</v>
      </c>
      <c r="L109" s="16">
        <v>0</v>
      </c>
      <c r="M109" s="16">
        <v>0</v>
      </c>
      <c r="N109" s="18">
        <f t="shared" si="3"/>
        <v>0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" x14ac:dyDescent="0.2">
      <c r="A110" s="17" t="s">
        <v>105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>
        <v>0</v>
      </c>
      <c r="L110" s="16">
        <v>0</v>
      </c>
      <c r="M110" s="16">
        <v>0</v>
      </c>
      <c r="N110" s="18">
        <f t="shared" si="3"/>
        <v>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" x14ac:dyDescent="0.2">
      <c r="A111" s="17" t="s">
        <v>106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>
        <v>0</v>
      </c>
      <c r="L111" s="16">
        <v>0</v>
      </c>
      <c r="M111" s="16">
        <v>0</v>
      </c>
      <c r="N111" s="18">
        <f t="shared" si="3"/>
        <v>0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" x14ac:dyDescent="0.2">
      <c r="A112" s="17" t="s">
        <v>107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>
        <v>0</v>
      </c>
      <c r="L112" s="16">
        <v>0</v>
      </c>
      <c r="M112" s="16">
        <v>0</v>
      </c>
      <c r="N112" s="18">
        <f t="shared" si="3"/>
        <v>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" x14ac:dyDescent="0.2">
      <c r="A113" s="17" t="s">
        <v>108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>
        <v>0</v>
      </c>
      <c r="L113" s="16">
        <v>0</v>
      </c>
      <c r="M113" s="16">
        <v>0</v>
      </c>
      <c r="N113" s="18">
        <f t="shared" si="3"/>
        <v>0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" x14ac:dyDescent="0.2">
      <c r="A114" s="17" t="s">
        <v>109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>
        <v>0</v>
      </c>
      <c r="L114" s="16">
        <v>0</v>
      </c>
      <c r="M114" s="16">
        <v>0</v>
      </c>
      <c r="N114" s="18">
        <f t="shared" si="3"/>
        <v>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" x14ac:dyDescent="0.2">
      <c r="A115" s="17" t="s">
        <v>110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>
        <v>0</v>
      </c>
      <c r="L115" s="16">
        <v>0</v>
      </c>
      <c r="M115" s="16">
        <v>0</v>
      </c>
      <c r="N115" s="18">
        <f t="shared" si="3"/>
        <v>0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" x14ac:dyDescent="0.2">
      <c r="A116" s="17" t="s">
        <v>111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>
        <v>0</v>
      </c>
      <c r="L116" s="16">
        <v>0</v>
      </c>
      <c r="M116" s="16">
        <v>0</v>
      </c>
      <c r="N116" s="18">
        <f t="shared" si="3"/>
        <v>0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" x14ac:dyDescent="0.2">
      <c r="A117" s="17" t="s">
        <v>112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>
        <v>0</v>
      </c>
      <c r="L117" s="16">
        <v>0</v>
      </c>
      <c r="M117" s="16">
        <v>0</v>
      </c>
      <c r="N117" s="18">
        <f t="shared" si="3"/>
        <v>0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" x14ac:dyDescent="0.2">
      <c r="A118" s="17" t="s">
        <v>113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>
        <v>0</v>
      </c>
      <c r="L118" s="16">
        <v>0</v>
      </c>
      <c r="M118" s="16">
        <v>0</v>
      </c>
      <c r="N118" s="18">
        <f t="shared" si="3"/>
        <v>0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" x14ac:dyDescent="0.2">
      <c r="A119" s="17" t="s">
        <v>114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>
        <v>0</v>
      </c>
      <c r="L119" s="16">
        <v>0</v>
      </c>
      <c r="M119" s="16">
        <v>0</v>
      </c>
      <c r="N119" s="18">
        <f t="shared" si="3"/>
        <v>0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" x14ac:dyDescent="0.2">
      <c r="A120" s="17" t="s">
        <v>115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>
        <v>0</v>
      </c>
      <c r="L120" s="16">
        <v>0</v>
      </c>
      <c r="M120" s="16">
        <v>0</v>
      </c>
      <c r="N120" s="18">
        <f t="shared" si="3"/>
        <v>0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" x14ac:dyDescent="0.2">
      <c r="A121" s="17" t="s">
        <v>116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>
        <v>0</v>
      </c>
      <c r="L121" s="16">
        <v>0</v>
      </c>
      <c r="M121" s="16">
        <v>0</v>
      </c>
      <c r="N121" s="18">
        <f t="shared" si="3"/>
        <v>0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" x14ac:dyDescent="0.2">
      <c r="A122" s="17" t="s">
        <v>117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>
        <v>0</v>
      </c>
      <c r="L122" s="16">
        <v>0</v>
      </c>
      <c r="M122" s="16">
        <v>0</v>
      </c>
      <c r="N122" s="18">
        <f t="shared" si="3"/>
        <v>0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" x14ac:dyDescent="0.2">
      <c r="A123" s="17" t="s">
        <v>118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>
        <v>0</v>
      </c>
      <c r="L123" s="16">
        <v>0</v>
      </c>
      <c r="M123" s="16">
        <v>0</v>
      </c>
      <c r="N123" s="18">
        <f t="shared" si="3"/>
        <v>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" x14ac:dyDescent="0.2">
      <c r="A124" s="17" t="s">
        <v>119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>
        <v>0</v>
      </c>
      <c r="L124" s="16">
        <v>0</v>
      </c>
      <c r="M124" s="16">
        <v>0</v>
      </c>
      <c r="N124" s="18">
        <f t="shared" si="3"/>
        <v>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" x14ac:dyDescent="0.2">
      <c r="A125" s="17" t="s">
        <v>120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>
        <v>0</v>
      </c>
      <c r="L125" s="16">
        <v>0</v>
      </c>
      <c r="M125" s="16">
        <v>0</v>
      </c>
      <c r="N125" s="18">
        <f t="shared" si="3"/>
        <v>0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" x14ac:dyDescent="0.2">
      <c r="A126" s="17" t="s">
        <v>121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>
        <v>0</v>
      </c>
      <c r="L126" s="16">
        <v>0</v>
      </c>
      <c r="M126" s="16">
        <v>0</v>
      </c>
      <c r="N126" s="18">
        <f t="shared" si="3"/>
        <v>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" x14ac:dyDescent="0.2">
      <c r="A127" s="17" t="s">
        <v>122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>
        <v>0</v>
      </c>
      <c r="L127" s="16">
        <v>0</v>
      </c>
      <c r="M127" s="16">
        <v>0</v>
      </c>
      <c r="N127" s="18">
        <f t="shared" si="3"/>
        <v>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" x14ac:dyDescent="0.2">
      <c r="A128" s="17" t="s">
        <v>123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>
        <v>0</v>
      </c>
      <c r="L128" s="16">
        <v>0</v>
      </c>
      <c r="M128" s="16">
        <v>0</v>
      </c>
      <c r="N128" s="18">
        <f t="shared" si="3"/>
        <v>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" x14ac:dyDescent="0.2">
      <c r="A129" s="17" t="s">
        <v>124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>
        <v>0</v>
      </c>
      <c r="L129" s="16">
        <v>0</v>
      </c>
      <c r="M129" s="16">
        <v>0</v>
      </c>
      <c r="N129" s="18">
        <f t="shared" si="3"/>
        <v>0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" x14ac:dyDescent="0.2">
      <c r="A130" s="17" t="s">
        <v>125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>
        <v>0</v>
      </c>
      <c r="L130" s="16">
        <v>0</v>
      </c>
      <c r="M130" s="16">
        <v>0</v>
      </c>
      <c r="N130" s="18">
        <f t="shared" si="3"/>
        <v>0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" x14ac:dyDescent="0.2">
      <c r="A131" s="17" t="s">
        <v>126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>
        <v>0</v>
      </c>
      <c r="L131" s="16">
        <v>0</v>
      </c>
      <c r="M131" s="16">
        <v>0</v>
      </c>
      <c r="N131" s="18">
        <f t="shared" si="3"/>
        <v>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" x14ac:dyDescent="0.2">
      <c r="A132" s="17" t="s">
        <v>127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>
        <v>0</v>
      </c>
      <c r="L132" s="16">
        <v>0</v>
      </c>
      <c r="M132" s="16">
        <v>0</v>
      </c>
      <c r="N132" s="18">
        <f t="shared" si="3"/>
        <v>0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" x14ac:dyDescent="0.2">
      <c r="A133" s="17" t="s">
        <v>128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>
        <v>0</v>
      </c>
      <c r="L133" s="16">
        <v>0</v>
      </c>
      <c r="M133" s="16">
        <v>0</v>
      </c>
      <c r="N133" s="18">
        <f t="shared" si="3"/>
        <v>0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" x14ac:dyDescent="0.2">
      <c r="A134" s="17" t="s">
        <v>129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>
        <v>0</v>
      </c>
      <c r="L134" s="16">
        <v>0</v>
      </c>
      <c r="M134" s="16">
        <v>0</v>
      </c>
      <c r="N134" s="18">
        <f t="shared" si="3"/>
        <v>0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" x14ac:dyDescent="0.2">
      <c r="A135" s="17" t="s">
        <v>130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>
        <v>0</v>
      </c>
      <c r="L135" s="16">
        <v>0</v>
      </c>
      <c r="M135" s="16">
        <v>0</v>
      </c>
      <c r="N135" s="18">
        <f t="shared" si="3"/>
        <v>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" x14ac:dyDescent="0.2">
      <c r="A136" s="17" t="s">
        <v>131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>
        <v>0</v>
      </c>
      <c r="L136" s="16">
        <v>0</v>
      </c>
      <c r="M136" s="16">
        <v>0</v>
      </c>
      <c r="N136" s="18">
        <f t="shared" ref="N136:N142" si="4">SUM(B136:M136)</f>
        <v>0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" x14ac:dyDescent="0.2">
      <c r="A137" s="17" t="s">
        <v>132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>
        <v>0</v>
      </c>
      <c r="L137" s="16">
        <v>0</v>
      </c>
      <c r="M137" s="16">
        <v>0</v>
      </c>
      <c r="N137" s="18">
        <f t="shared" si="4"/>
        <v>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" x14ac:dyDescent="0.2">
      <c r="A138" s="17" t="s">
        <v>133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>
        <v>0</v>
      </c>
      <c r="L138" s="16">
        <v>0</v>
      </c>
      <c r="M138" s="16">
        <v>0</v>
      </c>
      <c r="N138" s="18">
        <f t="shared" si="4"/>
        <v>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" x14ac:dyDescent="0.2">
      <c r="A139" s="17" t="s">
        <v>134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>
        <v>0</v>
      </c>
      <c r="L139" s="16">
        <v>0</v>
      </c>
      <c r="M139" s="16">
        <v>0</v>
      </c>
      <c r="N139" s="18">
        <f t="shared" si="4"/>
        <v>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" x14ac:dyDescent="0.2">
      <c r="A140" s="17" t="s">
        <v>135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>
        <v>0</v>
      </c>
      <c r="L140" s="16">
        <v>0</v>
      </c>
      <c r="M140" s="16">
        <v>0</v>
      </c>
      <c r="N140" s="18">
        <f t="shared" si="4"/>
        <v>0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" x14ac:dyDescent="0.2">
      <c r="A141" s="17" t="s">
        <v>136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>
        <v>0</v>
      </c>
      <c r="L141" s="16">
        <v>0</v>
      </c>
      <c r="M141" s="16">
        <v>0</v>
      </c>
      <c r="N141" s="18">
        <f t="shared" si="4"/>
        <v>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" x14ac:dyDescent="0.2">
      <c r="A142" s="17" t="s">
        <v>137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>
        <v>0</v>
      </c>
      <c r="L142" s="16">
        <v>0</v>
      </c>
      <c r="M142" s="16">
        <v>0</v>
      </c>
      <c r="N142" s="18">
        <f t="shared" si="4"/>
        <v>0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4.75" customHeight="1" x14ac:dyDescent="0.2">
      <c r="A143" s="22" t="s">
        <v>138</v>
      </c>
      <c r="B143" s="23">
        <f t="shared" ref="B143:I143" si="5">SUM(B8:B142)</f>
        <v>0</v>
      </c>
      <c r="C143" s="23">
        <f t="shared" si="5"/>
        <v>0</v>
      </c>
      <c r="D143" s="23">
        <f t="shared" si="5"/>
        <v>0</v>
      </c>
      <c r="E143" s="23">
        <f t="shared" si="5"/>
        <v>0</v>
      </c>
      <c r="F143" s="23">
        <f t="shared" si="5"/>
        <v>0</v>
      </c>
      <c r="G143" s="23">
        <f t="shared" si="5"/>
        <v>0</v>
      </c>
      <c r="H143" s="23">
        <f t="shared" si="5"/>
        <v>0</v>
      </c>
      <c r="I143" s="23">
        <f t="shared" si="5"/>
        <v>0</v>
      </c>
      <c r="J143" s="23">
        <f t="shared" ref="J143:N143" si="6">SUM(J8:J142)</f>
        <v>0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44AEAC"/>
  </sheetPr>
  <dimension ref="A1:Y275"/>
  <sheetViews>
    <sheetView showGridLines="0" zoomScale="80" zoomScaleNormal="80" workbookViewId="0"/>
  </sheetViews>
  <sheetFormatPr baseColWidth="10" defaultColWidth="12" defaultRowHeight="14.25" x14ac:dyDescent="0.2"/>
  <cols>
    <col min="1" max="1" width="41.83203125" style="11" customWidth="1"/>
    <col min="2" max="2" width="24.66406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22" width="12" style="1"/>
    <col min="23" max="23" width="21.1640625" style="1" bestFit="1" customWidth="1"/>
    <col min="24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157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158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31"/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>
        <v>0</v>
      </c>
      <c r="L8" s="16">
        <v>0</v>
      </c>
      <c r="M8" s="16">
        <v>0</v>
      </c>
      <c r="N8" s="18">
        <f t="shared" ref="N8:N39" si="0">SUM(B8:M8)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>
        <v>0</v>
      </c>
      <c r="L9" s="16">
        <v>0</v>
      </c>
      <c r="M9" s="16">
        <v>0</v>
      </c>
      <c r="N9" s="18">
        <f t="shared" si="0"/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>
        <v>0</v>
      </c>
      <c r="L10" s="16">
        <v>0</v>
      </c>
      <c r="M10" s="16">
        <v>0</v>
      </c>
      <c r="N10" s="18">
        <f t="shared" si="0"/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>
        <v>0</v>
      </c>
      <c r="L11" s="16">
        <v>0</v>
      </c>
      <c r="M11" s="16">
        <v>0</v>
      </c>
      <c r="N11" s="18">
        <f t="shared" si="0"/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>
        <v>0</v>
      </c>
      <c r="L12" s="16">
        <v>0</v>
      </c>
      <c r="M12" s="16">
        <v>0</v>
      </c>
      <c r="N12" s="18">
        <f t="shared" si="0"/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>
        <v>0</v>
      </c>
      <c r="L13" s="16">
        <v>0</v>
      </c>
      <c r="M13" s="16">
        <v>0</v>
      </c>
      <c r="N13" s="18">
        <f t="shared" si="0"/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/>
      <c r="C14" s="16"/>
      <c r="D14" s="16"/>
      <c r="E14" s="16"/>
      <c r="F14" s="16"/>
      <c r="G14" s="16"/>
      <c r="H14" s="16"/>
      <c r="I14" s="16"/>
      <c r="J14" s="16"/>
      <c r="K14" s="16">
        <v>0</v>
      </c>
      <c r="L14" s="16">
        <v>0</v>
      </c>
      <c r="M14" s="16">
        <v>0</v>
      </c>
      <c r="N14" s="18">
        <f t="shared" si="0"/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>
        <v>0</v>
      </c>
      <c r="L15" s="16">
        <v>0</v>
      </c>
      <c r="M15" s="16">
        <v>0</v>
      </c>
      <c r="N15" s="18">
        <f t="shared" si="0"/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/>
      <c r="C16" s="16"/>
      <c r="D16" s="16"/>
      <c r="E16" s="16"/>
      <c r="F16" s="16"/>
      <c r="G16" s="16"/>
      <c r="H16" s="16"/>
      <c r="I16" s="16"/>
      <c r="J16" s="16"/>
      <c r="K16" s="16">
        <v>0</v>
      </c>
      <c r="L16" s="16">
        <v>0</v>
      </c>
      <c r="M16" s="16">
        <v>0</v>
      </c>
      <c r="N16" s="18">
        <f t="shared" si="0"/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/>
      <c r="C17" s="16"/>
      <c r="D17" s="16"/>
      <c r="E17" s="16"/>
      <c r="F17" s="16"/>
      <c r="G17" s="16"/>
      <c r="H17" s="16"/>
      <c r="I17" s="16"/>
      <c r="J17" s="16"/>
      <c r="K17" s="16">
        <v>0</v>
      </c>
      <c r="L17" s="16">
        <v>0</v>
      </c>
      <c r="M17" s="16">
        <v>0</v>
      </c>
      <c r="N17" s="18">
        <f t="shared" si="0"/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/>
      <c r="C18" s="16"/>
      <c r="D18" s="16"/>
      <c r="E18" s="16"/>
      <c r="F18" s="16"/>
      <c r="G18" s="16"/>
      <c r="H18" s="16"/>
      <c r="I18" s="16"/>
      <c r="J18" s="16"/>
      <c r="K18" s="16">
        <v>0</v>
      </c>
      <c r="L18" s="16">
        <v>0</v>
      </c>
      <c r="M18" s="16">
        <v>0</v>
      </c>
      <c r="N18" s="18">
        <f t="shared" si="0"/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/>
      <c r="C19" s="16"/>
      <c r="D19" s="16"/>
      <c r="E19" s="16"/>
      <c r="F19" s="16"/>
      <c r="G19" s="16"/>
      <c r="H19" s="16"/>
      <c r="I19" s="16"/>
      <c r="J19" s="16"/>
      <c r="K19" s="16">
        <v>0</v>
      </c>
      <c r="L19" s="16">
        <v>0</v>
      </c>
      <c r="M19" s="16">
        <v>0</v>
      </c>
      <c r="N19" s="18">
        <f t="shared" si="0"/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>
        <v>0</v>
      </c>
      <c r="L20" s="16">
        <v>0</v>
      </c>
      <c r="M20" s="16">
        <v>0</v>
      </c>
      <c r="N20" s="18">
        <f t="shared" si="0"/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/>
      <c r="C21" s="16"/>
      <c r="D21" s="16"/>
      <c r="E21" s="16"/>
      <c r="F21" s="16"/>
      <c r="G21" s="16"/>
      <c r="H21" s="16"/>
      <c r="I21" s="16"/>
      <c r="J21" s="16"/>
      <c r="K21" s="16">
        <v>0</v>
      </c>
      <c r="L21" s="16">
        <v>0</v>
      </c>
      <c r="M21" s="16">
        <v>0</v>
      </c>
      <c r="N21" s="18">
        <f t="shared" si="0"/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/>
      <c r="C22" s="16"/>
      <c r="D22" s="16"/>
      <c r="E22" s="16"/>
      <c r="F22" s="16"/>
      <c r="G22" s="16"/>
      <c r="H22" s="16"/>
      <c r="I22" s="16"/>
      <c r="J22" s="16"/>
      <c r="K22" s="16">
        <v>0</v>
      </c>
      <c r="L22" s="16">
        <v>0</v>
      </c>
      <c r="M22" s="16">
        <v>0</v>
      </c>
      <c r="N22" s="18">
        <f t="shared" si="0"/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/>
      <c r="C23" s="16"/>
      <c r="D23" s="16"/>
      <c r="E23" s="16"/>
      <c r="F23" s="16"/>
      <c r="G23" s="16"/>
      <c r="H23" s="16"/>
      <c r="I23" s="16"/>
      <c r="J23" s="16"/>
      <c r="K23" s="16">
        <v>0</v>
      </c>
      <c r="L23" s="16">
        <v>0</v>
      </c>
      <c r="M23" s="16">
        <v>0</v>
      </c>
      <c r="N23" s="18">
        <f t="shared" si="0"/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/>
      <c r="C24" s="16"/>
      <c r="D24" s="16"/>
      <c r="E24" s="16"/>
      <c r="F24" s="16"/>
      <c r="G24" s="16"/>
      <c r="H24" s="16"/>
      <c r="I24" s="16"/>
      <c r="J24" s="16"/>
      <c r="K24" s="16">
        <v>0</v>
      </c>
      <c r="L24" s="16">
        <v>0</v>
      </c>
      <c r="M24" s="16">
        <v>0</v>
      </c>
      <c r="N24" s="18">
        <f t="shared" si="0"/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/>
      <c r="C25" s="16"/>
      <c r="D25" s="16"/>
      <c r="E25" s="16"/>
      <c r="F25" s="16"/>
      <c r="G25" s="16"/>
      <c r="H25" s="16"/>
      <c r="I25" s="16"/>
      <c r="J25" s="16"/>
      <c r="K25" s="16">
        <v>0</v>
      </c>
      <c r="L25" s="16">
        <v>0</v>
      </c>
      <c r="M25" s="16">
        <v>0</v>
      </c>
      <c r="N25" s="18">
        <f t="shared" si="0"/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>
        <v>0</v>
      </c>
      <c r="L26" s="16">
        <v>0</v>
      </c>
      <c r="M26" s="16">
        <v>0</v>
      </c>
      <c r="N26" s="18">
        <f t="shared" si="0"/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>
        <v>0</v>
      </c>
      <c r="L27" s="16">
        <v>0</v>
      </c>
      <c r="M27" s="16">
        <v>0</v>
      </c>
      <c r="N27" s="18">
        <f t="shared" si="0"/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>
        <v>0</v>
      </c>
      <c r="L28" s="16">
        <v>0</v>
      </c>
      <c r="M28" s="16">
        <v>0</v>
      </c>
      <c r="N28" s="18">
        <f t="shared" si="0"/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>
        <v>0</v>
      </c>
      <c r="L29" s="16">
        <v>0</v>
      </c>
      <c r="M29" s="16">
        <v>0</v>
      </c>
      <c r="N29" s="18">
        <f t="shared" si="0"/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>
        <v>0</v>
      </c>
      <c r="L30" s="16">
        <v>0</v>
      </c>
      <c r="M30" s="16">
        <v>0</v>
      </c>
      <c r="N30" s="18">
        <f t="shared" si="0"/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>
        <v>0</v>
      </c>
      <c r="L31" s="16">
        <v>0</v>
      </c>
      <c r="M31" s="16">
        <v>0</v>
      </c>
      <c r="N31" s="18">
        <f t="shared" si="0"/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/>
      <c r="C32" s="16"/>
      <c r="D32" s="16"/>
      <c r="E32" s="16"/>
      <c r="F32" s="16"/>
      <c r="G32" s="16"/>
      <c r="H32" s="16"/>
      <c r="I32" s="16"/>
      <c r="J32" s="16"/>
      <c r="K32" s="16">
        <v>0</v>
      </c>
      <c r="L32" s="16">
        <v>0</v>
      </c>
      <c r="M32" s="16">
        <v>0</v>
      </c>
      <c r="N32" s="18">
        <f t="shared" si="0"/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/>
      <c r="C33" s="16"/>
      <c r="D33" s="16"/>
      <c r="E33" s="16"/>
      <c r="F33" s="16"/>
      <c r="G33" s="16"/>
      <c r="H33" s="16"/>
      <c r="I33" s="16"/>
      <c r="J33" s="16"/>
      <c r="K33" s="16">
        <v>0</v>
      </c>
      <c r="L33" s="16">
        <v>0</v>
      </c>
      <c r="M33" s="16">
        <v>0</v>
      </c>
      <c r="N33" s="18">
        <f t="shared" si="0"/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/>
      <c r="C34" s="16"/>
      <c r="D34" s="16"/>
      <c r="E34" s="16"/>
      <c r="F34" s="16"/>
      <c r="G34" s="16"/>
      <c r="H34" s="16"/>
      <c r="I34" s="16"/>
      <c r="J34" s="16"/>
      <c r="K34" s="16">
        <v>0</v>
      </c>
      <c r="L34" s="16">
        <v>0</v>
      </c>
      <c r="M34" s="16">
        <v>0</v>
      </c>
      <c r="N34" s="18">
        <f t="shared" si="0"/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/>
      <c r="C35" s="16"/>
      <c r="D35" s="16"/>
      <c r="E35" s="16"/>
      <c r="F35" s="16"/>
      <c r="G35" s="16"/>
      <c r="H35" s="16"/>
      <c r="I35" s="16"/>
      <c r="J35" s="16"/>
      <c r="K35" s="16">
        <v>0</v>
      </c>
      <c r="L35" s="16">
        <v>0</v>
      </c>
      <c r="M35" s="16">
        <v>0</v>
      </c>
      <c r="N35" s="18">
        <f t="shared" si="0"/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/>
      <c r="C36" s="16"/>
      <c r="D36" s="16"/>
      <c r="E36" s="16"/>
      <c r="F36" s="16"/>
      <c r="G36" s="16"/>
      <c r="H36" s="16"/>
      <c r="I36" s="16"/>
      <c r="J36" s="16"/>
      <c r="K36" s="16">
        <v>0</v>
      </c>
      <c r="L36" s="16">
        <v>0</v>
      </c>
      <c r="M36" s="16">
        <v>0</v>
      </c>
      <c r="N36" s="18">
        <f t="shared" si="0"/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/>
      <c r="C37" s="16"/>
      <c r="D37" s="16"/>
      <c r="E37" s="16"/>
      <c r="F37" s="16"/>
      <c r="G37" s="16"/>
      <c r="H37" s="16"/>
      <c r="I37" s="16"/>
      <c r="J37" s="16"/>
      <c r="K37" s="16">
        <v>0</v>
      </c>
      <c r="L37" s="16">
        <v>0</v>
      </c>
      <c r="M37" s="16">
        <v>0</v>
      </c>
      <c r="N37" s="18">
        <f t="shared" si="0"/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/>
      <c r="C38" s="16"/>
      <c r="D38" s="16"/>
      <c r="E38" s="16"/>
      <c r="F38" s="16"/>
      <c r="G38" s="16"/>
      <c r="H38" s="16"/>
      <c r="I38" s="16"/>
      <c r="J38" s="16"/>
      <c r="K38" s="16">
        <v>0</v>
      </c>
      <c r="L38" s="16">
        <v>0</v>
      </c>
      <c r="M38" s="16">
        <v>0</v>
      </c>
      <c r="N38" s="18">
        <f t="shared" si="0"/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/>
      <c r="C39" s="16"/>
      <c r="D39" s="16"/>
      <c r="E39" s="16"/>
      <c r="F39" s="16"/>
      <c r="G39" s="16"/>
      <c r="H39" s="16"/>
      <c r="I39" s="16"/>
      <c r="J39" s="16"/>
      <c r="K39" s="16">
        <v>0</v>
      </c>
      <c r="L39" s="16">
        <v>0</v>
      </c>
      <c r="M39" s="16">
        <v>0</v>
      </c>
      <c r="N39" s="18">
        <f t="shared" si="0"/>
        <v>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/>
      <c r="C40" s="16"/>
      <c r="D40" s="16"/>
      <c r="E40" s="16"/>
      <c r="F40" s="16"/>
      <c r="G40" s="16"/>
      <c r="H40" s="16"/>
      <c r="I40" s="16"/>
      <c r="J40" s="16"/>
      <c r="K40" s="16">
        <v>0</v>
      </c>
      <c r="L40" s="16">
        <v>0</v>
      </c>
      <c r="M40" s="16">
        <v>0</v>
      </c>
      <c r="N40" s="18">
        <f t="shared" ref="N40:N71" si="1">SUM(B40:M40)</f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/>
      <c r="C41" s="16"/>
      <c r="D41" s="16"/>
      <c r="E41" s="16"/>
      <c r="F41" s="16"/>
      <c r="G41" s="16"/>
      <c r="H41" s="16"/>
      <c r="I41" s="16"/>
      <c r="J41" s="16"/>
      <c r="K41" s="16">
        <v>0</v>
      </c>
      <c r="L41" s="16">
        <v>0</v>
      </c>
      <c r="M41" s="16">
        <v>0</v>
      </c>
      <c r="N41" s="18">
        <f t="shared" si="1"/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/>
      <c r="C42" s="16"/>
      <c r="D42" s="16"/>
      <c r="E42" s="16"/>
      <c r="F42" s="16"/>
      <c r="G42" s="16"/>
      <c r="H42" s="16"/>
      <c r="I42" s="16"/>
      <c r="J42" s="16"/>
      <c r="K42" s="16">
        <v>0</v>
      </c>
      <c r="L42" s="16">
        <v>0</v>
      </c>
      <c r="M42" s="16">
        <v>0</v>
      </c>
      <c r="N42" s="18">
        <f t="shared" si="1"/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/>
      <c r="C43" s="16"/>
      <c r="D43" s="16"/>
      <c r="E43" s="16"/>
      <c r="F43" s="16"/>
      <c r="G43" s="16"/>
      <c r="H43" s="16"/>
      <c r="I43" s="16"/>
      <c r="J43" s="16"/>
      <c r="K43" s="16">
        <v>0</v>
      </c>
      <c r="L43" s="16">
        <v>0</v>
      </c>
      <c r="M43" s="16">
        <v>0</v>
      </c>
      <c r="N43" s="18">
        <f t="shared" si="1"/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/>
      <c r="C44" s="16"/>
      <c r="D44" s="16"/>
      <c r="E44" s="16"/>
      <c r="F44" s="16"/>
      <c r="G44" s="16"/>
      <c r="H44" s="16"/>
      <c r="I44" s="16"/>
      <c r="J44" s="16"/>
      <c r="K44" s="16">
        <v>0</v>
      </c>
      <c r="L44" s="16">
        <v>0</v>
      </c>
      <c r="M44" s="16">
        <v>0</v>
      </c>
      <c r="N44" s="18">
        <f t="shared" si="1"/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/>
      <c r="C45" s="16"/>
      <c r="D45" s="16"/>
      <c r="E45" s="16"/>
      <c r="F45" s="16"/>
      <c r="G45" s="16"/>
      <c r="H45" s="16"/>
      <c r="I45" s="16"/>
      <c r="J45" s="16"/>
      <c r="K45" s="16">
        <v>0</v>
      </c>
      <c r="L45" s="16">
        <v>0</v>
      </c>
      <c r="M45" s="16">
        <v>0</v>
      </c>
      <c r="N45" s="18">
        <f t="shared" si="1"/>
        <v>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/>
      <c r="C46" s="16"/>
      <c r="D46" s="16"/>
      <c r="E46" s="16"/>
      <c r="F46" s="16"/>
      <c r="G46" s="16"/>
      <c r="H46" s="16"/>
      <c r="I46" s="16"/>
      <c r="J46" s="16"/>
      <c r="K46" s="16">
        <v>0</v>
      </c>
      <c r="L46" s="16">
        <v>0</v>
      </c>
      <c r="M46" s="16">
        <v>0</v>
      </c>
      <c r="N46" s="18">
        <f t="shared" si="1"/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/>
      <c r="C47" s="16"/>
      <c r="D47" s="16"/>
      <c r="E47" s="16"/>
      <c r="F47" s="16"/>
      <c r="G47" s="16"/>
      <c r="H47" s="16"/>
      <c r="I47" s="16"/>
      <c r="J47" s="16"/>
      <c r="K47" s="16">
        <v>0</v>
      </c>
      <c r="L47" s="16">
        <v>0</v>
      </c>
      <c r="M47" s="16">
        <v>0</v>
      </c>
      <c r="N47" s="18">
        <f t="shared" si="1"/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/>
      <c r="C48" s="16"/>
      <c r="D48" s="16"/>
      <c r="E48" s="16"/>
      <c r="F48" s="16"/>
      <c r="G48" s="16"/>
      <c r="H48" s="16"/>
      <c r="I48" s="16"/>
      <c r="J48" s="16"/>
      <c r="K48" s="16">
        <v>0</v>
      </c>
      <c r="L48" s="16">
        <v>0</v>
      </c>
      <c r="M48" s="16">
        <v>0</v>
      </c>
      <c r="N48" s="18">
        <f t="shared" si="1"/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/>
      <c r="C49" s="16"/>
      <c r="D49" s="16"/>
      <c r="E49" s="16"/>
      <c r="F49" s="16"/>
      <c r="G49" s="16"/>
      <c r="H49" s="16"/>
      <c r="I49" s="16"/>
      <c r="J49" s="16"/>
      <c r="K49" s="16">
        <v>0</v>
      </c>
      <c r="L49" s="16">
        <v>0</v>
      </c>
      <c r="M49" s="16">
        <v>0</v>
      </c>
      <c r="N49" s="18">
        <f t="shared" si="1"/>
        <v>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/>
      <c r="C50" s="16"/>
      <c r="D50" s="16"/>
      <c r="E50" s="16"/>
      <c r="F50" s="16"/>
      <c r="G50" s="16"/>
      <c r="H50" s="16"/>
      <c r="I50" s="16"/>
      <c r="J50" s="16"/>
      <c r="K50" s="16">
        <v>0</v>
      </c>
      <c r="L50" s="16">
        <v>0</v>
      </c>
      <c r="M50" s="16">
        <v>0</v>
      </c>
      <c r="N50" s="18">
        <f t="shared" si="1"/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/>
      <c r="C51" s="16"/>
      <c r="D51" s="16"/>
      <c r="E51" s="16"/>
      <c r="F51" s="16"/>
      <c r="G51" s="16"/>
      <c r="H51" s="16"/>
      <c r="I51" s="16"/>
      <c r="J51" s="16"/>
      <c r="K51" s="16">
        <v>0</v>
      </c>
      <c r="L51" s="16">
        <v>0</v>
      </c>
      <c r="M51" s="16">
        <v>0</v>
      </c>
      <c r="N51" s="18">
        <f t="shared" si="1"/>
        <v>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/>
      <c r="C52" s="16"/>
      <c r="D52" s="16"/>
      <c r="E52" s="16"/>
      <c r="F52" s="16"/>
      <c r="G52" s="16"/>
      <c r="H52" s="16"/>
      <c r="I52" s="16"/>
      <c r="J52" s="16"/>
      <c r="K52" s="16">
        <v>0</v>
      </c>
      <c r="L52" s="16">
        <v>0</v>
      </c>
      <c r="M52" s="16">
        <v>0</v>
      </c>
      <c r="N52" s="18">
        <f t="shared" si="1"/>
        <v>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>
        <v>0</v>
      </c>
      <c r="L53" s="16">
        <v>0</v>
      </c>
      <c r="M53" s="16">
        <v>0</v>
      </c>
      <c r="N53" s="18">
        <f t="shared" si="1"/>
        <v>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/>
      <c r="C54" s="16"/>
      <c r="D54" s="16"/>
      <c r="E54" s="16"/>
      <c r="F54" s="16"/>
      <c r="G54" s="16"/>
      <c r="H54" s="16"/>
      <c r="I54" s="16"/>
      <c r="J54" s="16"/>
      <c r="K54" s="16">
        <v>0</v>
      </c>
      <c r="L54" s="16">
        <v>0</v>
      </c>
      <c r="M54" s="16">
        <v>0</v>
      </c>
      <c r="N54" s="18">
        <f t="shared" si="1"/>
        <v>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/>
      <c r="C55" s="16"/>
      <c r="D55" s="16"/>
      <c r="E55" s="16"/>
      <c r="F55" s="16"/>
      <c r="G55" s="16"/>
      <c r="H55" s="16"/>
      <c r="I55" s="16"/>
      <c r="J55" s="16"/>
      <c r="K55" s="16">
        <v>0</v>
      </c>
      <c r="L55" s="16">
        <v>0</v>
      </c>
      <c r="M55" s="16">
        <v>0</v>
      </c>
      <c r="N55" s="18">
        <f t="shared" si="1"/>
        <v>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0</v>
      </c>
      <c r="L56" s="16">
        <v>0</v>
      </c>
      <c r="M56" s="16">
        <v>0</v>
      </c>
      <c r="N56" s="18">
        <f t="shared" si="1"/>
        <v>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/>
      <c r="C57" s="16"/>
      <c r="D57" s="16"/>
      <c r="E57" s="16"/>
      <c r="F57" s="16"/>
      <c r="G57" s="16"/>
      <c r="H57" s="16"/>
      <c r="I57" s="16"/>
      <c r="J57" s="16"/>
      <c r="K57" s="16">
        <v>0</v>
      </c>
      <c r="L57" s="16">
        <v>0</v>
      </c>
      <c r="M57" s="16">
        <v>0</v>
      </c>
      <c r="N57" s="18">
        <f t="shared" si="1"/>
        <v>0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/>
      <c r="C58" s="16"/>
      <c r="D58" s="16"/>
      <c r="E58" s="16"/>
      <c r="F58" s="16"/>
      <c r="G58" s="16"/>
      <c r="H58" s="16"/>
      <c r="I58" s="16"/>
      <c r="J58" s="16"/>
      <c r="K58" s="16">
        <v>0</v>
      </c>
      <c r="L58" s="16">
        <v>0</v>
      </c>
      <c r="M58" s="16">
        <v>0</v>
      </c>
      <c r="N58" s="18">
        <f t="shared" si="1"/>
        <v>0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/>
      <c r="C59" s="16"/>
      <c r="D59" s="16"/>
      <c r="E59" s="16"/>
      <c r="F59" s="16"/>
      <c r="G59" s="16"/>
      <c r="H59" s="16"/>
      <c r="I59" s="16"/>
      <c r="J59" s="16"/>
      <c r="K59" s="16">
        <v>0</v>
      </c>
      <c r="L59" s="16">
        <v>0</v>
      </c>
      <c r="M59" s="16">
        <v>0</v>
      </c>
      <c r="N59" s="18">
        <f t="shared" si="1"/>
        <v>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/>
      <c r="C60" s="16"/>
      <c r="D60" s="16"/>
      <c r="E60" s="16"/>
      <c r="F60" s="16"/>
      <c r="G60" s="16"/>
      <c r="H60" s="16"/>
      <c r="I60" s="16"/>
      <c r="J60" s="16"/>
      <c r="K60" s="16">
        <v>0</v>
      </c>
      <c r="L60" s="16">
        <v>0</v>
      </c>
      <c r="M60" s="16">
        <v>0</v>
      </c>
      <c r="N60" s="18">
        <f t="shared" si="1"/>
        <v>0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/>
      <c r="C61" s="16"/>
      <c r="D61" s="16"/>
      <c r="E61" s="16"/>
      <c r="F61" s="16"/>
      <c r="G61" s="16"/>
      <c r="H61" s="16"/>
      <c r="I61" s="16"/>
      <c r="J61" s="16"/>
      <c r="K61" s="16">
        <v>0</v>
      </c>
      <c r="L61" s="16">
        <v>0</v>
      </c>
      <c r="M61" s="16">
        <v>0</v>
      </c>
      <c r="N61" s="18">
        <f t="shared" si="1"/>
        <v>0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/>
      <c r="C62" s="16"/>
      <c r="D62" s="16"/>
      <c r="E62" s="16"/>
      <c r="F62" s="16"/>
      <c r="G62" s="16"/>
      <c r="H62" s="16"/>
      <c r="I62" s="16"/>
      <c r="J62" s="16"/>
      <c r="K62" s="16">
        <v>0</v>
      </c>
      <c r="L62" s="16">
        <v>0</v>
      </c>
      <c r="M62" s="16">
        <v>0</v>
      </c>
      <c r="N62" s="18">
        <f t="shared" si="1"/>
        <v>0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/>
      <c r="C63" s="16"/>
      <c r="D63" s="16"/>
      <c r="E63" s="16"/>
      <c r="F63" s="16"/>
      <c r="G63" s="16"/>
      <c r="H63" s="16"/>
      <c r="I63" s="16"/>
      <c r="J63" s="16"/>
      <c r="K63" s="16">
        <v>0</v>
      </c>
      <c r="L63" s="16">
        <v>0</v>
      </c>
      <c r="M63" s="16">
        <v>0</v>
      </c>
      <c r="N63" s="18">
        <f t="shared" si="1"/>
        <v>0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/>
      <c r="C64" s="16"/>
      <c r="D64" s="16"/>
      <c r="E64" s="16"/>
      <c r="F64" s="16"/>
      <c r="G64" s="16"/>
      <c r="H64" s="16"/>
      <c r="I64" s="16"/>
      <c r="J64" s="16"/>
      <c r="K64" s="16">
        <v>0</v>
      </c>
      <c r="L64" s="16">
        <v>0</v>
      </c>
      <c r="M64" s="16">
        <v>0</v>
      </c>
      <c r="N64" s="18">
        <f t="shared" si="1"/>
        <v>0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</v>
      </c>
      <c r="L65" s="16">
        <v>0</v>
      </c>
      <c r="M65" s="16">
        <v>0</v>
      </c>
      <c r="N65" s="18">
        <f t="shared" si="1"/>
        <v>0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/>
      <c r="C66" s="16"/>
      <c r="D66" s="16"/>
      <c r="E66" s="16"/>
      <c r="F66" s="16"/>
      <c r="G66" s="16"/>
      <c r="H66" s="16"/>
      <c r="I66" s="16"/>
      <c r="J66" s="16"/>
      <c r="K66" s="16">
        <v>0</v>
      </c>
      <c r="L66" s="16">
        <v>0</v>
      </c>
      <c r="M66" s="16">
        <v>0</v>
      </c>
      <c r="N66" s="18">
        <f t="shared" si="1"/>
        <v>0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/>
      <c r="C67" s="16"/>
      <c r="D67" s="16"/>
      <c r="E67" s="16"/>
      <c r="F67" s="16"/>
      <c r="G67" s="16"/>
      <c r="H67" s="16"/>
      <c r="I67" s="16"/>
      <c r="J67" s="16"/>
      <c r="K67" s="16">
        <v>0</v>
      </c>
      <c r="L67" s="16">
        <v>0</v>
      </c>
      <c r="M67" s="16">
        <v>0</v>
      </c>
      <c r="N67" s="18">
        <f t="shared" si="1"/>
        <v>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/>
      <c r="C68" s="16"/>
      <c r="D68" s="16"/>
      <c r="E68" s="16"/>
      <c r="F68" s="16"/>
      <c r="G68" s="16"/>
      <c r="H68" s="16"/>
      <c r="I68" s="16"/>
      <c r="J68" s="16"/>
      <c r="K68" s="16">
        <v>0</v>
      </c>
      <c r="L68" s="16">
        <v>0</v>
      </c>
      <c r="M68" s="16">
        <v>0</v>
      </c>
      <c r="N68" s="18">
        <f t="shared" si="1"/>
        <v>0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/>
      <c r="C69" s="16"/>
      <c r="D69" s="16"/>
      <c r="E69" s="16"/>
      <c r="F69" s="16"/>
      <c r="G69" s="16"/>
      <c r="H69" s="16"/>
      <c r="I69" s="16"/>
      <c r="J69" s="16"/>
      <c r="K69" s="16">
        <v>0</v>
      </c>
      <c r="L69" s="16">
        <v>0</v>
      </c>
      <c r="M69" s="16">
        <v>0</v>
      </c>
      <c r="N69" s="18">
        <f t="shared" si="1"/>
        <v>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/>
      <c r="C70" s="16"/>
      <c r="D70" s="16"/>
      <c r="E70" s="16"/>
      <c r="F70" s="16"/>
      <c r="G70" s="16"/>
      <c r="H70" s="16"/>
      <c r="I70" s="16"/>
      <c r="J70" s="16"/>
      <c r="K70" s="16">
        <v>0</v>
      </c>
      <c r="L70" s="16">
        <v>0</v>
      </c>
      <c r="M70" s="16">
        <v>0</v>
      </c>
      <c r="N70" s="18">
        <f t="shared" si="1"/>
        <v>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/>
      <c r="C71" s="16"/>
      <c r="D71" s="16"/>
      <c r="E71" s="16"/>
      <c r="F71" s="16"/>
      <c r="G71" s="16"/>
      <c r="H71" s="16"/>
      <c r="I71" s="16"/>
      <c r="J71" s="16"/>
      <c r="K71" s="16">
        <v>0</v>
      </c>
      <c r="L71" s="16">
        <v>0</v>
      </c>
      <c r="M71" s="16">
        <v>0</v>
      </c>
      <c r="N71" s="18">
        <f t="shared" si="1"/>
        <v>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/>
      <c r="C72" s="16"/>
      <c r="D72" s="16"/>
      <c r="E72" s="16"/>
      <c r="F72" s="16"/>
      <c r="G72" s="16"/>
      <c r="H72" s="16"/>
      <c r="I72" s="16"/>
      <c r="J72" s="16"/>
      <c r="K72" s="16">
        <v>0</v>
      </c>
      <c r="L72" s="16">
        <v>0</v>
      </c>
      <c r="M72" s="16">
        <v>0</v>
      </c>
      <c r="N72" s="18">
        <f t="shared" ref="N72:N103" si="2">SUM(B72:M72)</f>
        <v>0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/>
      <c r="C73" s="16"/>
      <c r="D73" s="16"/>
      <c r="E73" s="16"/>
      <c r="F73" s="16"/>
      <c r="G73" s="16"/>
      <c r="H73" s="16"/>
      <c r="I73" s="16"/>
      <c r="J73" s="16"/>
      <c r="K73" s="16">
        <v>0</v>
      </c>
      <c r="L73" s="16">
        <v>0</v>
      </c>
      <c r="M73" s="16">
        <v>0</v>
      </c>
      <c r="N73" s="18">
        <f t="shared" si="2"/>
        <v>0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/>
      <c r="C74" s="16"/>
      <c r="D74" s="16"/>
      <c r="E74" s="16"/>
      <c r="F74" s="16"/>
      <c r="G74" s="16"/>
      <c r="H74" s="16"/>
      <c r="I74" s="16"/>
      <c r="J74" s="16"/>
      <c r="K74" s="16">
        <v>0</v>
      </c>
      <c r="L74" s="16">
        <v>0</v>
      </c>
      <c r="M74" s="16">
        <v>0</v>
      </c>
      <c r="N74" s="18">
        <f t="shared" si="2"/>
        <v>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/>
      <c r="C75" s="16"/>
      <c r="D75" s="16"/>
      <c r="E75" s="16"/>
      <c r="F75" s="16"/>
      <c r="G75" s="16"/>
      <c r="H75" s="16"/>
      <c r="I75" s="16"/>
      <c r="J75" s="16"/>
      <c r="K75" s="16">
        <v>0</v>
      </c>
      <c r="L75" s="16">
        <v>0</v>
      </c>
      <c r="M75" s="16">
        <v>0</v>
      </c>
      <c r="N75" s="18">
        <f t="shared" si="2"/>
        <v>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/>
      <c r="C76" s="16"/>
      <c r="D76" s="16"/>
      <c r="E76" s="16"/>
      <c r="F76" s="16"/>
      <c r="G76" s="16"/>
      <c r="H76" s="16"/>
      <c r="I76" s="16"/>
      <c r="J76" s="16"/>
      <c r="K76" s="16">
        <v>0</v>
      </c>
      <c r="L76" s="16">
        <v>0</v>
      </c>
      <c r="M76" s="16">
        <v>0</v>
      </c>
      <c r="N76" s="18">
        <f t="shared" si="2"/>
        <v>0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/>
      <c r="C77" s="16"/>
      <c r="D77" s="16"/>
      <c r="E77" s="16"/>
      <c r="F77" s="16"/>
      <c r="G77" s="16"/>
      <c r="H77" s="16"/>
      <c r="I77" s="16"/>
      <c r="J77" s="16"/>
      <c r="K77" s="16">
        <v>0</v>
      </c>
      <c r="L77" s="16">
        <v>0</v>
      </c>
      <c r="M77" s="16">
        <v>0</v>
      </c>
      <c r="N77" s="18">
        <f t="shared" si="2"/>
        <v>0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/>
      <c r="C78" s="16"/>
      <c r="D78" s="16"/>
      <c r="E78" s="16"/>
      <c r="F78" s="16"/>
      <c r="G78" s="16"/>
      <c r="H78" s="16"/>
      <c r="I78" s="16"/>
      <c r="J78" s="16"/>
      <c r="K78" s="16">
        <v>0</v>
      </c>
      <c r="L78" s="16">
        <v>0</v>
      </c>
      <c r="M78" s="16">
        <v>0</v>
      </c>
      <c r="N78" s="18">
        <f t="shared" si="2"/>
        <v>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/>
      <c r="C79" s="16"/>
      <c r="D79" s="16"/>
      <c r="E79" s="16"/>
      <c r="F79" s="16"/>
      <c r="G79" s="16"/>
      <c r="H79" s="16"/>
      <c r="I79" s="16"/>
      <c r="J79" s="16"/>
      <c r="K79" s="16">
        <v>0</v>
      </c>
      <c r="L79" s="16">
        <v>0</v>
      </c>
      <c r="M79" s="16">
        <v>0</v>
      </c>
      <c r="N79" s="18">
        <f t="shared" si="2"/>
        <v>0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/>
      <c r="C80" s="16"/>
      <c r="D80" s="16"/>
      <c r="E80" s="16"/>
      <c r="F80" s="16"/>
      <c r="G80" s="16"/>
      <c r="H80" s="16"/>
      <c r="I80" s="16"/>
      <c r="J80" s="16"/>
      <c r="K80" s="16">
        <v>0</v>
      </c>
      <c r="L80" s="16">
        <v>0</v>
      </c>
      <c r="M80" s="16">
        <v>0</v>
      </c>
      <c r="N80" s="18">
        <f t="shared" si="2"/>
        <v>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/>
      <c r="C81" s="16"/>
      <c r="D81" s="16"/>
      <c r="E81" s="16"/>
      <c r="F81" s="16"/>
      <c r="G81" s="16"/>
      <c r="H81" s="16"/>
      <c r="I81" s="16"/>
      <c r="J81" s="16"/>
      <c r="K81" s="16">
        <v>0</v>
      </c>
      <c r="L81" s="16">
        <v>0</v>
      </c>
      <c r="M81" s="16">
        <v>0</v>
      </c>
      <c r="N81" s="18">
        <f t="shared" si="2"/>
        <v>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/>
      <c r="C82" s="16"/>
      <c r="D82" s="16"/>
      <c r="E82" s="16"/>
      <c r="F82" s="16"/>
      <c r="G82" s="16"/>
      <c r="H82" s="16"/>
      <c r="I82" s="16"/>
      <c r="J82" s="16"/>
      <c r="K82" s="16">
        <v>0</v>
      </c>
      <c r="L82" s="16">
        <v>0</v>
      </c>
      <c r="M82" s="16">
        <v>0</v>
      </c>
      <c r="N82" s="18">
        <f t="shared" si="2"/>
        <v>0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/>
      <c r="C83" s="16"/>
      <c r="D83" s="16"/>
      <c r="E83" s="16"/>
      <c r="F83" s="16"/>
      <c r="G83" s="16"/>
      <c r="H83" s="16"/>
      <c r="I83" s="16"/>
      <c r="J83" s="16"/>
      <c r="K83" s="16">
        <v>0</v>
      </c>
      <c r="L83" s="16">
        <v>0</v>
      </c>
      <c r="M83" s="16">
        <v>0</v>
      </c>
      <c r="N83" s="18">
        <f t="shared" si="2"/>
        <v>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/>
      <c r="C84" s="16"/>
      <c r="D84" s="16"/>
      <c r="E84" s="16"/>
      <c r="F84" s="16"/>
      <c r="G84" s="16"/>
      <c r="H84" s="16"/>
      <c r="I84" s="16"/>
      <c r="J84" s="16"/>
      <c r="K84" s="16">
        <v>0</v>
      </c>
      <c r="L84" s="16">
        <v>0</v>
      </c>
      <c r="M84" s="16">
        <v>0</v>
      </c>
      <c r="N84" s="18">
        <f t="shared" si="2"/>
        <v>0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/>
      <c r="C85" s="16"/>
      <c r="D85" s="16"/>
      <c r="E85" s="16"/>
      <c r="F85" s="16"/>
      <c r="G85" s="16"/>
      <c r="H85" s="16"/>
      <c r="I85" s="16"/>
      <c r="J85" s="16"/>
      <c r="K85" s="16">
        <v>0</v>
      </c>
      <c r="L85" s="16">
        <v>0</v>
      </c>
      <c r="M85" s="16">
        <v>0</v>
      </c>
      <c r="N85" s="18">
        <f t="shared" si="2"/>
        <v>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/>
      <c r="C86" s="16"/>
      <c r="D86" s="16"/>
      <c r="E86" s="16"/>
      <c r="F86" s="16"/>
      <c r="G86" s="16"/>
      <c r="H86" s="16"/>
      <c r="I86" s="16"/>
      <c r="J86" s="16"/>
      <c r="K86" s="16">
        <v>0</v>
      </c>
      <c r="L86" s="16">
        <v>0</v>
      </c>
      <c r="M86" s="16">
        <v>0</v>
      </c>
      <c r="N86" s="18">
        <f t="shared" si="2"/>
        <v>0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/>
      <c r="C87" s="16"/>
      <c r="D87" s="16"/>
      <c r="E87" s="16"/>
      <c r="F87" s="16"/>
      <c r="G87" s="16"/>
      <c r="H87" s="16"/>
      <c r="I87" s="16"/>
      <c r="J87" s="16"/>
      <c r="K87" s="16">
        <v>0</v>
      </c>
      <c r="L87" s="16">
        <v>0</v>
      </c>
      <c r="M87" s="16">
        <v>0</v>
      </c>
      <c r="N87" s="18">
        <f t="shared" si="2"/>
        <v>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/>
      <c r="C88" s="16"/>
      <c r="D88" s="16"/>
      <c r="E88" s="16"/>
      <c r="F88" s="16"/>
      <c r="G88" s="16"/>
      <c r="H88" s="16"/>
      <c r="I88" s="16"/>
      <c r="J88" s="16"/>
      <c r="K88" s="16">
        <v>0</v>
      </c>
      <c r="L88" s="16">
        <v>0</v>
      </c>
      <c r="M88" s="16">
        <v>0</v>
      </c>
      <c r="N88" s="18">
        <f t="shared" si="2"/>
        <v>0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/>
      <c r="C89" s="16"/>
      <c r="D89" s="16"/>
      <c r="E89" s="16"/>
      <c r="F89" s="16"/>
      <c r="G89" s="16"/>
      <c r="H89" s="16"/>
      <c r="I89" s="16"/>
      <c r="J89" s="16"/>
      <c r="K89" s="16">
        <v>0</v>
      </c>
      <c r="L89" s="16">
        <v>0</v>
      </c>
      <c r="M89" s="16">
        <v>0</v>
      </c>
      <c r="N89" s="18">
        <f t="shared" si="2"/>
        <v>0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/>
      <c r="C90" s="16"/>
      <c r="D90" s="16"/>
      <c r="E90" s="16"/>
      <c r="F90" s="16"/>
      <c r="G90" s="16"/>
      <c r="H90" s="16"/>
      <c r="I90" s="16"/>
      <c r="J90" s="16"/>
      <c r="K90" s="16">
        <v>0</v>
      </c>
      <c r="L90" s="16">
        <v>0</v>
      </c>
      <c r="M90" s="16">
        <v>0</v>
      </c>
      <c r="N90" s="18">
        <f t="shared" si="2"/>
        <v>0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/>
      <c r="C91" s="16"/>
      <c r="D91" s="16"/>
      <c r="E91" s="16"/>
      <c r="F91" s="16"/>
      <c r="G91" s="16"/>
      <c r="H91" s="16"/>
      <c r="I91" s="16"/>
      <c r="J91" s="16"/>
      <c r="K91" s="16">
        <v>0</v>
      </c>
      <c r="L91" s="16">
        <v>0</v>
      </c>
      <c r="M91" s="16">
        <v>0</v>
      </c>
      <c r="N91" s="18">
        <f t="shared" si="2"/>
        <v>0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/>
      <c r="C92" s="16"/>
      <c r="D92" s="16"/>
      <c r="E92" s="16"/>
      <c r="F92" s="16"/>
      <c r="G92" s="16"/>
      <c r="H92" s="16"/>
      <c r="I92" s="16"/>
      <c r="J92" s="16"/>
      <c r="K92" s="16">
        <v>0</v>
      </c>
      <c r="L92" s="16">
        <v>0</v>
      </c>
      <c r="M92" s="16">
        <v>0</v>
      </c>
      <c r="N92" s="18">
        <f t="shared" si="2"/>
        <v>0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/>
      <c r="C93" s="16"/>
      <c r="D93" s="16"/>
      <c r="E93" s="16"/>
      <c r="F93" s="16"/>
      <c r="G93" s="16"/>
      <c r="H93" s="16"/>
      <c r="I93" s="16"/>
      <c r="J93" s="16"/>
      <c r="K93" s="16">
        <v>0</v>
      </c>
      <c r="L93" s="16">
        <v>0</v>
      </c>
      <c r="M93" s="16">
        <v>0</v>
      </c>
      <c r="N93" s="18">
        <f t="shared" si="2"/>
        <v>0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/>
      <c r="C94" s="16"/>
      <c r="D94" s="16"/>
      <c r="E94" s="16"/>
      <c r="F94" s="16"/>
      <c r="G94" s="16"/>
      <c r="H94" s="16"/>
      <c r="I94" s="16"/>
      <c r="J94" s="16"/>
      <c r="K94" s="16">
        <v>0</v>
      </c>
      <c r="L94" s="16">
        <v>0</v>
      </c>
      <c r="M94" s="16">
        <v>0</v>
      </c>
      <c r="N94" s="18">
        <f t="shared" si="2"/>
        <v>0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/>
      <c r="C95" s="16"/>
      <c r="D95" s="16"/>
      <c r="E95" s="16"/>
      <c r="F95" s="16"/>
      <c r="G95" s="16"/>
      <c r="H95" s="16"/>
      <c r="I95" s="16"/>
      <c r="J95" s="16"/>
      <c r="K95" s="16">
        <v>0</v>
      </c>
      <c r="L95" s="16">
        <v>0</v>
      </c>
      <c r="M95" s="16">
        <v>0</v>
      </c>
      <c r="N95" s="18">
        <f t="shared" si="2"/>
        <v>0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/>
      <c r="C96" s="16"/>
      <c r="D96" s="16"/>
      <c r="E96" s="16"/>
      <c r="F96" s="16"/>
      <c r="G96" s="16"/>
      <c r="H96" s="16"/>
      <c r="I96" s="16"/>
      <c r="J96" s="16"/>
      <c r="K96" s="16">
        <v>0</v>
      </c>
      <c r="L96" s="16">
        <v>0</v>
      </c>
      <c r="M96" s="16">
        <v>0</v>
      </c>
      <c r="N96" s="18">
        <f t="shared" si="2"/>
        <v>0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/>
      <c r="C97" s="16"/>
      <c r="D97" s="16"/>
      <c r="E97" s="16"/>
      <c r="F97" s="16"/>
      <c r="G97" s="16"/>
      <c r="H97" s="16"/>
      <c r="I97" s="16"/>
      <c r="J97" s="16"/>
      <c r="K97" s="16">
        <v>0</v>
      </c>
      <c r="L97" s="16">
        <v>0</v>
      </c>
      <c r="M97" s="16">
        <v>0</v>
      </c>
      <c r="N97" s="18">
        <f t="shared" si="2"/>
        <v>0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/>
      <c r="C98" s="16"/>
      <c r="D98" s="16"/>
      <c r="E98" s="16"/>
      <c r="F98" s="16"/>
      <c r="G98" s="16"/>
      <c r="H98" s="16"/>
      <c r="I98" s="16"/>
      <c r="J98" s="16"/>
      <c r="K98" s="16">
        <v>0</v>
      </c>
      <c r="L98" s="16">
        <v>0</v>
      </c>
      <c r="M98" s="16">
        <v>0</v>
      </c>
      <c r="N98" s="18">
        <f t="shared" si="2"/>
        <v>0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</v>
      </c>
      <c r="L99" s="16">
        <v>0</v>
      </c>
      <c r="M99" s="16">
        <v>0</v>
      </c>
      <c r="N99" s="18">
        <f t="shared" si="2"/>
        <v>0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>
        <v>0</v>
      </c>
      <c r="L100" s="16">
        <v>0</v>
      </c>
      <c r="M100" s="16">
        <v>0</v>
      </c>
      <c r="N100" s="18">
        <f t="shared" si="2"/>
        <v>0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>
        <v>0</v>
      </c>
      <c r="L101" s="16">
        <v>0</v>
      </c>
      <c r="M101" s="16">
        <v>0</v>
      </c>
      <c r="N101" s="18">
        <f t="shared" si="2"/>
        <v>0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>
        <v>0</v>
      </c>
      <c r="L102" s="16">
        <v>0</v>
      </c>
      <c r="M102" s="16">
        <v>0</v>
      </c>
      <c r="N102" s="18">
        <f t="shared" si="2"/>
        <v>0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>
        <v>0</v>
      </c>
      <c r="L103" s="16">
        <v>0</v>
      </c>
      <c r="M103" s="16">
        <v>0</v>
      </c>
      <c r="N103" s="18">
        <f t="shared" si="2"/>
        <v>0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>
        <v>0</v>
      </c>
      <c r="L104" s="16">
        <v>0</v>
      </c>
      <c r="M104" s="16">
        <v>0</v>
      </c>
      <c r="N104" s="18">
        <f t="shared" ref="N104:N135" si="3">SUM(B104:M104)</f>
        <v>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>
        <v>0</v>
      </c>
      <c r="L105" s="16">
        <v>0</v>
      </c>
      <c r="M105" s="16">
        <v>0</v>
      </c>
      <c r="N105" s="18">
        <f t="shared" si="3"/>
        <v>0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>
        <v>0</v>
      </c>
      <c r="L106" s="16">
        <v>0</v>
      </c>
      <c r="M106" s="16">
        <v>0</v>
      </c>
      <c r="N106" s="18">
        <f t="shared" si="3"/>
        <v>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>
        <v>0</v>
      </c>
      <c r="L107" s="16">
        <v>0</v>
      </c>
      <c r="M107" s="16">
        <v>0</v>
      </c>
      <c r="N107" s="18">
        <f t="shared" si="3"/>
        <v>0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>
        <v>0</v>
      </c>
      <c r="L108" s="16">
        <v>0</v>
      </c>
      <c r="M108" s="16">
        <v>0</v>
      </c>
      <c r="N108" s="18">
        <f t="shared" si="3"/>
        <v>0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>
        <v>0</v>
      </c>
      <c r="L109" s="16">
        <v>0</v>
      </c>
      <c r="M109" s="16">
        <v>0</v>
      </c>
      <c r="N109" s="18">
        <f t="shared" si="3"/>
        <v>0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>
        <v>0</v>
      </c>
      <c r="L110" s="16">
        <v>0</v>
      </c>
      <c r="M110" s="16">
        <v>0</v>
      </c>
      <c r="N110" s="18">
        <f t="shared" si="3"/>
        <v>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>
        <v>0</v>
      </c>
      <c r="L111" s="16">
        <v>0</v>
      </c>
      <c r="M111" s="16">
        <v>0</v>
      </c>
      <c r="N111" s="18">
        <f t="shared" si="3"/>
        <v>0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>
        <v>0</v>
      </c>
      <c r="L112" s="16">
        <v>0</v>
      </c>
      <c r="M112" s="16">
        <v>0</v>
      </c>
      <c r="N112" s="18">
        <f t="shared" si="3"/>
        <v>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>
        <v>0</v>
      </c>
      <c r="L113" s="16">
        <v>0</v>
      </c>
      <c r="M113" s="16">
        <v>0</v>
      </c>
      <c r="N113" s="18">
        <f t="shared" si="3"/>
        <v>0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>
        <v>0</v>
      </c>
      <c r="L114" s="16">
        <v>0</v>
      </c>
      <c r="M114" s="16">
        <v>0</v>
      </c>
      <c r="N114" s="18">
        <f t="shared" si="3"/>
        <v>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>
        <v>0</v>
      </c>
      <c r="L115" s="16">
        <v>0</v>
      </c>
      <c r="M115" s="16">
        <v>0</v>
      </c>
      <c r="N115" s="18">
        <f t="shared" si="3"/>
        <v>0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>
        <v>0</v>
      </c>
      <c r="L116" s="16">
        <v>0</v>
      </c>
      <c r="M116" s="16">
        <v>0</v>
      </c>
      <c r="N116" s="18">
        <f t="shared" si="3"/>
        <v>0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>
        <v>0</v>
      </c>
      <c r="L117" s="16">
        <v>0</v>
      </c>
      <c r="M117" s="16">
        <v>0</v>
      </c>
      <c r="N117" s="18">
        <f t="shared" si="3"/>
        <v>0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>
        <v>0</v>
      </c>
      <c r="L118" s="16">
        <v>0</v>
      </c>
      <c r="M118" s="16">
        <v>0</v>
      </c>
      <c r="N118" s="18">
        <f t="shared" si="3"/>
        <v>0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>
        <v>0</v>
      </c>
      <c r="L119" s="16">
        <v>0</v>
      </c>
      <c r="M119" s="16">
        <v>0</v>
      </c>
      <c r="N119" s="18">
        <f t="shared" si="3"/>
        <v>0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>
        <v>0</v>
      </c>
      <c r="L120" s="16">
        <v>0</v>
      </c>
      <c r="M120" s="16">
        <v>0</v>
      </c>
      <c r="N120" s="18">
        <f t="shared" si="3"/>
        <v>0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>
        <v>0</v>
      </c>
      <c r="L121" s="16">
        <v>0</v>
      </c>
      <c r="M121" s="16">
        <v>0</v>
      </c>
      <c r="N121" s="18">
        <f t="shared" si="3"/>
        <v>0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>
        <v>0</v>
      </c>
      <c r="L122" s="16">
        <v>0</v>
      </c>
      <c r="M122" s="16">
        <v>0</v>
      </c>
      <c r="N122" s="18">
        <f t="shared" si="3"/>
        <v>0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>
        <v>0</v>
      </c>
      <c r="L123" s="16">
        <v>0</v>
      </c>
      <c r="M123" s="16">
        <v>0</v>
      </c>
      <c r="N123" s="18">
        <f t="shared" si="3"/>
        <v>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>
        <v>0</v>
      </c>
      <c r="L124" s="16">
        <v>0</v>
      </c>
      <c r="M124" s="16">
        <v>0</v>
      </c>
      <c r="N124" s="18">
        <f t="shared" si="3"/>
        <v>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>
        <v>0</v>
      </c>
      <c r="L125" s="16">
        <v>0</v>
      </c>
      <c r="M125" s="16">
        <v>0</v>
      </c>
      <c r="N125" s="18">
        <f t="shared" si="3"/>
        <v>0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>
        <v>0</v>
      </c>
      <c r="L126" s="16">
        <v>0</v>
      </c>
      <c r="M126" s="16">
        <v>0</v>
      </c>
      <c r="N126" s="18">
        <f t="shared" si="3"/>
        <v>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>
        <v>0</v>
      </c>
      <c r="L127" s="16">
        <v>0</v>
      </c>
      <c r="M127" s="16">
        <v>0</v>
      </c>
      <c r="N127" s="18">
        <f t="shared" si="3"/>
        <v>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>
        <v>0</v>
      </c>
      <c r="L128" s="16">
        <v>0</v>
      </c>
      <c r="M128" s="16">
        <v>0</v>
      </c>
      <c r="N128" s="18">
        <f t="shared" si="3"/>
        <v>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>
        <v>0</v>
      </c>
      <c r="L129" s="16">
        <v>0</v>
      </c>
      <c r="M129" s="16">
        <v>0</v>
      </c>
      <c r="N129" s="18">
        <f t="shared" si="3"/>
        <v>0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>
        <v>0</v>
      </c>
      <c r="L130" s="16">
        <v>0</v>
      </c>
      <c r="M130" s="16">
        <v>0</v>
      </c>
      <c r="N130" s="18">
        <f t="shared" si="3"/>
        <v>0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>
        <v>0</v>
      </c>
      <c r="L131" s="16">
        <v>0</v>
      </c>
      <c r="M131" s="16">
        <v>0</v>
      </c>
      <c r="N131" s="18">
        <f t="shared" si="3"/>
        <v>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>
        <v>0</v>
      </c>
      <c r="L132" s="16">
        <v>0</v>
      </c>
      <c r="M132" s="16">
        <v>0</v>
      </c>
      <c r="N132" s="18">
        <f t="shared" si="3"/>
        <v>0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>
        <v>0</v>
      </c>
      <c r="L133" s="16">
        <v>0</v>
      </c>
      <c r="M133" s="16">
        <v>0</v>
      </c>
      <c r="N133" s="18">
        <f t="shared" si="3"/>
        <v>0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>
        <v>0</v>
      </c>
      <c r="L134" s="16">
        <v>0</v>
      </c>
      <c r="M134" s="16">
        <v>0</v>
      </c>
      <c r="N134" s="18">
        <f t="shared" si="3"/>
        <v>0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>
        <v>0</v>
      </c>
      <c r="L135" s="16">
        <v>0</v>
      </c>
      <c r="M135" s="16">
        <v>0</v>
      </c>
      <c r="N135" s="18">
        <f t="shared" si="3"/>
        <v>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>
        <v>0</v>
      </c>
      <c r="L136" s="16">
        <v>0</v>
      </c>
      <c r="M136" s="16">
        <v>0</v>
      </c>
      <c r="N136" s="18">
        <f t="shared" ref="N136:N142" si="4">SUM(B136:M136)</f>
        <v>0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>
        <v>0</v>
      </c>
      <c r="L137" s="16">
        <v>0</v>
      </c>
      <c r="M137" s="16">
        <v>0</v>
      </c>
      <c r="N137" s="18">
        <f t="shared" si="4"/>
        <v>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>
        <v>0</v>
      </c>
      <c r="L138" s="16">
        <v>0</v>
      </c>
      <c r="M138" s="16">
        <v>0</v>
      </c>
      <c r="N138" s="18">
        <f t="shared" si="4"/>
        <v>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>
        <v>0</v>
      </c>
      <c r="L139" s="16">
        <v>0</v>
      </c>
      <c r="M139" s="16">
        <v>0</v>
      </c>
      <c r="N139" s="18">
        <f t="shared" si="4"/>
        <v>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>
        <v>0</v>
      </c>
      <c r="L140" s="16">
        <v>0</v>
      </c>
      <c r="M140" s="16">
        <v>0</v>
      </c>
      <c r="N140" s="18">
        <f t="shared" si="4"/>
        <v>0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>
        <v>0</v>
      </c>
      <c r="L141" s="16">
        <v>0</v>
      </c>
      <c r="M141" s="16">
        <v>0</v>
      </c>
      <c r="N141" s="18">
        <f t="shared" si="4"/>
        <v>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>
        <v>0</v>
      </c>
      <c r="L142" s="16">
        <v>0</v>
      </c>
      <c r="M142" s="16">
        <v>0</v>
      </c>
      <c r="N142" s="18">
        <f t="shared" si="4"/>
        <v>0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>SUM(B8:B142)</f>
        <v>0</v>
      </c>
      <c r="C143" s="23">
        <f>SUM(C8:C142)</f>
        <v>0</v>
      </c>
      <c r="D143" s="23">
        <f t="shared" ref="D143:L143" si="5">SUM(D8:D142)</f>
        <v>0</v>
      </c>
      <c r="E143" s="23">
        <f t="shared" si="5"/>
        <v>0</v>
      </c>
      <c r="F143" s="23">
        <f t="shared" si="5"/>
        <v>0</v>
      </c>
      <c r="G143" s="23">
        <f t="shared" si="5"/>
        <v>0</v>
      </c>
      <c r="H143" s="23">
        <f t="shared" si="5"/>
        <v>0</v>
      </c>
      <c r="I143" s="23">
        <f t="shared" si="5"/>
        <v>0</v>
      </c>
      <c r="J143" s="23">
        <f t="shared" si="5"/>
        <v>0</v>
      </c>
      <c r="K143" s="23">
        <f t="shared" si="5"/>
        <v>0</v>
      </c>
      <c r="L143" s="23">
        <f t="shared" si="5"/>
        <v>0</v>
      </c>
      <c r="M143" s="23">
        <f t="shared" ref="M143" si="6">SUM(M8:M142)</f>
        <v>0</v>
      </c>
      <c r="N143" s="23">
        <f>SUM(N8:N142)</f>
        <v>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44AEAC"/>
  </sheetPr>
  <dimension ref="A1:O275"/>
  <sheetViews>
    <sheetView showGridLines="0" zoomScale="80" zoomScaleNormal="80" workbookViewId="0"/>
  </sheetViews>
  <sheetFormatPr baseColWidth="10" defaultColWidth="12" defaultRowHeight="14.25" x14ac:dyDescent="0.2"/>
  <cols>
    <col min="1" max="1" width="41.83203125" style="11" customWidth="1"/>
    <col min="2" max="2" width="23.1640625" style="1" customWidth="1"/>
    <col min="3" max="3" width="23.33203125" style="1" customWidth="1"/>
    <col min="4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1" t="s">
        <v>155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33" t="s">
        <v>2</v>
      </c>
      <c r="B6" s="34" t="s">
        <v>156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5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19" t="s">
        <v>148</v>
      </c>
      <c r="M7" s="19" t="s">
        <v>142</v>
      </c>
      <c r="N7" s="20" t="s">
        <v>140</v>
      </c>
    </row>
    <row r="8" spans="1:15" ht="18" customHeight="1" x14ac:dyDescent="0.2">
      <c r="A8" s="17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8">
        <f t="shared" ref="N8:N39" si="0">SUM(B8:M8)</f>
        <v>0</v>
      </c>
      <c r="O8" s="4"/>
    </row>
    <row r="9" spans="1:15" ht="18" customHeight="1" x14ac:dyDescent="0.2">
      <c r="A9" s="17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8">
        <f t="shared" si="0"/>
        <v>0</v>
      </c>
      <c r="O9" s="4"/>
    </row>
    <row r="10" spans="1:15" ht="18" customHeight="1" x14ac:dyDescent="0.2">
      <c r="A10" s="17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8">
        <f t="shared" si="0"/>
        <v>0</v>
      </c>
      <c r="O10" s="4"/>
    </row>
    <row r="11" spans="1:15" ht="18" customHeight="1" x14ac:dyDescent="0.2">
      <c r="A11" s="17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8">
        <f t="shared" si="0"/>
        <v>0</v>
      </c>
      <c r="O11" s="4"/>
    </row>
    <row r="12" spans="1:15" ht="18" customHeight="1" x14ac:dyDescent="0.2">
      <c r="A12" s="17" t="s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8">
        <f t="shared" si="0"/>
        <v>0</v>
      </c>
      <c r="O12" s="4"/>
    </row>
    <row r="13" spans="1:15" ht="18" customHeight="1" x14ac:dyDescent="0.2">
      <c r="A13" s="17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8">
        <f t="shared" si="0"/>
        <v>0</v>
      </c>
      <c r="O13" s="4"/>
    </row>
    <row r="14" spans="1:15" ht="18" customHeight="1" x14ac:dyDescent="0.2">
      <c r="A14" s="17" t="s">
        <v>9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8">
        <f t="shared" si="0"/>
        <v>0</v>
      </c>
      <c r="O14" s="4"/>
    </row>
    <row r="15" spans="1:15" ht="18" customHeight="1" x14ac:dyDescent="0.2">
      <c r="A15" s="17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8">
        <f t="shared" si="0"/>
        <v>0</v>
      </c>
      <c r="O15" s="4"/>
    </row>
    <row r="16" spans="1:15" ht="18" customHeight="1" x14ac:dyDescent="0.2">
      <c r="A16" s="17" t="s">
        <v>11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8">
        <f t="shared" si="0"/>
        <v>0</v>
      </c>
      <c r="O16" s="4"/>
    </row>
    <row r="17" spans="1:15" ht="15" x14ac:dyDescent="0.2">
      <c r="A17" s="17" t="s">
        <v>12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8">
        <f t="shared" si="0"/>
        <v>0</v>
      </c>
      <c r="O17" s="4"/>
    </row>
    <row r="18" spans="1:15" ht="15" x14ac:dyDescent="0.2">
      <c r="A18" s="17" t="s">
        <v>13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8">
        <f t="shared" si="0"/>
        <v>0</v>
      </c>
      <c r="O18" s="4"/>
    </row>
    <row r="19" spans="1:15" ht="15" x14ac:dyDescent="0.2">
      <c r="A19" s="17" t="s">
        <v>14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8">
        <f t="shared" si="0"/>
        <v>0</v>
      </c>
      <c r="O19" s="4"/>
    </row>
    <row r="20" spans="1:15" ht="15" x14ac:dyDescent="0.2">
      <c r="A20" s="17" t="s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8">
        <f t="shared" si="0"/>
        <v>0</v>
      </c>
      <c r="O20" s="4"/>
    </row>
    <row r="21" spans="1:15" ht="15" x14ac:dyDescent="0.2">
      <c r="A21" s="17" t="s">
        <v>16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8">
        <f t="shared" si="0"/>
        <v>0</v>
      </c>
      <c r="O21" s="4"/>
    </row>
    <row r="22" spans="1:15" ht="15" x14ac:dyDescent="0.2">
      <c r="A22" s="17" t="s">
        <v>17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8">
        <f t="shared" si="0"/>
        <v>0</v>
      </c>
      <c r="O22" s="4"/>
    </row>
    <row r="23" spans="1:15" ht="15" x14ac:dyDescent="0.2">
      <c r="A23" s="17" t="s">
        <v>18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8">
        <f t="shared" si="0"/>
        <v>0</v>
      </c>
      <c r="O23" s="4"/>
    </row>
    <row r="24" spans="1:15" ht="15" x14ac:dyDescent="0.2">
      <c r="A24" s="17" t="s">
        <v>19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8">
        <f t="shared" si="0"/>
        <v>0</v>
      </c>
      <c r="O24" s="4"/>
    </row>
    <row r="25" spans="1:15" ht="15" x14ac:dyDescent="0.2">
      <c r="A25" s="17" t="s">
        <v>20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8">
        <f t="shared" si="0"/>
        <v>0</v>
      </c>
      <c r="O25" s="4"/>
    </row>
    <row r="26" spans="1:15" ht="15" x14ac:dyDescent="0.2">
      <c r="A26" s="17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8">
        <f t="shared" si="0"/>
        <v>0</v>
      </c>
      <c r="O26" s="4"/>
    </row>
    <row r="27" spans="1:15" ht="15" x14ac:dyDescent="0.2">
      <c r="A27" s="17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8">
        <f t="shared" si="0"/>
        <v>0</v>
      </c>
      <c r="O27" s="4"/>
    </row>
    <row r="28" spans="1:15" ht="15" x14ac:dyDescent="0.2">
      <c r="A28" s="17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8">
        <f t="shared" si="0"/>
        <v>0</v>
      </c>
      <c r="O28" s="4"/>
    </row>
    <row r="29" spans="1:15" ht="15" x14ac:dyDescent="0.2">
      <c r="A29" s="17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8">
        <f t="shared" si="0"/>
        <v>0</v>
      </c>
      <c r="O29" s="4"/>
    </row>
    <row r="30" spans="1:15" ht="15" x14ac:dyDescent="0.2">
      <c r="A30" s="17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8">
        <f t="shared" si="0"/>
        <v>0</v>
      </c>
      <c r="O30" s="4"/>
    </row>
    <row r="31" spans="1:15" ht="15" x14ac:dyDescent="0.2">
      <c r="A31" s="17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8">
        <f t="shared" si="0"/>
        <v>0</v>
      </c>
      <c r="O31" s="4"/>
    </row>
    <row r="32" spans="1:15" ht="15" x14ac:dyDescent="0.2">
      <c r="A32" s="17" t="s">
        <v>27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8">
        <f t="shared" si="0"/>
        <v>0</v>
      </c>
      <c r="O32" s="4"/>
    </row>
    <row r="33" spans="1:15" ht="15" x14ac:dyDescent="0.2">
      <c r="A33" s="17" t="s">
        <v>28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8">
        <f t="shared" si="0"/>
        <v>0</v>
      </c>
      <c r="O33" s="4"/>
    </row>
    <row r="34" spans="1:15" ht="15" x14ac:dyDescent="0.2">
      <c r="A34" s="17" t="s">
        <v>29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8">
        <f t="shared" si="0"/>
        <v>0</v>
      </c>
      <c r="O34" s="4"/>
    </row>
    <row r="35" spans="1:15" ht="15" x14ac:dyDescent="0.2">
      <c r="A35" s="17" t="s">
        <v>30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8">
        <f t="shared" si="0"/>
        <v>0</v>
      </c>
      <c r="O35" s="4"/>
    </row>
    <row r="36" spans="1:15" ht="15" x14ac:dyDescent="0.2">
      <c r="A36" s="17" t="s">
        <v>31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8">
        <f t="shared" si="0"/>
        <v>0</v>
      </c>
      <c r="O36" s="4"/>
    </row>
    <row r="37" spans="1:15" ht="15" x14ac:dyDescent="0.2">
      <c r="A37" s="17" t="s">
        <v>32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8">
        <f t="shared" si="0"/>
        <v>0</v>
      </c>
      <c r="O37" s="4"/>
    </row>
    <row r="38" spans="1:15" ht="15" x14ac:dyDescent="0.2">
      <c r="A38" s="17" t="s">
        <v>33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8">
        <f t="shared" si="0"/>
        <v>0</v>
      </c>
      <c r="O38" s="4"/>
    </row>
    <row r="39" spans="1:15" ht="15" x14ac:dyDescent="0.2">
      <c r="A39" s="17" t="s">
        <v>34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8">
        <f t="shared" si="0"/>
        <v>0</v>
      </c>
      <c r="O39" s="4"/>
    </row>
    <row r="40" spans="1:15" ht="15" x14ac:dyDescent="0.2">
      <c r="A40" s="17" t="s">
        <v>35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8">
        <f t="shared" ref="N40:N71" si="1">SUM(B40:M40)</f>
        <v>0</v>
      </c>
      <c r="O40" s="4"/>
    </row>
    <row r="41" spans="1:15" ht="15" x14ac:dyDescent="0.2">
      <c r="A41" s="17" t="s">
        <v>36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8">
        <f t="shared" si="1"/>
        <v>0</v>
      </c>
      <c r="O41" s="4"/>
    </row>
    <row r="42" spans="1:15" ht="15" x14ac:dyDescent="0.2">
      <c r="A42" s="17" t="s">
        <v>37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8">
        <f t="shared" si="1"/>
        <v>0</v>
      </c>
      <c r="O42" s="4"/>
    </row>
    <row r="43" spans="1:15" ht="15" x14ac:dyDescent="0.2">
      <c r="A43" s="17" t="s">
        <v>38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8">
        <f t="shared" si="1"/>
        <v>0</v>
      </c>
      <c r="O43" s="4"/>
    </row>
    <row r="44" spans="1:15" ht="15" x14ac:dyDescent="0.2">
      <c r="A44" s="17" t="s">
        <v>39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8">
        <f t="shared" si="1"/>
        <v>0</v>
      </c>
      <c r="O44" s="4"/>
    </row>
    <row r="45" spans="1:15" ht="15" x14ac:dyDescent="0.2">
      <c r="A45" s="17" t="s">
        <v>40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8">
        <f t="shared" si="1"/>
        <v>0</v>
      </c>
      <c r="O45" s="4"/>
    </row>
    <row r="46" spans="1:15" ht="15" x14ac:dyDescent="0.2">
      <c r="A46" s="17" t="s">
        <v>41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8">
        <f t="shared" si="1"/>
        <v>0</v>
      </c>
      <c r="O46" s="4"/>
    </row>
    <row r="47" spans="1:15" ht="15" x14ac:dyDescent="0.2">
      <c r="A47" s="17" t="s">
        <v>42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8">
        <f t="shared" si="1"/>
        <v>0</v>
      </c>
      <c r="O47" s="4"/>
    </row>
    <row r="48" spans="1:15" ht="15" x14ac:dyDescent="0.2">
      <c r="A48" s="17" t="s">
        <v>43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8">
        <f t="shared" si="1"/>
        <v>0</v>
      </c>
      <c r="O48" s="4"/>
    </row>
    <row r="49" spans="1:15" ht="15" x14ac:dyDescent="0.2">
      <c r="A49" s="17" t="s">
        <v>44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8">
        <f t="shared" si="1"/>
        <v>0</v>
      </c>
      <c r="O49" s="4"/>
    </row>
    <row r="50" spans="1:15" ht="15" x14ac:dyDescent="0.2">
      <c r="A50" s="17" t="s">
        <v>45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8">
        <f t="shared" si="1"/>
        <v>0</v>
      </c>
      <c r="O50" s="4"/>
    </row>
    <row r="51" spans="1:15" ht="15" x14ac:dyDescent="0.2">
      <c r="A51" s="17" t="s">
        <v>46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8">
        <f t="shared" si="1"/>
        <v>0</v>
      </c>
      <c r="O51" s="4"/>
    </row>
    <row r="52" spans="1:15" ht="15" x14ac:dyDescent="0.2">
      <c r="A52" s="17" t="s">
        <v>47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8">
        <f t="shared" si="1"/>
        <v>0</v>
      </c>
      <c r="O52" s="4"/>
    </row>
    <row r="53" spans="1:15" ht="15" x14ac:dyDescent="0.2">
      <c r="A53" s="17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8">
        <f t="shared" si="1"/>
        <v>0</v>
      </c>
      <c r="O53" s="4"/>
    </row>
    <row r="54" spans="1:15" ht="15" x14ac:dyDescent="0.2">
      <c r="A54" s="17" t="s">
        <v>49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8">
        <f t="shared" si="1"/>
        <v>0</v>
      </c>
      <c r="O54" s="4"/>
    </row>
    <row r="55" spans="1:15" ht="15" x14ac:dyDescent="0.2">
      <c r="A55" s="17" t="s">
        <v>50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8">
        <f t="shared" si="1"/>
        <v>0</v>
      </c>
      <c r="O55" s="4"/>
    </row>
    <row r="56" spans="1:15" ht="15" x14ac:dyDescent="0.2">
      <c r="A56" s="17" t="s">
        <v>51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8">
        <f t="shared" si="1"/>
        <v>0</v>
      </c>
      <c r="O56" s="4"/>
    </row>
    <row r="57" spans="1:15" ht="15" x14ac:dyDescent="0.2">
      <c r="A57" s="17" t="s">
        <v>52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8">
        <f t="shared" si="1"/>
        <v>0</v>
      </c>
      <c r="O57" s="4"/>
    </row>
    <row r="58" spans="1:15" ht="15" x14ac:dyDescent="0.2">
      <c r="A58" s="17" t="s">
        <v>53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8">
        <f t="shared" si="1"/>
        <v>0</v>
      </c>
      <c r="O58" s="4"/>
    </row>
    <row r="59" spans="1:15" ht="15" x14ac:dyDescent="0.2">
      <c r="A59" s="17" t="s">
        <v>54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8">
        <f t="shared" si="1"/>
        <v>0</v>
      </c>
      <c r="O59" s="4"/>
    </row>
    <row r="60" spans="1:15" ht="15" x14ac:dyDescent="0.2">
      <c r="A60" s="17" t="s">
        <v>55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8">
        <f t="shared" si="1"/>
        <v>0</v>
      </c>
      <c r="O60" s="4"/>
    </row>
    <row r="61" spans="1:15" ht="15" x14ac:dyDescent="0.2">
      <c r="A61" s="17" t="s">
        <v>56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8">
        <f t="shared" si="1"/>
        <v>0</v>
      </c>
      <c r="O61" s="4"/>
    </row>
    <row r="62" spans="1:15" ht="15" x14ac:dyDescent="0.2">
      <c r="A62" s="17" t="s">
        <v>57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8">
        <f t="shared" si="1"/>
        <v>0</v>
      </c>
      <c r="O62" s="4"/>
    </row>
    <row r="63" spans="1:15" ht="15" x14ac:dyDescent="0.2">
      <c r="A63" s="17" t="s">
        <v>58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8">
        <f t="shared" si="1"/>
        <v>0</v>
      </c>
      <c r="O63" s="4"/>
    </row>
    <row r="64" spans="1:15" ht="15" x14ac:dyDescent="0.2">
      <c r="A64" s="17" t="s">
        <v>59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8">
        <f t="shared" si="1"/>
        <v>0</v>
      </c>
      <c r="O64" s="4"/>
    </row>
    <row r="65" spans="1:15" ht="15" x14ac:dyDescent="0.2">
      <c r="A65" s="17" t="s">
        <v>60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8">
        <f t="shared" si="1"/>
        <v>0</v>
      </c>
      <c r="O65" s="4"/>
    </row>
    <row r="66" spans="1:15" ht="15" x14ac:dyDescent="0.2">
      <c r="A66" s="17" t="s">
        <v>61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8">
        <f t="shared" si="1"/>
        <v>0</v>
      </c>
      <c r="O66" s="4"/>
    </row>
    <row r="67" spans="1:15" ht="15" x14ac:dyDescent="0.2">
      <c r="A67" s="17" t="s">
        <v>62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8">
        <f t="shared" si="1"/>
        <v>0</v>
      </c>
      <c r="O67" s="4"/>
    </row>
    <row r="68" spans="1:15" ht="15" x14ac:dyDescent="0.2">
      <c r="A68" s="17" t="s">
        <v>63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8">
        <f t="shared" si="1"/>
        <v>0</v>
      </c>
      <c r="O68" s="4"/>
    </row>
    <row r="69" spans="1:15" ht="15" x14ac:dyDescent="0.2">
      <c r="A69" s="17" t="s">
        <v>64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8">
        <f t="shared" si="1"/>
        <v>0</v>
      </c>
      <c r="O69" s="4"/>
    </row>
    <row r="70" spans="1:15" ht="15" x14ac:dyDescent="0.2">
      <c r="A70" s="17" t="s">
        <v>65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8">
        <f t="shared" si="1"/>
        <v>0</v>
      </c>
      <c r="O70" s="4"/>
    </row>
    <row r="71" spans="1:15" ht="15" x14ac:dyDescent="0.2">
      <c r="A71" s="17" t="s">
        <v>66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8">
        <f t="shared" si="1"/>
        <v>0</v>
      </c>
      <c r="O71" s="4"/>
    </row>
    <row r="72" spans="1:15" ht="15" x14ac:dyDescent="0.2">
      <c r="A72" s="17" t="s">
        <v>67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8">
        <f t="shared" ref="N72:N103" si="2">SUM(B72:M72)</f>
        <v>0</v>
      </c>
      <c r="O72" s="4"/>
    </row>
    <row r="73" spans="1:15" ht="15" x14ac:dyDescent="0.2">
      <c r="A73" s="17" t="s">
        <v>68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8">
        <f t="shared" si="2"/>
        <v>0</v>
      </c>
      <c r="O73" s="4"/>
    </row>
    <row r="74" spans="1:15" ht="15" x14ac:dyDescent="0.2">
      <c r="A74" s="17" t="s">
        <v>69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8">
        <f t="shared" si="2"/>
        <v>0</v>
      </c>
      <c r="O74" s="4"/>
    </row>
    <row r="75" spans="1:15" ht="15" x14ac:dyDescent="0.2">
      <c r="A75" s="17" t="s">
        <v>70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8">
        <f t="shared" si="2"/>
        <v>0</v>
      </c>
      <c r="O75" s="4"/>
    </row>
    <row r="76" spans="1:15" ht="15" x14ac:dyDescent="0.2">
      <c r="A76" s="17" t="s">
        <v>71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8">
        <f t="shared" si="2"/>
        <v>0</v>
      </c>
      <c r="O76" s="4"/>
    </row>
    <row r="77" spans="1:15" ht="15" x14ac:dyDescent="0.2">
      <c r="A77" s="17" t="s">
        <v>72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8">
        <f t="shared" si="2"/>
        <v>0</v>
      </c>
      <c r="O77" s="4"/>
    </row>
    <row r="78" spans="1:15" ht="15" x14ac:dyDescent="0.2">
      <c r="A78" s="17" t="s">
        <v>73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8">
        <f t="shared" si="2"/>
        <v>0</v>
      </c>
      <c r="O78" s="4"/>
    </row>
    <row r="79" spans="1:15" ht="15" x14ac:dyDescent="0.2">
      <c r="A79" s="17" t="s">
        <v>74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8">
        <f t="shared" si="2"/>
        <v>0</v>
      </c>
      <c r="O79" s="4"/>
    </row>
    <row r="80" spans="1:15" ht="15" x14ac:dyDescent="0.2">
      <c r="A80" s="17" t="s">
        <v>75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8">
        <f t="shared" si="2"/>
        <v>0</v>
      </c>
      <c r="O80" s="4"/>
    </row>
    <row r="81" spans="1:15" ht="15" x14ac:dyDescent="0.2">
      <c r="A81" s="17" t="s">
        <v>76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8">
        <f t="shared" si="2"/>
        <v>0</v>
      </c>
      <c r="O81" s="4"/>
    </row>
    <row r="82" spans="1:15" ht="15" x14ac:dyDescent="0.2">
      <c r="A82" s="17" t="s">
        <v>77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8">
        <f t="shared" si="2"/>
        <v>0</v>
      </c>
      <c r="O82" s="4"/>
    </row>
    <row r="83" spans="1:15" ht="15" x14ac:dyDescent="0.2">
      <c r="A83" s="17" t="s">
        <v>78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8">
        <f t="shared" si="2"/>
        <v>0</v>
      </c>
      <c r="O83" s="4"/>
    </row>
    <row r="84" spans="1:15" ht="15" x14ac:dyDescent="0.2">
      <c r="A84" s="17" t="s">
        <v>79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8">
        <f t="shared" si="2"/>
        <v>0</v>
      </c>
      <c r="O84" s="4"/>
    </row>
    <row r="85" spans="1:15" ht="15" x14ac:dyDescent="0.2">
      <c r="A85" s="17" t="s">
        <v>80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8">
        <f t="shared" si="2"/>
        <v>0</v>
      </c>
      <c r="O85" s="4"/>
    </row>
    <row r="86" spans="1:15" ht="15" x14ac:dyDescent="0.2">
      <c r="A86" s="17" t="s">
        <v>81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8">
        <f t="shared" si="2"/>
        <v>0</v>
      </c>
      <c r="O86" s="4"/>
    </row>
    <row r="87" spans="1:15" ht="15" x14ac:dyDescent="0.2">
      <c r="A87" s="17" t="s">
        <v>82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8">
        <f t="shared" si="2"/>
        <v>0</v>
      </c>
      <c r="O87" s="4"/>
    </row>
    <row r="88" spans="1:15" ht="15" x14ac:dyDescent="0.2">
      <c r="A88" s="17" t="s">
        <v>83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8">
        <f t="shared" si="2"/>
        <v>0</v>
      </c>
      <c r="O88" s="4"/>
    </row>
    <row r="89" spans="1:15" ht="15" x14ac:dyDescent="0.2">
      <c r="A89" s="17" t="s">
        <v>84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8">
        <f t="shared" si="2"/>
        <v>0</v>
      </c>
      <c r="O89" s="4"/>
    </row>
    <row r="90" spans="1:15" ht="15" x14ac:dyDescent="0.2">
      <c r="A90" s="17" t="s">
        <v>85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8">
        <f t="shared" si="2"/>
        <v>0</v>
      </c>
      <c r="O90" s="4"/>
    </row>
    <row r="91" spans="1:15" ht="15" x14ac:dyDescent="0.2">
      <c r="A91" s="17" t="s">
        <v>86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8">
        <f t="shared" si="2"/>
        <v>0</v>
      </c>
      <c r="O91" s="4"/>
    </row>
    <row r="92" spans="1:15" ht="15" x14ac:dyDescent="0.2">
      <c r="A92" s="17" t="s">
        <v>87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8">
        <f t="shared" si="2"/>
        <v>0</v>
      </c>
      <c r="O92" s="4"/>
    </row>
    <row r="93" spans="1:15" ht="15" x14ac:dyDescent="0.2">
      <c r="A93" s="17" t="s">
        <v>88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8">
        <f t="shared" si="2"/>
        <v>0</v>
      </c>
      <c r="O93" s="4"/>
    </row>
    <row r="94" spans="1:15" ht="15" x14ac:dyDescent="0.2">
      <c r="A94" s="17" t="s">
        <v>89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8">
        <f t="shared" si="2"/>
        <v>0</v>
      </c>
      <c r="O94" s="4"/>
    </row>
    <row r="95" spans="1:15" ht="15" x14ac:dyDescent="0.2">
      <c r="A95" s="17" t="s">
        <v>90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8">
        <f t="shared" si="2"/>
        <v>0</v>
      </c>
      <c r="O95" s="4"/>
    </row>
    <row r="96" spans="1:15" ht="15" x14ac:dyDescent="0.2">
      <c r="A96" s="17" t="s">
        <v>91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8">
        <f t="shared" si="2"/>
        <v>0</v>
      </c>
      <c r="O96" s="4"/>
    </row>
    <row r="97" spans="1:15" ht="15" x14ac:dyDescent="0.2">
      <c r="A97" s="17" t="s">
        <v>92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8">
        <f t="shared" si="2"/>
        <v>0</v>
      </c>
      <c r="O97" s="4"/>
    </row>
    <row r="98" spans="1:15" ht="15" x14ac:dyDescent="0.2">
      <c r="A98" s="17" t="s">
        <v>93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8">
        <f t="shared" si="2"/>
        <v>0</v>
      </c>
      <c r="O98" s="4"/>
    </row>
    <row r="99" spans="1:15" ht="15" x14ac:dyDescent="0.2">
      <c r="A99" s="17" t="s">
        <v>94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8">
        <f t="shared" si="2"/>
        <v>0</v>
      </c>
      <c r="O99" s="4"/>
    </row>
    <row r="100" spans="1:15" ht="15" x14ac:dyDescent="0.2">
      <c r="A100" s="17" t="s">
        <v>95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8">
        <f t="shared" si="2"/>
        <v>0</v>
      </c>
      <c r="O100" s="4"/>
    </row>
    <row r="101" spans="1:15" ht="15" x14ac:dyDescent="0.2">
      <c r="A101" s="17" t="s">
        <v>96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8">
        <f t="shared" si="2"/>
        <v>0</v>
      </c>
      <c r="O101" s="4"/>
    </row>
    <row r="102" spans="1:15" ht="15" x14ac:dyDescent="0.2">
      <c r="A102" s="17" t="s">
        <v>97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8">
        <f t="shared" si="2"/>
        <v>0</v>
      </c>
      <c r="O102" s="4"/>
    </row>
    <row r="103" spans="1:15" ht="15" x14ac:dyDescent="0.2">
      <c r="A103" s="17" t="s">
        <v>98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8">
        <f t="shared" si="2"/>
        <v>0</v>
      </c>
      <c r="O103" s="4"/>
    </row>
    <row r="104" spans="1:15" ht="15" x14ac:dyDescent="0.2">
      <c r="A104" s="17" t="s">
        <v>99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8">
        <f t="shared" ref="N104:N135" si="3">SUM(B104:M104)</f>
        <v>0</v>
      </c>
      <c r="O104" s="4"/>
    </row>
    <row r="105" spans="1:15" ht="15" x14ac:dyDescent="0.2">
      <c r="A105" s="17" t="s">
        <v>100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8">
        <f t="shared" si="3"/>
        <v>0</v>
      </c>
      <c r="O105" s="4"/>
    </row>
    <row r="106" spans="1:15" ht="15" x14ac:dyDescent="0.2">
      <c r="A106" s="17" t="s">
        <v>101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8">
        <f t="shared" si="3"/>
        <v>0</v>
      </c>
      <c r="O106" s="4"/>
    </row>
    <row r="107" spans="1:15" ht="15" x14ac:dyDescent="0.2">
      <c r="A107" s="17" t="s">
        <v>102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8">
        <f t="shared" si="3"/>
        <v>0</v>
      </c>
      <c r="O107" s="4"/>
    </row>
    <row r="108" spans="1:15" ht="15" x14ac:dyDescent="0.2">
      <c r="A108" s="17" t="s">
        <v>103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8">
        <f t="shared" si="3"/>
        <v>0</v>
      </c>
      <c r="O108" s="4"/>
    </row>
    <row r="109" spans="1:15" ht="15" x14ac:dyDescent="0.2">
      <c r="A109" s="17" t="s">
        <v>104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8">
        <f t="shared" si="3"/>
        <v>0</v>
      </c>
      <c r="O109" s="4"/>
    </row>
    <row r="110" spans="1:15" ht="15" x14ac:dyDescent="0.2">
      <c r="A110" s="17" t="s">
        <v>105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8">
        <f t="shared" si="3"/>
        <v>0</v>
      </c>
      <c r="O110" s="4"/>
    </row>
    <row r="111" spans="1:15" ht="15" x14ac:dyDescent="0.2">
      <c r="A111" s="17" t="s">
        <v>106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8">
        <f t="shared" si="3"/>
        <v>0</v>
      </c>
      <c r="O111" s="4"/>
    </row>
    <row r="112" spans="1:15" ht="15" x14ac:dyDescent="0.2">
      <c r="A112" s="17" t="s">
        <v>107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8">
        <f t="shared" si="3"/>
        <v>0</v>
      </c>
      <c r="O112" s="4"/>
    </row>
    <row r="113" spans="1:15" ht="15" x14ac:dyDescent="0.2">
      <c r="A113" s="17" t="s">
        <v>108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8">
        <f t="shared" si="3"/>
        <v>0</v>
      </c>
      <c r="O113" s="4"/>
    </row>
    <row r="114" spans="1:15" ht="15" x14ac:dyDescent="0.2">
      <c r="A114" s="17" t="s">
        <v>109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8">
        <f t="shared" si="3"/>
        <v>0</v>
      </c>
      <c r="O114" s="4"/>
    </row>
    <row r="115" spans="1:15" ht="15" x14ac:dyDescent="0.2">
      <c r="A115" s="17" t="s">
        <v>110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8">
        <f t="shared" si="3"/>
        <v>0</v>
      </c>
      <c r="O115" s="4"/>
    </row>
    <row r="116" spans="1:15" ht="15" x14ac:dyDescent="0.2">
      <c r="A116" s="17" t="s">
        <v>111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8">
        <f t="shared" si="3"/>
        <v>0</v>
      </c>
      <c r="O116" s="4"/>
    </row>
    <row r="117" spans="1:15" ht="15" x14ac:dyDescent="0.2">
      <c r="A117" s="17" t="s">
        <v>112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8">
        <f t="shared" si="3"/>
        <v>0</v>
      </c>
      <c r="O117" s="4"/>
    </row>
    <row r="118" spans="1:15" ht="15" x14ac:dyDescent="0.2">
      <c r="A118" s="17" t="s">
        <v>113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8">
        <f t="shared" si="3"/>
        <v>0</v>
      </c>
      <c r="O118" s="4"/>
    </row>
    <row r="119" spans="1:15" ht="15" x14ac:dyDescent="0.2">
      <c r="A119" s="17" t="s">
        <v>114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8">
        <f t="shared" si="3"/>
        <v>0</v>
      </c>
      <c r="O119" s="4"/>
    </row>
    <row r="120" spans="1:15" ht="15" x14ac:dyDescent="0.2">
      <c r="A120" s="17" t="s">
        <v>115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8">
        <f t="shared" si="3"/>
        <v>0</v>
      </c>
      <c r="O120" s="4"/>
    </row>
    <row r="121" spans="1:15" ht="15" x14ac:dyDescent="0.2">
      <c r="A121" s="17" t="s">
        <v>116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8">
        <f t="shared" si="3"/>
        <v>0</v>
      </c>
      <c r="O121" s="4"/>
    </row>
    <row r="122" spans="1:15" ht="15" x14ac:dyDescent="0.2">
      <c r="A122" s="17" t="s">
        <v>117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8">
        <f t="shared" si="3"/>
        <v>0</v>
      </c>
      <c r="O122" s="4"/>
    </row>
    <row r="123" spans="1:15" ht="15" x14ac:dyDescent="0.2">
      <c r="A123" s="17" t="s">
        <v>118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8">
        <f t="shared" si="3"/>
        <v>0</v>
      </c>
      <c r="O123" s="4"/>
    </row>
    <row r="124" spans="1:15" ht="15" x14ac:dyDescent="0.2">
      <c r="A124" s="17" t="s">
        <v>119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8">
        <f t="shared" si="3"/>
        <v>0</v>
      </c>
      <c r="O124" s="4"/>
    </row>
    <row r="125" spans="1:15" ht="15" x14ac:dyDescent="0.2">
      <c r="A125" s="17" t="s">
        <v>120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8">
        <f t="shared" si="3"/>
        <v>0</v>
      </c>
      <c r="O125" s="4"/>
    </row>
    <row r="126" spans="1:15" ht="15" x14ac:dyDescent="0.2">
      <c r="A126" s="17" t="s">
        <v>121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8">
        <f t="shared" si="3"/>
        <v>0</v>
      </c>
      <c r="O126" s="4"/>
    </row>
    <row r="127" spans="1:15" ht="15" x14ac:dyDescent="0.2">
      <c r="A127" s="17" t="s">
        <v>122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8">
        <f t="shared" si="3"/>
        <v>0</v>
      </c>
      <c r="O127" s="4"/>
    </row>
    <row r="128" spans="1:15" ht="15" x14ac:dyDescent="0.2">
      <c r="A128" s="17" t="s">
        <v>123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8">
        <f t="shared" si="3"/>
        <v>0</v>
      </c>
      <c r="O128" s="4"/>
    </row>
    <row r="129" spans="1:15" ht="15" x14ac:dyDescent="0.2">
      <c r="A129" s="17" t="s">
        <v>124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8">
        <f t="shared" si="3"/>
        <v>0</v>
      </c>
      <c r="O129" s="4"/>
    </row>
    <row r="130" spans="1:15" ht="15" x14ac:dyDescent="0.2">
      <c r="A130" s="17" t="s">
        <v>125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8">
        <f t="shared" si="3"/>
        <v>0</v>
      </c>
      <c r="O130" s="4"/>
    </row>
    <row r="131" spans="1:15" ht="15" x14ac:dyDescent="0.2">
      <c r="A131" s="17" t="s">
        <v>126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8">
        <f t="shared" si="3"/>
        <v>0</v>
      </c>
      <c r="O131" s="4"/>
    </row>
    <row r="132" spans="1:15" ht="15" x14ac:dyDescent="0.2">
      <c r="A132" s="17" t="s">
        <v>127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8">
        <f t="shared" si="3"/>
        <v>0</v>
      </c>
      <c r="O132" s="4"/>
    </row>
    <row r="133" spans="1:15" ht="15" x14ac:dyDescent="0.2">
      <c r="A133" s="17" t="s">
        <v>128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8">
        <f t="shared" si="3"/>
        <v>0</v>
      </c>
      <c r="O133" s="4"/>
    </row>
    <row r="134" spans="1:15" ht="15" x14ac:dyDescent="0.2">
      <c r="A134" s="17" t="s">
        <v>129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8">
        <f t="shared" si="3"/>
        <v>0</v>
      </c>
      <c r="O134" s="4"/>
    </row>
    <row r="135" spans="1:15" ht="15" x14ac:dyDescent="0.2">
      <c r="A135" s="17" t="s">
        <v>130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8">
        <f t="shared" si="3"/>
        <v>0</v>
      </c>
      <c r="O135" s="4"/>
    </row>
    <row r="136" spans="1:15" ht="15" x14ac:dyDescent="0.2">
      <c r="A136" s="17" t="s">
        <v>131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8">
        <f t="shared" ref="N136:N142" si="4">SUM(B136:M136)</f>
        <v>0</v>
      </c>
      <c r="O136" s="4"/>
    </row>
    <row r="137" spans="1:15" ht="15" x14ac:dyDescent="0.2">
      <c r="A137" s="17" t="s">
        <v>132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8">
        <f t="shared" si="4"/>
        <v>0</v>
      </c>
      <c r="O137" s="4"/>
    </row>
    <row r="138" spans="1:15" ht="15" x14ac:dyDescent="0.2">
      <c r="A138" s="17" t="s">
        <v>133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8">
        <f t="shared" si="4"/>
        <v>0</v>
      </c>
      <c r="O138" s="4"/>
    </row>
    <row r="139" spans="1:15" ht="15" x14ac:dyDescent="0.2">
      <c r="A139" s="17" t="s">
        <v>134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8">
        <f t="shared" si="4"/>
        <v>0</v>
      </c>
      <c r="O139" s="4"/>
    </row>
    <row r="140" spans="1:15" ht="15" x14ac:dyDescent="0.2">
      <c r="A140" s="17" t="s">
        <v>135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8">
        <f t="shared" si="4"/>
        <v>0</v>
      </c>
      <c r="O140" s="4"/>
    </row>
    <row r="141" spans="1:15" ht="15" x14ac:dyDescent="0.2">
      <c r="A141" s="17" t="s">
        <v>136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8">
        <f t="shared" si="4"/>
        <v>0</v>
      </c>
      <c r="O141" s="4"/>
    </row>
    <row r="142" spans="1:15" ht="15" x14ac:dyDescent="0.2">
      <c r="A142" s="17" t="s">
        <v>137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8">
        <f t="shared" si="4"/>
        <v>0</v>
      </c>
      <c r="O142" s="4"/>
    </row>
    <row r="143" spans="1:15" ht="24.75" customHeight="1" x14ac:dyDescent="0.2">
      <c r="A143" s="22" t="s">
        <v>138</v>
      </c>
      <c r="B143" s="23">
        <f t="shared" ref="B143:I143" si="5">SUM(B8:B142)</f>
        <v>0</v>
      </c>
      <c r="C143" s="23">
        <f t="shared" si="5"/>
        <v>0</v>
      </c>
      <c r="D143" s="23">
        <f t="shared" si="5"/>
        <v>0</v>
      </c>
      <c r="E143" s="23">
        <f t="shared" si="5"/>
        <v>0</v>
      </c>
      <c r="F143" s="23">
        <f t="shared" si="5"/>
        <v>0</v>
      </c>
      <c r="G143" s="23">
        <f t="shared" si="5"/>
        <v>0</v>
      </c>
      <c r="H143" s="23">
        <f t="shared" si="5"/>
        <v>0</v>
      </c>
      <c r="I143" s="23">
        <f t="shared" si="5"/>
        <v>0</v>
      </c>
      <c r="J143" s="23">
        <f t="shared" ref="J143:N143" si="6">SUM(J8:J142)</f>
        <v>0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0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44AEAC"/>
  </sheetPr>
  <dimension ref="A1:Q275"/>
  <sheetViews>
    <sheetView showGridLines="0" zoomScale="80" zoomScaleNormal="80" workbookViewId="0"/>
  </sheetViews>
  <sheetFormatPr baseColWidth="10" defaultColWidth="12" defaultRowHeight="14.25" x14ac:dyDescent="0.2"/>
  <cols>
    <col min="1" max="1" width="41.83203125" style="11" customWidth="1"/>
    <col min="2" max="2" width="26.6640625" style="1" customWidth="1"/>
    <col min="3" max="3" width="22.33203125" style="1" hidden="1" customWidth="1"/>
    <col min="4" max="7" width="22.33203125" style="1" customWidth="1"/>
    <col min="8" max="8" width="25" style="1" customWidth="1"/>
    <col min="9" max="9" width="23.1640625" style="1" customWidth="1"/>
    <col min="10" max="10" width="24.1640625" style="1" customWidth="1"/>
    <col min="11" max="11" width="24.83203125" style="1" customWidth="1"/>
    <col min="12" max="13" width="22.33203125" style="1" hidden="1" customWidth="1"/>
    <col min="14" max="14" width="26.5" style="1" customWidth="1"/>
    <col min="15" max="15" width="12" style="1" customWidth="1"/>
    <col min="16" max="16384" width="12" style="1"/>
  </cols>
  <sheetData>
    <row r="1" spans="1:17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7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ht="17.25" customHeight="1" x14ac:dyDescent="0.25">
      <c r="A3" s="21" t="s">
        <v>0</v>
      </c>
      <c r="B3" s="2"/>
      <c r="C3" s="2"/>
      <c r="D3" s="2"/>
      <c r="E3" s="2"/>
      <c r="F3" s="24"/>
      <c r="G3" s="2"/>
      <c r="H3" s="2"/>
      <c r="I3" s="2"/>
      <c r="J3" s="2"/>
      <c r="K3" s="2"/>
      <c r="L3" s="2"/>
      <c r="M3" s="2"/>
      <c r="N3" s="2"/>
    </row>
    <row r="4" spans="1:17" ht="17.25" customHeight="1" x14ac:dyDescent="0.25">
      <c r="A4" s="21" t="s">
        <v>179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7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7" ht="18.75" customHeight="1" x14ac:dyDescent="0.2">
      <c r="A6" s="33" t="s">
        <v>2</v>
      </c>
      <c r="B6" s="34" t="s">
        <v>180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7" ht="60" customHeight="1" x14ac:dyDescent="0.2">
      <c r="A7" s="33"/>
      <c r="B7" s="19" t="s">
        <v>139</v>
      </c>
      <c r="C7" s="19" t="s">
        <v>177</v>
      </c>
      <c r="D7" s="19" t="s">
        <v>143</v>
      </c>
      <c r="E7" s="19" t="s">
        <v>141</v>
      </c>
      <c r="F7" s="19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28" t="s">
        <v>178</v>
      </c>
      <c r="L7" s="19"/>
      <c r="M7" s="19"/>
      <c r="N7" s="20" t="s">
        <v>140</v>
      </c>
    </row>
    <row r="8" spans="1:17" ht="18" customHeight="1" x14ac:dyDescent="0.2">
      <c r="A8" s="17" t="s">
        <v>3</v>
      </c>
      <c r="B8" s="16">
        <f>ENERO!B8+FEBRERO!B8+MARZO!B8+ABRIL!B8+MAYO!B8+JUNIO!B8+JULIO!B8+AGOSTO!B8+SEPTIEMBRE!B8+OCTUBRE!B8+NOVIEMBRE!B8+DICIEMBRE!B8</f>
        <v>9678523813.2999992</v>
      </c>
      <c r="C8" s="16">
        <f>ENERO!C8+FEBRERO!C8+MARZO!C8+ABRIL!C8+MAYO!C8+JUNIO!C8+JULIO!C8+AGOSTO!C8+SEPTIEMBRE!C8+OCTUBRE!C8+NOVIEMBRE!C8+DICIEMBRE!C8</f>
        <v>0</v>
      </c>
      <c r="D8" s="16">
        <f>ENERO!D8+FEBRERO!D8+MARZO!D8+ABRIL!D8+MAYO!D8+JUNIO!D8+JULIO!D8+AGOSTO!D8+SEPTIEMBRE!D8+OCTUBRE!D8+NOVIEMBRE!D8+DICIEMBRE!D8</f>
        <v>550581480.80396163</v>
      </c>
      <c r="E8" s="16">
        <f>ENERO!E8+FEBRERO!E8+MARZO!E8+ABRIL!E8+MAYO!E8+JUNIO!E8+JULIO!E8+AGOSTO!E8+SEPTIEMBRE!E8+OCTUBRE!E8+NOVIEMBRE!E8+DICIEMBRE!E8</f>
        <v>119742138.46000001</v>
      </c>
      <c r="F8" s="16">
        <f>ENERO!F8+FEBRERO!F8+MARZO!F8+ABRIL!F8+MAYO!F8+JUNIO!F8+JULIO!F8+AGOSTO!F8+SEPTIEMBRE!F8+OCTUBRE!F8+NOVIEMBRE!F8+DICIEMBRE!F8</f>
        <v>27682522.849999998</v>
      </c>
      <c r="G8" s="16">
        <f>ENERO!G8+FEBRERO!G8+MARZO!G8+ABRIL!G8+MAYO!G8+JUNIO!G8+JULIO!G8+AGOSTO!G8+SEPTIEMBRE!G8+OCTUBRE!G8+NOVIEMBRE!G8+DICIEMBRE!G8</f>
        <v>11968055.039999999</v>
      </c>
      <c r="H8" s="16">
        <f>ENERO!H8+FEBRERO!H8+MARZO!H8+ABRIL!H8+MAYO!H8+JUNIO!H8+JULIO!H8+AGOSTO!H8+SEPTIEMBRE!H8+OCTUBRE!H8+NOVIEMBRE!H8+DICIEMBRE!H8</f>
        <v>558401336.97000003</v>
      </c>
      <c r="I8" s="16">
        <f>ENERO!I8+FEBRERO!I8+MARZO!I8+ABRIL!I8+MAYO!I8+JUNIO!I8+JULIO!I8+AGOSTO!I8+SEPTIEMBRE!I8+OCTUBRE!I8+NOVIEMBRE!I8+DICIEMBRE!I8</f>
        <v>74383893.720000014</v>
      </c>
      <c r="J8" s="16">
        <f>ENERO!J8+FEBRERO!J8+MARZO!J8+ABRIL!J8+MAYO!J8+JUNIO!J8+JULIO!J8+AGOSTO!J8+SEPTIEMBRE!J8+OCTUBRE!J8+NOVIEMBRE!J8+DICIEMBRE!J8</f>
        <v>927030582.2299999</v>
      </c>
      <c r="K8" s="16">
        <f>ENERO!K8+FEBRERO!K8+MARZO!K8+ABRIL!K8+MAYO!K8+JUNIO!K8+JULIO!K8+AGOSTO!K8+SEPTIEMBRE!K8+OCTUBRE!K8+NOVIEMBRE!K8+DICIEMBRE!K8</f>
        <v>109098234.45136856</v>
      </c>
      <c r="L8" s="16"/>
      <c r="M8" s="16"/>
      <c r="N8" s="18">
        <f t="shared" ref="N8:N39" si="0">SUM(B8:M8)</f>
        <v>12057412057.825327</v>
      </c>
      <c r="O8" s="4"/>
      <c r="P8" s="4"/>
      <c r="Q8" s="4"/>
    </row>
    <row r="9" spans="1:17" ht="18" customHeight="1" x14ac:dyDescent="0.2">
      <c r="A9" s="17" t="s">
        <v>4</v>
      </c>
      <c r="B9" s="16">
        <f>ENERO!B9+FEBRERO!B9+MARZO!B9+ABRIL!B9+MAYO!B9+JUNIO!B9+JULIO!B9+AGOSTO!B9+SEPTIEMBRE!B9+OCTUBRE!B9+NOVIEMBRE!B9+DICIEMBRE!B9</f>
        <v>5077431385.04</v>
      </c>
      <c r="C9" s="16">
        <f>ENERO!C9+FEBRERO!C9+MARZO!C9+ABRIL!C9+MAYO!C9+JUNIO!C9+JULIO!C9+AGOSTO!C9+SEPTIEMBRE!C9+OCTUBRE!C9+NOVIEMBRE!C9+DICIEMBRE!C9</f>
        <v>0</v>
      </c>
      <c r="D9" s="16">
        <f>ENERO!D9+FEBRERO!D9+MARZO!D9+ABRIL!D9+MAYO!D9+JUNIO!D9+JULIO!D9+AGOSTO!D9+SEPTIEMBRE!D9+OCTUBRE!D9+NOVIEMBRE!D9+DICIEMBRE!D9</f>
        <v>478551419.55334145</v>
      </c>
      <c r="E9" s="16">
        <f>ENERO!E9+FEBRERO!E9+MARZO!E9+ABRIL!E9+MAYO!E9+JUNIO!E9+JULIO!E9+AGOSTO!E9+SEPTIEMBRE!E9+OCTUBRE!E9+NOVIEMBRE!E9+DICIEMBRE!E9</f>
        <v>64671908.750000007</v>
      </c>
      <c r="F9" s="16">
        <f>ENERO!F9+FEBRERO!F9+MARZO!F9+ABRIL!F9+MAYO!F9+JUNIO!F9+JULIO!F9+AGOSTO!F9+SEPTIEMBRE!F9+OCTUBRE!F9+NOVIEMBRE!F9+DICIEMBRE!F9</f>
        <v>19394960.109999999</v>
      </c>
      <c r="G9" s="16">
        <f>ENERO!G9+FEBRERO!G9+MARZO!G9+ABRIL!G9+MAYO!G9+JUNIO!G9+JULIO!G9+AGOSTO!G9+SEPTIEMBRE!G9+OCTUBRE!G9+NOVIEMBRE!G9+DICIEMBRE!G9</f>
        <v>8856360.7400000002</v>
      </c>
      <c r="H9" s="16">
        <f>ENERO!H9+FEBRERO!H9+MARZO!H9+ABRIL!H9+MAYO!H9+JUNIO!H9+JULIO!H9+AGOSTO!H9+SEPTIEMBRE!H9+OCTUBRE!H9+NOVIEMBRE!H9+DICIEMBRE!H9</f>
        <v>295668277.73000002</v>
      </c>
      <c r="I9" s="16">
        <f>ENERO!I9+FEBRERO!I9+MARZO!I9+ABRIL!I9+MAYO!I9+JUNIO!I9+JULIO!I9+AGOSTO!I9+SEPTIEMBRE!I9+OCTUBRE!I9+NOVIEMBRE!I9+DICIEMBRE!I9</f>
        <v>52114926.769999996</v>
      </c>
      <c r="J9" s="16">
        <f>ENERO!J9+FEBRERO!J9+MARZO!J9+ABRIL!J9+MAYO!J9+JUNIO!J9+JULIO!J9+AGOSTO!J9+SEPTIEMBRE!J9+OCTUBRE!J9+NOVIEMBRE!J9+DICIEMBRE!J9</f>
        <v>703014688.59999979</v>
      </c>
      <c r="K9" s="16">
        <f>ENERO!K9+FEBRERO!K9+MARZO!K9+ABRIL!K9+MAYO!K9+JUNIO!K9+JULIO!K9+AGOSTO!K9+SEPTIEMBRE!K9+OCTUBRE!K9+NOVIEMBRE!K9+DICIEMBRE!K9</f>
        <v>60509749.388998166</v>
      </c>
      <c r="L9" s="16"/>
      <c r="M9" s="16"/>
      <c r="N9" s="18">
        <f t="shared" si="0"/>
        <v>6760213676.6823397</v>
      </c>
      <c r="O9" s="4"/>
      <c r="P9" s="4"/>
      <c r="Q9" s="4"/>
    </row>
    <row r="10" spans="1:17" ht="18" customHeight="1" x14ac:dyDescent="0.2">
      <c r="A10" s="17" t="s">
        <v>5</v>
      </c>
      <c r="B10" s="16">
        <f>ENERO!B10+FEBRERO!B10+MARZO!B10+ABRIL!B10+MAYO!B10+JUNIO!B10+JULIO!B10+AGOSTO!B10+SEPTIEMBRE!B10+OCTUBRE!B10+NOVIEMBRE!B10+DICIEMBRE!B10</f>
        <v>5387252204.4800005</v>
      </c>
      <c r="C10" s="16">
        <f>ENERO!C10+FEBRERO!C10+MARZO!C10+ABRIL!C10+MAYO!C10+JUNIO!C10+JULIO!C10+AGOSTO!C10+SEPTIEMBRE!C10+OCTUBRE!C10+NOVIEMBRE!C10+DICIEMBRE!C10</f>
        <v>0</v>
      </c>
      <c r="D10" s="16">
        <f>ENERO!D10+FEBRERO!D10+MARZO!D10+ABRIL!D10+MAYO!D10+JUNIO!D10+JULIO!D10+AGOSTO!D10+SEPTIEMBRE!D10+OCTUBRE!D10+NOVIEMBRE!D10+DICIEMBRE!D10</f>
        <v>335700370.40871048</v>
      </c>
      <c r="E10" s="16">
        <f>ENERO!E10+FEBRERO!E10+MARZO!E10+ABRIL!E10+MAYO!E10+JUNIO!E10+JULIO!E10+AGOSTO!E10+SEPTIEMBRE!E10+OCTUBRE!E10+NOVIEMBRE!E10+DICIEMBRE!E10</f>
        <v>69812368.75</v>
      </c>
      <c r="F10" s="16">
        <f>ENERO!F10+FEBRERO!F10+MARZO!F10+ABRIL!F10+MAYO!F10+JUNIO!F10+JULIO!F10+AGOSTO!F10+SEPTIEMBRE!F10+OCTUBRE!F10+NOVIEMBRE!F10+DICIEMBRE!F10</f>
        <v>13548961.490000002</v>
      </c>
      <c r="G10" s="16">
        <f>ENERO!G10+FEBRERO!G10+MARZO!G10+ABRIL!G10+MAYO!G10+JUNIO!G10+JULIO!G10+AGOSTO!G10+SEPTIEMBRE!G10+OCTUBRE!G10+NOVIEMBRE!G10+DICIEMBRE!G10</f>
        <v>8856360.7400000002</v>
      </c>
      <c r="H10" s="16">
        <f>ENERO!H10+FEBRERO!H10+MARZO!H10+ABRIL!H10+MAYO!H10+JUNIO!H10+JULIO!H10+AGOSTO!H10+SEPTIEMBRE!H10+OCTUBRE!H10+NOVIEMBRE!H10+DICIEMBRE!H10</f>
        <v>314000617.69</v>
      </c>
      <c r="I10" s="16">
        <f>ENERO!I10+FEBRERO!I10+MARZO!I10+ABRIL!I10+MAYO!I10+JUNIO!I10+JULIO!I10+AGOSTO!I10+SEPTIEMBRE!I10+OCTUBRE!I10+NOVIEMBRE!I10+DICIEMBRE!I10</f>
        <v>36406526.869999997</v>
      </c>
      <c r="J10" s="16">
        <f>ENERO!J10+FEBRERO!J10+MARZO!J10+ABRIL!J10+MAYO!J10+JUNIO!J10+JULIO!J10+AGOSTO!J10+SEPTIEMBRE!J10+OCTUBRE!J10+NOVIEMBRE!J10+DICIEMBRE!J10</f>
        <v>415500522.52000004</v>
      </c>
      <c r="K10" s="16">
        <f>ENERO!K10+FEBRERO!K10+MARZO!K10+ABRIL!K10+MAYO!K10+JUNIO!K10+JULIO!K10+AGOSTO!K10+SEPTIEMBRE!K10+OCTUBRE!K10+NOVIEMBRE!K10+DICIEMBRE!K10</f>
        <v>64551530.86424733</v>
      </c>
      <c r="L10" s="16"/>
      <c r="M10" s="16"/>
      <c r="N10" s="18">
        <f t="shared" si="0"/>
        <v>6645629463.8129578</v>
      </c>
      <c r="O10" s="4"/>
      <c r="P10" s="4"/>
      <c r="Q10" s="4"/>
    </row>
    <row r="11" spans="1:17" ht="18" customHeight="1" x14ac:dyDescent="0.2">
      <c r="A11" s="17" t="s">
        <v>6</v>
      </c>
      <c r="B11" s="16">
        <f>ENERO!B11+FEBRERO!B11+MARZO!B11+ABRIL!B11+MAYO!B11+JUNIO!B11+JULIO!B11+AGOSTO!B11+SEPTIEMBRE!B11+OCTUBRE!B11+NOVIEMBRE!B11+DICIEMBRE!B11</f>
        <v>42429834592.26001</v>
      </c>
      <c r="C11" s="16">
        <f>ENERO!C11+FEBRERO!C11+MARZO!C11+ABRIL!C11+MAYO!C11+JUNIO!C11+JULIO!C11+AGOSTO!C11+SEPTIEMBRE!C11+OCTUBRE!C11+NOVIEMBRE!C11+DICIEMBRE!C11</f>
        <v>0</v>
      </c>
      <c r="D11" s="16">
        <f>ENERO!D11+FEBRERO!D11+MARZO!D11+ABRIL!D11+MAYO!D11+JUNIO!D11+JULIO!D11+AGOSTO!D11+SEPTIEMBRE!D11+OCTUBRE!D11+NOVIEMBRE!D11+DICIEMBRE!D11</f>
        <v>362378527.74492019</v>
      </c>
      <c r="E11" s="16">
        <f>ENERO!E11+FEBRERO!E11+MARZO!E11+ABRIL!E11+MAYO!E11+JUNIO!E11+JULIO!E11+AGOSTO!E11+SEPTIEMBRE!E11+OCTUBRE!E11+NOVIEMBRE!E11+DICIEMBRE!E11</f>
        <v>630553067.35000002</v>
      </c>
      <c r="F11" s="16">
        <f>ENERO!F11+FEBRERO!F11+MARZO!F11+ABRIL!F11+MAYO!F11+JUNIO!F11+JULIO!F11+AGOSTO!F11+SEPTIEMBRE!F11+OCTUBRE!F11+NOVIEMBRE!F11+DICIEMBRE!F11</f>
        <v>1454278127.8699999</v>
      </c>
      <c r="G11" s="16">
        <f>ENERO!G11+FEBRERO!G11+MARZO!G11+ABRIL!G11+MAYO!G11+JUNIO!G11+JULIO!G11+AGOSTO!G11+SEPTIEMBRE!G11+OCTUBRE!G11+NOVIEMBRE!G11+DICIEMBRE!G11</f>
        <v>729332567.48565793</v>
      </c>
      <c r="H11" s="16">
        <f>ENERO!H11+FEBRERO!H11+MARZO!H11+ABRIL!H11+MAYO!H11+JUNIO!H11+JULIO!H11+AGOSTO!H11+SEPTIEMBRE!H11+OCTUBRE!H11+NOVIEMBRE!H11+DICIEMBRE!H11</f>
        <v>2466321249.79</v>
      </c>
      <c r="I11" s="16">
        <f>ENERO!I11+FEBRERO!I11+MARZO!I11+ABRIL!I11+MAYO!I11+JUNIO!I11+JULIO!I11+AGOSTO!I11+SEPTIEMBRE!I11+OCTUBRE!I11+NOVIEMBRE!I11+DICIEMBRE!I11</f>
        <v>3907695484.8699999</v>
      </c>
      <c r="J11" s="16">
        <f>ENERO!J11+FEBRERO!J11+MARZO!J11+ABRIL!J11+MAYO!J11+JUNIO!J11+JULIO!J11+AGOSTO!J11+SEPTIEMBRE!J11+OCTUBRE!J11+NOVIEMBRE!J11+DICIEMBRE!J11</f>
        <v>7817286844.539999</v>
      </c>
      <c r="K11" s="16">
        <f>ENERO!K11+FEBRERO!K11+MARZO!K11+ABRIL!K11+MAYO!K11+JUNIO!K11+JULIO!K11+AGOSTO!K11+SEPTIEMBRE!K11+OCTUBRE!K11+NOVIEMBRE!K11+DICIEMBRE!K11</f>
        <v>500309829.33709311</v>
      </c>
      <c r="L11" s="16"/>
      <c r="M11" s="16"/>
      <c r="N11" s="18">
        <f t="shared" si="0"/>
        <v>60297990291.247681</v>
      </c>
      <c r="O11" s="4"/>
      <c r="P11" s="4"/>
      <c r="Q11" s="4"/>
    </row>
    <row r="12" spans="1:17" ht="18" customHeight="1" x14ac:dyDescent="0.2">
      <c r="A12" s="17" t="s">
        <v>7</v>
      </c>
      <c r="B12" s="16">
        <f>ENERO!B12+FEBRERO!B12+MARZO!B12+ABRIL!B12+MAYO!B12+JUNIO!B12+JULIO!B12+AGOSTO!B12+SEPTIEMBRE!B12+OCTUBRE!B12+NOVIEMBRE!B12+DICIEMBRE!B12</f>
        <v>5557147136.1199999</v>
      </c>
      <c r="C12" s="16">
        <f>ENERO!C12+FEBRERO!C12+MARZO!C12+ABRIL!C12+MAYO!C12+JUNIO!C12+JULIO!C12+AGOSTO!C12+SEPTIEMBRE!C12+OCTUBRE!C12+NOVIEMBRE!C12+DICIEMBRE!C12</f>
        <v>0</v>
      </c>
      <c r="D12" s="16">
        <f>ENERO!D12+FEBRERO!D12+MARZO!D12+ABRIL!D12+MAYO!D12+JUNIO!D12+JULIO!D12+AGOSTO!D12+SEPTIEMBRE!D12+OCTUBRE!D12+NOVIEMBRE!D12+DICIEMBRE!D12</f>
        <v>411168841.68396032</v>
      </c>
      <c r="E12" s="16">
        <f>ENERO!E12+FEBRERO!E12+MARZO!E12+ABRIL!E12+MAYO!E12+JUNIO!E12+JULIO!E12+AGOSTO!E12+SEPTIEMBRE!E12+OCTUBRE!E12+NOVIEMBRE!E12+DICIEMBRE!E12</f>
        <v>70822501.439999998</v>
      </c>
      <c r="F12" s="16">
        <f>ENERO!F12+FEBRERO!F12+MARZO!F12+ABRIL!F12+MAYO!F12+JUNIO!F12+JULIO!F12+AGOSTO!F12+SEPTIEMBRE!F12+OCTUBRE!F12+NOVIEMBRE!F12+DICIEMBRE!F12</f>
        <v>49725376.469999999</v>
      </c>
      <c r="G12" s="16">
        <f>ENERO!G12+FEBRERO!G12+MARZO!G12+ABRIL!G12+MAYO!G12+JUNIO!G12+JULIO!G12+AGOSTO!G12+SEPTIEMBRE!G12+OCTUBRE!G12+NOVIEMBRE!G12+DICIEMBRE!G12</f>
        <v>22021221.27</v>
      </c>
      <c r="H12" s="16">
        <f>ENERO!H12+FEBRERO!H12+MARZO!H12+ABRIL!H12+MAYO!H12+JUNIO!H12+JULIO!H12+AGOSTO!H12+SEPTIEMBRE!H12+OCTUBRE!H12+NOVIEMBRE!H12+DICIEMBRE!H12</f>
        <v>323335626.24000001</v>
      </c>
      <c r="I12" s="16">
        <f>ENERO!I12+FEBRERO!I12+MARZO!I12+ABRIL!I12+MAYO!I12+JUNIO!I12+JULIO!I12+AGOSTO!I12+SEPTIEMBRE!I12+OCTUBRE!I12+NOVIEMBRE!I12+DICIEMBRE!I12</f>
        <v>133613801.62</v>
      </c>
      <c r="J12" s="16">
        <f>ENERO!J12+FEBRERO!J12+MARZO!J12+ABRIL!J12+MAYO!J12+JUNIO!J12+JULIO!J12+AGOSTO!J12+SEPTIEMBRE!J12+OCTUBRE!J12+NOVIEMBRE!J12+DICIEMBRE!J12</f>
        <v>842887638.74000025</v>
      </c>
      <c r="K12" s="16">
        <f>ENERO!K12+FEBRERO!K12+MARZO!K12+ABRIL!K12+MAYO!K12+JUNIO!K12+JULIO!K12+AGOSTO!K12+SEPTIEMBRE!K12+OCTUBRE!K12+NOVIEMBRE!K12+DICIEMBRE!K12</f>
        <v>65905428.107187942</v>
      </c>
      <c r="L12" s="16"/>
      <c r="M12" s="16"/>
      <c r="N12" s="18">
        <f t="shared" si="0"/>
        <v>7476627571.6911478</v>
      </c>
      <c r="O12" s="4"/>
      <c r="P12" s="4"/>
      <c r="Q12" s="4"/>
    </row>
    <row r="13" spans="1:17" ht="18" customHeight="1" x14ac:dyDescent="0.2">
      <c r="A13" s="17" t="s">
        <v>8</v>
      </c>
      <c r="B13" s="16">
        <f>ENERO!B13+FEBRERO!B13+MARZO!B13+ABRIL!B13+MAYO!B13+JUNIO!B13+JULIO!B13+AGOSTO!B13+SEPTIEMBRE!B13+OCTUBRE!B13+NOVIEMBRE!B13+DICIEMBRE!B13</f>
        <v>25291762506.449997</v>
      </c>
      <c r="C13" s="16">
        <f>ENERO!C13+FEBRERO!C13+MARZO!C13+ABRIL!C13+MAYO!C13+JUNIO!C13+JULIO!C13+AGOSTO!C13+SEPTIEMBRE!C13+OCTUBRE!C13+NOVIEMBRE!C13+DICIEMBRE!C13</f>
        <v>0</v>
      </c>
      <c r="D13" s="16">
        <f>ENERO!D13+FEBRERO!D13+MARZO!D13+ABRIL!D13+MAYO!D13+JUNIO!D13+JULIO!D13+AGOSTO!D13+SEPTIEMBRE!D13+OCTUBRE!D13+NOVIEMBRE!D13+DICIEMBRE!D13</f>
        <v>283279821.99409932</v>
      </c>
      <c r="E13" s="16">
        <f>ENERO!E13+FEBRERO!E13+MARZO!E13+ABRIL!E13+MAYO!E13+JUNIO!E13+JULIO!E13+AGOSTO!E13+SEPTIEMBRE!E13+OCTUBRE!E13+NOVIEMBRE!E13+DICIEMBRE!E13</f>
        <v>374633084.40999997</v>
      </c>
      <c r="F13" s="16">
        <f>ENERO!F13+FEBRERO!F13+MARZO!F13+ABRIL!F13+MAYO!F13+JUNIO!F13+JULIO!F13+AGOSTO!F13+SEPTIEMBRE!F13+OCTUBRE!F13+NOVIEMBRE!F13+DICIEMBRE!F13</f>
        <v>707193892.16000009</v>
      </c>
      <c r="G13" s="16">
        <f>ENERO!G13+FEBRERO!G13+MARZO!G13+ABRIL!G13+MAYO!G13+JUNIO!G13+JULIO!G13+AGOSTO!G13+SEPTIEMBRE!G13+OCTUBRE!G13+NOVIEMBRE!G13+DICIEMBRE!G13</f>
        <v>0</v>
      </c>
      <c r="H13" s="16">
        <f>ENERO!H13+FEBRERO!H13+MARZO!H13+ABRIL!H13+MAYO!H13+JUNIO!H13+JULIO!H13+AGOSTO!H13+SEPTIEMBRE!H13+OCTUBRE!H13+NOVIEMBRE!H13+DICIEMBRE!H13</f>
        <v>1469206711.0999999</v>
      </c>
      <c r="I13" s="16">
        <f>ENERO!I13+FEBRERO!I13+MARZO!I13+ABRIL!I13+MAYO!I13+JUNIO!I13+JULIO!I13+AGOSTO!I13+SEPTIEMBRE!I13+OCTUBRE!I13+NOVIEMBRE!I13+DICIEMBRE!I13</f>
        <v>1900254378.0100002</v>
      </c>
      <c r="J13" s="16">
        <f>ENERO!J13+FEBRERO!J13+MARZO!J13+ABRIL!J13+MAYO!J13+JUNIO!J13+JULIO!J13+AGOSTO!J13+SEPTIEMBRE!J13+OCTUBRE!J13+NOVIEMBRE!J13+DICIEMBRE!J13</f>
        <v>5812718129.9800014</v>
      </c>
      <c r="K13" s="16">
        <f>ENERO!K13+FEBRERO!K13+MARZO!K13+ABRIL!K13+MAYO!K13+JUNIO!K13+JULIO!K13+AGOSTO!K13+SEPTIEMBRE!K13+OCTUBRE!K13+NOVIEMBRE!K13+DICIEMBRE!K13</f>
        <v>297110758.93795913</v>
      </c>
      <c r="L13" s="16"/>
      <c r="M13" s="16"/>
      <c r="N13" s="18">
        <f t="shared" si="0"/>
        <v>36136159283.042053</v>
      </c>
      <c r="O13" s="4"/>
      <c r="P13" s="4"/>
      <c r="Q13" s="4"/>
    </row>
    <row r="14" spans="1:17" ht="18" customHeight="1" x14ac:dyDescent="0.2">
      <c r="A14" s="17" t="s">
        <v>9</v>
      </c>
      <c r="B14" s="16">
        <f>ENERO!B14+FEBRERO!B14+MARZO!B14+ABRIL!B14+MAYO!B14+JUNIO!B14+JULIO!B14+AGOSTO!B14+SEPTIEMBRE!B14+OCTUBRE!B14+NOVIEMBRE!B14+DICIEMBRE!B14</f>
        <v>8858174000.5</v>
      </c>
      <c r="C14" s="16">
        <f>ENERO!C14+FEBRERO!C14+MARZO!C14+ABRIL!C14+MAYO!C14+JUNIO!C14+JULIO!C14+AGOSTO!C14+SEPTIEMBRE!C14+OCTUBRE!C14+NOVIEMBRE!C14+DICIEMBRE!C14</f>
        <v>0</v>
      </c>
      <c r="D14" s="16">
        <f>ENERO!D14+FEBRERO!D14+MARZO!D14+ABRIL!D14+MAYO!D14+JUNIO!D14+JULIO!D14+AGOSTO!D14+SEPTIEMBRE!D14+OCTUBRE!D14+NOVIEMBRE!D14+DICIEMBRE!D14</f>
        <v>744403917.5678637</v>
      </c>
      <c r="E14" s="16">
        <f>ENERO!E14+FEBRERO!E14+MARZO!E14+ABRIL!E14+MAYO!E14+JUNIO!E14+JULIO!E14+AGOSTO!E14+SEPTIEMBRE!E14+OCTUBRE!E14+NOVIEMBRE!E14+DICIEMBRE!E14</f>
        <v>114873613.27999999</v>
      </c>
      <c r="F14" s="16">
        <f>ENERO!F14+FEBRERO!F14+MARZO!F14+ABRIL!F14+MAYO!F14+JUNIO!F14+JULIO!F14+AGOSTO!F14+SEPTIEMBRE!F14+OCTUBRE!F14+NOVIEMBRE!F14+DICIEMBRE!F14</f>
        <v>32187380.620000001</v>
      </c>
      <c r="G14" s="16">
        <f>ENERO!G14+FEBRERO!G14+MARZO!G14+ABRIL!G14+MAYO!G14+JUNIO!G14+JULIO!G14+AGOSTO!G14+SEPTIEMBRE!G14+OCTUBRE!G14+NOVIEMBRE!G14+DICIEMBRE!G14</f>
        <v>14960068.800000001</v>
      </c>
      <c r="H14" s="16">
        <f>ENERO!H14+FEBRERO!H14+MARZO!H14+ABRIL!H14+MAYO!H14+JUNIO!H14+JULIO!H14+AGOSTO!H14+SEPTIEMBRE!H14+OCTUBRE!H14+NOVIEMBRE!H14+DICIEMBRE!H14</f>
        <v>517781469.06</v>
      </c>
      <c r="I14" s="16">
        <f>ENERO!I14+FEBRERO!I14+MARZO!I14+ABRIL!I14+MAYO!I14+JUNIO!I14+JULIO!I14+AGOSTO!I14+SEPTIEMBRE!I14+OCTUBRE!I14+NOVIEMBRE!I14+DICIEMBRE!I14</f>
        <v>86488601.890000001</v>
      </c>
      <c r="J14" s="16">
        <f>ENERO!J14+FEBRERO!J14+MARZO!J14+ABRIL!J14+MAYO!J14+JUNIO!J14+JULIO!J14+AGOSTO!J14+SEPTIEMBRE!J14+OCTUBRE!J14+NOVIEMBRE!J14+DICIEMBRE!J14</f>
        <v>1247847831.4599996</v>
      </c>
      <c r="K14" s="16">
        <f>ENERO!K14+FEBRERO!K14+MARZO!K14+ABRIL!K14+MAYO!K14+JUNIO!K14+JULIO!K14+AGOSTO!K14+SEPTIEMBRE!K14+OCTUBRE!K14+NOVIEMBRE!K14+DICIEMBRE!K14</f>
        <v>107913574.36379552</v>
      </c>
      <c r="L14" s="16"/>
      <c r="M14" s="16"/>
      <c r="N14" s="18">
        <f t="shared" si="0"/>
        <v>11724630457.541658</v>
      </c>
      <c r="O14" s="4"/>
      <c r="P14" s="4"/>
      <c r="Q14" s="4"/>
    </row>
    <row r="15" spans="1:17" ht="18" customHeight="1" x14ac:dyDescent="0.2">
      <c r="A15" s="17" t="s">
        <v>10</v>
      </c>
      <c r="B15" s="16">
        <f>ENERO!B15+FEBRERO!B15+MARZO!B15+ABRIL!B15+MAYO!B15+JUNIO!B15+JULIO!B15+AGOSTO!B15+SEPTIEMBRE!B15+OCTUBRE!B15+NOVIEMBRE!B15+DICIEMBRE!B15</f>
        <v>14877097671.950001</v>
      </c>
      <c r="C15" s="16">
        <f>ENERO!C15+FEBRERO!C15+MARZO!C15+ABRIL!C15+MAYO!C15+JUNIO!C15+JULIO!C15+AGOSTO!C15+SEPTIEMBRE!C15+OCTUBRE!C15+NOVIEMBRE!C15+DICIEMBRE!C15</f>
        <v>0</v>
      </c>
      <c r="D15" s="16">
        <f>ENERO!D15+FEBRERO!D15+MARZO!D15+ABRIL!D15+MAYO!D15+JUNIO!D15+JULIO!D15+AGOSTO!D15+SEPTIEMBRE!D15+OCTUBRE!D15+NOVIEMBRE!D15+DICIEMBRE!D15</f>
        <v>1117678337.9928551</v>
      </c>
      <c r="E15" s="16">
        <f>ENERO!E15+FEBRERO!E15+MARZO!E15+ABRIL!E15+MAYO!E15+JUNIO!E15+JULIO!E15+AGOSTO!E15+SEPTIEMBRE!E15+OCTUBRE!E15+NOVIEMBRE!E15+DICIEMBRE!E15</f>
        <v>194301931.43000001</v>
      </c>
      <c r="F15" s="16">
        <f>ENERO!F15+FEBRERO!F15+MARZO!F15+ABRIL!F15+MAYO!F15+JUNIO!F15+JULIO!F15+AGOSTO!F15+SEPTIEMBRE!F15+OCTUBRE!F15+NOVIEMBRE!F15+DICIEMBRE!F15</f>
        <v>119911748.19000001</v>
      </c>
      <c r="G15" s="16">
        <f>ENERO!G15+FEBRERO!G15+MARZO!G15+ABRIL!G15+MAYO!G15+JUNIO!G15+JULIO!G15+AGOSTO!G15+SEPTIEMBRE!G15+OCTUBRE!G15+NOVIEMBRE!G15+DICIEMBRE!G15</f>
        <v>51821678.329999998</v>
      </c>
      <c r="H15" s="16">
        <f>ENERO!H15+FEBRERO!H15+MARZO!H15+ABRIL!H15+MAYO!H15+JUNIO!H15+JULIO!H15+AGOSTO!H15+SEPTIEMBRE!H15+OCTUBRE!H15+NOVIEMBRE!H15+DICIEMBRE!H15</f>
        <v>870738883.46999991</v>
      </c>
      <c r="I15" s="16">
        <f>ENERO!I15+FEBRERO!I15+MARZO!I15+ABRIL!I15+MAYO!I15+JUNIO!I15+JULIO!I15+AGOSTO!I15+SEPTIEMBRE!I15+OCTUBRE!I15+NOVIEMBRE!I15+DICIEMBRE!I15</f>
        <v>322207002.98000002</v>
      </c>
      <c r="J15" s="16">
        <f>ENERO!J15+FEBRERO!J15+MARZO!J15+ABRIL!J15+MAYO!J15+JUNIO!J15+JULIO!J15+AGOSTO!J15+SEPTIEMBRE!J15+OCTUBRE!J15+NOVIEMBRE!J15+DICIEMBRE!J15</f>
        <v>1990958784.7899995</v>
      </c>
      <c r="K15" s="16">
        <f>ENERO!K15+FEBRERO!K15+MARZO!K15+ABRIL!K15+MAYO!K15+JUNIO!K15+JULIO!K15+AGOSTO!K15+SEPTIEMBRE!K15+OCTUBRE!K15+NOVIEMBRE!K15+DICIEMBRE!K15</f>
        <v>182604401.85991791</v>
      </c>
      <c r="L15" s="16"/>
      <c r="M15" s="16"/>
      <c r="N15" s="18">
        <f t="shared" si="0"/>
        <v>19727320440.992775</v>
      </c>
      <c r="O15" s="4"/>
      <c r="P15" s="4"/>
      <c r="Q15" s="4"/>
    </row>
    <row r="16" spans="1:17" ht="18" customHeight="1" x14ac:dyDescent="0.2">
      <c r="A16" s="17" t="s">
        <v>11</v>
      </c>
      <c r="B16" s="16">
        <f>ENERO!B16+FEBRERO!B16+MARZO!B16+ABRIL!B16+MAYO!B16+JUNIO!B16+JULIO!B16+AGOSTO!B16+SEPTIEMBRE!B16+OCTUBRE!B16+NOVIEMBRE!B16+DICIEMBRE!B16</f>
        <v>28021478091.32</v>
      </c>
      <c r="C16" s="16">
        <f>ENERO!C16+FEBRERO!C16+MARZO!C16+ABRIL!C16+MAYO!C16+JUNIO!C16+JULIO!C16+AGOSTO!C16+SEPTIEMBRE!C16+OCTUBRE!C16+NOVIEMBRE!C16+DICIEMBRE!C16</f>
        <v>0</v>
      </c>
      <c r="D16" s="16">
        <f>ENERO!D16+FEBRERO!D16+MARZO!D16+ABRIL!D16+MAYO!D16+JUNIO!D16+JULIO!D16+AGOSTO!D16+SEPTIEMBRE!D16+OCTUBRE!D16+NOVIEMBRE!D16+DICIEMBRE!D16</f>
        <v>569998568.7613622</v>
      </c>
      <c r="E16" s="16">
        <f>ENERO!E16+FEBRERO!E16+MARZO!E16+ABRIL!E16+MAYO!E16+JUNIO!E16+JULIO!E16+AGOSTO!E16+SEPTIEMBRE!E16+OCTUBRE!E16+NOVIEMBRE!E16+DICIEMBRE!E16</f>
        <v>412031940.54000002</v>
      </c>
      <c r="F16" s="16">
        <f>ENERO!F16+FEBRERO!F16+MARZO!F16+ABRIL!F16+MAYO!F16+JUNIO!F16+JULIO!F16+AGOSTO!F16+SEPTIEMBRE!F16+OCTUBRE!F16+NOVIEMBRE!F16+DICIEMBRE!F16</f>
        <v>447218894.59000003</v>
      </c>
      <c r="G16" s="16">
        <f>ENERO!G16+FEBRERO!G16+MARZO!G16+ABRIL!G16+MAYO!G16+JUNIO!G16+JULIO!G16+AGOSTO!G16+SEPTIEMBRE!G16+OCTUBRE!G16+NOVIEMBRE!G16+DICIEMBRE!G16</f>
        <v>229906337.37</v>
      </c>
      <c r="H16" s="16">
        <f>ENERO!H16+FEBRERO!H16+MARZO!H16+ABRIL!H16+MAYO!H16+JUNIO!H16+JULIO!H16+AGOSTO!H16+SEPTIEMBRE!H16+OCTUBRE!H16+NOVIEMBRE!H16+DICIEMBRE!H16</f>
        <v>1629283524.52</v>
      </c>
      <c r="I16" s="16">
        <f>ENERO!I16+FEBRERO!I16+MARZO!I16+ABRIL!I16+MAYO!I16+JUNIO!I16+JULIO!I16+AGOSTO!I16+SEPTIEMBRE!I16+OCTUBRE!I16+NOVIEMBRE!I16+DICIEMBRE!I16</f>
        <v>1201692593.52</v>
      </c>
      <c r="J16" s="16">
        <f>ENERO!J16+FEBRERO!J16+MARZO!J16+ABRIL!J16+MAYO!J16+JUNIO!J16+JULIO!J16+AGOSTO!J16+SEPTIEMBRE!J16+OCTUBRE!J16+NOVIEMBRE!J16+DICIEMBRE!J16</f>
        <v>4945798066.4799986</v>
      </c>
      <c r="K16" s="16">
        <f>ENERO!K16+FEBRERO!K16+MARZO!K16+ABRIL!K16+MAYO!K16+JUNIO!K16+JULIO!K16+AGOSTO!K16+SEPTIEMBRE!K16+OCTUBRE!K16+NOVIEMBRE!K16+DICIEMBRE!K16</f>
        <v>330988055.39183336</v>
      </c>
      <c r="L16" s="16"/>
      <c r="M16" s="16"/>
      <c r="N16" s="18">
        <f t="shared" si="0"/>
        <v>37788396072.493195</v>
      </c>
      <c r="O16" s="4"/>
      <c r="P16" s="4"/>
      <c r="Q16" s="4"/>
    </row>
    <row r="17" spans="1:17" ht="18" customHeight="1" x14ac:dyDescent="0.2">
      <c r="A17" s="17" t="s">
        <v>12</v>
      </c>
      <c r="B17" s="16">
        <f>ENERO!B17+FEBRERO!B17+MARZO!B17+ABRIL!B17+MAYO!B17+JUNIO!B17+JULIO!B17+AGOSTO!B17+SEPTIEMBRE!B17+OCTUBRE!B17+NOVIEMBRE!B17+DICIEMBRE!B17</f>
        <v>10817769578.509998</v>
      </c>
      <c r="C17" s="16">
        <f>ENERO!C17+FEBRERO!C17+MARZO!C17+ABRIL!C17+MAYO!C17+JUNIO!C17+JULIO!C17+AGOSTO!C17+SEPTIEMBRE!C17+OCTUBRE!C17+NOVIEMBRE!C17+DICIEMBRE!C17</f>
        <v>0</v>
      </c>
      <c r="D17" s="16">
        <f>ENERO!D17+FEBRERO!D17+MARZO!D17+ABRIL!D17+MAYO!D17+JUNIO!D17+JULIO!D17+AGOSTO!D17+SEPTIEMBRE!D17+OCTUBRE!D17+NOVIEMBRE!D17+DICIEMBRE!D17</f>
        <v>1067156554.0147567</v>
      </c>
      <c r="E17" s="16">
        <f>ENERO!E17+FEBRERO!E17+MARZO!E17+ABRIL!E17+MAYO!E17+JUNIO!E17+JULIO!E17+AGOSTO!E17+SEPTIEMBRE!E17+OCTUBRE!E17+NOVIEMBRE!E17+DICIEMBRE!E17</f>
        <v>137647260.28</v>
      </c>
      <c r="F17" s="16">
        <f>ENERO!F17+FEBRERO!F17+MARZO!F17+ABRIL!F17+MAYO!F17+JUNIO!F17+JULIO!F17+AGOSTO!F17+SEPTIEMBRE!F17+OCTUBRE!F17+NOVIEMBRE!F17+DICIEMBRE!F17</f>
        <v>91850954.810000002</v>
      </c>
      <c r="G17" s="16">
        <f>ENERO!G17+FEBRERO!G17+MARZO!G17+ABRIL!G17+MAYO!G17+JUNIO!G17+JULIO!G17+AGOSTO!G17+SEPTIEMBRE!G17+OCTUBRE!G17+NOVIEMBRE!G17+DICIEMBRE!G17</f>
        <v>33510554.129999999</v>
      </c>
      <c r="H17" s="16">
        <f>ENERO!H17+FEBRERO!H17+MARZO!H17+ABRIL!H17+MAYO!H17+JUNIO!H17+JULIO!H17+AGOSTO!H17+SEPTIEMBRE!H17+OCTUBRE!H17+NOVIEMBRE!H17+DICIEMBRE!H17</f>
        <v>629289921.46000004</v>
      </c>
      <c r="I17" s="16">
        <f>ENERO!I17+FEBRERO!I17+MARZO!I17+ABRIL!I17+MAYO!I17+JUNIO!I17+JULIO!I17+AGOSTO!I17+SEPTIEMBRE!I17+OCTUBRE!I17+NOVIEMBRE!I17+DICIEMBRE!I17</f>
        <v>246806683.38</v>
      </c>
      <c r="J17" s="16">
        <f>ENERO!J17+FEBRERO!J17+MARZO!J17+ABRIL!J17+MAYO!J17+JUNIO!J17+JULIO!J17+AGOSTO!J17+SEPTIEMBRE!J17+OCTUBRE!J17+NOVIEMBRE!J17+DICIEMBRE!J17</f>
        <v>1340592721.1200006</v>
      </c>
      <c r="K17" s="16">
        <f>ENERO!K17+FEBRERO!K17+MARZO!K17+ABRIL!K17+MAYO!K17+JUNIO!K17+JULIO!K17+AGOSTO!K17+SEPTIEMBRE!K17+OCTUBRE!K17+NOVIEMBRE!K17+DICIEMBRE!K17</f>
        <v>128139903.21191745</v>
      </c>
      <c r="L17" s="16"/>
      <c r="M17" s="16"/>
      <c r="N17" s="18">
        <f t="shared" si="0"/>
        <v>14492764130.916672</v>
      </c>
      <c r="O17" s="4"/>
      <c r="P17" s="4"/>
      <c r="Q17" s="4"/>
    </row>
    <row r="18" spans="1:17" ht="18" customHeight="1" x14ac:dyDescent="0.2">
      <c r="A18" s="17" t="s">
        <v>13</v>
      </c>
      <c r="B18" s="16">
        <f>ENERO!B18+FEBRERO!B18+MARZO!B18+ABRIL!B18+MAYO!B18+JUNIO!B18+JULIO!B18+AGOSTO!B18+SEPTIEMBRE!B18+OCTUBRE!B18+NOVIEMBRE!B18+DICIEMBRE!B18</f>
        <v>6101866165.4099998</v>
      </c>
      <c r="C18" s="16">
        <f>ENERO!C18+FEBRERO!C18+MARZO!C18+ABRIL!C18+MAYO!C18+JUNIO!C18+JULIO!C18+AGOSTO!C18+SEPTIEMBRE!C18+OCTUBRE!C18+NOVIEMBRE!C18+DICIEMBRE!C18</f>
        <v>0</v>
      </c>
      <c r="D18" s="16">
        <f>ENERO!D18+FEBRERO!D18+MARZO!D18+ABRIL!D18+MAYO!D18+JUNIO!D18+JULIO!D18+AGOSTO!D18+SEPTIEMBRE!D18+OCTUBRE!D18+NOVIEMBRE!D18+DICIEMBRE!D18</f>
        <v>372971636.32256263</v>
      </c>
      <c r="E18" s="16">
        <f>ENERO!E18+FEBRERO!E18+MARZO!E18+ABRIL!E18+MAYO!E18+JUNIO!E18+JULIO!E18+AGOSTO!E18+SEPTIEMBRE!E18+OCTUBRE!E18+NOVIEMBRE!E18+DICIEMBRE!E18</f>
        <v>77472039.460000008</v>
      </c>
      <c r="F18" s="16">
        <f>ENERO!F18+FEBRERO!F18+MARZO!F18+ABRIL!F18+MAYO!F18+JUNIO!F18+JULIO!F18+AGOSTO!F18+SEPTIEMBRE!F18+OCTUBRE!F18+NOVIEMBRE!F18+DICIEMBRE!F18</f>
        <v>61898808.910000004</v>
      </c>
      <c r="G18" s="16">
        <f>ENERO!G18+FEBRERO!G18+MARZO!G18+ABRIL!G18+MAYO!G18+JUNIO!G18+JULIO!G18+AGOSTO!G18+SEPTIEMBRE!G18+OCTUBRE!G18+NOVIEMBRE!G18+DICIEMBRE!G18</f>
        <v>27287165.5</v>
      </c>
      <c r="H18" s="16">
        <f>ENERO!H18+FEBRERO!H18+MARZO!H18+ABRIL!H18+MAYO!H18+JUNIO!H18+JULIO!H18+AGOSTO!H18+SEPTIEMBRE!H18+OCTUBRE!H18+NOVIEMBRE!H18+DICIEMBRE!H18</f>
        <v>354682050.93000007</v>
      </c>
      <c r="I18" s="16">
        <f>ENERO!I18+FEBRERO!I18+MARZO!I18+ABRIL!I18+MAYO!I18+JUNIO!I18+JULIO!I18+AGOSTO!I18+SEPTIEMBRE!I18+OCTUBRE!I18+NOVIEMBRE!I18+DICIEMBRE!I18</f>
        <v>166324234.38999999</v>
      </c>
      <c r="J18" s="16">
        <f>ENERO!J18+FEBRERO!J18+MARZO!J18+ABRIL!J18+MAYO!J18+JUNIO!J18+JULIO!J18+AGOSTO!J18+SEPTIEMBRE!J18+OCTUBRE!J18+NOVIEMBRE!J18+DICIEMBRE!J18</f>
        <v>1092950933.7799997</v>
      </c>
      <c r="K18" s="16">
        <f>ENERO!K18+FEBRERO!K18+MARZO!K18+ABRIL!K18+MAYO!K18+JUNIO!K18+JULIO!K18+AGOSTO!K18+SEPTIEMBRE!K18+OCTUBRE!K18+NOVIEMBRE!K18+DICIEMBRE!K18</f>
        <v>71948190.066489041</v>
      </c>
      <c r="L18" s="16"/>
      <c r="M18" s="16"/>
      <c r="N18" s="18">
        <f t="shared" si="0"/>
        <v>8327401224.7690516</v>
      </c>
      <c r="O18" s="4"/>
      <c r="P18" s="4"/>
      <c r="Q18" s="4"/>
    </row>
    <row r="19" spans="1:17" ht="18" customHeight="1" x14ac:dyDescent="0.2">
      <c r="A19" s="17" t="s">
        <v>14</v>
      </c>
      <c r="B19" s="16">
        <f>ENERO!B19+FEBRERO!B19+MARZO!B19+ABRIL!B19+MAYO!B19+JUNIO!B19+JULIO!B19+AGOSTO!B19+SEPTIEMBRE!B19+OCTUBRE!B19+NOVIEMBRE!B19+DICIEMBRE!B19</f>
        <v>9908356832.6099987</v>
      </c>
      <c r="C19" s="16">
        <f>ENERO!C19+FEBRERO!C19+MARZO!C19+ABRIL!C19+MAYO!C19+JUNIO!C19+JULIO!C19+AGOSTO!C19+SEPTIEMBRE!C19+OCTUBRE!C19+NOVIEMBRE!C19+DICIEMBRE!C19</f>
        <v>0</v>
      </c>
      <c r="D19" s="16">
        <f>ENERO!D19+FEBRERO!D19+MARZO!D19+ABRIL!D19+MAYO!D19+JUNIO!D19+JULIO!D19+AGOSTO!D19+SEPTIEMBRE!D19+OCTUBRE!D19+NOVIEMBRE!D19+DICIEMBRE!D19</f>
        <v>733636932.39005971</v>
      </c>
      <c r="E19" s="16">
        <f>ENERO!E19+FEBRERO!E19+MARZO!E19+ABRIL!E19+MAYO!E19+JUNIO!E19+JULIO!E19+AGOSTO!E19+SEPTIEMBRE!E19+OCTUBRE!E19+NOVIEMBRE!E19+DICIEMBRE!E19</f>
        <v>124648330.19999999</v>
      </c>
      <c r="F19" s="16">
        <f>ENERO!F19+FEBRERO!F19+MARZO!F19+ABRIL!F19+MAYO!F19+JUNIO!F19+JULIO!F19+AGOSTO!F19+SEPTIEMBRE!F19+OCTUBRE!F19+NOVIEMBRE!F19+DICIEMBRE!F19</f>
        <v>25000241.139999997</v>
      </c>
      <c r="G19" s="16">
        <f>ENERO!G19+FEBRERO!G19+MARZO!G19+ABRIL!G19+MAYO!G19+JUNIO!G19+JULIO!G19+AGOSTO!G19+SEPTIEMBRE!G19+OCTUBRE!G19+NOVIEMBRE!G19+DICIEMBRE!G19</f>
        <v>15199429.890000001</v>
      </c>
      <c r="H19" s="16">
        <f>ENERO!H19+FEBRERO!H19+MARZO!H19+ABRIL!H19+MAYO!H19+JUNIO!H19+JULIO!H19+AGOSTO!H19+SEPTIEMBRE!H19+OCTUBRE!H19+NOVIEMBRE!H19+DICIEMBRE!H19</f>
        <v>575218074.25999999</v>
      </c>
      <c r="I19" s="16">
        <f>ENERO!I19+FEBRERO!I19+MARZO!I19+ABRIL!I19+MAYO!I19+JUNIO!I19+JULIO!I19+AGOSTO!I19+SEPTIEMBRE!I19+OCTUBRE!I19+NOVIEMBRE!I19+DICIEMBRE!I19</f>
        <v>67176510.219999999</v>
      </c>
      <c r="J19" s="16">
        <f>ENERO!J19+FEBRERO!J19+MARZO!J19+ABRIL!J19+MAYO!J19+JUNIO!J19+JULIO!J19+AGOSTO!J19+SEPTIEMBRE!J19+OCTUBRE!J19+NOVIEMBRE!J19+DICIEMBRE!J19</f>
        <v>950903929.18999958</v>
      </c>
      <c r="K19" s="16">
        <f>ENERO!K19+FEBRERO!K19+MARZO!K19+ABRIL!K19+MAYO!K19+JUNIO!K19+JULIO!K19+AGOSTO!K19+SEPTIEMBRE!K19+OCTUBRE!K19+NOVIEMBRE!K19+DICIEMBRE!K19</f>
        <v>115962294.37054171</v>
      </c>
      <c r="L19" s="16"/>
      <c r="M19" s="16"/>
      <c r="N19" s="18">
        <f t="shared" si="0"/>
        <v>12516102574.270601</v>
      </c>
      <c r="O19" s="4"/>
      <c r="P19" s="4"/>
      <c r="Q19" s="4"/>
    </row>
    <row r="20" spans="1:17" ht="18" customHeight="1" x14ac:dyDescent="0.2">
      <c r="A20" s="17" t="s">
        <v>15</v>
      </c>
      <c r="B20" s="16">
        <f>ENERO!B20+FEBRERO!B20+MARZO!B20+ABRIL!B20+MAYO!B20+JUNIO!B20+JULIO!B20+AGOSTO!B20+SEPTIEMBRE!B20+OCTUBRE!B20+NOVIEMBRE!B20+DICIEMBRE!B20</f>
        <v>35419821977.959991</v>
      </c>
      <c r="C20" s="16">
        <f>ENERO!C20+FEBRERO!C20+MARZO!C20+ABRIL!C20+MAYO!C20+JUNIO!C20+JULIO!C20+AGOSTO!C20+SEPTIEMBRE!C20+OCTUBRE!C20+NOVIEMBRE!C20+DICIEMBRE!C20</f>
        <v>0</v>
      </c>
      <c r="D20" s="16">
        <f>ENERO!D20+FEBRERO!D20+MARZO!D20+ABRIL!D20+MAYO!D20+JUNIO!D20+JULIO!D20+AGOSTO!D20+SEPTIEMBRE!D20+OCTUBRE!D20+NOVIEMBRE!D20+DICIEMBRE!D20</f>
        <v>220034504.05242199</v>
      </c>
      <c r="E20" s="16">
        <f>ENERO!E20+FEBRERO!E20+MARZO!E20+ABRIL!E20+MAYO!E20+JUNIO!E20+JULIO!E20+AGOSTO!E20+SEPTIEMBRE!E20+OCTUBRE!E20+NOVIEMBRE!E20+DICIEMBRE!E20</f>
        <v>520770569.39999998</v>
      </c>
      <c r="F20" s="16">
        <f>ENERO!F20+FEBRERO!F20+MARZO!F20+ABRIL!F20+MAYO!F20+JUNIO!F20+JULIO!F20+AGOSTO!F20+SEPTIEMBRE!F20+OCTUBRE!F20+NOVIEMBRE!F20+DICIEMBRE!F20</f>
        <v>797944423.72000003</v>
      </c>
      <c r="G20" s="16">
        <f>ENERO!G20+FEBRERO!G20+MARZO!G20+ABRIL!G20+MAYO!G20+JUNIO!G20+JULIO!G20+AGOSTO!G20+SEPTIEMBRE!G20+OCTUBRE!G20+NOVIEMBRE!G20+DICIEMBRE!G20</f>
        <v>373504329.29092717</v>
      </c>
      <c r="H20" s="16">
        <f>ENERO!H20+FEBRERO!H20+MARZO!H20+ABRIL!H20+MAYO!H20+JUNIO!H20+JULIO!H20+AGOSTO!H20+SEPTIEMBRE!H20+OCTUBRE!H20+NOVIEMBRE!H20+DICIEMBRE!H20</f>
        <v>2056934636.9400001</v>
      </c>
      <c r="I20" s="16">
        <f>ENERO!I20+FEBRERO!I20+MARZO!I20+ABRIL!I20+MAYO!I20+JUNIO!I20+JULIO!I20+AGOSTO!I20+SEPTIEMBRE!I20+OCTUBRE!I20+NOVIEMBRE!I20+DICIEMBRE!I20</f>
        <v>2144104186.1199999</v>
      </c>
      <c r="J20" s="16">
        <f>ENERO!J20+FEBRERO!J20+MARZO!J20+ABRIL!J20+MAYO!J20+JUNIO!J20+JULIO!J20+AGOSTO!J20+SEPTIEMBRE!J20+OCTUBRE!J20+NOVIEMBRE!J20+DICIEMBRE!J20</f>
        <v>5407236518.2800016</v>
      </c>
      <c r="K20" s="16">
        <f>ENERO!K20+FEBRERO!K20+MARZO!K20+ABRIL!K20+MAYO!K20+JUNIO!K20+JULIO!K20+AGOSTO!K20+SEPTIEMBRE!K20+OCTUBRE!K20+NOVIEMBRE!K20+DICIEMBRE!K20</f>
        <v>415350288.56087339</v>
      </c>
      <c r="L20" s="16"/>
      <c r="M20" s="16"/>
      <c r="N20" s="18">
        <f t="shared" si="0"/>
        <v>47355701434.324219</v>
      </c>
      <c r="O20" s="4"/>
      <c r="P20" s="4"/>
      <c r="Q20" s="4"/>
    </row>
    <row r="21" spans="1:17" ht="18" customHeight="1" x14ac:dyDescent="0.2">
      <c r="A21" s="17" t="s">
        <v>16</v>
      </c>
      <c r="B21" s="16">
        <f>ENERO!B21+FEBRERO!B21+MARZO!B21+ABRIL!B21+MAYO!B21+JUNIO!B21+JULIO!B21+AGOSTO!B21+SEPTIEMBRE!B21+OCTUBRE!B21+NOVIEMBRE!B21+DICIEMBRE!B21</f>
        <v>15294342740.110001</v>
      </c>
      <c r="C21" s="16">
        <f>ENERO!C21+FEBRERO!C21+MARZO!C21+ABRIL!C21+MAYO!C21+JUNIO!C21+JULIO!C21+AGOSTO!C21+SEPTIEMBRE!C21+OCTUBRE!C21+NOVIEMBRE!C21+DICIEMBRE!C21</f>
        <v>0</v>
      </c>
      <c r="D21" s="16">
        <f>ENERO!D21+FEBRERO!D21+MARZO!D21+ABRIL!D21+MAYO!D21+JUNIO!D21+JULIO!D21+AGOSTO!D21+SEPTIEMBRE!D21+OCTUBRE!D21+NOVIEMBRE!D21+DICIEMBRE!D21</f>
        <v>115729106.35676536</v>
      </c>
      <c r="E21" s="16">
        <f>ENERO!E21+FEBRERO!E21+MARZO!E21+ABRIL!E21+MAYO!E21+JUNIO!E21+JULIO!E21+AGOSTO!E21+SEPTIEMBRE!E21+OCTUBRE!E21+NOVIEMBRE!E21+DICIEMBRE!E21</f>
        <v>196361694.85999995</v>
      </c>
      <c r="F21" s="16">
        <f>ENERO!F21+FEBRERO!F21+MARZO!F21+ABRIL!F21+MAYO!F21+JUNIO!F21+JULIO!F21+AGOSTO!F21+SEPTIEMBRE!F21+OCTUBRE!F21+NOVIEMBRE!F21+DICIEMBRE!F21</f>
        <v>212175361.72999999</v>
      </c>
      <c r="G21" s="16">
        <f>ENERO!G21+FEBRERO!G21+MARZO!G21+ABRIL!G21+MAYO!G21+JUNIO!G21+JULIO!G21+AGOSTO!G21+SEPTIEMBRE!G21+OCTUBRE!G21+NOVIEMBRE!G21+DICIEMBRE!G21</f>
        <v>51624759.43825794</v>
      </c>
      <c r="H21" s="16">
        <f>ENERO!H21+FEBRERO!H21+MARZO!H21+ABRIL!H21+MAYO!H21+JUNIO!H21+JULIO!H21+AGOSTO!H21+SEPTIEMBRE!H21+OCTUBRE!H21+NOVIEMBRE!H21+DICIEMBRE!H21</f>
        <v>888962808.19000006</v>
      </c>
      <c r="I21" s="16">
        <f>ENERO!I21+FEBRERO!I21+MARZO!I21+ABRIL!I21+MAYO!I21+JUNIO!I21+JULIO!I21+AGOSTO!I21+SEPTIEMBRE!I21+OCTUBRE!I21+NOVIEMBRE!I21+DICIEMBRE!I21</f>
        <v>570122514.59000003</v>
      </c>
      <c r="J21" s="16">
        <f>ENERO!J21+FEBRERO!J21+MARZO!J21+ABRIL!J21+MAYO!J21+JUNIO!J21+JULIO!J21+AGOSTO!J21+SEPTIEMBRE!J21+OCTUBRE!J21+NOVIEMBRE!J21+DICIEMBRE!J21</f>
        <v>1772787501.1700001</v>
      </c>
      <c r="K21" s="16">
        <f>ENERO!K21+FEBRERO!K21+MARZO!K21+ABRIL!K21+MAYO!K21+JUNIO!K21+JULIO!K21+AGOSTO!K21+SEPTIEMBRE!K21+OCTUBRE!K21+NOVIEMBRE!K21+DICIEMBRE!K21</f>
        <v>180279879.75531033</v>
      </c>
      <c r="L21" s="16"/>
      <c r="M21" s="16"/>
      <c r="N21" s="18">
        <f t="shared" si="0"/>
        <v>19282386366.200333</v>
      </c>
      <c r="O21" s="4"/>
      <c r="P21" s="4"/>
      <c r="Q21" s="4"/>
    </row>
    <row r="22" spans="1:17" ht="18" customHeight="1" x14ac:dyDescent="0.2">
      <c r="A22" s="17" t="s">
        <v>17</v>
      </c>
      <c r="B22" s="16">
        <f>ENERO!B22+FEBRERO!B22+MARZO!B22+ABRIL!B22+MAYO!B22+JUNIO!B22+JULIO!B22+AGOSTO!B22+SEPTIEMBRE!B22+OCTUBRE!B22+NOVIEMBRE!B22+DICIEMBRE!B22</f>
        <v>12812188341.360001</v>
      </c>
      <c r="C22" s="16">
        <f>ENERO!C22+FEBRERO!C22+MARZO!C22+ABRIL!C22+MAYO!C22+JUNIO!C22+JULIO!C22+AGOSTO!C22+SEPTIEMBRE!C22+OCTUBRE!C22+NOVIEMBRE!C22+DICIEMBRE!C22</f>
        <v>0</v>
      </c>
      <c r="D22" s="16">
        <f>ENERO!D22+FEBRERO!D22+MARZO!D22+ABRIL!D22+MAYO!D22+JUNIO!D22+JULIO!D22+AGOSTO!D22+SEPTIEMBRE!D22+OCTUBRE!D22+NOVIEMBRE!D22+DICIEMBRE!D22</f>
        <v>570165382.02952802</v>
      </c>
      <c r="E22" s="16">
        <f>ENERO!E22+FEBRERO!E22+MARZO!E22+ABRIL!E22+MAYO!E22+JUNIO!E22+JULIO!E22+AGOSTO!E22+SEPTIEMBRE!E22+OCTUBRE!E22+NOVIEMBRE!E22+DICIEMBRE!E22</f>
        <v>159464762.87</v>
      </c>
      <c r="F22" s="16">
        <f>ENERO!F22+FEBRERO!F22+MARZO!F22+ABRIL!F22+MAYO!F22+JUNIO!F22+JULIO!F22+AGOSTO!F22+SEPTIEMBRE!F22+OCTUBRE!F22+NOVIEMBRE!F22+DICIEMBRE!F22</f>
        <v>50516305.719999999</v>
      </c>
      <c r="G22" s="16">
        <f>ENERO!G22+FEBRERO!G22+MARZO!G22+ABRIL!G22+MAYO!G22+JUNIO!G22+JULIO!G22+AGOSTO!G22+SEPTIEMBRE!G22+OCTUBRE!G22+NOVIEMBRE!G22+DICIEMBRE!G22</f>
        <v>25731318.349999998</v>
      </c>
      <c r="H22" s="16">
        <f>ENERO!H22+FEBRERO!H22+MARZO!H22+ABRIL!H22+MAYO!H22+JUNIO!H22+JULIO!H22+AGOSTO!H22+SEPTIEMBRE!H22+OCTUBRE!H22+NOVIEMBRE!H22+DICIEMBRE!H22</f>
        <v>741836619.38999999</v>
      </c>
      <c r="I22" s="16">
        <f>ENERO!I22+FEBRERO!I22+MARZO!I22+ABRIL!I22+MAYO!I22+JUNIO!I22+JULIO!I22+AGOSTO!I22+SEPTIEMBRE!I22+OCTUBRE!I22+NOVIEMBRE!I22+DICIEMBRE!I22</f>
        <v>135739055.74000001</v>
      </c>
      <c r="J22" s="16">
        <f>ENERO!J22+FEBRERO!J22+MARZO!J22+ABRIL!J22+MAYO!J22+JUNIO!J22+JULIO!J22+AGOSTO!J22+SEPTIEMBRE!J22+OCTUBRE!J22+NOVIEMBRE!J22+DICIEMBRE!J22</f>
        <v>1331266090.1600001</v>
      </c>
      <c r="K22" s="16">
        <f>ENERO!K22+FEBRERO!K22+MARZO!K22+ABRIL!K22+MAYO!K22+JUNIO!K22+JULIO!K22+AGOSTO!K22+SEPTIEMBRE!K22+OCTUBRE!K22+NOVIEMBRE!K22+DICIEMBRE!K22</f>
        <v>147592220.95240232</v>
      </c>
      <c r="L22" s="16"/>
      <c r="M22" s="16"/>
      <c r="N22" s="18">
        <f t="shared" si="0"/>
        <v>15974500096.57193</v>
      </c>
      <c r="O22" s="4"/>
      <c r="P22" s="4"/>
      <c r="Q22" s="4"/>
    </row>
    <row r="23" spans="1:17" ht="18" customHeight="1" x14ac:dyDescent="0.2">
      <c r="A23" s="17" t="s">
        <v>18</v>
      </c>
      <c r="B23" s="16">
        <f>ENERO!B23+FEBRERO!B23+MARZO!B23+ABRIL!B23+MAYO!B23+JUNIO!B23+JULIO!B23+AGOSTO!B23+SEPTIEMBRE!B23+OCTUBRE!B23+NOVIEMBRE!B23+DICIEMBRE!B23</f>
        <v>11649938169.139997</v>
      </c>
      <c r="C23" s="16">
        <f>ENERO!C23+FEBRERO!C23+MARZO!C23+ABRIL!C23+MAYO!C23+JUNIO!C23+JULIO!C23+AGOSTO!C23+SEPTIEMBRE!C23+OCTUBRE!C23+NOVIEMBRE!C23+DICIEMBRE!C23</f>
        <v>0</v>
      </c>
      <c r="D23" s="16">
        <f>ENERO!D23+FEBRERO!D23+MARZO!D23+ABRIL!D23+MAYO!D23+JUNIO!D23+JULIO!D23+AGOSTO!D23+SEPTIEMBRE!D23+OCTUBRE!D23+NOVIEMBRE!D23+DICIEMBRE!D23</f>
        <v>457290848.19766837</v>
      </c>
      <c r="E23" s="16">
        <f>ENERO!E23+FEBRERO!E23+MARZO!E23+ABRIL!E23+MAYO!E23+JUNIO!E23+JULIO!E23+AGOSTO!E23+SEPTIEMBRE!E23+OCTUBRE!E23+NOVIEMBRE!E23+DICIEMBRE!E23</f>
        <v>150304572.66</v>
      </c>
      <c r="F23" s="16">
        <f>ENERO!F23+FEBRERO!F23+MARZO!F23+ABRIL!F23+MAYO!F23+JUNIO!F23+JULIO!F23+AGOSTO!F23+SEPTIEMBRE!F23+OCTUBRE!F23+NOVIEMBRE!F23+DICIEMBRE!F23</f>
        <v>48418623.860000007</v>
      </c>
      <c r="G23" s="16">
        <f>ENERO!G23+FEBRERO!G23+MARZO!G23+ABRIL!G23+MAYO!G23+JUNIO!G23+JULIO!G23+AGOSTO!G23+SEPTIEMBRE!G23+OCTUBRE!G23+NOVIEMBRE!G23+DICIEMBRE!G23</f>
        <v>31715345.859999999</v>
      </c>
      <c r="H23" s="16">
        <f>ENERO!H23+FEBRERO!H23+MARZO!H23+ABRIL!H23+MAYO!H23+JUNIO!H23+JULIO!H23+AGOSTO!H23+SEPTIEMBRE!H23+OCTUBRE!H23+NOVIEMBRE!H23+DICIEMBRE!H23</f>
        <v>678712241.17000008</v>
      </c>
      <c r="I23" s="16">
        <f>ENERO!I23+FEBRERO!I23+MARZO!I23+ABRIL!I23+MAYO!I23+JUNIO!I23+JULIO!I23+AGOSTO!I23+SEPTIEMBRE!I23+OCTUBRE!I23+NOVIEMBRE!I23+DICIEMBRE!I23</f>
        <v>130102512.24000001</v>
      </c>
      <c r="J23" s="16">
        <f>ENERO!J23+FEBRERO!J23+MARZO!J23+ABRIL!J23+MAYO!J23+JUNIO!J23+JULIO!J23+AGOSTO!J23+SEPTIEMBRE!J23+OCTUBRE!J23+NOVIEMBRE!J23+DICIEMBRE!J23</f>
        <v>1098907487.1899996</v>
      </c>
      <c r="K23" s="16">
        <f>ENERO!K23+FEBRERO!K23+MARZO!K23+ABRIL!K23+MAYO!K23+JUNIO!K23+JULIO!K23+AGOSTO!K23+SEPTIEMBRE!K23+OCTUBRE!K23+NOVIEMBRE!K23+DICIEMBRE!K23</f>
        <v>139214981.76170734</v>
      </c>
      <c r="L23" s="16"/>
      <c r="M23" s="16"/>
      <c r="N23" s="18">
        <f t="shared" si="0"/>
        <v>14384604782.079372</v>
      </c>
      <c r="O23" s="4"/>
      <c r="P23" s="4"/>
      <c r="Q23" s="4"/>
    </row>
    <row r="24" spans="1:17" ht="18" customHeight="1" x14ac:dyDescent="0.2">
      <c r="A24" s="17" t="s">
        <v>19</v>
      </c>
      <c r="B24" s="16">
        <f>ENERO!B24+FEBRERO!B24+MARZO!B24+ABRIL!B24+MAYO!B24+JUNIO!B24+JULIO!B24+AGOSTO!B24+SEPTIEMBRE!B24+OCTUBRE!B24+NOVIEMBRE!B24+DICIEMBRE!B24</f>
        <v>3800581277.6800003</v>
      </c>
      <c r="C24" s="16">
        <f>ENERO!C24+FEBRERO!C24+MARZO!C24+ABRIL!C24+MAYO!C24+JUNIO!C24+JULIO!C24+AGOSTO!C24+SEPTIEMBRE!C24+OCTUBRE!C24+NOVIEMBRE!C24+DICIEMBRE!C24</f>
        <v>0</v>
      </c>
      <c r="D24" s="16">
        <f>ENERO!D24+FEBRERO!D24+MARZO!D24+ABRIL!D24+MAYO!D24+JUNIO!D24+JULIO!D24+AGOSTO!D24+SEPTIEMBRE!D24+OCTUBRE!D24+NOVIEMBRE!D24+DICIEMBRE!D24</f>
        <v>273595092.54756832</v>
      </c>
      <c r="E24" s="16">
        <f>ENERO!E24+FEBRERO!E24+MARZO!E24+ABRIL!E24+MAYO!E24+JUNIO!E24+JULIO!E24+AGOSTO!E24+SEPTIEMBRE!E24+OCTUBRE!E24+NOVIEMBRE!E24+DICIEMBRE!E24</f>
        <v>48819055.75</v>
      </c>
      <c r="F24" s="16">
        <f>ENERO!F24+FEBRERO!F24+MARZO!F24+ABRIL!F24+MAYO!F24+JUNIO!F24+JULIO!F24+AGOSTO!F24+SEPTIEMBRE!F24+OCTUBRE!F24+NOVIEMBRE!F24+DICIEMBRE!F24</f>
        <v>50344364.579999998</v>
      </c>
      <c r="G24" s="16">
        <f>ENERO!G24+FEBRERO!G24+MARZO!G24+ABRIL!G24+MAYO!G24+JUNIO!G24+JULIO!G24+AGOSTO!G24+SEPTIEMBRE!G24+OCTUBRE!G24+NOVIEMBRE!G24+DICIEMBRE!G24</f>
        <v>7060567.7708917335</v>
      </c>
      <c r="H24" s="16">
        <f>ENERO!H24+FEBRERO!H24+MARZO!H24+ABRIL!H24+MAYO!H24+JUNIO!H24+JULIO!H24+AGOSTO!H24+SEPTIEMBRE!H24+OCTUBRE!H24+NOVIEMBRE!H24+DICIEMBRE!H24</f>
        <v>220383085.26000002</v>
      </c>
      <c r="I24" s="16">
        <f>ENERO!I24+FEBRERO!I24+MARZO!I24+ABRIL!I24+MAYO!I24+JUNIO!I24+JULIO!I24+AGOSTO!I24+SEPTIEMBRE!I24+OCTUBRE!I24+NOVIEMBRE!I24+DICIEMBRE!I24</f>
        <v>135277043.98999998</v>
      </c>
      <c r="J24" s="16">
        <f>ENERO!J24+FEBRERO!J24+MARZO!J24+ABRIL!J24+MAYO!J24+JUNIO!J24+JULIO!J24+AGOSTO!J24+SEPTIEMBRE!J24+OCTUBRE!J24+NOVIEMBRE!J24+DICIEMBRE!J24</f>
        <v>929843889.88999987</v>
      </c>
      <c r="K24" s="16">
        <f>ENERO!K24+FEBRERO!K24+MARZO!K24+ABRIL!K24+MAYO!K24+JUNIO!K24+JULIO!K24+AGOSTO!K24+SEPTIEMBRE!K24+OCTUBRE!K24+NOVIEMBRE!K24+DICIEMBRE!K24</f>
        <v>44173386.33263392</v>
      </c>
      <c r="L24" s="16"/>
      <c r="M24" s="16"/>
      <c r="N24" s="18">
        <f t="shared" si="0"/>
        <v>5510077763.8010941</v>
      </c>
      <c r="O24" s="4"/>
      <c r="P24" s="4"/>
      <c r="Q24" s="4"/>
    </row>
    <row r="25" spans="1:17" ht="18" customHeight="1" x14ac:dyDescent="0.2">
      <c r="A25" s="17" t="s">
        <v>20</v>
      </c>
      <c r="B25" s="16">
        <f>ENERO!B25+FEBRERO!B25+MARZO!B25+ABRIL!B25+MAYO!B25+JUNIO!B25+JULIO!B25+AGOSTO!B25+SEPTIEMBRE!B25+OCTUBRE!B25+NOVIEMBRE!B25+DICIEMBRE!B25</f>
        <v>16558529871.199999</v>
      </c>
      <c r="C25" s="16">
        <f>ENERO!C25+FEBRERO!C25+MARZO!C25+ABRIL!C25+MAYO!C25+JUNIO!C25+JULIO!C25+AGOSTO!C25+SEPTIEMBRE!C25+OCTUBRE!C25+NOVIEMBRE!C25+DICIEMBRE!C25</f>
        <v>0</v>
      </c>
      <c r="D25" s="16">
        <f>ENERO!D25+FEBRERO!D25+MARZO!D25+ABRIL!D25+MAYO!D25+JUNIO!D25+JULIO!D25+AGOSTO!D25+SEPTIEMBRE!D25+OCTUBRE!D25+NOVIEMBRE!D25+DICIEMBRE!D25</f>
        <v>208135758.50894016</v>
      </c>
      <c r="E25" s="16">
        <f>ENERO!E25+FEBRERO!E25+MARZO!E25+ABRIL!E25+MAYO!E25+JUNIO!E25+JULIO!E25+AGOSTO!E25+SEPTIEMBRE!E25+OCTUBRE!E25+NOVIEMBRE!E25+DICIEMBRE!E25</f>
        <v>194731342.05000001</v>
      </c>
      <c r="F25" s="16">
        <f>ENERO!F25+FEBRERO!F25+MARZO!F25+ABRIL!F25+MAYO!F25+JUNIO!F25+JULIO!F25+AGOSTO!F25+SEPTIEMBRE!F25+OCTUBRE!F25+NOVIEMBRE!F25+DICIEMBRE!F25</f>
        <v>223282759.12</v>
      </c>
      <c r="G25" s="16">
        <f>ENERO!G25+FEBRERO!G25+MARZO!G25+ABRIL!G25+MAYO!G25+JUNIO!G25+JULIO!G25+AGOSTO!G25+SEPTIEMBRE!G25+OCTUBRE!G25+NOVIEMBRE!G25+DICIEMBRE!G25</f>
        <v>75518427.319999993</v>
      </c>
      <c r="H25" s="16">
        <f>ENERO!H25+FEBRERO!H25+MARZO!H25+ABRIL!H25+MAYO!H25+JUNIO!H25+JULIO!H25+AGOSTO!H25+SEPTIEMBRE!H25+OCTUBRE!H25+NOVIEMBRE!H25+DICIEMBRE!H25</f>
        <v>944459880.71999991</v>
      </c>
      <c r="I25" s="16">
        <f>ENERO!I25+FEBRERO!I25+MARZO!I25+ABRIL!I25+MAYO!I25+JUNIO!I25+JULIO!I25+AGOSTO!I25+SEPTIEMBRE!I25+OCTUBRE!I25+NOVIEMBRE!I25+DICIEMBRE!I25</f>
        <v>599968474.42999995</v>
      </c>
      <c r="J25" s="16">
        <f>ENERO!J25+FEBRERO!J25+MARZO!J25+ABRIL!J25+MAYO!J25+JUNIO!J25+JULIO!J25+AGOSTO!J25+SEPTIEMBRE!J25+OCTUBRE!J25+NOVIEMBRE!J25+DICIEMBRE!J25</f>
        <v>2149517401.6099997</v>
      </c>
      <c r="K25" s="16">
        <f>ENERO!K25+FEBRERO!K25+MARZO!K25+ABRIL!K25+MAYO!K25+JUNIO!K25+JULIO!K25+AGOSTO!K25+SEPTIEMBRE!K25+OCTUBRE!K25+NOVIEMBRE!K25+DICIEMBRE!K25</f>
        <v>173575101.86471844</v>
      </c>
      <c r="L25" s="16"/>
      <c r="M25" s="16"/>
      <c r="N25" s="18">
        <f t="shared" si="0"/>
        <v>21127719016.823658</v>
      </c>
      <c r="O25" s="4"/>
      <c r="P25" s="4"/>
      <c r="Q25" s="4"/>
    </row>
    <row r="26" spans="1:17" ht="18" customHeight="1" x14ac:dyDescent="0.2">
      <c r="A26" s="17" t="s">
        <v>21</v>
      </c>
      <c r="B26" s="16">
        <f>ENERO!B26+FEBRERO!B26+MARZO!B26+ABRIL!B26+MAYO!B26+JUNIO!B26+JULIO!B26+AGOSTO!B26+SEPTIEMBRE!B26+OCTUBRE!B26+NOVIEMBRE!B26+DICIEMBRE!B26</f>
        <v>6416330076.1700001</v>
      </c>
      <c r="C26" s="16">
        <f>ENERO!C26+FEBRERO!C26+MARZO!C26+ABRIL!C26+MAYO!C26+JUNIO!C26+JULIO!C26+AGOSTO!C26+SEPTIEMBRE!C26+OCTUBRE!C26+NOVIEMBRE!C26+DICIEMBRE!C26</f>
        <v>0</v>
      </c>
      <c r="D26" s="16">
        <f>ENERO!D26+FEBRERO!D26+MARZO!D26+ABRIL!D26+MAYO!D26+JUNIO!D26+JULIO!D26+AGOSTO!D26+SEPTIEMBRE!D26+OCTUBRE!D26+NOVIEMBRE!D26+DICIEMBRE!D26</f>
        <v>245379344.05022615</v>
      </c>
      <c r="E26" s="16">
        <f>ENERO!E26+FEBRERO!E26+MARZO!E26+ABRIL!E26+MAYO!E26+JUNIO!E26+JULIO!E26+AGOSTO!E26+SEPTIEMBRE!E26+OCTUBRE!E26+NOVIEMBRE!E26+DICIEMBRE!E26</f>
        <v>84513403.460000008</v>
      </c>
      <c r="F26" s="16">
        <f>ENERO!F26+FEBRERO!F26+MARZO!F26+ABRIL!F26+MAYO!F26+JUNIO!F26+JULIO!F26+AGOSTO!F26+SEPTIEMBRE!F26+OCTUBRE!F26+NOVIEMBRE!F26+DICIEMBRE!F26</f>
        <v>101548434.85999998</v>
      </c>
      <c r="G26" s="16">
        <f>ENERO!G26+FEBRERO!G26+MARZO!G26+ABRIL!G26+MAYO!G26+JUNIO!G26+JULIO!G26+AGOSTO!G26+SEPTIEMBRE!G26+OCTUBRE!G26+NOVIEMBRE!G26+DICIEMBRE!G26</f>
        <v>48231261.830000006</v>
      </c>
      <c r="H26" s="16">
        <f>ENERO!H26+FEBRERO!H26+MARZO!H26+ABRIL!H26+MAYO!H26+JUNIO!H26+JULIO!H26+AGOSTO!H26+SEPTIEMBRE!H26+OCTUBRE!H26+NOVIEMBRE!H26+DICIEMBRE!H26</f>
        <v>371819856.83999997</v>
      </c>
      <c r="I26" s="16">
        <f>ENERO!I26+FEBRERO!I26+MARZO!I26+ABRIL!I26+MAYO!I26+JUNIO!I26+JULIO!I26+AGOSTO!I26+SEPTIEMBRE!I26+OCTUBRE!I26+NOVIEMBRE!I26+DICIEMBRE!I26</f>
        <v>272864146.76999998</v>
      </c>
      <c r="J26" s="16">
        <f>ENERO!J26+FEBRERO!J26+MARZO!J26+ABRIL!J26+MAYO!J26+JUNIO!J26+JULIO!J26+AGOSTO!J26+SEPTIEMBRE!J26+OCTUBRE!J26+NOVIEMBRE!J26+DICIEMBRE!J26</f>
        <v>1586084022.2199998</v>
      </c>
      <c r="K26" s="16">
        <f>ENERO!K26+FEBRERO!K26+MARZO!K26+ABRIL!K26+MAYO!K26+JUNIO!K26+JULIO!K26+AGOSTO!K26+SEPTIEMBRE!K26+OCTUBRE!K26+NOVIEMBRE!K26+DICIEMBRE!K26</f>
        <v>74285156.079579532</v>
      </c>
      <c r="L26" s="16"/>
      <c r="M26" s="16"/>
      <c r="N26" s="18">
        <f t="shared" si="0"/>
        <v>9201055702.2798061</v>
      </c>
      <c r="O26" s="4"/>
      <c r="P26" s="4"/>
      <c r="Q26" s="4"/>
    </row>
    <row r="27" spans="1:17" ht="18" customHeight="1" x14ac:dyDescent="0.2">
      <c r="A27" s="17" t="s">
        <v>22</v>
      </c>
      <c r="B27" s="16">
        <f>ENERO!B27+FEBRERO!B27+MARZO!B27+ABRIL!B27+MAYO!B27+JUNIO!B27+JULIO!B27+AGOSTO!B27+SEPTIEMBRE!B27+OCTUBRE!B27+NOVIEMBRE!B27+DICIEMBRE!B27</f>
        <v>3176718646.6799998</v>
      </c>
      <c r="C27" s="16">
        <f>ENERO!C27+FEBRERO!C27+MARZO!C27+ABRIL!C27+MAYO!C27+JUNIO!C27+JULIO!C27+AGOSTO!C27+SEPTIEMBRE!C27+OCTUBRE!C27+NOVIEMBRE!C27+DICIEMBRE!C27</f>
        <v>0</v>
      </c>
      <c r="D27" s="16">
        <f>ENERO!D27+FEBRERO!D27+MARZO!D27+ABRIL!D27+MAYO!D27+JUNIO!D27+JULIO!D27+AGOSTO!D27+SEPTIEMBRE!D27+OCTUBRE!D27+NOVIEMBRE!D27+DICIEMBRE!D27</f>
        <v>185436032.61857814</v>
      </c>
      <c r="E27" s="16">
        <f>ENERO!E27+FEBRERO!E27+MARZO!E27+ABRIL!E27+MAYO!E27+JUNIO!E27+JULIO!E27+AGOSTO!E27+SEPTIEMBRE!E27+OCTUBRE!E27+NOVIEMBRE!E27+DICIEMBRE!E27</f>
        <v>38612784.869999997</v>
      </c>
      <c r="F27" s="16">
        <f>ENERO!F27+FEBRERO!F27+MARZO!F27+ABRIL!F27+MAYO!F27+JUNIO!F27+JULIO!F27+AGOSTO!F27+SEPTIEMBRE!F27+OCTUBRE!F27+NOVIEMBRE!F27+DICIEMBRE!F27</f>
        <v>25240958.740000002</v>
      </c>
      <c r="G27" s="16">
        <f>ENERO!G27+FEBRERO!G27+MARZO!G27+ABRIL!G27+MAYO!G27+JUNIO!G27+JULIO!G27+AGOSTO!G27+SEPTIEMBRE!G27+OCTUBRE!G27+NOVIEMBRE!G27+DICIEMBRE!G27</f>
        <v>10890930.09</v>
      </c>
      <c r="H27" s="16">
        <f>ENERO!H27+FEBRERO!H27+MARZO!H27+ABRIL!H27+MAYO!H27+JUNIO!H27+JULIO!H27+AGOSTO!H27+SEPTIEMBRE!H27+OCTUBRE!H27+NOVIEMBRE!H27+DICIEMBRE!H27</f>
        <v>181662710.06</v>
      </c>
      <c r="I27" s="16">
        <f>ENERO!I27+FEBRERO!I27+MARZO!I27+ABRIL!I27+MAYO!I27+JUNIO!I27+JULIO!I27+AGOSTO!I27+SEPTIEMBRE!I27+OCTUBRE!I27+NOVIEMBRE!I27+DICIEMBRE!I27</f>
        <v>67823326.699999988</v>
      </c>
      <c r="J27" s="16">
        <f>ENERO!J27+FEBRERO!J27+MARZO!J27+ABRIL!J27+MAYO!J27+JUNIO!J27+JULIO!J27+AGOSTO!J27+SEPTIEMBRE!J27+OCTUBRE!J27+NOVIEMBRE!J27+DICIEMBRE!J27</f>
        <v>425027472.31000012</v>
      </c>
      <c r="K27" s="16">
        <f>ENERO!K27+FEBRERO!K27+MARZO!K27+ABRIL!K27+MAYO!K27+JUNIO!K27+JULIO!K27+AGOSTO!K27+SEPTIEMBRE!K27+OCTUBRE!K27+NOVIEMBRE!K27+DICIEMBRE!K27</f>
        <v>33864852.545391276</v>
      </c>
      <c r="L27" s="16"/>
      <c r="M27" s="16"/>
      <c r="N27" s="18">
        <f t="shared" si="0"/>
        <v>4145277714.6139684</v>
      </c>
      <c r="O27" s="4"/>
      <c r="P27" s="4"/>
      <c r="Q27" s="4"/>
    </row>
    <row r="28" spans="1:17" ht="18" customHeight="1" x14ac:dyDescent="0.2">
      <c r="A28" s="17" t="s">
        <v>23</v>
      </c>
      <c r="B28" s="16">
        <f>ENERO!B28+FEBRERO!B28+MARZO!B28+ABRIL!B28+MAYO!B28+JUNIO!B28+JULIO!B28+AGOSTO!B28+SEPTIEMBRE!B28+OCTUBRE!B28+NOVIEMBRE!B28+DICIEMBRE!B28</f>
        <v>11073139599.98</v>
      </c>
      <c r="C28" s="16">
        <f>ENERO!C28+FEBRERO!C28+MARZO!C28+ABRIL!C28+MAYO!C28+JUNIO!C28+JULIO!C28+AGOSTO!C28+SEPTIEMBRE!C28+OCTUBRE!C28+NOVIEMBRE!C28+DICIEMBRE!C28</f>
        <v>0</v>
      </c>
      <c r="D28" s="16">
        <f>ENERO!D28+FEBRERO!D28+MARZO!D28+ABRIL!D28+MAYO!D28+JUNIO!D28+JULIO!D28+AGOSTO!D28+SEPTIEMBRE!D28+OCTUBRE!D28+NOVIEMBRE!D28+DICIEMBRE!D28</f>
        <v>487020676.92908055</v>
      </c>
      <c r="E28" s="16">
        <f>ENERO!E28+FEBRERO!E28+MARZO!E28+ABRIL!E28+MAYO!E28+JUNIO!E28+JULIO!E28+AGOSTO!E28+SEPTIEMBRE!E28+OCTUBRE!E28+NOVIEMBRE!E28+DICIEMBRE!E28</f>
        <v>140289668.06</v>
      </c>
      <c r="F28" s="16">
        <f>ENERO!F28+FEBRERO!F28+MARZO!F28+ABRIL!F28+MAYO!F28+JUNIO!F28+JULIO!F28+AGOSTO!F28+SEPTIEMBRE!F28+OCTUBRE!F28+NOVIEMBRE!F28+DICIEMBRE!F28</f>
        <v>34766497.649999999</v>
      </c>
      <c r="G28" s="16">
        <f>ENERO!G28+FEBRERO!G28+MARZO!G28+ABRIL!G28+MAYO!G28+JUNIO!G28+JULIO!G28+AGOSTO!G28+SEPTIEMBRE!G28+OCTUBRE!G28+NOVIEMBRE!G28+DICIEMBRE!G28</f>
        <v>15797832.66</v>
      </c>
      <c r="H28" s="16">
        <f>ENERO!H28+FEBRERO!H28+MARZO!H28+ABRIL!H28+MAYO!H28+JUNIO!H28+JULIO!H28+AGOSTO!H28+SEPTIEMBRE!H28+OCTUBRE!H28+NOVIEMBRE!H28+DICIEMBRE!H28</f>
        <v>643009298.17999995</v>
      </c>
      <c r="I28" s="16">
        <f>ENERO!I28+FEBRERO!I28+MARZO!I28+ABRIL!I28+MAYO!I28+JUNIO!I28+JULIO!I28+AGOSTO!I28+SEPTIEMBRE!I28+OCTUBRE!I28+NOVIEMBRE!I28+DICIEMBRE!I28</f>
        <v>93418778.309999987</v>
      </c>
      <c r="J28" s="16">
        <f>ENERO!J28+FEBRERO!J28+MARZO!J28+ABRIL!J28+MAYO!J28+JUNIO!J28+JULIO!J28+AGOSTO!J28+SEPTIEMBRE!J28+OCTUBRE!J28+NOVIEMBRE!J28+DICIEMBRE!J28</f>
        <v>868988065.56999993</v>
      </c>
      <c r="K28" s="16">
        <f>ENERO!K28+FEBRERO!K28+MARZO!K28+ABRIL!K28+MAYO!K28+JUNIO!K28+JULIO!K28+AGOSTO!K28+SEPTIEMBRE!K28+OCTUBRE!K28+NOVIEMBRE!K28+DICIEMBRE!K28</f>
        <v>129799920.60353762</v>
      </c>
      <c r="L28" s="16"/>
      <c r="M28" s="16"/>
      <c r="N28" s="18">
        <f t="shared" si="0"/>
        <v>13486230337.942617</v>
      </c>
      <c r="O28" s="4"/>
      <c r="P28" s="4"/>
      <c r="Q28" s="4"/>
    </row>
    <row r="29" spans="1:17" ht="18" customHeight="1" x14ac:dyDescent="0.2">
      <c r="A29" s="17" t="s">
        <v>24</v>
      </c>
      <c r="B29" s="16">
        <f>ENERO!B29+FEBRERO!B29+MARZO!B29+ABRIL!B29+MAYO!B29+JUNIO!B29+JULIO!B29+AGOSTO!B29+SEPTIEMBRE!B29+OCTUBRE!B29+NOVIEMBRE!B29+DICIEMBRE!B29</f>
        <v>6184597610.4000006</v>
      </c>
      <c r="C29" s="16">
        <f>ENERO!C29+FEBRERO!C29+MARZO!C29+ABRIL!C29+MAYO!C29+JUNIO!C29+JULIO!C29+AGOSTO!C29+SEPTIEMBRE!C29+OCTUBRE!C29+NOVIEMBRE!C29+DICIEMBRE!C29</f>
        <v>0</v>
      </c>
      <c r="D29" s="16">
        <f>ENERO!D29+FEBRERO!D29+MARZO!D29+ABRIL!D29+MAYO!D29+JUNIO!D29+JULIO!D29+AGOSTO!D29+SEPTIEMBRE!D29+OCTUBRE!D29+NOVIEMBRE!D29+DICIEMBRE!D29</f>
        <v>504086422.14949256</v>
      </c>
      <c r="E29" s="16">
        <f>ENERO!E29+FEBRERO!E29+MARZO!E29+ABRIL!E29+MAYO!E29+JUNIO!E29+JULIO!E29+AGOSTO!E29+SEPTIEMBRE!E29+OCTUBRE!E29+NOVIEMBRE!E29+DICIEMBRE!E29</f>
        <v>79132086.75</v>
      </c>
      <c r="F29" s="16">
        <f>ENERO!F29+FEBRERO!F29+MARZO!F29+ABRIL!F29+MAYO!F29+JUNIO!F29+JULIO!F29+AGOSTO!F29+SEPTIEMBRE!F29+OCTUBRE!F29+NOVIEMBRE!F29+DICIEMBRE!F29</f>
        <v>21698971.330000002</v>
      </c>
      <c r="G29" s="16">
        <f>ENERO!G29+FEBRERO!G29+MARZO!G29+ABRIL!G29+MAYO!G29+JUNIO!G29+JULIO!G29+AGOSTO!G29+SEPTIEMBRE!G29+OCTUBRE!G29+NOVIEMBRE!G29+DICIEMBRE!G29</f>
        <v>9574444.0399999991</v>
      </c>
      <c r="H29" s="16">
        <f>ENERO!H29+FEBRERO!H29+MARZO!H29+ABRIL!H29+MAYO!H29+JUNIO!H29+JULIO!H29+AGOSTO!H29+SEPTIEMBRE!H29+OCTUBRE!H29+NOVIEMBRE!H29+DICIEMBRE!H29</f>
        <v>360526713.19999993</v>
      </c>
      <c r="I29" s="16">
        <f>ENERO!I29+FEBRERO!I29+MARZO!I29+ABRIL!I29+MAYO!I29+JUNIO!I29+JULIO!I29+AGOSTO!I29+SEPTIEMBRE!I29+OCTUBRE!I29+NOVIEMBRE!I29+DICIEMBRE!I29</f>
        <v>58305884.390000008</v>
      </c>
      <c r="J29" s="16">
        <f>ENERO!J29+FEBRERO!J29+MARZO!J29+ABRIL!J29+MAYO!J29+JUNIO!J29+JULIO!J29+AGOSTO!J29+SEPTIEMBRE!J29+OCTUBRE!J29+NOVIEMBRE!J29+DICIEMBRE!J29</f>
        <v>774693647.24000025</v>
      </c>
      <c r="K29" s="16">
        <f>ENERO!K29+FEBRERO!K29+MARZO!K29+ABRIL!K29+MAYO!K29+JUNIO!K29+JULIO!K29+AGOSTO!K29+SEPTIEMBRE!K29+OCTUBRE!K29+NOVIEMBRE!K29+DICIEMBRE!K29</f>
        <v>74168183.339840174</v>
      </c>
      <c r="L29" s="16"/>
      <c r="M29" s="16"/>
      <c r="N29" s="18">
        <f t="shared" si="0"/>
        <v>8066783962.8393326</v>
      </c>
      <c r="O29" s="4"/>
      <c r="P29" s="4"/>
      <c r="Q29" s="4"/>
    </row>
    <row r="30" spans="1:17" ht="18" customHeight="1" x14ac:dyDescent="0.2">
      <c r="A30" s="17" t="s">
        <v>25</v>
      </c>
      <c r="B30" s="16">
        <f>ENERO!B30+FEBRERO!B30+MARZO!B30+ABRIL!B30+MAYO!B30+JUNIO!B30+JULIO!B30+AGOSTO!B30+SEPTIEMBRE!B30+OCTUBRE!B30+NOVIEMBRE!B30+DICIEMBRE!B30</f>
        <v>2260130214.2800002</v>
      </c>
      <c r="C30" s="16">
        <f>ENERO!C30+FEBRERO!C30+MARZO!C30+ABRIL!C30+MAYO!C30+JUNIO!C30+JULIO!C30+AGOSTO!C30+SEPTIEMBRE!C30+OCTUBRE!C30+NOVIEMBRE!C30+DICIEMBRE!C30</f>
        <v>0</v>
      </c>
      <c r="D30" s="16">
        <f>ENERO!D30+FEBRERO!D30+MARZO!D30+ABRIL!D30+MAYO!D30+JUNIO!D30+JULIO!D30+AGOSTO!D30+SEPTIEMBRE!D30+OCTUBRE!D30+NOVIEMBRE!D30+DICIEMBRE!D30</f>
        <v>312931389.24469364</v>
      </c>
      <c r="E30" s="16">
        <f>ENERO!E30+FEBRERO!E30+MARZO!E30+ABRIL!E30+MAYO!E30+JUNIO!E30+JULIO!E30+AGOSTO!E30+SEPTIEMBRE!E30+OCTUBRE!E30+NOVIEMBRE!E30+DICIEMBRE!E30</f>
        <v>28238409.849999998</v>
      </c>
      <c r="F30" s="16">
        <f>ENERO!F30+FEBRERO!F30+MARZO!F30+ABRIL!F30+MAYO!F30+JUNIO!F30+JULIO!F30+AGOSTO!F30+SEPTIEMBRE!F30+OCTUBRE!F30+NOVIEMBRE!F30+DICIEMBRE!F30</f>
        <v>18741583.789999999</v>
      </c>
      <c r="G30" s="16">
        <f>ENERO!G30+FEBRERO!G30+MARZO!G30+ABRIL!G30+MAYO!G30+JUNIO!G30+JULIO!G30+AGOSTO!G30+SEPTIEMBRE!G30+OCTUBRE!G30+NOVIEMBRE!G30+DICIEMBRE!G30</f>
        <v>11968055.039999999</v>
      </c>
      <c r="H30" s="16">
        <f>ENERO!H30+FEBRERO!H30+MARZO!H30+ABRIL!H30+MAYO!H30+JUNIO!H30+JULIO!H30+AGOSTO!H30+SEPTIEMBRE!H30+OCTUBRE!H30+NOVIEMBRE!H30+DICIEMBRE!H30</f>
        <v>130844143.87</v>
      </c>
      <c r="I30" s="16">
        <f>ENERO!I30+FEBRERO!I30+MARZO!I30+ABRIL!I30+MAYO!I30+JUNIO!I30+JULIO!I30+AGOSTO!I30+SEPTIEMBRE!I30+OCTUBRE!I30+NOVIEMBRE!I30+DICIEMBRE!I30</f>
        <v>50359282.07</v>
      </c>
      <c r="J30" s="16">
        <f>ENERO!J30+FEBRERO!J30+MARZO!J30+ABRIL!J30+MAYO!J30+JUNIO!J30+JULIO!J30+AGOSTO!J30+SEPTIEMBRE!J30+OCTUBRE!J30+NOVIEMBRE!J30+DICIEMBRE!J30</f>
        <v>601821037.36000013</v>
      </c>
      <c r="K30" s="16">
        <f>ENERO!K30+FEBRERO!K30+MARZO!K30+ABRIL!K30+MAYO!K30+JUNIO!K30+JULIO!K30+AGOSTO!K30+SEPTIEMBRE!K30+OCTUBRE!K30+NOVIEMBRE!K30+DICIEMBRE!K30</f>
        <v>26012746.292675063</v>
      </c>
      <c r="L30" s="16"/>
      <c r="M30" s="16"/>
      <c r="N30" s="18">
        <f t="shared" si="0"/>
        <v>3441046861.797369</v>
      </c>
      <c r="O30" s="4"/>
      <c r="P30" s="4"/>
      <c r="Q30" s="4"/>
    </row>
    <row r="31" spans="1:17" ht="18" customHeight="1" x14ac:dyDescent="0.2">
      <c r="A31" s="17" t="s">
        <v>26</v>
      </c>
      <c r="B31" s="16">
        <f>ENERO!B31+FEBRERO!B31+MARZO!B31+ABRIL!B31+MAYO!B31+JUNIO!B31+JULIO!B31+AGOSTO!B31+SEPTIEMBRE!B31+OCTUBRE!B31+NOVIEMBRE!B31+DICIEMBRE!B31</f>
        <v>3718482981.5300002</v>
      </c>
      <c r="C31" s="16">
        <f>ENERO!C31+FEBRERO!C31+MARZO!C31+ABRIL!C31+MAYO!C31+JUNIO!C31+JULIO!C31+AGOSTO!C31+SEPTIEMBRE!C31+OCTUBRE!C31+NOVIEMBRE!C31+DICIEMBRE!C31</f>
        <v>0</v>
      </c>
      <c r="D31" s="16">
        <f>ENERO!D31+FEBRERO!D31+MARZO!D31+ABRIL!D31+MAYO!D31+JUNIO!D31+JULIO!D31+AGOSTO!D31+SEPTIEMBRE!D31+OCTUBRE!D31+NOVIEMBRE!D31+DICIEMBRE!D31</f>
        <v>195563719.76560834</v>
      </c>
      <c r="E31" s="16">
        <f>ENERO!E31+FEBRERO!E31+MARZO!E31+ABRIL!E31+MAYO!E31+JUNIO!E31+JULIO!E31+AGOSTO!E31+SEPTIEMBRE!E31+OCTUBRE!E31+NOVIEMBRE!E31+DICIEMBRE!E31</f>
        <v>47751220.170000002</v>
      </c>
      <c r="F31" s="16">
        <f>ENERO!F31+FEBRERO!F31+MARZO!F31+ABRIL!F31+MAYO!F31+JUNIO!F31+JULIO!F31+AGOSTO!F31+SEPTIEMBRE!F31+OCTUBRE!F31+NOVIEMBRE!F31+DICIEMBRE!F31</f>
        <v>22386735.870000001</v>
      </c>
      <c r="G31" s="16">
        <f>ENERO!G31+FEBRERO!G31+MARZO!G31+ABRIL!G31+MAYO!G31+JUNIO!G31+JULIO!G31+AGOSTO!G31+SEPTIEMBRE!G31+OCTUBRE!G31+NOVIEMBRE!G31+DICIEMBRE!G31</f>
        <v>6582430.2700000005</v>
      </c>
      <c r="H31" s="16">
        <f>ENERO!H31+FEBRERO!H31+MARZO!H31+ABRIL!H31+MAYO!H31+JUNIO!H31+JULIO!H31+AGOSTO!H31+SEPTIEMBRE!H31+OCTUBRE!H31+NOVIEMBRE!H31+DICIEMBRE!H31</f>
        <v>216919966.59</v>
      </c>
      <c r="I31" s="16">
        <f>ENERO!I31+FEBRERO!I31+MARZO!I31+ABRIL!I31+MAYO!I31+JUNIO!I31+JULIO!I31+AGOSTO!I31+SEPTIEMBRE!I31+OCTUBRE!I31+NOVIEMBRE!I31+DICIEMBRE!I31</f>
        <v>60153931.439999998</v>
      </c>
      <c r="J31" s="16">
        <f>ENERO!J31+FEBRERO!J31+MARZO!J31+ABRIL!J31+MAYO!J31+JUNIO!J31+JULIO!J31+AGOSTO!J31+SEPTIEMBRE!J31+OCTUBRE!J31+NOVIEMBRE!J31+DICIEMBRE!J31</f>
        <v>426526921.15000015</v>
      </c>
      <c r="K31" s="16">
        <f>ENERO!K31+FEBRERO!K31+MARZO!K31+ABRIL!K31+MAYO!K31+JUNIO!K31+JULIO!K31+AGOSTO!K31+SEPTIEMBRE!K31+OCTUBRE!K31+NOVIEMBRE!K31+DICIEMBRE!K31</f>
        <v>44778160.28490334</v>
      </c>
      <c r="L31" s="16"/>
      <c r="M31" s="16"/>
      <c r="N31" s="18">
        <f t="shared" si="0"/>
        <v>4739146067.0705128</v>
      </c>
      <c r="O31" s="4"/>
      <c r="P31" s="4"/>
      <c r="Q31" s="4"/>
    </row>
    <row r="32" spans="1:17" ht="18" customHeight="1" x14ac:dyDescent="0.2">
      <c r="A32" s="17" t="s">
        <v>27</v>
      </c>
      <c r="B32" s="16">
        <f>ENERO!B32+FEBRERO!B32+MARZO!B32+ABRIL!B32+MAYO!B32+JUNIO!B32+JULIO!B32+AGOSTO!B32+SEPTIEMBRE!B32+OCTUBRE!B32+NOVIEMBRE!B32+DICIEMBRE!B32</f>
        <v>20100575383.939999</v>
      </c>
      <c r="C32" s="16">
        <f>ENERO!C32+FEBRERO!C32+MARZO!C32+ABRIL!C32+MAYO!C32+JUNIO!C32+JULIO!C32+AGOSTO!C32+SEPTIEMBRE!C32+OCTUBRE!C32+NOVIEMBRE!C32+DICIEMBRE!C32</f>
        <v>0</v>
      </c>
      <c r="D32" s="16">
        <f>ENERO!D32+FEBRERO!D32+MARZO!D32+ABRIL!D32+MAYO!D32+JUNIO!D32+JULIO!D32+AGOSTO!D32+SEPTIEMBRE!D32+OCTUBRE!D32+NOVIEMBRE!D32+DICIEMBRE!D32</f>
        <v>828921798.51709986</v>
      </c>
      <c r="E32" s="16">
        <f>ENERO!E32+FEBRERO!E32+MARZO!E32+ABRIL!E32+MAYO!E32+JUNIO!E32+JULIO!E32+AGOSTO!E32+SEPTIEMBRE!E32+OCTUBRE!E32+NOVIEMBRE!E32+DICIEMBRE!E32</f>
        <v>231178074.25999999</v>
      </c>
      <c r="F32" s="16">
        <f>ENERO!F32+FEBRERO!F32+MARZO!F32+ABRIL!F32+MAYO!F32+JUNIO!F32+JULIO!F32+AGOSTO!F32+SEPTIEMBRE!F32+OCTUBRE!F32+NOVIEMBRE!F32+DICIEMBRE!F32</f>
        <v>66025396.170000002</v>
      </c>
      <c r="G32" s="16">
        <f>ENERO!G32+FEBRERO!G32+MARZO!G32+ABRIL!G32+MAYO!G32+JUNIO!G32+JULIO!G32+AGOSTO!G32+SEPTIEMBRE!G32+OCTUBRE!G32+NOVIEMBRE!G32+DICIEMBRE!G32</f>
        <v>36023845.68</v>
      </c>
      <c r="H32" s="16">
        <f>ENERO!H32+FEBRERO!H32+MARZO!H32+ABRIL!H32+MAYO!H32+JUNIO!H32+JULIO!H32+AGOSTO!H32+SEPTIEMBRE!H32+OCTUBRE!H32+NOVIEMBRE!H32+DICIEMBRE!H32</f>
        <v>1141657963.52</v>
      </c>
      <c r="I32" s="16">
        <f>ENERO!I32+FEBRERO!I32+MARZO!I32+ABRIL!I32+MAYO!I32+JUNIO!I32+JULIO!I32+AGOSTO!I32+SEPTIEMBRE!I32+OCTUBRE!I32+NOVIEMBRE!I32+DICIEMBRE!I32</f>
        <v>177412516.69</v>
      </c>
      <c r="J32" s="16">
        <f>ENERO!J32+FEBRERO!J32+MARZO!J32+ABRIL!J32+MAYO!J32+JUNIO!J32+JULIO!J32+AGOSTO!J32+SEPTIEMBRE!J32+OCTUBRE!J32+NOVIEMBRE!J32+DICIEMBRE!J32</f>
        <v>1334577250.6899998</v>
      </c>
      <c r="K32" s="16">
        <f>ENERO!K32+FEBRERO!K32+MARZO!K32+ABRIL!K32+MAYO!K32+JUNIO!K32+JULIO!K32+AGOSTO!K32+SEPTIEMBRE!K32+OCTUBRE!K32+NOVIEMBRE!K32+DICIEMBRE!K32</f>
        <v>204898908.29789948</v>
      </c>
      <c r="L32" s="16"/>
      <c r="M32" s="16"/>
      <c r="N32" s="18">
        <f t="shared" si="0"/>
        <v>24121271137.764996</v>
      </c>
      <c r="O32" s="4"/>
      <c r="P32" s="4"/>
      <c r="Q32" s="4"/>
    </row>
    <row r="33" spans="1:17" ht="18" customHeight="1" x14ac:dyDescent="0.2">
      <c r="A33" s="17" t="s">
        <v>28</v>
      </c>
      <c r="B33" s="16">
        <f>ENERO!B33+FEBRERO!B33+MARZO!B33+ABRIL!B33+MAYO!B33+JUNIO!B33+JULIO!B33+AGOSTO!B33+SEPTIEMBRE!B33+OCTUBRE!B33+NOVIEMBRE!B33+DICIEMBRE!B33</f>
        <v>10456874754.74</v>
      </c>
      <c r="C33" s="16">
        <f>ENERO!C33+FEBRERO!C33+MARZO!C33+ABRIL!C33+MAYO!C33+JUNIO!C33+JULIO!C33+AGOSTO!C33+SEPTIEMBRE!C33+OCTUBRE!C33+NOVIEMBRE!C33+DICIEMBRE!C33</f>
        <v>0</v>
      </c>
      <c r="D33" s="16">
        <f>ENERO!D33+FEBRERO!D33+MARZO!D33+ABRIL!D33+MAYO!D33+JUNIO!D33+JULIO!D33+AGOSTO!D33+SEPTIEMBRE!D33+OCTUBRE!D33+NOVIEMBRE!D33+DICIEMBRE!D33</f>
        <v>552345341.40261436</v>
      </c>
      <c r="E33" s="16">
        <f>ENERO!E33+FEBRERO!E33+MARZO!E33+ABRIL!E33+MAYO!E33+JUNIO!E33+JULIO!E33+AGOSTO!E33+SEPTIEMBRE!E33+OCTUBRE!E33+NOVIEMBRE!E33+DICIEMBRE!E33</f>
        <v>137225513.34</v>
      </c>
      <c r="F33" s="16">
        <f>ENERO!F33+FEBRERO!F33+MARZO!F33+ABRIL!F33+MAYO!F33+JUNIO!F33+JULIO!F33+AGOSTO!F33+SEPTIEMBRE!F33+OCTUBRE!F33+NOVIEMBRE!F33+DICIEMBRE!F33</f>
        <v>48453012.079999991</v>
      </c>
      <c r="G33" s="16">
        <f>ENERO!G33+FEBRERO!G33+MARZO!G33+ABRIL!G33+MAYO!G33+JUNIO!G33+JULIO!G33+AGOSTO!G33+SEPTIEMBRE!G33+OCTUBRE!G33+NOVIEMBRE!G33+DICIEMBRE!G33</f>
        <v>28962693.210000001</v>
      </c>
      <c r="H33" s="16">
        <f>ENERO!H33+FEBRERO!H33+MARZO!H33+ABRIL!H33+MAYO!H33+JUNIO!H33+JULIO!H33+AGOSTO!H33+SEPTIEMBRE!H33+OCTUBRE!H33+NOVIEMBRE!H33+DICIEMBRE!H33</f>
        <v>612002988.36000001</v>
      </c>
      <c r="I33" s="16">
        <f>ENERO!I33+FEBRERO!I33+MARZO!I33+ABRIL!I33+MAYO!I33+JUNIO!I33+JULIO!I33+AGOSTO!I33+SEPTIEMBRE!I33+OCTUBRE!I33+NOVIEMBRE!I33+DICIEMBRE!I33</f>
        <v>130194914.60000001</v>
      </c>
      <c r="J33" s="16">
        <f>ENERO!J33+FEBRERO!J33+MARZO!J33+ABRIL!J33+MAYO!J33+JUNIO!J33+JULIO!J33+AGOSTO!J33+SEPTIEMBRE!J33+OCTUBRE!J33+NOVIEMBRE!J33+DICIEMBRE!J33</f>
        <v>1273014416.6299994</v>
      </c>
      <c r="K33" s="16">
        <f>ENERO!K33+FEBRERO!K33+MARZO!K33+ABRIL!K33+MAYO!K33+JUNIO!K33+JULIO!K33+AGOSTO!K33+SEPTIEMBRE!K33+OCTUBRE!K33+NOVIEMBRE!K33+DICIEMBRE!K33</f>
        <v>128319095.49407133</v>
      </c>
      <c r="L33" s="16"/>
      <c r="M33" s="16"/>
      <c r="N33" s="18">
        <f t="shared" si="0"/>
        <v>13367392729.856686</v>
      </c>
      <c r="O33" s="4"/>
      <c r="P33" s="4"/>
      <c r="Q33" s="4"/>
    </row>
    <row r="34" spans="1:17" ht="18" customHeight="1" x14ac:dyDescent="0.2">
      <c r="A34" s="17" t="s">
        <v>29</v>
      </c>
      <c r="B34" s="16">
        <f>ENERO!B34+FEBRERO!B34+MARZO!B34+ABRIL!B34+MAYO!B34+JUNIO!B34+JULIO!B34+AGOSTO!B34+SEPTIEMBRE!B34+OCTUBRE!B34+NOVIEMBRE!B34+DICIEMBRE!B34</f>
        <v>14627214940.139999</v>
      </c>
      <c r="C34" s="16">
        <f>ENERO!C34+FEBRERO!C34+MARZO!C34+ABRIL!C34+MAYO!C34+JUNIO!C34+JULIO!C34+AGOSTO!C34+SEPTIEMBRE!C34+OCTUBRE!C34+NOVIEMBRE!C34+DICIEMBRE!C34</f>
        <v>0</v>
      </c>
      <c r="D34" s="16">
        <f>ENERO!D34+FEBRERO!D34+MARZO!D34+ABRIL!D34+MAYO!D34+JUNIO!D34+JULIO!D34+AGOSTO!D34+SEPTIEMBRE!D34+OCTUBRE!D34+NOVIEMBRE!D34+DICIEMBRE!D34</f>
        <v>526358908.83393919</v>
      </c>
      <c r="E34" s="16">
        <f>ENERO!E34+FEBRERO!E34+MARZO!E34+ABRIL!E34+MAYO!E34+JUNIO!E34+JULIO!E34+AGOSTO!E34+SEPTIEMBRE!E34+OCTUBRE!E34+NOVIEMBRE!E34+DICIEMBRE!E34</f>
        <v>221234468.81</v>
      </c>
      <c r="F34" s="16">
        <f>ENERO!F34+FEBRERO!F34+MARZO!F34+ABRIL!F34+MAYO!F34+JUNIO!F34+JULIO!F34+AGOSTO!F34+SEPTIEMBRE!F34+OCTUBRE!F34+NOVIEMBRE!F34+DICIEMBRE!F34</f>
        <v>70461477.480000004</v>
      </c>
      <c r="G34" s="16">
        <f>ENERO!G34+FEBRERO!G34+MARZO!G34+ABRIL!G34+MAYO!G34+JUNIO!G34+JULIO!G34+AGOSTO!G34+SEPTIEMBRE!G34+OCTUBRE!G34+NOVIEMBRE!G34+DICIEMBRE!G34</f>
        <v>48350942.359999999</v>
      </c>
      <c r="H34" s="16">
        <f>ENERO!H34+FEBRERO!H34+MARZO!H34+ABRIL!H34+MAYO!H34+JUNIO!H34+JULIO!H34+AGOSTO!H34+SEPTIEMBRE!H34+OCTUBRE!H34+NOVIEMBRE!H34+DICIEMBRE!H34</f>
        <v>852675918.17000008</v>
      </c>
      <c r="I34" s="16">
        <f>ENERO!I34+FEBRERO!I34+MARZO!I34+ABRIL!I34+MAYO!I34+JUNIO!I34+JULIO!I34+AGOSTO!I34+SEPTIEMBRE!I34+OCTUBRE!I34+NOVIEMBRE!I34+DICIEMBRE!I34</f>
        <v>189332420.15000001</v>
      </c>
      <c r="J34" s="16">
        <f>ENERO!J34+FEBRERO!J34+MARZO!J34+ABRIL!J34+MAYO!J34+JUNIO!J34+JULIO!J34+AGOSTO!J34+SEPTIEMBRE!J34+OCTUBRE!J34+NOVIEMBRE!J34+DICIEMBRE!J34</f>
        <v>1601323018.2599998</v>
      </c>
      <c r="K34" s="16">
        <f>ENERO!K34+FEBRERO!K34+MARZO!K34+ABRIL!K34+MAYO!K34+JUNIO!K34+JULIO!K34+AGOSTO!K34+SEPTIEMBRE!K34+OCTUBRE!K34+NOVIEMBRE!K34+DICIEMBRE!K34</f>
        <v>175406845.19340277</v>
      </c>
      <c r="L34" s="16"/>
      <c r="M34" s="16"/>
      <c r="N34" s="18">
        <f t="shared" si="0"/>
        <v>18312358939.397339</v>
      </c>
      <c r="O34" s="4"/>
      <c r="P34" s="4"/>
      <c r="Q34" s="4"/>
    </row>
    <row r="35" spans="1:17" ht="18" customHeight="1" x14ac:dyDescent="0.2">
      <c r="A35" s="17" t="s">
        <v>30</v>
      </c>
      <c r="B35" s="16">
        <f>ENERO!B35+FEBRERO!B35+MARZO!B35+ABRIL!B35+MAYO!B35+JUNIO!B35+JULIO!B35+AGOSTO!B35+SEPTIEMBRE!B35+OCTUBRE!B35+NOVIEMBRE!B35+DICIEMBRE!B35</f>
        <v>7401087530.9100008</v>
      </c>
      <c r="C35" s="16">
        <f>ENERO!C35+FEBRERO!C35+MARZO!C35+ABRIL!C35+MAYO!C35+JUNIO!C35+JULIO!C35+AGOSTO!C35+SEPTIEMBRE!C35+OCTUBRE!C35+NOVIEMBRE!C35+DICIEMBRE!C35</f>
        <v>0</v>
      </c>
      <c r="D35" s="16">
        <f>ENERO!D35+FEBRERO!D35+MARZO!D35+ABRIL!D35+MAYO!D35+JUNIO!D35+JULIO!D35+AGOSTO!D35+SEPTIEMBRE!D35+OCTUBRE!D35+NOVIEMBRE!D35+DICIEMBRE!D35</f>
        <v>428414540.37396026</v>
      </c>
      <c r="E35" s="16">
        <f>ENERO!E35+FEBRERO!E35+MARZO!E35+ABRIL!E35+MAYO!E35+JUNIO!E35+JULIO!E35+AGOSTO!E35+SEPTIEMBRE!E35+OCTUBRE!E35+NOVIEMBRE!E35+DICIEMBRE!E35</f>
        <v>94601756.859999999</v>
      </c>
      <c r="F35" s="16">
        <f>ENERO!F35+FEBRERO!F35+MARZO!F35+ABRIL!F35+MAYO!F35+JUNIO!F35+JULIO!F35+AGOSTO!F35+SEPTIEMBRE!F35+OCTUBRE!F35+NOVIEMBRE!F35+DICIEMBRE!F35</f>
        <v>44051319.010000005</v>
      </c>
      <c r="G35" s="16">
        <f>ENERO!G35+FEBRERO!G35+MARZO!G35+ABRIL!G35+MAYO!G35+JUNIO!G35+JULIO!G35+AGOSTO!G35+SEPTIEMBRE!G35+OCTUBRE!G35+NOVIEMBRE!G35+DICIEMBRE!G35</f>
        <v>18789846.420000002</v>
      </c>
      <c r="H35" s="16">
        <f>ENERO!H35+FEBRERO!H35+MARZO!H35+ABRIL!H35+MAYO!H35+JUNIO!H35+JULIO!H35+AGOSTO!H35+SEPTIEMBRE!H35+OCTUBRE!H35+NOVIEMBRE!H35+DICIEMBRE!H35</f>
        <v>429608504.74999994</v>
      </c>
      <c r="I35" s="16">
        <f>ENERO!I35+FEBRERO!I35+MARZO!I35+ABRIL!I35+MAYO!I35+JUNIO!I35+JULIO!I35+AGOSTO!I35+SEPTIEMBRE!I35+OCTUBRE!I35+NOVIEMBRE!I35+DICIEMBRE!I35</f>
        <v>118367413.47999999</v>
      </c>
      <c r="J35" s="16">
        <f>ENERO!J35+FEBRERO!J35+MARZO!J35+ABRIL!J35+MAYO!J35+JUNIO!J35+JULIO!J35+AGOSTO!J35+SEPTIEMBRE!J35+OCTUBRE!J35+NOVIEMBRE!J35+DICIEMBRE!J35</f>
        <v>575520291.66999996</v>
      </c>
      <c r="K35" s="16">
        <f>ENERO!K35+FEBRERO!K35+MARZO!K35+ABRIL!K35+MAYO!K35+JUNIO!K35+JULIO!K35+AGOSTO!K35+SEPTIEMBRE!K35+OCTUBRE!K35+NOVIEMBRE!K35+DICIEMBRE!K35</f>
        <v>86554849.843728796</v>
      </c>
      <c r="L35" s="16"/>
      <c r="M35" s="16"/>
      <c r="N35" s="18">
        <f t="shared" si="0"/>
        <v>9196996053.3176899</v>
      </c>
      <c r="O35" s="4"/>
      <c r="P35" s="4"/>
      <c r="Q35" s="4"/>
    </row>
    <row r="36" spans="1:17" ht="18" customHeight="1" x14ac:dyDescent="0.2">
      <c r="A36" s="17" t="s">
        <v>31</v>
      </c>
      <c r="B36" s="16">
        <f>ENERO!B36+FEBRERO!B36+MARZO!B36+ABRIL!B36+MAYO!B36+JUNIO!B36+JULIO!B36+AGOSTO!B36+SEPTIEMBRE!B36+OCTUBRE!B36+NOVIEMBRE!B36+DICIEMBRE!B36</f>
        <v>8401251606.7700005</v>
      </c>
      <c r="C36" s="16">
        <f>ENERO!C36+FEBRERO!C36+MARZO!C36+ABRIL!C36+MAYO!C36+JUNIO!C36+JULIO!C36+AGOSTO!C36+SEPTIEMBRE!C36+OCTUBRE!C36+NOVIEMBRE!C36+DICIEMBRE!C36</f>
        <v>0</v>
      </c>
      <c r="D36" s="16">
        <f>ENERO!D36+FEBRERO!D36+MARZO!D36+ABRIL!D36+MAYO!D36+JUNIO!D36+JULIO!D36+AGOSTO!D36+SEPTIEMBRE!D36+OCTUBRE!D36+NOVIEMBRE!D36+DICIEMBRE!D36</f>
        <v>442478794.4671852</v>
      </c>
      <c r="E36" s="16">
        <f>ENERO!E36+FEBRERO!E36+MARZO!E36+ABRIL!E36+MAYO!E36+JUNIO!E36+JULIO!E36+AGOSTO!E36+SEPTIEMBRE!E36+OCTUBRE!E36+NOVIEMBRE!E36+DICIEMBRE!E36</f>
        <v>106717475.48</v>
      </c>
      <c r="F36" s="16">
        <f>ENERO!F36+FEBRERO!F36+MARZO!F36+ABRIL!F36+MAYO!F36+JUNIO!F36+JULIO!F36+AGOSTO!F36+SEPTIEMBRE!F36+OCTUBRE!F36+NOVIEMBRE!F36+DICIEMBRE!F36</f>
        <v>27716911.080000002</v>
      </c>
      <c r="G36" s="16">
        <f>ENERO!G36+FEBRERO!G36+MARZO!G36+ABRIL!G36+MAYO!G36+JUNIO!G36+JULIO!G36+AGOSTO!G36+SEPTIEMBRE!G36+OCTUBRE!G36+NOVIEMBRE!G36+DICIEMBRE!G36</f>
        <v>10890930.09</v>
      </c>
      <c r="H36" s="16">
        <f>ENERO!H36+FEBRERO!H36+MARZO!H36+ABRIL!H36+MAYO!H36+JUNIO!H36+JULIO!H36+AGOSTO!H36+SEPTIEMBRE!H36+OCTUBRE!H36+NOVIEMBRE!H36+DICIEMBRE!H36</f>
        <v>488545407.83999997</v>
      </c>
      <c r="I36" s="16">
        <f>ENERO!I36+FEBRERO!I36+MARZO!I36+ABRIL!I36+MAYO!I36+JUNIO!I36+JULIO!I36+AGOSTO!I36+SEPTIEMBRE!I36+OCTUBRE!I36+NOVIEMBRE!I36+DICIEMBRE!I36</f>
        <v>74476296.069999993</v>
      </c>
      <c r="J36" s="16">
        <f>ENERO!J36+FEBRERO!J36+MARZO!J36+ABRIL!J36+MAYO!J36+JUNIO!J36+JULIO!J36+AGOSTO!J36+SEPTIEMBRE!J36+OCTUBRE!J36+NOVIEMBRE!J36+DICIEMBRE!J36</f>
        <v>579603270.68999994</v>
      </c>
      <c r="K36" s="16">
        <f>ENERO!K36+FEBRERO!K36+MARZO!K36+ABRIL!K36+MAYO!K36+JUNIO!K36+JULIO!K36+AGOSTO!K36+SEPTIEMBRE!K36+OCTUBRE!K36+NOVIEMBRE!K36+DICIEMBRE!K36</f>
        <v>99309856.038711548</v>
      </c>
      <c r="L36" s="16"/>
      <c r="M36" s="16"/>
      <c r="N36" s="18">
        <f t="shared" si="0"/>
        <v>10230990548.525898</v>
      </c>
      <c r="O36" s="4"/>
      <c r="P36" s="4"/>
      <c r="Q36" s="4"/>
    </row>
    <row r="37" spans="1:17" ht="18" customHeight="1" x14ac:dyDescent="0.2">
      <c r="A37" s="17" t="s">
        <v>32</v>
      </c>
      <c r="B37" s="16">
        <f>ENERO!B37+FEBRERO!B37+MARZO!B37+ABRIL!B37+MAYO!B37+JUNIO!B37+JULIO!B37+AGOSTO!B37+SEPTIEMBRE!B37+OCTUBRE!B37+NOVIEMBRE!B37+DICIEMBRE!B37</f>
        <v>8580221671.3599997</v>
      </c>
      <c r="C37" s="16">
        <f>ENERO!C37+FEBRERO!C37+MARZO!C37+ABRIL!C37+MAYO!C37+JUNIO!C37+JULIO!C37+AGOSTO!C37+SEPTIEMBRE!C37+OCTUBRE!C37+NOVIEMBRE!C37+DICIEMBRE!C37</f>
        <v>0</v>
      </c>
      <c r="D37" s="16">
        <f>ENERO!D37+FEBRERO!D37+MARZO!D37+ABRIL!D37+MAYO!D37+JUNIO!D37+JULIO!D37+AGOSTO!D37+SEPTIEMBRE!D37+OCTUBRE!D37+NOVIEMBRE!D37+DICIEMBRE!D37</f>
        <v>485832521.71139598</v>
      </c>
      <c r="E37" s="16">
        <f>ENERO!E37+FEBRERO!E37+MARZO!E37+ABRIL!E37+MAYO!E37+JUNIO!E37+JULIO!E37+AGOSTO!E37+SEPTIEMBRE!E37+OCTUBRE!E37+NOVIEMBRE!E37+DICIEMBRE!E37</f>
        <v>110241984.94999999</v>
      </c>
      <c r="F37" s="16">
        <f>ENERO!F37+FEBRERO!F37+MARZO!F37+ABRIL!F37+MAYO!F37+JUNIO!F37+JULIO!F37+AGOSTO!F37+SEPTIEMBRE!F37+OCTUBRE!F37+NOVIEMBRE!F37+DICIEMBRE!F37</f>
        <v>51410399.620000005</v>
      </c>
      <c r="G37" s="16">
        <f>ENERO!G37+FEBRERO!G37+MARZO!G37+ABRIL!G37+MAYO!G37+JUNIO!G37+JULIO!G37+AGOSTO!G37+SEPTIEMBRE!G37+OCTUBRE!G37+NOVIEMBRE!G37+DICIEMBRE!G37</f>
        <v>16635596.51</v>
      </c>
      <c r="H37" s="16">
        <f>ENERO!H37+FEBRERO!H37+MARZO!H37+ABRIL!H37+MAYO!H37+JUNIO!H37+JULIO!H37+AGOSTO!H37+SEPTIEMBRE!H37+OCTUBRE!H37+NOVIEMBRE!H37+DICIEMBRE!H37</f>
        <v>500599396.22000003</v>
      </c>
      <c r="I37" s="16">
        <f>ENERO!I37+FEBRERO!I37+MARZO!I37+ABRIL!I37+MAYO!I37+JUNIO!I37+JULIO!I37+AGOSTO!I37+SEPTIEMBRE!I37+OCTUBRE!I37+NOVIEMBRE!I37+DICIEMBRE!I37</f>
        <v>138141516.92000002</v>
      </c>
      <c r="J37" s="16">
        <f>ENERO!J37+FEBRERO!J37+MARZO!J37+ABRIL!J37+MAYO!J37+JUNIO!J37+JULIO!J37+AGOSTO!J37+SEPTIEMBRE!J37+OCTUBRE!J37+NOVIEMBRE!J37+DICIEMBRE!J37</f>
        <v>983815211.75000012</v>
      </c>
      <c r="K37" s="16">
        <f>ENERO!K37+FEBRERO!K37+MARZO!K37+ABRIL!K37+MAYO!K37+JUNIO!K37+JULIO!K37+AGOSTO!K37+SEPTIEMBRE!K37+OCTUBRE!K37+NOVIEMBRE!K37+DICIEMBRE!K37</f>
        <v>103403901.92958894</v>
      </c>
      <c r="L37" s="16"/>
      <c r="M37" s="16"/>
      <c r="N37" s="18">
        <f t="shared" si="0"/>
        <v>10970302200.970985</v>
      </c>
      <c r="O37" s="4"/>
      <c r="P37" s="4"/>
      <c r="Q37" s="4"/>
    </row>
    <row r="38" spans="1:17" ht="18" customHeight="1" x14ac:dyDescent="0.2">
      <c r="A38" s="17" t="s">
        <v>33</v>
      </c>
      <c r="B38" s="16">
        <f>ENERO!B38+FEBRERO!B38+MARZO!B38+ABRIL!B38+MAYO!B38+JUNIO!B38+JULIO!B38+AGOSTO!B38+SEPTIEMBRE!B38+OCTUBRE!B38+NOVIEMBRE!B38+DICIEMBRE!B38</f>
        <v>7260106395.0999994</v>
      </c>
      <c r="C38" s="16">
        <f>ENERO!C38+FEBRERO!C38+MARZO!C38+ABRIL!C38+MAYO!C38+JUNIO!C38+JULIO!C38+AGOSTO!C38+SEPTIEMBRE!C38+OCTUBRE!C38+NOVIEMBRE!C38+DICIEMBRE!C38</f>
        <v>0</v>
      </c>
      <c r="D38" s="16">
        <f>ENERO!D38+FEBRERO!D38+MARZO!D38+ABRIL!D38+MAYO!D38+JUNIO!D38+JULIO!D38+AGOSTO!D38+SEPTIEMBRE!D38+OCTUBRE!D38+NOVIEMBRE!D38+DICIEMBRE!D38</f>
        <v>58932887.763363928</v>
      </c>
      <c r="E38" s="16">
        <f>ENERO!E38+FEBRERO!E38+MARZO!E38+ABRIL!E38+MAYO!E38+JUNIO!E38+JULIO!E38+AGOSTO!E38+SEPTIEMBRE!E38+OCTUBRE!E38+NOVIEMBRE!E38+DICIEMBRE!E38</f>
        <v>94298715.299999997</v>
      </c>
      <c r="F38" s="16">
        <f>ENERO!F38+FEBRERO!F38+MARZO!F38+ABRIL!F38+MAYO!F38+JUNIO!F38+JULIO!F38+AGOSTO!F38+SEPTIEMBRE!F38+OCTUBRE!F38+NOVIEMBRE!F38+DICIEMBRE!F38</f>
        <v>45942671.5</v>
      </c>
      <c r="G38" s="16">
        <f>ENERO!G38+FEBRERO!G38+MARZO!G38+ABRIL!G38+MAYO!G38+JUNIO!G38+JULIO!G38+AGOSTO!G38+SEPTIEMBRE!G38+OCTUBRE!G38+NOVIEMBRE!G38+DICIEMBRE!G38</f>
        <v>46077011.909999996</v>
      </c>
      <c r="H38" s="16">
        <f>ENERO!H38+FEBRERO!H38+MARZO!H38+ABRIL!H38+MAYO!H38+JUNIO!H38+JULIO!H38+AGOSTO!H38+SEPTIEMBRE!H38+OCTUBRE!H38+NOVIEMBRE!H38+DICIEMBRE!H38</f>
        <v>423397906.13999999</v>
      </c>
      <c r="I38" s="16">
        <f>ENERO!I38+FEBRERO!I38+MARZO!I38+ABRIL!I38+MAYO!I38+JUNIO!I38+JULIO!I38+AGOSTO!I38+SEPTIEMBRE!I38+OCTUBRE!I38+NOVIEMBRE!I38+DICIEMBRE!I38</f>
        <v>123449542.86000001</v>
      </c>
      <c r="J38" s="16">
        <f>ENERO!J38+FEBRERO!J38+MARZO!J38+ABRIL!J38+MAYO!J38+JUNIO!J38+JULIO!J38+AGOSTO!J38+SEPTIEMBRE!J38+OCTUBRE!J38+NOVIEMBRE!J38+DICIEMBRE!J38</f>
        <v>1623502489.21</v>
      </c>
      <c r="K38" s="16">
        <f>ENERO!K38+FEBRERO!K38+MARZO!K38+ABRIL!K38+MAYO!K38+JUNIO!K38+JULIO!K38+AGOSTO!K38+SEPTIEMBRE!K38+OCTUBRE!K38+NOVIEMBRE!K38+DICIEMBRE!K38</f>
        <v>87276596.535737574</v>
      </c>
      <c r="L38" s="16"/>
      <c r="M38" s="16"/>
      <c r="N38" s="18">
        <f t="shared" si="0"/>
        <v>9762984216.3191013</v>
      </c>
      <c r="O38" s="4"/>
      <c r="P38" s="4"/>
      <c r="Q38" s="4"/>
    </row>
    <row r="39" spans="1:17" ht="18" customHeight="1" x14ac:dyDescent="0.2">
      <c r="A39" s="17" t="s">
        <v>34</v>
      </c>
      <c r="B39" s="16">
        <f>ENERO!B39+FEBRERO!B39+MARZO!B39+ABRIL!B39+MAYO!B39+JUNIO!B39+JULIO!B39+AGOSTO!B39+SEPTIEMBRE!B39+OCTUBRE!B39+NOVIEMBRE!B39+DICIEMBRE!B39</f>
        <v>14152986478.779999</v>
      </c>
      <c r="C39" s="16">
        <f>ENERO!C39+FEBRERO!C39+MARZO!C39+ABRIL!C39+MAYO!C39+JUNIO!C39+JULIO!C39+AGOSTO!C39+SEPTIEMBRE!C39+OCTUBRE!C39+NOVIEMBRE!C39+DICIEMBRE!C39</f>
        <v>0</v>
      </c>
      <c r="D39" s="16">
        <f>ENERO!D39+FEBRERO!D39+MARZO!D39+ABRIL!D39+MAYO!D39+JUNIO!D39+JULIO!D39+AGOSTO!D39+SEPTIEMBRE!D39+OCTUBRE!D39+NOVIEMBRE!D39+DICIEMBRE!D39</f>
        <v>677493465.67884457</v>
      </c>
      <c r="E39" s="16">
        <f>ENERO!E39+FEBRERO!E39+MARZO!E39+ABRIL!E39+MAYO!E39+JUNIO!E39+JULIO!E39+AGOSTO!E39+SEPTIEMBRE!E39+OCTUBRE!E39+NOVIEMBRE!E39+DICIEMBRE!E39</f>
        <v>179942702.58000001</v>
      </c>
      <c r="F39" s="16">
        <f>ENERO!F39+FEBRERO!F39+MARZO!F39+ABRIL!F39+MAYO!F39+JUNIO!F39+JULIO!F39+AGOSTO!F39+SEPTIEMBRE!F39+OCTUBRE!F39+NOVIEMBRE!F39+DICIEMBRE!F39</f>
        <v>58528762.650000006</v>
      </c>
      <c r="G39" s="16">
        <f>ENERO!G39+FEBRERO!G39+MARZO!G39+ABRIL!G39+MAYO!G39+JUNIO!G39+JULIO!G39+AGOSTO!G39+SEPTIEMBRE!G39+OCTUBRE!G39+NOVIEMBRE!G39+DICIEMBRE!G39</f>
        <v>28723332.110000003</v>
      </c>
      <c r="H39" s="16">
        <f>ENERO!H39+FEBRERO!H39+MARZO!H39+ABRIL!H39+MAYO!H39+JUNIO!H39+JULIO!H39+AGOSTO!H39+SEPTIEMBRE!H39+OCTUBRE!H39+NOVIEMBRE!H39+DICIEMBRE!H39</f>
        <v>823403272.86999989</v>
      </c>
      <c r="I39" s="16">
        <f>ENERO!I39+FEBRERO!I39+MARZO!I39+ABRIL!I39+MAYO!I39+JUNIO!I39+JULIO!I39+AGOSTO!I39+SEPTIEMBRE!I39+OCTUBRE!I39+NOVIEMBRE!I39+DICIEMBRE!I39</f>
        <v>157268803.87</v>
      </c>
      <c r="J39" s="16">
        <f>ENERO!J39+FEBRERO!J39+MARZO!J39+ABRIL!J39+MAYO!J39+JUNIO!J39+JULIO!J39+AGOSTO!J39+SEPTIEMBRE!J39+OCTUBRE!J39+NOVIEMBRE!J39+DICIEMBRE!J39</f>
        <v>1409467210.0200005</v>
      </c>
      <c r="K39" s="16">
        <f>ENERO!K39+FEBRERO!K39+MARZO!K39+ABRIL!K39+MAYO!K39+JUNIO!K39+JULIO!K39+AGOSTO!K39+SEPTIEMBRE!K39+OCTUBRE!K39+NOVIEMBRE!K39+DICIEMBRE!K39</f>
        <v>167763796.60319945</v>
      </c>
      <c r="L39" s="16"/>
      <c r="M39" s="16"/>
      <c r="N39" s="18">
        <f t="shared" si="0"/>
        <v>17655577825.162045</v>
      </c>
      <c r="O39" s="4"/>
      <c r="P39" s="4"/>
      <c r="Q39" s="4"/>
    </row>
    <row r="40" spans="1:17" ht="18" customHeight="1" x14ac:dyDescent="0.2">
      <c r="A40" s="17" t="s">
        <v>35</v>
      </c>
      <c r="B40" s="16">
        <f>ENERO!B40+FEBRERO!B40+MARZO!B40+ABRIL!B40+MAYO!B40+JUNIO!B40+JULIO!B40+AGOSTO!B40+SEPTIEMBRE!B40+OCTUBRE!B40+NOVIEMBRE!B40+DICIEMBRE!B40</f>
        <v>9258746149.8900013</v>
      </c>
      <c r="C40" s="16">
        <f>ENERO!C40+FEBRERO!C40+MARZO!C40+ABRIL!C40+MAYO!C40+JUNIO!C40+JULIO!C40+AGOSTO!C40+SEPTIEMBRE!C40+OCTUBRE!C40+NOVIEMBRE!C40+DICIEMBRE!C40</f>
        <v>0</v>
      </c>
      <c r="D40" s="16">
        <f>ENERO!D40+FEBRERO!D40+MARZO!D40+ABRIL!D40+MAYO!D40+JUNIO!D40+JULIO!D40+AGOSTO!D40+SEPTIEMBRE!D40+OCTUBRE!D40+NOVIEMBRE!D40+DICIEMBRE!D40</f>
        <v>602675857.08991575</v>
      </c>
      <c r="E40" s="16">
        <f>ENERO!E40+FEBRERO!E40+MARZO!E40+ABRIL!E40+MAYO!E40+JUNIO!E40+JULIO!E40+AGOSTO!E40+SEPTIEMBRE!E40+OCTUBRE!E40+NOVIEMBRE!E40+DICIEMBRE!E40</f>
        <v>118050478.26999998</v>
      </c>
      <c r="F40" s="16">
        <f>ENERO!F40+FEBRERO!F40+MARZO!F40+ABRIL!F40+MAYO!F40+JUNIO!F40+JULIO!F40+AGOSTO!F40+SEPTIEMBRE!F40+OCTUBRE!F40+NOVIEMBRE!F40+DICIEMBRE!F40</f>
        <v>31258898.489999998</v>
      </c>
      <c r="G40" s="16">
        <f>ENERO!G40+FEBRERO!G40+MARZO!G40+ABRIL!G40+MAYO!G40+JUNIO!G40+JULIO!G40+AGOSTO!G40+SEPTIEMBRE!G40+OCTUBRE!G40+NOVIEMBRE!G40+DICIEMBRE!G40</f>
        <v>12566457.799999999</v>
      </c>
      <c r="H40" s="16">
        <f>ENERO!H40+FEBRERO!H40+MARZO!H40+ABRIL!H40+MAYO!H40+JUNIO!H40+JULIO!H40+AGOSTO!H40+SEPTIEMBRE!H40+OCTUBRE!H40+NOVIEMBRE!H40+DICIEMBRE!H40</f>
        <v>539021462.64999998</v>
      </c>
      <c r="I40" s="16">
        <f>ENERO!I40+FEBRERO!I40+MARZO!I40+ABRIL!I40+MAYO!I40+JUNIO!I40+JULIO!I40+AGOSTO!I40+SEPTIEMBRE!I40+OCTUBRE!I40+NOVIEMBRE!I40+DICIEMBRE!I40</f>
        <v>83993738.370000005</v>
      </c>
      <c r="J40" s="16">
        <f>ENERO!J40+FEBRERO!J40+MARZO!J40+ABRIL!J40+MAYO!J40+JUNIO!J40+JULIO!J40+AGOSTO!J40+SEPTIEMBRE!J40+OCTUBRE!J40+NOVIEMBRE!J40+DICIEMBRE!J40</f>
        <v>776502412.70000005</v>
      </c>
      <c r="K40" s="16">
        <f>ENERO!K40+FEBRERO!K40+MARZO!K40+ABRIL!K40+MAYO!K40+JUNIO!K40+JULIO!K40+AGOSTO!K40+SEPTIEMBRE!K40+OCTUBRE!K40+NOVIEMBRE!K40+DICIEMBRE!K40</f>
        <v>110180854.48938172</v>
      </c>
      <c r="L40" s="16"/>
      <c r="M40" s="16"/>
      <c r="N40" s="18">
        <f t="shared" ref="N40:N71" si="1">SUM(B40:M40)</f>
        <v>11532996309.7493</v>
      </c>
      <c r="O40" s="4"/>
      <c r="P40" s="4"/>
      <c r="Q40" s="4"/>
    </row>
    <row r="41" spans="1:17" ht="18" customHeight="1" x14ac:dyDescent="0.2">
      <c r="A41" s="17" t="s">
        <v>36</v>
      </c>
      <c r="B41" s="16">
        <f>ENERO!B41+FEBRERO!B41+MARZO!B41+ABRIL!B41+MAYO!B41+JUNIO!B41+JULIO!B41+AGOSTO!B41+SEPTIEMBRE!B41+OCTUBRE!B41+NOVIEMBRE!B41+DICIEMBRE!B41</f>
        <v>10350927853.300001</v>
      </c>
      <c r="C41" s="16">
        <f>ENERO!C41+FEBRERO!C41+MARZO!C41+ABRIL!C41+MAYO!C41+JUNIO!C41+JULIO!C41+AGOSTO!C41+SEPTIEMBRE!C41+OCTUBRE!C41+NOVIEMBRE!C41+DICIEMBRE!C41</f>
        <v>0</v>
      </c>
      <c r="D41" s="16">
        <f>ENERO!D41+FEBRERO!D41+MARZO!D41+ABRIL!D41+MAYO!D41+JUNIO!D41+JULIO!D41+AGOSTO!D41+SEPTIEMBRE!D41+OCTUBRE!D41+NOVIEMBRE!D41+DICIEMBRE!D41</f>
        <v>191625479.46564385</v>
      </c>
      <c r="E41" s="16">
        <f>ENERO!E41+FEBRERO!E41+MARZO!E41+ABRIL!E41+MAYO!E41+JUNIO!E41+JULIO!E41+AGOSTO!E41+SEPTIEMBRE!E41+OCTUBRE!E41+NOVIEMBRE!E41+DICIEMBRE!E41</f>
        <v>126124708.72999999</v>
      </c>
      <c r="F41" s="16">
        <f>ENERO!F41+FEBRERO!F41+MARZO!F41+ABRIL!F41+MAYO!F41+JUNIO!F41+JULIO!F41+AGOSTO!F41+SEPTIEMBRE!F41+OCTUBRE!F41+NOVIEMBRE!F41+DICIEMBRE!F41</f>
        <v>52923481.600000001</v>
      </c>
      <c r="G41" s="16">
        <f>ENERO!G41+FEBRERO!G41+MARZO!G41+ABRIL!G41+MAYO!G41+JUNIO!G41+JULIO!G41+AGOSTO!G41+SEPTIEMBRE!G41+OCTUBRE!G41+NOVIEMBRE!G41+DICIEMBRE!G41</f>
        <v>21901540.73</v>
      </c>
      <c r="H41" s="16">
        <f>ENERO!H41+FEBRERO!H41+MARZO!H41+ABRIL!H41+MAYO!H41+JUNIO!H41+JULIO!H41+AGOSTO!H41+SEPTIEMBRE!H41+OCTUBRE!H41+NOVIEMBRE!H41+DICIEMBRE!H41</f>
        <v>595914591.75999999</v>
      </c>
      <c r="I41" s="16">
        <f>ENERO!I41+FEBRERO!I41+MARZO!I41+ABRIL!I41+MAYO!I41+JUNIO!I41+JULIO!I41+AGOSTO!I41+SEPTIEMBRE!I41+OCTUBRE!I41+NOVIEMBRE!I41+DICIEMBRE!I41</f>
        <v>142207220.41</v>
      </c>
      <c r="J41" s="16">
        <f>ENERO!J41+FEBRERO!J41+MARZO!J41+ABRIL!J41+MAYO!J41+JUNIO!J41+JULIO!J41+AGOSTO!J41+SEPTIEMBRE!J41+OCTUBRE!J41+NOVIEMBRE!J41+DICIEMBRE!J41</f>
        <v>796793578.9200002</v>
      </c>
      <c r="K41" s="16">
        <f>ENERO!K41+FEBRERO!K41+MARZO!K41+ABRIL!K41+MAYO!K41+JUNIO!K41+JULIO!K41+AGOSTO!K41+SEPTIEMBRE!K41+OCTUBRE!K41+NOVIEMBRE!K41+DICIEMBRE!K41</f>
        <v>115138507.62897307</v>
      </c>
      <c r="L41" s="16"/>
      <c r="M41" s="16"/>
      <c r="N41" s="18">
        <f t="shared" si="1"/>
        <v>12393556962.544617</v>
      </c>
      <c r="O41" s="4"/>
      <c r="P41" s="4"/>
      <c r="Q41" s="4"/>
    </row>
    <row r="42" spans="1:17" ht="18" customHeight="1" x14ac:dyDescent="0.2">
      <c r="A42" s="17" t="s">
        <v>37</v>
      </c>
      <c r="B42" s="16">
        <f>ENERO!B42+FEBRERO!B42+MARZO!B42+ABRIL!B42+MAYO!B42+JUNIO!B42+JULIO!B42+AGOSTO!B42+SEPTIEMBRE!B42+OCTUBRE!B42+NOVIEMBRE!B42+DICIEMBRE!B42</f>
        <v>5918041959.8800001</v>
      </c>
      <c r="C42" s="16">
        <f>ENERO!C42+FEBRERO!C42+MARZO!C42+ABRIL!C42+MAYO!C42+JUNIO!C42+JULIO!C42+AGOSTO!C42+SEPTIEMBRE!C42+OCTUBRE!C42+NOVIEMBRE!C42+DICIEMBRE!C42</f>
        <v>0</v>
      </c>
      <c r="D42" s="16">
        <f>ENERO!D42+FEBRERO!D42+MARZO!D42+ABRIL!D42+MAYO!D42+JUNIO!D42+JULIO!D42+AGOSTO!D42+SEPTIEMBRE!D42+OCTUBRE!D42+NOVIEMBRE!D42+DICIEMBRE!D42</f>
        <v>61736552.22020857</v>
      </c>
      <c r="E42" s="16">
        <f>ENERO!E42+FEBRERO!E42+MARZO!E42+ABRIL!E42+MAYO!E42+JUNIO!E42+JULIO!E42+AGOSTO!E42+SEPTIEMBRE!E42+OCTUBRE!E42+NOVIEMBRE!E42+DICIEMBRE!E42</f>
        <v>77296019.599999994</v>
      </c>
      <c r="F42" s="16">
        <f>ENERO!F42+FEBRERO!F42+MARZO!F42+ABRIL!F42+MAYO!F42+JUNIO!F42+JULIO!F42+AGOSTO!F42+SEPTIEMBRE!F42+OCTUBRE!F42+NOVIEMBRE!F42+DICIEMBRE!F42</f>
        <v>143742789.62</v>
      </c>
      <c r="G42" s="16">
        <f>ENERO!G42+FEBRERO!G42+MARZO!G42+ABRIL!G42+MAYO!G42+JUNIO!G42+JULIO!G42+AGOSTO!G42+SEPTIEMBRE!G42+OCTUBRE!G42+NOVIEMBRE!G42+DICIEMBRE!G42</f>
        <v>0</v>
      </c>
      <c r="H42" s="16">
        <f>ENERO!H42+FEBRERO!H42+MARZO!H42+ABRIL!H42+MAYO!H42+JUNIO!H42+JULIO!H42+AGOSTO!H42+SEPTIEMBRE!H42+OCTUBRE!H42+NOVIEMBRE!H42+DICIEMBRE!H42</f>
        <v>344048531.09999996</v>
      </c>
      <c r="I42" s="16">
        <f>ENERO!I42+FEBRERO!I42+MARZO!I42+ABRIL!I42+MAYO!I42+JUNIO!I42+JULIO!I42+AGOSTO!I42+SEPTIEMBRE!I42+OCTUBRE!I42+NOVIEMBRE!I42+DICIEMBRE!I42</f>
        <v>386241833.20999998</v>
      </c>
      <c r="J42" s="16">
        <f>ENERO!J42+FEBRERO!J42+MARZO!J42+ABRIL!J42+MAYO!J42+JUNIO!J42+JULIO!J42+AGOSTO!J42+SEPTIEMBRE!J42+OCTUBRE!J42+NOVIEMBRE!J42+DICIEMBRE!J42</f>
        <v>1214176513.8199997</v>
      </c>
      <c r="K42" s="16">
        <f>ENERO!K42+FEBRERO!K42+MARZO!K42+ABRIL!K42+MAYO!K42+JUNIO!K42+JULIO!K42+AGOSTO!K42+SEPTIEMBRE!K42+OCTUBRE!K42+NOVIEMBRE!K42+DICIEMBRE!K42</f>
        <v>69842680.751180664</v>
      </c>
      <c r="L42" s="16"/>
      <c r="M42" s="16"/>
      <c r="N42" s="18">
        <f t="shared" si="1"/>
        <v>8215126880.2013893</v>
      </c>
      <c r="O42" s="4"/>
      <c r="P42" s="4"/>
      <c r="Q42" s="4"/>
    </row>
    <row r="43" spans="1:17" ht="18" customHeight="1" x14ac:dyDescent="0.2">
      <c r="A43" s="17" t="s">
        <v>38</v>
      </c>
      <c r="B43" s="16">
        <f>ENERO!B43+FEBRERO!B43+MARZO!B43+ABRIL!B43+MAYO!B43+JUNIO!B43+JULIO!B43+AGOSTO!B43+SEPTIEMBRE!B43+OCTUBRE!B43+NOVIEMBRE!B43+DICIEMBRE!B43</f>
        <v>37695569863.520004</v>
      </c>
      <c r="C43" s="16">
        <f>ENERO!C43+FEBRERO!C43+MARZO!C43+ABRIL!C43+MAYO!C43+JUNIO!C43+JULIO!C43+AGOSTO!C43+SEPTIEMBRE!C43+OCTUBRE!C43+NOVIEMBRE!C43+DICIEMBRE!C43</f>
        <v>0</v>
      </c>
      <c r="D43" s="16">
        <f>ENERO!D43+FEBRERO!D43+MARZO!D43+ABRIL!D43+MAYO!D43+JUNIO!D43+JULIO!D43+AGOSTO!D43+SEPTIEMBRE!D43+OCTUBRE!D43+NOVIEMBRE!D43+DICIEMBRE!D43</f>
        <v>259420719.26270473</v>
      </c>
      <c r="E43" s="16">
        <f>ENERO!E43+FEBRERO!E43+MARZO!E43+ABRIL!E43+MAYO!E43+JUNIO!E43+JULIO!E43+AGOSTO!E43+SEPTIEMBRE!E43+OCTUBRE!E43+NOVIEMBRE!E43+DICIEMBRE!E43</f>
        <v>465789409.06</v>
      </c>
      <c r="F43" s="16">
        <f>ENERO!F43+FEBRERO!F43+MARZO!F43+ABRIL!F43+MAYO!F43+JUNIO!F43+JULIO!F43+AGOSTO!F43+SEPTIEMBRE!F43+OCTUBRE!F43+NOVIEMBRE!F43+DICIEMBRE!F43</f>
        <v>597736164.99000001</v>
      </c>
      <c r="G43" s="16">
        <f>ENERO!G43+FEBRERO!G43+MARZO!G43+ABRIL!G43+MAYO!G43+JUNIO!G43+JULIO!G43+AGOSTO!G43+SEPTIEMBRE!G43+OCTUBRE!G43+NOVIEMBRE!G43+DICIEMBRE!G43</f>
        <v>174972964.70999998</v>
      </c>
      <c r="H43" s="16">
        <f>ENERO!H43+FEBRERO!H43+MARZO!H43+ABRIL!H43+MAYO!H43+JUNIO!H43+JULIO!H43+AGOSTO!H43+SEPTIEMBRE!H43+OCTUBRE!H43+NOVIEMBRE!H43+DICIEMBRE!H43</f>
        <v>2173246944.6500001</v>
      </c>
      <c r="I43" s="16">
        <f>ENERO!I43+FEBRERO!I43+MARZO!I43+ABRIL!I43+MAYO!I43+JUNIO!I43+JULIO!I43+AGOSTO!I43+SEPTIEMBRE!I43+OCTUBRE!I43+NOVIEMBRE!I43+DICIEMBRE!I43</f>
        <v>1606137690.1699998</v>
      </c>
      <c r="J43" s="16">
        <f>ENERO!J43+FEBRERO!J43+MARZO!J43+ABRIL!J43+MAYO!J43+JUNIO!J43+JULIO!J43+AGOSTO!J43+SEPTIEMBRE!J43+OCTUBRE!J43+NOVIEMBRE!J43+DICIEMBRE!J43</f>
        <v>3976438247.9700007</v>
      </c>
      <c r="K43" s="16">
        <f>ENERO!K43+FEBRERO!K43+MARZO!K43+ABRIL!K43+MAYO!K43+JUNIO!K43+JULIO!K43+AGOSTO!K43+SEPTIEMBRE!K43+OCTUBRE!K43+NOVIEMBRE!K43+DICIEMBRE!K43</f>
        <v>422995825.93277329</v>
      </c>
      <c r="L43" s="16"/>
      <c r="M43" s="16"/>
      <c r="N43" s="18">
        <f t="shared" si="1"/>
        <v>47372307830.265472</v>
      </c>
      <c r="O43" s="4"/>
      <c r="P43" s="4"/>
      <c r="Q43" s="4"/>
    </row>
    <row r="44" spans="1:17" ht="18" customHeight="1" x14ac:dyDescent="0.2">
      <c r="A44" s="17" t="s">
        <v>39</v>
      </c>
      <c r="B44" s="16">
        <f>ENERO!B44+FEBRERO!B44+MARZO!B44+ABRIL!B44+MAYO!B44+JUNIO!B44+JULIO!B44+AGOSTO!B44+SEPTIEMBRE!B44+OCTUBRE!B44+NOVIEMBRE!B44+DICIEMBRE!B44</f>
        <v>33103974667.529999</v>
      </c>
      <c r="C44" s="16">
        <f>ENERO!C44+FEBRERO!C44+MARZO!C44+ABRIL!C44+MAYO!C44+JUNIO!C44+JULIO!C44+AGOSTO!C44+SEPTIEMBRE!C44+OCTUBRE!C44+NOVIEMBRE!C44+DICIEMBRE!C44</f>
        <v>0</v>
      </c>
      <c r="D44" s="16">
        <f>ENERO!D44+FEBRERO!D44+MARZO!D44+ABRIL!D44+MAYO!D44+JUNIO!D44+JULIO!D44+AGOSTO!D44+SEPTIEMBRE!D44+OCTUBRE!D44+NOVIEMBRE!D44+DICIEMBRE!D44</f>
        <v>247315272.66852814</v>
      </c>
      <c r="E44" s="16">
        <f>ENERO!E44+FEBRERO!E44+MARZO!E44+ABRIL!E44+MAYO!E44+JUNIO!E44+JULIO!E44+AGOSTO!E44+SEPTIEMBRE!E44+OCTUBRE!E44+NOVIEMBRE!E44+DICIEMBRE!E44</f>
        <v>422887527.36000001</v>
      </c>
      <c r="F44" s="16">
        <f>ENERO!F44+FEBRERO!F44+MARZO!F44+ABRIL!F44+MAYO!F44+JUNIO!F44+JULIO!F44+AGOSTO!F44+SEPTIEMBRE!F44+OCTUBRE!F44+NOVIEMBRE!F44+DICIEMBRE!F44</f>
        <v>752104916.86000001</v>
      </c>
      <c r="G44" s="16">
        <f>ENERO!G44+FEBRERO!G44+MARZO!G44+ABRIL!G44+MAYO!G44+JUNIO!G44+JULIO!G44+AGOSTO!G44+SEPTIEMBRE!G44+OCTUBRE!G44+NOVIEMBRE!G44+DICIEMBRE!G44</f>
        <v>305704443.21065652</v>
      </c>
      <c r="H44" s="16">
        <f>ENERO!H44+FEBRERO!H44+MARZO!H44+ABRIL!H44+MAYO!H44+JUNIO!H44+JULIO!H44+AGOSTO!H44+SEPTIEMBRE!H44+OCTUBRE!H44+NOVIEMBRE!H44+DICIEMBRE!H44</f>
        <v>1919790360.4199998</v>
      </c>
      <c r="I44" s="16">
        <f>ENERO!I44+FEBRERO!I44+MARZO!I44+ABRIL!I44+MAYO!I44+JUNIO!I44+JULIO!I44+AGOSTO!I44+SEPTIEMBRE!I44+OCTUBRE!I44+NOVIEMBRE!I44+DICIEMBRE!I44</f>
        <v>2020931850.3100002</v>
      </c>
      <c r="J44" s="16">
        <f>ENERO!J44+FEBRERO!J44+MARZO!J44+ABRIL!J44+MAYO!J44+JUNIO!J44+JULIO!J44+AGOSTO!J44+SEPTIEMBRE!J44+OCTUBRE!J44+NOVIEMBRE!J44+DICIEMBRE!J44</f>
        <v>5142137492.2899981</v>
      </c>
      <c r="K44" s="16">
        <f>ENERO!K44+FEBRERO!K44+MARZO!K44+ABRIL!K44+MAYO!K44+JUNIO!K44+JULIO!K44+AGOSTO!K44+SEPTIEMBRE!K44+OCTUBRE!K44+NOVIEMBRE!K44+DICIEMBRE!K44</f>
        <v>385002084.55275249</v>
      </c>
      <c r="L44" s="16"/>
      <c r="M44" s="16"/>
      <c r="N44" s="18">
        <f t="shared" si="1"/>
        <v>44299848615.201927</v>
      </c>
      <c r="O44" s="4"/>
      <c r="P44" s="4"/>
      <c r="Q44" s="4"/>
    </row>
    <row r="45" spans="1:17" ht="18" customHeight="1" x14ac:dyDescent="0.2">
      <c r="A45" s="17" t="s">
        <v>40</v>
      </c>
      <c r="B45" s="16">
        <f>ENERO!B45+FEBRERO!B45+MARZO!B45+ABRIL!B45+MAYO!B45+JUNIO!B45+JULIO!B45+AGOSTO!B45+SEPTIEMBRE!B45+OCTUBRE!B45+NOVIEMBRE!B45+DICIEMBRE!B45</f>
        <v>9646022174.1800003</v>
      </c>
      <c r="C45" s="16">
        <f>ENERO!C45+FEBRERO!C45+MARZO!C45+ABRIL!C45+MAYO!C45+JUNIO!C45+JULIO!C45+AGOSTO!C45+SEPTIEMBRE!C45+OCTUBRE!C45+NOVIEMBRE!C45+DICIEMBRE!C45</f>
        <v>0</v>
      </c>
      <c r="D45" s="16">
        <f>ENERO!D45+FEBRERO!D45+MARZO!D45+ABRIL!D45+MAYO!D45+JUNIO!D45+JULIO!D45+AGOSTO!D45+SEPTIEMBRE!D45+OCTUBRE!D45+NOVIEMBRE!D45+DICIEMBRE!D45</f>
        <v>217407989.97554696</v>
      </c>
      <c r="E45" s="16">
        <f>ENERO!E45+FEBRERO!E45+MARZO!E45+ABRIL!E45+MAYO!E45+JUNIO!E45+JULIO!E45+AGOSTO!E45+SEPTIEMBRE!E45+OCTUBRE!E45+NOVIEMBRE!E45+DICIEMBRE!E45</f>
        <v>115141025.02000001</v>
      </c>
      <c r="F45" s="16">
        <f>ENERO!F45+FEBRERO!F45+MARZO!F45+ABRIL!F45+MAYO!F45+JUNIO!F45+JULIO!F45+AGOSTO!F45+SEPTIEMBRE!F45+OCTUBRE!F45+NOVIEMBRE!F45+DICIEMBRE!F45</f>
        <v>56018422.069999993</v>
      </c>
      <c r="G45" s="16">
        <f>ENERO!G45+FEBRERO!G45+MARZO!G45+ABRIL!G45+MAYO!G45+JUNIO!G45+JULIO!G45+AGOSTO!G45+SEPTIEMBRE!G45+OCTUBRE!G45+NOVIEMBRE!G45+DICIEMBRE!G45</f>
        <v>27406846.030000001</v>
      </c>
      <c r="H45" s="16">
        <f>ENERO!H45+FEBRERO!H45+MARZO!H45+ABRIL!H45+MAYO!H45+JUNIO!H45+JULIO!H45+AGOSTO!H45+SEPTIEMBRE!H45+OCTUBRE!H45+NOVIEMBRE!H45+DICIEMBRE!H45</f>
        <v>551669328.90999997</v>
      </c>
      <c r="I45" s="16">
        <f>ENERO!I45+FEBRERO!I45+MARZO!I45+ABRIL!I45+MAYO!I45+JUNIO!I45+JULIO!I45+AGOSTO!I45+SEPTIEMBRE!I45+OCTUBRE!I45+NOVIEMBRE!I45+DICIEMBRE!I45</f>
        <v>150523432.13</v>
      </c>
      <c r="J45" s="16">
        <f>ENERO!J45+FEBRERO!J45+MARZO!J45+ABRIL!J45+MAYO!J45+JUNIO!J45+JULIO!J45+AGOSTO!J45+SEPTIEMBRE!J45+OCTUBRE!J45+NOVIEMBRE!J45+DICIEMBRE!J45</f>
        <v>769794661.48000014</v>
      </c>
      <c r="K45" s="16">
        <f>ENERO!K45+FEBRERO!K45+MARZO!K45+ABRIL!K45+MAYO!K45+JUNIO!K45+JULIO!K45+AGOSTO!K45+SEPTIEMBRE!K45+OCTUBRE!K45+NOVIEMBRE!K45+DICIEMBRE!K45</f>
        <v>102896190.46348619</v>
      </c>
      <c r="L45" s="16"/>
      <c r="M45" s="16"/>
      <c r="N45" s="18">
        <f t="shared" si="1"/>
        <v>11636880070.259033</v>
      </c>
      <c r="O45" s="4"/>
      <c r="P45" s="4"/>
      <c r="Q45" s="4"/>
    </row>
    <row r="46" spans="1:17" ht="18" customHeight="1" x14ac:dyDescent="0.2">
      <c r="A46" s="17" t="s">
        <v>41</v>
      </c>
      <c r="B46" s="16">
        <f>ENERO!B46+FEBRERO!B46+MARZO!B46+ABRIL!B46+MAYO!B46+JUNIO!B46+JULIO!B46+AGOSTO!B46+SEPTIEMBRE!B46+OCTUBRE!B46+NOVIEMBRE!B46+DICIEMBRE!B46</f>
        <v>13115466622.980001</v>
      </c>
      <c r="C46" s="16">
        <f>ENERO!C46+FEBRERO!C46+MARZO!C46+ABRIL!C46+MAYO!C46+JUNIO!C46+JULIO!C46+AGOSTO!C46+SEPTIEMBRE!C46+OCTUBRE!C46+NOVIEMBRE!C46+DICIEMBRE!C46</f>
        <v>0</v>
      </c>
      <c r="D46" s="16">
        <f>ENERO!D46+FEBRERO!D46+MARZO!D46+ABRIL!D46+MAYO!D46+JUNIO!D46+JULIO!D46+AGOSTO!D46+SEPTIEMBRE!D46+OCTUBRE!D46+NOVIEMBRE!D46+DICIEMBRE!D46</f>
        <v>168102736.42852816</v>
      </c>
      <c r="E46" s="16">
        <f>ENERO!E46+FEBRERO!E46+MARZO!E46+ABRIL!E46+MAYO!E46+JUNIO!E46+JULIO!E46+AGOSTO!E46+SEPTIEMBRE!E46+OCTUBRE!E46+NOVIEMBRE!E46+DICIEMBRE!E46</f>
        <v>202953596.02999997</v>
      </c>
      <c r="F46" s="16">
        <f>ENERO!F46+FEBRERO!F46+MARZO!F46+ABRIL!F46+MAYO!F46+JUNIO!F46+JULIO!F46+AGOSTO!F46+SEPTIEMBRE!F46+OCTUBRE!F46+NOVIEMBRE!F46+DICIEMBRE!F46</f>
        <v>441854331.13999999</v>
      </c>
      <c r="G46" s="16">
        <f>ENERO!G46+FEBRERO!G46+MARZO!G46+ABRIL!G46+MAYO!G46+JUNIO!G46+JULIO!G46+AGOSTO!G46+SEPTIEMBRE!G46+OCTUBRE!G46+NOVIEMBRE!G46+DICIEMBRE!G46</f>
        <v>0</v>
      </c>
      <c r="H46" s="16">
        <f>ENERO!H46+FEBRERO!H46+MARZO!H46+ABRIL!H46+MAYO!H46+JUNIO!H46+JULIO!H46+AGOSTO!H46+SEPTIEMBRE!H46+OCTUBRE!H46+NOVIEMBRE!H46+DICIEMBRE!H46</f>
        <v>769148974.05999994</v>
      </c>
      <c r="I46" s="16">
        <f>ENERO!I46+FEBRERO!I46+MARZO!I46+ABRIL!I46+MAYO!I46+JUNIO!I46+JULIO!I46+AGOSTO!I46+SEPTIEMBRE!I46+OCTUBRE!I46+NOVIEMBRE!I46+DICIEMBRE!I46</f>
        <v>1187277826.5600002</v>
      </c>
      <c r="J46" s="16">
        <f>ENERO!J46+FEBRERO!J46+MARZO!J46+ABRIL!J46+MAYO!J46+JUNIO!J46+JULIO!J46+AGOSTO!J46+SEPTIEMBRE!J46+OCTUBRE!J46+NOVIEMBRE!J46+DICIEMBRE!J46</f>
        <v>3256909000.7799997</v>
      </c>
      <c r="K46" s="16">
        <f>ENERO!K46+FEBRERO!K46+MARZO!K46+ABRIL!K46+MAYO!K46+JUNIO!K46+JULIO!K46+AGOSTO!K46+SEPTIEMBRE!K46+OCTUBRE!K46+NOVIEMBRE!K46+DICIEMBRE!K46</f>
        <v>162803654.68191153</v>
      </c>
      <c r="L46" s="16"/>
      <c r="M46" s="16"/>
      <c r="N46" s="18">
        <f t="shared" si="1"/>
        <v>19304516742.660439</v>
      </c>
      <c r="O46" s="4"/>
      <c r="P46" s="4"/>
      <c r="Q46" s="4"/>
    </row>
    <row r="47" spans="1:17" ht="18" customHeight="1" x14ac:dyDescent="0.2">
      <c r="A47" s="17" t="s">
        <v>42</v>
      </c>
      <c r="B47" s="16">
        <f>ENERO!B47+FEBRERO!B47+MARZO!B47+ABRIL!B47+MAYO!B47+JUNIO!B47+JULIO!B47+AGOSTO!B47+SEPTIEMBRE!B47+OCTUBRE!B47+NOVIEMBRE!B47+DICIEMBRE!B47</f>
        <v>41998871299.830002</v>
      </c>
      <c r="C47" s="16">
        <f>ENERO!C47+FEBRERO!C47+MARZO!C47+ABRIL!C47+MAYO!C47+JUNIO!C47+JULIO!C47+AGOSTO!C47+SEPTIEMBRE!C47+OCTUBRE!C47+NOVIEMBRE!C47+DICIEMBRE!C47</f>
        <v>0</v>
      </c>
      <c r="D47" s="16">
        <f>ENERO!D47+FEBRERO!D47+MARZO!D47+ABRIL!D47+MAYO!D47+JUNIO!D47+JULIO!D47+AGOSTO!D47+SEPTIEMBRE!D47+OCTUBRE!D47+NOVIEMBRE!D47+DICIEMBRE!D47</f>
        <v>240444549.71619171</v>
      </c>
      <c r="E47" s="16">
        <f>ENERO!E47+FEBRERO!E47+MARZO!E47+ABRIL!E47+MAYO!E47+JUNIO!E47+JULIO!E47+AGOSTO!E47+SEPTIEMBRE!E47+OCTUBRE!E47+NOVIEMBRE!E47+DICIEMBRE!E47</f>
        <v>628021685.63999999</v>
      </c>
      <c r="F47" s="16">
        <f>ENERO!F47+FEBRERO!F47+MARZO!F47+ABRIL!F47+MAYO!F47+JUNIO!F47+JULIO!F47+AGOSTO!F47+SEPTIEMBRE!F47+OCTUBRE!F47+NOVIEMBRE!F47+DICIEMBRE!F47</f>
        <v>1377454828.3299999</v>
      </c>
      <c r="G47" s="16">
        <f>ENERO!G47+FEBRERO!G47+MARZO!G47+ABRIL!G47+MAYO!G47+JUNIO!G47+JULIO!G47+AGOSTO!G47+SEPTIEMBRE!G47+OCTUBRE!G47+NOVIEMBRE!G47+DICIEMBRE!G47</f>
        <v>343717855.96880913</v>
      </c>
      <c r="H47" s="16">
        <f>ENERO!H47+FEBRERO!H47+MARZO!H47+ABRIL!H47+MAYO!H47+JUNIO!H47+JULIO!H47+AGOSTO!H47+SEPTIEMBRE!H47+OCTUBRE!H47+NOVIEMBRE!H47+DICIEMBRE!H47</f>
        <v>2441139793.4899998</v>
      </c>
      <c r="I47" s="16">
        <f>ENERO!I47+FEBRERO!I47+MARZO!I47+ABRIL!I47+MAYO!I47+JUNIO!I47+JULIO!I47+AGOSTO!I47+SEPTIEMBRE!I47+OCTUBRE!I47+NOVIEMBRE!I47+DICIEMBRE!I47</f>
        <v>3701268629.5100002</v>
      </c>
      <c r="J47" s="16">
        <f>ENERO!J47+FEBRERO!J47+MARZO!J47+ABRIL!J47+MAYO!J47+JUNIO!J47+JULIO!J47+AGOSTO!J47+SEPTIEMBRE!J47+OCTUBRE!J47+NOVIEMBRE!J47+DICIEMBRE!J47</f>
        <v>7836482146.7400017</v>
      </c>
      <c r="K47" s="16">
        <f>ENERO!K47+FEBRERO!K47+MARZO!K47+ABRIL!K47+MAYO!K47+JUNIO!K47+JULIO!K47+AGOSTO!K47+SEPTIEMBRE!K47+OCTUBRE!K47+NOVIEMBRE!K47+DICIEMBRE!K47</f>
        <v>495070943.86578804</v>
      </c>
      <c r="L47" s="16"/>
      <c r="M47" s="16"/>
      <c r="N47" s="18">
        <f t="shared" si="1"/>
        <v>59062471733.090797</v>
      </c>
      <c r="O47" s="4"/>
      <c r="P47" s="4"/>
      <c r="Q47" s="4"/>
    </row>
    <row r="48" spans="1:17" ht="18" customHeight="1" x14ac:dyDescent="0.2">
      <c r="A48" s="17" t="s">
        <v>43</v>
      </c>
      <c r="B48" s="16">
        <f>ENERO!B48+FEBRERO!B48+MARZO!B48+ABRIL!B48+MAYO!B48+JUNIO!B48+JULIO!B48+AGOSTO!B48+SEPTIEMBRE!B48+OCTUBRE!B48+NOVIEMBRE!B48+DICIEMBRE!B48</f>
        <v>3858830968.5099998</v>
      </c>
      <c r="C48" s="16">
        <f>ENERO!C48+FEBRERO!C48+MARZO!C48+ABRIL!C48+MAYO!C48+JUNIO!C48+JULIO!C48+AGOSTO!C48+SEPTIEMBRE!C48+OCTUBRE!C48+NOVIEMBRE!C48+DICIEMBRE!C48</f>
        <v>0</v>
      </c>
      <c r="D48" s="16">
        <f>ENERO!D48+FEBRERO!D48+MARZO!D48+ABRIL!D48+MAYO!D48+JUNIO!D48+JULIO!D48+AGOSTO!D48+SEPTIEMBRE!D48+OCTUBRE!D48+NOVIEMBRE!D48+DICIEMBRE!D48</f>
        <v>249555441.21416375</v>
      </c>
      <c r="E48" s="16">
        <f>ENERO!E48+FEBRERO!E48+MARZO!E48+ABRIL!E48+MAYO!E48+JUNIO!E48+JULIO!E48+AGOSTO!E48+SEPTIEMBRE!E48+OCTUBRE!E48+NOVIEMBRE!E48+DICIEMBRE!E48</f>
        <v>50625639.670000002</v>
      </c>
      <c r="F48" s="16">
        <f>ENERO!F48+FEBRERO!F48+MARZO!F48+ABRIL!F48+MAYO!F48+JUNIO!F48+JULIO!F48+AGOSTO!F48+SEPTIEMBRE!F48+OCTUBRE!F48+NOVIEMBRE!F48+DICIEMBRE!F48</f>
        <v>11967103.039999999</v>
      </c>
      <c r="G48" s="16">
        <f>ENERO!G48+FEBRERO!G48+MARZO!G48+ABRIL!G48+MAYO!G48+JUNIO!G48+JULIO!G48+AGOSTO!G48+SEPTIEMBRE!G48+OCTUBRE!G48+NOVIEMBRE!G48+DICIEMBRE!G48</f>
        <v>7420194.120000001</v>
      </c>
      <c r="H48" s="16">
        <f>ENERO!H48+FEBRERO!H48+MARZO!H48+ABRIL!H48+MAYO!H48+JUNIO!H48+JULIO!H48+AGOSTO!H48+SEPTIEMBRE!H48+OCTUBRE!H48+NOVIEMBRE!H48+DICIEMBRE!H48</f>
        <v>226298101.60999998</v>
      </c>
      <c r="I48" s="16">
        <f>ENERO!I48+FEBRERO!I48+MARZO!I48+ABRIL!I48+MAYO!I48+JUNIO!I48+JULIO!I48+AGOSTO!I48+SEPTIEMBRE!I48+OCTUBRE!I48+NOVIEMBRE!I48+DICIEMBRE!I48</f>
        <v>32156018.650000006</v>
      </c>
      <c r="J48" s="16">
        <f>ENERO!J48+FEBRERO!J48+MARZO!J48+ABRIL!J48+MAYO!J48+JUNIO!J48+JULIO!J48+AGOSTO!J48+SEPTIEMBRE!J48+OCTUBRE!J48+NOVIEMBRE!J48+DICIEMBRE!J48</f>
        <v>420437804.00000012</v>
      </c>
      <c r="K48" s="16">
        <f>ENERO!K48+FEBRERO!K48+MARZO!K48+ABRIL!K48+MAYO!K48+JUNIO!K48+JULIO!K48+AGOSTO!K48+SEPTIEMBRE!K48+OCTUBRE!K48+NOVIEMBRE!K48+DICIEMBRE!K48</f>
        <v>47899092.532417171</v>
      </c>
      <c r="L48" s="16"/>
      <c r="M48" s="16"/>
      <c r="N48" s="18">
        <f t="shared" si="1"/>
        <v>4905190363.3465805</v>
      </c>
      <c r="O48" s="4"/>
      <c r="P48" s="4"/>
      <c r="Q48" s="4"/>
    </row>
    <row r="49" spans="1:17" ht="18" customHeight="1" x14ac:dyDescent="0.2">
      <c r="A49" s="17" t="s">
        <v>44</v>
      </c>
      <c r="B49" s="16">
        <f>ENERO!B49+FEBRERO!B49+MARZO!B49+ABRIL!B49+MAYO!B49+JUNIO!B49+JULIO!B49+AGOSTO!B49+SEPTIEMBRE!B49+OCTUBRE!B49+NOVIEMBRE!B49+DICIEMBRE!B49</f>
        <v>7979152397.6900005</v>
      </c>
      <c r="C49" s="16">
        <f>ENERO!C49+FEBRERO!C49+MARZO!C49+ABRIL!C49+MAYO!C49+JUNIO!C49+JULIO!C49+AGOSTO!C49+SEPTIEMBRE!C49+OCTUBRE!C49+NOVIEMBRE!C49+DICIEMBRE!C49</f>
        <v>0</v>
      </c>
      <c r="D49" s="16">
        <f>ENERO!D49+FEBRERO!D49+MARZO!D49+ABRIL!D49+MAYO!D49+JUNIO!D49+JULIO!D49+AGOSTO!D49+SEPTIEMBRE!D49+OCTUBRE!D49+NOVIEMBRE!D49+DICIEMBRE!D49</f>
        <v>446748462.97402167</v>
      </c>
      <c r="E49" s="16">
        <f>ENERO!E49+FEBRERO!E49+MARZO!E49+ABRIL!E49+MAYO!E49+JUNIO!E49+JULIO!E49+AGOSTO!E49+SEPTIEMBRE!E49+OCTUBRE!E49+NOVIEMBRE!E49+DICIEMBRE!E49</f>
        <v>86535233.796000004</v>
      </c>
      <c r="F49" s="16">
        <f>ENERO!F49+FEBRERO!F49+MARZO!F49+ABRIL!F49+MAYO!F49+JUNIO!F49+JULIO!F49+AGOSTO!F49+SEPTIEMBRE!F49+OCTUBRE!F49+NOVIEMBRE!F49+DICIEMBRE!F49</f>
        <v>70667806.829999998</v>
      </c>
      <c r="G49" s="16">
        <f>ENERO!G49+FEBRERO!G49+MARZO!G49+ABRIL!G49+MAYO!G49+JUNIO!G49+JULIO!G49+AGOSTO!G49+SEPTIEMBRE!G49+OCTUBRE!G49+NOVIEMBRE!G49+DICIEMBRE!G49</f>
        <v>31116943.120000001</v>
      </c>
      <c r="H49" s="16">
        <f>ENERO!H49+FEBRERO!H49+MARZO!H49+ABRIL!H49+MAYO!H49+JUNIO!H49+JULIO!H49+AGOSTO!H49+SEPTIEMBRE!H49+OCTUBRE!H49+NOVIEMBRE!H49+DICIEMBRE!H49</f>
        <v>460776356.46000004</v>
      </c>
      <c r="I49" s="16">
        <f>ENERO!I49+FEBRERO!I49+MARZO!I49+ABRIL!I49+MAYO!I49+JUNIO!I49+JULIO!I49+AGOSTO!I49+SEPTIEMBRE!I49+OCTUBRE!I49+NOVIEMBRE!I49+DICIEMBRE!I49</f>
        <v>189886834.28000003</v>
      </c>
      <c r="J49" s="16">
        <f>ENERO!J49+FEBRERO!J49+MARZO!J49+ABRIL!J49+MAYO!J49+JUNIO!J49+JULIO!J49+AGOSTO!J49+SEPTIEMBRE!J49+OCTUBRE!J49+NOVIEMBRE!J49+DICIEMBRE!J49</f>
        <v>989541986.86999989</v>
      </c>
      <c r="K49" s="16">
        <f>ENERO!K49+FEBRERO!K49+MARZO!K49+ABRIL!K49+MAYO!K49+JUNIO!K49+JULIO!K49+AGOSTO!K49+SEPTIEMBRE!K49+OCTUBRE!K49+NOVIEMBRE!K49+DICIEMBRE!K49</f>
        <v>90447304.417183042</v>
      </c>
      <c r="L49" s="16"/>
      <c r="M49" s="16"/>
      <c r="N49" s="18">
        <f t="shared" si="1"/>
        <v>10344873326.437206</v>
      </c>
      <c r="O49" s="4"/>
      <c r="P49" s="4"/>
      <c r="Q49" s="4"/>
    </row>
    <row r="50" spans="1:17" ht="18" customHeight="1" x14ac:dyDescent="0.2">
      <c r="A50" s="17" t="s">
        <v>45</v>
      </c>
      <c r="B50" s="16">
        <f>ENERO!B50+FEBRERO!B50+MARZO!B50+ABRIL!B50+MAYO!B50+JUNIO!B50+JULIO!B50+AGOSTO!B50+SEPTIEMBRE!B50+OCTUBRE!B50+NOVIEMBRE!B50+DICIEMBRE!B50</f>
        <v>4842111076.04</v>
      </c>
      <c r="C50" s="16">
        <f>ENERO!C50+FEBRERO!C50+MARZO!C50+ABRIL!C50+MAYO!C50+JUNIO!C50+JULIO!C50+AGOSTO!C50+SEPTIEMBRE!C50+OCTUBRE!C50+NOVIEMBRE!C50+DICIEMBRE!C50</f>
        <v>0</v>
      </c>
      <c r="D50" s="16">
        <f>ENERO!D50+FEBRERO!D50+MARZO!D50+ABRIL!D50+MAYO!D50+JUNIO!D50+JULIO!D50+AGOSTO!D50+SEPTIEMBRE!D50+OCTUBRE!D50+NOVIEMBRE!D50+DICIEMBRE!D50</f>
        <v>311206335.25926638</v>
      </c>
      <c r="E50" s="16">
        <f>ENERO!E50+FEBRERO!E50+MARZO!E50+ABRIL!E50+MAYO!E50+JUNIO!E50+JULIO!E50+AGOSTO!E50+SEPTIEMBRE!E50+OCTUBRE!E50+NOVIEMBRE!E50+DICIEMBRE!E50</f>
        <v>63260361.950000003</v>
      </c>
      <c r="F50" s="16">
        <f>ENERO!F50+FEBRERO!F50+MARZO!F50+ABRIL!F50+MAYO!F50+JUNIO!F50+JULIO!F50+AGOSTO!F50+SEPTIEMBRE!F50+OCTUBRE!F50+NOVIEMBRE!F50+DICIEMBRE!F50</f>
        <v>19807618.830000002</v>
      </c>
      <c r="G50" s="16">
        <f>ENERO!G50+FEBRERO!G50+MARZO!G50+ABRIL!G50+MAYO!G50+JUNIO!G50+JULIO!G50+AGOSTO!G50+SEPTIEMBRE!G50+OCTUBRE!G50+NOVIEMBRE!G50+DICIEMBRE!G50</f>
        <v>8660513.9499999993</v>
      </c>
      <c r="H50" s="16">
        <f>ENERO!H50+FEBRERO!H50+MARZO!H50+ABRIL!H50+MAYO!H50+JUNIO!H50+JULIO!H50+AGOSTO!H50+SEPTIEMBRE!H50+OCTUBRE!H50+NOVIEMBRE!H50+DICIEMBRE!H50</f>
        <v>282811933.90999997</v>
      </c>
      <c r="I50" s="16">
        <f>ENERO!I50+FEBRERO!I50+MARZO!I50+ABRIL!I50+MAYO!I50+JUNIO!I50+JULIO!I50+AGOSTO!I50+SEPTIEMBRE!I50+OCTUBRE!I50+NOVIEMBRE!I50+DICIEMBRE!I50</f>
        <v>53223754.99000001</v>
      </c>
      <c r="J50" s="16">
        <f>ENERO!J50+FEBRERO!J50+MARZO!J50+ABRIL!J50+MAYO!J50+JUNIO!J50+JULIO!J50+AGOSTO!J50+SEPTIEMBRE!J50+OCTUBRE!J50+NOVIEMBRE!J50+DICIEMBRE!J50</f>
        <v>715089817.62999988</v>
      </c>
      <c r="K50" s="16">
        <f>ENERO!K50+FEBRERO!K50+MARZO!K50+ABRIL!K50+MAYO!K50+JUNIO!K50+JULIO!K50+AGOSTO!K50+SEPTIEMBRE!K50+OCTUBRE!K50+NOVIEMBRE!K50+DICIEMBRE!K50</f>
        <v>58722804.130852289</v>
      </c>
      <c r="L50" s="16"/>
      <c r="M50" s="16"/>
      <c r="N50" s="18">
        <f t="shared" si="1"/>
        <v>6354894216.6901188</v>
      </c>
      <c r="O50" s="4"/>
      <c r="P50" s="4"/>
      <c r="Q50" s="4"/>
    </row>
    <row r="51" spans="1:17" ht="18" customHeight="1" x14ac:dyDescent="0.2">
      <c r="A51" s="17" t="s">
        <v>46</v>
      </c>
      <c r="B51" s="16">
        <f>ENERO!B51+FEBRERO!B51+MARZO!B51+ABRIL!B51+MAYO!B51+JUNIO!B51+JULIO!B51+AGOSTO!B51+SEPTIEMBRE!B51+OCTUBRE!B51+NOVIEMBRE!B51+DICIEMBRE!B51</f>
        <v>4787238178.8899994</v>
      </c>
      <c r="C51" s="16">
        <f>ENERO!C51+FEBRERO!C51+MARZO!C51+ABRIL!C51+MAYO!C51+JUNIO!C51+JULIO!C51+AGOSTO!C51+SEPTIEMBRE!C51+OCTUBRE!C51+NOVIEMBRE!C51+DICIEMBRE!C51</f>
        <v>0</v>
      </c>
      <c r="D51" s="16">
        <f>ENERO!D51+FEBRERO!D51+MARZO!D51+ABRIL!D51+MAYO!D51+JUNIO!D51+JULIO!D51+AGOSTO!D51+SEPTIEMBRE!D51+OCTUBRE!D51+NOVIEMBRE!D51+DICIEMBRE!D51</f>
        <v>403847467.29027617</v>
      </c>
      <c r="E51" s="16">
        <f>ENERO!E51+FEBRERO!E51+MARZO!E51+ABRIL!E51+MAYO!E51+JUNIO!E51+JULIO!E51+AGOSTO!E51+SEPTIEMBRE!E51+OCTUBRE!E51+NOVIEMBRE!E51+DICIEMBRE!E51</f>
        <v>61253403.700000003</v>
      </c>
      <c r="F51" s="16">
        <f>ENERO!F51+FEBRERO!F51+MARZO!F51+ABRIL!F51+MAYO!F51+JUNIO!F51+JULIO!F51+AGOSTO!F51+SEPTIEMBRE!F51+OCTUBRE!F51+NOVIEMBRE!F51+DICIEMBRE!F51</f>
        <v>24690747.110000003</v>
      </c>
      <c r="G51" s="16">
        <f>ENERO!G51+FEBRERO!G51+MARZO!G51+ABRIL!G51+MAYO!G51+JUNIO!G51+JULIO!G51+AGOSTO!G51+SEPTIEMBRE!G51+OCTUBRE!G51+NOVIEMBRE!G51+DICIEMBRE!G51</f>
        <v>11130291.199999999</v>
      </c>
      <c r="H51" s="16">
        <f>ENERO!H51+FEBRERO!H51+MARZO!H51+ABRIL!H51+MAYO!H51+JUNIO!H51+JULIO!H51+AGOSTO!H51+SEPTIEMBRE!H51+OCTUBRE!H51+NOVIEMBRE!H51+DICIEMBRE!H51</f>
        <v>279069247.43000001</v>
      </c>
      <c r="I51" s="16">
        <f>ENERO!I51+FEBRERO!I51+MARZO!I51+ABRIL!I51+MAYO!I51+JUNIO!I51+JULIO!I51+AGOSTO!I51+SEPTIEMBRE!I51+OCTUBRE!I51+NOVIEMBRE!I51+DICIEMBRE!I51</f>
        <v>66344889.049999997</v>
      </c>
      <c r="J51" s="16">
        <f>ENERO!J51+FEBRERO!J51+MARZO!J51+ABRIL!J51+MAYO!J51+JUNIO!J51+JULIO!J51+AGOSTO!J51+SEPTIEMBRE!J51+OCTUBRE!J51+NOVIEMBRE!J51+DICIEMBRE!J51</f>
        <v>496102527.30999982</v>
      </c>
      <c r="K51" s="16">
        <f>ENERO!K51+FEBRERO!K51+MARZO!K51+ABRIL!K51+MAYO!K51+JUNIO!K51+JULIO!K51+AGOSTO!K51+SEPTIEMBRE!K51+OCTUBRE!K51+NOVIEMBRE!K51+DICIEMBRE!K51</f>
        <v>57411216.176753573</v>
      </c>
      <c r="L51" s="16"/>
      <c r="M51" s="16"/>
      <c r="N51" s="18">
        <f t="shared" si="1"/>
        <v>6187087968.1570292</v>
      </c>
      <c r="O51" s="4"/>
      <c r="P51" s="4"/>
      <c r="Q51" s="4"/>
    </row>
    <row r="52" spans="1:17" ht="18" customHeight="1" x14ac:dyDescent="0.2">
      <c r="A52" s="17" t="s">
        <v>47</v>
      </c>
      <c r="B52" s="16">
        <f>ENERO!B52+FEBRERO!B52+MARZO!B52+ABRIL!B52+MAYO!B52+JUNIO!B52+JULIO!B52+AGOSTO!B52+SEPTIEMBRE!B52+OCTUBRE!B52+NOVIEMBRE!B52+DICIEMBRE!B52</f>
        <v>5683776898.8499994</v>
      </c>
      <c r="C52" s="16">
        <f>ENERO!C52+FEBRERO!C52+MARZO!C52+ABRIL!C52+MAYO!C52+JUNIO!C52+JULIO!C52+AGOSTO!C52+SEPTIEMBRE!C52+OCTUBRE!C52+NOVIEMBRE!C52+DICIEMBRE!C52</f>
        <v>0</v>
      </c>
      <c r="D52" s="16">
        <f>ENERO!D52+FEBRERO!D52+MARZO!D52+ABRIL!D52+MAYO!D52+JUNIO!D52+JULIO!D52+AGOSTO!D52+SEPTIEMBRE!D52+OCTUBRE!D52+NOVIEMBRE!D52+DICIEMBRE!D52</f>
        <v>315013407.27798033</v>
      </c>
      <c r="E52" s="16">
        <f>ENERO!E52+FEBRERO!E52+MARZO!E52+ABRIL!E52+MAYO!E52+JUNIO!E52+JULIO!E52+AGOSTO!E52+SEPTIEMBRE!E52+OCTUBRE!E52+NOVIEMBRE!E52+DICIEMBRE!E52</f>
        <v>74123020.670000002</v>
      </c>
      <c r="F52" s="16">
        <f>ENERO!F52+FEBRERO!F52+MARZO!F52+ABRIL!F52+MAYO!F52+JUNIO!F52+JULIO!F52+AGOSTO!F52+SEPTIEMBRE!F52+OCTUBRE!F52+NOVIEMBRE!F52+DICIEMBRE!F52</f>
        <v>22730618.139999997</v>
      </c>
      <c r="G52" s="16">
        <f>ENERO!G52+FEBRERO!G52+MARZO!G52+ABRIL!G52+MAYO!G52+JUNIO!G52+JULIO!G52+AGOSTO!G52+SEPTIEMBRE!G52+OCTUBRE!G52+NOVIEMBRE!G52+DICIEMBRE!G52</f>
        <v>14241985.5</v>
      </c>
      <c r="H52" s="16">
        <f>ENERO!H52+FEBRERO!H52+MARZO!H52+ABRIL!H52+MAYO!H52+JUNIO!H52+JULIO!H52+AGOSTO!H52+SEPTIEMBRE!H52+OCTUBRE!H52+NOVIEMBRE!H52+DICIEMBRE!H52</f>
        <v>330951113.08999997</v>
      </c>
      <c r="I52" s="16">
        <f>ENERO!I52+FEBRERO!I52+MARZO!I52+ABRIL!I52+MAYO!I52+JUNIO!I52+JULIO!I52+AGOSTO!I52+SEPTIEMBRE!I52+OCTUBRE!I52+NOVIEMBRE!I52+DICIEMBRE!I52</f>
        <v>61077954.960000001</v>
      </c>
      <c r="J52" s="16">
        <f>ENERO!J52+FEBRERO!J52+MARZO!J52+ABRIL!J52+MAYO!J52+JUNIO!J52+JULIO!J52+AGOSTO!J52+SEPTIEMBRE!J52+OCTUBRE!J52+NOVIEMBRE!J52+DICIEMBRE!J52</f>
        <v>635913614.87</v>
      </c>
      <c r="K52" s="16">
        <f>ENERO!K52+FEBRERO!K52+MARZO!K52+ABRIL!K52+MAYO!K52+JUNIO!K52+JULIO!K52+AGOSTO!K52+SEPTIEMBRE!K52+OCTUBRE!K52+NOVIEMBRE!K52+DICIEMBRE!K52</f>
        <v>67704817.273816735</v>
      </c>
      <c r="L52" s="16"/>
      <c r="M52" s="16"/>
      <c r="N52" s="18">
        <f t="shared" si="1"/>
        <v>7205533430.6317968</v>
      </c>
      <c r="O52" s="4"/>
      <c r="P52" s="4"/>
      <c r="Q52" s="4"/>
    </row>
    <row r="53" spans="1:17" ht="18" customHeight="1" x14ac:dyDescent="0.2">
      <c r="A53" s="17" t="s">
        <v>48</v>
      </c>
      <c r="B53" s="16">
        <f>ENERO!B53+FEBRERO!B53+MARZO!B53+ABRIL!B53+MAYO!B53+JUNIO!B53+JULIO!B53+AGOSTO!B53+SEPTIEMBRE!B53+OCTUBRE!B53+NOVIEMBRE!B53+DICIEMBRE!B53</f>
        <v>1966771264.02</v>
      </c>
      <c r="C53" s="16">
        <f>ENERO!C53+FEBRERO!C53+MARZO!C53+ABRIL!C53+MAYO!C53+JUNIO!C53+JULIO!C53+AGOSTO!C53+SEPTIEMBRE!C53+OCTUBRE!C53+NOVIEMBRE!C53+DICIEMBRE!C53</f>
        <v>0</v>
      </c>
      <c r="D53" s="16">
        <f>ENERO!D53+FEBRERO!D53+MARZO!D53+ABRIL!D53+MAYO!D53+JUNIO!D53+JULIO!D53+AGOSTO!D53+SEPTIEMBRE!D53+OCTUBRE!D53+NOVIEMBRE!D53+DICIEMBRE!D53</f>
        <v>264796100.17305049</v>
      </c>
      <c r="E53" s="16">
        <f>ENERO!E53+FEBRERO!E53+MARZO!E53+ABRIL!E53+MAYO!E53+JUNIO!E53+JULIO!E53+AGOSTO!E53+SEPTIEMBRE!E53+OCTUBRE!E53+NOVIEMBRE!E53+DICIEMBRE!E53</f>
        <v>24921819.34</v>
      </c>
      <c r="F53" s="16">
        <f>ENERO!F53+FEBRERO!F53+MARZO!F53+ABRIL!F53+MAYO!F53+JUNIO!F53+JULIO!F53+AGOSTO!F53+SEPTIEMBRE!F53+OCTUBRE!F53+NOVIEMBRE!F53+DICIEMBRE!F53</f>
        <v>3954646.1000000006</v>
      </c>
      <c r="G53" s="16">
        <f>ENERO!G53+FEBRERO!G53+MARZO!G53+ABRIL!G53+MAYO!G53+JUNIO!G53+JULIO!G53+AGOSTO!G53+SEPTIEMBRE!G53+OCTUBRE!G53+NOVIEMBRE!G53+DICIEMBRE!G53</f>
        <v>2154249.9</v>
      </c>
      <c r="H53" s="16">
        <f>ENERO!H53+FEBRERO!H53+MARZO!H53+ABRIL!H53+MAYO!H53+JUNIO!H53+JULIO!H53+AGOSTO!H53+SEPTIEMBRE!H53+OCTUBRE!H53+NOVIEMBRE!H53+DICIEMBRE!H53</f>
        <v>114392507.73999999</v>
      </c>
      <c r="I53" s="16">
        <f>ENERO!I53+FEBRERO!I53+MARZO!I53+ABRIL!I53+MAYO!I53+JUNIO!I53+JULIO!I53+AGOSTO!I53+SEPTIEMBRE!I53+OCTUBRE!I53+NOVIEMBRE!I53+DICIEMBRE!I53</f>
        <v>10626270.52</v>
      </c>
      <c r="J53" s="16">
        <f>ENERO!J53+FEBRERO!J53+MARZO!J53+ABRIL!J53+MAYO!J53+JUNIO!J53+JULIO!J53+AGOSTO!J53+SEPTIEMBRE!J53+OCTUBRE!J53+NOVIEMBRE!J53+DICIEMBRE!J53</f>
        <v>336309590.13999993</v>
      </c>
      <c r="K53" s="16">
        <f>ENERO!K53+FEBRERO!K53+MARZO!K53+ABRIL!K53+MAYO!K53+JUNIO!K53+JULIO!K53+AGOSTO!K53+SEPTIEMBRE!K53+OCTUBRE!K53+NOVIEMBRE!K53+DICIEMBRE!K53</f>
        <v>23275086.426434863</v>
      </c>
      <c r="L53" s="16"/>
      <c r="M53" s="16"/>
      <c r="N53" s="18">
        <f t="shared" si="1"/>
        <v>2747201534.3594851</v>
      </c>
      <c r="O53" s="4"/>
      <c r="P53" s="4"/>
      <c r="Q53" s="4"/>
    </row>
    <row r="54" spans="1:17" ht="18" customHeight="1" x14ac:dyDescent="0.2">
      <c r="A54" s="17" t="s">
        <v>49</v>
      </c>
      <c r="B54" s="16">
        <f>ENERO!B54+FEBRERO!B54+MARZO!B54+ABRIL!B54+MAYO!B54+JUNIO!B54+JULIO!B54+AGOSTO!B54+SEPTIEMBRE!B54+OCTUBRE!B54+NOVIEMBRE!B54+DICIEMBRE!B54</f>
        <v>7596097365.4400005</v>
      </c>
      <c r="C54" s="16">
        <f>ENERO!C54+FEBRERO!C54+MARZO!C54+ABRIL!C54+MAYO!C54+JUNIO!C54+JULIO!C54+AGOSTO!C54+SEPTIEMBRE!C54+OCTUBRE!C54+NOVIEMBRE!C54+DICIEMBRE!C54</f>
        <v>0</v>
      </c>
      <c r="D54" s="16">
        <f>ENERO!D54+FEBRERO!D54+MARZO!D54+ABRIL!D54+MAYO!D54+JUNIO!D54+JULIO!D54+AGOSTO!D54+SEPTIEMBRE!D54+OCTUBRE!D54+NOVIEMBRE!D54+DICIEMBRE!D54</f>
        <v>431981863.53736144</v>
      </c>
      <c r="E54" s="16">
        <f>ENERO!E54+FEBRERO!E54+MARZO!E54+ABRIL!E54+MAYO!E54+JUNIO!E54+JULIO!E54+AGOSTO!E54+SEPTIEMBRE!E54+OCTUBRE!E54+NOVIEMBRE!E54+DICIEMBRE!E54</f>
        <v>96593555.030000001</v>
      </c>
      <c r="F54" s="16">
        <f>ENERO!F54+FEBRERO!F54+MARZO!F54+ABRIL!F54+MAYO!F54+JUNIO!F54+JULIO!F54+AGOSTO!F54+SEPTIEMBRE!F54+OCTUBRE!F54+NOVIEMBRE!F54+DICIEMBRE!F54</f>
        <v>13583349.709999999</v>
      </c>
      <c r="G54" s="16">
        <f>ENERO!G54+FEBRERO!G54+MARZO!G54+ABRIL!G54+MAYO!G54+JUNIO!G54+JULIO!G54+AGOSTO!G54+SEPTIEMBRE!G54+OCTUBRE!G54+NOVIEMBRE!G54+DICIEMBRE!G54</f>
        <v>7898916.3300000001</v>
      </c>
      <c r="H54" s="16">
        <f>ENERO!H54+FEBRERO!H54+MARZO!H54+ABRIL!H54+MAYO!H54+JUNIO!H54+JULIO!H54+AGOSTO!H54+SEPTIEMBRE!H54+OCTUBRE!H54+NOVIEMBRE!H54+DICIEMBRE!H54</f>
        <v>442201298.43000001</v>
      </c>
      <c r="I54" s="16">
        <f>ENERO!I54+FEBRERO!I54+MARZO!I54+ABRIL!I54+MAYO!I54+JUNIO!I54+JULIO!I54+AGOSTO!I54+SEPTIEMBRE!I54+OCTUBRE!I54+NOVIEMBRE!I54+DICIEMBRE!I54</f>
        <v>36498929.200000003</v>
      </c>
      <c r="J54" s="16">
        <f>ENERO!J54+FEBRERO!J54+MARZO!J54+ABRIL!J54+MAYO!J54+JUNIO!J54+JULIO!J54+AGOSTO!J54+SEPTIEMBRE!J54+OCTUBRE!J54+NOVIEMBRE!J54+DICIEMBRE!J54</f>
        <v>769414644.33000004</v>
      </c>
      <c r="K54" s="16">
        <f>ENERO!K54+FEBRERO!K54+MARZO!K54+ABRIL!K54+MAYO!K54+JUNIO!K54+JULIO!K54+AGOSTO!K54+SEPTIEMBRE!K54+OCTUBRE!K54+NOVIEMBRE!K54+DICIEMBRE!K54</f>
        <v>90365174.621195838</v>
      </c>
      <c r="L54" s="16"/>
      <c r="M54" s="16"/>
      <c r="N54" s="18">
        <f t="shared" si="1"/>
        <v>9484635096.6285591</v>
      </c>
      <c r="O54" s="4"/>
      <c r="P54" s="4"/>
      <c r="Q54" s="4"/>
    </row>
    <row r="55" spans="1:17" ht="18" customHeight="1" x14ac:dyDescent="0.2">
      <c r="A55" s="17" t="s">
        <v>50</v>
      </c>
      <c r="B55" s="16">
        <f>ENERO!B55+FEBRERO!B55+MARZO!B55+ABRIL!B55+MAYO!B55+JUNIO!B55+JULIO!B55+AGOSTO!B55+SEPTIEMBRE!B55+OCTUBRE!B55+NOVIEMBRE!B55+DICIEMBRE!B55</f>
        <v>3471343894.6200004</v>
      </c>
      <c r="C55" s="16">
        <f>ENERO!C55+FEBRERO!C55+MARZO!C55+ABRIL!C55+MAYO!C55+JUNIO!C55+JULIO!C55+AGOSTO!C55+SEPTIEMBRE!C55+OCTUBRE!C55+NOVIEMBRE!C55+DICIEMBRE!C55</f>
        <v>0</v>
      </c>
      <c r="D55" s="16">
        <f>ENERO!D55+FEBRERO!D55+MARZO!D55+ABRIL!D55+MAYO!D55+JUNIO!D55+JULIO!D55+AGOSTO!D55+SEPTIEMBRE!D55+OCTUBRE!D55+NOVIEMBRE!D55+DICIEMBRE!D55</f>
        <v>151872890.20674431</v>
      </c>
      <c r="E55" s="16">
        <f>ENERO!E55+FEBRERO!E55+MARZO!E55+ABRIL!E55+MAYO!E55+JUNIO!E55+JULIO!E55+AGOSTO!E55+SEPTIEMBRE!E55+OCTUBRE!E55+NOVIEMBRE!E55+DICIEMBRE!E55</f>
        <v>44147781.479999997</v>
      </c>
      <c r="F55" s="16">
        <f>ENERO!F55+FEBRERO!F55+MARZO!F55+ABRIL!F55+MAYO!F55+JUNIO!F55+JULIO!F55+AGOSTO!F55+SEPTIEMBRE!F55+OCTUBRE!F55+NOVIEMBRE!F55+DICIEMBRE!F55</f>
        <v>25069017.609999999</v>
      </c>
      <c r="G55" s="16">
        <f>ENERO!G55+FEBRERO!G55+MARZO!G55+ABRIL!G55+MAYO!G55+JUNIO!G55+JULIO!G55+AGOSTO!G55+SEPTIEMBRE!G55+OCTUBRE!G55+NOVIEMBRE!G55+DICIEMBRE!G55</f>
        <v>12327096.699999999</v>
      </c>
      <c r="H55" s="16">
        <f>ENERO!H55+FEBRERO!H55+MARZO!H55+ABRIL!H55+MAYO!H55+JUNIO!H55+JULIO!H55+AGOSTO!H55+SEPTIEMBRE!H55+OCTUBRE!H55+NOVIEMBRE!H55+DICIEMBRE!H55</f>
        <v>201874912.07999998</v>
      </c>
      <c r="I55" s="16">
        <f>ENERO!I55+FEBRERO!I55+MARZO!I55+ABRIL!I55+MAYO!I55+JUNIO!I55+JULIO!I55+AGOSTO!I55+SEPTIEMBRE!I55+OCTUBRE!I55+NOVIEMBRE!I55+DICIEMBRE!I55</f>
        <v>67361314.939999998</v>
      </c>
      <c r="J55" s="16">
        <f>ENERO!J55+FEBRERO!J55+MARZO!J55+ABRIL!J55+MAYO!J55+JUNIO!J55+JULIO!J55+AGOSTO!J55+SEPTIEMBRE!J55+OCTUBRE!J55+NOVIEMBRE!J55+DICIEMBRE!J55</f>
        <v>543201130.04999983</v>
      </c>
      <c r="K55" s="16">
        <f>ENERO!K55+FEBRERO!K55+MARZO!K55+ABRIL!K55+MAYO!K55+JUNIO!K55+JULIO!K55+AGOSTO!K55+SEPTIEMBRE!K55+OCTUBRE!K55+NOVIEMBRE!K55+DICIEMBRE!K55</f>
        <v>41047476.521726921</v>
      </c>
      <c r="L55" s="16"/>
      <c r="M55" s="16"/>
      <c r="N55" s="18">
        <f t="shared" si="1"/>
        <v>4558245514.2084713</v>
      </c>
      <c r="O55" s="4"/>
      <c r="P55" s="4"/>
      <c r="Q55" s="4"/>
    </row>
    <row r="56" spans="1:17" ht="18" customHeight="1" x14ac:dyDescent="0.2">
      <c r="A56" s="17" t="s">
        <v>51</v>
      </c>
      <c r="B56" s="16">
        <f>ENERO!B56+FEBRERO!B56+MARZO!B56+ABRIL!B56+MAYO!B56+JUNIO!B56+JULIO!B56+AGOSTO!B56+SEPTIEMBRE!B56+OCTUBRE!B56+NOVIEMBRE!B56+DICIEMBRE!B56</f>
        <v>2688983010.6700001</v>
      </c>
      <c r="C56" s="16">
        <f>ENERO!C56+FEBRERO!C56+MARZO!C56+ABRIL!C56+MAYO!C56+JUNIO!C56+JULIO!C56+AGOSTO!C56+SEPTIEMBRE!C56+OCTUBRE!C56+NOVIEMBRE!C56+DICIEMBRE!C56</f>
        <v>0</v>
      </c>
      <c r="D56" s="16">
        <f>ENERO!D56+FEBRERO!D56+MARZO!D56+ABRIL!D56+MAYO!D56+JUNIO!D56+JULIO!D56+AGOSTO!D56+SEPTIEMBRE!D56+OCTUBRE!D56+NOVIEMBRE!D56+DICIEMBRE!D56</f>
        <v>128899327.85203274</v>
      </c>
      <c r="E56" s="16">
        <f>ENERO!E56+FEBRERO!E56+MARZO!E56+ABRIL!E56+MAYO!E56+JUNIO!E56+JULIO!E56+AGOSTO!E56+SEPTIEMBRE!E56+OCTUBRE!E56+NOVIEMBRE!E56+DICIEMBRE!E56</f>
        <v>33715170.289999999</v>
      </c>
      <c r="F56" s="16">
        <f>ENERO!F56+FEBRERO!F56+MARZO!F56+ABRIL!F56+MAYO!F56+JUNIO!F56+JULIO!F56+AGOSTO!F56+SEPTIEMBRE!F56+OCTUBRE!F56+NOVIEMBRE!F56+DICIEMBRE!F56</f>
        <v>7083974.7800000012</v>
      </c>
      <c r="G56" s="16">
        <f>ENERO!G56+FEBRERO!G56+MARZO!G56+ABRIL!G56+MAYO!G56+JUNIO!G56+JULIO!G56+AGOSTO!G56+SEPTIEMBRE!G56+OCTUBRE!G56+NOVIEMBRE!G56+DICIEMBRE!G56</f>
        <v>3351055.41</v>
      </c>
      <c r="H56" s="16">
        <f>ENERO!H56+FEBRERO!H56+MARZO!H56+ABRIL!H56+MAYO!H56+JUNIO!H56+JULIO!H56+AGOSTO!H56+SEPTIEMBRE!H56+OCTUBRE!H56+NOVIEMBRE!H56+DICIEMBRE!H56</f>
        <v>155969204.00999999</v>
      </c>
      <c r="I56" s="16">
        <f>ENERO!I56+FEBRERO!I56+MARZO!I56+ABRIL!I56+MAYO!I56+JUNIO!I56+JULIO!I56+AGOSTO!I56+SEPTIEMBRE!I56+OCTUBRE!I56+NOVIEMBRE!I56+DICIEMBRE!I56</f>
        <v>19034884.600000001</v>
      </c>
      <c r="J56" s="16">
        <f>ENERO!J56+FEBRERO!J56+MARZO!J56+ABRIL!J56+MAYO!J56+JUNIO!J56+JULIO!J56+AGOSTO!J56+SEPTIEMBRE!J56+OCTUBRE!J56+NOVIEMBRE!J56+DICIEMBRE!J56</f>
        <v>448414750.57000017</v>
      </c>
      <c r="K56" s="16">
        <f>ENERO!K56+FEBRERO!K56+MARZO!K56+ABRIL!K56+MAYO!K56+JUNIO!K56+JULIO!K56+AGOSTO!K56+SEPTIEMBRE!K56+OCTUBRE!K56+NOVIEMBRE!K56+DICIEMBRE!K56</f>
        <v>31306384.961304981</v>
      </c>
      <c r="L56" s="16"/>
      <c r="M56" s="16"/>
      <c r="N56" s="18">
        <f t="shared" si="1"/>
        <v>3516757763.1433377</v>
      </c>
      <c r="O56" s="4"/>
      <c r="P56" s="4"/>
      <c r="Q56" s="4"/>
    </row>
    <row r="57" spans="1:17" ht="18" customHeight="1" x14ac:dyDescent="0.2">
      <c r="A57" s="17" t="s">
        <v>52</v>
      </c>
      <c r="B57" s="16">
        <f>ENERO!B57+FEBRERO!B57+MARZO!B57+ABRIL!B57+MAYO!B57+JUNIO!B57+JULIO!B57+AGOSTO!B57+SEPTIEMBRE!B57+OCTUBRE!B57+NOVIEMBRE!B57+DICIEMBRE!B57</f>
        <v>6277459436.4200001</v>
      </c>
      <c r="C57" s="16">
        <f>ENERO!C57+FEBRERO!C57+MARZO!C57+ABRIL!C57+MAYO!C57+JUNIO!C57+JULIO!C57+AGOSTO!C57+SEPTIEMBRE!C57+OCTUBRE!C57+NOVIEMBRE!C57+DICIEMBRE!C57</f>
        <v>0</v>
      </c>
      <c r="D57" s="16">
        <f>ENERO!D57+FEBRERO!D57+MARZO!D57+ABRIL!D57+MAYO!D57+JUNIO!D57+JULIO!D57+AGOSTO!D57+SEPTIEMBRE!D57+OCTUBRE!D57+NOVIEMBRE!D57+DICIEMBRE!D57</f>
        <v>291458662.76483434</v>
      </c>
      <c r="E57" s="16">
        <f>ENERO!E57+FEBRERO!E57+MARZO!E57+ABRIL!E57+MAYO!E57+JUNIO!E57+JULIO!E57+AGOSTO!E57+SEPTIEMBRE!E57+OCTUBRE!E57+NOVIEMBRE!E57+DICIEMBRE!E57</f>
        <v>83223979.760000005</v>
      </c>
      <c r="F57" s="16">
        <f>ENERO!F57+FEBRERO!F57+MARZO!F57+ABRIL!F57+MAYO!F57+JUNIO!F57+JULIO!F57+AGOSTO!F57+SEPTIEMBRE!F57+OCTUBRE!F57+NOVIEMBRE!F57+DICIEMBRE!F57</f>
        <v>36382744.32</v>
      </c>
      <c r="G57" s="16">
        <f>ENERO!G57+FEBRERO!G57+MARZO!G57+ABRIL!G57+MAYO!G57+JUNIO!G57+JULIO!G57+AGOSTO!G57+SEPTIEMBRE!G57+OCTUBRE!G57+NOVIEMBRE!G57+DICIEMBRE!G57</f>
        <v>15438791.000000002</v>
      </c>
      <c r="H57" s="16">
        <f>ENERO!H57+FEBRERO!H57+MARZO!H57+ABRIL!H57+MAYO!H57+JUNIO!H57+JULIO!H57+AGOSTO!H57+SEPTIEMBRE!H57+OCTUBRE!H57+NOVIEMBRE!H57+DICIEMBRE!H57</f>
        <v>368138816.59999996</v>
      </c>
      <c r="I57" s="16">
        <f>ENERO!I57+FEBRERO!I57+MARZO!I57+ABRIL!I57+MAYO!I57+JUNIO!I57+JULIO!I57+AGOSTO!I57+SEPTIEMBRE!I57+OCTUBRE!I57+NOVIEMBRE!I57+DICIEMBRE!I57</f>
        <v>97761688.890000001</v>
      </c>
      <c r="J57" s="16">
        <f>ENERO!J57+FEBRERO!J57+MARZO!J57+ABRIL!J57+MAYO!J57+JUNIO!J57+JULIO!J57+AGOSTO!J57+SEPTIEMBRE!J57+OCTUBRE!J57+NOVIEMBRE!J57+DICIEMBRE!J57</f>
        <v>957414306.25000012</v>
      </c>
      <c r="K57" s="16">
        <f>ENERO!K57+FEBRERO!K57+MARZO!K57+ABRIL!K57+MAYO!K57+JUNIO!K57+JULIO!K57+AGOSTO!K57+SEPTIEMBRE!K57+OCTUBRE!K57+NOVIEMBRE!K57+DICIEMBRE!K57</f>
        <v>77923754.919982418</v>
      </c>
      <c r="L57" s="16"/>
      <c r="M57" s="16"/>
      <c r="N57" s="18">
        <f t="shared" si="1"/>
        <v>8205202180.9248171</v>
      </c>
      <c r="O57" s="4"/>
      <c r="P57" s="4"/>
      <c r="Q57" s="4"/>
    </row>
    <row r="58" spans="1:17" ht="18" customHeight="1" x14ac:dyDescent="0.2">
      <c r="A58" s="17" t="s">
        <v>53</v>
      </c>
      <c r="B58" s="16">
        <f>ENERO!B58+FEBRERO!B58+MARZO!B58+ABRIL!B58+MAYO!B58+JUNIO!B58+JULIO!B58+AGOSTO!B58+SEPTIEMBRE!B58+OCTUBRE!B58+NOVIEMBRE!B58+DICIEMBRE!B58</f>
        <v>6350060500.3699999</v>
      </c>
      <c r="C58" s="16">
        <f>ENERO!C58+FEBRERO!C58+MARZO!C58+ABRIL!C58+MAYO!C58+JUNIO!C58+JULIO!C58+AGOSTO!C58+SEPTIEMBRE!C58+OCTUBRE!C58+NOVIEMBRE!C58+DICIEMBRE!C58</f>
        <v>0</v>
      </c>
      <c r="D58" s="16">
        <f>ENERO!D58+FEBRERO!D58+MARZO!D58+ABRIL!D58+MAYO!D58+JUNIO!D58+JULIO!D58+AGOSTO!D58+SEPTIEMBRE!D58+OCTUBRE!D58+NOVIEMBRE!D58+DICIEMBRE!D58</f>
        <v>181524327.1406382</v>
      </c>
      <c r="E58" s="16">
        <f>ENERO!E58+FEBRERO!E58+MARZO!E58+ABRIL!E58+MAYO!E58+JUNIO!E58+JULIO!E58+AGOSTO!E58+SEPTIEMBRE!E58+OCTUBRE!E58+NOVIEMBRE!E58+DICIEMBRE!E58</f>
        <v>79014041.859999999</v>
      </c>
      <c r="F58" s="16">
        <f>ENERO!F58+FEBRERO!F58+MARZO!F58+ABRIL!F58+MAYO!F58+JUNIO!F58+JULIO!F58+AGOSTO!F58+SEPTIEMBRE!F58+OCTUBRE!F58+NOVIEMBRE!F58+DICIEMBRE!F58</f>
        <v>21183147.93</v>
      </c>
      <c r="G58" s="16">
        <f>ENERO!G58+FEBRERO!G58+MARZO!G58+ABRIL!G58+MAYO!G58+JUNIO!G58+JULIO!G58+AGOSTO!G58+SEPTIEMBRE!G58+OCTUBRE!G58+NOVIEMBRE!G58+DICIEMBRE!G58</f>
        <v>9694124.5800000001</v>
      </c>
      <c r="H58" s="16">
        <f>ENERO!H58+FEBRERO!H58+MARZO!H58+ABRIL!H58+MAYO!H58+JUNIO!H58+JULIO!H58+AGOSTO!H58+SEPTIEMBRE!H58+OCTUBRE!H58+NOVIEMBRE!H58+DICIEMBRE!H58</f>
        <v>367669479.11000001</v>
      </c>
      <c r="I58" s="16">
        <f>ENERO!I58+FEBRERO!I58+MARZO!I58+ABRIL!I58+MAYO!I58+JUNIO!I58+JULIO!I58+AGOSTO!I58+SEPTIEMBRE!I58+OCTUBRE!I58+NOVIEMBRE!I58+DICIEMBRE!I58</f>
        <v>56919849.109999999</v>
      </c>
      <c r="J58" s="16">
        <f>ENERO!J58+FEBRERO!J58+MARZO!J58+ABRIL!J58+MAYO!J58+JUNIO!J58+JULIO!J58+AGOSTO!J58+SEPTIEMBRE!J58+OCTUBRE!J58+NOVIEMBRE!J58+DICIEMBRE!J58</f>
        <v>541813623.74999976</v>
      </c>
      <c r="K58" s="16">
        <f>ENERO!K58+FEBRERO!K58+MARZO!K58+ABRIL!K58+MAYO!K58+JUNIO!K58+JULIO!K58+AGOSTO!K58+SEPTIEMBRE!K58+OCTUBRE!K58+NOVIEMBRE!K58+DICIEMBRE!K58</f>
        <v>73145294.062544972</v>
      </c>
      <c r="L58" s="16"/>
      <c r="M58" s="16"/>
      <c r="N58" s="18">
        <f t="shared" si="1"/>
        <v>7681024387.9131823</v>
      </c>
      <c r="O58" s="4"/>
      <c r="P58" s="4"/>
      <c r="Q58" s="4"/>
    </row>
    <row r="59" spans="1:17" ht="18" customHeight="1" x14ac:dyDescent="0.2">
      <c r="A59" s="17" t="s">
        <v>54</v>
      </c>
      <c r="B59" s="16">
        <f>ENERO!B59+FEBRERO!B59+MARZO!B59+ABRIL!B59+MAYO!B59+JUNIO!B59+JULIO!B59+AGOSTO!B59+SEPTIEMBRE!B59+OCTUBRE!B59+NOVIEMBRE!B59+DICIEMBRE!B59</f>
        <v>6232505870.6299992</v>
      </c>
      <c r="C59" s="16">
        <f>ENERO!C59+FEBRERO!C59+MARZO!C59+ABRIL!C59+MAYO!C59+JUNIO!C59+JULIO!C59+AGOSTO!C59+SEPTIEMBRE!C59+OCTUBRE!C59+NOVIEMBRE!C59+DICIEMBRE!C59</f>
        <v>0</v>
      </c>
      <c r="D59" s="16">
        <f>ENERO!D59+FEBRERO!D59+MARZO!D59+ABRIL!D59+MAYO!D59+JUNIO!D59+JULIO!D59+AGOSTO!D59+SEPTIEMBRE!D59+OCTUBRE!D59+NOVIEMBRE!D59+DICIEMBRE!D59</f>
        <v>413068364.04975456</v>
      </c>
      <c r="E59" s="16">
        <f>ENERO!E59+FEBRERO!E59+MARZO!E59+ABRIL!E59+MAYO!E59+JUNIO!E59+JULIO!E59+AGOSTO!E59+SEPTIEMBRE!E59+OCTUBRE!E59+NOVIEMBRE!E59+DICIEMBRE!E59</f>
        <v>80341296.819999993</v>
      </c>
      <c r="F59" s="16">
        <f>ENERO!F59+FEBRERO!F59+MARZO!F59+ABRIL!F59+MAYO!F59+JUNIO!F59+JULIO!F59+AGOSTO!F59+SEPTIEMBRE!F59+OCTUBRE!F59+NOVIEMBRE!F59+DICIEMBRE!F59</f>
        <v>20632936.289999999</v>
      </c>
      <c r="G59" s="16">
        <f>ENERO!G59+FEBRERO!G59+MARZO!G59+ABRIL!G59+MAYO!G59+JUNIO!G59+JULIO!G59+AGOSTO!G59+SEPTIEMBRE!G59+OCTUBRE!G59+NOVIEMBRE!G59+DICIEMBRE!G59</f>
        <v>8856360.7400000002</v>
      </c>
      <c r="H59" s="16">
        <f>ENERO!H59+FEBRERO!H59+MARZO!H59+ABRIL!H59+MAYO!H59+JUNIO!H59+JULIO!H59+AGOSTO!H59+SEPTIEMBRE!H59+OCTUBRE!H59+NOVIEMBRE!H59+DICIEMBRE!H59</f>
        <v>363036030.37</v>
      </c>
      <c r="I59" s="16">
        <f>ENERO!I59+FEBRERO!I59+MARZO!I59+ABRIL!I59+MAYO!I59+JUNIO!I59+JULIO!I59+AGOSTO!I59+SEPTIEMBRE!I59+OCTUBRE!I59+NOVIEMBRE!I59+DICIEMBRE!I59</f>
        <v>55441411.469999999</v>
      </c>
      <c r="J59" s="16">
        <f>ENERO!J59+FEBRERO!J59+MARZO!J59+ABRIL!J59+MAYO!J59+JUNIO!J59+JULIO!J59+AGOSTO!J59+SEPTIEMBRE!J59+OCTUBRE!J59+NOVIEMBRE!J59+DICIEMBRE!J59</f>
        <v>606004176.17999971</v>
      </c>
      <c r="K59" s="16">
        <f>ENERO!K59+FEBRERO!K59+MARZO!K59+ABRIL!K59+MAYO!K59+JUNIO!K59+JULIO!K59+AGOSTO!K59+SEPTIEMBRE!K59+OCTUBRE!K59+NOVIEMBRE!K59+DICIEMBRE!K59</f>
        <v>74402128.819318891</v>
      </c>
      <c r="L59" s="16"/>
      <c r="M59" s="16"/>
      <c r="N59" s="18">
        <f t="shared" si="1"/>
        <v>7854288575.369071</v>
      </c>
      <c r="O59" s="4"/>
      <c r="P59" s="4"/>
      <c r="Q59" s="4"/>
    </row>
    <row r="60" spans="1:17" ht="18" customHeight="1" x14ac:dyDescent="0.2">
      <c r="A60" s="17" t="s">
        <v>55</v>
      </c>
      <c r="B60" s="16">
        <f>ENERO!B60+FEBRERO!B60+MARZO!B60+ABRIL!B60+MAYO!B60+JUNIO!B60+JULIO!B60+AGOSTO!B60+SEPTIEMBRE!B60+OCTUBRE!B60+NOVIEMBRE!B60+DICIEMBRE!B60</f>
        <v>45025744727.970001</v>
      </c>
      <c r="C60" s="16">
        <f>ENERO!C60+FEBRERO!C60+MARZO!C60+ABRIL!C60+MAYO!C60+JUNIO!C60+JULIO!C60+AGOSTO!C60+SEPTIEMBRE!C60+OCTUBRE!C60+NOVIEMBRE!C60+DICIEMBRE!C60</f>
        <v>0</v>
      </c>
      <c r="D60" s="16">
        <f>ENERO!D60+FEBRERO!D60+MARZO!D60+ABRIL!D60+MAYO!D60+JUNIO!D60+JULIO!D60+AGOSTO!D60+SEPTIEMBRE!D60+OCTUBRE!D60+NOVIEMBRE!D60+DICIEMBRE!D60</f>
        <v>1362104991.765002</v>
      </c>
      <c r="E60" s="16">
        <f>ENERO!E60+FEBRERO!E60+MARZO!E60+ABRIL!E60+MAYO!E60+JUNIO!E60+JULIO!E60+AGOSTO!E60+SEPTIEMBRE!E60+OCTUBRE!E60+NOVIEMBRE!E60+DICIEMBRE!E60</f>
        <v>859847126.34000003</v>
      </c>
      <c r="F60" s="16">
        <f>ENERO!F60+FEBRERO!F60+MARZO!F60+ABRIL!F60+MAYO!F60+JUNIO!F60+JULIO!F60+AGOSTO!F60+SEPTIEMBRE!F60+OCTUBRE!F60+NOVIEMBRE!F60+DICIEMBRE!F60</f>
        <v>1134983438.4100001</v>
      </c>
      <c r="G60" s="16">
        <f>ENERO!G60+FEBRERO!G60+MARZO!G60+ABRIL!G60+MAYO!G60+JUNIO!G60+JULIO!G60+AGOSTO!G60+SEPTIEMBRE!G60+OCTUBRE!G60+NOVIEMBRE!G60+DICIEMBRE!G60</f>
        <v>455623855.30000001</v>
      </c>
      <c r="H60" s="16">
        <f>ENERO!H60+FEBRERO!H60+MARZO!H60+ABRIL!H60+MAYO!H60+JUNIO!H60+JULIO!H60+AGOSTO!H60+SEPTIEMBRE!H60+OCTUBRE!H60+NOVIEMBRE!H60+DICIEMBRE!H60</f>
        <v>2617804140.1200004</v>
      </c>
      <c r="I60" s="16">
        <f>ENERO!I60+FEBRERO!I60+MARZO!I60+ABRIL!I60+MAYO!I60+JUNIO!I60+JULIO!I60+AGOSTO!I60+SEPTIEMBRE!I60+OCTUBRE!I60+NOVIEMBRE!I60+DICIEMBRE!I60</f>
        <v>3049739642.4200001</v>
      </c>
      <c r="J60" s="16">
        <f>ENERO!J60+FEBRERO!J60+MARZO!J60+ABRIL!J60+MAYO!J60+JUNIO!J60+JULIO!J60+AGOSTO!J60+SEPTIEMBRE!J60+OCTUBRE!J60+NOVIEMBRE!J60+DICIEMBRE!J60</f>
        <v>10129699187.189997</v>
      </c>
      <c r="K60" s="16">
        <f>ENERO!K60+FEBRERO!K60+MARZO!K60+ABRIL!K60+MAYO!K60+JUNIO!K60+JULIO!K60+AGOSTO!K60+SEPTIEMBRE!K60+OCTUBRE!K60+NOVIEMBRE!K60+DICIEMBRE!K60</f>
        <v>531628658.20688099</v>
      </c>
      <c r="L60" s="16"/>
      <c r="M60" s="16"/>
      <c r="N60" s="18">
        <f t="shared" si="1"/>
        <v>65167175767.721878</v>
      </c>
      <c r="O60" s="4"/>
      <c r="P60" s="4"/>
      <c r="Q60" s="4"/>
    </row>
    <row r="61" spans="1:17" ht="18" customHeight="1" x14ac:dyDescent="0.2">
      <c r="A61" s="17" t="s">
        <v>56</v>
      </c>
      <c r="B61" s="16">
        <f>ENERO!B61+FEBRERO!B61+MARZO!B61+ABRIL!B61+MAYO!B61+JUNIO!B61+JULIO!B61+AGOSTO!B61+SEPTIEMBRE!B61+OCTUBRE!B61+NOVIEMBRE!B61+DICIEMBRE!B61</f>
        <v>11297274279.969999</v>
      </c>
      <c r="C61" s="16">
        <f>ENERO!C61+FEBRERO!C61+MARZO!C61+ABRIL!C61+MAYO!C61+JUNIO!C61+JULIO!C61+AGOSTO!C61+SEPTIEMBRE!C61+OCTUBRE!C61+NOVIEMBRE!C61+DICIEMBRE!C61</f>
        <v>0</v>
      </c>
      <c r="D61" s="16">
        <f>ENERO!D61+FEBRERO!D61+MARZO!D61+ABRIL!D61+MAYO!D61+JUNIO!D61+JULIO!D61+AGOSTO!D61+SEPTIEMBRE!D61+OCTUBRE!D61+NOVIEMBRE!D61+DICIEMBRE!D61</f>
        <v>159136389.6573422</v>
      </c>
      <c r="E61" s="16">
        <f>ENERO!E61+FEBRERO!E61+MARZO!E61+ABRIL!E61+MAYO!E61+JUNIO!E61+JULIO!E61+AGOSTO!E61+SEPTIEMBRE!E61+OCTUBRE!E61+NOVIEMBRE!E61+DICIEMBRE!E61</f>
        <v>140278393.50999999</v>
      </c>
      <c r="F61" s="16">
        <f>ENERO!F61+FEBRERO!F61+MARZO!F61+ABRIL!F61+MAYO!F61+JUNIO!F61+JULIO!F61+AGOSTO!F61+SEPTIEMBRE!F61+OCTUBRE!F61+NOVIEMBRE!F61+DICIEMBRE!F61</f>
        <v>202615434.58000001</v>
      </c>
      <c r="G61" s="16">
        <f>ENERO!G61+FEBRERO!G61+MARZO!G61+ABRIL!G61+MAYO!G61+JUNIO!G61+JULIO!G61+AGOSTO!G61+SEPTIEMBRE!G61+OCTUBRE!G61+NOVIEMBRE!G61+DICIEMBRE!G61</f>
        <v>41392914.92025353</v>
      </c>
      <c r="H61" s="16">
        <f>ENERO!H61+FEBRERO!H61+MARZO!H61+ABRIL!H61+MAYO!H61+JUNIO!H61+JULIO!H61+AGOSTO!H61+SEPTIEMBRE!H61+OCTUBRE!H61+NOVIEMBRE!H61+DICIEMBRE!H61</f>
        <v>649711934.75</v>
      </c>
      <c r="I61" s="16">
        <f>ENERO!I61+FEBRERO!I61+MARZO!I61+ABRIL!I61+MAYO!I61+JUNIO!I61+JULIO!I61+AGOSTO!I61+SEPTIEMBRE!I61+OCTUBRE!I61+NOVIEMBRE!I61+DICIEMBRE!I61</f>
        <v>544434660.60000002</v>
      </c>
      <c r="J61" s="16">
        <f>ENERO!J61+FEBRERO!J61+MARZO!J61+ABRIL!J61+MAYO!J61+JUNIO!J61+JULIO!J61+AGOSTO!J61+SEPTIEMBRE!J61+OCTUBRE!J61+NOVIEMBRE!J61+DICIEMBRE!J61</f>
        <v>2508180269.4000006</v>
      </c>
      <c r="K61" s="16">
        <f>ENERO!K61+FEBRERO!K61+MARZO!K61+ABRIL!K61+MAYO!K61+JUNIO!K61+JULIO!K61+AGOSTO!K61+SEPTIEMBRE!K61+OCTUBRE!K61+NOVIEMBRE!K61+DICIEMBRE!K61</f>
        <v>124842267.46394628</v>
      </c>
      <c r="L61" s="16"/>
      <c r="M61" s="16"/>
      <c r="N61" s="18">
        <f t="shared" si="1"/>
        <v>15667866544.851542</v>
      </c>
      <c r="O61" s="4"/>
      <c r="P61" s="4"/>
      <c r="Q61" s="4"/>
    </row>
    <row r="62" spans="1:17" ht="18" customHeight="1" x14ac:dyDescent="0.2">
      <c r="A62" s="17" t="s">
        <v>57</v>
      </c>
      <c r="B62" s="16">
        <f>ENERO!B62+FEBRERO!B62+MARZO!B62+ABRIL!B62+MAYO!B62+JUNIO!B62+JULIO!B62+AGOSTO!B62+SEPTIEMBRE!B62+OCTUBRE!B62+NOVIEMBRE!B62+DICIEMBRE!B62</f>
        <v>47349189824.130005</v>
      </c>
      <c r="C62" s="16">
        <f>ENERO!C62+FEBRERO!C62+MARZO!C62+ABRIL!C62+MAYO!C62+JUNIO!C62+JULIO!C62+AGOSTO!C62+SEPTIEMBRE!C62+OCTUBRE!C62+NOVIEMBRE!C62+DICIEMBRE!C62</f>
        <v>0</v>
      </c>
      <c r="D62" s="16">
        <f>ENERO!D62+FEBRERO!D62+MARZO!D62+ABRIL!D62+MAYO!D62+JUNIO!D62+JULIO!D62+AGOSTO!D62+SEPTIEMBRE!D62+OCTUBRE!D62+NOVIEMBRE!D62+DICIEMBRE!D62</f>
        <v>429550926.74000001</v>
      </c>
      <c r="E62" s="16">
        <f>ENERO!E62+FEBRERO!E62+MARZO!E62+ABRIL!E62+MAYO!E62+JUNIO!E62+JULIO!E62+AGOSTO!E62+SEPTIEMBRE!E62+OCTUBRE!E62+NOVIEMBRE!E62+DICIEMBRE!E62</f>
        <v>733658067.23000002</v>
      </c>
      <c r="F62" s="16">
        <f>ENERO!F62+FEBRERO!F62+MARZO!F62+ABRIL!F62+MAYO!F62+JUNIO!F62+JULIO!F62+AGOSTO!F62+SEPTIEMBRE!F62+OCTUBRE!F62+NOVIEMBRE!F62+DICIEMBRE!F62</f>
        <v>908502574.13</v>
      </c>
      <c r="G62" s="16">
        <f>ENERO!G62+FEBRERO!G62+MARZO!G62+ABRIL!G62+MAYO!G62+JUNIO!G62+JULIO!G62+AGOSTO!G62+SEPTIEMBRE!G62+OCTUBRE!G62+NOVIEMBRE!G62+DICIEMBRE!G62</f>
        <v>0</v>
      </c>
      <c r="H62" s="16">
        <f>ENERO!H62+FEBRERO!H62+MARZO!H62+ABRIL!H62+MAYO!H62+JUNIO!H62+JULIO!H62+AGOSTO!H62+SEPTIEMBRE!H62+OCTUBRE!H62+NOVIEMBRE!H62+DICIEMBRE!H62</f>
        <v>2770860786.8699994</v>
      </c>
      <c r="I62" s="16">
        <f>ENERO!I62+FEBRERO!I62+MARZO!I62+ABRIL!I62+MAYO!I62+JUNIO!I62+JULIO!I62+AGOSTO!I62+SEPTIEMBRE!I62+OCTUBRE!I62+NOVIEMBRE!I62+DICIEMBRE!I62</f>
        <v>2441177749.2200003</v>
      </c>
      <c r="J62" s="16">
        <f>ENERO!J62+FEBRERO!J62+MARZO!J62+ABRIL!J62+MAYO!J62+JUNIO!J62+JULIO!J62+AGOSTO!J62+SEPTIEMBRE!J62+OCTUBRE!J62+NOVIEMBRE!J62+DICIEMBRE!J62</f>
        <v>4987694258.5500002</v>
      </c>
      <c r="K62" s="16">
        <f>ENERO!K62+FEBRERO!K62+MARZO!K62+ABRIL!K62+MAYO!K62+JUNIO!K62+JULIO!K62+AGOSTO!K62+SEPTIEMBRE!K62+OCTUBRE!K62+NOVIEMBRE!K62+DICIEMBRE!K62</f>
        <v>580655168.84784985</v>
      </c>
      <c r="L62" s="16"/>
      <c r="M62" s="16"/>
      <c r="N62" s="18">
        <f t="shared" si="1"/>
        <v>60201289355.717857</v>
      </c>
      <c r="O62" s="4"/>
      <c r="P62" s="4"/>
      <c r="Q62" s="4"/>
    </row>
    <row r="63" spans="1:17" ht="18" customHeight="1" x14ac:dyDescent="0.2">
      <c r="A63" s="17" t="s">
        <v>58</v>
      </c>
      <c r="B63" s="16">
        <f>ENERO!B63+FEBRERO!B63+MARZO!B63+ABRIL!B63+MAYO!B63+JUNIO!B63+JULIO!B63+AGOSTO!B63+SEPTIEMBRE!B63+OCTUBRE!B63+NOVIEMBRE!B63+DICIEMBRE!B63</f>
        <v>8363473727.5200005</v>
      </c>
      <c r="C63" s="16">
        <f>ENERO!C63+FEBRERO!C63+MARZO!C63+ABRIL!C63+MAYO!C63+JUNIO!C63+JULIO!C63+AGOSTO!C63+SEPTIEMBRE!C63+OCTUBRE!C63+NOVIEMBRE!C63+DICIEMBRE!C63</f>
        <v>0</v>
      </c>
      <c r="D63" s="16">
        <f>ENERO!D63+FEBRERO!D63+MARZO!D63+ABRIL!D63+MAYO!D63+JUNIO!D63+JULIO!D63+AGOSTO!D63+SEPTIEMBRE!D63+OCTUBRE!D63+NOVIEMBRE!D63+DICIEMBRE!D63</f>
        <v>434134302.29276466</v>
      </c>
      <c r="E63" s="16">
        <f>ENERO!E63+FEBRERO!E63+MARZO!E63+ABRIL!E63+MAYO!E63+JUNIO!E63+JULIO!E63+AGOSTO!E63+SEPTIEMBRE!E63+OCTUBRE!E63+NOVIEMBRE!E63+DICIEMBRE!E63</f>
        <v>108471898.51000001</v>
      </c>
      <c r="F63" s="16">
        <f>ENERO!F63+FEBRERO!F63+MARZO!F63+ABRIL!F63+MAYO!F63+JUNIO!F63+JULIO!F63+AGOSTO!F63+SEPTIEMBRE!F63+OCTUBRE!F63+NOVIEMBRE!F63+DICIEMBRE!F63</f>
        <v>32015439.490000002</v>
      </c>
      <c r="G63" s="16">
        <f>ENERO!G63+FEBRERO!G63+MARZO!G63+ABRIL!G63+MAYO!G63+JUNIO!G63+JULIO!G63+AGOSTO!G63+SEPTIEMBRE!G63+OCTUBRE!G63+NOVIEMBRE!G63+DICIEMBRE!G63</f>
        <v>15438791.000000002</v>
      </c>
      <c r="H63" s="16">
        <f>ENERO!H63+FEBRERO!H63+MARZO!H63+ABRIL!H63+MAYO!H63+JUNIO!H63+JULIO!H63+AGOSTO!H63+SEPTIEMBRE!H63+OCTUBRE!H63+NOVIEMBRE!H63+DICIEMBRE!H63</f>
        <v>489172677.69000006</v>
      </c>
      <c r="I63" s="16">
        <f>ENERO!I63+FEBRERO!I63+MARZO!I63+ABRIL!I63+MAYO!I63+JUNIO!I63+JULIO!I63+AGOSTO!I63+SEPTIEMBRE!I63+OCTUBRE!I63+NOVIEMBRE!I63+DICIEMBRE!I63</f>
        <v>86026590.129999995</v>
      </c>
      <c r="J63" s="16">
        <f>ENERO!J63+FEBRERO!J63+MARZO!J63+ABRIL!J63+MAYO!J63+JUNIO!J63+JULIO!J63+AGOSTO!J63+SEPTIEMBRE!J63+OCTUBRE!J63+NOVIEMBRE!J63+DICIEMBRE!J63</f>
        <v>669308019.9000001</v>
      </c>
      <c r="K63" s="16">
        <f>ENERO!K63+FEBRERO!K63+MARZO!K63+ABRIL!K63+MAYO!K63+JUNIO!K63+JULIO!K63+AGOSTO!K63+SEPTIEMBRE!K63+OCTUBRE!K63+NOVIEMBRE!K63+DICIEMBRE!K63</f>
        <v>102256573.56746463</v>
      </c>
      <c r="L63" s="16"/>
      <c r="M63" s="16"/>
      <c r="N63" s="18">
        <f t="shared" si="1"/>
        <v>10300298020.100229</v>
      </c>
      <c r="O63" s="4"/>
      <c r="P63" s="4"/>
      <c r="Q63" s="4"/>
    </row>
    <row r="64" spans="1:17" ht="18" customHeight="1" x14ac:dyDescent="0.2">
      <c r="A64" s="17" t="s">
        <v>59</v>
      </c>
      <c r="B64" s="16">
        <f>ENERO!B64+FEBRERO!B64+MARZO!B64+ABRIL!B64+MAYO!B64+JUNIO!B64+JULIO!B64+AGOSTO!B64+SEPTIEMBRE!B64+OCTUBRE!B64+NOVIEMBRE!B64+DICIEMBRE!B64</f>
        <v>13993432977.790001</v>
      </c>
      <c r="C64" s="16">
        <f>ENERO!C64+FEBRERO!C64+MARZO!C64+ABRIL!C64+MAYO!C64+JUNIO!C64+JULIO!C64+AGOSTO!C64+SEPTIEMBRE!C64+OCTUBRE!C64+NOVIEMBRE!C64+DICIEMBRE!C64</f>
        <v>0</v>
      </c>
      <c r="D64" s="16">
        <f>ENERO!D64+FEBRERO!D64+MARZO!D64+ABRIL!D64+MAYO!D64+JUNIO!D64+JULIO!D64+AGOSTO!D64+SEPTIEMBRE!D64+OCTUBRE!D64+NOVIEMBRE!D64+DICIEMBRE!D64</f>
        <v>1405331030.2550328</v>
      </c>
      <c r="E64" s="16">
        <f>ENERO!E64+FEBRERO!E64+MARZO!E64+ABRIL!E64+MAYO!E64+JUNIO!E64+JULIO!E64+AGOSTO!E64+SEPTIEMBRE!E64+OCTUBRE!E64+NOVIEMBRE!E64+DICIEMBRE!E64</f>
        <v>177496054.14999998</v>
      </c>
      <c r="F64" s="16">
        <f>ENERO!F64+FEBRERO!F64+MARZO!F64+ABRIL!F64+MAYO!F64+JUNIO!F64+JULIO!F64+AGOSTO!F64+SEPTIEMBRE!F64+OCTUBRE!F64+NOVIEMBRE!F64+DICIEMBRE!F64</f>
        <v>58597539.099999994</v>
      </c>
      <c r="G64" s="16">
        <f>ENERO!G64+FEBRERO!G64+MARZO!G64+ABRIL!G64+MAYO!G64+JUNIO!G64+JULIO!G64+AGOSTO!G64+SEPTIEMBRE!G64+OCTUBRE!G64+NOVIEMBRE!G64+DICIEMBRE!G64</f>
        <v>24055790.639999997</v>
      </c>
      <c r="H64" s="16">
        <f>ENERO!H64+FEBRERO!H64+MARZO!H64+ABRIL!H64+MAYO!H64+JUNIO!H64+JULIO!H64+AGOSTO!H64+SEPTIEMBRE!H64+OCTUBRE!H64+NOVIEMBRE!H64+DICIEMBRE!H64</f>
        <v>808695687.60000014</v>
      </c>
      <c r="I64" s="16">
        <f>ENERO!I64+FEBRERO!I64+MARZO!I64+ABRIL!I64+MAYO!I64+JUNIO!I64+JULIO!I64+AGOSTO!I64+SEPTIEMBRE!I64+OCTUBRE!I64+NOVIEMBRE!I64+DICIEMBRE!I64</f>
        <v>157453608.57999998</v>
      </c>
      <c r="J64" s="16">
        <f>ENERO!J64+FEBRERO!J64+MARZO!J64+ABRIL!J64+MAYO!J64+JUNIO!J64+JULIO!J64+AGOSTO!J64+SEPTIEMBRE!J64+OCTUBRE!J64+NOVIEMBRE!J64+DICIEMBRE!J64</f>
        <v>1418840974.6200004</v>
      </c>
      <c r="K64" s="16">
        <f>ENERO!K64+FEBRERO!K64+MARZO!K64+ABRIL!K64+MAYO!K64+JUNIO!K64+JULIO!K64+AGOSTO!K64+SEPTIEMBRE!K64+OCTUBRE!K64+NOVIEMBRE!K64+DICIEMBRE!K64</f>
        <v>159354203.25044888</v>
      </c>
      <c r="L64" s="16"/>
      <c r="M64" s="16"/>
      <c r="N64" s="18">
        <f t="shared" si="1"/>
        <v>18203257865.985485</v>
      </c>
      <c r="O64" s="4"/>
      <c r="P64" s="4"/>
      <c r="Q64" s="4"/>
    </row>
    <row r="65" spans="1:17" ht="18" customHeight="1" x14ac:dyDescent="0.2">
      <c r="A65" s="17" t="s">
        <v>60</v>
      </c>
      <c r="B65" s="16">
        <f>ENERO!B65+FEBRERO!B65+MARZO!B65+ABRIL!B65+MAYO!B65+JUNIO!B65+JULIO!B65+AGOSTO!B65+SEPTIEMBRE!B65+OCTUBRE!B65+NOVIEMBRE!B65+DICIEMBRE!B65</f>
        <v>7180540694.1700001</v>
      </c>
      <c r="C65" s="16">
        <f>ENERO!C65+FEBRERO!C65+MARZO!C65+ABRIL!C65+MAYO!C65+JUNIO!C65+JULIO!C65+AGOSTO!C65+SEPTIEMBRE!C65+OCTUBRE!C65+NOVIEMBRE!C65+DICIEMBRE!C65</f>
        <v>0</v>
      </c>
      <c r="D65" s="16">
        <f>ENERO!D65+FEBRERO!D65+MARZO!D65+ABRIL!D65+MAYO!D65+JUNIO!D65+JULIO!D65+AGOSTO!D65+SEPTIEMBRE!D65+OCTUBRE!D65+NOVIEMBRE!D65+DICIEMBRE!D65</f>
        <v>388363473.85730636</v>
      </c>
      <c r="E65" s="16">
        <f>ENERO!E65+FEBRERO!E65+MARZO!E65+ABRIL!E65+MAYO!E65+JUNIO!E65+JULIO!E65+AGOSTO!E65+SEPTIEMBRE!E65+OCTUBRE!E65+NOVIEMBRE!E65+DICIEMBRE!E65</f>
        <v>89880397.629999995</v>
      </c>
      <c r="F65" s="16">
        <f>ENERO!F65+FEBRERO!F65+MARZO!F65+ABRIL!F65+MAYO!F65+JUNIO!F65+JULIO!F65+AGOSTO!F65+SEPTIEMBRE!F65+OCTUBRE!F65+NOVIEMBRE!F65+DICIEMBRE!F65</f>
        <v>12758032.25</v>
      </c>
      <c r="G65" s="16">
        <f>ENERO!G65+FEBRERO!G65+MARZO!G65+ABRIL!G65+MAYO!G65+JUNIO!G65+JULIO!G65+AGOSTO!G65+SEPTIEMBRE!G65+OCTUBRE!G65+NOVIEMBRE!G65+DICIEMBRE!G65</f>
        <v>8018596.8799999999</v>
      </c>
      <c r="H65" s="16">
        <f>ENERO!H65+FEBRERO!H65+MARZO!H65+ABRIL!H65+MAYO!H65+JUNIO!H65+JULIO!H65+AGOSTO!H65+SEPTIEMBRE!H65+OCTUBRE!H65+NOVIEMBRE!H65+DICIEMBRE!H65</f>
        <v>416453040.12</v>
      </c>
      <c r="I65" s="16">
        <f>ENERO!I65+FEBRERO!I65+MARZO!I65+ABRIL!I65+MAYO!I65+JUNIO!I65+JULIO!I65+AGOSTO!I65+SEPTIEMBRE!I65+OCTUBRE!I65+NOVIEMBRE!I65+DICIEMBRE!I65</f>
        <v>34281272.75</v>
      </c>
      <c r="J65" s="16">
        <f>ENERO!J65+FEBRERO!J65+MARZO!J65+ABRIL!J65+MAYO!J65+JUNIO!J65+JULIO!J65+AGOSTO!J65+SEPTIEMBRE!J65+OCTUBRE!J65+NOVIEMBRE!J65+DICIEMBRE!J65</f>
        <v>846281283.24999988</v>
      </c>
      <c r="K65" s="16">
        <f>ENERO!K65+FEBRERO!K65+MARZO!K65+ABRIL!K65+MAYO!K65+JUNIO!K65+JULIO!K65+AGOSTO!K65+SEPTIEMBRE!K65+OCTUBRE!K65+NOVIEMBRE!K65+DICIEMBRE!K65</f>
        <v>83550890.335954323</v>
      </c>
      <c r="L65" s="16"/>
      <c r="M65" s="16"/>
      <c r="N65" s="18">
        <f t="shared" si="1"/>
        <v>9060127681.2432613</v>
      </c>
      <c r="O65" s="4"/>
      <c r="P65" s="4"/>
      <c r="Q65" s="4"/>
    </row>
    <row r="66" spans="1:17" ht="18" customHeight="1" x14ac:dyDescent="0.2">
      <c r="A66" s="17" t="s">
        <v>61</v>
      </c>
      <c r="B66" s="16">
        <f>ENERO!B66+FEBRERO!B66+MARZO!B66+ABRIL!B66+MAYO!B66+JUNIO!B66+JULIO!B66+AGOSTO!B66+SEPTIEMBRE!B66+OCTUBRE!B66+NOVIEMBRE!B66+DICIEMBRE!B66</f>
        <v>3811344807.4899998</v>
      </c>
      <c r="C66" s="16">
        <f>ENERO!C66+FEBRERO!C66+MARZO!C66+ABRIL!C66+MAYO!C66+JUNIO!C66+JULIO!C66+AGOSTO!C66+SEPTIEMBRE!C66+OCTUBRE!C66+NOVIEMBRE!C66+DICIEMBRE!C66</f>
        <v>0</v>
      </c>
      <c r="D66" s="16">
        <f>ENERO!D66+FEBRERO!D66+MARZO!D66+ABRIL!D66+MAYO!D66+JUNIO!D66+JULIO!D66+AGOSTO!D66+SEPTIEMBRE!D66+OCTUBRE!D66+NOVIEMBRE!D66+DICIEMBRE!D66</f>
        <v>253634204.69543216</v>
      </c>
      <c r="E66" s="16">
        <f>ENERO!E66+FEBRERO!E66+MARZO!E66+ABRIL!E66+MAYO!E66+JUNIO!E66+JULIO!E66+AGOSTO!E66+SEPTIEMBRE!E66+OCTUBRE!E66+NOVIEMBRE!E66+DICIEMBRE!E66</f>
        <v>49524036.720000006</v>
      </c>
      <c r="F66" s="16">
        <f>ENERO!F66+FEBRERO!F66+MARZO!F66+ABRIL!F66+MAYO!F66+JUNIO!F66+JULIO!F66+AGOSTO!F66+SEPTIEMBRE!F66+OCTUBRE!F66+NOVIEMBRE!F66+DICIEMBRE!F66</f>
        <v>12482926.459999999</v>
      </c>
      <c r="G66" s="16">
        <f>ENERO!G66+FEBRERO!G66+MARZO!G66+ABRIL!G66+MAYO!G66+JUNIO!G66+JULIO!G66+AGOSTO!G66+SEPTIEMBRE!G66+OCTUBRE!G66+NOVIEMBRE!G66+DICIEMBRE!G66</f>
        <v>7300513.580000001</v>
      </c>
      <c r="H66" s="16">
        <f>ENERO!H66+FEBRERO!H66+MARZO!H66+ABRIL!H66+MAYO!H66+JUNIO!H66+JULIO!H66+AGOSTO!H66+SEPTIEMBRE!H66+OCTUBRE!H66+NOVIEMBRE!H66+DICIEMBRE!H66</f>
        <v>222964076.87</v>
      </c>
      <c r="I66" s="16">
        <f>ENERO!I66+FEBRERO!I66+MARZO!I66+ABRIL!I66+MAYO!I66+JUNIO!I66+JULIO!I66+AGOSTO!I66+SEPTIEMBRE!I66+OCTUBRE!I66+NOVIEMBRE!I66+DICIEMBRE!I66</f>
        <v>33542053.950000003</v>
      </c>
      <c r="J66" s="16">
        <f>ENERO!J66+FEBRERO!J66+MARZO!J66+ABRIL!J66+MAYO!J66+JUNIO!J66+JULIO!J66+AGOSTO!J66+SEPTIEMBRE!J66+OCTUBRE!J66+NOVIEMBRE!J66+DICIEMBRE!J66</f>
        <v>375666440.20000011</v>
      </c>
      <c r="K66" s="16">
        <f>ENERO!K66+FEBRERO!K66+MARZO!K66+ABRIL!K66+MAYO!K66+JUNIO!K66+JULIO!K66+AGOSTO!K66+SEPTIEMBRE!K66+OCTUBRE!K66+NOVIEMBRE!K66+DICIEMBRE!K66</f>
        <v>46649724.120733008</v>
      </c>
      <c r="L66" s="16"/>
      <c r="M66" s="16"/>
      <c r="N66" s="18">
        <f t="shared" si="1"/>
        <v>4813108784.0861645</v>
      </c>
      <c r="O66" s="4"/>
      <c r="P66" s="4"/>
      <c r="Q66" s="4"/>
    </row>
    <row r="67" spans="1:17" ht="18" customHeight="1" x14ac:dyDescent="0.2">
      <c r="A67" s="17" t="s">
        <v>62</v>
      </c>
      <c r="B67" s="16">
        <f>ENERO!B67+FEBRERO!B67+MARZO!B67+ABRIL!B67+MAYO!B67+JUNIO!B67+JULIO!B67+AGOSTO!B67+SEPTIEMBRE!B67+OCTUBRE!B67+NOVIEMBRE!B67+DICIEMBRE!B67</f>
        <v>17569457476.880001</v>
      </c>
      <c r="C67" s="16">
        <f>ENERO!C67+FEBRERO!C67+MARZO!C67+ABRIL!C67+MAYO!C67+JUNIO!C67+JULIO!C67+AGOSTO!C67+SEPTIEMBRE!C67+OCTUBRE!C67+NOVIEMBRE!C67+DICIEMBRE!C67</f>
        <v>0</v>
      </c>
      <c r="D67" s="16">
        <f>ENERO!D67+FEBRERO!D67+MARZO!D67+ABRIL!D67+MAYO!D67+JUNIO!D67+JULIO!D67+AGOSTO!D67+SEPTIEMBRE!D67+OCTUBRE!D67+NOVIEMBRE!D67+DICIEMBRE!D67</f>
        <v>133888768.08000001</v>
      </c>
      <c r="E67" s="16">
        <f>ENERO!E67+FEBRERO!E67+MARZO!E67+ABRIL!E67+MAYO!E67+JUNIO!E67+JULIO!E67+AGOSTO!E67+SEPTIEMBRE!E67+OCTUBRE!E67+NOVIEMBRE!E67+DICIEMBRE!E67</f>
        <v>262221175.70999998</v>
      </c>
      <c r="F67" s="16">
        <f>ENERO!F67+FEBRERO!F67+MARZO!F67+ABRIL!F67+MAYO!F67+JUNIO!F67+JULIO!F67+AGOSTO!F67+SEPTIEMBRE!F67+OCTUBRE!F67+NOVIEMBRE!F67+DICIEMBRE!F67</f>
        <v>335422767.98000002</v>
      </c>
      <c r="G67" s="16">
        <f>ENERO!G67+FEBRERO!G67+MARZO!G67+ABRIL!G67+MAYO!G67+JUNIO!G67+JULIO!G67+AGOSTO!G67+SEPTIEMBRE!G67+OCTUBRE!G67+NOVIEMBRE!G67+DICIEMBRE!G67</f>
        <v>145881497.0842706</v>
      </c>
      <c r="H67" s="16">
        <f>ENERO!H67+FEBRERO!H67+MARZO!H67+ABRIL!H67+MAYO!H67+JUNIO!H67+JULIO!H67+AGOSTO!H67+SEPTIEMBRE!H67+OCTUBRE!H67+NOVIEMBRE!H67+DICIEMBRE!H67</f>
        <v>1023020638.58</v>
      </c>
      <c r="I67" s="16">
        <f>ENERO!I67+FEBRERO!I67+MARZO!I67+ABRIL!I67+MAYO!I67+JUNIO!I67+JULIO!I67+AGOSTO!I67+SEPTIEMBRE!I67+OCTUBRE!I67+NOVIEMBRE!I67+DICIEMBRE!I67</f>
        <v>901292545.74000001</v>
      </c>
      <c r="J67" s="16">
        <f>ENERO!J67+FEBRERO!J67+MARZO!J67+ABRIL!J67+MAYO!J67+JUNIO!J67+JULIO!J67+AGOSTO!J67+SEPTIEMBRE!J67+OCTUBRE!J67+NOVIEMBRE!J67+DICIEMBRE!J67</f>
        <v>2420458091.4299994</v>
      </c>
      <c r="K67" s="16">
        <f>ENERO!K67+FEBRERO!K67+MARZO!K67+ABRIL!K67+MAYO!K67+JUNIO!K67+JULIO!K67+AGOSTO!K67+SEPTIEMBRE!K67+OCTUBRE!K67+NOVIEMBRE!K67+DICIEMBRE!K67</f>
        <v>209284141.64727697</v>
      </c>
      <c r="L67" s="16"/>
      <c r="M67" s="16"/>
      <c r="N67" s="18">
        <f t="shared" si="1"/>
        <v>23000927103.131554</v>
      </c>
      <c r="O67" s="4"/>
      <c r="P67" s="4"/>
      <c r="Q67" s="4"/>
    </row>
    <row r="68" spans="1:17" ht="18" customHeight="1" x14ac:dyDescent="0.2">
      <c r="A68" s="17" t="s">
        <v>63</v>
      </c>
      <c r="B68" s="16">
        <f>ENERO!B68+FEBRERO!B68+MARZO!B68+ABRIL!B68+MAYO!B68+JUNIO!B68+JULIO!B68+AGOSTO!B68+SEPTIEMBRE!B68+OCTUBRE!B68+NOVIEMBRE!B68+DICIEMBRE!B68</f>
        <v>11084958377.870001</v>
      </c>
      <c r="C68" s="16">
        <f>ENERO!C68+FEBRERO!C68+MARZO!C68+ABRIL!C68+MAYO!C68+JUNIO!C68+JULIO!C68+AGOSTO!C68+SEPTIEMBRE!C68+OCTUBRE!C68+NOVIEMBRE!C68+DICIEMBRE!C68</f>
        <v>0</v>
      </c>
      <c r="D68" s="16">
        <f>ENERO!D68+FEBRERO!D68+MARZO!D68+ABRIL!D68+MAYO!D68+JUNIO!D68+JULIO!D68+AGOSTO!D68+SEPTIEMBRE!D68+OCTUBRE!D68+NOVIEMBRE!D68+DICIEMBRE!D68</f>
        <v>170360521.28</v>
      </c>
      <c r="E68" s="16">
        <f>ENERO!E68+FEBRERO!E68+MARZO!E68+ABRIL!E68+MAYO!E68+JUNIO!E68+JULIO!E68+AGOSTO!E68+SEPTIEMBRE!E68+OCTUBRE!E68+NOVIEMBRE!E68+DICIEMBRE!E68</f>
        <v>141811623.93000001</v>
      </c>
      <c r="F68" s="16">
        <f>ENERO!F68+FEBRERO!F68+MARZO!F68+ABRIL!F68+MAYO!F68+JUNIO!F68+JULIO!F68+AGOSTO!F68+SEPTIEMBRE!F68+OCTUBRE!F68+NOVIEMBRE!F68+DICIEMBRE!F68</f>
        <v>295807530.25999999</v>
      </c>
      <c r="G68" s="16">
        <f>ENERO!G68+FEBRERO!G68+MARZO!G68+ABRIL!G68+MAYO!G68+JUNIO!G68+JULIO!G68+AGOSTO!G68+SEPTIEMBRE!G68+OCTUBRE!G68+NOVIEMBRE!G68+DICIEMBRE!G68</f>
        <v>145043106.55617034</v>
      </c>
      <c r="H68" s="16">
        <f>ENERO!H68+FEBRERO!H68+MARZO!H68+ABRIL!H68+MAYO!H68+JUNIO!H68+JULIO!H68+AGOSTO!H68+SEPTIEMBRE!H68+OCTUBRE!H68+NOVIEMBRE!H68+DICIEMBRE!H68</f>
        <v>644506186.25999999</v>
      </c>
      <c r="I68" s="16">
        <f>ENERO!I68+FEBRERO!I68+MARZO!I68+ABRIL!I68+MAYO!I68+JUNIO!I68+JULIO!I68+AGOSTO!I68+SEPTIEMBRE!I68+OCTUBRE!I68+NOVIEMBRE!I68+DICIEMBRE!I68</f>
        <v>794845035.72000003</v>
      </c>
      <c r="J68" s="16">
        <f>ENERO!J68+FEBRERO!J68+MARZO!J68+ABRIL!J68+MAYO!J68+JUNIO!J68+JULIO!J68+AGOSTO!J68+SEPTIEMBRE!J68+OCTUBRE!J68+NOVIEMBRE!J68+DICIEMBRE!J68</f>
        <v>2032799005.2099991</v>
      </c>
      <c r="K68" s="16">
        <f>ENERO!K68+FEBRERO!K68+MARZO!K68+ABRIL!K68+MAYO!K68+JUNIO!K68+JULIO!K68+AGOSTO!K68+SEPTIEMBRE!K68+OCTUBRE!K68+NOVIEMBRE!K68+DICIEMBRE!K68</f>
        <v>130912406.02190977</v>
      </c>
      <c r="L68" s="16"/>
      <c r="M68" s="16"/>
      <c r="N68" s="18">
        <f t="shared" si="1"/>
        <v>15441043793.10808</v>
      </c>
      <c r="O68" s="4"/>
      <c r="P68" s="4"/>
      <c r="Q68" s="4"/>
    </row>
    <row r="69" spans="1:17" ht="18" customHeight="1" x14ac:dyDescent="0.2">
      <c r="A69" s="17" t="s">
        <v>64</v>
      </c>
      <c r="B69" s="16">
        <f>ENERO!B69+FEBRERO!B69+MARZO!B69+ABRIL!B69+MAYO!B69+JUNIO!B69+JULIO!B69+AGOSTO!B69+SEPTIEMBRE!B69+OCTUBRE!B69+NOVIEMBRE!B69+DICIEMBRE!B69</f>
        <v>39616121264.730003</v>
      </c>
      <c r="C69" s="16">
        <f>ENERO!C69+FEBRERO!C69+MARZO!C69+ABRIL!C69+MAYO!C69+JUNIO!C69+JULIO!C69+AGOSTO!C69+SEPTIEMBRE!C69+OCTUBRE!C69+NOVIEMBRE!C69+DICIEMBRE!C69</f>
        <v>0</v>
      </c>
      <c r="D69" s="16">
        <f>ENERO!D69+FEBRERO!D69+MARZO!D69+ABRIL!D69+MAYO!D69+JUNIO!D69+JULIO!D69+AGOSTO!D69+SEPTIEMBRE!D69+OCTUBRE!D69+NOVIEMBRE!D69+DICIEMBRE!D69</f>
        <v>161919135.83492017</v>
      </c>
      <c r="E69" s="16">
        <f>ENERO!E69+FEBRERO!E69+MARZO!E69+ABRIL!E69+MAYO!E69+JUNIO!E69+JULIO!E69+AGOSTO!E69+SEPTIEMBRE!E69+OCTUBRE!E69+NOVIEMBRE!E69+DICIEMBRE!E69</f>
        <v>507078961.97000003</v>
      </c>
      <c r="F69" s="16">
        <f>ENERO!F69+FEBRERO!F69+MARZO!F69+ABRIL!F69+MAYO!F69+JUNIO!F69+JULIO!F69+AGOSTO!F69+SEPTIEMBRE!F69+OCTUBRE!F69+NOVIEMBRE!F69+DICIEMBRE!F69</f>
        <v>873013923.67000008</v>
      </c>
      <c r="G69" s="16">
        <f>ENERO!G69+FEBRERO!G69+MARZO!G69+ABRIL!G69+MAYO!G69+JUNIO!G69+JULIO!G69+AGOSTO!G69+SEPTIEMBRE!G69+OCTUBRE!G69+NOVIEMBRE!G69+DICIEMBRE!G69</f>
        <v>161778997.53574693</v>
      </c>
      <c r="H69" s="16">
        <f>ENERO!H69+FEBRERO!H69+MARZO!H69+ABRIL!H69+MAYO!H69+JUNIO!H69+JULIO!H69+AGOSTO!H69+SEPTIEMBRE!H69+OCTUBRE!H69+NOVIEMBRE!H69+DICIEMBRE!H69</f>
        <v>2303139026.48</v>
      </c>
      <c r="I69" s="16">
        <f>ENERO!I69+FEBRERO!I69+MARZO!I69+ABRIL!I69+MAYO!I69+JUNIO!I69+JULIO!I69+AGOSTO!I69+SEPTIEMBRE!I69+OCTUBRE!I69+NOVIEMBRE!I69+DICIEMBRE!I69</f>
        <v>2345818521.5100002</v>
      </c>
      <c r="J69" s="16">
        <f>ENERO!J69+FEBRERO!J69+MARZO!J69+ABRIL!J69+MAYO!J69+JUNIO!J69+JULIO!J69+AGOSTO!J69+SEPTIEMBRE!J69+OCTUBRE!J69+NOVIEMBRE!J69+DICIEMBRE!J69</f>
        <v>4746939920.0499983</v>
      </c>
      <c r="K69" s="16">
        <f>ENERO!K69+FEBRERO!K69+MARZO!K69+ABRIL!K69+MAYO!K69+JUNIO!K69+JULIO!K69+AGOSTO!K69+SEPTIEMBRE!K69+OCTUBRE!K69+NOVIEMBRE!K69+DICIEMBRE!K69</f>
        <v>467577372.46364665</v>
      </c>
      <c r="L69" s="16"/>
      <c r="M69" s="16"/>
      <c r="N69" s="18">
        <f t="shared" si="1"/>
        <v>51183387124.244316</v>
      </c>
      <c r="O69" s="4"/>
      <c r="P69" s="4"/>
      <c r="Q69" s="4"/>
    </row>
    <row r="70" spans="1:17" ht="18" customHeight="1" x14ac:dyDescent="0.2">
      <c r="A70" s="17" t="s">
        <v>65</v>
      </c>
      <c r="B70" s="16">
        <f>ENERO!B70+FEBRERO!B70+MARZO!B70+ABRIL!B70+MAYO!B70+JUNIO!B70+JULIO!B70+AGOSTO!B70+SEPTIEMBRE!B70+OCTUBRE!B70+NOVIEMBRE!B70+DICIEMBRE!B70</f>
        <v>8235155567.9699993</v>
      </c>
      <c r="C70" s="16">
        <f>ENERO!C70+FEBRERO!C70+MARZO!C70+ABRIL!C70+MAYO!C70+JUNIO!C70+JULIO!C70+AGOSTO!C70+SEPTIEMBRE!C70+OCTUBRE!C70+NOVIEMBRE!C70+DICIEMBRE!C70</f>
        <v>0</v>
      </c>
      <c r="D70" s="16">
        <f>ENERO!D70+FEBRERO!D70+MARZO!D70+ABRIL!D70+MAYO!D70+JUNIO!D70+JULIO!D70+AGOSTO!D70+SEPTIEMBRE!D70+OCTUBRE!D70+NOVIEMBRE!D70+DICIEMBRE!D70</f>
        <v>607285078.64938116</v>
      </c>
      <c r="E70" s="16">
        <f>ENERO!E70+FEBRERO!E70+MARZO!E70+ABRIL!E70+MAYO!E70+JUNIO!E70+JULIO!E70+AGOSTO!E70+SEPTIEMBRE!E70+OCTUBRE!E70+NOVIEMBRE!E70+DICIEMBRE!E70</f>
        <v>106839380.26000001</v>
      </c>
      <c r="F70" s="16">
        <f>ENERO!F70+FEBRERO!F70+MARZO!F70+ABRIL!F70+MAYO!F70+JUNIO!F70+JULIO!F70+AGOSTO!F70+SEPTIEMBRE!F70+OCTUBRE!F70+NOVIEMBRE!F70+DICIEMBRE!F70</f>
        <v>193880824.86000001</v>
      </c>
      <c r="G70" s="16">
        <f>ENERO!G70+FEBRERO!G70+MARZO!G70+ABRIL!G70+MAYO!G70+JUNIO!G70+JULIO!G70+AGOSTO!G70+SEPTIEMBRE!G70+OCTUBRE!G70+NOVIEMBRE!G70+DICIEMBRE!G70</f>
        <v>70850885.849999994</v>
      </c>
      <c r="H70" s="16">
        <f>ENERO!H70+FEBRERO!H70+MARZO!H70+ABRIL!H70+MAYO!H70+JUNIO!H70+JULIO!H70+AGOSTO!H70+SEPTIEMBRE!H70+OCTUBRE!H70+NOVIEMBRE!H70+DICIEMBRE!H70</f>
        <v>478695900.28000003</v>
      </c>
      <c r="I70" s="16">
        <f>ENERO!I70+FEBRERO!I70+MARZO!I70+ABRIL!I70+MAYO!I70+JUNIO!I70+JULIO!I70+AGOSTO!I70+SEPTIEMBRE!I70+OCTUBRE!I70+NOVIEMBRE!I70+DICIEMBRE!I70</f>
        <v>520964463.08000004</v>
      </c>
      <c r="J70" s="16">
        <f>ENERO!J70+FEBRERO!J70+MARZO!J70+ABRIL!J70+MAYO!J70+JUNIO!J70+JULIO!J70+AGOSTO!J70+SEPTIEMBRE!J70+OCTUBRE!J70+NOVIEMBRE!J70+DICIEMBRE!J70</f>
        <v>2017739707.4700007</v>
      </c>
      <c r="K70" s="16">
        <f>ENERO!K70+FEBRERO!K70+MARZO!K70+ABRIL!K70+MAYO!K70+JUNIO!K70+JULIO!K70+AGOSTO!K70+SEPTIEMBRE!K70+OCTUBRE!K70+NOVIEMBRE!K70+DICIEMBRE!K70</f>
        <v>97117239.364022806</v>
      </c>
      <c r="L70" s="16"/>
      <c r="M70" s="16"/>
      <c r="N70" s="18">
        <f t="shared" si="1"/>
        <v>12328529047.783407</v>
      </c>
      <c r="O70" s="4"/>
      <c r="P70" s="4"/>
      <c r="Q70" s="4"/>
    </row>
    <row r="71" spans="1:17" ht="18" customHeight="1" x14ac:dyDescent="0.2">
      <c r="A71" s="17" t="s">
        <v>66</v>
      </c>
      <c r="B71" s="16">
        <f>ENERO!B71+FEBRERO!B71+MARZO!B71+ABRIL!B71+MAYO!B71+JUNIO!B71+JULIO!B71+AGOSTO!B71+SEPTIEMBRE!B71+OCTUBRE!B71+NOVIEMBRE!B71+DICIEMBRE!B71</f>
        <v>32125759750.540001</v>
      </c>
      <c r="C71" s="16">
        <f>ENERO!C71+FEBRERO!C71+MARZO!C71+ABRIL!C71+MAYO!C71+JUNIO!C71+JULIO!C71+AGOSTO!C71+SEPTIEMBRE!C71+OCTUBRE!C71+NOVIEMBRE!C71+DICIEMBRE!C71</f>
        <v>0</v>
      </c>
      <c r="D71" s="16">
        <f>ENERO!D71+FEBRERO!D71+MARZO!D71+ABRIL!D71+MAYO!D71+JUNIO!D71+JULIO!D71+AGOSTO!D71+SEPTIEMBRE!D71+OCTUBRE!D71+NOVIEMBRE!D71+DICIEMBRE!D71</f>
        <v>130107485.48</v>
      </c>
      <c r="E71" s="16">
        <f>ENERO!E71+FEBRERO!E71+MARZO!E71+ABRIL!E71+MAYO!E71+JUNIO!E71+JULIO!E71+AGOSTO!E71+SEPTIEMBRE!E71+OCTUBRE!E71+NOVIEMBRE!E71+DICIEMBRE!E71</f>
        <v>284227703.67000002</v>
      </c>
      <c r="F71" s="16">
        <f>ENERO!F71+FEBRERO!F71+MARZO!F71+ABRIL!F71+MAYO!F71+JUNIO!F71+JULIO!F71+AGOSTO!F71+SEPTIEMBRE!F71+OCTUBRE!F71+NOVIEMBRE!F71+DICIEMBRE!F71</f>
        <v>122078206.5</v>
      </c>
      <c r="G71" s="16">
        <f>ENERO!G71+FEBRERO!G71+MARZO!G71+ABRIL!G71+MAYO!G71+JUNIO!G71+JULIO!G71+AGOSTO!G71+SEPTIEMBRE!G71+OCTUBRE!G71+NOVIEMBRE!G71+DICIEMBRE!G71</f>
        <v>68816316.489999995</v>
      </c>
      <c r="H71" s="16">
        <f>ENERO!H71+FEBRERO!H71+MARZO!H71+ABRIL!H71+MAYO!H71+JUNIO!H71+JULIO!H71+AGOSTO!H71+SEPTIEMBRE!H71+OCTUBRE!H71+NOVIEMBRE!H71+DICIEMBRE!H71</f>
        <v>1867013499.0599999</v>
      </c>
      <c r="I71" s="16">
        <f>ENERO!I71+FEBRERO!I71+MARZO!I71+ABRIL!I71+MAYO!I71+JUNIO!I71+JULIO!I71+AGOSTO!I71+SEPTIEMBRE!I71+OCTUBRE!I71+NOVIEMBRE!I71+DICIEMBRE!I71</f>
        <v>328028351.16999996</v>
      </c>
      <c r="J71" s="16">
        <f>ENERO!J71+FEBRERO!J71+MARZO!J71+ABRIL!J71+MAYO!J71+JUNIO!J71+JULIO!J71+AGOSTO!J71+SEPTIEMBRE!J71+OCTUBRE!J71+NOVIEMBRE!J71+DICIEMBRE!J71</f>
        <v>1686343831.8099995</v>
      </c>
      <c r="K71" s="16">
        <f>ENERO!K71+FEBRERO!K71+MARZO!K71+ABRIL!K71+MAYO!K71+JUNIO!K71+JULIO!K71+AGOSTO!K71+SEPTIEMBRE!K71+OCTUBRE!K71+NOVIEMBRE!K71+DICIEMBRE!K71</f>
        <v>378374458.89475453</v>
      </c>
      <c r="L71" s="16"/>
      <c r="M71" s="16"/>
      <c r="N71" s="18">
        <f t="shared" si="1"/>
        <v>36990749603.614746</v>
      </c>
      <c r="O71" s="4"/>
      <c r="P71" s="4"/>
      <c r="Q71" s="4"/>
    </row>
    <row r="72" spans="1:17" ht="18" customHeight="1" x14ac:dyDescent="0.2">
      <c r="A72" s="17" t="s">
        <v>67</v>
      </c>
      <c r="B72" s="16">
        <f>ENERO!B72+FEBRERO!B72+MARZO!B72+ABRIL!B72+MAYO!B72+JUNIO!B72+JULIO!B72+AGOSTO!B72+SEPTIEMBRE!B72+OCTUBRE!B72+NOVIEMBRE!B72+DICIEMBRE!B72</f>
        <v>138935220955.57001</v>
      </c>
      <c r="C72" s="16">
        <f>ENERO!C72+FEBRERO!C72+MARZO!C72+ABRIL!C72+MAYO!C72+JUNIO!C72+JULIO!C72+AGOSTO!C72+SEPTIEMBRE!C72+OCTUBRE!C72+NOVIEMBRE!C72+DICIEMBRE!C72</f>
        <v>0</v>
      </c>
      <c r="D72" s="16">
        <f>ENERO!D72+FEBRERO!D72+MARZO!D72+ABRIL!D72+MAYO!D72+JUNIO!D72+JULIO!D72+AGOSTO!D72+SEPTIEMBRE!D72+OCTUBRE!D72+NOVIEMBRE!D72+DICIEMBRE!D72</f>
        <v>793223029.31869304</v>
      </c>
      <c r="E72" s="16">
        <f>ENERO!E72+FEBRERO!E72+MARZO!E72+ABRIL!E72+MAYO!E72+JUNIO!E72+JULIO!E72+AGOSTO!E72+SEPTIEMBRE!E72+OCTUBRE!E72+NOVIEMBRE!E72+DICIEMBRE!E72</f>
        <v>2096373402.6300001</v>
      </c>
      <c r="F72" s="16">
        <f>ENERO!F72+FEBRERO!F72+MARZO!F72+ABRIL!F72+MAYO!F72+JUNIO!F72+JULIO!F72+AGOSTO!F72+SEPTIEMBRE!F72+OCTUBRE!F72+NOVIEMBRE!F72+DICIEMBRE!F72</f>
        <v>3552131931.6900005</v>
      </c>
      <c r="G72" s="16">
        <f>ENERO!G72+FEBRERO!G72+MARZO!G72+ABRIL!G72+MAYO!G72+JUNIO!G72+JULIO!G72+AGOSTO!G72+SEPTIEMBRE!G72+OCTUBRE!G72+NOVIEMBRE!G72+DICIEMBRE!G72</f>
        <v>0</v>
      </c>
      <c r="H72" s="16">
        <f>ENERO!H72+FEBRERO!H72+MARZO!H72+ABRIL!H72+MAYO!H72+JUNIO!H72+JULIO!H72+AGOSTO!H72+SEPTIEMBRE!H72+OCTUBRE!H72+NOVIEMBRE!H72+DICIEMBRE!H72</f>
        <v>8101996549.4499998</v>
      </c>
      <c r="I72" s="16">
        <f>ENERO!I72+FEBRERO!I72+MARZO!I72+ABRIL!I72+MAYO!I72+JUNIO!I72+JULIO!I72+AGOSTO!I72+SEPTIEMBRE!I72+OCTUBRE!I72+NOVIEMBRE!I72+DICIEMBRE!I72</f>
        <v>9544700995.7299995</v>
      </c>
      <c r="J72" s="16">
        <f>ENERO!J72+FEBRERO!J72+MARZO!J72+ABRIL!J72+MAYO!J72+JUNIO!J72+JULIO!J72+AGOSTO!J72+SEPTIEMBRE!J72+OCTUBRE!J72+NOVIEMBRE!J72+DICIEMBRE!J72</f>
        <v>24706581085.539993</v>
      </c>
      <c r="K72" s="16">
        <f>ENERO!K72+FEBRERO!K72+MARZO!K72+ABRIL!K72+MAYO!K72+JUNIO!K72+JULIO!K72+AGOSTO!K72+SEPTIEMBRE!K72+OCTUBRE!K72+NOVIEMBRE!K72+DICIEMBRE!K72</f>
        <v>1669611645.0605175</v>
      </c>
      <c r="L72" s="16"/>
      <c r="M72" s="16"/>
      <c r="N72" s="18">
        <f t="shared" ref="N72:N103" si="2">SUM(B72:M72)</f>
        <v>189399839594.98923</v>
      </c>
      <c r="O72" s="4"/>
      <c r="P72" s="4"/>
      <c r="Q72" s="4"/>
    </row>
    <row r="73" spans="1:17" ht="18" customHeight="1" x14ac:dyDescent="0.2">
      <c r="A73" s="17" t="s">
        <v>68</v>
      </c>
      <c r="B73" s="16">
        <f>ENERO!B73+FEBRERO!B73+MARZO!B73+ABRIL!B73+MAYO!B73+JUNIO!B73+JULIO!B73+AGOSTO!B73+SEPTIEMBRE!B73+OCTUBRE!B73+NOVIEMBRE!B73+DICIEMBRE!B73</f>
        <v>66899136790.410004</v>
      </c>
      <c r="C73" s="16">
        <f>ENERO!C73+FEBRERO!C73+MARZO!C73+ABRIL!C73+MAYO!C73+JUNIO!C73+JULIO!C73+AGOSTO!C73+SEPTIEMBRE!C73+OCTUBRE!C73+NOVIEMBRE!C73+DICIEMBRE!C73</f>
        <v>0</v>
      </c>
      <c r="D73" s="16">
        <f>ENERO!D73+FEBRERO!D73+MARZO!D73+ABRIL!D73+MAYO!D73+JUNIO!D73+JULIO!D73+AGOSTO!D73+SEPTIEMBRE!D73+OCTUBRE!D73+NOVIEMBRE!D73+DICIEMBRE!D73</f>
        <v>1370401850.2702584</v>
      </c>
      <c r="E73" s="16">
        <f>ENERO!E73+FEBRERO!E73+MARZO!E73+ABRIL!E73+MAYO!E73+JUNIO!E73+JULIO!E73+AGOSTO!E73+SEPTIEMBRE!E73+OCTUBRE!E73+NOVIEMBRE!E73+DICIEMBRE!E73</f>
        <v>990328688.15999997</v>
      </c>
      <c r="F73" s="16">
        <f>ENERO!F73+FEBRERO!F73+MARZO!F73+ABRIL!F73+MAYO!F73+JUNIO!F73+JULIO!F73+AGOSTO!F73+SEPTIEMBRE!F73+OCTUBRE!F73+NOVIEMBRE!F73+DICIEMBRE!F73</f>
        <v>1318444630.47</v>
      </c>
      <c r="G73" s="16">
        <f>ENERO!G73+FEBRERO!G73+MARZO!G73+ABRIL!G73+MAYO!G73+JUNIO!G73+JULIO!G73+AGOSTO!G73+SEPTIEMBRE!G73+OCTUBRE!G73+NOVIEMBRE!G73+DICIEMBRE!G73</f>
        <v>638181822.71860254</v>
      </c>
      <c r="H73" s="16">
        <f>ENERO!H73+FEBRERO!H73+MARZO!H73+ABRIL!H73+MAYO!H73+JUNIO!H73+JULIO!H73+AGOSTO!H73+SEPTIEMBRE!H73+OCTUBRE!H73+NOVIEMBRE!H73+DICIEMBRE!H73</f>
        <v>3875424738.4599991</v>
      </c>
      <c r="I73" s="16">
        <f>ENERO!I73+FEBRERO!I73+MARZO!I73+ABRIL!I73+MAYO!I73+JUNIO!I73+JULIO!I73+AGOSTO!I73+SEPTIEMBRE!I73+OCTUBRE!I73+NOVIEMBRE!I73+DICIEMBRE!I73</f>
        <v>3542706192.7200003</v>
      </c>
      <c r="J73" s="16">
        <f>ENERO!J73+FEBRERO!J73+MARZO!J73+ABRIL!J73+MAYO!J73+JUNIO!J73+JULIO!J73+AGOSTO!J73+SEPTIEMBRE!J73+OCTUBRE!J73+NOVIEMBRE!J73+DICIEMBRE!J73</f>
        <v>10762015892.669996</v>
      </c>
      <c r="K73" s="16">
        <f>ENERO!K73+FEBRERO!K73+MARZO!K73+ABRIL!K73+MAYO!K73+JUNIO!K73+JULIO!K73+AGOSTO!K73+SEPTIEMBRE!K73+OCTUBRE!K73+NOVIEMBRE!K73+DICIEMBRE!K73</f>
        <v>772948397.85256147</v>
      </c>
      <c r="L73" s="16"/>
      <c r="M73" s="16"/>
      <c r="N73" s="18">
        <f t="shared" si="2"/>
        <v>90169589003.731415</v>
      </c>
      <c r="O73" s="4"/>
      <c r="P73" s="4"/>
      <c r="Q73" s="4"/>
    </row>
    <row r="74" spans="1:17" ht="18" customHeight="1" x14ac:dyDescent="0.2">
      <c r="A74" s="17" t="s">
        <v>69</v>
      </c>
      <c r="B74" s="16">
        <f>ENERO!B74+FEBRERO!B74+MARZO!B74+ABRIL!B74+MAYO!B74+JUNIO!B74+JULIO!B74+AGOSTO!B74+SEPTIEMBRE!B74+OCTUBRE!B74+NOVIEMBRE!B74+DICIEMBRE!B74</f>
        <v>34573935163.049995</v>
      </c>
      <c r="C74" s="16">
        <f>ENERO!C74+FEBRERO!C74+MARZO!C74+ABRIL!C74+MAYO!C74+JUNIO!C74+JULIO!C74+AGOSTO!C74+SEPTIEMBRE!C74+OCTUBRE!C74+NOVIEMBRE!C74+DICIEMBRE!C74</f>
        <v>0</v>
      </c>
      <c r="D74" s="16">
        <f>ENERO!D74+FEBRERO!D74+MARZO!D74+ABRIL!D74+MAYO!D74+JUNIO!D74+JULIO!D74+AGOSTO!D74+SEPTIEMBRE!D74+OCTUBRE!D74+NOVIEMBRE!D74+DICIEMBRE!D74</f>
        <v>394088527.25999999</v>
      </c>
      <c r="E74" s="16">
        <f>ENERO!E74+FEBRERO!E74+MARZO!E74+ABRIL!E74+MAYO!E74+JUNIO!E74+JULIO!E74+AGOSTO!E74+SEPTIEMBRE!E74+OCTUBRE!E74+NOVIEMBRE!E74+DICIEMBRE!E74</f>
        <v>505110704.88999999</v>
      </c>
      <c r="F74" s="16">
        <f>ENERO!F74+FEBRERO!F74+MARZO!F74+ABRIL!F74+MAYO!F74+JUNIO!F74+JULIO!F74+AGOSTO!F74+SEPTIEMBRE!F74+OCTUBRE!F74+NOVIEMBRE!F74+DICIEMBRE!F74</f>
        <v>957230692.05999994</v>
      </c>
      <c r="G74" s="16">
        <f>ENERO!G74+FEBRERO!G74+MARZO!G74+ABRIL!G74+MAYO!G74+JUNIO!G74+JULIO!G74+AGOSTO!G74+SEPTIEMBRE!G74+OCTUBRE!G74+NOVIEMBRE!G74+DICIEMBRE!G74</f>
        <v>985017352.9030757</v>
      </c>
      <c r="H74" s="16">
        <f>ENERO!H74+FEBRERO!H74+MARZO!H74+ABRIL!H74+MAYO!H74+JUNIO!H74+JULIO!H74+AGOSTO!H74+SEPTIEMBRE!H74+OCTUBRE!H74+NOVIEMBRE!H74+DICIEMBRE!H74</f>
        <v>2005320904.73</v>
      </c>
      <c r="I74" s="16">
        <f>ENERO!I74+FEBRERO!I74+MARZO!I74+ABRIL!I74+MAYO!I74+JUNIO!I74+JULIO!I74+AGOSTO!I74+SEPTIEMBRE!I74+OCTUBRE!I74+NOVIEMBRE!I74+DICIEMBRE!I74</f>
        <v>2572111882.6199999</v>
      </c>
      <c r="J74" s="16">
        <f>ENERO!J74+FEBRERO!J74+MARZO!J74+ABRIL!J74+MAYO!J74+JUNIO!J74+JULIO!J74+AGOSTO!J74+SEPTIEMBRE!J74+OCTUBRE!J74+NOVIEMBRE!J74+DICIEMBRE!J74</f>
        <v>5773267011.8200016</v>
      </c>
      <c r="K74" s="16">
        <f>ENERO!K74+FEBRERO!K74+MARZO!K74+ABRIL!K74+MAYO!K74+JUNIO!K74+JULIO!K74+AGOSTO!K74+SEPTIEMBRE!K74+OCTUBRE!K74+NOVIEMBRE!K74+DICIEMBRE!K74</f>
        <v>402438489.11900598</v>
      </c>
      <c r="L74" s="16"/>
      <c r="M74" s="16"/>
      <c r="N74" s="18">
        <f t="shared" si="2"/>
        <v>48168520728.45208</v>
      </c>
      <c r="O74" s="4"/>
      <c r="P74" s="4"/>
      <c r="Q74" s="4"/>
    </row>
    <row r="75" spans="1:17" ht="18" customHeight="1" x14ac:dyDescent="0.2">
      <c r="A75" s="17" t="s">
        <v>70</v>
      </c>
      <c r="B75" s="16">
        <f>ENERO!B75+FEBRERO!B75+MARZO!B75+ABRIL!B75+MAYO!B75+JUNIO!B75+JULIO!B75+AGOSTO!B75+SEPTIEMBRE!B75+OCTUBRE!B75+NOVIEMBRE!B75+DICIEMBRE!B75</f>
        <v>6015335827.6300001</v>
      </c>
      <c r="C75" s="16">
        <f>ENERO!C75+FEBRERO!C75+MARZO!C75+ABRIL!C75+MAYO!C75+JUNIO!C75+JULIO!C75+AGOSTO!C75+SEPTIEMBRE!C75+OCTUBRE!C75+NOVIEMBRE!C75+DICIEMBRE!C75</f>
        <v>0</v>
      </c>
      <c r="D75" s="16">
        <f>ENERO!D75+FEBRERO!D75+MARZO!D75+ABRIL!D75+MAYO!D75+JUNIO!D75+JULIO!D75+AGOSTO!D75+SEPTIEMBRE!D75+OCTUBRE!D75+NOVIEMBRE!D75+DICIEMBRE!D75</f>
        <v>331284951.10731453</v>
      </c>
      <c r="E75" s="16">
        <f>ENERO!E75+FEBRERO!E75+MARZO!E75+ABRIL!E75+MAYO!E75+JUNIO!E75+JULIO!E75+AGOSTO!E75+SEPTIEMBRE!E75+OCTUBRE!E75+NOVIEMBRE!E75+DICIEMBRE!E75</f>
        <v>74173053.629999995</v>
      </c>
      <c r="F75" s="16">
        <f>ENERO!F75+FEBRERO!F75+MARZO!F75+ABRIL!F75+MAYO!F75+JUNIO!F75+JULIO!F75+AGOSTO!F75+SEPTIEMBRE!F75+OCTUBRE!F75+NOVIEMBRE!F75+DICIEMBRE!F75</f>
        <v>17400442.920000002</v>
      </c>
      <c r="G75" s="16">
        <f>ENERO!G75+FEBRERO!G75+MARZO!G75+ABRIL!G75+MAYO!G75+JUNIO!G75+JULIO!G75+AGOSTO!G75+SEPTIEMBRE!G75+OCTUBRE!G75+NOVIEMBRE!G75+DICIEMBRE!G75</f>
        <v>7898916.3300000001</v>
      </c>
      <c r="H75" s="16">
        <f>ENERO!H75+FEBRERO!H75+MARZO!H75+ABRIL!H75+MAYO!H75+JUNIO!H75+JULIO!H75+AGOSTO!H75+SEPTIEMBRE!H75+OCTUBRE!H75+NOVIEMBRE!H75+DICIEMBRE!H75</f>
        <v>347365486.85000002</v>
      </c>
      <c r="I75" s="16">
        <f>ENERO!I75+FEBRERO!I75+MARZO!I75+ABRIL!I75+MAYO!I75+JUNIO!I75+JULIO!I75+AGOSTO!I75+SEPTIEMBRE!I75+OCTUBRE!I75+NOVIEMBRE!I75+DICIEMBRE!I75</f>
        <v>46755590.340000004</v>
      </c>
      <c r="J75" s="16">
        <f>ENERO!J75+FEBRERO!J75+MARZO!J75+ABRIL!J75+MAYO!J75+JUNIO!J75+JULIO!J75+AGOSTO!J75+SEPTIEMBRE!J75+OCTUBRE!J75+NOVIEMBRE!J75+DICIEMBRE!J75</f>
        <v>650619407.8100003</v>
      </c>
      <c r="K75" s="16">
        <f>ENERO!K75+FEBRERO!K75+MARZO!K75+ABRIL!K75+MAYO!K75+JUNIO!K75+JULIO!K75+AGOSTO!K75+SEPTIEMBRE!K75+OCTUBRE!K75+NOVIEMBRE!K75+DICIEMBRE!K75</f>
        <v>68180174.577863902</v>
      </c>
      <c r="L75" s="16"/>
      <c r="M75" s="16"/>
      <c r="N75" s="18">
        <f t="shared" si="2"/>
        <v>7559013851.195179</v>
      </c>
      <c r="O75" s="4"/>
      <c r="P75" s="4"/>
      <c r="Q75" s="4"/>
    </row>
    <row r="76" spans="1:17" ht="18" customHeight="1" x14ac:dyDescent="0.2">
      <c r="A76" s="17" t="s">
        <v>71</v>
      </c>
      <c r="B76" s="16">
        <f>ENERO!B76+FEBRERO!B76+MARZO!B76+ABRIL!B76+MAYO!B76+JUNIO!B76+JULIO!B76+AGOSTO!B76+SEPTIEMBRE!B76+OCTUBRE!B76+NOVIEMBRE!B76+DICIEMBRE!B76</f>
        <v>5830456374.0299997</v>
      </c>
      <c r="C76" s="16">
        <f>ENERO!C76+FEBRERO!C76+MARZO!C76+ABRIL!C76+MAYO!C76+JUNIO!C76+JULIO!C76+AGOSTO!C76+SEPTIEMBRE!C76+OCTUBRE!C76+NOVIEMBRE!C76+DICIEMBRE!C76</f>
        <v>0</v>
      </c>
      <c r="D76" s="16">
        <f>ENERO!D76+FEBRERO!D76+MARZO!D76+ABRIL!D76+MAYO!D76+JUNIO!D76+JULIO!D76+AGOSTO!D76+SEPTIEMBRE!D76+OCTUBRE!D76+NOVIEMBRE!D76+DICIEMBRE!D76</f>
        <v>477057248.69506043</v>
      </c>
      <c r="E76" s="16">
        <f>ENERO!E76+FEBRERO!E76+MARZO!E76+ABRIL!E76+MAYO!E76+JUNIO!E76+JULIO!E76+AGOSTO!E76+SEPTIEMBRE!E76+OCTUBRE!E76+NOVIEMBRE!E76+DICIEMBRE!E76</f>
        <v>73946546.870000005</v>
      </c>
      <c r="F76" s="16">
        <f>ENERO!F76+FEBRERO!F76+MARZO!F76+ABRIL!F76+MAYO!F76+JUNIO!F76+JULIO!F76+AGOSTO!F76+SEPTIEMBRE!F76+OCTUBRE!F76+NOVIEMBRE!F76+DICIEMBRE!F76</f>
        <v>31327674.940000001</v>
      </c>
      <c r="G76" s="16">
        <f>ENERO!G76+FEBRERO!G76+MARZO!G76+ABRIL!G76+MAYO!G76+JUNIO!G76+JULIO!G76+AGOSTO!G76+SEPTIEMBRE!G76+OCTUBRE!G76+NOVIEMBRE!G76+DICIEMBRE!G76</f>
        <v>18550485.32</v>
      </c>
      <c r="H76" s="16">
        <f>ENERO!H76+FEBRERO!H76+MARZO!H76+ABRIL!H76+MAYO!H76+JUNIO!H76+JULIO!H76+AGOSTO!H76+SEPTIEMBRE!H76+OCTUBRE!H76+NOVIEMBRE!H76+DICIEMBRE!H76</f>
        <v>339000868.53000003</v>
      </c>
      <c r="I76" s="16">
        <f>ENERO!I76+FEBRERO!I76+MARZO!I76+ABRIL!I76+MAYO!I76+JUNIO!I76+JULIO!I76+AGOSTO!I76+SEPTIEMBRE!I76+OCTUBRE!I76+NOVIEMBRE!I76+DICIEMBRE!I76</f>
        <v>84178543.080000013</v>
      </c>
      <c r="J76" s="16">
        <f>ENERO!J76+FEBRERO!J76+MARZO!J76+ABRIL!J76+MAYO!J76+JUNIO!J76+JULIO!J76+AGOSTO!J76+SEPTIEMBRE!J76+OCTUBRE!J76+NOVIEMBRE!J76+DICIEMBRE!J76</f>
        <v>966134088.01999974</v>
      </c>
      <c r="K76" s="16">
        <f>ENERO!K76+FEBRERO!K76+MARZO!K76+ABRIL!K76+MAYO!K76+JUNIO!K76+JULIO!K76+AGOSTO!K76+SEPTIEMBRE!K76+OCTUBRE!K76+NOVIEMBRE!K76+DICIEMBRE!K76</f>
        <v>68862100.76272735</v>
      </c>
      <c r="L76" s="16"/>
      <c r="M76" s="16"/>
      <c r="N76" s="18">
        <f t="shared" si="2"/>
        <v>7889513930.2477865</v>
      </c>
      <c r="O76" s="4"/>
      <c r="P76" s="4"/>
      <c r="Q76" s="4"/>
    </row>
    <row r="77" spans="1:17" ht="18" customHeight="1" x14ac:dyDescent="0.2">
      <c r="A77" s="17" t="s">
        <v>72</v>
      </c>
      <c r="B77" s="16">
        <f>ENERO!B77+FEBRERO!B77+MARZO!B77+ABRIL!B77+MAYO!B77+JUNIO!B77+JULIO!B77+AGOSTO!B77+SEPTIEMBRE!B77+OCTUBRE!B77+NOVIEMBRE!B77+DICIEMBRE!B77</f>
        <v>6218154497.5699997</v>
      </c>
      <c r="C77" s="16">
        <f>ENERO!C77+FEBRERO!C77+MARZO!C77+ABRIL!C77+MAYO!C77+JUNIO!C77+JULIO!C77+AGOSTO!C77+SEPTIEMBRE!C77+OCTUBRE!C77+NOVIEMBRE!C77+DICIEMBRE!C77</f>
        <v>0</v>
      </c>
      <c r="D77" s="16">
        <f>ENERO!D77+FEBRERO!D77+MARZO!D77+ABRIL!D77+MAYO!D77+JUNIO!D77+JULIO!D77+AGOSTO!D77+SEPTIEMBRE!D77+OCTUBRE!D77+NOVIEMBRE!D77+DICIEMBRE!D77</f>
        <v>392186563.50466639</v>
      </c>
      <c r="E77" s="16">
        <f>ENERO!E77+FEBRERO!E77+MARZO!E77+ABRIL!E77+MAYO!E77+JUNIO!E77+JULIO!E77+AGOSTO!E77+SEPTIEMBRE!E77+OCTUBRE!E77+NOVIEMBRE!E77+DICIEMBRE!E77</f>
        <v>81917170.189999998</v>
      </c>
      <c r="F77" s="16">
        <f>ENERO!F77+FEBRERO!F77+MARZO!F77+ABRIL!F77+MAYO!F77+JUNIO!F77+JULIO!F77+AGOSTO!F77+SEPTIEMBRE!F77+OCTUBRE!F77+NOVIEMBRE!F77+DICIEMBRE!F77</f>
        <v>36795403.07</v>
      </c>
      <c r="G77" s="16">
        <f>ENERO!G77+FEBRERO!G77+MARZO!G77+ABRIL!G77+MAYO!G77+JUNIO!G77+JULIO!G77+AGOSTO!G77+SEPTIEMBRE!G77+OCTUBRE!G77+NOVIEMBRE!G77+DICIEMBRE!G77</f>
        <v>11848374.500000002</v>
      </c>
      <c r="H77" s="16">
        <f>ENERO!H77+FEBRERO!H77+MARZO!H77+ABRIL!H77+MAYO!H77+JUNIO!H77+JULIO!H77+AGOSTO!H77+SEPTIEMBRE!H77+OCTUBRE!H77+NOVIEMBRE!H77+DICIEMBRE!H77</f>
        <v>364660479.06</v>
      </c>
      <c r="I77" s="16">
        <f>ENERO!I77+FEBRERO!I77+MARZO!I77+ABRIL!I77+MAYO!I77+JUNIO!I77+JULIO!I77+AGOSTO!I77+SEPTIEMBRE!I77+OCTUBRE!I77+NOVIEMBRE!I77+DICIEMBRE!I77</f>
        <v>98870517.109999999</v>
      </c>
      <c r="J77" s="16">
        <f>ENERO!J77+FEBRERO!J77+MARZO!J77+ABRIL!J77+MAYO!J77+JUNIO!J77+JULIO!J77+AGOSTO!J77+SEPTIEMBRE!J77+OCTUBRE!J77+NOVIEMBRE!J77+DICIEMBRE!J77</f>
        <v>656475801.2900002</v>
      </c>
      <c r="K77" s="16">
        <f>ENERO!K77+FEBRERO!K77+MARZO!K77+ABRIL!K77+MAYO!K77+JUNIO!K77+JULIO!K77+AGOSTO!K77+SEPTIEMBRE!K77+OCTUBRE!K77+NOVIEMBRE!K77+DICIEMBRE!K77</f>
        <v>77187075.537794158</v>
      </c>
      <c r="L77" s="16"/>
      <c r="M77" s="16"/>
      <c r="N77" s="18">
        <f t="shared" si="2"/>
        <v>7938095881.8324594</v>
      </c>
      <c r="O77" s="4"/>
      <c r="P77" s="4"/>
      <c r="Q77" s="4"/>
    </row>
    <row r="78" spans="1:17" ht="18" customHeight="1" x14ac:dyDescent="0.2">
      <c r="A78" s="17" t="s">
        <v>73</v>
      </c>
      <c r="B78" s="16">
        <f>ENERO!B78+FEBRERO!B78+MARZO!B78+ABRIL!B78+MAYO!B78+JUNIO!B78+JULIO!B78+AGOSTO!B78+SEPTIEMBRE!B78+OCTUBRE!B78+NOVIEMBRE!B78+DICIEMBRE!B78</f>
        <v>2452818503.1599998</v>
      </c>
      <c r="C78" s="16">
        <f>ENERO!C78+FEBRERO!C78+MARZO!C78+ABRIL!C78+MAYO!C78+JUNIO!C78+JULIO!C78+AGOSTO!C78+SEPTIEMBRE!C78+OCTUBRE!C78+NOVIEMBRE!C78+DICIEMBRE!C78</f>
        <v>0</v>
      </c>
      <c r="D78" s="16">
        <f>ENERO!D78+FEBRERO!D78+MARZO!D78+ABRIL!D78+MAYO!D78+JUNIO!D78+JULIO!D78+AGOSTO!D78+SEPTIEMBRE!D78+OCTUBRE!D78+NOVIEMBRE!D78+DICIEMBRE!D78</f>
        <v>147807771.27870744</v>
      </c>
      <c r="E78" s="16">
        <f>ENERO!E78+FEBRERO!E78+MARZO!E78+ABRIL!E78+MAYO!E78+JUNIO!E78+JULIO!E78+AGOSTO!E78+SEPTIEMBRE!E78+OCTUBRE!E78+NOVIEMBRE!E78+DICIEMBRE!E78</f>
        <v>31562656.149999999</v>
      </c>
      <c r="F78" s="16">
        <f>ENERO!F78+FEBRERO!F78+MARZO!F78+ABRIL!F78+MAYO!F78+JUNIO!F78+JULIO!F78+AGOSTO!F78+SEPTIEMBRE!F78+OCTUBRE!F78+NOVIEMBRE!F78+DICIEMBRE!F78</f>
        <v>13067526.300000001</v>
      </c>
      <c r="G78" s="16">
        <f>ENERO!G78+FEBRERO!G78+MARZO!G78+ABRIL!G78+MAYO!G78+JUNIO!G78+JULIO!G78+AGOSTO!G78+SEPTIEMBRE!G78+OCTUBRE!G78+NOVIEMBRE!G78+DICIEMBRE!G78</f>
        <v>4188819.2699999996</v>
      </c>
      <c r="H78" s="16">
        <f>ENERO!H78+FEBRERO!H78+MARZO!H78+ABRIL!H78+MAYO!H78+JUNIO!H78+JULIO!H78+AGOSTO!H78+SEPTIEMBRE!H78+OCTUBRE!H78+NOVIEMBRE!H78+DICIEMBRE!H78</f>
        <v>143194282.22999999</v>
      </c>
      <c r="I78" s="16">
        <f>ENERO!I78+FEBRERO!I78+MARZO!I78+ABRIL!I78+MAYO!I78+JUNIO!I78+JULIO!I78+AGOSTO!I78+SEPTIEMBRE!I78+OCTUBRE!I78+NOVIEMBRE!I78+DICIEMBRE!I78</f>
        <v>35112893.919999994</v>
      </c>
      <c r="J78" s="16">
        <f>ENERO!J78+FEBRERO!J78+MARZO!J78+ABRIL!J78+MAYO!J78+JUNIO!J78+JULIO!J78+AGOSTO!J78+SEPTIEMBRE!J78+OCTUBRE!J78+NOVIEMBRE!J78+DICIEMBRE!J78</f>
        <v>281528153.31999993</v>
      </c>
      <c r="K78" s="16">
        <f>ENERO!K78+FEBRERO!K78+MARZO!K78+ABRIL!K78+MAYO!K78+JUNIO!K78+JULIO!K78+AGOSTO!K78+SEPTIEMBRE!K78+OCTUBRE!K78+NOVIEMBRE!K78+DICIEMBRE!K78</f>
        <v>29666277.823257439</v>
      </c>
      <c r="L78" s="16"/>
      <c r="M78" s="16"/>
      <c r="N78" s="18">
        <f t="shared" si="2"/>
        <v>3138946883.4519653</v>
      </c>
      <c r="O78" s="4"/>
      <c r="P78" s="4"/>
      <c r="Q78" s="4"/>
    </row>
    <row r="79" spans="1:17" ht="18" customHeight="1" x14ac:dyDescent="0.2">
      <c r="A79" s="17" t="s">
        <v>74</v>
      </c>
      <c r="B79" s="16">
        <f>ENERO!B79+FEBRERO!B79+MARZO!B79+ABRIL!B79+MAYO!B79+JUNIO!B79+JULIO!B79+AGOSTO!B79+SEPTIEMBRE!B79+OCTUBRE!B79+NOVIEMBRE!B79+DICIEMBRE!B79</f>
        <v>12735155235.610001</v>
      </c>
      <c r="C79" s="16">
        <f>ENERO!C79+FEBRERO!C79+MARZO!C79+ABRIL!C79+MAYO!C79+JUNIO!C79+JULIO!C79+AGOSTO!C79+SEPTIEMBRE!C79+OCTUBRE!C79+NOVIEMBRE!C79+DICIEMBRE!C79</f>
        <v>0</v>
      </c>
      <c r="D79" s="16">
        <f>ENERO!D79+FEBRERO!D79+MARZO!D79+ABRIL!D79+MAYO!D79+JUNIO!D79+JULIO!D79+AGOSTO!D79+SEPTIEMBRE!D79+OCTUBRE!D79+NOVIEMBRE!D79+DICIEMBRE!D79</f>
        <v>1018330388.3871578</v>
      </c>
      <c r="E79" s="16">
        <f>ENERO!E79+FEBRERO!E79+MARZO!E79+ABRIL!E79+MAYO!E79+JUNIO!E79+JULIO!E79+AGOSTO!E79+SEPTIEMBRE!E79+OCTUBRE!E79+NOVIEMBRE!E79+DICIEMBRE!E79</f>
        <v>164096416.92000002</v>
      </c>
      <c r="F79" s="16">
        <f>ENERO!F79+FEBRERO!F79+MARZO!F79+ABRIL!F79+MAYO!F79+JUNIO!F79+JULIO!F79+AGOSTO!F79+SEPTIEMBRE!F79+OCTUBRE!F79+NOVIEMBRE!F79+DICIEMBRE!F79</f>
        <v>65681513.899999999</v>
      </c>
      <c r="G79" s="16">
        <f>ENERO!G79+FEBRERO!G79+MARZO!G79+ABRIL!G79+MAYO!G79+JUNIO!G79+JULIO!G79+AGOSTO!G79+SEPTIEMBRE!G79+OCTUBRE!G79+NOVIEMBRE!G79+DICIEMBRE!G79</f>
        <v>31116943.120000001</v>
      </c>
      <c r="H79" s="16">
        <f>ENERO!H79+FEBRERO!H79+MARZO!H79+ABRIL!H79+MAYO!H79+JUNIO!H79+JULIO!H79+AGOSTO!H79+SEPTIEMBRE!H79+OCTUBRE!H79+NOVIEMBRE!H79+DICIEMBRE!H79</f>
        <v>742330032.0999999</v>
      </c>
      <c r="I79" s="16">
        <f>ENERO!I79+FEBRERO!I79+MARZO!I79+ABRIL!I79+MAYO!I79+JUNIO!I79+JULIO!I79+AGOSTO!I79+SEPTIEMBRE!I79+OCTUBRE!I79+NOVIEMBRE!I79+DICIEMBRE!I79</f>
        <v>176488493.16999999</v>
      </c>
      <c r="J79" s="16">
        <f>ENERO!J79+FEBRERO!J79+MARZO!J79+ABRIL!J79+MAYO!J79+JUNIO!J79+JULIO!J79+AGOSTO!J79+SEPTIEMBRE!J79+OCTUBRE!J79+NOVIEMBRE!J79+DICIEMBRE!J79</f>
        <v>1525051445.0800006</v>
      </c>
      <c r="K79" s="16">
        <f>ENERO!K79+FEBRERO!K79+MARZO!K79+ABRIL!K79+MAYO!K79+JUNIO!K79+JULIO!K79+AGOSTO!K79+SEPTIEMBRE!K79+OCTUBRE!K79+NOVIEMBRE!K79+DICIEMBRE!K79</f>
        <v>152656891.70494673</v>
      </c>
      <c r="L79" s="16"/>
      <c r="M79" s="16"/>
      <c r="N79" s="18">
        <f t="shared" si="2"/>
        <v>16610907359.992105</v>
      </c>
      <c r="O79" s="4"/>
      <c r="P79" s="4"/>
      <c r="Q79" s="4"/>
    </row>
    <row r="80" spans="1:17" ht="18" customHeight="1" x14ac:dyDescent="0.2">
      <c r="A80" s="17" t="s">
        <v>75</v>
      </c>
      <c r="B80" s="16">
        <f>ENERO!B80+FEBRERO!B80+MARZO!B80+ABRIL!B80+MAYO!B80+JUNIO!B80+JULIO!B80+AGOSTO!B80+SEPTIEMBRE!B80+OCTUBRE!B80+NOVIEMBRE!B80+DICIEMBRE!B80</f>
        <v>6989962901.2599983</v>
      </c>
      <c r="C80" s="16">
        <f>ENERO!C80+FEBRERO!C80+MARZO!C80+ABRIL!C80+MAYO!C80+JUNIO!C80+JULIO!C80+AGOSTO!C80+SEPTIEMBRE!C80+OCTUBRE!C80+NOVIEMBRE!C80+DICIEMBRE!C80</f>
        <v>0</v>
      </c>
      <c r="D80" s="16">
        <f>ENERO!D80+FEBRERO!D80+MARZO!D80+ABRIL!D80+MAYO!D80+JUNIO!D80+JULIO!D80+AGOSTO!D80+SEPTIEMBRE!D80+OCTUBRE!D80+NOVIEMBRE!D80+DICIEMBRE!D80</f>
        <v>988624892.3315109</v>
      </c>
      <c r="E80" s="16">
        <f>ENERO!E80+FEBRERO!E80+MARZO!E80+ABRIL!E80+MAYO!E80+JUNIO!E80+JULIO!E80+AGOSTO!E80+SEPTIEMBRE!E80+OCTUBRE!E80+NOVIEMBRE!E80+DICIEMBRE!E80</f>
        <v>87677044.700000003</v>
      </c>
      <c r="F80" s="16">
        <f>ENERO!F80+FEBRERO!F80+MARZO!F80+ABRIL!F80+MAYO!F80+JUNIO!F80+JULIO!F80+AGOSTO!F80+SEPTIEMBRE!F80+OCTUBRE!F80+NOVIEMBRE!F80+DICIEMBRE!F80</f>
        <v>21251924.390000001</v>
      </c>
      <c r="G80" s="16">
        <f>ENERO!G80+FEBRERO!G80+MARZO!G80+ABRIL!G80+MAYO!G80+JUNIO!G80+JULIO!G80+AGOSTO!G80+SEPTIEMBRE!G80+OCTUBRE!G80+NOVIEMBRE!G80+DICIEMBRE!G80</f>
        <v>12446777.25</v>
      </c>
      <c r="H80" s="16">
        <f>ENERO!H80+FEBRERO!H80+MARZO!H80+ABRIL!H80+MAYO!H80+JUNIO!H80+JULIO!H80+AGOSTO!H80+SEPTIEMBRE!H80+OCTUBRE!H80+NOVIEMBRE!H80+DICIEMBRE!H80</f>
        <v>405464232.75999999</v>
      </c>
      <c r="I80" s="16">
        <f>ENERO!I80+FEBRERO!I80+MARZO!I80+ABRIL!I80+MAYO!I80+JUNIO!I80+JULIO!I80+AGOSTO!I80+SEPTIEMBRE!I80+OCTUBRE!I80+NOVIEMBRE!I80+DICIEMBRE!I80</f>
        <v>57104653.82</v>
      </c>
      <c r="J80" s="16">
        <f>ENERO!J80+FEBRERO!J80+MARZO!J80+ABRIL!J80+MAYO!J80+JUNIO!J80+JULIO!J80+AGOSTO!J80+SEPTIEMBRE!J80+OCTUBRE!J80+NOVIEMBRE!J80+DICIEMBRE!J80</f>
        <v>985618085.48999977</v>
      </c>
      <c r="K80" s="16">
        <f>ENERO!K80+FEBRERO!K80+MARZO!K80+ABRIL!K80+MAYO!K80+JUNIO!K80+JULIO!K80+AGOSTO!K80+SEPTIEMBRE!K80+OCTUBRE!K80+NOVIEMBRE!K80+DICIEMBRE!K80</f>
        <v>81410538.076893806</v>
      </c>
      <c r="L80" s="16"/>
      <c r="M80" s="16"/>
      <c r="N80" s="18">
        <f t="shared" si="2"/>
        <v>9629561050.0784035</v>
      </c>
      <c r="O80" s="4"/>
      <c r="P80" s="4"/>
      <c r="Q80" s="4"/>
    </row>
    <row r="81" spans="1:17" ht="18" customHeight="1" x14ac:dyDescent="0.2">
      <c r="A81" s="17" t="s">
        <v>76</v>
      </c>
      <c r="B81" s="16">
        <f>ENERO!B81+FEBRERO!B81+MARZO!B81+ABRIL!B81+MAYO!B81+JUNIO!B81+JULIO!B81+AGOSTO!B81+SEPTIEMBRE!B81+OCTUBRE!B81+NOVIEMBRE!B81+DICIEMBRE!B81</f>
        <v>3886267417.1599998</v>
      </c>
      <c r="C81" s="16">
        <f>ENERO!C81+FEBRERO!C81+MARZO!C81+ABRIL!C81+MAYO!C81+JUNIO!C81+JULIO!C81+AGOSTO!C81+SEPTIEMBRE!C81+OCTUBRE!C81+NOVIEMBRE!C81+DICIEMBRE!C81</f>
        <v>0</v>
      </c>
      <c r="D81" s="16">
        <f>ENERO!D81+FEBRERO!D81+MARZO!D81+ABRIL!D81+MAYO!D81+JUNIO!D81+JULIO!D81+AGOSTO!D81+SEPTIEMBRE!D81+OCTUBRE!D81+NOVIEMBRE!D81+DICIEMBRE!D81</f>
        <v>335032291.83745039</v>
      </c>
      <c r="E81" s="16">
        <f>ENERO!E81+FEBRERO!E81+MARZO!E81+ABRIL!E81+MAYO!E81+JUNIO!E81+JULIO!E81+AGOSTO!E81+SEPTIEMBRE!E81+OCTUBRE!E81+NOVIEMBRE!E81+DICIEMBRE!E81</f>
        <v>49962398.769999996</v>
      </c>
      <c r="F81" s="16">
        <f>ENERO!F81+FEBRERO!F81+MARZO!F81+ABRIL!F81+MAYO!F81+JUNIO!F81+JULIO!F81+AGOSTO!F81+SEPTIEMBRE!F81+OCTUBRE!F81+NOVIEMBRE!F81+DICIEMBRE!F81</f>
        <v>55193104.610000007</v>
      </c>
      <c r="G81" s="16">
        <f>ENERO!G81+FEBRERO!G81+MARZO!G81+ABRIL!G81+MAYO!G81+JUNIO!G81+JULIO!G81+AGOSTO!G81+SEPTIEMBRE!G81+OCTUBRE!G81+NOVIEMBRE!G81+DICIEMBRE!G81</f>
        <v>28483970.990000002</v>
      </c>
      <c r="H81" s="16">
        <f>ENERO!H81+FEBRERO!H81+MARZO!H81+ABRIL!H81+MAYO!H81+JUNIO!H81+JULIO!H81+AGOSTO!H81+SEPTIEMBRE!H81+OCTUBRE!H81+NOVIEMBRE!H81+DICIEMBRE!H81</f>
        <v>225800884.58000001</v>
      </c>
      <c r="I81" s="16">
        <f>ENERO!I81+FEBRERO!I81+MARZO!I81+ABRIL!I81+MAYO!I81+JUNIO!I81+JULIO!I81+AGOSTO!I81+SEPTIEMBRE!I81+OCTUBRE!I81+NOVIEMBRE!I81+DICIEMBRE!I81</f>
        <v>148305775.66999999</v>
      </c>
      <c r="J81" s="16">
        <f>ENERO!J81+FEBRERO!J81+MARZO!J81+ABRIL!J81+MAYO!J81+JUNIO!J81+JULIO!J81+AGOSTO!J81+SEPTIEMBRE!J81+OCTUBRE!J81+NOVIEMBRE!J81+DICIEMBRE!J81</f>
        <v>1152351497.5599999</v>
      </c>
      <c r="K81" s="16">
        <f>ENERO!K81+FEBRERO!K81+MARZO!K81+ABRIL!K81+MAYO!K81+JUNIO!K81+JULIO!K81+AGOSTO!K81+SEPTIEMBRE!K81+OCTUBRE!K81+NOVIEMBRE!K81+DICIEMBRE!K81</f>
        <v>45708964.639425009</v>
      </c>
      <c r="L81" s="16"/>
      <c r="M81" s="16"/>
      <c r="N81" s="18">
        <f t="shared" si="2"/>
        <v>5927106305.8168755</v>
      </c>
      <c r="O81" s="4"/>
      <c r="P81" s="4"/>
      <c r="Q81" s="4"/>
    </row>
    <row r="82" spans="1:17" ht="18" customHeight="1" x14ac:dyDescent="0.2">
      <c r="A82" s="17" t="s">
        <v>77</v>
      </c>
      <c r="B82" s="16">
        <f>ENERO!B82+FEBRERO!B82+MARZO!B82+ABRIL!B82+MAYO!B82+JUNIO!B82+JULIO!B82+AGOSTO!B82+SEPTIEMBRE!B82+OCTUBRE!B82+NOVIEMBRE!B82+DICIEMBRE!B82</f>
        <v>64338471938.749992</v>
      </c>
      <c r="C82" s="16">
        <f>ENERO!C82+FEBRERO!C82+MARZO!C82+ABRIL!C82+MAYO!C82+JUNIO!C82+JULIO!C82+AGOSTO!C82+SEPTIEMBRE!C82+OCTUBRE!C82+NOVIEMBRE!C82+DICIEMBRE!C82</f>
        <v>0</v>
      </c>
      <c r="D82" s="16">
        <f>ENERO!D82+FEBRERO!D82+MARZO!D82+ABRIL!D82+MAYO!D82+JUNIO!D82+JULIO!D82+AGOSTO!D82+SEPTIEMBRE!D82+OCTUBRE!D82+NOVIEMBRE!D82+DICIEMBRE!D82</f>
        <v>446348640.89999998</v>
      </c>
      <c r="E82" s="16">
        <f>ENERO!E82+FEBRERO!E82+MARZO!E82+ABRIL!E82+MAYO!E82+JUNIO!E82+JULIO!E82+AGOSTO!E82+SEPTIEMBRE!E82+OCTUBRE!E82+NOVIEMBRE!E82+DICIEMBRE!E82</f>
        <v>931831214.38</v>
      </c>
      <c r="F82" s="16">
        <f>ENERO!F82+FEBRERO!F82+MARZO!F82+ABRIL!F82+MAYO!F82+JUNIO!F82+JULIO!F82+AGOSTO!F82+SEPTIEMBRE!F82+OCTUBRE!F82+NOVIEMBRE!F82+DICIEMBRE!F82</f>
        <v>1590696225.1199999</v>
      </c>
      <c r="G82" s="16">
        <f>ENERO!G82+FEBRERO!G82+MARZO!G82+ABRIL!G82+MAYO!G82+JUNIO!G82+JULIO!G82+AGOSTO!G82+SEPTIEMBRE!G82+OCTUBRE!G82+NOVIEMBRE!G82+DICIEMBRE!G82</f>
        <v>1154226072.8662343</v>
      </c>
      <c r="H82" s="16">
        <f>ENERO!H82+FEBRERO!H82+MARZO!H82+ABRIL!H82+MAYO!H82+JUNIO!H82+JULIO!H82+AGOSTO!H82+SEPTIEMBRE!H82+OCTUBRE!H82+NOVIEMBRE!H82+DICIEMBRE!H82</f>
        <v>3726268137.71</v>
      </c>
      <c r="I82" s="16">
        <f>ENERO!I82+FEBRERO!I82+MARZO!I82+ABRIL!I82+MAYO!I82+JUNIO!I82+JULIO!I82+AGOSTO!I82+SEPTIEMBRE!I82+OCTUBRE!I82+NOVIEMBRE!I82+DICIEMBRE!I82</f>
        <v>4274255617.0200005</v>
      </c>
      <c r="J82" s="16">
        <f>ENERO!J82+FEBRERO!J82+MARZO!J82+ABRIL!J82+MAYO!J82+JUNIO!J82+JULIO!J82+AGOSTO!J82+SEPTIEMBRE!J82+OCTUBRE!J82+NOVIEMBRE!J82+DICIEMBRE!J82</f>
        <v>9565502827.2600021</v>
      </c>
      <c r="K82" s="16">
        <f>ENERO!K82+FEBRERO!K82+MARZO!K82+ABRIL!K82+MAYO!K82+JUNIO!K82+JULIO!K82+AGOSTO!K82+SEPTIEMBRE!K82+OCTUBRE!K82+NOVIEMBRE!K82+DICIEMBRE!K82</f>
        <v>742378692.27344477</v>
      </c>
      <c r="L82" s="16"/>
      <c r="M82" s="16"/>
      <c r="N82" s="18">
        <f t="shared" si="2"/>
        <v>86769979366.279663</v>
      </c>
      <c r="O82" s="4"/>
      <c r="P82" s="4"/>
      <c r="Q82" s="4"/>
    </row>
    <row r="83" spans="1:17" ht="18" customHeight="1" x14ac:dyDescent="0.2">
      <c r="A83" s="17" t="s">
        <v>78</v>
      </c>
      <c r="B83" s="16">
        <f>ENERO!B83+FEBRERO!B83+MARZO!B83+ABRIL!B83+MAYO!B83+JUNIO!B83+JULIO!B83+AGOSTO!B83+SEPTIEMBRE!B83+OCTUBRE!B83+NOVIEMBRE!B83+DICIEMBRE!B83</f>
        <v>15867553466.019999</v>
      </c>
      <c r="C83" s="16">
        <f>ENERO!C83+FEBRERO!C83+MARZO!C83+ABRIL!C83+MAYO!C83+JUNIO!C83+JULIO!C83+AGOSTO!C83+SEPTIEMBRE!C83+OCTUBRE!C83+NOVIEMBRE!C83+DICIEMBRE!C83</f>
        <v>0</v>
      </c>
      <c r="D83" s="16">
        <f>ENERO!D83+FEBRERO!D83+MARZO!D83+ABRIL!D83+MAYO!D83+JUNIO!D83+JULIO!D83+AGOSTO!D83+SEPTIEMBRE!D83+OCTUBRE!D83+NOVIEMBRE!D83+DICIEMBRE!D83</f>
        <v>328527431.15816623</v>
      </c>
      <c r="E83" s="16">
        <f>ENERO!E83+FEBRERO!E83+MARZO!E83+ABRIL!E83+MAYO!E83+JUNIO!E83+JULIO!E83+AGOSTO!E83+SEPTIEMBRE!E83+OCTUBRE!E83+NOVIEMBRE!E83+DICIEMBRE!E83</f>
        <v>240091300.02000001</v>
      </c>
      <c r="F83" s="16">
        <f>ENERO!F83+FEBRERO!F83+MARZO!F83+ABRIL!F83+MAYO!F83+JUNIO!F83+JULIO!F83+AGOSTO!F83+SEPTIEMBRE!F83+OCTUBRE!F83+NOVIEMBRE!F83+DICIEMBRE!F83</f>
        <v>176136499.64000002</v>
      </c>
      <c r="G83" s="16">
        <f>ENERO!G83+FEBRERO!G83+MARZO!G83+ABRIL!G83+MAYO!G83+JUNIO!G83+JULIO!G83+AGOSTO!G83+SEPTIEMBRE!G83+OCTUBRE!G83+NOVIEMBRE!G83+DICIEMBRE!G83</f>
        <v>75953635.189999998</v>
      </c>
      <c r="H83" s="16">
        <f>ENERO!H83+FEBRERO!H83+MARZO!H83+ABRIL!H83+MAYO!H83+JUNIO!H83+JULIO!H83+AGOSTO!H83+SEPTIEMBRE!H83+OCTUBRE!H83+NOVIEMBRE!H83+DICIEMBRE!H83</f>
        <v>926340032.14999998</v>
      </c>
      <c r="I83" s="16">
        <f>ENERO!I83+FEBRERO!I83+MARZO!I83+ABRIL!I83+MAYO!I83+JUNIO!I83+JULIO!I83+AGOSTO!I83+SEPTIEMBRE!I83+OCTUBRE!I83+NOVIEMBRE!I83+DICIEMBRE!I83</f>
        <v>473284849.20999998</v>
      </c>
      <c r="J83" s="16">
        <f>ENERO!J83+FEBRERO!J83+MARZO!J83+ABRIL!J83+MAYO!J83+JUNIO!J83+JULIO!J83+AGOSTO!J83+SEPTIEMBRE!J83+OCTUBRE!J83+NOVIEMBRE!J83+DICIEMBRE!J83</f>
        <v>2070276390.0599992</v>
      </c>
      <c r="K83" s="16">
        <f>ENERO!K83+FEBRERO!K83+MARZO!K83+ABRIL!K83+MAYO!K83+JUNIO!K83+JULIO!K83+AGOSTO!K83+SEPTIEMBRE!K83+OCTUBRE!K83+NOVIEMBRE!K83+DICIEMBRE!K83</f>
        <v>191914934.18683118</v>
      </c>
      <c r="L83" s="16"/>
      <c r="M83" s="16"/>
      <c r="N83" s="18">
        <f t="shared" si="2"/>
        <v>20350078537.634995</v>
      </c>
      <c r="O83" s="4"/>
      <c r="P83" s="4"/>
      <c r="Q83" s="4"/>
    </row>
    <row r="84" spans="1:17" ht="18" customHeight="1" x14ac:dyDescent="0.2">
      <c r="A84" s="17" t="s">
        <v>79</v>
      </c>
      <c r="B84" s="16">
        <f>ENERO!B84+FEBRERO!B84+MARZO!B84+ABRIL!B84+MAYO!B84+JUNIO!B84+JULIO!B84+AGOSTO!B84+SEPTIEMBRE!B84+OCTUBRE!B84+NOVIEMBRE!B84+DICIEMBRE!B84</f>
        <v>6935934202.5400009</v>
      </c>
      <c r="C84" s="16">
        <f>ENERO!C84+FEBRERO!C84+MARZO!C84+ABRIL!C84+MAYO!C84+JUNIO!C84+JULIO!C84+AGOSTO!C84+SEPTIEMBRE!C84+OCTUBRE!C84+NOVIEMBRE!C84+DICIEMBRE!C84</f>
        <v>0</v>
      </c>
      <c r="D84" s="16">
        <f>ENERO!D84+FEBRERO!D84+MARZO!D84+ABRIL!D84+MAYO!D84+JUNIO!D84+JULIO!D84+AGOSTO!D84+SEPTIEMBRE!D84+OCTUBRE!D84+NOVIEMBRE!D84+DICIEMBRE!D84</f>
        <v>264161659.91069639</v>
      </c>
      <c r="E84" s="16">
        <f>ENERO!E84+FEBRERO!E84+MARZO!E84+ABRIL!E84+MAYO!E84+JUNIO!E84+JULIO!E84+AGOSTO!E84+SEPTIEMBRE!E84+OCTUBRE!E84+NOVIEMBRE!E84+DICIEMBRE!E84</f>
        <v>87240649.620000005</v>
      </c>
      <c r="F84" s="16">
        <f>ENERO!F84+FEBRERO!F84+MARZO!F84+ABRIL!F84+MAYO!F84+JUNIO!F84+JULIO!F84+AGOSTO!F84+SEPTIEMBRE!F84+OCTUBRE!F84+NOVIEMBRE!F84+DICIEMBRE!F84</f>
        <v>35351097.530000001</v>
      </c>
      <c r="G84" s="16">
        <f>ENERO!G84+FEBRERO!G84+MARZO!G84+ABRIL!G84+MAYO!G84+JUNIO!G84+JULIO!G84+AGOSTO!G84+SEPTIEMBRE!G84+OCTUBRE!G84+NOVIEMBRE!G84+DICIEMBRE!G84</f>
        <v>8777191.3879226558</v>
      </c>
      <c r="H84" s="16">
        <f>ENERO!H84+FEBRERO!H84+MARZO!H84+ABRIL!H84+MAYO!H84+JUNIO!H84+JULIO!H84+AGOSTO!H84+SEPTIEMBRE!H84+OCTUBRE!H84+NOVIEMBRE!H84+DICIEMBRE!H84</f>
        <v>402253236.45000005</v>
      </c>
      <c r="I84" s="16">
        <f>ENERO!I84+FEBRERO!I84+MARZO!I84+ABRIL!I84+MAYO!I84+JUNIO!I84+JULIO!I84+AGOSTO!I84+SEPTIEMBRE!I84+OCTUBRE!I84+NOVIEMBRE!I84+DICIEMBRE!I84</f>
        <v>94989618.309999987</v>
      </c>
      <c r="J84" s="16">
        <f>ENERO!J84+FEBRERO!J84+MARZO!J84+ABRIL!J84+MAYO!J84+JUNIO!J84+JULIO!J84+AGOSTO!J84+SEPTIEMBRE!J84+OCTUBRE!J84+NOVIEMBRE!J84+DICIEMBRE!J84</f>
        <v>851330507.93999982</v>
      </c>
      <c r="K84" s="16">
        <f>ENERO!K84+FEBRERO!K84+MARZO!K84+ABRIL!K84+MAYO!K84+JUNIO!K84+JULIO!K84+AGOSTO!K84+SEPTIEMBRE!K84+OCTUBRE!K84+NOVIEMBRE!K84+DICIEMBRE!K84</f>
        <v>80688791.384885013</v>
      </c>
      <c r="L84" s="16"/>
      <c r="M84" s="16"/>
      <c r="N84" s="18">
        <f t="shared" si="2"/>
        <v>8760726955.0735054</v>
      </c>
      <c r="O84" s="4"/>
      <c r="P84" s="4"/>
      <c r="Q84" s="4"/>
    </row>
    <row r="85" spans="1:17" ht="18" customHeight="1" x14ac:dyDescent="0.2">
      <c r="A85" s="17" t="s">
        <v>80</v>
      </c>
      <c r="B85" s="16">
        <f>ENERO!B85+FEBRERO!B85+MARZO!B85+ABRIL!B85+MAYO!B85+JUNIO!B85+JULIO!B85+AGOSTO!B85+SEPTIEMBRE!B85+OCTUBRE!B85+NOVIEMBRE!B85+DICIEMBRE!B85</f>
        <v>5202161701.3000011</v>
      </c>
      <c r="C85" s="16">
        <f>ENERO!C85+FEBRERO!C85+MARZO!C85+ABRIL!C85+MAYO!C85+JUNIO!C85+JULIO!C85+AGOSTO!C85+SEPTIEMBRE!C85+OCTUBRE!C85+NOVIEMBRE!C85+DICIEMBRE!C85</f>
        <v>0</v>
      </c>
      <c r="D85" s="16">
        <f>ENERO!D85+FEBRERO!D85+MARZO!D85+ABRIL!D85+MAYO!D85+JUNIO!D85+JULIO!D85+AGOSTO!D85+SEPTIEMBRE!D85+OCTUBRE!D85+NOVIEMBRE!D85+DICIEMBRE!D85</f>
        <v>266568549.07050228</v>
      </c>
      <c r="E85" s="16">
        <f>ENERO!E85+FEBRERO!E85+MARZO!E85+ABRIL!E85+MAYO!E85+JUNIO!E85+JULIO!E85+AGOSTO!E85+SEPTIEMBRE!E85+OCTUBRE!E85+NOVIEMBRE!E85+DICIEMBRE!E85</f>
        <v>68962016.419999987</v>
      </c>
      <c r="F85" s="16">
        <f>ENERO!F85+FEBRERO!F85+MARZO!F85+ABRIL!F85+MAYO!F85+JUNIO!F85+JULIO!F85+AGOSTO!F85+SEPTIEMBRE!F85+OCTUBRE!F85+NOVIEMBRE!F85+DICIEMBRE!F85</f>
        <v>16712678.389999999</v>
      </c>
      <c r="G85" s="16">
        <f>ENERO!G85+FEBRERO!G85+MARZO!G85+ABRIL!G85+MAYO!G85+JUNIO!G85+JULIO!G85+AGOSTO!G85+SEPTIEMBRE!G85+OCTUBRE!G85+NOVIEMBRE!G85+DICIEMBRE!G85</f>
        <v>7779235.790000001</v>
      </c>
      <c r="H85" s="16">
        <f>ENERO!H85+FEBRERO!H85+MARZO!H85+ABRIL!H85+MAYO!H85+JUNIO!H85+JULIO!H85+AGOSTO!H85+SEPTIEMBRE!H85+OCTUBRE!H85+NOVIEMBRE!H85+DICIEMBRE!H85</f>
        <v>305076901.67000002</v>
      </c>
      <c r="I85" s="16">
        <f>ENERO!I85+FEBRERO!I85+MARZO!I85+ABRIL!I85+MAYO!I85+JUNIO!I85+JULIO!I85+AGOSTO!I85+SEPTIEMBRE!I85+OCTUBRE!I85+NOVIEMBRE!I85+DICIEMBRE!I85</f>
        <v>44907543.269999996</v>
      </c>
      <c r="J85" s="16">
        <f>ENERO!J85+FEBRERO!J85+MARZO!J85+ABRIL!J85+MAYO!J85+JUNIO!J85+JULIO!J85+AGOSTO!J85+SEPTIEMBRE!J85+OCTUBRE!J85+NOVIEMBRE!J85+DICIEMBRE!J85</f>
        <v>501864653.45000005</v>
      </c>
      <c r="K85" s="16">
        <f>ENERO!K85+FEBRERO!K85+MARZO!K85+ABRIL!K85+MAYO!K85+JUNIO!K85+JULIO!K85+AGOSTO!K85+SEPTIEMBRE!K85+OCTUBRE!K85+NOVIEMBRE!K85+DICIEMBRE!K85</f>
        <v>64573929.899516582</v>
      </c>
      <c r="L85" s="16"/>
      <c r="M85" s="16"/>
      <c r="N85" s="18">
        <f t="shared" si="2"/>
        <v>6478607209.2600212</v>
      </c>
      <c r="O85" s="4"/>
      <c r="P85" s="4"/>
      <c r="Q85" s="4"/>
    </row>
    <row r="86" spans="1:17" ht="18" customHeight="1" x14ac:dyDescent="0.2">
      <c r="A86" s="17" t="s">
        <v>81</v>
      </c>
      <c r="B86" s="16">
        <f>ENERO!B86+FEBRERO!B86+MARZO!B86+ABRIL!B86+MAYO!B86+JUNIO!B86+JULIO!B86+AGOSTO!B86+SEPTIEMBRE!B86+OCTUBRE!B86+NOVIEMBRE!B86+DICIEMBRE!B86</f>
        <v>66960974324.580002</v>
      </c>
      <c r="C86" s="16">
        <f>ENERO!C86+FEBRERO!C86+MARZO!C86+ABRIL!C86+MAYO!C86+JUNIO!C86+JULIO!C86+AGOSTO!C86+SEPTIEMBRE!C86+OCTUBRE!C86+NOVIEMBRE!C86+DICIEMBRE!C86</f>
        <v>0</v>
      </c>
      <c r="D86" s="16">
        <f>ENERO!D86+FEBRERO!D86+MARZO!D86+ABRIL!D86+MAYO!D86+JUNIO!D86+JULIO!D86+AGOSTO!D86+SEPTIEMBRE!D86+OCTUBRE!D86+NOVIEMBRE!D86+DICIEMBRE!D86</f>
        <v>170599459.17000002</v>
      </c>
      <c r="E86" s="16">
        <f>ENERO!E86+FEBRERO!E86+MARZO!E86+ABRIL!E86+MAYO!E86+JUNIO!E86+JULIO!E86+AGOSTO!E86+SEPTIEMBRE!E86+OCTUBRE!E86+NOVIEMBRE!E86+DICIEMBRE!E86</f>
        <v>998033375.98000002</v>
      </c>
      <c r="F86" s="16">
        <f>ENERO!F86+FEBRERO!F86+MARZO!F86+ABRIL!F86+MAYO!F86+JUNIO!F86+JULIO!F86+AGOSTO!F86+SEPTIEMBRE!F86+OCTUBRE!F86+NOVIEMBRE!F86+DICIEMBRE!F86</f>
        <v>998049517.73000002</v>
      </c>
      <c r="G86" s="16">
        <f>ENERO!G86+FEBRERO!G86+MARZO!G86+ABRIL!G86+MAYO!G86+JUNIO!G86+JULIO!G86+AGOSTO!G86+SEPTIEMBRE!G86+OCTUBRE!G86+NOVIEMBRE!G86+DICIEMBRE!G86</f>
        <v>329386809.18497097</v>
      </c>
      <c r="H86" s="16">
        <f>ENERO!H86+FEBRERO!H86+MARZO!H86+ABRIL!H86+MAYO!H86+JUNIO!H86+JULIO!H86+AGOSTO!H86+SEPTIEMBRE!H86+OCTUBRE!H86+NOVIEMBRE!H86+DICIEMBRE!H86</f>
        <v>3906634127.0100002</v>
      </c>
      <c r="I86" s="16">
        <f>ENERO!I86+FEBRERO!I86+MARZO!I86+ABRIL!I86+MAYO!I86+JUNIO!I86+JULIO!I86+AGOSTO!I86+SEPTIEMBRE!I86+OCTUBRE!I86+NOVIEMBRE!I86+DICIEMBRE!I86</f>
        <v>2681793475.0100002</v>
      </c>
      <c r="J86" s="16">
        <f>ENERO!J86+FEBRERO!J86+MARZO!J86+ABRIL!J86+MAYO!J86+JUNIO!J86+JULIO!J86+AGOSTO!J86+SEPTIEMBRE!J86+OCTUBRE!J86+NOVIEMBRE!J86+DICIEMBRE!J86</f>
        <v>4223037197.2599993</v>
      </c>
      <c r="K86" s="16">
        <f>ENERO!K86+FEBRERO!K86+MARZO!K86+ABRIL!K86+MAYO!K86+JUNIO!K86+JULIO!K86+AGOSTO!K86+SEPTIEMBRE!K86+OCTUBRE!K86+NOVIEMBRE!K86+DICIEMBRE!K86</f>
        <v>806858048.4684912</v>
      </c>
      <c r="L86" s="16"/>
      <c r="M86" s="16"/>
      <c r="N86" s="18">
        <f t="shared" si="2"/>
        <v>81075366334.393448</v>
      </c>
      <c r="O86" s="4"/>
      <c r="P86" s="4"/>
      <c r="Q86" s="4"/>
    </row>
    <row r="87" spans="1:17" ht="18" customHeight="1" x14ac:dyDescent="0.2">
      <c r="A87" s="17" t="s">
        <v>82</v>
      </c>
      <c r="B87" s="16">
        <f>ENERO!B87+FEBRERO!B87+MARZO!B87+ABRIL!B87+MAYO!B87+JUNIO!B87+JULIO!B87+AGOSTO!B87+SEPTIEMBRE!B87+OCTUBRE!B87+NOVIEMBRE!B87+DICIEMBRE!B87</f>
        <v>10786323187.49</v>
      </c>
      <c r="C87" s="16">
        <f>ENERO!C87+FEBRERO!C87+MARZO!C87+ABRIL!C87+MAYO!C87+JUNIO!C87+JULIO!C87+AGOSTO!C87+SEPTIEMBRE!C87+OCTUBRE!C87+NOVIEMBRE!C87+DICIEMBRE!C87</f>
        <v>0</v>
      </c>
      <c r="D87" s="16">
        <f>ENERO!D87+FEBRERO!D87+MARZO!D87+ABRIL!D87+MAYO!D87+JUNIO!D87+JULIO!D87+AGOSTO!D87+SEPTIEMBRE!D87+OCTUBRE!D87+NOVIEMBRE!D87+DICIEMBRE!D87</f>
        <v>313043173.54865712</v>
      </c>
      <c r="E87" s="16">
        <f>ENERO!E87+FEBRERO!E87+MARZO!E87+ABRIL!E87+MAYO!E87+JUNIO!E87+JULIO!E87+AGOSTO!E87+SEPTIEMBRE!E87+OCTUBRE!E87+NOVIEMBRE!E87+DICIEMBRE!E87</f>
        <v>135453939.57999998</v>
      </c>
      <c r="F87" s="16">
        <f>ENERO!F87+FEBRERO!F87+MARZO!F87+ABRIL!F87+MAYO!F87+JUNIO!F87+JULIO!F87+AGOSTO!F87+SEPTIEMBRE!F87+OCTUBRE!F87+NOVIEMBRE!F87+DICIEMBRE!F87</f>
        <v>28335899.18</v>
      </c>
      <c r="G87" s="16">
        <f>ENERO!G87+FEBRERO!G87+MARZO!G87+ABRIL!G87+MAYO!G87+JUNIO!G87+JULIO!G87+AGOSTO!G87+SEPTIEMBRE!G87+OCTUBRE!G87+NOVIEMBRE!G87+DICIEMBRE!G87</f>
        <v>22619624.030000001</v>
      </c>
      <c r="H87" s="16">
        <f>ENERO!H87+FEBRERO!H87+MARZO!H87+ABRIL!H87+MAYO!H87+JUNIO!H87+JULIO!H87+AGOSTO!H87+SEPTIEMBRE!H87+OCTUBRE!H87+NOVIEMBRE!H87+DICIEMBRE!H87</f>
        <v>625757310.24999988</v>
      </c>
      <c r="I87" s="16">
        <f>ENERO!I87+FEBRERO!I87+MARZO!I87+ABRIL!I87+MAYO!I87+JUNIO!I87+JULIO!I87+AGOSTO!I87+SEPTIEMBRE!I87+OCTUBRE!I87+NOVIEMBRE!I87+DICIEMBRE!I87</f>
        <v>76139538.419999987</v>
      </c>
      <c r="J87" s="16">
        <f>ENERO!J87+FEBRERO!J87+MARZO!J87+ABRIL!J87+MAYO!J87+JUNIO!J87+JULIO!J87+AGOSTO!J87+SEPTIEMBRE!J87+OCTUBRE!J87+NOVIEMBRE!J87+DICIEMBRE!J87</f>
        <v>954910315.24000037</v>
      </c>
      <c r="K87" s="16">
        <f>ENERO!K87+FEBRERO!K87+MARZO!K87+ABRIL!K87+MAYO!K87+JUNIO!K87+JULIO!K87+AGOSTO!K87+SEPTIEMBRE!K87+OCTUBRE!K87+NOVIEMBRE!K87+DICIEMBRE!K87</f>
        <v>125720807.40283972</v>
      </c>
      <c r="L87" s="16"/>
      <c r="M87" s="16"/>
      <c r="N87" s="18">
        <f t="shared" si="2"/>
        <v>13068303795.141497</v>
      </c>
      <c r="O87" s="4"/>
      <c r="P87" s="4"/>
      <c r="Q87" s="4"/>
    </row>
    <row r="88" spans="1:17" ht="18" customHeight="1" x14ac:dyDescent="0.2">
      <c r="A88" s="17" t="s">
        <v>83</v>
      </c>
      <c r="B88" s="16">
        <f>ENERO!B88+FEBRERO!B88+MARZO!B88+ABRIL!B88+MAYO!B88+JUNIO!B88+JULIO!B88+AGOSTO!B88+SEPTIEMBRE!B88+OCTUBRE!B88+NOVIEMBRE!B88+DICIEMBRE!B88</f>
        <v>10353249398.93</v>
      </c>
      <c r="C88" s="16">
        <f>ENERO!C88+FEBRERO!C88+MARZO!C88+ABRIL!C88+MAYO!C88+JUNIO!C88+JULIO!C88+AGOSTO!C88+SEPTIEMBRE!C88+OCTUBRE!C88+NOVIEMBRE!C88+DICIEMBRE!C88</f>
        <v>0</v>
      </c>
      <c r="D88" s="16">
        <f>ENERO!D88+FEBRERO!D88+MARZO!D88+ABRIL!D88+MAYO!D88+JUNIO!D88+JULIO!D88+AGOSTO!D88+SEPTIEMBRE!D88+OCTUBRE!D88+NOVIEMBRE!D88+DICIEMBRE!D88</f>
        <v>128426098.16566801</v>
      </c>
      <c r="E88" s="16">
        <f>ENERO!E88+FEBRERO!E88+MARZO!E88+ABRIL!E88+MAYO!E88+JUNIO!E88+JULIO!E88+AGOSTO!E88+SEPTIEMBRE!E88+OCTUBRE!E88+NOVIEMBRE!E88+DICIEMBRE!E88</f>
        <v>127217656.98999999</v>
      </c>
      <c r="F88" s="16">
        <f>ENERO!F88+FEBRERO!F88+MARZO!F88+ABRIL!F88+MAYO!F88+JUNIO!F88+JULIO!F88+AGOSTO!F88+SEPTIEMBRE!F88+OCTUBRE!F88+NOVIEMBRE!F88+DICIEMBRE!F88</f>
        <v>139065990.73000002</v>
      </c>
      <c r="G88" s="16">
        <f>ENERO!G88+FEBRERO!G88+MARZO!G88+ABRIL!G88+MAYO!G88+JUNIO!G88+JULIO!G88+AGOSTO!G88+SEPTIEMBRE!G88+OCTUBRE!G88+NOVIEMBRE!G88+DICIEMBRE!G88</f>
        <v>45717970.269999996</v>
      </c>
      <c r="H88" s="16">
        <f>ENERO!H88+FEBRERO!H88+MARZO!H88+ABRIL!H88+MAYO!H88+JUNIO!H88+JULIO!H88+AGOSTO!H88+SEPTIEMBRE!H88+OCTUBRE!H88+NOVIEMBRE!H88+DICIEMBRE!H88</f>
        <v>596310525.12</v>
      </c>
      <c r="I88" s="16">
        <f>ENERO!I88+FEBRERO!I88+MARZO!I88+ABRIL!I88+MAYO!I88+JUNIO!I88+JULIO!I88+AGOSTO!I88+SEPTIEMBRE!I88+OCTUBRE!I88+NOVIEMBRE!I88+DICIEMBRE!I88</f>
        <v>373675113.27999997</v>
      </c>
      <c r="J88" s="16">
        <f>ENERO!J88+FEBRERO!J88+MARZO!J88+ABRIL!J88+MAYO!J88+JUNIO!J88+JULIO!J88+AGOSTO!J88+SEPTIEMBRE!J88+OCTUBRE!J88+NOVIEMBRE!J88+DICIEMBRE!J88</f>
        <v>1453608156.3300002</v>
      </c>
      <c r="K88" s="16">
        <f>ENERO!K88+FEBRERO!K88+MARZO!K88+ABRIL!K88+MAYO!K88+JUNIO!K88+JULIO!K88+AGOSTO!K88+SEPTIEMBRE!K88+OCTUBRE!K88+NOVIEMBRE!K88+DICIEMBRE!K88</f>
        <v>115479470.72140481</v>
      </c>
      <c r="L88" s="16"/>
      <c r="M88" s="16"/>
      <c r="N88" s="18">
        <f t="shared" si="2"/>
        <v>13332750380.537075</v>
      </c>
      <c r="O88" s="4"/>
      <c r="P88" s="4"/>
      <c r="Q88" s="4"/>
    </row>
    <row r="89" spans="1:17" ht="18" customHeight="1" x14ac:dyDescent="0.2">
      <c r="A89" s="17" t="s">
        <v>84</v>
      </c>
      <c r="B89" s="16">
        <f>ENERO!B89+FEBRERO!B89+MARZO!B89+ABRIL!B89+MAYO!B89+JUNIO!B89+JULIO!B89+AGOSTO!B89+SEPTIEMBRE!B89+OCTUBRE!B89+NOVIEMBRE!B89+DICIEMBRE!B89</f>
        <v>13838944667.280001</v>
      </c>
      <c r="C89" s="16">
        <f>ENERO!C89+FEBRERO!C89+MARZO!C89+ABRIL!C89+MAYO!C89+JUNIO!C89+JULIO!C89+AGOSTO!C89+SEPTIEMBRE!C89+OCTUBRE!C89+NOVIEMBRE!C89+DICIEMBRE!C89</f>
        <v>0</v>
      </c>
      <c r="D89" s="16">
        <f>ENERO!D89+FEBRERO!D89+MARZO!D89+ABRIL!D89+MAYO!D89+JUNIO!D89+JULIO!D89+AGOSTO!D89+SEPTIEMBRE!D89+OCTUBRE!D89+NOVIEMBRE!D89+DICIEMBRE!D89</f>
        <v>302025384.80736804</v>
      </c>
      <c r="E89" s="16">
        <f>ENERO!E89+FEBRERO!E89+MARZO!E89+ABRIL!E89+MAYO!E89+JUNIO!E89+JULIO!E89+AGOSTO!E89+SEPTIEMBRE!E89+OCTUBRE!E89+NOVIEMBRE!E89+DICIEMBRE!E89</f>
        <v>182556878.52000001</v>
      </c>
      <c r="F89" s="16">
        <f>ENERO!F89+FEBRERO!F89+MARZO!F89+ABRIL!F89+MAYO!F89+JUNIO!F89+JULIO!F89+AGOSTO!F89+SEPTIEMBRE!F89+OCTUBRE!F89+NOVIEMBRE!F89+DICIEMBRE!F89</f>
        <v>116954360.64999999</v>
      </c>
      <c r="G89" s="16">
        <f>ENERO!G89+FEBRERO!G89+MARZO!G89+ABRIL!G89+MAYO!G89+JUNIO!G89+JULIO!G89+AGOSTO!G89+SEPTIEMBRE!G89+OCTUBRE!G89+NOVIEMBRE!G89+DICIEMBRE!G89</f>
        <v>49787108.970000006</v>
      </c>
      <c r="H89" s="16">
        <f>ENERO!H89+FEBRERO!H89+MARZO!H89+ABRIL!H89+MAYO!H89+JUNIO!H89+JULIO!H89+AGOSTO!H89+SEPTIEMBRE!H89+OCTUBRE!H89+NOVIEMBRE!H89+DICIEMBRE!H89</f>
        <v>804591516.05000007</v>
      </c>
      <c r="I89" s="16">
        <f>ENERO!I89+FEBRERO!I89+MARZO!I89+ABRIL!I89+MAYO!I89+JUNIO!I89+JULIO!I89+AGOSTO!I89+SEPTIEMBRE!I89+OCTUBRE!I89+NOVIEMBRE!I89+DICIEMBRE!I89</f>
        <v>314260400.66000003</v>
      </c>
      <c r="J89" s="16">
        <f>ENERO!J89+FEBRERO!J89+MARZO!J89+ABRIL!J89+MAYO!J89+JUNIO!J89+JULIO!J89+AGOSTO!J89+SEPTIEMBRE!J89+OCTUBRE!J89+NOVIEMBRE!J89+DICIEMBRE!J89</f>
        <v>1492773525.45</v>
      </c>
      <c r="K89" s="16">
        <f>ENERO!K89+FEBRERO!K89+MARZO!K89+ABRIL!K89+MAYO!K89+JUNIO!K89+JULIO!K89+AGOSTO!K89+SEPTIEMBRE!K89+OCTUBRE!K89+NOVIEMBRE!K89+DICIEMBRE!K89</f>
        <v>163391007.16230488</v>
      </c>
      <c r="L89" s="16"/>
      <c r="M89" s="16"/>
      <c r="N89" s="18">
        <f t="shared" si="2"/>
        <v>17265284849.549671</v>
      </c>
      <c r="O89" s="4"/>
      <c r="P89" s="4"/>
      <c r="Q89" s="4"/>
    </row>
    <row r="90" spans="1:17" ht="18" customHeight="1" x14ac:dyDescent="0.2">
      <c r="A90" s="17" t="s">
        <v>85</v>
      </c>
      <c r="B90" s="16">
        <f>ENERO!B90+FEBRERO!B90+MARZO!B90+ABRIL!B90+MAYO!B90+JUNIO!B90+JULIO!B90+AGOSTO!B90+SEPTIEMBRE!B90+OCTUBRE!B90+NOVIEMBRE!B90+DICIEMBRE!B90</f>
        <v>62482923815.740005</v>
      </c>
      <c r="C90" s="16">
        <f>ENERO!C90+FEBRERO!C90+MARZO!C90+ABRIL!C90+MAYO!C90+JUNIO!C90+JULIO!C90+AGOSTO!C90+SEPTIEMBRE!C90+OCTUBRE!C90+NOVIEMBRE!C90+DICIEMBRE!C90</f>
        <v>0</v>
      </c>
      <c r="D90" s="16">
        <f>ENERO!D90+FEBRERO!D90+MARZO!D90+ABRIL!D90+MAYO!D90+JUNIO!D90+JULIO!D90+AGOSTO!D90+SEPTIEMBRE!D90+OCTUBRE!D90+NOVIEMBRE!D90+DICIEMBRE!D90</f>
        <v>251035037.63221854</v>
      </c>
      <c r="E90" s="16">
        <f>ENERO!E90+FEBRERO!E90+MARZO!E90+ABRIL!E90+MAYO!E90+JUNIO!E90+JULIO!E90+AGOSTO!E90+SEPTIEMBRE!E90+OCTUBRE!E90+NOVIEMBRE!E90+DICIEMBRE!E90</f>
        <v>928777965.71000004</v>
      </c>
      <c r="F90" s="16">
        <f>ENERO!F90+FEBRERO!F90+MARZO!F90+ABRIL!F90+MAYO!F90+JUNIO!F90+JULIO!F90+AGOSTO!F90+SEPTIEMBRE!F90+OCTUBRE!F90+NOVIEMBRE!F90+DICIEMBRE!F90</f>
        <v>1586466473.1799998</v>
      </c>
      <c r="G90" s="16">
        <f>ENERO!G90+FEBRERO!G90+MARZO!G90+ABRIL!G90+MAYO!G90+JUNIO!G90+JULIO!G90+AGOSTO!G90+SEPTIEMBRE!G90+OCTUBRE!G90+NOVIEMBRE!G90+DICIEMBRE!G90</f>
        <v>463638847.85434407</v>
      </c>
      <c r="H90" s="16">
        <f>ENERO!H90+FEBRERO!H90+MARZO!H90+ABRIL!H90+MAYO!H90+JUNIO!H90+JULIO!H90+AGOSTO!H90+SEPTIEMBRE!H90+OCTUBRE!H90+NOVIEMBRE!H90+DICIEMBRE!H90</f>
        <v>3636373746.8700004</v>
      </c>
      <c r="I90" s="16">
        <f>ENERO!I90+FEBRERO!I90+MARZO!I90+ABRIL!I90+MAYO!I90+JUNIO!I90+JULIO!I90+AGOSTO!I90+SEPTIEMBRE!I90+OCTUBRE!I90+NOVIEMBRE!I90+DICIEMBRE!I90</f>
        <v>4262890127.6700001</v>
      </c>
      <c r="J90" s="16">
        <f>ENERO!J90+FEBRERO!J90+MARZO!J90+ABRIL!J90+MAYO!J90+JUNIO!J90+JULIO!J90+AGOSTO!J90+SEPTIEMBRE!J90+OCTUBRE!J90+NOVIEMBRE!J90+DICIEMBRE!J90</f>
        <v>8701938111.6999969</v>
      </c>
      <c r="K90" s="16">
        <f>ENERO!K90+FEBRERO!K90+MARZO!K90+ABRIL!K90+MAYO!K90+JUNIO!K90+JULIO!K90+AGOSTO!K90+SEPTIEMBRE!K90+OCTUBRE!K90+NOVIEMBRE!K90+DICIEMBRE!K90</f>
        <v>742082527.25155151</v>
      </c>
      <c r="L90" s="16"/>
      <c r="M90" s="16"/>
      <c r="N90" s="18">
        <f t="shared" si="2"/>
        <v>83056126653.608124</v>
      </c>
      <c r="O90" s="4"/>
      <c r="P90" s="4"/>
      <c r="Q90" s="4"/>
    </row>
    <row r="91" spans="1:17" ht="18" customHeight="1" x14ac:dyDescent="0.2">
      <c r="A91" s="17" t="s">
        <v>86</v>
      </c>
      <c r="B91" s="16">
        <f>ENERO!B91+FEBRERO!B91+MARZO!B91+ABRIL!B91+MAYO!B91+JUNIO!B91+JULIO!B91+AGOSTO!B91+SEPTIEMBRE!B91+OCTUBRE!B91+NOVIEMBRE!B91+DICIEMBRE!B91</f>
        <v>2939920990.4299994</v>
      </c>
      <c r="C91" s="16">
        <f>ENERO!C91+FEBRERO!C91+MARZO!C91+ABRIL!C91+MAYO!C91+JUNIO!C91+JULIO!C91+AGOSTO!C91+SEPTIEMBRE!C91+OCTUBRE!C91+NOVIEMBRE!C91+DICIEMBRE!C91</f>
        <v>0</v>
      </c>
      <c r="D91" s="16">
        <f>ENERO!D91+FEBRERO!D91+MARZO!D91+ABRIL!D91+MAYO!D91+JUNIO!D91+JULIO!D91+AGOSTO!D91+SEPTIEMBRE!D91+OCTUBRE!D91+NOVIEMBRE!D91+DICIEMBRE!D91</f>
        <v>372061125.49077052</v>
      </c>
      <c r="E91" s="16">
        <f>ENERO!E91+FEBRERO!E91+MARZO!E91+ABRIL!E91+MAYO!E91+JUNIO!E91+JULIO!E91+AGOSTO!E91+SEPTIEMBRE!E91+OCTUBRE!E91+NOVIEMBRE!E91+DICIEMBRE!E91</f>
        <v>37148787.530000001</v>
      </c>
      <c r="F91" s="16">
        <f>ENERO!F91+FEBRERO!F91+MARZO!F91+ABRIL!F91+MAYO!F91+JUNIO!F91+JULIO!F91+AGOSTO!F91+SEPTIEMBRE!F91+OCTUBRE!F91+NOVIEMBRE!F91+DICIEMBRE!F91</f>
        <v>36829791.289999999</v>
      </c>
      <c r="G91" s="16">
        <f>ENERO!G91+FEBRERO!G91+MARZO!G91+ABRIL!G91+MAYO!G91+JUNIO!G91+JULIO!G91+AGOSTO!G91+SEPTIEMBRE!G91+OCTUBRE!G91+NOVIEMBRE!G91+DICIEMBRE!G91</f>
        <v>16994638.16</v>
      </c>
      <c r="H91" s="16">
        <f>ENERO!H91+FEBRERO!H91+MARZO!H91+ABRIL!H91+MAYO!H91+JUNIO!H91+JULIO!H91+AGOSTO!H91+SEPTIEMBRE!H91+OCTUBRE!H91+NOVIEMBRE!H91+DICIEMBRE!H91</f>
        <v>170568113.25</v>
      </c>
      <c r="I91" s="16">
        <f>ENERO!I91+FEBRERO!I91+MARZO!I91+ABRIL!I91+MAYO!I91+JUNIO!I91+JULIO!I91+AGOSTO!I91+SEPTIEMBRE!I91+OCTUBRE!I91+NOVIEMBRE!I91+DICIEMBRE!I91</f>
        <v>98962919.460000008</v>
      </c>
      <c r="J91" s="16">
        <f>ENERO!J91+FEBRERO!J91+MARZO!J91+ABRIL!J91+MAYO!J91+JUNIO!J91+JULIO!J91+AGOSTO!J91+SEPTIEMBRE!J91+OCTUBRE!J91+NOVIEMBRE!J91+DICIEMBRE!J91</f>
        <v>671102056.49999988</v>
      </c>
      <c r="K91" s="16">
        <f>ENERO!K91+FEBRERO!K91+MARZO!K91+ABRIL!K91+MAYO!K91+JUNIO!K91+JULIO!K91+AGOSTO!K91+SEPTIEMBRE!K91+OCTUBRE!K91+NOVIEMBRE!K91+DICIEMBRE!K91</f>
        <v>34280479.088720471</v>
      </c>
      <c r="L91" s="16"/>
      <c r="M91" s="16"/>
      <c r="N91" s="18">
        <f t="shared" si="2"/>
        <v>4377868901.1994896</v>
      </c>
      <c r="O91" s="4"/>
      <c r="P91" s="4"/>
      <c r="Q91" s="4"/>
    </row>
    <row r="92" spans="1:17" ht="18" customHeight="1" x14ac:dyDescent="0.2">
      <c r="A92" s="17" t="s">
        <v>87</v>
      </c>
      <c r="B92" s="16">
        <f>ENERO!B92+FEBRERO!B92+MARZO!B92+ABRIL!B92+MAYO!B92+JUNIO!B92+JULIO!B92+AGOSTO!B92+SEPTIEMBRE!B92+OCTUBRE!B92+NOVIEMBRE!B92+DICIEMBRE!B92</f>
        <v>3950426496.8999996</v>
      </c>
      <c r="C92" s="16">
        <f>ENERO!C92+FEBRERO!C92+MARZO!C92+ABRIL!C92+MAYO!C92+JUNIO!C92+JULIO!C92+AGOSTO!C92+SEPTIEMBRE!C92+OCTUBRE!C92+NOVIEMBRE!C92+DICIEMBRE!C92</f>
        <v>0</v>
      </c>
      <c r="D92" s="16">
        <f>ENERO!D92+FEBRERO!D92+MARZO!D92+ABRIL!D92+MAYO!D92+JUNIO!D92+JULIO!D92+AGOSTO!D92+SEPTIEMBRE!D92+OCTUBRE!D92+NOVIEMBRE!D92+DICIEMBRE!D92</f>
        <v>7954221.6499999994</v>
      </c>
      <c r="E92" s="16">
        <f>ENERO!E92+FEBRERO!E92+MARZO!E92+ABRIL!E92+MAYO!E92+JUNIO!E92+JULIO!E92+AGOSTO!E92+SEPTIEMBRE!E92+OCTUBRE!E92+NOVIEMBRE!E92+DICIEMBRE!E92</f>
        <v>49709975.82</v>
      </c>
      <c r="F92" s="16">
        <f>ENERO!F92+FEBRERO!F92+MARZO!F92+ABRIL!F92+MAYO!F92+JUNIO!F92+JULIO!F92+AGOSTO!F92+SEPTIEMBRE!F92+OCTUBRE!F92+NOVIEMBRE!F92+DICIEMBRE!F92</f>
        <v>7874904</v>
      </c>
      <c r="G92" s="16">
        <f>ENERO!G92+FEBRERO!G92+MARZO!G92+ABRIL!G92+MAYO!G92+JUNIO!G92+JULIO!G92+AGOSTO!G92+SEPTIEMBRE!G92+OCTUBRE!G92+NOVIEMBRE!G92+DICIEMBRE!G92</f>
        <v>5744666.4299999997</v>
      </c>
      <c r="H92" s="16">
        <f>ENERO!H92+FEBRERO!H92+MARZO!H92+ABRIL!H92+MAYO!H92+JUNIO!H92+JULIO!H92+AGOSTO!H92+SEPTIEMBRE!H92+OCTUBRE!H92+NOVIEMBRE!H92+DICIEMBRE!H92</f>
        <v>230414768.75</v>
      </c>
      <c r="I92" s="16">
        <f>ENERO!I92+FEBRERO!I92+MARZO!I92+ABRIL!I92+MAYO!I92+JUNIO!I92+JULIO!I92+AGOSTO!I92+SEPTIEMBRE!I92+OCTUBRE!I92+NOVIEMBRE!I92+DICIEMBRE!I92</f>
        <v>21160138.719999999</v>
      </c>
      <c r="J92" s="16">
        <f>ENERO!J92+FEBRERO!J92+MARZO!J92+ABRIL!J92+MAYO!J92+JUNIO!J92+JULIO!J92+AGOSTO!J92+SEPTIEMBRE!J92+OCTUBRE!J92+NOVIEMBRE!J92+DICIEMBRE!J92</f>
        <v>260951237.23999995</v>
      </c>
      <c r="K92" s="16">
        <f>ENERO!K92+FEBRERO!K92+MARZO!K92+ABRIL!K92+MAYO!K92+JUNIO!K92+JULIO!K92+AGOSTO!K92+SEPTIEMBRE!K92+OCTUBRE!K92+NOVIEMBRE!K92+DICIEMBRE!K92</f>
        <v>47528264.059626453</v>
      </c>
      <c r="L92" s="16"/>
      <c r="M92" s="16"/>
      <c r="N92" s="18">
        <f t="shared" si="2"/>
        <v>4581764673.5696259</v>
      </c>
      <c r="O92" s="4"/>
      <c r="P92" s="4"/>
      <c r="Q92" s="4"/>
    </row>
    <row r="93" spans="1:17" ht="18" customHeight="1" x14ac:dyDescent="0.2">
      <c r="A93" s="17" t="s">
        <v>88</v>
      </c>
      <c r="B93" s="16">
        <f>ENERO!B93+FEBRERO!B93+MARZO!B93+ABRIL!B93+MAYO!B93+JUNIO!B93+JULIO!B93+AGOSTO!B93+SEPTIEMBRE!B93+OCTUBRE!B93+NOVIEMBRE!B93+DICIEMBRE!B93</f>
        <v>46343960557.759995</v>
      </c>
      <c r="C93" s="16">
        <f>ENERO!C93+FEBRERO!C93+MARZO!C93+ABRIL!C93+MAYO!C93+JUNIO!C93+JULIO!C93+AGOSTO!C93+SEPTIEMBRE!C93+OCTUBRE!C93+NOVIEMBRE!C93+DICIEMBRE!C93</f>
        <v>0</v>
      </c>
      <c r="D93" s="16">
        <f>ENERO!D93+FEBRERO!D93+MARZO!D93+ABRIL!D93+MAYO!D93+JUNIO!D93+JULIO!D93+AGOSTO!D93+SEPTIEMBRE!D93+OCTUBRE!D93+NOVIEMBRE!D93+DICIEMBRE!D93</f>
        <v>264392380.9942641</v>
      </c>
      <c r="E93" s="16">
        <f>ENERO!E93+FEBRERO!E93+MARZO!E93+ABRIL!E93+MAYO!E93+JUNIO!E93+JULIO!E93+AGOSTO!E93+SEPTIEMBRE!E93+OCTUBRE!E93+NOVIEMBRE!E93+DICIEMBRE!E93</f>
        <v>678137058.40999997</v>
      </c>
      <c r="F93" s="16">
        <f>ENERO!F93+FEBRERO!F93+MARZO!F93+ABRIL!F93+MAYO!F93+JUNIO!F93+JULIO!F93+AGOSTO!F93+SEPTIEMBRE!F93+OCTUBRE!F93+NOVIEMBRE!F93+DICIEMBRE!F93</f>
        <v>1285775814.6400001</v>
      </c>
      <c r="G93" s="16">
        <f>ENERO!G93+FEBRERO!G93+MARZO!G93+ABRIL!G93+MAYO!G93+JUNIO!G93+JULIO!G93+AGOSTO!G93+SEPTIEMBRE!G93+OCTUBRE!G93+NOVIEMBRE!G93+DICIEMBRE!G93</f>
        <v>243755523.00589141</v>
      </c>
      <c r="H93" s="16">
        <f>ENERO!H93+FEBRERO!H93+MARZO!H93+ABRIL!H93+MAYO!H93+JUNIO!H93+JULIO!H93+AGOSTO!H93+SEPTIEMBRE!H93+OCTUBRE!H93+NOVIEMBRE!H93+DICIEMBRE!H93</f>
        <v>2686527065.9699998</v>
      </c>
      <c r="I93" s="16">
        <f>ENERO!I93+FEBRERO!I93+MARZO!I93+ABRIL!I93+MAYO!I93+JUNIO!I93+JULIO!I93+AGOSTO!I93+SEPTIEMBRE!I93+OCTUBRE!I93+NOVIEMBRE!I93+DICIEMBRE!I93</f>
        <v>3454923957.8899999</v>
      </c>
      <c r="J93" s="16">
        <f>ENERO!J93+FEBRERO!J93+MARZO!J93+ABRIL!J93+MAYO!J93+JUNIO!J93+JULIO!J93+AGOSTO!J93+SEPTIEMBRE!J93+OCTUBRE!J93+NOVIEMBRE!J93+DICIEMBRE!J93</f>
        <v>8983307188.2499962</v>
      </c>
      <c r="K93" s="16">
        <f>ENERO!K93+FEBRERO!K93+MARZO!K93+ABRIL!K93+MAYO!K93+JUNIO!K93+JULIO!K93+AGOSTO!K93+SEPTIEMBRE!K93+OCTUBRE!K93+NOVIEMBRE!K93+DICIEMBRE!K93</f>
        <v>537678886.51127183</v>
      </c>
      <c r="L93" s="16"/>
      <c r="M93" s="16"/>
      <c r="N93" s="18">
        <f t="shared" si="2"/>
        <v>64478458433.431419</v>
      </c>
      <c r="O93" s="4"/>
      <c r="P93" s="4"/>
      <c r="Q93" s="4"/>
    </row>
    <row r="94" spans="1:17" ht="18" customHeight="1" x14ac:dyDescent="0.2">
      <c r="A94" s="17" t="s">
        <v>89</v>
      </c>
      <c r="B94" s="16">
        <f>ENERO!B94+FEBRERO!B94+MARZO!B94+ABRIL!B94+MAYO!B94+JUNIO!B94+JULIO!B94+AGOSTO!B94+SEPTIEMBRE!B94+OCTUBRE!B94+NOVIEMBRE!B94+DICIEMBRE!B94</f>
        <v>22861315260.740002</v>
      </c>
      <c r="C94" s="16">
        <f>ENERO!C94+FEBRERO!C94+MARZO!C94+ABRIL!C94+MAYO!C94+JUNIO!C94+JULIO!C94+AGOSTO!C94+SEPTIEMBRE!C94+OCTUBRE!C94+NOVIEMBRE!C94+DICIEMBRE!C94</f>
        <v>0</v>
      </c>
      <c r="D94" s="16">
        <f>ENERO!D94+FEBRERO!D94+MARZO!D94+ABRIL!D94+MAYO!D94+JUNIO!D94+JULIO!D94+AGOSTO!D94+SEPTIEMBRE!D94+OCTUBRE!D94+NOVIEMBRE!D94+DICIEMBRE!D94</f>
        <v>344410407.10000002</v>
      </c>
      <c r="E94" s="16">
        <f>ENERO!E94+FEBRERO!E94+MARZO!E94+ABRIL!E94+MAYO!E94+JUNIO!E94+JULIO!E94+AGOSTO!E94+SEPTIEMBRE!E94+OCTUBRE!E94+NOVIEMBRE!E94+DICIEMBRE!E94</f>
        <v>345100414.51999998</v>
      </c>
      <c r="F94" s="16">
        <f>ENERO!F94+FEBRERO!F94+MARZO!F94+ABRIL!F94+MAYO!F94+JUNIO!F94+JULIO!F94+AGOSTO!F94+SEPTIEMBRE!F94+OCTUBRE!F94+NOVIEMBRE!F94+DICIEMBRE!F94</f>
        <v>581401757.07999992</v>
      </c>
      <c r="G94" s="16">
        <f>ENERO!G94+FEBRERO!G94+MARZO!G94+ABRIL!G94+MAYO!G94+JUNIO!G94+JULIO!G94+AGOSTO!G94+SEPTIEMBRE!G94+OCTUBRE!G94+NOVIEMBRE!G94+DICIEMBRE!G94</f>
        <v>278795679.03402883</v>
      </c>
      <c r="H94" s="16">
        <f>ENERO!H94+FEBRERO!H94+MARZO!H94+ABRIL!H94+MAYO!H94+JUNIO!H94+JULIO!H94+AGOSTO!H94+SEPTIEMBRE!H94+OCTUBRE!H94+NOVIEMBRE!H94+DICIEMBRE!H94</f>
        <v>1334630813.3399999</v>
      </c>
      <c r="I94" s="16">
        <f>ENERO!I94+FEBRERO!I94+MARZO!I94+ABRIL!I94+MAYO!I94+JUNIO!I94+JULIO!I94+AGOSTO!I94+SEPTIEMBRE!I94+OCTUBRE!I94+NOVIEMBRE!I94+DICIEMBRE!I94</f>
        <v>1562246572.77</v>
      </c>
      <c r="J94" s="16">
        <f>ENERO!J94+FEBRERO!J94+MARZO!J94+ABRIL!J94+MAYO!J94+JUNIO!J94+JULIO!J94+AGOSTO!J94+SEPTIEMBRE!J94+OCTUBRE!J94+NOVIEMBRE!J94+DICIEMBRE!J94</f>
        <v>4242692055.8499994</v>
      </c>
      <c r="K94" s="16">
        <f>ENERO!K94+FEBRERO!K94+MARZO!K94+ABRIL!K94+MAYO!K94+JUNIO!K94+JULIO!K94+AGOSTO!K94+SEPTIEMBRE!K94+OCTUBRE!K94+NOVIEMBRE!K94+DICIEMBRE!K94</f>
        <v>276501157.70856363</v>
      </c>
      <c r="L94" s="16"/>
      <c r="M94" s="16"/>
      <c r="N94" s="18">
        <f t="shared" si="2"/>
        <v>31827094118.142593</v>
      </c>
      <c r="O94" s="4"/>
      <c r="P94" s="4"/>
      <c r="Q94" s="4"/>
    </row>
    <row r="95" spans="1:17" ht="18" customHeight="1" x14ac:dyDescent="0.2">
      <c r="A95" s="17" t="s">
        <v>90</v>
      </c>
      <c r="B95" s="16">
        <f>ENERO!B95+FEBRERO!B95+MARZO!B95+ABRIL!B95+MAYO!B95+JUNIO!B95+JULIO!B95+AGOSTO!B95+SEPTIEMBRE!B95+OCTUBRE!B95+NOVIEMBRE!B95+DICIEMBRE!B95</f>
        <v>4635071413.9499998</v>
      </c>
      <c r="C95" s="16">
        <f>ENERO!C95+FEBRERO!C95+MARZO!C95+ABRIL!C95+MAYO!C95+JUNIO!C95+JULIO!C95+AGOSTO!C95+SEPTIEMBRE!C95+OCTUBRE!C95+NOVIEMBRE!C95+DICIEMBRE!C95</f>
        <v>0</v>
      </c>
      <c r="D95" s="16">
        <f>ENERO!D95+FEBRERO!D95+MARZO!D95+ABRIL!D95+MAYO!D95+JUNIO!D95+JULIO!D95+AGOSTO!D95+SEPTIEMBRE!D95+OCTUBRE!D95+NOVIEMBRE!D95+DICIEMBRE!D95</f>
        <v>265696774.58459848</v>
      </c>
      <c r="E95" s="16">
        <f>ENERO!E95+FEBRERO!E95+MARZO!E95+ABRIL!E95+MAYO!E95+JUNIO!E95+JULIO!E95+AGOSTO!E95+SEPTIEMBRE!E95+OCTUBRE!E95+NOVIEMBRE!E95+DICIEMBRE!E95</f>
        <v>60614884.310000002</v>
      </c>
      <c r="F95" s="16">
        <f>ENERO!F95+FEBRERO!F95+MARZO!F95+ABRIL!F95+MAYO!F95+JUNIO!F95+JULIO!F95+AGOSTO!F95+SEPTIEMBRE!F95+OCTUBRE!F95+NOVIEMBRE!F95+DICIEMBRE!F95</f>
        <v>28507840.319999997</v>
      </c>
      <c r="G95" s="16">
        <f>ENERO!G95+FEBRERO!G95+MARZO!G95+ABRIL!G95+MAYO!G95+JUNIO!G95+JULIO!G95+AGOSTO!G95+SEPTIEMBRE!G95+OCTUBRE!G95+NOVIEMBRE!G95+DICIEMBRE!G95</f>
        <v>13643582.750000002</v>
      </c>
      <c r="H95" s="16">
        <f>ENERO!H95+FEBRERO!H95+MARZO!H95+ABRIL!H95+MAYO!H95+JUNIO!H95+JULIO!H95+AGOSTO!H95+SEPTIEMBRE!H95+OCTUBRE!H95+NOVIEMBRE!H95+DICIEMBRE!H95</f>
        <v>270706741.69</v>
      </c>
      <c r="I95" s="16">
        <f>ENERO!I95+FEBRERO!I95+MARZO!I95+ABRIL!I95+MAYO!I95+JUNIO!I95+JULIO!I95+AGOSTO!I95+SEPTIEMBRE!I95+OCTUBRE!I95+NOVIEMBRE!I95+DICIEMBRE!I95</f>
        <v>76601550.169999987</v>
      </c>
      <c r="J95" s="16">
        <f>ENERO!J95+FEBRERO!J95+MARZO!J95+ABRIL!J95+MAYO!J95+JUNIO!J95+JULIO!J95+AGOSTO!J95+SEPTIEMBRE!J95+OCTUBRE!J95+NOVIEMBRE!J95+DICIEMBRE!J95</f>
        <v>678127961.53999984</v>
      </c>
      <c r="K95" s="16">
        <f>ENERO!K95+FEBRERO!K95+MARZO!K95+ABRIL!K95+MAYO!K95+JUNIO!K95+JULIO!K95+AGOSTO!K95+SEPTIEMBRE!K95+OCTUBRE!K95+NOVIEMBRE!K95+DICIEMBRE!K95</f>
        <v>56196690.708821557</v>
      </c>
      <c r="L95" s="16"/>
      <c r="M95" s="16"/>
      <c r="N95" s="18">
        <f t="shared" si="2"/>
        <v>6085167440.0234194</v>
      </c>
      <c r="O95" s="4"/>
      <c r="P95" s="4"/>
      <c r="Q95" s="4"/>
    </row>
    <row r="96" spans="1:17" ht="18" customHeight="1" x14ac:dyDescent="0.2">
      <c r="A96" s="17" t="s">
        <v>91</v>
      </c>
      <c r="B96" s="16">
        <f>ENERO!B96+FEBRERO!B96+MARZO!B96+ABRIL!B96+MAYO!B96+JUNIO!B96+JULIO!B96+AGOSTO!B96+SEPTIEMBRE!B96+OCTUBRE!B96+NOVIEMBRE!B96+DICIEMBRE!B96</f>
        <v>15019134055.790001</v>
      </c>
      <c r="C96" s="16">
        <f>ENERO!C96+FEBRERO!C96+MARZO!C96+ABRIL!C96+MAYO!C96+JUNIO!C96+JULIO!C96+AGOSTO!C96+SEPTIEMBRE!C96+OCTUBRE!C96+NOVIEMBRE!C96+DICIEMBRE!C96</f>
        <v>0</v>
      </c>
      <c r="D96" s="16">
        <f>ENERO!D96+FEBRERO!D96+MARZO!D96+ABRIL!D96+MAYO!D96+JUNIO!D96+JULIO!D96+AGOSTO!D96+SEPTIEMBRE!D96+OCTUBRE!D96+NOVIEMBRE!D96+DICIEMBRE!D96</f>
        <v>678281514.64301491</v>
      </c>
      <c r="E96" s="16">
        <f>ENERO!E96+FEBRERO!E96+MARZO!E96+ABRIL!E96+MAYO!E96+JUNIO!E96+JULIO!E96+AGOSTO!E96+SEPTIEMBRE!E96+OCTUBRE!E96+NOVIEMBRE!E96+DICIEMBRE!E96</f>
        <v>131198552.38</v>
      </c>
      <c r="F96" s="16">
        <f>ENERO!F96+FEBRERO!F96+MARZO!F96+ABRIL!F96+MAYO!F96+JUNIO!F96+JULIO!F96+AGOSTO!F96+SEPTIEMBRE!F96+OCTUBRE!F96+NOVIEMBRE!F96+DICIEMBRE!F96</f>
        <v>159767703.48999998</v>
      </c>
      <c r="G96" s="16">
        <f>ENERO!G96+FEBRERO!G96+MARZO!G96+ABRIL!G96+MAYO!G96+JUNIO!G96+JULIO!G96+AGOSTO!G96+SEPTIEMBRE!G96+OCTUBRE!G96+NOVIEMBRE!G96+DICIEMBRE!G96</f>
        <v>69773760.900000006</v>
      </c>
      <c r="H96" s="16">
        <f>ENERO!H96+FEBRERO!H96+MARZO!H96+ABRIL!H96+MAYO!H96+JUNIO!H96+JULIO!H96+AGOSTO!H96+SEPTIEMBRE!H96+OCTUBRE!H96+NOVIEMBRE!H96+DICIEMBRE!H96</f>
        <v>869609976.70000005</v>
      </c>
      <c r="I96" s="16">
        <f>ENERO!I96+FEBRERO!I96+MARZO!I96+ABRIL!I96+MAYO!I96+JUNIO!I96+JULIO!I96+AGOSTO!I96+SEPTIEMBRE!I96+OCTUBRE!I96+NOVIEMBRE!I96+DICIEMBRE!I96</f>
        <v>429301329.45999998</v>
      </c>
      <c r="J96" s="16">
        <f>ENERO!J96+FEBRERO!J96+MARZO!J96+ABRIL!J96+MAYO!J96+JUNIO!J96+JULIO!J96+AGOSTO!J96+SEPTIEMBRE!J96+OCTUBRE!J96+NOVIEMBRE!J96+DICIEMBRE!J96</f>
        <v>2298021757.9099994</v>
      </c>
      <c r="K96" s="16">
        <f>ENERO!K96+FEBRERO!K96+MARZO!K96+ABRIL!K96+MAYO!K96+JUNIO!K96+JULIO!K96+AGOSTO!K96+SEPTIEMBRE!K96+OCTUBRE!K96+NOVIEMBRE!K96+DICIEMBRE!K96</f>
        <v>173002682.07450455</v>
      </c>
      <c r="L96" s="16"/>
      <c r="M96" s="16"/>
      <c r="N96" s="18">
        <f t="shared" si="2"/>
        <v>19828091333.347519</v>
      </c>
      <c r="O96" s="4"/>
      <c r="P96" s="4"/>
      <c r="Q96" s="4"/>
    </row>
    <row r="97" spans="1:17" ht="18" customHeight="1" x14ac:dyDescent="0.2">
      <c r="A97" s="17" t="s">
        <v>92</v>
      </c>
      <c r="B97" s="16">
        <f>ENERO!B97+FEBRERO!B97+MARZO!B97+ABRIL!B97+MAYO!B97+JUNIO!B97+JULIO!B97+AGOSTO!B97+SEPTIEMBRE!B97+OCTUBRE!B97+NOVIEMBRE!B97+DICIEMBRE!B97</f>
        <v>7458493023.2799997</v>
      </c>
      <c r="C97" s="16">
        <f>ENERO!C97+FEBRERO!C97+MARZO!C97+ABRIL!C97+MAYO!C97+JUNIO!C97+JULIO!C97+AGOSTO!C97+SEPTIEMBRE!C97+OCTUBRE!C97+NOVIEMBRE!C97+DICIEMBRE!C97</f>
        <v>0</v>
      </c>
      <c r="D97" s="16">
        <f>ENERO!D97+FEBRERO!D97+MARZO!D97+ABRIL!D97+MAYO!D97+JUNIO!D97+JULIO!D97+AGOSTO!D97+SEPTIEMBRE!D97+OCTUBRE!D97+NOVIEMBRE!D97+DICIEMBRE!D97</f>
        <v>854793447.57590055</v>
      </c>
      <c r="E97" s="16">
        <f>ENERO!E97+FEBRERO!E97+MARZO!E97+ABRIL!E97+MAYO!E97+JUNIO!E97+JULIO!E97+AGOSTO!E97+SEPTIEMBRE!E97+OCTUBRE!E97+NOVIEMBRE!E97+DICIEMBRE!E97</f>
        <v>96647651.580000013</v>
      </c>
      <c r="F97" s="16">
        <f>ENERO!F97+FEBRERO!F97+MARZO!F97+ABRIL!F97+MAYO!F97+JUNIO!F97+JULIO!F97+AGOSTO!F97+SEPTIEMBRE!F97+OCTUBRE!F97+NOVIEMBRE!F97+DICIEMBRE!F97</f>
        <v>73762747.300000012</v>
      </c>
      <c r="G97" s="16">
        <f>ENERO!G97+FEBRERO!G97+MARZO!G97+ABRIL!G97+MAYO!G97+JUNIO!G97+JULIO!G97+AGOSTO!G97+SEPTIEMBRE!G97+OCTUBRE!G97+NOVIEMBRE!G97+DICIEMBRE!G97</f>
        <v>35904165.119999997</v>
      </c>
      <c r="H97" s="16">
        <f>ENERO!H97+FEBRERO!H97+MARZO!H97+ABRIL!H97+MAYO!H97+JUNIO!H97+JULIO!H97+AGOSTO!H97+SEPTIEMBRE!H97+OCTUBRE!H97+NOVIEMBRE!H97+DICIEMBRE!H97</f>
        <v>433438337.07999998</v>
      </c>
      <c r="I97" s="16">
        <f>ENERO!I97+FEBRERO!I97+MARZO!I97+ABRIL!I97+MAYO!I97+JUNIO!I97+JULIO!I97+AGOSTO!I97+SEPTIEMBRE!I97+OCTUBRE!I97+NOVIEMBRE!I97+DICIEMBRE!I97</f>
        <v>198203046</v>
      </c>
      <c r="J97" s="16">
        <f>ENERO!J97+FEBRERO!J97+MARZO!J97+ABRIL!J97+MAYO!J97+JUNIO!J97+JULIO!J97+AGOSTO!J97+SEPTIEMBRE!J97+OCTUBRE!J97+NOVIEMBRE!J97+DICIEMBRE!J97</f>
        <v>1561771740.2500002</v>
      </c>
      <c r="K97" s="16">
        <f>ENERO!K97+FEBRERO!K97+MARZO!K97+ABRIL!K97+MAYO!K97+JUNIO!K97+JULIO!K97+AGOSTO!K97+SEPTIEMBRE!K97+OCTUBRE!K97+NOVIEMBRE!K97+DICIEMBRE!K97</f>
        <v>87824128.508985639</v>
      </c>
      <c r="L97" s="16"/>
      <c r="M97" s="16"/>
      <c r="N97" s="18">
        <f t="shared" si="2"/>
        <v>10800838286.694885</v>
      </c>
      <c r="O97" s="4"/>
      <c r="P97" s="4"/>
      <c r="Q97" s="4"/>
    </row>
    <row r="98" spans="1:17" ht="18" customHeight="1" x14ac:dyDescent="0.2">
      <c r="A98" s="17" t="s">
        <v>93</v>
      </c>
      <c r="B98" s="16">
        <f>ENERO!B98+FEBRERO!B98+MARZO!B98+ABRIL!B98+MAYO!B98+JUNIO!B98+JULIO!B98+AGOSTO!B98+SEPTIEMBRE!B98+OCTUBRE!B98+NOVIEMBRE!B98+DICIEMBRE!B98</f>
        <v>21389244269.18</v>
      </c>
      <c r="C98" s="16">
        <f>ENERO!C98+FEBRERO!C98+MARZO!C98+ABRIL!C98+MAYO!C98+JUNIO!C98+JULIO!C98+AGOSTO!C98+SEPTIEMBRE!C98+OCTUBRE!C98+NOVIEMBRE!C98+DICIEMBRE!C98</f>
        <v>0</v>
      </c>
      <c r="D98" s="16">
        <f>ENERO!D98+FEBRERO!D98+MARZO!D98+ABRIL!D98+MAYO!D98+JUNIO!D98+JULIO!D98+AGOSTO!D98+SEPTIEMBRE!D98+OCTUBRE!D98+NOVIEMBRE!D98+DICIEMBRE!D98</f>
        <v>981428172.86831939</v>
      </c>
      <c r="E98" s="16">
        <f>ENERO!E98+FEBRERO!E98+MARZO!E98+ABRIL!E98+MAYO!E98+JUNIO!E98+JULIO!E98+AGOSTO!E98+SEPTIEMBRE!E98+OCTUBRE!E98+NOVIEMBRE!E98+DICIEMBRE!E98</f>
        <v>312205391.81999999</v>
      </c>
      <c r="F98" s="16">
        <f>ENERO!F98+FEBRERO!F98+MARZO!F98+ABRIL!F98+MAYO!F98+JUNIO!F98+JULIO!F98+AGOSTO!F98+SEPTIEMBRE!F98+OCTUBRE!F98+NOVIEMBRE!F98+DICIEMBRE!F98</f>
        <v>171528477.20999998</v>
      </c>
      <c r="G98" s="16">
        <f>ENERO!G98+FEBRERO!G98+MARZO!G98+ABRIL!G98+MAYO!G98+JUNIO!G98+JULIO!G98+AGOSTO!G98+SEPTIEMBRE!G98+OCTUBRE!G98+NOVIEMBRE!G98+DICIEMBRE!G98</f>
        <v>85930635.219999999</v>
      </c>
      <c r="H98" s="16">
        <f>ENERO!H98+FEBRERO!H98+MARZO!H98+ABRIL!H98+MAYO!H98+JUNIO!H98+JULIO!H98+AGOSTO!H98+SEPTIEMBRE!H98+OCTUBRE!H98+NOVIEMBRE!H98+DICIEMBRE!H98</f>
        <v>1243695711.3800001</v>
      </c>
      <c r="I98" s="16">
        <f>ENERO!I98+FEBRERO!I98+MARZO!I98+ABRIL!I98+MAYO!I98+JUNIO!I98+JULIO!I98+AGOSTO!I98+SEPTIEMBRE!I98+OCTUBRE!I98+NOVIEMBRE!I98+DICIEMBRE!I98</f>
        <v>460902933.99000001</v>
      </c>
      <c r="J98" s="16">
        <f>ENERO!J98+FEBRERO!J98+MARZO!J98+ABRIL!J98+MAYO!J98+JUNIO!J98+JULIO!J98+AGOSTO!J98+SEPTIEMBRE!J98+OCTUBRE!J98+NOVIEMBRE!J98+DICIEMBRE!J98</f>
        <v>3011152571.21</v>
      </c>
      <c r="K98" s="16">
        <f>ENERO!K98+FEBRERO!K98+MARZO!K98+ABRIL!K98+MAYO!K98+JUNIO!K98+JULIO!K98+AGOSTO!K98+SEPTIEMBRE!K98+OCTUBRE!K98+NOVIEMBRE!K98+DICIEMBRE!K98</f>
        <v>252693471.99906021</v>
      </c>
      <c r="L98" s="16"/>
      <c r="M98" s="16"/>
      <c r="N98" s="18">
        <f t="shared" si="2"/>
        <v>27908781634.877384</v>
      </c>
      <c r="O98" s="4"/>
      <c r="P98" s="4"/>
      <c r="Q98" s="4"/>
    </row>
    <row r="99" spans="1:17" ht="18" customHeight="1" x14ac:dyDescent="0.2">
      <c r="A99" s="17" t="s">
        <v>94</v>
      </c>
      <c r="B99" s="16">
        <f>ENERO!B99+FEBRERO!B99+MARZO!B99+ABRIL!B99+MAYO!B99+JUNIO!B99+JULIO!B99+AGOSTO!B99+SEPTIEMBRE!B99+OCTUBRE!B99+NOVIEMBRE!B99+DICIEMBRE!B99</f>
        <v>15406199030.560001</v>
      </c>
      <c r="C99" s="16">
        <f>ENERO!C99+FEBRERO!C99+MARZO!C99+ABRIL!C99+MAYO!C99+JUNIO!C99+JULIO!C99+AGOSTO!C99+SEPTIEMBRE!C99+OCTUBRE!C99+NOVIEMBRE!C99+DICIEMBRE!C99</f>
        <v>0</v>
      </c>
      <c r="D99" s="16">
        <f>ENERO!D99+FEBRERO!D99+MARZO!D99+ABRIL!D99+MAYO!D99+JUNIO!D99+JULIO!D99+AGOSTO!D99+SEPTIEMBRE!D99+OCTUBRE!D99+NOVIEMBRE!D99+DICIEMBRE!D99</f>
        <v>531636329.14796823</v>
      </c>
      <c r="E99" s="16">
        <f>ENERO!E99+FEBRERO!E99+MARZO!E99+ABRIL!E99+MAYO!E99+JUNIO!E99+JULIO!E99+AGOSTO!E99+SEPTIEMBRE!E99+OCTUBRE!E99+NOVIEMBRE!E99+DICIEMBRE!E99</f>
        <v>193321768.81999999</v>
      </c>
      <c r="F99" s="16">
        <f>ENERO!F99+FEBRERO!F99+MARZO!F99+ABRIL!F99+MAYO!F99+JUNIO!F99+JULIO!F99+AGOSTO!F99+SEPTIEMBRE!F99+OCTUBRE!F99+NOVIEMBRE!F99+DICIEMBRE!F99</f>
        <v>63583832.040000007</v>
      </c>
      <c r="G99" s="16">
        <f>ENERO!G99+FEBRERO!G99+MARZO!G99+ABRIL!G99+MAYO!G99+JUNIO!G99+JULIO!G99+AGOSTO!G99+SEPTIEMBRE!G99+OCTUBRE!G99+NOVIEMBRE!G99+DICIEMBRE!G99</f>
        <v>25731318.349999998</v>
      </c>
      <c r="H99" s="16">
        <f>ENERO!H99+FEBRERO!H99+MARZO!H99+ABRIL!H99+MAYO!H99+JUNIO!H99+JULIO!H99+AGOSTO!H99+SEPTIEMBRE!H99+OCTUBRE!H99+NOVIEMBRE!H99+DICIEMBRE!H99</f>
        <v>893492870.55999994</v>
      </c>
      <c r="I99" s="16">
        <f>ENERO!I99+FEBRERO!I99+MARZO!I99+ABRIL!I99+MAYO!I99+JUNIO!I99+JULIO!I99+AGOSTO!I99+SEPTIEMBRE!I99+OCTUBRE!I99+NOVIEMBRE!I99+DICIEMBRE!I99</f>
        <v>170851949.68000001</v>
      </c>
      <c r="J99" s="16">
        <f>ENERO!J99+FEBRERO!J99+MARZO!J99+ABRIL!J99+MAYO!J99+JUNIO!J99+JULIO!J99+AGOSTO!J99+SEPTIEMBRE!J99+OCTUBRE!J99+NOVIEMBRE!J99+DICIEMBRE!J99</f>
        <v>1974479576.6600003</v>
      </c>
      <c r="K99" s="16">
        <f>ENERO!K99+FEBRERO!K99+MARZO!K99+ABRIL!K99+MAYO!K99+JUNIO!K99+JULIO!K99+AGOSTO!K99+SEPTIEMBRE!K99+OCTUBRE!K99+NOVIEMBRE!K99+DICIEMBRE!K99</f>
        <v>179229613.87935272</v>
      </c>
      <c r="L99" s="16"/>
      <c r="M99" s="16"/>
      <c r="N99" s="18">
        <f t="shared" si="2"/>
        <v>19438526289.697323</v>
      </c>
      <c r="O99" s="4"/>
      <c r="P99" s="4"/>
      <c r="Q99" s="4"/>
    </row>
    <row r="100" spans="1:17" ht="18" customHeight="1" x14ac:dyDescent="0.2">
      <c r="A100" s="17" t="s">
        <v>95</v>
      </c>
      <c r="B100" s="16">
        <f>ENERO!B100+FEBRERO!B100+MARZO!B100+ABRIL!B100+MAYO!B100+JUNIO!B100+JULIO!B100+AGOSTO!B100+SEPTIEMBRE!B100+OCTUBRE!B100+NOVIEMBRE!B100+DICIEMBRE!B100</f>
        <v>15643840885.199999</v>
      </c>
      <c r="C100" s="16">
        <f>ENERO!C100+FEBRERO!C100+MARZO!C100+ABRIL!C100+MAYO!C100+JUNIO!C100+JULIO!C100+AGOSTO!C100+SEPTIEMBRE!C100+OCTUBRE!C100+NOVIEMBRE!C100+DICIEMBRE!C100</f>
        <v>0</v>
      </c>
      <c r="D100" s="16">
        <f>ENERO!D100+FEBRERO!D100+MARZO!D100+ABRIL!D100+MAYO!D100+JUNIO!D100+JULIO!D100+AGOSTO!D100+SEPTIEMBRE!D100+OCTUBRE!D100+NOVIEMBRE!D100+DICIEMBRE!D100</f>
        <v>774864218.33838892</v>
      </c>
      <c r="E100" s="16">
        <f>ENERO!E100+FEBRERO!E100+MARZO!E100+ABRIL!E100+MAYO!E100+JUNIO!E100+JULIO!E100+AGOSTO!E100+SEPTIEMBRE!E100+OCTUBRE!E100+NOVIEMBRE!E100+DICIEMBRE!E100</f>
        <v>201666700.72000003</v>
      </c>
      <c r="F100" s="16">
        <f>ENERO!F100+FEBRERO!F100+MARZO!F100+ABRIL!F100+MAYO!F100+JUNIO!F100+JULIO!F100+AGOSTO!F100+SEPTIEMBRE!F100+OCTUBRE!F100+NOVIEMBRE!F100+DICIEMBRE!F100</f>
        <v>71389959.620000005</v>
      </c>
      <c r="G100" s="16">
        <f>ENERO!G100+FEBRERO!G100+MARZO!G100+ABRIL!G100+MAYO!G100+JUNIO!G100+JULIO!G100+AGOSTO!G100+SEPTIEMBRE!G100+OCTUBRE!G100+NOVIEMBRE!G100+DICIEMBRE!G100</f>
        <v>30638220.91</v>
      </c>
      <c r="H100" s="16">
        <f>ENERO!H100+FEBRERO!H100+MARZO!H100+ABRIL!H100+MAYO!H100+JUNIO!H100+JULIO!H100+AGOSTO!H100+SEPTIEMBRE!H100+OCTUBRE!H100+NOVIEMBRE!H100+DICIEMBRE!H100</f>
        <v>913410672.04999995</v>
      </c>
      <c r="I100" s="16">
        <f>ENERO!I100+FEBRERO!I100+MARZO!I100+ABRIL!I100+MAYO!I100+JUNIO!I100+JULIO!I100+AGOSTO!I100+SEPTIEMBRE!I100+OCTUBRE!I100+NOVIEMBRE!I100+DICIEMBRE!I100</f>
        <v>191827283.66999999</v>
      </c>
      <c r="J100" s="16">
        <f>ENERO!J100+FEBRERO!J100+MARZO!J100+ABRIL!J100+MAYO!J100+JUNIO!J100+JULIO!J100+AGOSTO!J100+SEPTIEMBRE!J100+OCTUBRE!J100+NOVIEMBRE!J100+DICIEMBRE!J100</f>
        <v>1526886723.6100001</v>
      </c>
      <c r="K100" s="16">
        <f>ENERO!K100+FEBRERO!K100+MARZO!K100+ABRIL!K100+MAYO!K100+JUNIO!K100+JULIO!K100+AGOSTO!K100+SEPTIEMBRE!K100+OCTUBRE!K100+NOVIEMBRE!K100+DICIEMBRE!K100</f>
        <v>189366421.72953123</v>
      </c>
      <c r="L100" s="16"/>
      <c r="M100" s="16"/>
      <c r="N100" s="18">
        <f t="shared" si="2"/>
        <v>19543891085.847916</v>
      </c>
      <c r="O100" s="4"/>
      <c r="P100" s="4"/>
      <c r="Q100" s="4"/>
    </row>
    <row r="101" spans="1:17" ht="18" customHeight="1" x14ac:dyDescent="0.2">
      <c r="A101" s="17" t="s">
        <v>96</v>
      </c>
      <c r="B101" s="16">
        <f>ENERO!B101+FEBRERO!B101+MARZO!B101+ABRIL!B101+MAYO!B101+JUNIO!B101+JULIO!B101+AGOSTO!B101+SEPTIEMBRE!B101+OCTUBRE!B101+NOVIEMBRE!B101+DICIEMBRE!B101</f>
        <v>3348301975.1600003</v>
      </c>
      <c r="C101" s="16">
        <f>ENERO!C101+FEBRERO!C101+MARZO!C101+ABRIL!C101+MAYO!C101+JUNIO!C101+JULIO!C101+AGOSTO!C101+SEPTIEMBRE!C101+OCTUBRE!C101+NOVIEMBRE!C101+DICIEMBRE!C101</f>
        <v>0</v>
      </c>
      <c r="D101" s="16">
        <f>ENERO!D101+FEBRERO!D101+MARZO!D101+ABRIL!D101+MAYO!D101+JUNIO!D101+JULIO!D101+AGOSTO!D101+SEPTIEMBRE!D101+OCTUBRE!D101+NOVIEMBRE!D101+DICIEMBRE!D101</f>
        <v>256908222.72797206</v>
      </c>
      <c r="E101" s="16">
        <f>ENERO!E101+FEBRERO!E101+MARZO!E101+ABRIL!E101+MAYO!E101+JUNIO!E101+JULIO!E101+AGOSTO!E101+SEPTIEMBRE!E101+OCTUBRE!E101+NOVIEMBRE!E101+DICIEMBRE!E101</f>
        <v>41861947.200000003</v>
      </c>
      <c r="F101" s="16">
        <f>ENERO!F101+FEBRERO!F101+MARZO!F101+ABRIL!F101+MAYO!F101+JUNIO!F101+JULIO!F101+AGOSTO!F101+SEPTIEMBRE!F101+OCTUBRE!F101+NOVIEMBRE!F101+DICIEMBRE!F101</f>
        <v>8528280.3299999982</v>
      </c>
      <c r="G101" s="16">
        <f>ENERO!G101+FEBRERO!G101+MARZO!G101+ABRIL!G101+MAYO!G101+JUNIO!G101+JULIO!G101+AGOSTO!G101+SEPTIEMBRE!G101+OCTUBRE!G101+NOVIEMBRE!G101+DICIEMBRE!G101</f>
        <v>4906902.58</v>
      </c>
      <c r="H101" s="16">
        <f>ENERO!H101+FEBRERO!H101+MARZO!H101+ABRIL!H101+MAYO!H101+JUNIO!H101+JULIO!H101+AGOSTO!H101+SEPTIEMBRE!H101+OCTUBRE!H101+NOVIEMBRE!H101+DICIEMBRE!H101</f>
        <v>194061999.05999997</v>
      </c>
      <c r="I101" s="16">
        <f>ENERO!I101+FEBRERO!I101+MARZO!I101+ABRIL!I101+MAYO!I101+JUNIO!I101+JULIO!I101+AGOSTO!I101+SEPTIEMBRE!I101+OCTUBRE!I101+NOVIEMBRE!I101+DICIEMBRE!I101</f>
        <v>22915783.41</v>
      </c>
      <c r="J101" s="16">
        <f>ENERO!J101+FEBRERO!J101+MARZO!J101+ABRIL!J101+MAYO!J101+JUNIO!J101+JULIO!J101+AGOSTO!J101+SEPTIEMBRE!J101+OCTUBRE!J101+NOVIEMBRE!J101+DICIEMBRE!J101</f>
        <v>352388159.73999995</v>
      </c>
      <c r="K101" s="16">
        <f>ENERO!K101+FEBRERO!K101+MARZO!K101+ABRIL!K101+MAYO!K101+JUNIO!K101+JULIO!K101+AGOSTO!K101+SEPTIEMBRE!K101+OCTUBRE!K101+NOVIEMBRE!K101+DICIEMBRE!K101</f>
        <v>38802595.431409962</v>
      </c>
      <c r="L101" s="16"/>
      <c r="M101" s="16"/>
      <c r="N101" s="18">
        <f t="shared" si="2"/>
        <v>4268675865.6393814</v>
      </c>
      <c r="O101" s="4"/>
      <c r="P101" s="4"/>
      <c r="Q101" s="4"/>
    </row>
    <row r="102" spans="1:17" ht="18" customHeight="1" x14ac:dyDescent="0.2">
      <c r="A102" s="17" t="s">
        <v>97</v>
      </c>
      <c r="B102" s="16">
        <f>ENERO!B102+FEBRERO!B102+MARZO!B102+ABRIL!B102+MAYO!B102+JUNIO!B102+JULIO!B102+AGOSTO!B102+SEPTIEMBRE!B102+OCTUBRE!B102+NOVIEMBRE!B102+DICIEMBRE!B102</f>
        <v>9144568313.8299999</v>
      </c>
      <c r="C102" s="16">
        <f>ENERO!C102+FEBRERO!C102+MARZO!C102+ABRIL!C102+MAYO!C102+JUNIO!C102+JULIO!C102+AGOSTO!C102+SEPTIEMBRE!C102+OCTUBRE!C102+NOVIEMBRE!C102+DICIEMBRE!C102</f>
        <v>0</v>
      </c>
      <c r="D102" s="16">
        <f>ENERO!D102+FEBRERO!D102+MARZO!D102+ABRIL!D102+MAYO!D102+JUNIO!D102+JULIO!D102+AGOSTO!D102+SEPTIEMBRE!D102+OCTUBRE!D102+NOVIEMBRE!D102+DICIEMBRE!D102</f>
        <v>1173078809.308239</v>
      </c>
      <c r="E102" s="16">
        <f>ENERO!E102+FEBRERO!E102+MARZO!E102+ABRIL!E102+MAYO!E102+JUNIO!E102+JULIO!E102+AGOSTO!E102+SEPTIEMBRE!E102+OCTUBRE!E102+NOVIEMBRE!E102+DICIEMBRE!E102</f>
        <v>141502087.85999998</v>
      </c>
      <c r="F102" s="16">
        <f>ENERO!F102+FEBRERO!F102+MARZO!F102+ABRIL!F102+MAYO!F102+JUNIO!F102+JULIO!F102+AGOSTO!F102+SEPTIEMBRE!F102+OCTUBRE!F102+NOVIEMBRE!F102+DICIEMBRE!F102</f>
        <v>165132266.92999998</v>
      </c>
      <c r="G102" s="16">
        <f>ENERO!G102+FEBRERO!G102+MARZO!G102+ABRIL!G102+MAYO!G102+JUNIO!G102+JULIO!G102+AGOSTO!G102+SEPTIEMBRE!G102+OCTUBRE!G102+NOVIEMBRE!G102+DICIEMBRE!G102</f>
        <v>78749802.170000002</v>
      </c>
      <c r="H102" s="16">
        <f>ENERO!H102+FEBRERO!H102+MARZO!H102+ABRIL!H102+MAYO!H102+JUNIO!H102+JULIO!H102+AGOSTO!H102+SEPTIEMBRE!H102+OCTUBRE!H102+NOVIEMBRE!H102+DICIEMBRE!H102</f>
        <v>531303320.61000001</v>
      </c>
      <c r="I102" s="16">
        <f>ENERO!I102+FEBRERO!I102+MARZO!I102+ABRIL!I102+MAYO!I102+JUNIO!I102+JULIO!I102+AGOSTO!I102+SEPTIEMBRE!I102+OCTUBRE!I102+NOVIEMBRE!I102+DICIEMBRE!I102</f>
        <v>443716096.45000005</v>
      </c>
      <c r="J102" s="16">
        <f>ENERO!J102+FEBRERO!J102+MARZO!J102+ABRIL!J102+MAYO!J102+JUNIO!J102+JULIO!J102+AGOSTO!J102+SEPTIEMBRE!J102+OCTUBRE!J102+NOVIEMBRE!J102+DICIEMBRE!J102</f>
        <v>2269538120.5200009</v>
      </c>
      <c r="K102" s="16">
        <f>ENERO!K102+FEBRERO!K102+MARZO!K102+ABRIL!K102+MAYO!K102+JUNIO!K102+JULIO!K102+AGOSTO!K102+SEPTIEMBRE!K102+OCTUBRE!K102+NOVIEMBRE!K102+DICIEMBRE!K102</f>
        <v>107535279.54591505</v>
      </c>
      <c r="L102" s="16"/>
      <c r="M102" s="16"/>
      <c r="N102" s="18">
        <f t="shared" si="2"/>
        <v>14055124097.224157</v>
      </c>
      <c r="O102" s="4"/>
      <c r="P102" s="4"/>
      <c r="Q102" s="4"/>
    </row>
    <row r="103" spans="1:17" ht="18" customHeight="1" x14ac:dyDescent="0.2">
      <c r="A103" s="17" t="s">
        <v>98</v>
      </c>
      <c r="B103" s="16">
        <f>ENERO!B103+FEBRERO!B103+MARZO!B103+ABRIL!B103+MAYO!B103+JUNIO!B103+JULIO!B103+AGOSTO!B103+SEPTIEMBRE!B103+OCTUBRE!B103+NOVIEMBRE!B103+DICIEMBRE!B103</f>
        <v>3215551773.8899999</v>
      </c>
      <c r="C103" s="16">
        <f>ENERO!C103+FEBRERO!C103+MARZO!C103+ABRIL!C103+MAYO!C103+JUNIO!C103+JULIO!C103+AGOSTO!C103+SEPTIEMBRE!C103+OCTUBRE!C103+NOVIEMBRE!C103+DICIEMBRE!C103</f>
        <v>0</v>
      </c>
      <c r="D103" s="16">
        <f>ENERO!D103+FEBRERO!D103+MARZO!D103+ABRIL!D103+MAYO!D103+JUNIO!D103+JULIO!D103+AGOSTO!D103+SEPTIEMBRE!D103+OCTUBRE!D103+NOVIEMBRE!D103+DICIEMBRE!D103</f>
        <v>307221588.19317669</v>
      </c>
      <c r="E103" s="16">
        <f>ENERO!E103+FEBRERO!E103+MARZO!E103+ABRIL!E103+MAYO!E103+JUNIO!E103+JULIO!E103+AGOSTO!E103+SEPTIEMBRE!E103+OCTUBRE!E103+NOVIEMBRE!E103+DICIEMBRE!E103</f>
        <v>42197775.189999998</v>
      </c>
      <c r="F103" s="16">
        <f>ENERO!F103+FEBRERO!F103+MARZO!F103+ABRIL!F103+MAYO!F103+JUNIO!F103+JULIO!F103+AGOSTO!F103+SEPTIEMBRE!F103+OCTUBRE!F103+NOVIEMBRE!F103+DICIEMBRE!F103</f>
        <v>4092199.0100000002</v>
      </c>
      <c r="G103" s="16">
        <f>ENERO!G103+FEBRERO!G103+MARZO!G103+ABRIL!G103+MAYO!G103+JUNIO!G103+JULIO!G103+AGOSTO!G103+SEPTIEMBRE!G103+OCTUBRE!G103+NOVIEMBRE!G103+DICIEMBRE!G103</f>
        <v>3111694.31</v>
      </c>
      <c r="H103" s="16">
        <f>ENERO!H103+FEBRERO!H103+MARZO!H103+ABRIL!H103+MAYO!H103+JUNIO!H103+JULIO!H103+AGOSTO!H103+SEPTIEMBRE!H103+OCTUBRE!H103+NOVIEMBRE!H103+DICIEMBRE!H103</f>
        <v>188574263.20999998</v>
      </c>
      <c r="I103" s="16">
        <f>ENERO!I103+FEBRERO!I103+MARZO!I103+ABRIL!I103+MAYO!I103+JUNIO!I103+JULIO!I103+AGOSTO!I103+SEPTIEMBRE!I103+OCTUBRE!I103+NOVIEMBRE!I103+DICIEMBRE!I103</f>
        <v>10995879.940000001</v>
      </c>
      <c r="J103" s="16">
        <f>ENERO!J103+FEBRERO!J103+MARZO!J103+ABRIL!J103+MAYO!J103+JUNIO!J103+JULIO!J103+AGOSTO!J103+SEPTIEMBRE!J103+OCTUBRE!J103+NOVIEMBRE!J103+DICIEMBRE!J103</f>
        <v>498135179.25999981</v>
      </c>
      <c r="K103" s="16">
        <f>ENERO!K103+FEBRERO!K103+MARZO!K103+ABRIL!K103+MAYO!K103+JUNIO!K103+JULIO!K103+AGOSTO!K103+SEPTIEMBRE!K103+OCTUBRE!K103+NOVIEMBRE!K103+DICIEMBRE!K103</f>
        <v>39915080.849782117</v>
      </c>
      <c r="L103" s="16"/>
      <c r="M103" s="16"/>
      <c r="N103" s="18">
        <f t="shared" si="2"/>
        <v>4309795433.8529587</v>
      </c>
      <c r="O103" s="4"/>
      <c r="P103" s="4"/>
      <c r="Q103" s="4"/>
    </row>
    <row r="104" spans="1:17" ht="18" customHeight="1" x14ac:dyDescent="0.2">
      <c r="A104" s="17" t="s">
        <v>99</v>
      </c>
      <c r="B104" s="16">
        <f>ENERO!B104+FEBRERO!B104+MARZO!B104+ABRIL!B104+MAYO!B104+JUNIO!B104+JULIO!B104+AGOSTO!B104+SEPTIEMBRE!B104+OCTUBRE!B104+NOVIEMBRE!B104+DICIEMBRE!B104</f>
        <v>51039814258.43</v>
      </c>
      <c r="C104" s="16">
        <f>ENERO!C104+FEBRERO!C104+MARZO!C104+ABRIL!C104+MAYO!C104+JUNIO!C104+JULIO!C104+AGOSTO!C104+SEPTIEMBRE!C104+OCTUBRE!C104+NOVIEMBRE!C104+DICIEMBRE!C104</f>
        <v>0</v>
      </c>
      <c r="D104" s="16">
        <f>ENERO!D104+FEBRERO!D104+MARZO!D104+ABRIL!D104+MAYO!D104+JUNIO!D104+JULIO!D104+AGOSTO!D104+SEPTIEMBRE!D104+OCTUBRE!D104+NOVIEMBRE!D104+DICIEMBRE!D104</f>
        <v>481050864.21213621</v>
      </c>
      <c r="E104" s="16">
        <f>ENERO!E104+FEBRERO!E104+MARZO!E104+ABRIL!E104+MAYO!E104+JUNIO!E104+JULIO!E104+AGOSTO!E104+SEPTIEMBRE!E104+OCTUBRE!E104+NOVIEMBRE!E104+DICIEMBRE!E104</f>
        <v>747727739.27999997</v>
      </c>
      <c r="F104" s="16">
        <f>ENERO!F104+FEBRERO!F104+MARZO!F104+ABRIL!F104+MAYO!F104+JUNIO!F104+JULIO!F104+AGOSTO!F104+SEPTIEMBRE!F104+OCTUBRE!F104+NOVIEMBRE!F104+DICIEMBRE!F104</f>
        <v>838625696.48000002</v>
      </c>
      <c r="G104" s="16">
        <f>ENERO!G104+FEBRERO!G104+MARZO!G104+ABRIL!G104+MAYO!G104+JUNIO!G104+JULIO!G104+AGOSTO!G104+SEPTIEMBRE!G104+OCTUBRE!G104+NOVIEMBRE!G104+DICIEMBRE!G104</f>
        <v>159004579.86906147</v>
      </c>
      <c r="H104" s="16">
        <f>ENERO!H104+FEBRERO!H104+MARZO!H104+ABRIL!H104+MAYO!H104+JUNIO!H104+JULIO!H104+AGOSTO!H104+SEPTIEMBRE!H104+OCTUBRE!H104+NOVIEMBRE!H104+DICIEMBRE!H104</f>
        <v>2963973361.6099997</v>
      </c>
      <c r="I104" s="16">
        <f>ENERO!I104+FEBRERO!I104+MARZO!I104+ABRIL!I104+MAYO!I104+JUNIO!I104+JULIO!I104+AGOSTO!I104+SEPTIEMBRE!I104+OCTUBRE!I104+NOVIEMBRE!I104+DICIEMBRE!I104</f>
        <v>2253416169.0799999</v>
      </c>
      <c r="J104" s="16">
        <f>ENERO!J104+FEBRERO!J104+MARZO!J104+ABRIL!J104+MAYO!J104+JUNIO!J104+JULIO!J104+AGOSTO!J104+SEPTIEMBRE!J104+OCTUBRE!J104+NOVIEMBRE!J104+DICIEMBRE!J104</f>
        <v>5511576359.9300003</v>
      </c>
      <c r="K104" s="16">
        <f>ENERO!K104+FEBRERO!K104+MARZO!K104+ABRIL!K104+MAYO!K104+JUNIO!K104+JULIO!K104+AGOSTO!K104+SEPTIEMBRE!K104+OCTUBRE!K104+NOVIEMBRE!K104+DICIEMBRE!K104</f>
        <v>598444980.41501796</v>
      </c>
      <c r="L104" s="16"/>
      <c r="M104" s="16"/>
      <c r="N104" s="18">
        <f t="shared" ref="N104:N135" si="3">SUM(B104:M104)</f>
        <v>64593634009.306221</v>
      </c>
      <c r="O104" s="4"/>
      <c r="P104" s="4"/>
      <c r="Q104" s="4"/>
    </row>
    <row r="105" spans="1:17" ht="18" customHeight="1" x14ac:dyDescent="0.2">
      <c r="A105" s="17" t="s">
        <v>100</v>
      </c>
      <c r="B105" s="16">
        <f>ENERO!B105+FEBRERO!B105+MARZO!B105+ABRIL!B105+MAYO!B105+JUNIO!B105+JULIO!B105+AGOSTO!B105+SEPTIEMBRE!B105+OCTUBRE!B105+NOVIEMBRE!B105+DICIEMBRE!B105</f>
        <v>8263225165.3599997</v>
      </c>
      <c r="C105" s="16">
        <f>ENERO!C105+FEBRERO!C105+MARZO!C105+ABRIL!C105+MAYO!C105+JUNIO!C105+JULIO!C105+AGOSTO!C105+SEPTIEMBRE!C105+OCTUBRE!C105+NOVIEMBRE!C105+DICIEMBRE!C105</f>
        <v>0</v>
      </c>
      <c r="D105" s="16">
        <f>ENERO!D105+FEBRERO!D105+MARZO!D105+ABRIL!D105+MAYO!D105+JUNIO!D105+JULIO!D105+AGOSTO!D105+SEPTIEMBRE!D105+OCTUBRE!D105+NOVIEMBRE!D105+DICIEMBRE!D105</f>
        <v>83178134.530000001</v>
      </c>
      <c r="E105" s="16">
        <f>ENERO!E105+FEBRERO!E105+MARZO!E105+ABRIL!E105+MAYO!E105+JUNIO!E105+JULIO!E105+AGOSTO!E105+SEPTIEMBRE!E105+OCTUBRE!E105+NOVIEMBRE!E105+DICIEMBRE!E105</f>
        <v>133509107.91800001</v>
      </c>
      <c r="F105" s="16">
        <f>ENERO!F105+FEBRERO!F105+MARZO!F105+ABRIL!F105+MAYO!F105+JUNIO!F105+JULIO!F105+AGOSTO!F105+SEPTIEMBRE!F105+OCTUBRE!F105+NOVIEMBRE!F105+DICIEMBRE!F105</f>
        <v>36142026.759999998</v>
      </c>
      <c r="G105" s="16">
        <f>ENERO!G105+FEBRERO!G105+MARZO!G105+ABRIL!G105+MAYO!G105+JUNIO!G105+JULIO!G105+AGOSTO!G105+SEPTIEMBRE!G105+OCTUBRE!G105+NOVIEMBRE!G105+DICIEMBRE!G105</f>
        <v>26928123.850000001</v>
      </c>
      <c r="H105" s="16">
        <f>ENERO!H105+FEBRERO!H105+MARZO!H105+ABRIL!H105+MAYO!H105+JUNIO!H105+JULIO!H105+AGOSTO!H105+SEPTIEMBRE!H105+OCTUBRE!H105+NOVIEMBRE!H105+DICIEMBRE!H105</f>
        <v>484592383.61000001</v>
      </c>
      <c r="I105" s="16">
        <f>ENERO!I105+FEBRERO!I105+MARZO!I105+ABRIL!I105+MAYO!I105+JUNIO!I105+JULIO!I105+AGOSTO!I105+SEPTIEMBRE!I105+OCTUBRE!I105+NOVIEMBRE!I105+DICIEMBRE!I105</f>
        <v>97114872.409999996</v>
      </c>
      <c r="J105" s="16">
        <f>ENERO!J105+FEBRERO!J105+MARZO!J105+ABRIL!J105+MAYO!J105+JUNIO!J105+JULIO!J105+AGOSTO!J105+SEPTIEMBRE!J105+OCTUBRE!J105+NOVIEMBRE!J105+DICIEMBRE!J105</f>
        <v>719738403.82999992</v>
      </c>
      <c r="K105" s="16">
        <f>ENERO!K105+FEBRERO!K105+MARZO!K105+ABRIL!K105+MAYO!K105+JUNIO!K105+JULIO!K105+AGOSTO!K105+SEPTIEMBRE!K105+OCTUBRE!K105+NOVIEMBRE!K105+DICIEMBRE!K105</f>
        <v>102572648.84293056</v>
      </c>
      <c r="L105" s="16"/>
      <c r="M105" s="16"/>
      <c r="N105" s="18">
        <f t="shared" si="3"/>
        <v>9947000867.1109295</v>
      </c>
      <c r="O105" s="4"/>
      <c r="P105" s="4"/>
      <c r="Q105" s="4"/>
    </row>
    <row r="106" spans="1:17" ht="18" customHeight="1" x14ac:dyDescent="0.2">
      <c r="A106" s="17" t="s">
        <v>101</v>
      </c>
      <c r="B106" s="16">
        <f>ENERO!B106+FEBRERO!B106+MARZO!B106+ABRIL!B106+MAYO!B106+JUNIO!B106+JULIO!B106+AGOSTO!B106+SEPTIEMBRE!B106+OCTUBRE!B106+NOVIEMBRE!B106+DICIEMBRE!B106</f>
        <v>9391285301.5699997</v>
      </c>
      <c r="C106" s="16">
        <f>ENERO!C106+FEBRERO!C106+MARZO!C106+ABRIL!C106+MAYO!C106+JUNIO!C106+JULIO!C106+AGOSTO!C106+SEPTIEMBRE!C106+OCTUBRE!C106+NOVIEMBRE!C106+DICIEMBRE!C106</f>
        <v>0</v>
      </c>
      <c r="D106" s="16">
        <f>ENERO!D106+FEBRERO!D106+MARZO!D106+ABRIL!D106+MAYO!D106+JUNIO!D106+JULIO!D106+AGOSTO!D106+SEPTIEMBRE!D106+OCTUBRE!D106+NOVIEMBRE!D106+DICIEMBRE!D106</f>
        <v>47207497.620000005</v>
      </c>
      <c r="E106" s="16">
        <f>ENERO!E106+FEBRERO!E106+MARZO!E106+ABRIL!E106+MAYO!E106+JUNIO!E106+JULIO!E106+AGOSTO!E106+SEPTIEMBRE!E106+OCTUBRE!E106+NOVIEMBRE!E106+DICIEMBRE!E106</f>
        <v>120566714.64</v>
      </c>
      <c r="F106" s="16">
        <f>ENERO!F106+FEBRERO!F106+MARZO!F106+ABRIL!F106+MAYO!F106+JUNIO!F106+JULIO!F106+AGOSTO!F106+SEPTIEMBRE!F106+OCTUBRE!F106+NOVIEMBRE!F106+DICIEMBRE!F106</f>
        <v>256089127.85000002</v>
      </c>
      <c r="G106" s="16">
        <f>ENERO!G106+FEBRERO!G106+MARZO!G106+ABRIL!G106+MAYO!G106+JUNIO!G106+JULIO!G106+AGOSTO!G106+SEPTIEMBRE!G106+OCTUBRE!G106+NOVIEMBRE!G106+DICIEMBRE!G106</f>
        <v>77464184.312235728</v>
      </c>
      <c r="H106" s="16">
        <f>ENERO!H106+FEBRERO!H106+MARZO!H106+ABRIL!H106+MAYO!H106+JUNIO!H106+JULIO!H106+AGOSTO!H106+SEPTIEMBRE!H106+OCTUBRE!H106+NOVIEMBRE!H106+DICIEMBRE!H106</f>
        <v>544766202.90999997</v>
      </c>
      <c r="I106" s="16">
        <f>ENERO!I106+FEBRERO!I106+MARZO!I106+ABRIL!I106+MAYO!I106+JUNIO!I106+JULIO!I106+AGOSTO!I106+SEPTIEMBRE!I106+OCTUBRE!I106+NOVIEMBRE!I106+DICIEMBRE!I106</f>
        <v>688120318.63999999</v>
      </c>
      <c r="J106" s="16">
        <f>ENERO!J106+FEBRERO!J106+MARZO!J106+ABRIL!J106+MAYO!J106+JUNIO!J106+JULIO!J106+AGOSTO!J106+SEPTIEMBRE!J106+OCTUBRE!J106+NOVIEMBRE!J106+DICIEMBRE!J106</f>
        <v>1891609250.0100005</v>
      </c>
      <c r="K106" s="16">
        <f>ENERO!K106+FEBRERO!K106+MARZO!K106+ABRIL!K106+MAYO!K106+JUNIO!K106+JULIO!K106+AGOSTO!K106+SEPTIEMBRE!K106+OCTUBRE!K106+NOVIEMBRE!K106+DICIEMBRE!K106</f>
        <v>109389421.90986864</v>
      </c>
      <c r="L106" s="16"/>
      <c r="M106" s="16"/>
      <c r="N106" s="18">
        <f t="shared" si="3"/>
        <v>13126498019.462103</v>
      </c>
      <c r="O106" s="4"/>
      <c r="P106" s="4"/>
      <c r="Q106" s="4"/>
    </row>
    <row r="107" spans="1:17" ht="18" customHeight="1" x14ac:dyDescent="0.2">
      <c r="A107" s="17" t="s">
        <v>102</v>
      </c>
      <c r="B107" s="16">
        <f>ENERO!B107+FEBRERO!B107+MARZO!B107+ABRIL!B107+MAYO!B107+JUNIO!B107+JULIO!B107+AGOSTO!B107+SEPTIEMBRE!B107+OCTUBRE!B107+NOVIEMBRE!B107+DICIEMBRE!B107</f>
        <v>12403596306.920002</v>
      </c>
      <c r="C107" s="16">
        <f>ENERO!C107+FEBRERO!C107+MARZO!C107+ABRIL!C107+MAYO!C107+JUNIO!C107+JULIO!C107+AGOSTO!C107+SEPTIEMBRE!C107+OCTUBRE!C107+NOVIEMBRE!C107+DICIEMBRE!C107</f>
        <v>0</v>
      </c>
      <c r="D107" s="16">
        <f>ENERO!D107+FEBRERO!D107+MARZO!D107+ABRIL!D107+MAYO!D107+JUNIO!D107+JULIO!D107+AGOSTO!D107+SEPTIEMBRE!D107+OCTUBRE!D107+NOVIEMBRE!D107+DICIEMBRE!D107</f>
        <v>380101606.8627612</v>
      </c>
      <c r="E107" s="16">
        <f>ENERO!E107+FEBRERO!E107+MARZO!E107+ABRIL!E107+MAYO!E107+JUNIO!E107+JULIO!E107+AGOSTO!E107+SEPTIEMBRE!E107+OCTUBRE!E107+NOVIEMBRE!E107+DICIEMBRE!E107</f>
        <v>157236366.28999999</v>
      </c>
      <c r="F107" s="16">
        <f>ENERO!F107+FEBRERO!F107+MARZO!F107+ABRIL!F107+MAYO!F107+JUNIO!F107+JULIO!F107+AGOSTO!F107+SEPTIEMBRE!F107+OCTUBRE!F107+NOVIEMBRE!F107+DICIEMBRE!F107</f>
        <v>14236726.029999997</v>
      </c>
      <c r="G107" s="16">
        <f>ENERO!G107+FEBRERO!G107+MARZO!G107+ABRIL!G107+MAYO!G107+JUNIO!G107+JULIO!G107+AGOSTO!G107+SEPTIEMBRE!G107+OCTUBRE!G107+NOVIEMBRE!G107+DICIEMBRE!G107</f>
        <v>11369652.289999999</v>
      </c>
      <c r="H107" s="16">
        <f>ENERO!H107+FEBRERO!H107+MARZO!H107+ABRIL!H107+MAYO!H107+JUNIO!H107+JULIO!H107+AGOSTO!H107+SEPTIEMBRE!H107+OCTUBRE!H107+NOVIEMBRE!H107+DICIEMBRE!H107</f>
        <v>721462309.32000005</v>
      </c>
      <c r="I107" s="16">
        <f>ENERO!I107+FEBRERO!I107+MARZO!I107+ABRIL!I107+MAYO!I107+JUNIO!I107+JULIO!I107+AGOSTO!I107+SEPTIEMBRE!I107+OCTUBRE!I107+NOVIEMBRE!I107+DICIEMBRE!I107</f>
        <v>38254573.909999996</v>
      </c>
      <c r="J107" s="16">
        <f>ENERO!J107+FEBRERO!J107+MARZO!J107+ABRIL!J107+MAYO!J107+JUNIO!J107+JULIO!J107+AGOSTO!J107+SEPTIEMBRE!J107+OCTUBRE!J107+NOVIEMBRE!J107+DICIEMBRE!J107</f>
        <v>876376312.6400001</v>
      </c>
      <c r="K107" s="16">
        <f>ENERO!K107+FEBRERO!K107+MARZO!K107+ABRIL!K107+MAYO!K107+JUNIO!K107+JULIO!K107+AGOSTO!K107+SEPTIEMBRE!K107+OCTUBRE!K107+NOVIEMBRE!K107+DICIEMBRE!K107</f>
        <v>146830653.75324824</v>
      </c>
      <c r="L107" s="16"/>
      <c r="M107" s="16"/>
      <c r="N107" s="18">
        <f t="shared" si="3"/>
        <v>14749464508.016012</v>
      </c>
      <c r="O107" s="4"/>
      <c r="P107" s="4"/>
      <c r="Q107" s="4"/>
    </row>
    <row r="108" spans="1:17" ht="18" customHeight="1" x14ac:dyDescent="0.2">
      <c r="A108" s="17" t="s">
        <v>103</v>
      </c>
      <c r="B108" s="16">
        <f>ENERO!B108+FEBRERO!B108+MARZO!B108+ABRIL!B108+MAYO!B108+JUNIO!B108+JULIO!B108+AGOSTO!B108+SEPTIEMBRE!B108+OCTUBRE!B108+NOVIEMBRE!B108+DICIEMBRE!B108</f>
        <v>4642247100.54</v>
      </c>
      <c r="C108" s="16">
        <f>ENERO!C108+FEBRERO!C108+MARZO!C108+ABRIL!C108+MAYO!C108+JUNIO!C108+JULIO!C108+AGOSTO!C108+SEPTIEMBRE!C108+OCTUBRE!C108+NOVIEMBRE!C108+DICIEMBRE!C108</f>
        <v>0</v>
      </c>
      <c r="D108" s="16">
        <f>ENERO!D108+FEBRERO!D108+MARZO!D108+ABRIL!D108+MAYO!D108+JUNIO!D108+JULIO!D108+AGOSTO!D108+SEPTIEMBRE!D108+OCTUBRE!D108+NOVIEMBRE!D108+DICIEMBRE!D108</f>
        <v>144889297.53617066</v>
      </c>
      <c r="E108" s="16">
        <f>ENERO!E108+FEBRERO!E108+MARZO!E108+ABRIL!E108+MAYO!E108+JUNIO!E108+JULIO!E108+AGOSTO!E108+SEPTIEMBRE!E108+OCTUBRE!E108+NOVIEMBRE!E108+DICIEMBRE!E108</f>
        <v>57932434.109999999</v>
      </c>
      <c r="F108" s="16">
        <f>ENERO!F108+FEBRERO!F108+MARZO!F108+ABRIL!F108+MAYO!F108+JUNIO!F108+JULIO!F108+AGOSTO!F108+SEPTIEMBRE!F108+OCTUBRE!F108+NOVIEMBRE!F108+DICIEMBRE!F108</f>
        <v>14443055.399999999</v>
      </c>
      <c r="G108" s="16">
        <f>ENERO!G108+FEBRERO!G108+MARZO!G108+ABRIL!G108+MAYO!G108+JUNIO!G108+JULIO!G108+AGOSTO!G108+SEPTIEMBRE!G108+OCTUBRE!G108+NOVIEMBRE!G108+DICIEMBRE!G108</f>
        <v>8377638.5299999993</v>
      </c>
      <c r="H108" s="16">
        <f>ENERO!H108+FEBRERO!H108+MARZO!H108+ABRIL!H108+MAYO!H108+JUNIO!H108+JULIO!H108+AGOSTO!H108+SEPTIEMBRE!H108+OCTUBRE!H108+NOVIEMBRE!H108+DICIEMBRE!H108</f>
        <v>268944814.77999997</v>
      </c>
      <c r="I108" s="16">
        <f>ENERO!I108+FEBRERO!I108+MARZO!I108+ABRIL!I108+MAYO!I108+JUNIO!I108+JULIO!I108+AGOSTO!I108+SEPTIEMBRE!I108+OCTUBRE!I108+NOVIEMBRE!I108+DICIEMBRE!I108</f>
        <v>38808988.040000007</v>
      </c>
      <c r="J108" s="16">
        <f>ENERO!J108+FEBRERO!J108+MARZO!J108+ABRIL!J108+MAYO!J108+JUNIO!J108+JULIO!J108+AGOSTO!J108+SEPTIEMBRE!J108+OCTUBRE!J108+NOVIEMBRE!J108+DICIEMBRE!J108</f>
        <v>467512839.13999987</v>
      </c>
      <c r="K108" s="16">
        <f>ENERO!K108+FEBRERO!K108+MARZO!K108+ABRIL!K108+MAYO!K108+JUNIO!K108+JULIO!K108+AGOSTO!K108+SEPTIEMBRE!K108+OCTUBRE!K108+NOVIEMBRE!K108+DICIEMBRE!K108</f>
        <v>53663110.941701084</v>
      </c>
      <c r="L108" s="16"/>
      <c r="M108" s="16"/>
      <c r="N108" s="18">
        <f t="shared" si="3"/>
        <v>5696819279.0178709</v>
      </c>
      <c r="O108" s="4"/>
      <c r="P108" s="4"/>
      <c r="Q108" s="4"/>
    </row>
    <row r="109" spans="1:17" ht="18" customHeight="1" x14ac:dyDescent="0.2">
      <c r="A109" s="17" t="s">
        <v>104</v>
      </c>
      <c r="B109" s="16">
        <f>ENERO!B109+FEBRERO!B109+MARZO!B109+ABRIL!B109+MAYO!B109+JUNIO!B109+JULIO!B109+AGOSTO!B109+SEPTIEMBRE!B109+OCTUBRE!B109+NOVIEMBRE!B109+DICIEMBRE!B109</f>
        <v>42024619351.540001</v>
      </c>
      <c r="C109" s="16">
        <f>ENERO!C109+FEBRERO!C109+MARZO!C109+ABRIL!C109+MAYO!C109+JUNIO!C109+JULIO!C109+AGOSTO!C109+SEPTIEMBRE!C109+OCTUBRE!C109+NOVIEMBRE!C109+DICIEMBRE!C109</f>
        <v>0</v>
      </c>
      <c r="D109" s="16">
        <f>ENERO!D109+FEBRERO!D109+MARZO!D109+ABRIL!D109+MAYO!D109+JUNIO!D109+JULIO!D109+AGOSTO!D109+SEPTIEMBRE!D109+OCTUBRE!D109+NOVIEMBRE!D109+DICIEMBRE!D109</f>
        <v>448924184.6891405</v>
      </c>
      <c r="E109" s="16">
        <f>ENERO!E109+FEBRERO!E109+MARZO!E109+ABRIL!E109+MAYO!E109+JUNIO!E109+JULIO!E109+AGOSTO!E109+SEPTIEMBRE!E109+OCTUBRE!E109+NOVIEMBRE!E109+DICIEMBRE!E109</f>
        <v>621882471.93000007</v>
      </c>
      <c r="F109" s="16">
        <f>ENERO!F109+FEBRERO!F109+MARZO!F109+ABRIL!F109+MAYO!F109+JUNIO!F109+JULIO!F109+AGOSTO!F109+SEPTIEMBRE!F109+OCTUBRE!F109+NOVIEMBRE!F109+DICIEMBRE!F109</f>
        <v>1474635958.3700001</v>
      </c>
      <c r="G109" s="16">
        <f>ENERO!G109+FEBRERO!G109+MARZO!G109+ABRIL!G109+MAYO!G109+JUNIO!G109+JULIO!G109+AGOSTO!G109+SEPTIEMBRE!G109+OCTUBRE!G109+NOVIEMBRE!G109+DICIEMBRE!G109</f>
        <v>703902846.2562629</v>
      </c>
      <c r="H109" s="16">
        <f>ENERO!H109+FEBRERO!H109+MARZO!H109+ABRIL!H109+MAYO!H109+JUNIO!H109+JULIO!H109+AGOSTO!H109+SEPTIEMBRE!H109+OCTUBRE!H109+NOVIEMBRE!H109+DICIEMBRE!H109</f>
        <v>2439560554.1700001</v>
      </c>
      <c r="I109" s="16">
        <f>ENERO!I109+FEBRERO!I109+MARZO!I109+ABRIL!I109+MAYO!I109+JUNIO!I109+JULIO!I109+AGOSTO!I109+SEPTIEMBRE!I109+OCTUBRE!I109+NOVIEMBRE!I109+DICIEMBRE!I109</f>
        <v>3962397677.5099998</v>
      </c>
      <c r="J109" s="16">
        <f>ENERO!J109+FEBRERO!J109+MARZO!J109+ABRIL!J109+MAYO!J109+JUNIO!J109+JULIO!J109+AGOSTO!J109+SEPTIEMBRE!J109+OCTUBRE!J109+NOVIEMBRE!J109+DICIEMBRE!J109</f>
        <v>8530134853.5600004</v>
      </c>
      <c r="K109" s="16">
        <f>ENERO!K109+FEBRERO!K109+MARZO!K109+ABRIL!K109+MAYO!K109+JUNIO!K109+JULIO!K109+AGOSTO!K109+SEPTIEMBRE!K109+OCTUBRE!K109+NOVIEMBRE!K109+DICIEMBRE!K109</f>
        <v>491678734.41334677</v>
      </c>
      <c r="L109" s="16"/>
      <c r="M109" s="16"/>
      <c r="N109" s="18">
        <f t="shared" si="3"/>
        <v>60697736632.438751</v>
      </c>
      <c r="O109" s="4"/>
      <c r="P109" s="4"/>
      <c r="Q109" s="4"/>
    </row>
    <row r="110" spans="1:17" ht="18" customHeight="1" x14ac:dyDescent="0.2">
      <c r="A110" s="17" t="s">
        <v>105</v>
      </c>
      <c r="B110" s="16">
        <f>ENERO!B110+FEBRERO!B110+MARZO!B110+ABRIL!B110+MAYO!B110+JUNIO!B110+JULIO!B110+AGOSTO!B110+SEPTIEMBRE!B110+OCTUBRE!B110+NOVIEMBRE!B110+DICIEMBRE!B110</f>
        <v>4755580738.1900005</v>
      </c>
      <c r="C110" s="16">
        <f>ENERO!C110+FEBRERO!C110+MARZO!C110+ABRIL!C110+MAYO!C110+JUNIO!C110+JULIO!C110+AGOSTO!C110+SEPTIEMBRE!C110+OCTUBRE!C110+NOVIEMBRE!C110+DICIEMBRE!C110</f>
        <v>0</v>
      </c>
      <c r="D110" s="16">
        <f>ENERO!D110+FEBRERO!D110+MARZO!D110+ABRIL!D110+MAYO!D110+JUNIO!D110+JULIO!D110+AGOSTO!D110+SEPTIEMBRE!D110+OCTUBRE!D110+NOVIEMBRE!D110+DICIEMBRE!D110</f>
        <v>380605893.81076431</v>
      </c>
      <c r="E110" s="16">
        <f>ENERO!E110+FEBRERO!E110+MARZO!E110+ABRIL!E110+MAYO!E110+JUNIO!E110+JULIO!E110+AGOSTO!E110+SEPTIEMBRE!E110+OCTUBRE!E110+NOVIEMBRE!E110+DICIEMBRE!E110</f>
        <v>71131362.969999999</v>
      </c>
      <c r="F110" s="16">
        <f>ENERO!F110+FEBRERO!F110+MARZO!F110+ABRIL!F110+MAYO!F110+JUNIO!F110+JULIO!F110+AGOSTO!F110+SEPTIEMBRE!F110+OCTUBRE!F110+NOVIEMBRE!F110+DICIEMBRE!F110</f>
        <v>56362304.329999998</v>
      </c>
      <c r="G110" s="16">
        <f>ENERO!G110+FEBRERO!G110+MARZO!G110+ABRIL!G110+MAYO!G110+JUNIO!G110+JULIO!G110+AGOSTO!G110+SEPTIEMBRE!G110+OCTUBRE!G110+NOVIEMBRE!G110+DICIEMBRE!G110</f>
        <v>27167484.959999997</v>
      </c>
      <c r="H110" s="16">
        <f>ENERO!H110+FEBRERO!H110+MARZO!H110+ABRIL!H110+MAYO!H110+JUNIO!H110+JULIO!H110+AGOSTO!H110+SEPTIEMBRE!H110+OCTUBRE!H110+NOVIEMBRE!H110+DICIEMBRE!H110</f>
        <v>277100646.80000001</v>
      </c>
      <c r="I110" s="16">
        <f>ENERO!I110+FEBRERO!I110+MARZO!I110+ABRIL!I110+MAYO!I110+JUNIO!I110+JULIO!I110+AGOSTO!I110+SEPTIEMBRE!I110+OCTUBRE!I110+NOVIEMBRE!I110+DICIEMBRE!I110</f>
        <v>151447455.65000001</v>
      </c>
      <c r="J110" s="16">
        <f>ENERO!J110+FEBRERO!J110+MARZO!J110+ABRIL!J110+MAYO!J110+JUNIO!J110+JULIO!J110+AGOSTO!J110+SEPTIEMBRE!J110+OCTUBRE!J110+NOVIEMBRE!J110+DICIEMBRE!J110</f>
        <v>988384259.47000027</v>
      </c>
      <c r="K110" s="16">
        <f>ENERO!K110+FEBRERO!K110+MARZO!K110+ABRIL!K110+MAYO!K110+JUNIO!K110+JULIO!K110+AGOSTO!K110+SEPTIEMBRE!K110+OCTUBRE!K110+NOVIEMBRE!K110+DICIEMBRE!K110</f>
        <v>56883594.457078189</v>
      </c>
      <c r="L110" s="16"/>
      <c r="M110" s="16"/>
      <c r="N110" s="18">
        <f t="shared" si="3"/>
        <v>6764663740.6378431</v>
      </c>
      <c r="O110" s="4"/>
      <c r="P110" s="4"/>
      <c r="Q110" s="4"/>
    </row>
    <row r="111" spans="1:17" ht="18" customHeight="1" x14ac:dyDescent="0.2">
      <c r="A111" s="17" t="s">
        <v>106</v>
      </c>
      <c r="B111" s="16">
        <f>ENERO!B111+FEBRERO!B111+MARZO!B111+ABRIL!B111+MAYO!B111+JUNIO!B111+JULIO!B111+AGOSTO!B111+SEPTIEMBRE!B111+OCTUBRE!B111+NOVIEMBRE!B111+DICIEMBRE!B111</f>
        <v>5816949199.3100004</v>
      </c>
      <c r="C111" s="16">
        <f>ENERO!C111+FEBRERO!C111+MARZO!C111+ABRIL!C111+MAYO!C111+JUNIO!C111+JULIO!C111+AGOSTO!C111+SEPTIEMBRE!C111+OCTUBRE!C111+NOVIEMBRE!C111+DICIEMBRE!C111</f>
        <v>0</v>
      </c>
      <c r="D111" s="16">
        <f>ENERO!D111+FEBRERO!D111+MARZO!D111+ABRIL!D111+MAYO!D111+JUNIO!D111+JULIO!D111+AGOSTO!D111+SEPTIEMBRE!D111+OCTUBRE!D111+NOVIEMBRE!D111+DICIEMBRE!D111</f>
        <v>367759029.7418645</v>
      </c>
      <c r="E111" s="16">
        <f>ENERO!E111+FEBRERO!E111+MARZO!E111+ABRIL!E111+MAYO!E111+JUNIO!E111+JULIO!E111+AGOSTO!E111+SEPTIEMBRE!E111+OCTUBRE!E111+NOVIEMBRE!E111+DICIEMBRE!E111</f>
        <v>73043758.239999995</v>
      </c>
      <c r="F111" s="16">
        <f>ENERO!F111+FEBRERO!F111+MARZO!F111+ABRIL!F111+MAYO!F111+JUNIO!F111+JULIO!F111+AGOSTO!F111+SEPTIEMBRE!F111+OCTUBRE!F111+NOVIEMBRE!F111+DICIEMBRE!F111</f>
        <v>19635677.710000001</v>
      </c>
      <c r="G111" s="16">
        <f>ENERO!G111+FEBRERO!G111+MARZO!G111+ABRIL!G111+MAYO!G111+JUNIO!G111+JULIO!G111+AGOSTO!G111+SEPTIEMBRE!G111+OCTUBRE!G111+NOVIEMBRE!G111+DICIEMBRE!G111</f>
        <v>11369652.289999999</v>
      </c>
      <c r="H111" s="16">
        <f>ENERO!H111+FEBRERO!H111+MARZO!H111+ABRIL!H111+MAYO!H111+JUNIO!H111+JULIO!H111+AGOSTO!H111+SEPTIEMBRE!H111+OCTUBRE!H111+NOVIEMBRE!H111+DICIEMBRE!H111</f>
        <v>337557044.32999998</v>
      </c>
      <c r="I111" s="16">
        <f>ENERO!I111+FEBRERO!I111+MARZO!I111+ABRIL!I111+MAYO!I111+JUNIO!I111+JULIO!I111+AGOSTO!I111+SEPTIEMBRE!I111+OCTUBRE!I111+NOVIEMBRE!I111+DICIEMBRE!I111</f>
        <v>52761743.239999995</v>
      </c>
      <c r="J111" s="16">
        <f>ENERO!J111+FEBRERO!J111+MARZO!J111+ABRIL!J111+MAYO!J111+JUNIO!J111+JULIO!J111+AGOSTO!J111+SEPTIEMBRE!J111+OCTUBRE!J111+NOVIEMBRE!J111+DICIEMBRE!J111</f>
        <v>770006764.54999995</v>
      </c>
      <c r="K111" s="16">
        <f>ENERO!K111+FEBRERO!K111+MARZO!K111+ABRIL!K111+MAYO!K111+JUNIO!K111+JULIO!K111+AGOSTO!K111+SEPTIEMBRE!K111+OCTUBRE!K111+NOVIEMBRE!K111+DICIEMBRE!K111</f>
        <v>67911386.15463303</v>
      </c>
      <c r="L111" s="16"/>
      <c r="M111" s="16"/>
      <c r="N111" s="18">
        <f t="shared" si="3"/>
        <v>7516994255.5664968</v>
      </c>
      <c r="O111" s="4"/>
      <c r="P111" s="4"/>
      <c r="Q111" s="4"/>
    </row>
    <row r="112" spans="1:17" ht="18" customHeight="1" x14ac:dyDescent="0.2">
      <c r="A112" s="17" t="s">
        <v>107</v>
      </c>
      <c r="B112" s="16">
        <f>ENERO!B112+FEBRERO!B112+MARZO!B112+ABRIL!B112+MAYO!B112+JUNIO!B112+JULIO!B112+AGOSTO!B112+SEPTIEMBRE!B112+OCTUBRE!B112+NOVIEMBRE!B112+DICIEMBRE!B112</f>
        <v>8292983159.5900002</v>
      </c>
      <c r="C112" s="16">
        <f>ENERO!C112+FEBRERO!C112+MARZO!C112+ABRIL!C112+MAYO!C112+JUNIO!C112+JULIO!C112+AGOSTO!C112+SEPTIEMBRE!C112+OCTUBRE!C112+NOVIEMBRE!C112+DICIEMBRE!C112</f>
        <v>0</v>
      </c>
      <c r="D112" s="16">
        <f>ENERO!D112+FEBRERO!D112+MARZO!D112+ABRIL!D112+MAYO!D112+JUNIO!D112+JULIO!D112+AGOSTO!D112+SEPTIEMBRE!D112+OCTUBRE!D112+NOVIEMBRE!D112+DICIEMBRE!D112</f>
        <v>624520763.03511059</v>
      </c>
      <c r="E112" s="16">
        <f>ENERO!E112+FEBRERO!E112+MARZO!E112+ABRIL!E112+MAYO!E112+JUNIO!E112+JULIO!E112+AGOSTO!E112+SEPTIEMBRE!E112+OCTUBRE!E112+NOVIEMBRE!E112+DICIEMBRE!E112</f>
        <v>105788179.58</v>
      </c>
      <c r="F112" s="16">
        <f>ENERO!F112+FEBRERO!F112+MARZO!F112+ABRIL!F112+MAYO!F112+JUNIO!F112+JULIO!F112+AGOSTO!F112+SEPTIEMBRE!F112+OCTUBRE!F112+NOVIEMBRE!F112+DICIEMBRE!F112</f>
        <v>23865429.640000001</v>
      </c>
      <c r="G112" s="16">
        <f>ENERO!G112+FEBRERO!G112+MARZO!G112+ABRIL!G112+MAYO!G112+JUNIO!G112+JULIO!G112+AGOSTO!G112+SEPTIEMBRE!G112+OCTUBRE!G112+NOVIEMBRE!G112+DICIEMBRE!G112</f>
        <v>13523902.189999999</v>
      </c>
      <c r="H112" s="16">
        <f>ENERO!H112+FEBRERO!H112+MARZO!H112+ABRIL!H112+MAYO!H112+JUNIO!H112+JULIO!H112+AGOSTO!H112+SEPTIEMBRE!H112+OCTUBRE!H112+NOVIEMBRE!H112+DICIEMBRE!H112</f>
        <v>482013795.12</v>
      </c>
      <c r="I112" s="16">
        <f>ENERO!I112+FEBRERO!I112+MARZO!I112+ABRIL!I112+MAYO!I112+JUNIO!I112+JULIO!I112+AGOSTO!I112+SEPTIEMBRE!I112+OCTUBRE!I112+NOVIEMBRE!I112+DICIEMBRE!I112</f>
        <v>64127232.590000004</v>
      </c>
      <c r="J112" s="16">
        <f>ENERO!J112+FEBRERO!J112+MARZO!J112+ABRIL!J112+MAYO!J112+JUNIO!J112+JULIO!J112+AGOSTO!J112+SEPTIEMBRE!J112+OCTUBRE!J112+NOVIEMBRE!J112+DICIEMBRE!J112</f>
        <v>807728655.68000007</v>
      </c>
      <c r="K112" s="16">
        <f>ENERO!K112+FEBRERO!K112+MARZO!K112+ABRIL!K112+MAYO!K112+JUNIO!K112+JULIO!K112+AGOSTO!K112+SEPTIEMBRE!K112+OCTUBRE!K112+NOVIEMBRE!K112+DICIEMBRE!K112</f>
        <v>97746901.133258045</v>
      </c>
      <c r="L112" s="16"/>
      <c r="M112" s="16"/>
      <c r="N112" s="18">
        <f t="shared" si="3"/>
        <v>10512298018.558371</v>
      </c>
      <c r="O112" s="4"/>
      <c r="P112" s="4"/>
      <c r="Q112" s="4"/>
    </row>
    <row r="113" spans="1:17" ht="18" customHeight="1" x14ac:dyDescent="0.2">
      <c r="A113" s="17" t="s">
        <v>108</v>
      </c>
      <c r="B113" s="16">
        <f>ENERO!B113+FEBRERO!B113+MARZO!B113+ABRIL!B113+MAYO!B113+JUNIO!B113+JULIO!B113+AGOSTO!B113+SEPTIEMBRE!B113+OCTUBRE!B113+NOVIEMBRE!B113+DICIEMBRE!B113</f>
        <v>6676765288.1499996</v>
      </c>
      <c r="C113" s="16">
        <f>ENERO!C113+FEBRERO!C113+MARZO!C113+ABRIL!C113+MAYO!C113+JUNIO!C113+JULIO!C113+AGOSTO!C113+SEPTIEMBRE!C113+OCTUBRE!C113+NOVIEMBRE!C113+DICIEMBRE!C113</f>
        <v>0</v>
      </c>
      <c r="D113" s="16">
        <f>ENERO!D113+FEBRERO!D113+MARZO!D113+ABRIL!D113+MAYO!D113+JUNIO!D113+JULIO!D113+AGOSTO!D113+SEPTIEMBRE!D113+OCTUBRE!D113+NOVIEMBRE!D113+DICIEMBRE!D113</f>
        <v>841759605.77147031</v>
      </c>
      <c r="E113" s="16">
        <f>ENERO!E113+FEBRERO!E113+MARZO!E113+ABRIL!E113+MAYO!E113+JUNIO!E113+JULIO!E113+AGOSTO!E113+SEPTIEMBRE!E113+OCTUBRE!E113+NOVIEMBRE!E113+DICIEMBRE!E113</f>
        <v>83637638.99000001</v>
      </c>
      <c r="F113" s="16">
        <f>ENERO!F113+FEBRERO!F113+MARZO!F113+ABRIL!F113+MAYO!F113+JUNIO!F113+JULIO!F113+AGOSTO!F113+SEPTIEMBRE!F113+OCTUBRE!F113+NOVIEMBRE!F113+DICIEMBRE!F113</f>
        <v>33631686.159999996</v>
      </c>
      <c r="G113" s="16">
        <f>ENERO!G113+FEBRERO!G113+MARZO!G113+ABRIL!G113+MAYO!G113+JUNIO!G113+JULIO!G113+AGOSTO!G113+SEPTIEMBRE!G113+OCTUBRE!G113+NOVIEMBRE!G113+DICIEMBRE!G113</f>
        <v>17473360.359999999</v>
      </c>
      <c r="H113" s="16">
        <f>ENERO!H113+FEBRERO!H113+MARZO!H113+ABRIL!H113+MAYO!H113+JUNIO!H113+JULIO!H113+AGOSTO!H113+SEPTIEMBRE!H113+OCTUBRE!H113+NOVIEMBRE!H113+DICIEMBRE!H113</f>
        <v>386970819.63000005</v>
      </c>
      <c r="I113" s="16">
        <f>ENERO!I113+FEBRERO!I113+MARZO!I113+ABRIL!I113+MAYO!I113+JUNIO!I113+JULIO!I113+AGOSTO!I113+SEPTIEMBRE!I113+OCTUBRE!I113+NOVIEMBRE!I113+DICIEMBRE!I113</f>
        <v>90369500.679999992</v>
      </c>
      <c r="J113" s="16">
        <f>ENERO!J113+FEBRERO!J113+MARZO!J113+ABRIL!J113+MAYO!J113+JUNIO!J113+JULIO!J113+AGOSTO!J113+SEPTIEMBRE!J113+OCTUBRE!J113+NOVIEMBRE!J113+DICIEMBRE!J113</f>
        <v>788819103.29999983</v>
      </c>
      <c r="K113" s="16">
        <f>ENERO!K113+FEBRERO!K113+MARZO!K113+ABRIL!K113+MAYO!K113+JUNIO!K113+JULIO!K113+AGOSTO!K113+SEPTIEMBRE!K113+OCTUBRE!K113+NOVIEMBRE!K113+DICIEMBRE!K113</f>
        <v>77371245.383341223</v>
      </c>
      <c r="L113" s="16"/>
      <c r="M113" s="16"/>
      <c r="N113" s="18">
        <f t="shared" si="3"/>
        <v>8996798248.4248104</v>
      </c>
      <c r="O113" s="4"/>
      <c r="P113" s="4"/>
      <c r="Q113" s="4"/>
    </row>
    <row r="114" spans="1:17" ht="18" customHeight="1" x14ac:dyDescent="0.2">
      <c r="A114" s="17" t="s">
        <v>109</v>
      </c>
      <c r="B114" s="16">
        <f>ENERO!B114+FEBRERO!B114+MARZO!B114+ABRIL!B114+MAYO!B114+JUNIO!B114+JULIO!B114+AGOSTO!B114+SEPTIEMBRE!B114+OCTUBRE!B114+NOVIEMBRE!B114+DICIEMBRE!B114</f>
        <v>4126652916.6999998</v>
      </c>
      <c r="C114" s="16">
        <f>ENERO!C114+FEBRERO!C114+MARZO!C114+ABRIL!C114+MAYO!C114+JUNIO!C114+JULIO!C114+AGOSTO!C114+SEPTIEMBRE!C114+OCTUBRE!C114+NOVIEMBRE!C114+DICIEMBRE!C114</f>
        <v>0</v>
      </c>
      <c r="D114" s="16">
        <f>ENERO!D114+FEBRERO!D114+MARZO!D114+ABRIL!D114+MAYO!D114+JUNIO!D114+JULIO!D114+AGOSTO!D114+SEPTIEMBRE!D114+OCTUBRE!D114+NOVIEMBRE!D114+DICIEMBRE!D114</f>
        <v>279983405.15180624</v>
      </c>
      <c r="E114" s="16">
        <f>ENERO!E114+FEBRERO!E114+MARZO!E114+ABRIL!E114+MAYO!E114+JUNIO!E114+JULIO!E114+AGOSTO!E114+SEPTIEMBRE!E114+OCTUBRE!E114+NOVIEMBRE!E114+DICIEMBRE!E114</f>
        <v>51260818.290000007</v>
      </c>
      <c r="F114" s="16">
        <f>ENERO!F114+FEBRERO!F114+MARZO!F114+ABRIL!F114+MAYO!F114+JUNIO!F114+JULIO!F114+AGOSTO!F114+SEPTIEMBRE!F114+OCTUBRE!F114+NOVIEMBRE!F114+DICIEMBRE!F114</f>
        <v>20357830.469999999</v>
      </c>
      <c r="G114" s="16">
        <f>ENERO!G114+FEBRERO!G114+MARZO!G114+ABRIL!G114+MAYO!G114+JUNIO!G114+JULIO!G114+AGOSTO!G114+SEPTIEMBRE!G114+OCTUBRE!G114+NOVIEMBRE!G114+DICIEMBRE!G114</f>
        <v>9574444.0399999991</v>
      </c>
      <c r="H114" s="16">
        <f>ENERO!H114+FEBRERO!H114+MARZO!H114+ABRIL!H114+MAYO!H114+JUNIO!H114+JULIO!H114+AGOSTO!H114+SEPTIEMBRE!H114+OCTUBRE!H114+NOVIEMBRE!H114+DICIEMBRE!H114</f>
        <v>238781808.30000001</v>
      </c>
      <c r="I114" s="16">
        <f>ENERO!I114+FEBRERO!I114+MARZO!I114+ABRIL!I114+MAYO!I114+JUNIO!I114+JULIO!I114+AGOSTO!I114+SEPTIEMBRE!I114+OCTUBRE!I114+NOVIEMBRE!I114+DICIEMBRE!I114</f>
        <v>54702192.649999999</v>
      </c>
      <c r="J114" s="16">
        <f>ENERO!J114+FEBRERO!J114+MARZO!J114+ABRIL!J114+MAYO!J114+JUNIO!J114+JULIO!J114+AGOSTO!J114+SEPTIEMBRE!J114+OCTUBRE!J114+NOVIEMBRE!J114+DICIEMBRE!J114</f>
        <v>602581072.40999985</v>
      </c>
      <c r="K114" s="16">
        <f>ENERO!K114+FEBRERO!K114+MARZO!K114+ABRIL!K114+MAYO!K114+JUNIO!K114+JULIO!K114+AGOSTO!K114+SEPTIEMBRE!K114+OCTUBRE!K114+NOVIEMBRE!K114+DICIEMBRE!K114</f>
        <v>47351560.559169143</v>
      </c>
      <c r="L114" s="16"/>
      <c r="M114" s="16"/>
      <c r="N114" s="18">
        <f t="shared" si="3"/>
        <v>5431246048.5709743</v>
      </c>
      <c r="O114" s="4"/>
      <c r="P114" s="4"/>
      <c r="Q114" s="4"/>
    </row>
    <row r="115" spans="1:17" ht="18" customHeight="1" x14ac:dyDescent="0.2">
      <c r="A115" s="17" t="s">
        <v>110</v>
      </c>
      <c r="B115" s="16">
        <f>ENERO!B115+FEBRERO!B115+MARZO!B115+ABRIL!B115+MAYO!B115+JUNIO!B115+JULIO!B115+AGOSTO!B115+SEPTIEMBRE!B115+OCTUBRE!B115+NOVIEMBRE!B115+DICIEMBRE!B115</f>
        <v>9715457494.0499992</v>
      </c>
      <c r="C115" s="16">
        <f>ENERO!C115+FEBRERO!C115+MARZO!C115+ABRIL!C115+MAYO!C115+JUNIO!C115+JULIO!C115+AGOSTO!C115+SEPTIEMBRE!C115+OCTUBRE!C115+NOVIEMBRE!C115+DICIEMBRE!C115</f>
        <v>0</v>
      </c>
      <c r="D115" s="16">
        <f>ENERO!D115+FEBRERO!D115+MARZO!D115+ABRIL!D115+MAYO!D115+JUNIO!D115+JULIO!D115+AGOSTO!D115+SEPTIEMBRE!D115+OCTUBRE!D115+NOVIEMBRE!D115+DICIEMBRE!D115</f>
        <v>260276421.2724123</v>
      </c>
      <c r="E115" s="16">
        <f>ENERO!E115+FEBRERO!E115+MARZO!E115+ABRIL!E115+MAYO!E115+JUNIO!E115+JULIO!E115+AGOSTO!E115+SEPTIEMBRE!E115+OCTUBRE!E115+NOVIEMBRE!E115+DICIEMBRE!E115</f>
        <v>125025750.60000001</v>
      </c>
      <c r="F115" s="16">
        <f>ENERO!F115+FEBRERO!F115+MARZO!F115+ABRIL!F115+MAYO!F115+JUNIO!F115+JULIO!F115+AGOSTO!F115+SEPTIEMBRE!F115+OCTUBRE!F115+NOVIEMBRE!F115+DICIEMBRE!F115</f>
        <v>21079983.240000002</v>
      </c>
      <c r="G115" s="16">
        <f>ENERO!G115+FEBRERO!G115+MARZO!G115+ABRIL!G115+MAYO!G115+JUNIO!G115+JULIO!G115+AGOSTO!G115+SEPTIEMBRE!G115+OCTUBRE!G115+NOVIEMBRE!G115+DICIEMBRE!G115</f>
        <v>15340867.619999999</v>
      </c>
      <c r="H115" s="16">
        <f>ENERO!H115+FEBRERO!H115+MARZO!H115+ABRIL!H115+MAYO!H115+JUNIO!H115+JULIO!H115+AGOSTO!H115+SEPTIEMBRE!H115+OCTUBRE!H115+NOVIEMBRE!H115+DICIEMBRE!H115</f>
        <v>567182666.23999989</v>
      </c>
      <c r="I115" s="16">
        <f>ENERO!I115+FEBRERO!I115+MARZO!I115+ABRIL!I115+MAYO!I115+JUNIO!I115+JULIO!I115+AGOSTO!I115+SEPTIEMBRE!I115+OCTUBRE!I115+NOVIEMBRE!I115+DICIEMBRE!I115</f>
        <v>56642642.060000002</v>
      </c>
      <c r="J115" s="16">
        <f>ENERO!J115+FEBRERO!J115+MARZO!J115+ABRIL!J115+MAYO!J115+JUNIO!J115+JULIO!J115+AGOSTO!J115+SEPTIEMBRE!J115+OCTUBRE!J115+NOVIEMBRE!J115+DICIEMBRE!J115</f>
        <v>807401663.91000032</v>
      </c>
      <c r="K115" s="16">
        <f>ENERO!K115+FEBRERO!K115+MARZO!K115+ABRIL!K115+MAYO!K115+JUNIO!K115+JULIO!K115+AGOSTO!K115+SEPTIEMBRE!K115+OCTUBRE!K115+NOVIEMBRE!K115+DICIEMBRE!K115</f>
        <v>117505339.02242255</v>
      </c>
      <c r="L115" s="16"/>
      <c r="M115" s="16"/>
      <c r="N115" s="18">
        <f t="shared" si="3"/>
        <v>11685912828.014833</v>
      </c>
      <c r="O115" s="4"/>
      <c r="P115" s="4"/>
      <c r="Q115" s="4"/>
    </row>
    <row r="116" spans="1:17" ht="18" customHeight="1" x14ac:dyDescent="0.2">
      <c r="A116" s="17" t="s">
        <v>111</v>
      </c>
      <c r="B116" s="16">
        <f>ENERO!B116+FEBRERO!B116+MARZO!B116+ABRIL!B116+MAYO!B116+JUNIO!B116+JULIO!B116+AGOSTO!B116+SEPTIEMBRE!B116+OCTUBRE!B116+NOVIEMBRE!B116+DICIEMBRE!B116</f>
        <v>6293077107.1300001</v>
      </c>
      <c r="C116" s="16">
        <f>ENERO!C116+FEBRERO!C116+MARZO!C116+ABRIL!C116+MAYO!C116+JUNIO!C116+JULIO!C116+AGOSTO!C116+SEPTIEMBRE!C116+OCTUBRE!C116+NOVIEMBRE!C116+DICIEMBRE!C116</f>
        <v>0</v>
      </c>
      <c r="D116" s="16">
        <f>ENERO!D116+FEBRERO!D116+MARZO!D116+ABRIL!D116+MAYO!D116+JUNIO!D116+JULIO!D116+AGOSTO!D116+SEPTIEMBRE!D116+OCTUBRE!D116+NOVIEMBRE!D116+DICIEMBRE!D116</f>
        <v>380675237.02251232</v>
      </c>
      <c r="E116" s="16">
        <f>ENERO!E116+FEBRERO!E116+MARZO!E116+ABRIL!E116+MAYO!E116+JUNIO!E116+JULIO!E116+AGOSTO!E116+SEPTIEMBRE!E116+OCTUBRE!E116+NOVIEMBRE!E116+DICIEMBRE!E116</f>
        <v>80538563.379999995</v>
      </c>
      <c r="F116" s="16">
        <f>ENERO!F116+FEBRERO!F116+MARZO!F116+ABRIL!F116+MAYO!F116+JUNIO!F116+JULIO!F116+AGOSTO!F116+SEPTIEMBRE!F116+OCTUBRE!F116+NOVIEMBRE!F116+DICIEMBRE!F116</f>
        <v>58184880.370000005</v>
      </c>
      <c r="G116" s="16">
        <f>ENERO!G116+FEBRERO!G116+MARZO!G116+ABRIL!G116+MAYO!G116+JUNIO!G116+JULIO!G116+AGOSTO!G116+SEPTIEMBRE!G116+OCTUBRE!G116+NOVIEMBRE!G116+DICIEMBRE!G116</f>
        <v>24295151.739999998</v>
      </c>
      <c r="H116" s="16">
        <f>ENERO!H116+FEBRERO!H116+MARZO!H116+ABRIL!H116+MAYO!H116+JUNIO!H116+JULIO!H116+AGOSTO!H116+SEPTIEMBRE!H116+OCTUBRE!H116+NOVIEMBRE!H116+DICIEMBRE!H116</f>
        <v>365641379.45999998</v>
      </c>
      <c r="I116" s="16">
        <f>ENERO!I116+FEBRERO!I116+MARZO!I116+ABRIL!I116+MAYO!I116+JUNIO!I116+JULIO!I116+AGOSTO!I116+SEPTIEMBRE!I116+OCTUBRE!I116+NOVIEMBRE!I116+DICIEMBRE!I116</f>
        <v>156344780.33000001</v>
      </c>
      <c r="J116" s="16">
        <f>ENERO!J116+FEBRERO!J116+MARZO!J116+ABRIL!J116+MAYO!J116+JUNIO!J116+JULIO!J116+AGOSTO!J116+SEPTIEMBRE!J116+OCTUBRE!J116+NOVIEMBRE!J116+DICIEMBRE!J116</f>
        <v>1095319414.7700005</v>
      </c>
      <c r="K116" s="16">
        <f>ENERO!K116+FEBRERO!K116+MARZO!K116+ABRIL!K116+MAYO!K116+JUNIO!K116+JULIO!K116+AGOSTO!K116+SEPTIEMBRE!K116+OCTUBRE!K116+NOVIEMBRE!K116+DICIEMBRE!K116</f>
        <v>74016367.656348675</v>
      </c>
      <c r="L116" s="16"/>
      <c r="M116" s="16"/>
      <c r="N116" s="18">
        <f t="shared" si="3"/>
        <v>8528092881.858861</v>
      </c>
      <c r="O116" s="4"/>
      <c r="P116" s="4"/>
      <c r="Q116" s="4"/>
    </row>
    <row r="117" spans="1:17" ht="18" customHeight="1" x14ac:dyDescent="0.2">
      <c r="A117" s="17" t="s">
        <v>112</v>
      </c>
      <c r="B117" s="16">
        <f>ENERO!B117+FEBRERO!B117+MARZO!B117+ABRIL!B117+MAYO!B117+JUNIO!B117+JULIO!B117+AGOSTO!B117+SEPTIEMBRE!B117+OCTUBRE!B117+NOVIEMBRE!B117+DICIEMBRE!B117</f>
        <v>3449816835.02</v>
      </c>
      <c r="C117" s="16">
        <f>ENERO!C117+FEBRERO!C117+MARZO!C117+ABRIL!C117+MAYO!C117+JUNIO!C117+JULIO!C117+AGOSTO!C117+SEPTIEMBRE!C117+OCTUBRE!C117+NOVIEMBRE!C117+DICIEMBRE!C117</f>
        <v>0</v>
      </c>
      <c r="D117" s="16">
        <f>ENERO!D117+FEBRERO!D117+MARZO!D117+ABRIL!D117+MAYO!D117+JUNIO!D117+JULIO!D117+AGOSTO!D117+SEPTIEMBRE!D117+OCTUBRE!D117+NOVIEMBRE!D117+DICIEMBRE!D117</f>
        <v>87293449.885744169</v>
      </c>
      <c r="E117" s="16">
        <f>ENERO!E117+FEBRERO!E117+MARZO!E117+ABRIL!E117+MAYO!E117+JUNIO!E117+JULIO!E117+AGOSTO!E117+SEPTIEMBRE!E117+OCTUBRE!E117+NOVIEMBRE!E117+DICIEMBRE!E117</f>
        <v>43724515.399999999</v>
      </c>
      <c r="F117" s="16">
        <f>ENERO!F117+FEBRERO!F117+MARZO!F117+ABRIL!F117+MAYO!F117+JUNIO!F117+JULIO!F117+AGOSTO!F117+SEPTIEMBRE!F117+OCTUBRE!F117+NOVIEMBRE!F117+DICIEMBRE!F117</f>
        <v>12242208.85</v>
      </c>
      <c r="G117" s="16">
        <f>ENERO!G117+FEBRERO!G117+MARZO!G117+ABRIL!G117+MAYO!G117+JUNIO!G117+JULIO!G117+AGOSTO!G117+SEPTIEMBRE!G117+OCTUBRE!G117+NOVIEMBRE!G117+DICIEMBRE!G117</f>
        <v>6462749.7300000004</v>
      </c>
      <c r="H117" s="16">
        <f>ENERO!H117+FEBRERO!H117+MARZO!H117+ABRIL!H117+MAYO!H117+JUNIO!H117+JULIO!H117+AGOSTO!H117+SEPTIEMBRE!H117+OCTUBRE!H117+NOVIEMBRE!H117+DICIEMBRE!H117</f>
        <v>200018763.79000002</v>
      </c>
      <c r="I117" s="16">
        <f>ENERO!I117+FEBRERO!I117+MARZO!I117+ABRIL!I117+MAYO!I117+JUNIO!I117+JULIO!I117+AGOSTO!I117+SEPTIEMBRE!I117+OCTUBRE!I117+NOVIEMBRE!I117+DICIEMBRE!I117</f>
        <v>32895237.469999999</v>
      </c>
      <c r="J117" s="16">
        <f>ENERO!J117+FEBRERO!J117+MARZO!J117+ABRIL!J117+MAYO!J117+JUNIO!J117+JULIO!J117+AGOSTO!J117+SEPTIEMBRE!J117+OCTUBRE!J117+NOVIEMBRE!J117+DICIEMBRE!J117</f>
        <v>322820441.69</v>
      </c>
      <c r="K117" s="16">
        <f>ENERO!K117+FEBRERO!K117+MARZO!K117+ABRIL!K117+MAYO!K117+JUNIO!K117+JULIO!K117+AGOSTO!K117+SEPTIEMBRE!K117+OCTUBRE!K117+NOVIEMBRE!K117+DICIEMBRE!K117</f>
        <v>40066896.533273615</v>
      </c>
      <c r="L117" s="16"/>
      <c r="M117" s="16"/>
      <c r="N117" s="18">
        <f t="shared" si="3"/>
        <v>4195341098.3690176</v>
      </c>
      <c r="O117" s="4"/>
      <c r="P117" s="4"/>
      <c r="Q117" s="4"/>
    </row>
    <row r="118" spans="1:17" ht="18" customHeight="1" x14ac:dyDescent="0.2">
      <c r="A118" s="17" t="s">
        <v>113</v>
      </c>
      <c r="B118" s="16">
        <f>ENERO!B118+FEBRERO!B118+MARZO!B118+ABRIL!B118+MAYO!B118+JUNIO!B118+JULIO!B118+AGOSTO!B118+SEPTIEMBRE!B118+OCTUBRE!B118+NOVIEMBRE!B118+DICIEMBRE!B118</f>
        <v>5712479645.0700006</v>
      </c>
      <c r="C118" s="16">
        <f>ENERO!C118+FEBRERO!C118+MARZO!C118+ABRIL!C118+MAYO!C118+JUNIO!C118+JULIO!C118+AGOSTO!C118+SEPTIEMBRE!C118+OCTUBRE!C118+NOVIEMBRE!C118+DICIEMBRE!C118</f>
        <v>0</v>
      </c>
      <c r="D118" s="16">
        <f>ENERO!D118+FEBRERO!D118+MARZO!D118+ABRIL!D118+MAYO!D118+JUNIO!D118+JULIO!D118+AGOSTO!D118+SEPTIEMBRE!D118+OCTUBRE!D118+NOVIEMBRE!D118+DICIEMBRE!D118</f>
        <v>727211924.02035224</v>
      </c>
      <c r="E118" s="16">
        <f>ENERO!E118+FEBRERO!E118+MARZO!E118+ABRIL!E118+MAYO!E118+JUNIO!E118+JULIO!E118+AGOSTO!E118+SEPTIEMBRE!E118+OCTUBRE!E118+NOVIEMBRE!E118+DICIEMBRE!E118</f>
        <v>74932535.620000005</v>
      </c>
      <c r="F118" s="16">
        <f>ENERO!F118+FEBRERO!F118+MARZO!F118+ABRIL!F118+MAYO!F118+JUNIO!F118+JULIO!F118+AGOSTO!F118+SEPTIEMBRE!F118+OCTUBRE!F118+NOVIEMBRE!F118+DICIEMBRE!F118</f>
        <v>57737833.43</v>
      </c>
      <c r="G118" s="16">
        <f>ENERO!G118+FEBRERO!G118+MARZO!G118+ABRIL!G118+MAYO!G118+JUNIO!G118+JULIO!G118+AGOSTO!G118+SEPTIEMBRE!G118+OCTUBRE!G118+NOVIEMBRE!G118+DICIEMBRE!G118</f>
        <v>26928123.850000001</v>
      </c>
      <c r="H118" s="16">
        <f>ENERO!H118+FEBRERO!H118+MARZO!H118+ABRIL!H118+MAYO!H118+JUNIO!H118+JULIO!H118+AGOSTO!H118+SEPTIEMBRE!H118+OCTUBRE!H118+NOVIEMBRE!H118+DICIEMBRE!H118</f>
        <v>333180870.68000001</v>
      </c>
      <c r="I118" s="16">
        <f>ENERO!I118+FEBRERO!I118+MARZO!I118+ABRIL!I118+MAYO!I118+JUNIO!I118+JULIO!I118+AGOSTO!I118+SEPTIEMBRE!I118+OCTUBRE!I118+NOVIEMBRE!I118+DICIEMBRE!I118</f>
        <v>155143549.74000001</v>
      </c>
      <c r="J118" s="16">
        <f>ENERO!J118+FEBRERO!J118+MARZO!J118+ABRIL!J118+MAYO!J118+JUNIO!J118+JULIO!J118+AGOSTO!J118+SEPTIEMBRE!J118+OCTUBRE!J118+NOVIEMBRE!J118+DICIEMBRE!J118</f>
        <v>889821272.12000036</v>
      </c>
      <c r="K118" s="16">
        <f>ENERO!K118+FEBRERO!K118+MARZO!K118+ABRIL!K118+MAYO!K118+JUNIO!K118+JULIO!K118+AGOSTO!K118+SEPTIEMBRE!K118+OCTUBRE!K118+NOVIEMBRE!K118+DICIEMBRE!K118</f>
        <v>68717751.4243256</v>
      </c>
      <c r="L118" s="16"/>
      <c r="M118" s="16"/>
      <c r="N118" s="18">
        <f t="shared" si="3"/>
        <v>8046153505.9546795</v>
      </c>
      <c r="O118" s="4"/>
      <c r="P118" s="4"/>
      <c r="Q118" s="4"/>
    </row>
    <row r="119" spans="1:17" ht="18" customHeight="1" x14ac:dyDescent="0.2">
      <c r="A119" s="17" t="s">
        <v>114</v>
      </c>
      <c r="B119" s="16">
        <f>ENERO!B119+FEBRERO!B119+MARZO!B119+ABRIL!B119+MAYO!B119+JUNIO!B119+JULIO!B119+AGOSTO!B119+SEPTIEMBRE!B119+OCTUBRE!B119+NOVIEMBRE!B119+DICIEMBRE!B119</f>
        <v>7450262088.7299995</v>
      </c>
      <c r="C119" s="16">
        <f>ENERO!C119+FEBRERO!C119+MARZO!C119+ABRIL!C119+MAYO!C119+JUNIO!C119+JULIO!C119+AGOSTO!C119+SEPTIEMBRE!C119+OCTUBRE!C119+NOVIEMBRE!C119+DICIEMBRE!C119</f>
        <v>0</v>
      </c>
      <c r="D119" s="16">
        <f>ENERO!D119+FEBRERO!D119+MARZO!D119+ABRIL!D119+MAYO!D119+JUNIO!D119+JULIO!D119+AGOSTO!D119+SEPTIEMBRE!D119+OCTUBRE!D119+NOVIEMBRE!D119+DICIEMBRE!D119</f>
        <v>330473797.66138804</v>
      </c>
      <c r="E119" s="16">
        <f>ENERO!E119+FEBRERO!E119+MARZO!E119+ABRIL!E119+MAYO!E119+JUNIO!E119+JULIO!E119+AGOSTO!E119+SEPTIEMBRE!E119+OCTUBRE!E119+NOVIEMBRE!E119+DICIEMBRE!E119</f>
        <v>96357625.159999996</v>
      </c>
      <c r="F119" s="16">
        <f>ENERO!F119+FEBRERO!F119+MARZO!F119+ABRIL!F119+MAYO!F119+JUNIO!F119+JULIO!F119+AGOSTO!F119+SEPTIEMBRE!F119+OCTUBRE!F119+NOVIEMBRE!F119+DICIEMBRE!F119</f>
        <v>46389718.450000003</v>
      </c>
      <c r="G119" s="16">
        <f>ENERO!G119+FEBRERO!G119+MARZO!G119+ABRIL!G119+MAYO!G119+JUNIO!G119+JULIO!G119+AGOSTO!G119+SEPTIEMBRE!G119+OCTUBRE!G119+NOVIEMBRE!G119+DICIEMBRE!G119</f>
        <v>18071763.109999999</v>
      </c>
      <c r="H119" s="16">
        <f>ENERO!H119+FEBRERO!H119+MARZO!H119+ABRIL!H119+MAYO!H119+JUNIO!H119+JULIO!H119+AGOSTO!H119+SEPTIEMBRE!H119+OCTUBRE!H119+NOVIEMBRE!H119+DICIEMBRE!H119</f>
        <v>434906936.30999994</v>
      </c>
      <c r="I119" s="16">
        <f>ENERO!I119+FEBRERO!I119+MARZO!I119+ABRIL!I119+MAYO!I119+JUNIO!I119+JULIO!I119+AGOSTO!I119+SEPTIEMBRE!I119+OCTUBRE!I119+NOVIEMBRE!I119+DICIEMBRE!I119</f>
        <v>124650773.44000001</v>
      </c>
      <c r="J119" s="16">
        <f>ENERO!J119+FEBRERO!J119+MARZO!J119+ABRIL!J119+MAYO!J119+JUNIO!J119+JULIO!J119+AGOSTO!J119+SEPTIEMBRE!J119+OCTUBRE!J119+NOVIEMBRE!J119+DICIEMBRE!J119</f>
        <v>809973410.70000005</v>
      </c>
      <c r="K119" s="16">
        <f>ENERO!K119+FEBRERO!K119+MARZO!K119+ABRIL!K119+MAYO!K119+JUNIO!K119+JULIO!K119+AGOSTO!K119+SEPTIEMBRE!K119+OCTUBRE!K119+NOVIEMBRE!K119+DICIEMBRE!K119</f>
        <v>90066520.817606002</v>
      </c>
      <c r="L119" s="16"/>
      <c r="M119" s="16"/>
      <c r="N119" s="18">
        <f t="shared" si="3"/>
        <v>9401152634.3789921</v>
      </c>
      <c r="O119" s="4"/>
      <c r="P119" s="4"/>
      <c r="Q119" s="4"/>
    </row>
    <row r="120" spans="1:17" ht="18" customHeight="1" x14ac:dyDescent="0.2">
      <c r="A120" s="17" t="s">
        <v>115</v>
      </c>
      <c r="B120" s="16">
        <f>ENERO!B120+FEBRERO!B120+MARZO!B120+ABRIL!B120+MAYO!B120+JUNIO!B120+JULIO!B120+AGOSTO!B120+SEPTIEMBRE!B120+OCTUBRE!B120+NOVIEMBRE!B120+DICIEMBRE!B120</f>
        <v>4570912334.1999998</v>
      </c>
      <c r="C120" s="16">
        <f>ENERO!C120+FEBRERO!C120+MARZO!C120+ABRIL!C120+MAYO!C120+JUNIO!C120+JULIO!C120+AGOSTO!C120+SEPTIEMBRE!C120+OCTUBRE!C120+NOVIEMBRE!C120+DICIEMBRE!C120</f>
        <v>0</v>
      </c>
      <c r="D120" s="16">
        <f>ENERO!D120+FEBRERO!D120+MARZO!D120+ABRIL!D120+MAYO!D120+JUNIO!D120+JULIO!D120+AGOSTO!D120+SEPTIEMBRE!D120+OCTUBRE!D120+NOVIEMBRE!D120+DICIEMBRE!D120</f>
        <v>322266991.82350773</v>
      </c>
      <c r="E120" s="16">
        <f>ENERO!E120+FEBRERO!E120+MARZO!E120+ABRIL!E120+MAYO!E120+JUNIO!E120+JULIO!E120+AGOSTO!E120+SEPTIEMBRE!E120+OCTUBRE!E120+NOVIEMBRE!E120+DICIEMBRE!E120</f>
        <v>60316447.799999997</v>
      </c>
      <c r="F120" s="16">
        <f>ENERO!F120+FEBRERO!F120+MARZO!F120+ABRIL!F120+MAYO!F120+JUNIO!F120+JULIO!F120+AGOSTO!F120+SEPTIEMBRE!F120+OCTUBRE!F120+NOVIEMBRE!F120+DICIEMBRE!F120</f>
        <v>31258898.489999998</v>
      </c>
      <c r="G120" s="16">
        <f>ENERO!G120+FEBRERO!G120+MARZO!G120+ABRIL!G120+MAYO!G120+JUNIO!G120+JULIO!G120+AGOSTO!G120+SEPTIEMBRE!G120+OCTUBRE!G120+NOVIEMBRE!G120+DICIEMBRE!G120</f>
        <v>18311124.209999997</v>
      </c>
      <c r="H120" s="16">
        <f>ENERO!H120+FEBRERO!H120+MARZO!H120+ABRIL!H120+MAYO!H120+JUNIO!H120+JULIO!H120+AGOSTO!H120+SEPTIEMBRE!H120+OCTUBRE!H120+NOVIEMBRE!H120+DICIEMBRE!H120</f>
        <v>267188588.49999997</v>
      </c>
      <c r="I120" s="16">
        <f>ENERO!I120+FEBRERO!I120+MARZO!I120+ABRIL!I120+MAYO!I120+JUNIO!I120+JULIO!I120+AGOSTO!I120+SEPTIEMBRE!I120+OCTUBRE!I120+NOVIEMBRE!I120+DICIEMBRE!I120</f>
        <v>83993738.370000005</v>
      </c>
      <c r="J120" s="16">
        <f>ENERO!J120+FEBRERO!J120+MARZO!J120+ABRIL!J120+MAYO!J120+JUNIO!J120+JULIO!J120+AGOSTO!J120+SEPTIEMBRE!J120+OCTUBRE!J120+NOVIEMBRE!J120+DICIEMBRE!J120</f>
        <v>839741447.61999965</v>
      </c>
      <c r="K120" s="16">
        <f>ENERO!K120+FEBRERO!K120+MARZO!K120+ABRIL!K120+MAYO!K120+JUNIO!K120+JULIO!K120+AGOSTO!K120+SEPTIEMBRE!K120+OCTUBRE!K120+NOVIEMBRE!K120+DICIEMBRE!K120</f>
        <v>55693956.806111999</v>
      </c>
      <c r="L120" s="16"/>
      <c r="M120" s="16"/>
      <c r="N120" s="18">
        <f t="shared" si="3"/>
        <v>6249683527.8196192</v>
      </c>
      <c r="O120" s="4"/>
      <c r="P120" s="4"/>
      <c r="Q120" s="4"/>
    </row>
    <row r="121" spans="1:17" ht="18" customHeight="1" x14ac:dyDescent="0.2">
      <c r="A121" s="17" t="s">
        <v>116</v>
      </c>
      <c r="B121" s="16">
        <f>ENERO!B121+FEBRERO!B121+MARZO!B121+ABRIL!B121+MAYO!B121+JUNIO!B121+JULIO!B121+AGOSTO!B121+SEPTIEMBRE!B121+OCTUBRE!B121+NOVIEMBRE!B121+DICIEMBRE!B121</f>
        <v>5889339213.6799994</v>
      </c>
      <c r="C121" s="16">
        <f>ENERO!C121+FEBRERO!C121+MARZO!C121+ABRIL!C121+MAYO!C121+JUNIO!C121+JULIO!C121+AGOSTO!C121+SEPTIEMBRE!C121+OCTUBRE!C121+NOVIEMBRE!C121+DICIEMBRE!C121</f>
        <v>0</v>
      </c>
      <c r="D121" s="16">
        <f>ENERO!D121+FEBRERO!D121+MARZO!D121+ABRIL!D121+MAYO!D121+JUNIO!D121+JULIO!D121+AGOSTO!D121+SEPTIEMBRE!D121+OCTUBRE!D121+NOVIEMBRE!D121+DICIEMBRE!D121</f>
        <v>399962781.53111148</v>
      </c>
      <c r="E121" s="16">
        <f>ENERO!E121+FEBRERO!E121+MARZO!E121+ABRIL!E121+MAYO!E121+JUNIO!E121+JULIO!E121+AGOSTO!E121+SEPTIEMBRE!E121+OCTUBRE!E121+NOVIEMBRE!E121+DICIEMBRE!E121</f>
        <v>75930244.510000005</v>
      </c>
      <c r="F121" s="16">
        <f>ENERO!F121+FEBRERO!F121+MARZO!F121+ABRIL!F121+MAYO!F121+JUNIO!F121+JULIO!F121+AGOSTO!F121+SEPTIEMBRE!F121+OCTUBRE!F121+NOVIEMBRE!F121+DICIEMBRE!F121</f>
        <v>13136302.75</v>
      </c>
      <c r="G121" s="16">
        <f>ENERO!G121+FEBRERO!G121+MARZO!G121+ABRIL!G121+MAYO!G121+JUNIO!G121+JULIO!G121+AGOSTO!G121+SEPTIEMBRE!G121+OCTUBRE!G121+NOVIEMBRE!G121+DICIEMBRE!G121</f>
        <v>6103708.0799999991</v>
      </c>
      <c r="H121" s="16">
        <f>ENERO!H121+FEBRERO!H121+MARZO!H121+ABRIL!H121+MAYO!H121+JUNIO!H121+JULIO!H121+AGOSTO!H121+SEPTIEMBRE!H121+OCTUBRE!H121+NOVIEMBRE!H121+DICIEMBRE!H121</f>
        <v>344006092.87000006</v>
      </c>
      <c r="I121" s="16">
        <f>ENERO!I121+FEBRERO!I121+MARZO!I121+ABRIL!I121+MAYO!I121+JUNIO!I121+JULIO!I121+AGOSTO!I121+SEPTIEMBRE!I121+OCTUBRE!I121+NOVIEMBRE!I121+DICIEMBRE!I121</f>
        <v>35297698.629999995</v>
      </c>
      <c r="J121" s="16">
        <f>ENERO!J121+FEBRERO!J121+MARZO!J121+ABRIL!J121+MAYO!J121+JUNIO!J121+JULIO!J121+AGOSTO!J121+SEPTIEMBRE!J121+OCTUBRE!J121+NOVIEMBRE!J121+DICIEMBRE!J121</f>
        <v>466617293.97999996</v>
      </c>
      <c r="K121" s="16">
        <f>ENERO!K121+FEBRERO!K121+MARZO!K121+ABRIL!K121+MAYO!K121+JUNIO!K121+JULIO!K121+AGOSTO!K121+SEPTIEMBRE!K121+OCTUBRE!K121+NOVIEMBRE!K121+DICIEMBRE!K121</f>
        <v>71457900.072262377</v>
      </c>
      <c r="L121" s="16"/>
      <c r="M121" s="16"/>
      <c r="N121" s="18">
        <f t="shared" si="3"/>
        <v>7301851236.1033735</v>
      </c>
      <c r="O121" s="4"/>
      <c r="P121" s="4"/>
      <c r="Q121" s="4"/>
    </row>
    <row r="122" spans="1:17" ht="18" customHeight="1" x14ac:dyDescent="0.2">
      <c r="A122" s="17" t="s">
        <v>117</v>
      </c>
      <c r="B122" s="16">
        <f>ENERO!B122+FEBRERO!B122+MARZO!B122+ABRIL!B122+MAYO!B122+JUNIO!B122+JULIO!B122+AGOSTO!B122+SEPTIEMBRE!B122+OCTUBRE!B122+NOVIEMBRE!B122+DICIEMBRE!B122</f>
        <v>18950566088.900002</v>
      </c>
      <c r="C122" s="16">
        <f>ENERO!C122+FEBRERO!C122+MARZO!C122+ABRIL!C122+MAYO!C122+JUNIO!C122+JULIO!C122+AGOSTO!C122+SEPTIEMBRE!C122+OCTUBRE!C122+NOVIEMBRE!C122+DICIEMBRE!C122</f>
        <v>0</v>
      </c>
      <c r="D122" s="16">
        <f>ENERO!D122+FEBRERO!D122+MARZO!D122+ABRIL!D122+MAYO!D122+JUNIO!D122+JULIO!D122+AGOSTO!D122+SEPTIEMBRE!D122+OCTUBRE!D122+NOVIEMBRE!D122+DICIEMBRE!D122</f>
        <v>895666959.58999991</v>
      </c>
      <c r="E122" s="16">
        <f>ENERO!E122+FEBRERO!E122+MARZO!E122+ABRIL!E122+MAYO!E122+JUNIO!E122+JULIO!E122+AGOSTO!E122+SEPTIEMBRE!E122+OCTUBRE!E122+NOVIEMBRE!E122+DICIEMBRE!E122</f>
        <v>280313742.98000002</v>
      </c>
      <c r="F122" s="16">
        <f>ENERO!F122+FEBRERO!F122+MARZO!F122+ABRIL!F122+MAYO!F122+JUNIO!F122+JULIO!F122+AGOSTO!F122+SEPTIEMBRE!F122+OCTUBRE!F122+NOVIEMBRE!F122+DICIEMBRE!F122</f>
        <v>395464612.66000003</v>
      </c>
      <c r="G122" s="16">
        <f>ENERO!G122+FEBRERO!G122+MARZO!G122+ABRIL!G122+MAYO!G122+JUNIO!G122+JULIO!G122+AGOSTO!G122+SEPTIEMBRE!G122+OCTUBRE!G122+NOVIEMBRE!G122+DICIEMBRE!G122</f>
        <v>178549232.35287055</v>
      </c>
      <c r="H122" s="16">
        <f>ENERO!H122+FEBRERO!H122+MARZO!H122+ABRIL!H122+MAYO!H122+JUNIO!H122+JULIO!H122+AGOSTO!H122+SEPTIEMBRE!H122+OCTUBRE!H122+NOVIEMBRE!H122+DICIEMBRE!H122</f>
        <v>1100233858.49</v>
      </c>
      <c r="I122" s="16">
        <f>ENERO!I122+FEBRERO!I122+MARZO!I122+ABRIL!I122+MAYO!I122+JUNIO!I122+JULIO!I122+AGOSTO!I122+SEPTIEMBRE!I122+OCTUBRE!I122+NOVIEMBRE!I122+DICIEMBRE!I122</f>
        <v>1062627053.1099999</v>
      </c>
      <c r="J122" s="16">
        <f>ENERO!J122+FEBRERO!J122+MARZO!J122+ABRIL!J122+MAYO!J122+JUNIO!J122+JULIO!J122+AGOSTO!J122+SEPTIEMBRE!J122+OCTUBRE!J122+NOVIEMBRE!J122+DICIEMBRE!J122</f>
        <v>2188871306.8999991</v>
      </c>
      <c r="K122" s="16">
        <f>ENERO!K122+FEBRERO!K122+MARZO!K122+ABRIL!K122+MAYO!K122+JUNIO!K122+JULIO!K122+AGOSTO!K122+SEPTIEMBRE!K122+OCTUBRE!K122+NOVIEMBRE!K122+DICIEMBRE!K122</f>
        <v>221884843.37707162</v>
      </c>
      <c r="L122" s="16"/>
      <c r="M122" s="16"/>
      <c r="N122" s="18">
        <f t="shared" si="3"/>
        <v>25274177698.359943</v>
      </c>
      <c r="O122" s="4"/>
      <c r="P122" s="4"/>
      <c r="Q122" s="4"/>
    </row>
    <row r="123" spans="1:17" ht="18" customHeight="1" x14ac:dyDescent="0.2">
      <c r="A123" s="17" t="s">
        <v>118</v>
      </c>
      <c r="B123" s="16">
        <f>ENERO!B123+FEBRERO!B123+MARZO!B123+ABRIL!B123+MAYO!B123+JUNIO!B123+JULIO!B123+AGOSTO!B123+SEPTIEMBRE!B123+OCTUBRE!B123+NOVIEMBRE!B123+DICIEMBRE!B123</f>
        <v>37712031732.699997</v>
      </c>
      <c r="C123" s="16">
        <f>ENERO!C123+FEBRERO!C123+MARZO!C123+ABRIL!C123+MAYO!C123+JUNIO!C123+JULIO!C123+AGOSTO!C123+SEPTIEMBRE!C123+OCTUBRE!C123+NOVIEMBRE!C123+DICIEMBRE!C123</f>
        <v>0</v>
      </c>
      <c r="D123" s="16">
        <f>ENERO!D123+FEBRERO!D123+MARZO!D123+ABRIL!D123+MAYO!D123+JUNIO!D123+JULIO!D123+AGOSTO!D123+SEPTIEMBRE!D123+OCTUBRE!D123+NOVIEMBRE!D123+DICIEMBRE!D123</f>
        <v>535695641.95500004</v>
      </c>
      <c r="E123" s="16">
        <f>ENERO!E123+FEBRERO!E123+MARZO!E123+ABRIL!E123+MAYO!E123+JUNIO!E123+JULIO!E123+AGOSTO!E123+SEPTIEMBRE!E123+OCTUBRE!E123+NOVIEMBRE!E123+DICIEMBRE!E123</f>
        <v>503164732.29999995</v>
      </c>
      <c r="F123" s="16">
        <f>ENERO!F123+FEBRERO!F123+MARZO!F123+ABRIL!F123+MAYO!F123+JUNIO!F123+JULIO!F123+AGOSTO!F123+SEPTIEMBRE!F123+OCTUBRE!F123+NOVIEMBRE!F123+DICIEMBRE!F123</f>
        <v>549730199.84000003</v>
      </c>
      <c r="G123" s="16">
        <f>ENERO!G123+FEBRERO!G123+MARZO!G123+ABRIL!G123+MAYO!G123+JUNIO!G123+JULIO!G123+AGOSTO!G123+SEPTIEMBRE!G123+OCTUBRE!G123+NOVIEMBRE!G123+DICIEMBRE!G123</f>
        <v>405353292.17706335</v>
      </c>
      <c r="H123" s="16">
        <f>ENERO!H123+FEBRERO!H123+MARZO!H123+ABRIL!H123+MAYO!H123+JUNIO!H123+JULIO!H123+AGOSTO!H123+SEPTIEMBRE!H123+OCTUBRE!H123+NOVIEMBRE!H123+DICIEMBRE!H123</f>
        <v>2211599541.3500004</v>
      </c>
      <c r="I123" s="16">
        <f>ENERO!I123+FEBRERO!I123+MARZO!I123+ABRIL!I123+MAYO!I123+JUNIO!I123+JULIO!I123+AGOSTO!I123+SEPTIEMBRE!I123+OCTUBRE!I123+NOVIEMBRE!I123+DICIEMBRE!I123</f>
        <v>1477144006.1700001</v>
      </c>
      <c r="J123" s="16">
        <f>ENERO!J123+FEBRERO!J123+MARZO!J123+ABRIL!J123+MAYO!J123+JUNIO!J123+JULIO!J123+AGOSTO!J123+SEPTIEMBRE!J123+OCTUBRE!J123+NOVIEMBRE!J123+DICIEMBRE!J123</f>
        <v>2856058299.400001</v>
      </c>
      <c r="K123" s="16">
        <f>ENERO!K123+FEBRERO!K123+MARZO!K123+ABRIL!K123+MAYO!K123+JUNIO!K123+JULIO!K123+AGOSTO!K123+SEPTIEMBRE!K123+OCTUBRE!K123+NOVIEMBRE!K123+DICIEMBRE!K123</f>
        <v>468122415.6551981</v>
      </c>
      <c r="L123" s="16"/>
      <c r="M123" s="16"/>
      <c r="N123" s="18">
        <f t="shared" si="3"/>
        <v>46718899861.547256</v>
      </c>
      <c r="O123" s="4"/>
      <c r="P123" s="4"/>
      <c r="Q123" s="4"/>
    </row>
    <row r="124" spans="1:17" ht="18" customHeight="1" x14ac:dyDescent="0.2">
      <c r="A124" s="17" t="s">
        <v>119</v>
      </c>
      <c r="B124" s="16">
        <f>ENERO!B124+FEBRERO!B124+MARZO!B124+ABRIL!B124+MAYO!B124+JUNIO!B124+JULIO!B124+AGOSTO!B124+SEPTIEMBRE!B124+OCTUBRE!B124+NOVIEMBRE!B124+DICIEMBRE!B124</f>
        <v>39465853946.32</v>
      </c>
      <c r="C124" s="16">
        <f>ENERO!C124+FEBRERO!C124+MARZO!C124+ABRIL!C124+MAYO!C124+JUNIO!C124+JULIO!C124+AGOSTO!C124+SEPTIEMBRE!C124+OCTUBRE!C124+NOVIEMBRE!C124+DICIEMBRE!C124</f>
        <v>0</v>
      </c>
      <c r="D124" s="16">
        <f>ENERO!D124+FEBRERO!D124+MARZO!D124+ABRIL!D124+MAYO!D124+JUNIO!D124+JULIO!D124+AGOSTO!D124+SEPTIEMBRE!D124+OCTUBRE!D124+NOVIEMBRE!D124+DICIEMBRE!D124</f>
        <v>238911270.90000001</v>
      </c>
      <c r="E124" s="16">
        <f>ENERO!E124+FEBRERO!E124+MARZO!E124+ABRIL!E124+MAYO!E124+JUNIO!E124+JULIO!E124+AGOSTO!E124+SEPTIEMBRE!E124+OCTUBRE!E124+NOVIEMBRE!E124+DICIEMBRE!E124</f>
        <v>568192619.8900001</v>
      </c>
      <c r="F124" s="16">
        <f>ENERO!F124+FEBRERO!F124+MARZO!F124+ABRIL!F124+MAYO!F124+JUNIO!F124+JULIO!F124+AGOSTO!F124+SEPTIEMBRE!F124+OCTUBRE!F124+NOVIEMBRE!F124+DICIEMBRE!F124</f>
        <v>703961398.78999996</v>
      </c>
      <c r="G124" s="16">
        <f>ENERO!G124+FEBRERO!G124+MARZO!G124+ABRIL!G124+MAYO!G124+JUNIO!G124+JULIO!G124+AGOSTO!G124+SEPTIEMBRE!G124+OCTUBRE!G124+NOVIEMBRE!G124+DICIEMBRE!G124</f>
        <v>0</v>
      </c>
      <c r="H124" s="16">
        <f>ENERO!H124+FEBRERO!H124+MARZO!H124+ABRIL!H124+MAYO!H124+JUNIO!H124+JULIO!H124+AGOSTO!H124+SEPTIEMBRE!H124+OCTUBRE!H124+NOVIEMBRE!H124+DICIEMBRE!H124</f>
        <v>2281866581.6999998</v>
      </c>
      <c r="I124" s="16">
        <f>ENERO!I124+FEBRERO!I124+MARZO!I124+ABRIL!I124+MAYO!I124+JUNIO!I124+JULIO!I124+AGOSTO!I124+SEPTIEMBRE!I124+OCTUBRE!I124+NOVIEMBRE!I124+DICIEMBRE!I124</f>
        <v>1891568556.8899999</v>
      </c>
      <c r="J124" s="16">
        <f>ENERO!J124+FEBRERO!J124+MARZO!J124+ABRIL!J124+MAYO!J124+JUNIO!J124+JULIO!J124+AGOSTO!J124+SEPTIEMBRE!J124+OCTUBRE!J124+NOVIEMBRE!J124+DICIEMBRE!J124</f>
        <v>4086039417.3400011</v>
      </c>
      <c r="K124" s="16">
        <f>ENERO!K124+FEBRERO!K124+MARZO!K124+ABRIL!K124+MAYO!K124+JUNIO!K124+JULIO!K124+AGOSTO!K124+SEPTIEMBRE!K124+OCTUBRE!K124+NOVIEMBRE!K124+DICIEMBRE!K124</f>
        <v>450740764.28626943</v>
      </c>
      <c r="L124" s="16"/>
      <c r="M124" s="16"/>
      <c r="N124" s="18">
        <f t="shared" si="3"/>
        <v>49687134556.116272</v>
      </c>
      <c r="O124" s="4"/>
      <c r="P124" s="4"/>
      <c r="Q124" s="4"/>
    </row>
    <row r="125" spans="1:17" ht="18" customHeight="1" x14ac:dyDescent="0.2">
      <c r="A125" s="17" t="s">
        <v>120</v>
      </c>
      <c r="B125" s="16">
        <f>ENERO!B125+FEBRERO!B125+MARZO!B125+ABRIL!B125+MAYO!B125+JUNIO!B125+JULIO!B125+AGOSTO!B125+SEPTIEMBRE!B125+OCTUBRE!B125+NOVIEMBRE!B125+DICIEMBRE!B125</f>
        <v>12449183021.529999</v>
      </c>
      <c r="C125" s="16">
        <f>ENERO!C125+FEBRERO!C125+MARZO!C125+ABRIL!C125+MAYO!C125+JUNIO!C125+JULIO!C125+AGOSTO!C125+SEPTIEMBRE!C125+OCTUBRE!C125+NOVIEMBRE!C125+DICIEMBRE!C125</f>
        <v>0</v>
      </c>
      <c r="D125" s="16">
        <f>ENERO!D125+FEBRERO!D125+MARZO!D125+ABRIL!D125+MAYO!D125+JUNIO!D125+JULIO!D125+AGOSTO!D125+SEPTIEMBRE!D125+OCTUBRE!D125+NOVIEMBRE!D125+DICIEMBRE!D125</f>
        <v>337266997.32005</v>
      </c>
      <c r="E125" s="16">
        <f>ENERO!E125+FEBRERO!E125+MARZO!E125+ABRIL!E125+MAYO!E125+JUNIO!E125+JULIO!E125+AGOSTO!E125+SEPTIEMBRE!E125+OCTUBRE!E125+NOVIEMBRE!E125+DICIEMBRE!E125</f>
        <v>156740300.25</v>
      </c>
      <c r="F125" s="16">
        <f>ENERO!F125+FEBRERO!F125+MARZO!F125+ABRIL!F125+MAYO!F125+JUNIO!F125+JULIO!F125+AGOSTO!F125+SEPTIEMBRE!F125+OCTUBRE!F125+NOVIEMBRE!F125+DICIEMBRE!F125</f>
        <v>273730288.41999996</v>
      </c>
      <c r="G125" s="16">
        <f>ENERO!G125+FEBRERO!G125+MARZO!G125+ABRIL!G125+MAYO!G125+JUNIO!G125+JULIO!G125+AGOSTO!G125+SEPTIEMBRE!G125+OCTUBRE!G125+NOVIEMBRE!G125+DICIEMBRE!G125</f>
        <v>114751890.69</v>
      </c>
      <c r="H125" s="16">
        <f>ENERO!H125+FEBRERO!H125+MARZO!H125+ABRIL!H125+MAYO!H125+JUNIO!H125+JULIO!H125+AGOSTO!H125+SEPTIEMBRE!H125+OCTUBRE!H125+NOVIEMBRE!H125+DICIEMBRE!H125</f>
        <v>721158456.66000009</v>
      </c>
      <c r="I125" s="16">
        <f>ENERO!I125+FEBRERO!I125+MARZO!I125+ABRIL!I125+MAYO!I125+JUNIO!I125+JULIO!I125+AGOSTO!I125+SEPTIEMBRE!I125+OCTUBRE!I125+NOVIEMBRE!I125+DICIEMBRE!I125</f>
        <v>735522725.44999993</v>
      </c>
      <c r="J125" s="16">
        <f>ENERO!J125+FEBRERO!J125+MARZO!J125+ABRIL!J125+MAYO!J125+JUNIO!J125+JULIO!J125+AGOSTO!J125+SEPTIEMBRE!J125+OCTUBRE!J125+NOVIEMBRE!J125+DICIEMBRE!J125</f>
        <v>2525018874.0699997</v>
      </c>
      <c r="K125" s="16">
        <f>ENERO!K125+FEBRERO!K125+MARZO!K125+ABRIL!K125+MAYO!K125+JUNIO!K125+JULIO!K125+AGOSTO!K125+SEPTIEMBRE!K125+OCTUBRE!K125+NOVIEMBRE!K125+DICIEMBRE!K125</f>
        <v>143819227.90038404</v>
      </c>
      <c r="L125" s="16"/>
      <c r="M125" s="16"/>
      <c r="N125" s="18">
        <f t="shared" si="3"/>
        <v>17457191782.290432</v>
      </c>
      <c r="O125" s="4"/>
      <c r="P125" s="4"/>
      <c r="Q125" s="4"/>
    </row>
    <row r="126" spans="1:17" ht="18" customHeight="1" x14ac:dyDescent="0.2">
      <c r="A126" s="17" t="s">
        <v>121</v>
      </c>
      <c r="B126" s="16">
        <f>ENERO!B126+FEBRERO!B126+MARZO!B126+ABRIL!B126+MAYO!B126+JUNIO!B126+JULIO!B126+AGOSTO!B126+SEPTIEMBRE!B126+OCTUBRE!B126+NOVIEMBRE!B126+DICIEMBRE!B126</f>
        <v>12864317593.610001</v>
      </c>
      <c r="C126" s="16">
        <f>ENERO!C126+FEBRERO!C126+MARZO!C126+ABRIL!C126+MAYO!C126+JUNIO!C126+JULIO!C126+AGOSTO!C126+SEPTIEMBRE!C126+OCTUBRE!C126+NOVIEMBRE!C126+DICIEMBRE!C126</f>
        <v>0</v>
      </c>
      <c r="D126" s="16">
        <f>ENERO!D126+FEBRERO!D126+MARZO!D126+ABRIL!D126+MAYO!D126+JUNIO!D126+JULIO!D126+AGOSTO!D126+SEPTIEMBRE!D126+OCTUBRE!D126+NOVIEMBRE!D126+DICIEMBRE!D126</f>
        <v>436606723.77999032</v>
      </c>
      <c r="E126" s="16">
        <f>ENERO!E126+FEBRERO!E126+MARZO!E126+ABRIL!E126+MAYO!E126+JUNIO!E126+JULIO!E126+AGOSTO!E126+SEPTIEMBRE!E126+OCTUBRE!E126+NOVIEMBRE!E126+DICIEMBRE!E126</f>
        <v>167603340.07000002</v>
      </c>
      <c r="F126" s="16">
        <f>ENERO!F126+FEBRERO!F126+MARZO!F126+ABRIL!F126+MAYO!F126+JUNIO!F126+JULIO!F126+AGOSTO!F126+SEPTIEMBRE!F126+OCTUBRE!F126+NOVIEMBRE!F126+DICIEMBRE!F126</f>
        <v>137037085.32999998</v>
      </c>
      <c r="G126" s="16">
        <f>ENERO!G126+FEBRERO!G126+MARZO!G126+ABRIL!G126+MAYO!G126+JUNIO!G126+JULIO!G126+AGOSTO!G126+SEPTIEMBRE!G126+OCTUBRE!G126+NOVIEMBRE!G126+DICIEMBRE!G126</f>
        <v>46914775.770000003</v>
      </c>
      <c r="H126" s="16">
        <f>ENERO!H126+FEBRERO!H126+MARZO!H126+ABRIL!H126+MAYO!H126+JUNIO!H126+JULIO!H126+AGOSTO!H126+SEPTIEMBRE!H126+OCTUBRE!H126+NOVIEMBRE!H126+DICIEMBRE!H126</f>
        <v>751592372.62</v>
      </c>
      <c r="I126" s="16">
        <f>ENERO!I126+FEBRERO!I126+MARZO!I126+ABRIL!I126+MAYO!I126+JUNIO!I126+JULIO!I126+AGOSTO!I126+SEPTIEMBRE!I126+OCTUBRE!I126+NOVIEMBRE!I126+DICIEMBRE!I126</f>
        <v>368223374.47999996</v>
      </c>
      <c r="J126" s="16">
        <f>ENERO!J126+FEBRERO!J126+MARZO!J126+ABRIL!J126+MAYO!J126+JUNIO!J126+JULIO!J126+AGOSTO!J126+SEPTIEMBRE!J126+OCTUBRE!J126+NOVIEMBRE!J126+DICIEMBRE!J126</f>
        <v>1732526268.0400002</v>
      </c>
      <c r="K126" s="16">
        <f>ENERO!K126+FEBRERO!K126+MARZO!K126+ABRIL!K126+MAYO!K126+JUNIO!K126+JULIO!K126+AGOSTO!K126+SEPTIEMBRE!K126+OCTUBRE!K126+NOVIEMBRE!K126+DICIEMBRE!K126</f>
        <v>156288024.20025986</v>
      </c>
      <c r="L126" s="16"/>
      <c r="M126" s="16"/>
      <c r="N126" s="18">
        <f t="shared" si="3"/>
        <v>16661109557.900253</v>
      </c>
      <c r="O126" s="4"/>
      <c r="P126" s="4"/>
      <c r="Q126" s="4"/>
    </row>
    <row r="127" spans="1:17" ht="18" customHeight="1" x14ac:dyDescent="0.2">
      <c r="A127" s="17" t="s">
        <v>122</v>
      </c>
      <c r="B127" s="16">
        <f>ENERO!B127+FEBRERO!B127+MARZO!B127+ABRIL!B127+MAYO!B127+JUNIO!B127+JULIO!B127+AGOSTO!B127+SEPTIEMBRE!B127+OCTUBRE!B127+NOVIEMBRE!B127+DICIEMBRE!B127</f>
        <v>7852944734.1599998</v>
      </c>
      <c r="C127" s="16">
        <f>ENERO!C127+FEBRERO!C127+MARZO!C127+ABRIL!C127+MAYO!C127+JUNIO!C127+JULIO!C127+AGOSTO!C127+SEPTIEMBRE!C127+OCTUBRE!C127+NOVIEMBRE!C127+DICIEMBRE!C127</f>
        <v>0</v>
      </c>
      <c r="D127" s="16">
        <f>ENERO!D127+FEBRERO!D127+MARZO!D127+ABRIL!D127+MAYO!D127+JUNIO!D127+JULIO!D127+AGOSTO!D127+SEPTIEMBRE!D127+OCTUBRE!D127+NOVIEMBRE!D127+DICIEMBRE!D127</f>
        <v>174298625.68833408</v>
      </c>
      <c r="E127" s="16">
        <f>ENERO!E127+FEBRERO!E127+MARZO!E127+ABRIL!E127+MAYO!E127+JUNIO!E127+JULIO!E127+AGOSTO!E127+SEPTIEMBRE!E127+OCTUBRE!E127+NOVIEMBRE!E127+DICIEMBRE!E127</f>
        <v>103366746.61</v>
      </c>
      <c r="F127" s="16">
        <f>ENERO!F127+FEBRERO!F127+MARZO!F127+ABRIL!F127+MAYO!F127+JUNIO!F127+JULIO!F127+AGOSTO!F127+SEPTIEMBRE!F127+OCTUBRE!F127+NOVIEMBRE!F127+DICIEMBRE!F127</f>
        <v>145462200.99000001</v>
      </c>
      <c r="G127" s="16">
        <f>ENERO!G127+FEBRERO!G127+MARZO!G127+ABRIL!G127+MAYO!G127+JUNIO!G127+JULIO!G127+AGOSTO!G127+SEPTIEMBRE!G127+OCTUBRE!G127+NOVIEMBRE!G127+DICIEMBRE!G127</f>
        <v>67021108.230000004</v>
      </c>
      <c r="H127" s="16">
        <f>ENERO!H127+FEBRERO!H127+MARZO!H127+ABRIL!H127+MAYO!H127+JUNIO!H127+JULIO!H127+AGOSTO!H127+SEPTIEMBRE!H127+OCTUBRE!H127+NOVIEMBRE!H127+DICIEMBRE!H127</f>
        <v>455739349.22000003</v>
      </c>
      <c r="I127" s="16">
        <f>ENERO!I127+FEBRERO!I127+MARZO!I127+ABRIL!I127+MAYO!I127+JUNIO!I127+JULIO!I127+AGOSTO!I127+SEPTIEMBRE!I127+OCTUBRE!I127+NOVIEMBRE!I127+DICIEMBRE!I127</f>
        <v>390861950.84000003</v>
      </c>
      <c r="J127" s="16">
        <f>ENERO!J127+FEBRERO!J127+MARZO!J127+ABRIL!J127+MAYO!J127+JUNIO!J127+JULIO!J127+AGOSTO!J127+SEPTIEMBRE!J127+OCTUBRE!J127+NOVIEMBRE!J127+DICIEMBRE!J127</f>
        <v>1920979594.6099997</v>
      </c>
      <c r="K127" s="16">
        <f>ENERO!K127+FEBRERO!K127+MARZO!K127+ABRIL!K127+MAYO!K127+JUNIO!K127+JULIO!K127+AGOSTO!K127+SEPTIEMBRE!K127+OCTUBRE!K127+NOVIEMBRE!K127+DICIEMBRE!K127</f>
        <v>91721560.64583303</v>
      </c>
      <c r="L127" s="16"/>
      <c r="M127" s="16"/>
      <c r="N127" s="18">
        <f t="shared" si="3"/>
        <v>11202395870.994165</v>
      </c>
      <c r="O127" s="4"/>
      <c r="P127" s="4"/>
      <c r="Q127" s="4"/>
    </row>
    <row r="128" spans="1:17" ht="18" customHeight="1" x14ac:dyDescent="0.2">
      <c r="A128" s="17" t="s">
        <v>123</v>
      </c>
      <c r="B128" s="16">
        <f>ENERO!B128+FEBRERO!B128+MARZO!B128+ABRIL!B128+MAYO!B128+JUNIO!B128+JULIO!B128+AGOSTO!B128+SEPTIEMBRE!B128+OCTUBRE!B128+NOVIEMBRE!B128+DICIEMBRE!B128</f>
        <v>3518830055.6300006</v>
      </c>
      <c r="C128" s="16">
        <f>ENERO!C128+FEBRERO!C128+MARZO!C128+ABRIL!C128+MAYO!C128+JUNIO!C128+JULIO!C128+AGOSTO!C128+SEPTIEMBRE!C128+OCTUBRE!C128+NOVIEMBRE!C128+DICIEMBRE!C128</f>
        <v>0</v>
      </c>
      <c r="D128" s="16">
        <f>ENERO!D128+FEBRERO!D128+MARZO!D128+ABRIL!D128+MAYO!D128+JUNIO!D128+JULIO!D128+AGOSTO!D128+SEPTIEMBRE!D128+OCTUBRE!D128+NOVIEMBRE!D128+DICIEMBRE!D128</f>
        <v>157414303.49105018</v>
      </c>
      <c r="E128" s="16">
        <f>ENERO!E128+FEBRERO!E128+MARZO!E128+ABRIL!E128+MAYO!E128+JUNIO!E128+JULIO!E128+AGOSTO!E128+SEPTIEMBRE!E128+OCTUBRE!E128+NOVIEMBRE!E128+DICIEMBRE!E128</f>
        <v>43369725.069999993</v>
      </c>
      <c r="F128" s="16">
        <f>ENERO!F128+FEBRERO!F128+MARZO!F128+ABRIL!F128+MAYO!F128+JUNIO!F128+JULIO!F128+AGOSTO!F128+SEPTIEMBRE!F128+OCTUBRE!F128+NOVIEMBRE!F128+DICIEMBRE!F128</f>
        <v>13308243.890000001</v>
      </c>
      <c r="G128" s="16">
        <f>ENERO!G128+FEBRERO!G128+MARZO!G128+ABRIL!G128+MAYO!G128+JUNIO!G128+JULIO!G128+AGOSTO!G128+SEPTIEMBRE!G128+OCTUBRE!G128+NOVIEMBRE!G128+DICIEMBRE!G128</f>
        <v>8018596.8799999999</v>
      </c>
      <c r="H128" s="16">
        <f>ENERO!H128+FEBRERO!H128+MARZO!H128+ABRIL!H128+MAYO!H128+JUNIO!H128+JULIO!H128+AGOSTO!H128+SEPTIEMBRE!H128+OCTUBRE!H128+NOVIEMBRE!H128+DICIEMBRE!H128</f>
        <v>203075471.95000002</v>
      </c>
      <c r="I128" s="16">
        <f>ENERO!I128+FEBRERO!I128+MARZO!I128+ABRIL!I128+MAYO!I128+JUNIO!I128+JULIO!I128+AGOSTO!I128+SEPTIEMBRE!I128+OCTUBRE!I128+NOVIEMBRE!I128+DICIEMBRE!I128</f>
        <v>35759710.390000001</v>
      </c>
      <c r="J128" s="16">
        <f>ENERO!J128+FEBRERO!J128+MARZO!J128+ABRIL!J128+MAYO!J128+JUNIO!J128+JULIO!J128+AGOSTO!J128+SEPTIEMBRE!J128+OCTUBRE!J128+NOVIEMBRE!J128+DICIEMBRE!J128</f>
        <v>412828616.62000006</v>
      </c>
      <c r="K128" s="16">
        <f>ENERO!K128+FEBRERO!K128+MARZO!K128+ABRIL!K128+MAYO!K128+JUNIO!K128+JULIO!K128+AGOSTO!K128+SEPTIEMBRE!K128+OCTUBRE!K128+NOVIEMBRE!K128+DICIEMBRE!K128</f>
        <v>39733399.785931624</v>
      </c>
      <c r="L128" s="16"/>
      <c r="M128" s="16"/>
      <c r="N128" s="18">
        <f t="shared" si="3"/>
        <v>4432338123.7069826</v>
      </c>
      <c r="O128" s="4"/>
      <c r="P128" s="4"/>
      <c r="Q128" s="4"/>
    </row>
    <row r="129" spans="1:17" ht="18" customHeight="1" x14ac:dyDescent="0.2">
      <c r="A129" s="17" t="s">
        <v>124</v>
      </c>
      <c r="B129" s="16">
        <f>ENERO!B129+FEBRERO!B129+MARZO!B129+ABRIL!B129+MAYO!B129+JUNIO!B129+JULIO!B129+AGOSTO!B129+SEPTIEMBRE!B129+OCTUBRE!B129+NOVIEMBRE!B129+DICIEMBRE!B129</f>
        <v>21348933794.740002</v>
      </c>
      <c r="C129" s="16">
        <f>ENERO!C129+FEBRERO!C129+MARZO!C129+ABRIL!C129+MAYO!C129+JUNIO!C129+JULIO!C129+AGOSTO!C129+SEPTIEMBRE!C129+OCTUBRE!C129+NOVIEMBRE!C129+DICIEMBRE!C129</f>
        <v>0</v>
      </c>
      <c r="D129" s="16">
        <f>ENERO!D129+FEBRERO!D129+MARZO!D129+ABRIL!D129+MAYO!D129+JUNIO!D129+JULIO!D129+AGOSTO!D129+SEPTIEMBRE!D129+OCTUBRE!D129+NOVIEMBRE!D129+DICIEMBRE!D129</f>
        <v>1457015238.4410858</v>
      </c>
      <c r="E129" s="16">
        <f>ENERO!E129+FEBRERO!E129+MARZO!E129+ABRIL!E129+MAYO!E129+JUNIO!E129+JULIO!E129+AGOSTO!E129+SEPTIEMBRE!E129+OCTUBRE!E129+NOVIEMBRE!E129+DICIEMBRE!E129</f>
        <v>221763607.73999998</v>
      </c>
      <c r="F129" s="16">
        <f>ENERO!F129+FEBRERO!F129+MARZO!F129+ABRIL!F129+MAYO!F129+JUNIO!F129+JULIO!F129+AGOSTO!F129+SEPTIEMBRE!F129+OCTUBRE!F129+NOVIEMBRE!F129+DICIEMBRE!F129</f>
        <v>169258854.20999998</v>
      </c>
      <c r="G129" s="16">
        <f>ENERO!G129+FEBRERO!G129+MARZO!G129+ABRIL!G129+MAYO!G129+JUNIO!G129+JULIO!G129+AGOSTO!G129+SEPTIEMBRE!G129+OCTUBRE!G129+NOVIEMBRE!G129+DICIEMBRE!G129</f>
        <v>99454537.399999991</v>
      </c>
      <c r="H129" s="16">
        <f>ENERO!H129+FEBRERO!H129+MARZO!H129+ABRIL!H129+MAYO!H129+JUNIO!H129+JULIO!H129+AGOSTO!H129+SEPTIEMBRE!H129+OCTUBRE!H129+NOVIEMBRE!H129+DICIEMBRE!H129</f>
        <v>1249681349.1500001</v>
      </c>
      <c r="I129" s="16">
        <f>ENERO!I129+FEBRERO!I129+MARZO!I129+ABRIL!I129+MAYO!I129+JUNIO!I129+JULIO!I129+AGOSTO!I129+SEPTIEMBRE!I129+OCTUBRE!I129+NOVIEMBRE!I129+DICIEMBRE!I129</f>
        <v>454804378.73000002</v>
      </c>
      <c r="J129" s="16">
        <f>ENERO!J129+FEBRERO!J129+MARZO!J129+ABRIL!J129+MAYO!J129+JUNIO!J129+JULIO!J129+AGOSTO!J129+SEPTIEMBRE!J129+OCTUBRE!J129+NOVIEMBRE!J129+DICIEMBRE!J129</f>
        <v>2586693651.3699999</v>
      </c>
      <c r="K129" s="16">
        <f>ENERO!K129+FEBRERO!K129+MARZO!K129+ABRIL!K129+MAYO!K129+JUNIO!K129+JULIO!K129+AGOSTO!K129+SEPTIEMBRE!K129+OCTUBRE!K129+NOVIEMBRE!K129+DICIEMBRE!K129</f>
        <v>262225505.89696926</v>
      </c>
      <c r="L129" s="16"/>
      <c r="M129" s="16"/>
      <c r="N129" s="18">
        <f t="shared" si="3"/>
        <v>27849830917.678059</v>
      </c>
      <c r="O129" s="4"/>
      <c r="P129" s="4"/>
      <c r="Q129" s="4"/>
    </row>
    <row r="130" spans="1:17" ht="18" customHeight="1" x14ac:dyDescent="0.2">
      <c r="A130" s="17" t="s">
        <v>125</v>
      </c>
      <c r="B130" s="16">
        <f>ENERO!B130+FEBRERO!B130+MARZO!B130+ABRIL!B130+MAYO!B130+JUNIO!B130+JULIO!B130+AGOSTO!B130+SEPTIEMBRE!B130+OCTUBRE!B130+NOVIEMBRE!B130+DICIEMBRE!B130</f>
        <v>5926061844.8500004</v>
      </c>
      <c r="C130" s="16">
        <f>ENERO!C130+FEBRERO!C130+MARZO!C130+ABRIL!C130+MAYO!C130+JUNIO!C130+JULIO!C130+AGOSTO!C130+SEPTIEMBRE!C130+OCTUBRE!C130+NOVIEMBRE!C130+DICIEMBRE!C130</f>
        <v>0</v>
      </c>
      <c r="D130" s="16">
        <f>ENERO!D130+FEBRERO!D130+MARZO!D130+ABRIL!D130+MAYO!D130+JUNIO!D130+JULIO!D130+AGOSTO!D130+SEPTIEMBRE!D130+OCTUBRE!D130+NOVIEMBRE!D130+DICIEMBRE!D130</f>
        <v>432161840.21291465</v>
      </c>
      <c r="E130" s="16">
        <f>ENERO!E130+FEBRERO!E130+MARZO!E130+ABRIL!E130+MAYO!E130+JUNIO!E130+JULIO!E130+AGOSTO!E130+SEPTIEMBRE!E130+OCTUBRE!E130+NOVIEMBRE!E130+DICIEMBRE!E130</f>
        <v>73984621.659999996</v>
      </c>
      <c r="F130" s="16">
        <f>ENERO!F130+FEBRERO!F130+MARZO!F130+ABRIL!F130+MAYO!F130+JUNIO!F130+JULIO!F130+AGOSTO!F130+SEPTIEMBRE!F130+OCTUBRE!F130+NOVIEMBRE!F130+DICIEMBRE!F130</f>
        <v>20942430.32</v>
      </c>
      <c r="G130" s="16">
        <f>ENERO!G130+FEBRERO!G130+MARZO!G130+ABRIL!G130+MAYO!G130+JUNIO!G130+JULIO!G130+AGOSTO!G130+SEPTIEMBRE!G130+OCTUBRE!G130+NOVIEMBRE!G130+DICIEMBRE!G130</f>
        <v>7420194.120000001</v>
      </c>
      <c r="H130" s="16">
        <f>ENERO!H130+FEBRERO!H130+MARZO!H130+ABRIL!H130+MAYO!H130+JUNIO!H130+JULIO!H130+AGOSTO!H130+SEPTIEMBRE!H130+OCTUBRE!H130+NOVIEMBRE!H130+DICIEMBRE!H130</f>
        <v>343354767.58999997</v>
      </c>
      <c r="I130" s="16">
        <f>ENERO!I130+FEBRERO!I130+MARZO!I130+ABRIL!I130+MAYO!I130+JUNIO!I130+JULIO!I130+AGOSTO!I130+SEPTIEMBRE!I130+OCTUBRE!I130+NOVIEMBRE!I130+DICIEMBRE!I130</f>
        <v>56273032.629999995</v>
      </c>
      <c r="J130" s="16">
        <f>ENERO!J130+FEBRERO!J130+MARZO!J130+ABRIL!J130+MAYO!J130+JUNIO!J130+JULIO!J130+AGOSTO!J130+SEPTIEMBRE!J130+OCTUBRE!J130+NOVIEMBRE!J130+DICIEMBRE!J130</f>
        <v>710944976.00000012</v>
      </c>
      <c r="K130" s="16">
        <f>ENERO!K130+FEBRERO!K130+MARZO!K130+ABRIL!K130+MAYO!K130+JUNIO!K130+JULIO!K130+AGOSTO!K130+SEPTIEMBRE!K130+OCTUBRE!K130+NOVIEMBRE!K130+DICIEMBRE!K130</f>
        <v>68543536.705564857</v>
      </c>
      <c r="L130" s="16"/>
      <c r="M130" s="16"/>
      <c r="N130" s="18">
        <f t="shared" si="3"/>
        <v>7639687244.088479</v>
      </c>
      <c r="O130" s="4"/>
      <c r="P130" s="4"/>
      <c r="Q130" s="4"/>
    </row>
    <row r="131" spans="1:17" ht="18" customHeight="1" x14ac:dyDescent="0.2">
      <c r="A131" s="17" t="s">
        <v>126</v>
      </c>
      <c r="B131" s="16">
        <f>ENERO!B131+FEBRERO!B131+MARZO!B131+ABRIL!B131+MAYO!B131+JUNIO!B131+JULIO!B131+AGOSTO!B131+SEPTIEMBRE!B131+OCTUBRE!B131+NOVIEMBRE!B131+DICIEMBRE!B131</f>
        <v>37767326729.07</v>
      </c>
      <c r="C131" s="16">
        <f>ENERO!C131+FEBRERO!C131+MARZO!C131+ABRIL!C131+MAYO!C131+JUNIO!C131+JULIO!C131+AGOSTO!C131+SEPTIEMBRE!C131+OCTUBRE!C131+NOVIEMBRE!C131+DICIEMBRE!C131</f>
        <v>0</v>
      </c>
      <c r="D131" s="16">
        <f>ENERO!D131+FEBRERO!D131+MARZO!D131+ABRIL!D131+MAYO!D131+JUNIO!D131+JULIO!D131+AGOSTO!D131+SEPTIEMBRE!D131+OCTUBRE!D131+NOVIEMBRE!D131+DICIEMBRE!D131</f>
        <v>906511293.62</v>
      </c>
      <c r="E131" s="16">
        <f>ENERO!E131+FEBRERO!E131+MARZO!E131+ABRIL!E131+MAYO!E131+JUNIO!E131+JULIO!E131+AGOSTO!E131+SEPTIEMBRE!E131+OCTUBRE!E131+NOVIEMBRE!E131+DICIEMBRE!E131</f>
        <v>740604293.35000014</v>
      </c>
      <c r="F131" s="16">
        <f>ENERO!F131+FEBRERO!F131+MARZO!F131+ABRIL!F131+MAYO!F131+JUNIO!F131+JULIO!F131+AGOSTO!F131+SEPTIEMBRE!F131+OCTUBRE!F131+NOVIEMBRE!F131+DICIEMBRE!F131</f>
        <v>924733817.33999991</v>
      </c>
      <c r="G131" s="16">
        <f>ENERO!G131+FEBRERO!G131+MARZO!G131+ABRIL!G131+MAYO!G131+JUNIO!G131+JULIO!G131+AGOSTO!G131+SEPTIEMBRE!G131+OCTUBRE!G131+NOVIEMBRE!G131+DICIEMBRE!G131</f>
        <v>0</v>
      </c>
      <c r="H131" s="16">
        <f>ENERO!H131+FEBRERO!H131+MARZO!H131+ABRIL!H131+MAYO!H131+JUNIO!H131+JULIO!H131+AGOSTO!H131+SEPTIEMBRE!H131+OCTUBRE!H131+NOVIEMBRE!H131+DICIEMBRE!H131</f>
        <v>2194713580.6900001</v>
      </c>
      <c r="I131" s="16">
        <f>ENERO!I131+FEBRERO!I131+MARZO!I131+ABRIL!I131+MAYO!I131+JUNIO!I131+JULIO!I131+AGOSTO!I131+SEPTIEMBRE!I131+OCTUBRE!I131+NOVIEMBRE!I131+DICIEMBRE!I131</f>
        <v>2484791659.5900002</v>
      </c>
      <c r="J131" s="16">
        <f>ENERO!J131+FEBRERO!J131+MARZO!J131+ABRIL!J131+MAYO!J131+JUNIO!J131+JULIO!J131+AGOSTO!J131+SEPTIEMBRE!J131+OCTUBRE!J131+NOVIEMBRE!J131+DICIEMBRE!J131</f>
        <v>5585906603.8500004</v>
      </c>
      <c r="K131" s="16">
        <f>ENERO!K131+FEBRERO!K131+MARZO!K131+ABRIL!K131+MAYO!K131+JUNIO!K131+JULIO!K131+AGOSTO!K131+SEPTIEMBRE!K131+OCTUBRE!K131+NOVIEMBRE!K131+DICIEMBRE!K131</f>
        <v>444623338.87607086</v>
      </c>
      <c r="L131" s="16"/>
      <c r="M131" s="16"/>
      <c r="N131" s="18">
        <f t="shared" si="3"/>
        <v>51049211316.38607</v>
      </c>
      <c r="O131" s="4"/>
      <c r="P131" s="4"/>
      <c r="Q131" s="4"/>
    </row>
    <row r="132" spans="1:17" ht="18" customHeight="1" x14ac:dyDescent="0.2">
      <c r="A132" s="17" t="s">
        <v>127</v>
      </c>
      <c r="B132" s="16">
        <f>ENERO!B132+FEBRERO!B132+MARZO!B132+ABRIL!B132+MAYO!B132+JUNIO!B132+JULIO!B132+AGOSTO!B132+SEPTIEMBRE!B132+OCTUBRE!B132+NOVIEMBRE!B132+DICIEMBRE!B132</f>
        <v>1335310847.2099998</v>
      </c>
      <c r="C132" s="16">
        <f>ENERO!C132+FEBRERO!C132+MARZO!C132+ABRIL!C132+MAYO!C132+JUNIO!C132+JULIO!C132+AGOSTO!C132+SEPTIEMBRE!C132+OCTUBRE!C132+NOVIEMBRE!C132+DICIEMBRE!C132</f>
        <v>0</v>
      </c>
      <c r="D132" s="16">
        <f>ENERO!D132+FEBRERO!D132+MARZO!D132+ABRIL!D132+MAYO!D132+JUNIO!D132+JULIO!D132+AGOSTO!D132+SEPTIEMBRE!D132+OCTUBRE!D132+NOVIEMBRE!D132+DICIEMBRE!D132</f>
        <v>44977352.422421999</v>
      </c>
      <c r="E132" s="16">
        <f>ENERO!E132+FEBRERO!E132+MARZO!E132+ABRIL!E132+MAYO!E132+JUNIO!E132+JULIO!E132+AGOSTO!E132+SEPTIEMBRE!E132+OCTUBRE!E132+NOVIEMBRE!E132+DICIEMBRE!E132</f>
        <v>17514794.59</v>
      </c>
      <c r="F132" s="16">
        <f>ENERO!F132+FEBRERO!F132+MARZO!F132+ABRIL!F132+MAYO!F132+JUNIO!F132+JULIO!F132+AGOSTO!F132+SEPTIEMBRE!F132+OCTUBRE!F132+NOVIEMBRE!F132+DICIEMBRE!F132</f>
        <v>3954646.1000000006</v>
      </c>
      <c r="G132" s="16">
        <f>ENERO!G132+FEBRERO!G132+MARZO!G132+ABRIL!G132+MAYO!G132+JUNIO!G132+JULIO!G132+AGOSTO!G132+SEPTIEMBRE!G132+OCTUBRE!G132+NOVIEMBRE!G132+DICIEMBRE!G132</f>
        <v>1795208.2500000002</v>
      </c>
      <c r="H132" s="16">
        <f>ENERO!H132+FEBRERO!H132+MARZO!H132+ABRIL!H132+MAYO!H132+JUNIO!H132+JULIO!H132+AGOSTO!H132+SEPTIEMBRE!H132+OCTUBRE!H132+NOVIEMBRE!H132+DICIEMBRE!H132</f>
        <v>78308478.859999999</v>
      </c>
      <c r="I132" s="16">
        <f>ENERO!I132+FEBRERO!I132+MARZO!I132+ABRIL!I132+MAYO!I132+JUNIO!I132+JULIO!I132+AGOSTO!I132+SEPTIEMBRE!I132+OCTUBRE!I132+NOVIEMBRE!I132+DICIEMBRE!I132</f>
        <v>10626270.52</v>
      </c>
      <c r="J132" s="16">
        <f>ENERO!J132+FEBRERO!J132+MARZO!J132+ABRIL!J132+MAYO!J132+JUNIO!J132+JULIO!J132+AGOSTO!J132+SEPTIEMBRE!J132+OCTUBRE!J132+NOVIEMBRE!J132+DICIEMBRE!J132</f>
        <v>200584427.07000008</v>
      </c>
      <c r="K132" s="16">
        <f>ENERO!K132+FEBRERO!K132+MARZO!K132+ABRIL!K132+MAYO!K132+JUNIO!K132+JULIO!K132+AGOSTO!K132+SEPTIEMBRE!K132+OCTUBRE!K132+NOVIEMBRE!K132+DICIEMBRE!K132</f>
        <v>16575286.099236121</v>
      </c>
      <c r="L132" s="16"/>
      <c r="M132" s="16"/>
      <c r="N132" s="18">
        <f t="shared" si="3"/>
        <v>1709647311.1216576</v>
      </c>
      <c r="O132" s="4"/>
      <c r="P132" s="4"/>
      <c r="Q132" s="4"/>
    </row>
    <row r="133" spans="1:17" ht="18" customHeight="1" x14ac:dyDescent="0.2">
      <c r="A133" s="17" t="s">
        <v>128</v>
      </c>
      <c r="B133" s="16">
        <f>ENERO!B133+FEBRERO!B133+MARZO!B133+ABRIL!B133+MAYO!B133+JUNIO!B133+JULIO!B133+AGOSTO!B133+SEPTIEMBRE!B133+OCTUBRE!B133+NOVIEMBRE!B133+DICIEMBRE!B133</f>
        <v>9672614424.4200001</v>
      </c>
      <c r="C133" s="16">
        <f>ENERO!C133+FEBRERO!C133+MARZO!C133+ABRIL!C133+MAYO!C133+JUNIO!C133+JULIO!C133+AGOSTO!C133+SEPTIEMBRE!C133+OCTUBRE!C133+NOVIEMBRE!C133+DICIEMBRE!C133</f>
        <v>0</v>
      </c>
      <c r="D133" s="16">
        <f>ENERO!D133+FEBRERO!D133+MARZO!D133+ABRIL!D133+MAYO!D133+JUNIO!D133+JULIO!D133+AGOSTO!D133+SEPTIEMBRE!D133+OCTUBRE!D133+NOVIEMBRE!D133+DICIEMBRE!D133</f>
        <v>282498821.06251234</v>
      </c>
      <c r="E133" s="16">
        <f>ENERO!E133+FEBRERO!E133+MARZO!E133+ABRIL!E133+MAYO!E133+JUNIO!E133+JULIO!E133+AGOSTO!E133+SEPTIEMBRE!E133+OCTUBRE!E133+NOVIEMBRE!E133+DICIEMBRE!E133</f>
        <v>72011717.269999996</v>
      </c>
      <c r="F133" s="16">
        <f>ENERO!F133+FEBRERO!F133+MARZO!F133+ABRIL!F133+MAYO!F133+JUNIO!F133+JULIO!F133+AGOSTO!F133+SEPTIEMBRE!F133+OCTUBRE!F133+NOVIEMBRE!F133+DICIEMBRE!F133</f>
        <v>14305502.489999998</v>
      </c>
      <c r="G133" s="16">
        <f>ENERO!G133+FEBRERO!G133+MARZO!G133+ABRIL!G133+MAYO!G133+JUNIO!G133+JULIO!G133+AGOSTO!G133+SEPTIEMBRE!G133+OCTUBRE!G133+NOVIEMBRE!G133+DICIEMBRE!G133</f>
        <v>10172846.799999999</v>
      </c>
      <c r="H133" s="16">
        <f>ENERO!H133+FEBRERO!H133+MARZO!H133+ABRIL!H133+MAYO!H133+JUNIO!H133+JULIO!H133+AGOSTO!H133+SEPTIEMBRE!H133+OCTUBRE!H133+NOVIEMBRE!H133+DICIEMBRE!H133</f>
        <v>560141590.05999994</v>
      </c>
      <c r="I133" s="16">
        <f>ENERO!I133+FEBRERO!I133+MARZO!I133+ABRIL!I133+MAYO!I133+JUNIO!I133+JULIO!I133+AGOSTO!I133+SEPTIEMBRE!I133+OCTUBRE!I133+NOVIEMBRE!I133+DICIEMBRE!I133</f>
        <v>38439378.619999997</v>
      </c>
      <c r="J133" s="16">
        <f>ENERO!J133+FEBRERO!J133+MARZO!J133+ABRIL!J133+MAYO!J133+JUNIO!J133+JULIO!J133+AGOSTO!J133+SEPTIEMBRE!J133+OCTUBRE!J133+NOVIEMBRE!J133+DICIEMBRE!J133</f>
        <v>739923519.26000023</v>
      </c>
      <c r="K133" s="16">
        <f>ENERO!K133+FEBRERO!K133+MARZO!K133+ABRIL!K133+MAYO!K133+JUNIO!K133+JULIO!K133+AGOSTO!K133+SEPTIEMBRE!K133+OCTUBRE!K133+NOVIEMBRE!K133+DICIEMBRE!K133</f>
        <v>111532262.95062575</v>
      </c>
      <c r="L133" s="16"/>
      <c r="M133" s="16"/>
      <c r="N133" s="18">
        <f t="shared" si="3"/>
        <v>11501640062.933138</v>
      </c>
      <c r="O133" s="4"/>
      <c r="P133" s="4"/>
      <c r="Q133" s="4"/>
    </row>
    <row r="134" spans="1:17" ht="18" customHeight="1" x14ac:dyDescent="0.2">
      <c r="A134" s="17" t="s">
        <v>129</v>
      </c>
      <c r="B134" s="16">
        <f>ENERO!B134+FEBRERO!B134+MARZO!B134+ABRIL!B134+MAYO!B134+JUNIO!B134+JULIO!B134+AGOSTO!B134+SEPTIEMBRE!B134+OCTUBRE!B134+NOVIEMBRE!B134+DICIEMBRE!B134</f>
        <v>16027529066.220001</v>
      </c>
      <c r="C134" s="16">
        <f>ENERO!C134+FEBRERO!C134+MARZO!C134+ABRIL!C134+MAYO!C134+JUNIO!C134+JULIO!C134+AGOSTO!C134+SEPTIEMBRE!C134+OCTUBRE!C134+NOVIEMBRE!C134+DICIEMBRE!C134</f>
        <v>0</v>
      </c>
      <c r="D134" s="16">
        <f>ENERO!D134+FEBRERO!D134+MARZO!D134+ABRIL!D134+MAYO!D134+JUNIO!D134+JULIO!D134+AGOSTO!D134+SEPTIEMBRE!D134+OCTUBRE!D134+NOVIEMBRE!D134+DICIEMBRE!D134</f>
        <v>864450582.06080472</v>
      </c>
      <c r="E134" s="16">
        <f>ENERO!E134+FEBRERO!E134+MARZO!E134+ABRIL!E134+MAYO!E134+JUNIO!E134+JULIO!E134+AGOSTO!E134+SEPTIEMBRE!E134+OCTUBRE!E134+NOVIEMBRE!E134+DICIEMBRE!E134</f>
        <v>206150320.59000003</v>
      </c>
      <c r="F134" s="16">
        <f>ENERO!F134+FEBRERO!F134+MARZO!F134+ABRIL!F134+MAYO!F134+JUNIO!F134+JULIO!F134+AGOSTO!F134+SEPTIEMBRE!F134+OCTUBRE!F134+NOVIEMBRE!F134+DICIEMBRE!F134</f>
        <v>66747548.939999998</v>
      </c>
      <c r="G134" s="16">
        <f>ENERO!G134+FEBRERO!G134+MARZO!G134+ABRIL!G134+MAYO!G134+JUNIO!G134+JULIO!G134+AGOSTO!G134+SEPTIEMBRE!G134+OCTUBRE!G134+NOVIEMBRE!G134+DICIEMBRE!G134</f>
        <v>33728158.049999997</v>
      </c>
      <c r="H134" s="16">
        <f>ENERO!H134+FEBRERO!H134+MARZO!H134+ABRIL!H134+MAYO!H134+JUNIO!H134+JULIO!H134+AGOSTO!H134+SEPTIEMBRE!H134+OCTUBRE!H134+NOVIEMBRE!H134+DICIEMBRE!H134</f>
        <v>934363131.04000008</v>
      </c>
      <c r="I134" s="16">
        <f>ENERO!I134+FEBRERO!I134+MARZO!I134+ABRIL!I134+MAYO!I134+JUNIO!I134+JULIO!I134+AGOSTO!I134+SEPTIEMBRE!I134+OCTUBRE!I134+NOVIEMBRE!I134+DICIEMBRE!I134</f>
        <v>179352966.10000002</v>
      </c>
      <c r="J134" s="16">
        <f>ENERO!J134+FEBRERO!J134+MARZO!J134+ABRIL!J134+MAYO!J134+JUNIO!J134+JULIO!J134+AGOSTO!J134+SEPTIEMBRE!J134+OCTUBRE!J134+NOVIEMBRE!J134+DICIEMBRE!J134</f>
        <v>1671007622.2200007</v>
      </c>
      <c r="K134" s="16">
        <f>ENERO!K134+FEBRERO!K134+MARZO!K134+ABRIL!K134+MAYO!K134+JUNIO!K134+JULIO!K134+AGOSTO!K134+SEPTIEMBRE!K134+OCTUBRE!K134+NOVIEMBRE!K134+DICIEMBRE!K134</f>
        <v>192268341.18774581</v>
      </c>
      <c r="L134" s="16"/>
      <c r="M134" s="16"/>
      <c r="N134" s="18">
        <f t="shared" si="3"/>
        <v>20175597736.40855</v>
      </c>
      <c r="O134" s="4"/>
      <c r="P134" s="4"/>
      <c r="Q134" s="4"/>
    </row>
    <row r="135" spans="1:17" ht="18" customHeight="1" x14ac:dyDescent="0.2">
      <c r="A135" s="17" t="s">
        <v>130</v>
      </c>
      <c r="B135" s="16">
        <f>ENERO!B135+FEBRERO!B135+MARZO!B135+ABRIL!B135+MAYO!B135+JUNIO!B135+JULIO!B135+AGOSTO!B135+SEPTIEMBRE!B135+OCTUBRE!B135+NOVIEMBRE!B135+DICIEMBRE!B135</f>
        <v>13563735982.970001</v>
      </c>
      <c r="C135" s="16">
        <f>ENERO!C135+FEBRERO!C135+MARZO!C135+ABRIL!C135+MAYO!C135+JUNIO!C135+JULIO!C135+AGOSTO!C135+SEPTIEMBRE!C135+OCTUBRE!C135+NOVIEMBRE!C135+DICIEMBRE!C135</f>
        <v>0</v>
      </c>
      <c r="D135" s="16">
        <f>ENERO!D135+FEBRERO!D135+MARZO!D135+ABRIL!D135+MAYO!D135+JUNIO!D135+JULIO!D135+AGOSTO!D135+SEPTIEMBRE!D135+OCTUBRE!D135+NOVIEMBRE!D135+DICIEMBRE!D135</f>
        <v>1053946303.1144497</v>
      </c>
      <c r="E135" s="16">
        <f>ENERO!E135+FEBRERO!E135+MARZO!E135+ABRIL!E135+MAYO!E135+JUNIO!E135+JULIO!E135+AGOSTO!E135+SEPTIEMBRE!E135+OCTUBRE!E135+NOVIEMBRE!E135+DICIEMBRE!E135</f>
        <v>197960156.25999999</v>
      </c>
      <c r="F135" s="16">
        <f>ENERO!F135+FEBRERO!F135+MARZO!F135+ABRIL!F135+MAYO!F135+JUNIO!F135+JULIO!F135+AGOSTO!F135+SEPTIEMBRE!F135+OCTUBRE!F135+NOVIEMBRE!F135+DICIEMBRE!F135</f>
        <v>100482399.81999999</v>
      </c>
      <c r="G135" s="16">
        <f>ENERO!G135+FEBRERO!G135+MARZO!G135+ABRIL!G135+MAYO!G135+JUNIO!G135+JULIO!G135+AGOSTO!G135+SEPTIEMBRE!G135+OCTUBRE!G135+NOVIEMBRE!G135+DICIEMBRE!G135</f>
        <v>42606275.949999996</v>
      </c>
      <c r="H135" s="16">
        <f>ENERO!H135+FEBRERO!H135+MARZO!H135+ABRIL!H135+MAYO!H135+JUNIO!H135+JULIO!H135+AGOSTO!H135+SEPTIEMBRE!H135+OCTUBRE!H135+NOVIEMBRE!H135+DICIEMBRE!H135</f>
        <v>788751651.99000013</v>
      </c>
      <c r="I135" s="16">
        <f>ENERO!I135+FEBRERO!I135+MARZO!I135+ABRIL!I135+MAYO!I135+JUNIO!I135+JULIO!I135+AGOSTO!I135+SEPTIEMBRE!I135+OCTUBRE!I135+NOVIEMBRE!I135+DICIEMBRE!I135</f>
        <v>269999673.84999996</v>
      </c>
      <c r="J135" s="16">
        <f>ENERO!J135+FEBRERO!J135+MARZO!J135+ABRIL!J135+MAYO!J135+JUNIO!J135+JULIO!J135+AGOSTO!J135+SEPTIEMBRE!J135+OCTUBRE!J135+NOVIEMBRE!J135+DICIEMBRE!J135</f>
        <v>1722734188.9999993</v>
      </c>
      <c r="K135" s="16">
        <f>ENERO!K135+FEBRERO!K135+MARZO!K135+ABRIL!K135+MAYO!K135+JUNIO!K135+JULIO!K135+AGOSTO!K135+SEPTIEMBRE!K135+OCTUBRE!K135+NOVIEMBRE!K135+DICIEMBRE!K135</f>
        <v>160334783.23890218</v>
      </c>
      <c r="L135" s="16"/>
      <c r="M135" s="16"/>
      <c r="N135" s="18">
        <f t="shared" si="3"/>
        <v>17900551416.193356</v>
      </c>
      <c r="O135" s="4"/>
      <c r="P135" s="4"/>
      <c r="Q135" s="4"/>
    </row>
    <row r="136" spans="1:17" ht="18" customHeight="1" x14ac:dyDescent="0.2">
      <c r="A136" s="17" t="s">
        <v>131</v>
      </c>
      <c r="B136" s="16">
        <f>ENERO!B136+FEBRERO!B136+MARZO!B136+ABRIL!B136+MAYO!B136+JUNIO!B136+JULIO!B136+AGOSTO!B136+SEPTIEMBRE!B136+OCTUBRE!B136+NOVIEMBRE!B136+DICIEMBRE!B136</f>
        <v>21103061005.43</v>
      </c>
      <c r="C136" s="16">
        <f>ENERO!C136+FEBRERO!C136+MARZO!C136+ABRIL!C136+MAYO!C136+JUNIO!C136+JULIO!C136+AGOSTO!C136+SEPTIEMBRE!C136+OCTUBRE!C136+NOVIEMBRE!C136+DICIEMBRE!C136</f>
        <v>0</v>
      </c>
      <c r="D136" s="16">
        <f>ENERO!D136+FEBRERO!D136+MARZO!D136+ABRIL!D136+MAYO!D136+JUNIO!D136+JULIO!D136+AGOSTO!D136+SEPTIEMBRE!D136+OCTUBRE!D136+NOVIEMBRE!D136+DICIEMBRE!D136</f>
        <v>254224695.33000001</v>
      </c>
      <c r="E136" s="16">
        <f>ENERO!E136+FEBRERO!E136+MARZO!E136+ABRIL!E136+MAYO!E136+JUNIO!E136+JULIO!E136+AGOSTO!E136+SEPTIEMBRE!E136+OCTUBRE!E136+NOVIEMBRE!E136+DICIEMBRE!E136</f>
        <v>321251632.70999998</v>
      </c>
      <c r="F136" s="16">
        <f>ENERO!F136+FEBRERO!F136+MARZO!F136+ABRIL!F136+MAYO!F136+JUNIO!F136+JULIO!F136+AGOSTO!F136+SEPTIEMBRE!F136+OCTUBRE!F136+NOVIEMBRE!F136+DICIEMBRE!F136</f>
        <v>597839329.68000007</v>
      </c>
      <c r="G136" s="16">
        <f>ENERO!G136+FEBRERO!G136+MARZO!G136+ABRIL!G136+MAYO!G136+JUNIO!G136+JULIO!G136+AGOSTO!G136+SEPTIEMBRE!G136+OCTUBRE!G136+NOVIEMBRE!G136+DICIEMBRE!G136</f>
        <v>311399505.18792921</v>
      </c>
      <c r="H136" s="16">
        <f>ENERO!H136+FEBRERO!H136+MARZO!H136+ABRIL!H136+MAYO!H136+JUNIO!H136+JULIO!H136+AGOSTO!H136+SEPTIEMBRE!H136+OCTUBRE!H136+NOVIEMBRE!H136+DICIEMBRE!H136</f>
        <v>1227182706.25</v>
      </c>
      <c r="I136" s="16">
        <f>ENERO!I136+FEBRERO!I136+MARZO!I136+ABRIL!I136+MAYO!I136+JUNIO!I136+JULIO!I136+AGOSTO!I136+SEPTIEMBRE!I136+OCTUBRE!I136+NOVIEMBRE!I136+DICIEMBRE!I136</f>
        <v>1606414897.23</v>
      </c>
      <c r="J136" s="16">
        <f>ENERO!J136+FEBRERO!J136+MARZO!J136+ABRIL!J136+MAYO!J136+JUNIO!J136+JULIO!J136+AGOSTO!J136+SEPTIEMBRE!J136+OCTUBRE!J136+NOVIEMBRE!J136+DICIEMBRE!J136</f>
        <v>3916701854.5300007</v>
      </c>
      <c r="K136" s="16">
        <f>ENERO!K136+FEBRERO!K136+MARZO!K136+ABRIL!K136+MAYO!K136+JUNIO!K136+JULIO!K136+AGOSTO!K136+SEPTIEMBRE!K136+OCTUBRE!K136+NOVIEMBRE!K136+DICIEMBRE!K136</f>
        <v>249465522.13859335</v>
      </c>
      <c r="L136" s="16"/>
      <c r="M136" s="16"/>
      <c r="N136" s="18">
        <f t="shared" ref="N136:N142" si="4">SUM(B136:M136)</f>
        <v>29587541148.486523</v>
      </c>
      <c r="O136" s="4"/>
      <c r="P136" s="4"/>
      <c r="Q136" s="4"/>
    </row>
    <row r="137" spans="1:17" ht="18" customHeight="1" x14ac:dyDescent="0.2">
      <c r="A137" s="17" t="s">
        <v>132</v>
      </c>
      <c r="B137" s="16">
        <f>ENERO!B137+FEBRERO!B137+MARZO!B137+ABRIL!B137+MAYO!B137+JUNIO!B137+JULIO!B137+AGOSTO!B137+SEPTIEMBRE!B137+OCTUBRE!B137+NOVIEMBRE!B137+DICIEMBRE!B137</f>
        <v>3320443427.4200001</v>
      </c>
      <c r="C137" s="16">
        <f>ENERO!C137+FEBRERO!C137+MARZO!C137+ABRIL!C137+MAYO!C137+JUNIO!C137+JULIO!C137+AGOSTO!C137+SEPTIEMBRE!C137+OCTUBRE!C137+NOVIEMBRE!C137+DICIEMBRE!C137</f>
        <v>0</v>
      </c>
      <c r="D137" s="16">
        <f>ENERO!D137+FEBRERO!D137+MARZO!D137+ABRIL!D137+MAYO!D137+JUNIO!D137+JULIO!D137+AGOSTO!D137+SEPTIEMBRE!D137+OCTUBRE!D137+NOVIEMBRE!D137+DICIEMBRE!D137</f>
        <v>151274657.95345768</v>
      </c>
      <c r="E137" s="16">
        <f>ENERO!E137+FEBRERO!E137+MARZO!E137+ABRIL!E137+MAYO!E137+JUNIO!E137+JULIO!E137+AGOSTO!E137+SEPTIEMBRE!E137+OCTUBRE!E137+NOVIEMBRE!E137+DICIEMBRE!E137</f>
        <v>42216439.640000001</v>
      </c>
      <c r="F137" s="16">
        <f>ENERO!F137+FEBRERO!F137+MARZO!F137+ABRIL!F137+MAYO!F137+JUNIO!F137+JULIO!F137+AGOSTO!F137+SEPTIEMBRE!F137+OCTUBRE!F137+NOVIEMBRE!F137+DICIEMBRE!F137</f>
        <v>7152751.2400000002</v>
      </c>
      <c r="G137" s="16">
        <f>ENERO!G137+FEBRERO!G137+MARZO!G137+ABRIL!G137+MAYO!G137+JUNIO!G137+JULIO!G137+AGOSTO!G137+SEPTIEMBRE!G137+OCTUBRE!G137+NOVIEMBRE!G137+DICIEMBRE!G137</f>
        <v>6223388.6200000001</v>
      </c>
      <c r="H137" s="16">
        <f>ENERO!H137+FEBRERO!H137+MARZO!H137+ABRIL!H137+MAYO!H137+JUNIO!H137+JULIO!H137+AGOSTO!H137+SEPTIEMBRE!H137+OCTUBRE!H137+NOVIEMBRE!H137+DICIEMBRE!H137</f>
        <v>192921118.13</v>
      </c>
      <c r="I137" s="16">
        <f>ENERO!I137+FEBRERO!I137+MARZO!I137+ABRIL!I137+MAYO!I137+JUNIO!I137+JULIO!I137+AGOSTO!I137+SEPTIEMBRE!I137+OCTUBRE!I137+NOVIEMBRE!I137+DICIEMBRE!I137</f>
        <v>19219689.300000001</v>
      </c>
      <c r="J137" s="16">
        <f>ENERO!J137+FEBRERO!J137+MARZO!J137+ABRIL!J137+MAYO!J137+JUNIO!J137+JULIO!J137+AGOSTO!J137+SEPTIEMBRE!J137+OCTUBRE!J137+NOVIEMBRE!J137+DICIEMBRE!J137</f>
        <v>384221252.62000012</v>
      </c>
      <c r="K137" s="16">
        <f>ENERO!K137+FEBRERO!K137+MARZO!K137+ABRIL!K137+MAYO!K137+JUNIO!K137+JULIO!K137+AGOSTO!K137+SEPTIEMBRE!K137+OCTUBRE!K137+NOVIEMBRE!K137+DICIEMBRE!K137</f>
        <v>39048984.819371581</v>
      </c>
      <c r="L137" s="16"/>
      <c r="M137" s="16"/>
      <c r="N137" s="18">
        <f t="shared" si="4"/>
        <v>4162721709.7428298</v>
      </c>
      <c r="O137" s="4"/>
      <c r="P137" s="4"/>
      <c r="Q137" s="4"/>
    </row>
    <row r="138" spans="1:17" ht="18" customHeight="1" x14ac:dyDescent="0.2">
      <c r="A138" s="17" t="s">
        <v>133</v>
      </c>
      <c r="B138" s="16">
        <f>ENERO!B138+FEBRERO!B138+MARZO!B138+ABRIL!B138+MAYO!B138+JUNIO!B138+JULIO!B138+AGOSTO!B138+SEPTIEMBRE!B138+OCTUBRE!B138+NOVIEMBRE!B138+DICIEMBRE!B138</f>
        <v>9757034266.2099991</v>
      </c>
      <c r="C138" s="16">
        <f>ENERO!C138+FEBRERO!C138+MARZO!C138+ABRIL!C138+MAYO!C138+JUNIO!C138+JULIO!C138+AGOSTO!C138+SEPTIEMBRE!C138+OCTUBRE!C138+NOVIEMBRE!C138+DICIEMBRE!C138</f>
        <v>0</v>
      </c>
      <c r="D138" s="16">
        <f>ENERO!D138+FEBRERO!D138+MARZO!D138+ABRIL!D138+MAYO!D138+JUNIO!D138+JULIO!D138+AGOSTO!D138+SEPTIEMBRE!D138+OCTUBRE!D138+NOVIEMBRE!D138+DICIEMBRE!D138</f>
        <v>733227754.26834679</v>
      </c>
      <c r="E138" s="16">
        <f>ENERO!E138+FEBRERO!E138+MARZO!E138+ABRIL!E138+MAYO!E138+JUNIO!E138+JULIO!E138+AGOSTO!E138+SEPTIEMBRE!E138+OCTUBRE!E138+NOVIEMBRE!E138+DICIEMBRE!E138</f>
        <v>127114161.94999999</v>
      </c>
      <c r="F138" s="16">
        <f>ENERO!F138+FEBRERO!F138+MARZO!F138+ABRIL!F138+MAYO!F138+JUNIO!F138+JULIO!F138+AGOSTO!F138+SEPTIEMBRE!F138+OCTUBRE!F138+NOVIEMBRE!F138+DICIEMBRE!F138</f>
        <v>62277079.409999996</v>
      </c>
      <c r="G138" s="16">
        <f>ENERO!G138+FEBRERO!G138+MARZO!G138+ABRIL!G138+MAYO!G138+JUNIO!G138+JULIO!G138+AGOSTO!G138+SEPTIEMBRE!G138+OCTUBRE!G138+NOVIEMBRE!G138+DICIEMBRE!G138</f>
        <v>24295151.739999998</v>
      </c>
      <c r="H138" s="16">
        <f>ENERO!H138+FEBRERO!H138+MARZO!H138+ABRIL!H138+MAYO!H138+JUNIO!H138+JULIO!H138+AGOSTO!H138+SEPTIEMBRE!H138+OCTUBRE!H138+NOVIEMBRE!H138+DICIEMBRE!H138</f>
        <v>568126721.77999997</v>
      </c>
      <c r="I138" s="16">
        <f>ENERO!I138+FEBRERO!I138+MARZO!I138+ABRIL!I138+MAYO!I138+JUNIO!I138+JULIO!I138+AGOSTO!I138+SEPTIEMBRE!I138+OCTUBRE!I138+NOVIEMBRE!I138+DICIEMBRE!I138</f>
        <v>167340660.27000001</v>
      </c>
      <c r="J138" s="16">
        <f>ENERO!J138+FEBRERO!J138+MARZO!J138+ABRIL!J138+MAYO!J138+JUNIO!J138+JULIO!J138+AGOSTO!J138+SEPTIEMBRE!J138+OCTUBRE!J138+NOVIEMBRE!J138+DICIEMBRE!J138</f>
        <v>1396066438.0100002</v>
      </c>
      <c r="K138" s="16">
        <f>ENERO!K138+FEBRERO!K138+MARZO!K138+ABRIL!K138+MAYO!K138+JUNIO!K138+JULIO!K138+AGOSTO!K138+SEPTIEMBRE!K138+OCTUBRE!K138+NOVIEMBRE!K138+DICIEMBRE!K138</f>
        <v>116226105.2303794</v>
      </c>
      <c r="L138" s="16"/>
      <c r="M138" s="16"/>
      <c r="N138" s="18">
        <f t="shared" si="4"/>
        <v>12951708338.868727</v>
      </c>
      <c r="O138" s="4"/>
      <c r="P138" s="4"/>
      <c r="Q138" s="4"/>
    </row>
    <row r="139" spans="1:17" ht="18" customHeight="1" x14ac:dyDescent="0.2">
      <c r="A139" s="17" t="s">
        <v>134</v>
      </c>
      <c r="B139" s="16">
        <f>ENERO!B139+FEBRERO!B139+MARZO!B139+ABRIL!B139+MAYO!B139+JUNIO!B139+JULIO!B139+AGOSTO!B139+SEPTIEMBRE!B139+OCTUBRE!B139+NOVIEMBRE!B139+DICIEMBRE!B139</f>
        <v>32190340929.520004</v>
      </c>
      <c r="C139" s="16">
        <f>ENERO!C139+FEBRERO!C139+MARZO!C139+ABRIL!C139+MAYO!C139+JUNIO!C139+JULIO!C139+AGOSTO!C139+SEPTIEMBRE!C139+OCTUBRE!C139+NOVIEMBRE!C139+DICIEMBRE!C139</f>
        <v>0</v>
      </c>
      <c r="D139" s="16">
        <f>ENERO!D139+FEBRERO!D139+MARZO!D139+ABRIL!D139+MAYO!D139+JUNIO!D139+JULIO!D139+AGOSTO!D139+SEPTIEMBRE!D139+OCTUBRE!D139+NOVIEMBRE!D139+DICIEMBRE!D139</f>
        <v>403143816.01999998</v>
      </c>
      <c r="E139" s="16">
        <f>ENERO!E139+FEBRERO!E139+MARZO!E139+ABRIL!E139+MAYO!E139+JUNIO!E139+JULIO!E139+AGOSTO!E139+SEPTIEMBRE!E139+OCTUBRE!E139+NOVIEMBRE!E139+DICIEMBRE!E139</f>
        <v>432308861.5</v>
      </c>
      <c r="F139" s="16">
        <f>ENERO!F139+FEBRERO!F139+MARZO!F139+ABRIL!F139+MAYO!F139+JUNIO!F139+JULIO!F139+AGOSTO!F139+SEPTIEMBRE!F139+OCTUBRE!F139+NOVIEMBRE!F139+DICIEMBRE!F139</f>
        <v>320291948.02999997</v>
      </c>
      <c r="G139" s="16">
        <f>ENERO!G139+FEBRERO!G139+MARZO!G139+ABRIL!G139+MAYO!G139+JUNIO!G139+JULIO!G139+AGOSTO!G139+SEPTIEMBRE!G139+OCTUBRE!G139+NOVIEMBRE!G139+DICIEMBRE!G139</f>
        <v>281894663.23786509</v>
      </c>
      <c r="H139" s="16">
        <f>ENERO!H139+FEBRERO!H139+MARZO!H139+ABRIL!H139+MAYO!H139+JUNIO!H139+JULIO!H139+AGOSTO!H139+SEPTIEMBRE!H139+OCTUBRE!H139+NOVIEMBRE!H139+DICIEMBRE!H139</f>
        <v>1884390568.52</v>
      </c>
      <c r="I139" s="16">
        <f>ENERO!I139+FEBRERO!I139+MARZO!I139+ABRIL!I139+MAYO!I139+JUNIO!I139+JULIO!I139+AGOSTO!I139+SEPTIEMBRE!I139+OCTUBRE!I139+NOVIEMBRE!I139+DICIEMBRE!I139</f>
        <v>860635510.81000006</v>
      </c>
      <c r="J139" s="16">
        <f>ENERO!J139+FEBRERO!J139+MARZO!J139+ABRIL!J139+MAYO!J139+JUNIO!J139+JULIO!J139+AGOSTO!J139+SEPTIEMBRE!J139+OCTUBRE!J139+NOVIEMBRE!J139+DICIEMBRE!J139</f>
        <v>2492755683.3800001</v>
      </c>
      <c r="K139" s="16">
        <f>ENERO!K139+FEBRERO!K139+MARZO!K139+ABRIL!K139+MAYO!K139+JUNIO!K139+JULIO!K139+AGOSTO!K139+SEPTIEMBRE!K139+OCTUBRE!K139+NOVIEMBRE!K139+DICIEMBRE!K139</f>
        <v>395504743.31232852</v>
      </c>
      <c r="L139" s="16"/>
      <c r="M139" s="16"/>
      <c r="N139" s="18">
        <f t="shared" si="4"/>
        <v>39261266724.330193</v>
      </c>
      <c r="O139" s="4"/>
      <c r="P139" s="4"/>
      <c r="Q139" s="4"/>
    </row>
    <row r="140" spans="1:17" ht="18" customHeight="1" x14ac:dyDescent="0.2">
      <c r="A140" s="17" t="s">
        <v>135</v>
      </c>
      <c r="B140" s="16">
        <f>ENERO!B140+FEBRERO!B140+MARZO!B140+ABRIL!B140+MAYO!B140+JUNIO!B140+JULIO!B140+AGOSTO!B140+SEPTIEMBRE!B140+OCTUBRE!B140+NOVIEMBRE!B140+DICIEMBRE!B140</f>
        <v>9881342483.289999</v>
      </c>
      <c r="C140" s="16">
        <f>ENERO!C140+FEBRERO!C140+MARZO!C140+ABRIL!C140+MAYO!C140+JUNIO!C140+JULIO!C140+AGOSTO!C140+SEPTIEMBRE!C140+OCTUBRE!C140+NOVIEMBRE!C140+DICIEMBRE!C140</f>
        <v>0</v>
      </c>
      <c r="D140" s="16">
        <f>ENERO!D140+FEBRERO!D140+MARZO!D140+ABRIL!D140+MAYO!D140+JUNIO!D140+JULIO!D140+AGOSTO!D140+SEPTIEMBRE!D140+OCTUBRE!D140+NOVIEMBRE!D140+DICIEMBRE!D140</f>
        <v>52505883.100000001</v>
      </c>
      <c r="E140" s="16">
        <f>ENERO!E140+FEBRERO!E140+MARZO!E140+ABRIL!E140+MAYO!E140+JUNIO!E140+JULIO!E140+AGOSTO!E140+SEPTIEMBRE!E140+OCTUBRE!E140+NOVIEMBRE!E140+DICIEMBRE!E140</f>
        <v>127755198.02</v>
      </c>
      <c r="F140" s="16">
        <f>ENERO!F140+FEBRERO!F140+MARZO!F140+ABRIL!F140+MAYO!F140+JUNIO!F140+JULIO!F140+AGOSTO!F140+SEPTIEMBRE!F140+OCTUBRE!F140+NOVIEMBRE!F140+DICIEMBRE!F140</f>
        <v>52820316.940000005</v>
      </c>
      <c r="G140" s="16">
        <f>ENERO!G140+FEBRERO!G140+MARZO!G140+ABRIL!G140+MAYO!G140+JUNIO!G140+JULIO!G140+AGOSTO!G140+SEPTIEMBRE!G140+OCTUBRE!G140+NOVIEMBRE!G140+DICIEMBRE!G140</f>
        <v>25611637.789999999</v>
      </c>
      <c r="H140" s="16">
        <f>ENERO!H140+FEBRERO!H140+MARZO!H140+ABRIL!H140+MAYO!H140+JUNIO!H140+JULIO!H140+AGOSTO!H140+SEPTIEMBRE!H140+OCTUBRE!H140+NOVIEMBRE!H140+DICIEMBRE!H140</f>
        <v>576073310.35000002</v>
      </c>
      <c r="I140" s="16">
        <f>ENERO!I140+FEBRERO!I140+MARZO!I140+ABRIL!I140+MAYO!I140+JUNIO!I140+JULIO!I140+AGOSTO!I140+SEPTIEMBRE!I140+OCTUBRE!I140+NOVIEMBRE!I140+DICIEMBRE!I140</f>
        <v>141930013.34</v>
      </c>
      <c r="J140" s="16">
        <f>ENERO!J140+FEBRERO!J140+MARZO!J140+ABRIL!J140+MAYO!J140+JUNIO!J140+JULIO!J140+AGOSTO!J140+SEPTIEMBRE!J140+OCTUBRE!J140+NOVIEMBRE!J140+DICIEMBRE!J140</f>
        <v>630098463.35999966</v>
      </c>
      <c r="K140" s="16">
        <f>ENERO!K140+FEBRERO!K140+MARZO!K140+ABRIL!K140+MAYO!K140+JUNIO!K140+JULIO!K140+AGOSTO!K140+SEPTIEMBRE!K140+OCTUBRE!K140+NOVIEMBRE!K140+DICIEMBRE!K140</f>
        <v>118558093.68007673</v>
      </c>
      <c r="L140" s="16"/>
      <c r="M140" s="16"/>
      <c r="N140" s="18">
        <f t="shared" si="4"/>
        <v>11606695399.870079</v>
      </c>
      <c r="O140" s="4"/>
      <c r="P140" s="4"/>
      <c r="Q140" s="4"/>
    </row>
    <row r="141" spans="1:17" ht="18" customHeight="1" x14ac:dyDescent="0.2">
      <c r="A141" s="17" t="s">
        <v>136</v>
      </c>
      <c r="B141" s="16">
        <f>ENERO!B141+FEBRERO!B141+MARZO!B141+ABRIL!B141+MAYO!B141+JUNIO!B141+JULIO!B141+AGOSTO!B141+SEPTIEMBRE!B141+OCTUBRE!B141+NOVIEMBRE!B141+DICIEMBRE!B141</f>
        <v>11195548370.640001</v>
      </c>
      <c r="C141" s="16">
        <f>ENERO!C141+FEBRERO!C141+MARZO!C141+ABRIL!C141+MAYO!C141+JUNIO!C141+JULIO!C141+AGOSTO!C141+SEPTIEMBRE!C141+OCTUBRE!C141+NOVIEMBRE!C141+DICIEMBRE!C141</f>
        <v>0</v>
      </c>
      <c r="D141" s="16">
        <f>ENERO!D141+FEBRERO!D141+MARZO!D141+ABRIL!D141+MAYO!D141+JUNIO!D141+JULIO!D141+AGOSTO!D141+SEPTIEMBRE!D141+OCTUBRE!D141+NOVIEMBRE!D141+DICIEMBRE!D141</f>
        <v>356065966.99096292</v>
      </c>
      <c r="E141" s="16">
        <f>ENERO!E141+FEBRERO!E141+MARZO!E141+ABRIL!E141+MAYO!E141+JUNIO!E141+JULIO!E141+AGOSTO!E141+SEPTIEMBRE!E141+OCTUBRE!E141+NOVIEMBRE!E141+DICIEMBRE!E141</f>
        <v>143794527.02000001</v>
      </c>
      <c r="F141" s="16">
        <f>ENERO!F141+FEBRERO!F141+MARZO!F141+ABRIL!F141+MAYO!F141+JUNIO!F141+JULIO!F141+AGOSTO!F141+SEPTIEMBRE!F141+OCTUBRE!F141+NOVIEMBRE!F141+DICIEMBRE!F141</f>
        <v>76169923.180000007</v>
      </c>
      <c r="G141" s="16">
        <f>ENERO!G141+FEBRERO!G141+MARZO!G141+ABRIL!G141+MAYO!G141+JUNIO!G141+JULIO!G141+AGOSTO!G141+SEPTIEMBRE!G141+OCTUBRE!G141+NOVIEMBRE!G141+DICIEMBRE!G141</f>
        <v>22380262.939999998</v>
      </c>
      <c r="H141" s="16">
        <f>ENERO!H141+FEBRERO!H141+MARZO!H141+ABRIL!H141+MAYO!H141+JUNIO!H141+JULIO!H141+AGOSTO!H141+SEPTIEMBRE!H141+OCTUBRE!H141+NOVIEMBRE!H141+DICIEMBRE!H141</f>
        <v>652363757.36999989</v>
      </c>
      <c r="I141" s="16">
        <f>ENERO!I141+FEBRERO!I141+MARZO!I141+ABRIL!I141+MAYO!I141+JUNIO!I141+JULIO!I141+AGOSTO!I141+SEPTIEMBRE!I141+OCTUBRE!I141+NOVIEMBRE!I141+DICIEMBRE!I141</f>
        <v>204671210.67000002</v>
      </c>
      <c r="J141" s="16">
        <f>ENERO!J141+FEBRERO!J141+MARZO!J141+ABRIL!J141+MAYO!J141+JUNIO!J141+JULIO!J141+AGOSTO!J141+SEPTIEMBRE!J141+OCTUBRE!J141+NOVIEMBRE!J141+DICIEMBRE!J141</f>
        <v>1752366715.8300006</v>
      </c>
      <c r="K141" s="16">
        <f>ENERO!K141+FEBRERO!K141+MARZO!K141+ABRIL!K141+MAYO!K141+JUNIO!K141+JULIO!K141+AGOSTO!K141+SEPTIEMBRE!K141+OCTUBRE!K141+NOVIEMBRE!K141+DICIEMBRE!K141</f>
        <v>133933787.00156033</v>
      </c>
      <c r="L141" s="16"/>
      <c r="M141" s="16"/>
      <c r="N141" s="18">
        <f t="shared" si="4"/>
        <v>14537294521.642525</v>
      </c>
      <c r="O141" s="4"/>
      <c r="P141" s="4"/>
      <c r="Q141" s="4"/>
    </row>
    <row r="142" spans="1:17" ht="18" customHeight="1" x14ac:dyDescent="0.2">
      <c r="A142" s="17" t="s">
        <v>137</v>
      </c>
      <c r="B142" s="16">
        <f>ENERO!B142+FEBRERO!B142+MARZO!B142+ABRIL!B142+MAYO!B142+JUNIO!B142+JULIO!B142+AGOSTO!B142+SEPTIEMBRE!B142+OCTUBRE!B142+NOVIEMBRE!B142+DICIEMBRE!B142</f>
        <v>11592743726.34</v>
      </c>
      <c r="C142" s="16">
        <f>ENERO!C142+FEBRERO!C142+MARZO!C142+ABRIL!C142+MAYO!C142+JUNIO!C142+JULIO!C142+AGOSTO!C142+SEPTIEMBRE!C142+OCTUBRE!C142+NOVIEMBRE!C142+DICIEMBRE!C142</f>
        <v>0</v>
      </c>
      <c r="D142" s="16">
        <f>ENERO!D142+FEBRERO!D142+MARZO!D142+ABRIL!D142+MAYO!D142+JUNIO!D142+JULIO!D142+AGOSTO!D142+SEPTIEMBRE!D142+OCTUBRE!D142+NOVIEMBRE!D142+DICIEMBRE!D142</f>
        <v>345920462.39698017</v>
      </c>
      <c r="E142" s="16">
        <f>ENERO!E142+FEBRERO!E142+MARZO!E142+ABRIL!E142+MAYO!E142+JUNIO!E142+JULIO!E142+AGOSTO!E142+SEPTIEMBRE!E142+OCTUBRE!E142+NOVIEMBRE!E142+DICIEMBRE!E142</f>
        <v>170106047.12</v>
      </c>
      <c r="F142" s="16">
        <f>ENERO!F142+FEBRERO!F142+MARZO!F142+ABRIL!F142+MAYO!F142+JUNIO!F142+JULIO!F142+AGOSTO!F142+SEPTIEMBRE!F142+OCTUBRE!F142+NOVIEMBRE!F142+DICIEMBRE!F142</f>
        <v>327479087.5</v>
      </c>
      <c r="G142" s="16">
        <f>ENERO!G142+FEBRERO!G142+MARZO!G142+ABRIL!G142+MAYO!G142+JUNIO!G142+JULIO!G142+AGOSTO!G142+SEPTIEMBRE!G142+OCTUBRE!G142+NOVIEMBRE!G142+DICIEMBRE!G142</f>
        <v>90358815.580000013</v>
      </c>
      <c r="H142" s="16">
        <f>ENERO!H142+FEBRERO!H142+MARZO!H142+ABRIL!H142+MAYO!H142+JUNIO!H142+JULIO!H142+AGOSTO!H142+SEPTIEMBRE!H142+OCTUBRE!H142+NOVIEMBRE!H142+DICIEMBRE!H142</f>
        <v>673380538.01999998</v>
      </c>
      <c r="I142" s="16">
        <f>ENERO!I142+FEBRERO!I142+MARZO!I142+ABRIL!I142+MAYO!I142+JUNIO!I142+JULIO!I142+AGOSTO!I142+SEPTIEMBRE!I142+OCTUBRE!I142+NOVIEMBRE!I142+DICIEMBRE!I142</f>
        <v>879947602.35000014</v>
      </c>
      <c r="J142" s="16">
        <f>ENERO!J142+FEBRERO!J142+MARZO!J142+ABRIL!J142+MAYO!J142+JUNIO!J142+JULIO!J142+AGOSTO!J142+SEPTIEMBRE!J142+OCTUBRE!J142+NOVIEMBRE!J142+DICIEMBRE!J142</f>
        <v>2375418653.6900005</v>
      </c>
      <c r="K142" s="16">
        <f>ENERO!K142+FEBRERO!K142+MARZO!K142+ABRIL!K142+MAYO!K142+JUNIO!K142+JULIO!K142+AGOSTO!K142+SEPTIEMBRE!K142+OCTUBRE!K142+NOVIEMBRE!K142+DICIEMBRE!K142</f>
        <v>136128892.45794564</v>
      </c>
      <c r="L142" s="16"/>
      <c r="M142" s="16"/>
      <c r="N142" s="18">
        <f t="shared" si="4"/>
        <v>16591483825.454927</v>
      </c>
      <c r="O142" s="4"/>
      <c r="P142" s="4"/>
      <c r="Q142" s="4"/>
    </row>
    <row r="143" spans="1:17" ht="27.75" customHeight="1" x14ac:dyDescent="0.2">
      <c r="A143" s="22" t="s">
        <v>138</v>
      </c>
      <c r="B143" s="23">
        <f>SUM(B8:B142)</f>
        <v>2110496045166.5793</v>
      </c>
      <c r="C143" s="23">
        <f>SUM(C8:C142)</f>
        <v>0</v>
      </c>
      <c r="D143" s="23">
        <f t="shared" ref="D143:J143" si="5">SUM(D8:D142)</f>
        <v>58251597296.465309</v>
      </c>
      <c r="E143" s="23">
        <f t="shared" si="5"/>
        <v>29335450957.974003</v>
      </c>
      <c r="F143" s="23">
        <f t="shared" si="5"/>
        <v>34388227190.909988</v>
      </c>
      <c r="G143" s="23">
        <f t="shared" si="5"/>
        <v>11968055042.320005</v>
      </c>
      <c r="H143" s="23">
        <f t="shared" si="5"/>
        <v>122678564229.96004</v>
      </c>
      <c r="I143" s="23">
        <f t="shared" si="5"/>
        <v>92402352444.289993</v>
      </c>
      <c r="J143" s="23">
        <f t="shared" si="5"/>
        <v>294587204630.53992</v>
      </c>
      <c r="K143" s="23">
        <f>SUM(K8:K142)</f>
        <v>24887816965.819996</v>
      </c>
      <c r="L143" s="23"/>
      <c r="M143" s="23"/>
      <c r="N143" s="23">
        <f>SUM(N8:N142)</f>
        <v>2778995313924.8594</v>
      </c>
      <c r="O143" s="4"/>
      <c r="P143" s="4"/>
      <c r="Q143" s="4"/>
    </row>
    <row r="144" spans="1:17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6" x14ac:dyDescent="0.2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P145" s="4"/>
    </row>
    <row r="146" spans="1:16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6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6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6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6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6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4"/>
    </row>
    <row r="152" spans="1:16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6" x14ac:dyDescent="0.2">
      <c r="B153" s="4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6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6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6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6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6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6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6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ECONOMÍA&amp;R&amp;P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Acumulado</vt:lpstr>
      <vt:lpstr>ABRIL!Área_de_impresión</vt:lpstr>
      <vt:lpstr>Acumulado!Área_de_impresión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Acumulado!Títulos_a_imprimir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Mariela Tuerde</cp:lastModifiedBy>
  <cp:lastPrinted>2026-07-01T15:12:28Z</cp:lastPrinted>
  <dcterms:created xsi:type="dcterms:W3CDTF">2012-05-08T12:18:55Z</dcterms:created>
  <dcterms:modified xsi:type="dcterms:W3CDTF">2026-07-01T15:12:31Z</dcterms:modified>
</cp:coreProperties>
</file>