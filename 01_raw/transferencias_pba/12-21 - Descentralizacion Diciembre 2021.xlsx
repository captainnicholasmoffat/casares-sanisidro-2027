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erArchivos\finanzas municipales\Tareas\Cierres Mensuales\web\2021\12- Diciembre\"/>
    </mc:Choice>
  </mc:AlternateContent>
  <bookViews>
    <workbookView xWindow="-165" yWindow="-495" windowWidth="21840" windowHeight="10020" firstSheet="4" activeTab="11"/>
  </bookViews>
  <sheets>
    <sheet name="Enero" sheetId="1" r:id="rId1"/>
    <sheet name="Febrero" sheetId="21" r:id="rId2"/>
    <sheet name="Marzo" sheetId="22" r:id="rId3"/>
    <sheet name="Abril" sheetId="23" r:id="rId4"/>
    <sheet name="Mayo" sheetId="24" r:id="rId5"/>
    <sheet name="Junio" sheetId="35" r:id="rId6"/>
    <sheet name="Julio" sheetId="36" r:id="rId7"/>
    <sheet name="Agosto" sheetId="37" r:id="rId8"/>
    <sheet name="Septiembre" sheetId="38" r:id="rId9"/>
    <sheet name="Octubre" sheetId="39" r:id="rId10"/>
    <sheet name="Noviembre" sheetId="40" r:id="rId11"/>
    <sheet name="Diciembre" sheetId="41" r:id="rId12"/>
    <sheet name="Acumulado" sheetId="18" r:id="rId13"/>
  </sheets>
  <externalReferences>
    <externalReference r:id="rId14"/>
    <externalReference r:id="rId15"/>
    <externalReference r:id="rId16"/>
  </externalReferences>
  <definedNames>
    <definedName name="\a">'[1]2001'!$P$1:$Q$3</definedName>
    <definedName name="_Fill" localSheetId="3" hidden="1">#REF!</definedName>
    <definedName name="_Fill" localSheetId="12" hidden="1">#REF!</definedName>
    <definedName name="_Fill" localSheetId="7" hidden="1">#REF!</definedName>
    <definedName name="_Fill" localSheetId="11" hidden="1">#REF!</definedName>
    <definedName name="_Fill" localSheetId="0" hidden="1">#REF!</definedName>
    <definedName name="_Fill" localSheetId="1" hidden="1">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4" hidden="1">#REF!</definedName>
    <definedName name="_Fill" localSheetId="10" hidden="1">#REF!</definedName>
    <definedName name="_Fill" localSheetId="9" hidden="1">#REF!</definedName>
    <definedName name="_Fill" localSheetId="8" hidden="1">#REF!</definedName>
    <definedName name="_Fill" hidden="1">#REF!</definedName>
    <definedName name="_xlnm._FilterDatabase" localSheetId="3" hidden="1">Abril!$B$9:$G$145</definedName>
    <definedName name="_xlnm._FilterDatabase" localSheetId="12" hidden="1">Acumulado!$B$9:$G$145</definedName>
    <definedName name="_xlnm._FilterDatabase" localSheetId="7" hidden="1">Agosto!$B$9:$G$145</definedName>
    <definedName name="_xlnm._FilterDatabase" localSheetId="11" hidden="1">Diciembre!$B$9:$G$145</definedName>
    <definedName name="_xlnm._FilterDatabase" localSheetId="0" hidden="1">Enero!$B$9:$G$145</definedName>
    <definedName name="_xlnm._FilterDatabase" localSheetId="1" hidden="1">Febrero!$B$9:$G$145</definedName>
    <definedName name="_xlnm._FilterDatabase" localSheetId="6" hidden="1">Julio!$B$9:$G$145</definedName>
    <definedName name="_xlnm._FilterDatabase" localSheetId="5" hidden="1">Junio!$B$9:$G$145</definedName>
    <definedName name="_xlnm._FilterDatabase" localSheetId="2" hidden="1">Marzo!$B$9:$G$145</definedName>
    <definedName name="_xlnm._FilterDatabase" localSheetId="4" hidden="1">Mayo!$B$9:$G$145</definedName>
    <definedName name="_xlnm._FilterDatabase" localSheetId="10" hidden="1">Noviembre!$B$9:$G$145</definedName>
    <definedName name="_xlnm._FilterDatabase" localSheetId="9" hidden="1">Octubre!$B$9:$G$145</definedName>
    <definedName name="_xlnm._FilterDatabase" localSheetId="8" hidden="1">Septiembre!$B$9:$G$145</definedName>
    <definedName name="_Key1" localSheetId="3" hidden="1">[2]REDE02!#REF!</definedName>
    <definedName name="_Key1" localSheetId="12" hidden="1">[2]REDE02!#REF!</definedName>
    <definedName name="_Key1" localSheetId="7" hidden="1">[2]REDE02!#REF!</definedName>
    <definedName name="_Key1" localSheetId="11" hidden="1">[2]REDE02!#REF!</definedName>
    <definedName name="_Key1" localSheetId="0" hidden="1">[2]REDE02!#REF!</definedName>
    <definedName name="_Key1" localSheetId="1" hidden="1">[2]REDE02!#REF!</definedName>
    <definedName name="_Key1" localSheetId="6" hidden="1">[2]REDE02!#REF!</definedName>
    <definedName name="_Key1" localSheetId="5" hidden="1">[2]REDE02!#REF!</definedName>
    <definedName name="_Key1" localSheetId="2" hidden="1">[2]REDE02!#REF!</definedName>
    <definedName name="_Key1" localSheetId="4" hidden="1">[2]REDE02!#REF!</definedName>
    <definedName name="_Key1" localSheetId="10" hidden="1">[2]REDE02!#REF!</definedName>
    <definedName name="_Key1" localSheetId="9" hidden="1">[2]REDE02!#REF!</definedName>
    <definedName name="_Key1" localSheetId="8" hidden="1">[2]REDE02!#REF!</definedName>
    <definedName name="_Key1" hidden="1">[2]REDE02!#REF!</definedName>
    <definedName name="_Order1" hidden="1">255</definedName>
    <definedName name="_Sort" localSheetId="3" hidden="1">#REF!</definedName>
    <definedName name="_Sort" localSheetId="12" hidden="1">#REF!</definedName>
    <definedName name="_Sort" localSheetId="7" hidden="1">#REF!</definedName>
    <definedName name="_Sort" localSheetId="11" hidden="1">#REF!</definedName>
    <definedName name="_Sort" localSheetId="0" hidden="1">#REF!</definedName>
    <definedName name="_Sort" localSheetId="1" hidden="1">#REF!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4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_Sort" hidden="1">#REF!</definedName>
    <definedName name="_xlnm.Print_Area" localSheetId="3">Abril!$D$1:$I$145</definedName>
    <definedName name="_xlnm.Print_Area" localSheetId="12">Acumulado!$D$1:$I$145</definedName>
    <definedName name="_xlnm.Print_Area" localSheetId="7">Agosto!$D$1:$I$145</definedName>
    <definedName name="_xlnm.Print_Area" localSheetId="11">Diciembre!$D$1:$I$145</definedName>
    <definedName name="_xlnm.Print_Area" localSheetId="0">Enero!$D$1:$I$145</definedName>
    <definedName name="_xlnm.Print_Area" localSheetId="1">Febrero!$D$1:$I$145</definedName>
    <definedName name="_xlnm.Print_Area" localSheetId="6">Julio!$D$1:$I$145</definedName>
    <definedName name="_xlnm.Print_Area" localSheetId="5">Junio!$D$1:$I$145</definedName>
    <definedName name="_xlnm.Print_Area" localSheetId="2">Marzo!$D$1:$I$145</definedName>
    <definedName name="_xlnm.Print_Area" localSheetId="4">Mayo!$D$1:$I$145</definedName>
    <definedName name="_xlnm.Print_Area" localSheetId="10">Noviembre!$D$1:$I$145</definedName>
    <definedName name="_xlnm.Print_Area" localSheetId="9">Octubre!$D$1:$I$145</definedName>
    <definedName name="_xlnm.Print_Area" localSheetId="8">Septiembre!$D$1:$I$145</definedName>
    <definedName name="contador" localSheetId="3">#REF!</definedName>
    <definedName name="contador" localSheetId="12">#REF!</definedName>
    <definedName name="contador" localSheetId="7">#REF!</definedName>
    <definedName name="contador" localSheetId="11">#REF!</definedName>
    <definedName name="contador" localSheetId="0">#REF!</definedName>
    <definedName name="contador" localSheetId="1">#REF!</definedName>
    <definedName name="contador" localSheetId="6">#REF!</definedName>
    <definedName name="contador" localSheetId="5">#REF!</definedName>
    <definedName name="contador" localSheetId="2">#REF!</definedName>
    <definedName name="contador" localSheetId="4">#REF!</definedName>
    <definedName name="contador" localSheetId="10">#REF!</definedName>
    <definedName name="contador" localSheetId="9">#REF!</definedName>
    <definedName name="contador" localSheetId="8">#REF!</definedName>
    <definedName name="contador">#REF!</definedName>
    <definedName name="FSA" localSheetId="3" hidden="1">'[3]Rec. y Transf.ENERO-04'!#REF!</definedName>
    <definedName name="FSA" localSheetId="12" hidden="1">'[3]Rec. y Transf.ENERO-04'!#REF!</definedName>
    <definedName name="FSA" localSheetId="7" hidden="1">'[3]Rec. y Transf.ENERO-04'!#REF!</definedName>
    <definedName name="FSA" localSheetId="11" hidden="1">'[3]Rec. y Transf.ENERO-04'!#REF!</definedName>
    <definedName name="FSA" localSheetId="0" hidden="1">'[3]Rec. y Transf.ENERO-04'!#REF!</definedName>
    <definedName name="FSA" localSheetId="1" hidden="1">'[3]Rec. y Transf.ENERO-04'!#REF!</definedName>
    <definedName name="FSA" localSheetId="6" hidden="1">'[3]Rec. y Transf.ENERO-04'!#REF!</definedName>
    <definedName name="FSA" localSheetId="5" hidden="1">'[3]Rec. y Transf.ENERO-04'!#REF!</definedName>
    <definedName name="FSA" localSheetId="2" hidden="1">'[3]Rec. y Transf.ENERO-04'!#REF!</definedName>
    <definedName name="FSA" localSheetId="4" hidden="1">'[3]Rec. y Transf.ENERO-04'!#REF!</definedName>
    <definedName name="FSA" localSheetId="10" hidden="1">'[3]Rec. y Transf.ENERO-04'!#REF!</definedName>
    <definedName name="FSA" localSheetId="9" hidden="1">'[3]Rec. y Transf.ENERO-04'!#REF!</definedName>
    <definedName name="FSA" localSheetId="8" hidden="1">'[3]Rec. y Transf.ENERO-04'!#REF!</definedName>
    <definedName name="FSA" hidden="1">'[3]Rec. y Transf.ENERO-04'!#REF!</definedName>
    <definedName name="h" localSheetId="3">#REF!</definedName>
    <definedName name="h" localSheetId="7">#REF!</definedName>
    <definedName name="h" localSheetId="11">#REF!</definedName>
    <definedName name="h" localSheetId="1">#REF!</definedName>
    <definedName name="h" localSheetId="6">#REF!</definedName>
    <definedName name="h" localSheetId="5">#REF!</definedName>
    <definedName name="h" localSheetId="2">#REF!</definedName>
    <definedName name="h" localSheetId="4">#REF!</definedName>
    <definedName name="h" localSheetId="10">#REF!</definedName>
    <definedName name="h" localSheetId="9">#REF!</definedName>
    <definedName name="h" localSheetId="8">#REF!</definedName>
    <definedName name="h">#REF!</definedName>
    <definedName name="Junio" localSheetId="3" hidden="1">#REF!</definedName>
    <definedName name="Junio" localSheetId="7" hidden="1">#REF!</definedName>
    <definedName name="Junio" localSheetId="11" hidden="1">#REF!</definedName>
    <definedName name="Junio" localSheetId="1" hidden="1">#REF!</definedName>
    <definedName name="Junio" localSheetId="6" hidden="1">#REF!</definedName>
    <definedName name="Junio" localSheetId="5" hidden="1">#REF!</definedName>
    <definedName name="Junio" localSheetId="2" hidden="1">#REF!</definedName>
    <definedName name="Junio" localSheetId="4" hidden="1">#REF!</definedName>
    <definedName name="Junio" localSheetId="10" hidden="1">#REF!</definedName>
    <definedName name="Junio" localSheetId="9" hidden="1">#REF!</definedName>
    <definedName name="Junio" localSheetId="8" hidden="1">#REF!</definedName>
    <definedName name="Junio" hidden="1">#REF!</definedName>
    <definedName name="_xlnm.Print_Titles" localSheetId="3">Abril!$D:$D,Abril!$1:$9</definedName>
    <definedName name="_xlnm.Print_Titles" localSheetId="12">Acumulado!$D:$D,Acumulado!$1:$9</definedName>
    <definedName name="_xlnm.Print_Titles" localSheetId="7">Agosto!$D:$D,Agosto!$1:$9</definedName>
    <definedName name="_xlnm.Print_Titles" localSheetId="11">Diciembre!$D:$D,Diciembre!$1:$9</definedName>
    <definedName name="_xlnm.Print_Titles" localSheetId="0">Enero!$D:$D,Enero!$1:$9</definedName>
    <definedName name="_xlnm.Print_Titles" localSheetId="1">Febrero!$D:$D,Febrero!$1:$9</definedName>
    <definedName name="_xlnm.Print_Titles" localSheetId="6">Julio!$D:$D,Julio!$1:$9</definedName>
    <definedName name="_xlnm.Print_Titles" localSheetId="5">Junio!$D:$D,Junio!$1:$9</definedName>
    <definedName name="_xlnm.Print_Titles" localSheetId="2">Marzo!$D:$D,Marzo!$1:$9</definedName>
    <definedName name="_xlnm.Print_Titles" localSheetId="4">Mayo!$D:$D,Mayo!$1:$9</definedName>
    <definedName name="_xlnm.Print_Titles" localSheetId="10">Noviembre!$D:$D,Noviembre!$1:$9</definedName>
    <definedName name="_xlnm.Print_Titles" localSheetId="9">Octubre!$D:$D,Octubre!$1:$9</definedName>
    <definedName name="_xlnm.Print_Titles" localSheetId="8">Septiembre!$D:$D,Septiembre!$1:$9</definedName>
    <definedName name="Z_1154F945_E781_4016_ADEC_250E9B61A614_.wvu.FilterData" localSheetId="3" hidden="1">Abril!$B$9:$G$145</definedName>
    <definedName name="Z_1154F945_E781_4016_ADEC_250E9B61A614_.wvu.FilterData" localSheetId="12" hidden="1">Acumulado!$B$9:$G$145</definedName>
    <definedName name="Z_1154F945_E781_4016_ADEC_250E9B61A614_.wvu.FilterData" localSheetId="7" hidden="1">Agosto!$B$9:$G$145</definedName>
    <definedName name="Z_1154F945_E781_4016_ADEC_250E9B61A614_.wvu.FilterData" localSheetId="11" hidden="1">Diciembre!$B$9:$G$145</definedName>
    <definedName name="Z_1154F945_E781_4016_ADEC_250E9B61A614_.wvu.FilterData" localSheetId="0" hidden="1">Enero!$B$9:$G$145</definedName>
    <definedName name="Z_1154F945_E781_4016_ADEC_250E9B61A614_.wvu.FilterData" localSheetId="1" hidden="1">Febrero!$B$9:$G$145</definedName>
    <definedName name="Z_1154F945_E781_4016_ADEC_250E9B61A614_.wvu.FilterData" localSheetId="6" hidden="1">Julio!$B$9:$G$145</definedName>
    <definedName name="Z_1154F945_E781_4016_ADEC_250E9B61A614_.wvu.FilterData" localSheetId="5" hidden="1">Junio!$B$9:$G$145</definedName>
    <definedName name="Z_1154F945_E781_4016_ADEC_250E9B61A614_.wvu.FilterData" localSheetId="2" hidden="1">Marzo!$B$9:$G$145</definedName>
    <definedName name="Z_1154F945_E781_4016_ADEC_250E9B61A614_.wvu.FilterData" localSheetId="4" hidden="1">Mayo!$B$9:$G$145</definedName>
    <definedName name="Z_1154F945_E781_4016_ADEC_250E9B61A614_.wvu.FilterData" localSheetId="10" hidden="1">Noviembre!$B$9:$G$145</definedName>
    <definedName name="Z_1154F945_E781_4016_ADEC_250E9B61A614_.wvu.FilterData" localSheetId="9" hidden="1">Octubre!$B$9:$G$145</definedName>
    <definedName name="Z_1154F945_E781_4016_ADEC_250E9B61A614_.wvu.FilterData" localSheetId="8" hidden="1">Septiembre!$B$9:$G$145</definedName>
    <definedName name="Z_1154F945_E781_4016_ADEC_250E9B61A614_.wvu.PrintArea" localSheetId="3" hidden="1">Abril!$D$1:$I$145</definedName>
    <definedName name="Z_1154F945_E781_4016_ADEC_250E9B61A614_.wvu.PrintArea" localSheetId="12" hidden="1">Acumulado!$D$1:$I$145</definedName>
    <definedName name="Z_1154F945_E781_4016_ADEC_250E9B61A614_.wvu.PrintArea" localSheetId="7" hidden="1">Agosto!$D$1:$I$145</definedName>
    <definedName name="Z_1154F945_E781_4016_ADEC_250E9B61A614_.wvu.PrintArea" localSheetId="11" hidden="1">Diciembre!$D$1:$I$145</definedName>
    <definedName name="Z_1154F945_E781_4016_ADEC_250E9B61A614_.wvu.PrintArea" localSheetId="0" hidden="1">Enero!$D$1:$I$145</definedName>
    <definedName name="Z_1154F945_E781_4016_ADEC_250E9B61A614_.wvu.PrintArea" localSheetId="1" hidden="1">Febrero!$D$1:$I$145</definedName>
    <definedName name="Z_1154F945_E781_4016_ADEC_250E9B61A614_.wvu.PrintArea" localSheetId="6" hidden="1">Julio!$D$1:$I$145</definedName>
    <definedName name="Z_1154F945_E781_4016_ADEC_250E9B61A614_.wvu.PrintArea" localSheetId="5" hidden="1">Junio!$D$1:$I$145</definedName>
    <definedName name="Z_1154F945_E781_4016_ADEC_250E9B61A614_.wvu.PrintArea" localSheetId="2" hidden="1">Marzo!$D$1:$I$145</definedName>
    <definedName name="Z_1154F945_E781_4016_ADEC_250E9B61A614_.wvu.PrintArea" localSheetId="4" hidden="1">Mayo!$D$1:$I$145</definedName>
    <definedName name="Z_1154F945_E781_4016_ADEC_250E9B61A614_.wvu.PrintArea" localSheetId="10" hidden="1">Noviembre!$D$1:$I$145</definedName>
    <definedName name="Z_1154F945_E781_4016_ADEC_250E9B61A614_.wvu.PrintArea" localSheetId="9" hidden="1">Octubre!$D$1:$I$145</definedName>
    <definedName name="Z_1154F945_E781_4016_ADEC_250E9B61A614_.wvu.PrintArea" localSheetId="8" hidden="1">Septiembre!$D$1:$I$145</definedName>
    <definedName name="Z_1154F945_E781_4016_ADEC_250E9B61A614_.wvu.PrintTitles" localSheetId="3" hidden="1">Abril!$D:$D,Abril!$1:$9</definedName>
    <definedName name="Z_1154F945_E781_4016_ADEC_250E9B61A614_.wvu.PrintTitles" localSheetId="12" hidden="1">Acumulado!$D:$D,Acumulado!$1:$9</definedName>
    <definedName name="Z_1154F945_E781_4016_ADEC_250E9B61A614_.wvu.PrintTitles" localSheetId="7" hidden="1">Agosto!$D:$D,Agosto!$1:$9</definedName>
    <definedName name="Z_1154F945_E781_4016_ADEC_250E9B61A614_.wvu.PrintTitles" localSheetId="11" hidden="1">Diciembre!$D:$D,Diciembre!$1:$9</definedName>
    <definedName name="Z_1154F945_E781_4016_ADEC_250E9B61A614_.wvu.PrintTitles" localSheetId="0" hidden="1">Enero!$D:$D,Enero!$1:$9</definedName>
    <definedName name="Z_1154F945_E781_4016_ADEC_250E9B61A614_.wvu.PrintTitles" localSheetId="1" hidden="1">Febrero!$D:$D,Febrero!$1:$9</definedName>
    <definedName name="Z_1154F945_E781_4016_ADEC_250E9B61A614_.wvu.PrintTitles" localSheetId="6" hidden="1">Julio!$D:$D,Julio!$1:$9</definedName>
    <definedName name="Z_1154F945_E781_4016_ADEC_250E9B61A614_.wvu.PrintTitles" localSheetId="5" hidden="1">Junio!$D:$D,Junio!$1:$9</definedName>
    <definedName name="Z_1154F945_E781_4016_ADEC_250E9B61A614_.wvu.PrintTitles" localSheetId="2" hidden="1">Marzo!$D:$D,Marzo!$1:$9</definedName>
    <definedName name="Z_1154F945_E781_4016_ADEC_250E9B61A614_.wvu.PrintTitles" localSheetId="4" hidden="1">Mayo!$D:$D,Mayo!$1:$9</definedName>
    <definedName name="Z_1154F945_E781_4016_ADEC_250E9B61A614_.wvu.PrintTitles" localSheetId="10" hidden="1">Noviembre!$D:$D,Noviembre!$1:$9</definedName>
    <definedName name="Z_1154F945_E781_4016_ADEC_250E9B61A614_.wvu.PrintTitles" localSheetId="9" hidden="1">Octubre!$D:$D,Octubre!$1:$9</definedName>
    <definedName name="Z_1154F945_E781_4016_ADEC_250E9B61A614_.wvu.PrintTitles" localSheetId="8" hidden="1">Septiembre!$D:$D,Septiembre!$1:$9</definedName>
    <definedName name="Z_F1F511AB_5865_40AB_8DB4_DDEDE7CBB603_.wvu.FilterData" localSheetId="3" hidden="1">Abril!$B$9:$G$145</definedName>
    <definedName name="Z_F1F511AB_5865_40AB_8DB4_DDEDE7CBB603_.wvu.FilterData" localSheetId="12" hidden="1">Acumulado!$B$9:$G$145</definedName>
    <definedName name="Z_F1F511AB_5865_40AB_8DB4_DDEDE7CBB603_.wvu.FilterData" localSheetId="7" hidden="1">Agosto!$B$9:$G$145</definedName>
    <definedName name="Z_F1F511AB_5865_40AB_8DB4_DDEDE7CBB603_.wvu.FilterData" localSheetId="11" hidden="1">Diciembre!$B$9:$G$145</definedName>
    <definedName name="Z_F1F511AB_5865_40AB_8DB4_DDEDE7CBB603_.wvu.FilterData" localSheetId="0" hidden="1">Enero!$B$9:$G$145</definedName>
    <definedName name="Z_F1F511AB_5865_40AB_8DB4_DDEDE7CBB603_.wvu.FilterData" localSheetId="1" hidden="1">Febrero!$B$9:$G$145</definedName>
    <definedName name="Z_F1F511AB_5865_40AB_8DB4_DDEDE7CBB603_.wvu.FilterData" localSheetId="6" hidden="1">Julio!$B$9:$G$145</definedName>
    <definedName name="Z_F1F511AB_5865_40AB_8DB4_DDEDE7CBB603_.wvu.FilterData" localSheetId="5" hidden="1">Junio!$B$9:$G$145</definedName>
    <definedName name="Z_F1F511AB_5865_40AB_8DB4_DDEDE7CBB603_.wvu.FilterData" localSheetId="2" hidden="1">Marzo!$B$9:$G$145</definedName>
    <definedName name="Z_F1F511AB_5865_40AB_8DB4_DDEDE7CBB603_.wvu.FilterData" localSheetId="4" hidden="1">Mayo!$B$9:$G$145</definedName>
    <definedName name="Z_F1F511AB_5865_40AB_8DB4_DDEDE7CBB603_.wvu.FilterData" localSheetId="10" hidden="1">Noviembre!$B$9:$G$145</definedName>
    <definedName name="Z_F1F511AB_5865_40AB_8DB4_DDEDE7CBB603_.wvu.FilterData" localSheetId="9" hidden="1">Octubre!$B$9:$G$145</definedName>
    <definedName name="Z_F1F511AB_5865_40AB_8DB4_DDEDE7CBB603_.wvu.FilterData" localSheetId="8" hidden="1">Septiembre!$B$9:$G$145</definedName>
    <definedName name="Z_F1F511AB_5865_40AB_8DB4_DDEDE7CBB603_.wvu.PrintArea" localSheetId="3" hidden="1">Abril!$D$1:$I$145</definedName>
    <definedName name="Z_F1F511AB_5865_40AB_8DB4_DDEDE7CBB603_.wvu.PrintArea" localSheetId="12" hidden="1">Acumulado!$D$1:$I$145</definedName>
    <definedName name="Z_F1F511AB_5865_40AB_8DB4_DDEDE7CBB603_.wvu.PrintArea" localSheetId="7" hidden="1">Agosto!$D$1:$I$145</definedName>
    <definedName name="Z_F1F511AB_5865_40AB_8DB4_DDEDE7CBB603_.wvu.PrintArea" localSheetId="11" hidden="1">Diciembre!$D$1:$I$145</definedName>
    <definedName name="Z_F1F511AB_5865_40AB_8DB4_DDEDE7CBB603_.wvu.PrintArea" localSheetId="0" hidden="1">Enero!$D$1:$I$145</definedName>
    <definedName name="Z_F1F511AB_5865_40AB_8DB4_DDEDE7CBB603_.wvu.PrintArea" localSheetId="1" hidden="1">Febrero!$D$1:$I$145</definedName>
    <definedName name="Z_F1F511AB_5865_40AB_8DB4_DDEDE7CBB603_.wvu.PrintArea" localSheetId="6" hidden="1">Julio!$D$1:$I$145</definedName>
    <definedName name="Z_F1F511AB_5865_40AB_8DB4_DDEDE7CBB603_.wvu.PrintArea" localSheetId="5" hidden="1">Junio!$D$1:$I$145</definedName>
    <definedName name="Z_F1F511AB_5865_40AB_8DB4_DDEDE7CBB603_.wvu.PrintArea" localSheetId="2" hidden="1">Marzo!$D$1:$I$145</definedName>
    <definedName name="Z_F1F511AB_5865_40AB_8DB4_DDEDE7CBB603_.wvu.PrintArea" localSheetId="4" hidden="1">Mayo!$D$1:$I$145</definedName>
    <definedName name="Z_F1F511AB_5865_40AB_8DB4_DDEDE7CBB603_.wvu.PrintArea" localSheetId="10" hidden="1">Noviembre!$D$1:$I$145</definedName>
    <definedName name="Z_F1F511AB_5865_40AB_8DB4_DDEDE7CBB603_.wvu.PrintArea" localSheetId="9" hidden="1">Octubre!$D$1:$I$145</definedName>
    <definedName name="Z_F1F511AB_5865_40AB_8DB4_DDEDE7CBB603_.wvu.PrintArea" localSheetId="8" hidden="1">Septiembre!$D$1:$I$145</definedName>
    <definedName name="Z_F1F511AB_5865_40AB_8DB4_DDEDE7CBB603_.wvu.PrintTitles" localSheetId="3" hidden="1">Abril!$D:$D,Abril!$1:$9</definedName>
    <definedName name="Z_F1F511AB_5865_40AB_8DB4_DDEDE7CBB603_.wvu.PrintTitles" localSheetId="12" hidden="1">Acumulado!$D:$D,Acumulado!$1:$9</definedName>
    <definedName name="Z_F1F511AB_5865_40AB_8DB4_DDEDE7CBB603_.wvu.PrintTitles" localSheetId="7" hidden="1">Agosto!$D:$D,Agosto!$1:$9</definedName>
    <definedName name="Z_F1F511AB_5865_40AB_8DB4_DDEDE7CBB603_.wvu.PrintTitles" localSheetId="11" hidden="1">Diciembre!$D:$D,Diciembre!$1:$9</definedName>
    <definedName name="Z_F1F511AB_5865_40AB_8DB4_DDEDE7CBB603_.wvu.PrintTitles" localSheetId="0" hidden="1">Enero!$D:$D,Enero!$1:$9</definedName>
    <definedName name="Z_F1F511AB_5865_40AB_8DB4_DDEDE7CBB603_.wvu.PrintTitles" localSheetId="1" hidden="1">Febrero!$D:$D,Febrero!$1:$9</definedName>
    <definedName name="Z_F1F511AB_5865_40AB_8DB4_DDEDE7CBB603_.wvu.PrintTitles" localSheetId="6" hidden="1">Julio!$D:$D,Julio!$1:$9</definedName>
    <definedName name="Z_F1F511AB_5865_40AB_8DB4_DDEDE7CBB603_.wvu.PrintTitles" localSheetId="5" hidden="1">Junio!$D:$D,Junio!$1:$9</definedName>
    <definedName name="Z_F1F511AB_5865_40AB_8DB4_DDEDE7CBB603_.wvu.PrintTitles" localSheetId="2" hidden="1">Marzo!$D:$D,Marzo!$1:$9</definedName>
    <definedName name="Z_F1F511AB_5865_40AB_8DB4_DDEDE7CBB603_.wvu.PrintTitles" localSheetId="4" hidden="1">Mayo!$D:$D,Mayo!$1:$9</definedName>
    <definedName name="Z_F1F511AB_5865_40AB_8DB4_DDEDE7CBB603_.wvu.PrintTitles" localSheetId="10" hidden="1">Noviembre!$D:$D,Noviembre!$1:$9</definedName>
    <definedName name="Z_F1F511AB_5865_40AB_8DB4_DDEDE7CBB603_.wvu.PrintTitles" localSheetId="9" hidden="1">Octubre!$D:$D,Octubre!$1:$9</definedName>
    <definedName name="Z_F1F511AB_5865_40AB_8DB4_DDEDE7CBB603_.wvu.PrintTitles" localSheetId="8" hidden="1">Septiembre!$D:$D,Septiembre!$1:$9</definedName>
  </definedNames>
  <calcPr calcId="162913"/>
  <customWorkbookViews>
    <customWorkbookView name="paola - Vista personalizada" guid="{F1F511AB-5865-40AB-8DB4-DDEDE7CBB603}" mergeInterval="0" personalView="1" maximized="1" windowWidth="1436" windowHeight="635" activeSheetId="18"/>
    <customWorkbookView name="Eliana Beatriz Koladynski - Vista personalizada" guid="{1154F945-E781-4016-ADEC-250E9B61A614}" mergeInterval="0" personalView="1" maximized="1" windowWidth="1362" windowHeight="462" activeSheetId="18"/>
  </customWorkbookViews>
</workbook>
</file>

<file path=xl/calcChain.xml><?xml version="1.0" encoding="utf-8"?>
<calcChain xmlns="http://schemas.openxmlformats.org/spreadsheetml/2006/main">
  <c r="H10" i="18" l="1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0" i="18"/>
  <c r="H145" i="41" l="1"/>
  <c r="G145" i="41"/>
  <c r="F145" i="41"/>
  <c r="E145" i="41"/>
  <c r="I144" i="41"/>
  <c r="I143" i="41"/>
  <c r="I142" i="41"/>
  <c r="I141" i="41"/>
  <c r="I140" i="41"/>
  <c r="I139" i="41"/>
  <c r="I138" i="41"/>
  <c r="I137" i="41"/>
  <c r="I136" i="41"/>
  <c r="I135" i="41"/>
  <c r="I134" i="41"/>
  <c r="I133" i="41"/>
  <c r="I132" i="41"/>
  <c r="I131" i="41"/>
  <c r="I130" i="41"/>
  <c r="I129" i="41"/>
  <c r="I128" i="41"/>
  <c r="I127" i="41"/>
  <c r="I126" i="41"/>
  <c r="I125" i="41"/>
  <c r="I124" i="41"/>
  <c r="I123" i="41"/>
  <c r="I122" i="41"/>
  <c r="I121" i="41"/>
  <c r="I120" i="41"/>
  <c r="I119" i="41"/>
  <c r="I118" i="41"/>
  <c r="I117" i="41"/>
  <c r="I116" i="41"/>
  <c r="I115" i="41"/>
  <c r="I114" i="41"/>
  <c r="I113" i="41"/>
  <c r="I112" i="41"/>
  <c r="I111" i="41"/>
  <c r="I110" i="41"/>
  <c r="I109" i="41"/>
  <c r="I108" i="41"/>
  <c r="I107" i="41"/>
  <c r="I106" i="41"/>
  <c r="I105" i="41"/>
  <c r="I104" i="41"/>
  <c r="I103" i="41"/>
  <c r="I102" i="41"/>
  <c r="I101" i="41"/>
  <c r="I100" i="41"/>
  <c r="I99" i="41"/>
  <c r="I98" i="41"/>
  <c r="I97" i="41"/>
  <c r="I96" i="41"/>
  <c r="I95" i="41"/>
  <c r="I94" i="41"/>
  <c r="I93" i="41"/>
  <c r="I92" i="41"/>
  <c r="I91" i="41"/>
  <c r="I90" i="41"/>
  <c r="I89" i="41"/>
  <c r="I88" i="41"/>
  <c r="I87" i="41"/>
  <c r="I86" i="41"/>
  <c r="I85" i="41"/>
  <c r="I84" i="41"/>
  <c r="I83" i="41"/>
  <c r="I82" i="41"/>
  <c r="I81" i="41"/>
  <c r="I80" i="41"/>
  <c r="I79" i="41"/>
  <c r="I78" i="41"/>
  <c r="I77" i="41"/>
  <c r="I76" i="41"/>
  <c r="I75" i="41"/>
  <c r="I74" i="41"/>
  <c r="I73" i="41"/>
  <c r="I72" i="41"/>
  <c r="I71" i="41"/>
  <c r="I70" i="41"/>
  <c r="I69" i="41"/>
  <c r="I68" i="41"/>
  <c r="I67" i="41"/>
  <c r="I66" i="41"/>
  <c r="I65" i="41"/>
  <c r="I64" i="41"/>
  <c r="I63" i="41"/>
  <c r="I62" i="41"/>
  <c r="I61" i="41"/>
  <c r="I60" i="41"/>
  <c r="I59" i="41"/>
  <c r="I58" i="41"/>
  <c r="I57" i="41"/>
  <c r="I56" i="41"/>
  <c r="I55" i="41"/>
  <c r="I54" i="41"/>
  <c r="I53" i="41"/>
  <c r="I52" i="41"/>
  <c r="I51" i="41"/>
  <c r="I50" i="41"/>
  <c r="I49" i="41"/>
  <c r="I48" i="41"/>
  <c r="I47" i="41"/>
  <c r="I46" i="41"/>
  <c r="I45" i="41"/>
  <c r="I44" i="41"/>
  <c r="I43" i="41"/>
  <c r="I42" i="41"/>
  <c r="I41" i="41"/>
  <c r="I40" i="41"/>
  <c r="I39" i="41"/>
  <c r="I38" i="41"/>
  <c r="I37" i="41"/>
  <c r="I36" i="41"/>
  <c r="I35" i="41"/>
  <c r="I34" i="41"/>
  <c r="I33" i="41"/>
  <c r="I32" i="41"/>
  <c r="I31" i="41"/>
  <c r="I30" i="41"/>
  <c r="I29" i="41"/>
  <c r="I28" i="41"/>
  <c r="I27" i="41"/>
  <c r="I26" i="41"/>
  <c r="I25" i="41"/>
  <c r="I24" i="41"/>
  <c r="I23" i="41"/>
  <c r="I22" i="41"/>
  <c r="I21" i="41"/>
  <c r="I20" i="41"/>
  <c r="I19" i="41"/>
  <c r="I18" i="41"/>
  <c r="I17" i="41"/>
  <c r="I16" i="41"/>
  <c r="I15" i="41"/>
  <c r="I14" i="41"/>
  <c r="I13" i="41"/>
  <c r="I12" i="41"/>
  <c r="I11" i="41"/>
  <c r="I10" i="41"/>
  <c r="I145" i="41" l="1"/>
  <c r="H145" i="18"/>
  <c r="H145" i="40" l="1"/>
  <c r="G145" i="40"/>
  <c r="F145" i="40"/>
  <c r="E145" i="40"/>
  <c r="I144" i="40"/>
  <c r="I143" i="40"/>
  <c r="I142" i="40"/>
  <c r="I141" i="40"/>
  <c r="I140" i="40"/>
  <c r="I139" i="40"/>
  <c r="I138" i="40"/>
  <c r="I137" i="40"/>
  <c r="I136" i="40"/>
  <c r="I135" i="40"/>
  <c r="I134" i="40"/>
  <c r="I133" i="40"/>
  <c r="I132" i="40"/>
  <c r="I131" i="40"/>
  <c r="I130" i="40"/>
  <c r="I129" i="40"/>
  <c r="I128" i="40"/>
  <c r="I127" i="40"/>
  <c r="I126" i="40"/>
  <c r="I125" i="40"/>
  <c r="I124" i="40"/>
  <c r="I123" i="40"/>
  <c r="I122" i="40"/>
  <c r="I121" i="40"/>
  <c r="I120" i="40"/>
  <c r="I119" i="40"/>
  <c r="I118" i="40"/>
  <c r="I117" i="40"/>
  <c r="I116" i="40"/>
  <c r="I115" i="40"/>
  <c r="I114" i="40"/>
  <c r="I113" i="40"/>
  <c r="I112" i="40"/>
  <c r="I111" i="40"/>
  <c r="I110" i="40"/>
  <c r="I109" i="40"/>
  <c r="I108" i="40"/>
  <c r="I107" i="40"/>
  <c r="I106" i="40"/>
  <c r="I105" i="40"/>
  <c r="I104" i="40"/>
  <c r="I103" i="40"/>
  <c r="I102" i="40"/>
  <c r="I101" i="40"/>
  <c r="I100" i="40"/>
  <c r="I99" i="40"/>
  <c r="I98" i="40"/>
  <c r="I97" i="40"/>
  <c r="I96" i="40"/>
  <c r="I95" i="40"/>
  <c r="I94" i="40"/>
  <c r="I93" i="40"/>
  <c r="I92" i="40"/>
  <c r="I91" i="40"/>
  <c r="I90" i="40"/>
  <c r="I89" i="40"/>
  <c r="I88" i="40"/>
  <c r="I87" i="40"/>
  <c r="I86" i="40"/>
  <c r="I85" i="40"/>
  <c r="I84" i="40"/>
  <c r="I83" i="40"/>
  <c r="I82" i="40"/>
  <c r="I81" i="40"/>
  <c r="I80" i="40"/>
  <c r="I79" i="40"/>
  <c r="I78" i="40"/>
  <c r="I77" i="40"/>
  <c r="I76" i="40"/>
  <c r="I75" i="40"/>
  <c r="I74" i="40"/>
  <c r="I73" i="40"/>
  <c r="I72" i="40"/>
  <c r="I71" i="40"/>
  <c r="I70" i="40"/>
  <c r="I69" i="40"/>
  <c r="I68" i="40"/>
  <c r="I67" i="40"/>
  <c r="I66" i="40"/>
  <c r="I65" i="40"/>
  <c r="I64" i="40"/>
  <c r="I63" i="40"/>
  <c r="I62" i="40"/>
  <c r="I61" i="40"/>
  <c r="I60" i="40"/>
  <c r="I59" i="40"/>
  <c r="I58" i="40"/>
  <c r="I57" i="40"/>
  <c r="I56" i="40"/>
  <c r="I55" i="40"/>
  <c r="I54" i="40"/>
  <c r="I53" i="40"/>
  <c r="I52" i="40"/>
  <c r="I51" i="40"/>
  <c r="I50" i="40"/>
  <c r="I49" i="40"/>
  <c r="I48" i="40"/>
  <c r="I47" i="40"/>
  <c r="I46" i="40"/>
  <c r="I45" i="40"/>
  <c r="I44" i="40"/>
  <c r="I43" i="40"/>
  <c r="I42" i="40"/>
  <c r="I41" i="40"/>
  <c r="I40" i="40"/>
  <c r="I39" i="40"/>
  <c r="I38" i="40"/>
  <c r="I37" i="40"/>
  <c r="I36" i="40"/>
  <c r="I35" i="40"/>
  <c r="I34" i="40"/>
  <c r="I33" i="40"/>
  <c r="I32" i="40"/>
  <c r="I31" i="40"/>
  <c r="I30" i="40"/>
  <c r="I29" i="40"/>
  <c r="I28" i="40"/>
  <c r="I27" i="40"/>
  <c r="I26" i="40"/>
  <c r="I25" i="40"/>
  <c r="I24" i="40"/>
  <c r="I23" i="40"/>
  <c r="I22" i="40"/>
  <c r="I21" i="40"/>
  <c r="I20" i="40"/>
  <c r="I19" i="40"/>
  <c r="I18" i="40"/>
  <c r="I17" i="40"/>
  <c r="I16" i="40"/>
  <c r="I15" i="40"/>
  <c r="I14" i="40"/>
  <c r="I13" i="40"/>
  <c r="I12" i="40"/>
  <c r="I11" i="40"/>
  <c r="I10" i="40"/>
  <c r="I145" i="40" l="1"/>
  <c r="H145" i="39"/>
  <c r="G145" i="39"/>
  <c r="F145" i="39"/>
  <c r="E145" i="39"/>
  <c r="I144" i="39"/>
  <c r="I143" i="39"/>
  <c r="I142" i="39"/>
  <c r="I141" i="39"/>
  <c r="I140" i="39"/>
  <c r="I139" i="39"/>
  <c r="I138" i="39"/>
  <c r="I137" i="39"/>
  <c r="I136" i="39"/>
  <c r="I135" i="39"/>
  <c r="I134" i="39"/>
  <c r="I133" i="39"/>
  <c r="I132" i="39"/>
  <c r="I131" i="39"/>
  <c r="I130" i="39"/>
  <c r="I129" i="39"/>
  <c r="I128" i="39"/>
  <c r="I127" i="39"/>
  <c r="I126" i="39"/>
  <c r="I125" i="39"/>
  <c r="I124" i="39"/>
  <c r="I123" i="39"/>
  <c r="I122" i="39"/>
  <c r="I121" i="39"/>
  <c r="I120" i="39"/>
  <c r="I119" i="39"/>
  <c r="I118" i="39"/>
  <c r="I117" i="39"/>
  <c r="I116" i="39"/>
  <c r="I115" i="39"/>
  <c r="I114" i="39"/>
  <c r="I113" i="39"/>
  <c r="I112" i="39"/>
  <c r="I111" i="39"/>
  <c r="I110" i="39"/>
  <c r="I109" i="39"/>
  <c r="I108" i="39"/>
  <c r="I107" i="39"/>
  <c r="I106" i="39"/>
  <c r="I105" i="39"/>
  <c r="I104" i="39"/>
  <c r="I103" i="39"/>
  <c r="I102" i="39"/>
  <c r="I101" i="39"/>
  <c r="I100" i="39"/>
  <c r="I99" i="39"/>
  <c r="I98" i="39"/>
  <c r="I97" i="39"/>
  <c r="I96" i="39"/>
  <c r="I95" i="39"/>
  <c r="I94" i="39"/>
  <c r="I93" i="39"/>
  <c r="I92" i="39"/>
  <c r="I91" i="39"/>
  <c r="I90" i="39"/>
  <c r="I89" i="39"/>
  <c r="I88" i="39"/>
  <c r="I87" i="39"/>
  <c r="I86" i="39"/>
  <c r="I85" i="39"/>
  <c r="I84" i="39"/>
  <c r="I83" i="39"/>
  <c r="I82" i="39"/>
  <c r="I81" i="39"/>
  <c r="I80" i="39"/>
  <c r="I79" i="39"/>
  <c r="I78" i="39"/>
  <c r="I77" i="39"/>
  <c r="I76" i="39"/>
  <c r="I75" i="39"/>
  <c r="I74" i="39"/>
  <c r="I73" i="39"/>
  <c r="I72" i="39"/>
  <c r="I71" i="39"/>
  <c r="I70" i="39"/>
  <c r="I69" i="39"/>
  <c r="I68" i="39"/>
  <c r="I67" i="39"/>
  <c r="I66" i="39"/>
  <c r="I65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8" i="39"/>
  <c r="I47" i="39"/>
  <c r="I46" i="39"/>
  <c r="I45" i="39"/>
  <c r="I44" i="39"/>
  <c r="I43" i="39"/>
  <c r="I42" i="39"/>
  <c r="I41" i="39"/>
  <c r="I40" i="39"/>
  <c r="I39" i="39"/>
  <c r="I38" i="39"/>
  <c r="I37" i="39"/>
  <c r="I36" i="39"/>
  <c r="I35" i="39"/>
  <c r="I34" i="39"/>
  <c r="I33" i="39"/>
  <c r="I32" i="39"/>
  <c r="I31" i="39"/>
  <c r="I30" i="39"/>
  <c r="I29" i="39"/>
  <c r="I28" i="39"/>
  <c r="I27" i="39"/>
  <c r="I26" i="39"/>
  <c r="I25" i="39"/>
  <c r="I24" i="39"/>
  <c r="I23" i="39"/>
  <c r="I22" i="39"/>
  <c r="I21" i="39"/>
  <c r="I20" i="39"/>
  <c r="I19" i="39"/>
  <c r="I18" i="39"/>
  <c r="I17" i="39"/>
  <c r="I16" i="39"/>
  <c r="I15" i="39"/>
  <c r="I14" i="39"/>
  <c r="I13" i="39"/>
  <c r="I12" i="39"/>
  <c r="I11" i="39"/>
  <c r="I10" i="39"/>
  <c r="I145" i="39" l="1"/>
  <c r="H145" i="38" l="1"/>
  <c r="G145" i="38"/>
  <c r="F145" i="38"/>
  <c r="E145" i="38"/>
  <c r="I144" i="38"/>
  <c r="I143" i="38"/>
  <c r="I142" i="38"/>
  <c r="I141" i="38"/>
  <c r="I140" i="38"/>
  <c r="I139" i="38"/>
  <c r="I138" i="38"/>
  <c r="I137" i="38"/>
  <c r="I136" i="38"/>
  <c r="I135" i="38"/>
  <c r="I134" i="38"/>
  <c r="I133" i="38"/>
  <c r="I132" i="38"/>
  <c r="I131" i="38"/>
  <c r="I130" i="38"/>
  <c r="I129" i="38"/>
  <c r="I128" i="38"/>
  <c r="I127" i="38"/>
  <c r="I126" i="38"/>
  <c r="I125" i="38"/>
  <c r="I124" i="38"/>
  <c r="I123" i="38"/>
  <c r="I122" i="38"/>
  <c r="I121" i="38"/>
  <c r="I120" i="38"/>
  <c r="I119" i="38"/>
  <c r="I118" i="38"/>
  <c r="I117" i="38"/>
  <c r="I116" i="38"/>
  <c r="I115" i="38"/>
  <c r="I114" i="38"/>
  <c r="I113" i="38"/>
  <c r="I112" i="38"/>
  <c r="I111" i="38"/>
  <c r="I110" i="38"/>
  <c r="I109" i="38"/>
  <c r="I108" i="38"/>
  <c r="I107" i="38"/>
  <c r="I106" i="38"/>
  <c r="I105" i="38"/>
  <c r="I104" i="38"/>
  <c r="I103" i="38"/>
  <c r="I102" i="38"/>
  <c r="I101" i="38"/>
  <c r="I100" i="38"/>
  <c r="I99" i="38"/>
  <c r="I98" i="38"/>
  <c r="I97" i="38"/>
  <c r="I96" i="38"/>
  <c r="I95" i="38"/>
  <c r="I94" i="38"/>
  <c r="I93" i="38"/>
  <c r="I92" i="38"/>
  <c r="I91" i="38"/>
  <c r="I90" i="38"/>
  <c r="I89" i="38"/>
  <c r="I88" i="38"/>
  <c r="I87" i="38"/>
  <c r="I86" i="38"/>
  <c r="I85" i="38"/>
  <c r="I84" i="38"/>
  <c r="I83" i="38"/>
  <c r="I82" i="38"/>
  <c r="I81" i="38"/>
  <c r="I80" i="38"/>
  <c r="I79" i="38"/>
  <c r="I78" i="38"/>
  <c r="I77" i="38"/>
  <c r="I76" i="38"/>
  <c r="I75" i="38"/>
  <c r="I74" i="38"/>
  <c r="I73" i="38"/>
  <c r="I72" i="38"/>
  <c r="I71" i="38"/>
  <c r="I70" i="38"/>
  <c r="I69" i="38"/>
  <c r="I68" i="38"/>
  <c r="I67" i="38"/>
  <c r="I66" i="38"/>
  <c r="I65" i="38"/>
  <c r="I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I50" i="38"/>
  <c r="I49" i="38"/>
  <c r="I48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145" i="38" l="1"/>
  <c r="H145" i="37" l="1"/>
  <c r="G145" i="37"/>
  <c r="F145" i="37"/>
  <c r="E145" i="37"/>
  <c r="I144" i="37"/>
  <c r="I143" i="37"/>
  <c r="I142" i="37"/>
  <c r="I141" i="37"/>
  <c r="I140" i="37"/>
  <c r="I139" i="37"/>
  <c r="I138" i="37"/>
  <c r="I137" i="37"/>
  <c r="I136" i="37"/>
  <c r="I135" i="37"/>
  <c r="I134" i="37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I121" i="37"/>
  <c r="I120" i="37"/>
  <c r="I119" i="37"/>
  <c r="I118" i="37"/>
  <c r="I117" i="37"/>
  <c r="I116" i="37"/>
  <c r="I115" i="37"/>
  <c r="I114" i="37"/>
  <c r="I113" i="37"/>
  <c r="I112" i="37"/>
  <c r="I111" i="37"/>
  <c r="I110" i="37"/>
  <c r="I109" i="37"/>
  <c r="I108" i="37"/>
  <c r="I107" i="37"/>
  <c r="I106" i="37"/>
  <c r="I105" i="37"/>
  <c r="I104" i="37"/>
  <c r="I103" i="37"/>
  <c r="I102" i="37"/>
  <c r="I101" i="37"/>
  <c r="I100" i="37"/>
  <c r="I99" i="37"/>
  <c r="I98" i="37"/>
  <c r="I97" i="37"/>
  <c r="I96" i="37"/>
  <c r="I95" i="37"/>
  <c r="I94" i="37"/>
  <c r="I93" i="37"/>
  <c r="I92" i="37"/>
  <c r="I91" i="37"/>
  <c r="I90" i="37"/>
  <c r="I89" i="37"/>
  <c r="I88" i="37"/>
  <c r="I87" i="37"/>
  <c r="I86" i="37"/>
  <c r="I85" i="37"/>
  <c r="I84" i="37"/>
  <c r="I83" i="37"/>
  <c r="I82" i="37"/>
  <c r="I81" i="37"/>
  <c r="I80" i="37"/>
  <c r="I79" i="37"/>
  <c r="I78" i="37"/>
  <c r="I77" i="37"/>
  <c r="I76" i="37"/>
  <c r="I75" i="37"/>
  <c r="I74" i="37"/>
  <c r="I73" i="37"/>
  <c r="I72" i="37"/>
  <c r="I71" i="37"/>
  <c r="I70" i="37"/>
  <c r="I69" i="37"/>
  <c r="I68" i="37"/>
  <c r="I67" i="37"/>
  <c r="I66" i="37"/>
  <c r="I65" i="37"/>
  <c r="I64" i="37"/>
  <c r="I63" i="37"/>
  <c r="I62" i="37"/>
  <c r="I61" i="37"/>
  <c r="I60" i="37"/>
  <c r="I59" i="37"/>
  <c r="I58" i="37"/>
  <c r="I57" i="37"/>
  <c r="I56" i="37"/>
  <c r="I55" i="37"/>
  <c r="I54" i="37"/>
  <c r="I53" i="37"/>
  <c r="I52" i="37"/>
  <c r="I51" i="37"/>
  <c r="I50" i="37"/>
  <c r="I49" i="37"/>
  <c r="I48" i="37"/>
  <c r="I47" i="37"/>
  <c r="I46" i="37"/>
  <c r="I45" i="37"/>
  <c r="I44" i="37"/>
  <c r="I43" i="37"/>
  <c r="I42" i="37"/>
  <c r="I41" i="37"/>
  <c r="I40" i="37"/>
  <c r="I39" i="37"/>
  <c r="I38" i="37"/>
  <c r="I37" i="37"/>
  <c r="I36" i="37"/>
  <c r="I35" i="37"/>
  <c r="I34" i="37"/>
  <c r="I33" i="37"/>
  <c r="I32" i="37"/>
  <c r="I31" i="37"/>
  <c r="I30" i="37"/>
  <c r="I29" i="37"/>
  <c r="I28" i="37"/>
  <c r="I27" i="37"/>
  <c r="I26" i="37"/>
  <c r="I25" i="37"/>
  <c r="I24" i="37"/>
  <c r="I23" i="37"/>
  <c r="I22" i="37"/>
  <c r="I21" i="37"/>
  <c r="I20" i="37"/>
  <c r="I19" i="37"/>
  <c r="I18" i="37"/>
  <c r="I17" i="37"/>
  <c r="I16" i="37"/>
  <c r="I15" i="37"/>
  <c r="I14" i="37"/>
  <c r="I13" i="37"/>
  <c r="I12" i="37"/>
  <c r="I11" i="37"/>
  <c r="I10" i="37"/>
  <c r="I145" i="37" l="1"/>
  <c r="H145" i="36" l="1"/>
  <c r="G145" i="36"/>
  <c r="E145" i="36"/>
  <c r="I144" i="36"/>
  <c r="I143" i="36"/>
  <c r="I142" i="36"/>
  <c r="I141" i="36"/>
  <c r="I140" i="36"/>
  <c r="I139" i="36"/>
  <c r="I138" i="36"/>
  <c r="I137" i="36"/>
  <c r="I136" i="36"/>
  <c r="I135" i="36"/>
  <c r="I134" i="36"/>
  <c r="I133" i="36"/>
  <c r="I132" i="36"/>
  <c r="I131" i="36"/>
  <c r="I130" i="36"/>
  <c r="I129" i="36"/>
  <c r="I128" i="36"/>
  <c r="I127" i="36"/>
  <c r="I126" i="36"/>
  <c r="I125" i="36"/>
  <c r="I124" i="36"/>
  <c r="I123" i="36"/>
  <c r="I122" i="36"/>
  <c r="I121" i="36"/>
  <c r="I120" i="36"/>
  <c r="I119" i="36"/>
  <c r="I118" i="36"/>
  <c r="I117" i="36"/>
  <c r="I116" i="36"/>
  <c r="I115" i="36"/>
  <c r="I114" i="36"/>
  <c r="I113" i="36"/>
  <c r="I112" i="36"/>
  <c r="I111" i="36"/>
  <c r="I110" i="36"/>
  <c r="I109" i="36"/>
  <c r="I108" i="36"/>
  <c r="I107" i="36"/>
  <c r="I106" i="36"/>
  <c r="I105" i="36"/>
  <c r="I104" i="36"/>
  <c r="I103" i="36"/>
  <c r="I102" i="36"/>
  <c r="I101" i="36"/>
  <c r="I100" i="36"/>
  <c r="I99" i="36"/>
  <c r="I98" i="36"/>
  <c r="I97" i="36"/>
  <c r="I96" i="36"/>
  <c r="I95" i="36"/>
  <c r="I94" i="36"/>
  <c r="I93" i="36"/>
  <c r="I92" i="36"/>
  <c r="I91" i="36"/>
  <c r="I90" i="36"/>
  <c r="I89" i="36"/>
  <c r="I88" i="36"/>
  <c r="I87" i="36"/>
  <c r="I86" i="36"/>
  <c r="I85" i="36"/>
  <c r="I84" i="36"/>
  <c r="I83" i="36"/>
  <c r="I82" i="36"/>
  <c r="I81" i="36"/>
  <c r="I80" i="36"/>
  <c r="I79" i="36"/>
  <c r="I78" i="36"/>
  <c r="I77" i="36"/>
  <c r="I76" i="36"/>
  <c r="I75" i="36"/>
  <c r="I74" i="36"/>
  <c r="I73" i="36"/>
  <c r="I72" i="36"/>
  <c r="I71" i="36"/>
  <c r="I70" i="36"/>
  <c r="I69" i="36"/>
  <c r="I68" i="36"/>
  <c r="I67" i="36"/>
  <c r="I66" i="36"/>
  <c r="I65" i="36"/>
  <c r="I64" i="36"/>
  <c r="I63" i="36"/>
  <c r="I62" i="36"/>
  <c r="I61" i="36"/>
  <c r="I60" i="36"/>
  <c r="I59" i="36"/>
  <c r="I58" i="36"/>
  <c r="I57" i="36"/>
  <c r="I56" i="36"/>
  <c r="I55" i="36"/>
  <c r="I54" i="36"/>
  <c r="I53" i="36"/>
  <c r="I52" i="36"/>
  <c r="I51" i="36"/>
  <c r="I50" i="36"/>
  <c r="I49" i="36"/>
  <c r="I48" i="36"/>
  <c r="I47" i="36"/>
  <c r="I46" i="36"/>
  <c r="I45" i="36"/>
  <c r="I44" i="36"/>
  <c r="I43" i="36"/>
  <c r="I42" i="36"/>
  <c r="I41" i="36"/>
  <c r="I40" i="36"/>
  <c r="I39" i="36"/>
  <c r="I38" i="36"/>
  <c r="I37" i="36"/>
  <c r="I36" i="36"/>
  <c r="I35" i="36"/>
  <c r="I34" i="36"/>
  <c r="I33" i="36"/>
  <c r="I32" i="36"/>
  <c r="I31" i="36"/>
  <c r="I30" i="36"/>
  <c r="I29" i="36"/>
  <c r="I28" i="36"/>
  <c r="I27" i="36"/>
  <c r="I26" i="36"/>
  <c r="I25" i="36"/>
  <c r="I24" i="36"/>
  <c r="I23" i="36"/>
  <c r="I22" i="36"/>
  <c r="I21" i="36"/>
  <c r="I20" i="36"/>
  <c r="I19" i="36"/>
  <c r="I18" i="36"/>
  <c r="I17" i="36"/>
  <c r="I16" i="36"/>
  <c r="I15" i="36"/>
  <c r="I14" i="36"/>
  <c r="I13" i="36"/>
  <c r="I12" i="36"/>
  <c r="I11" i="36"/>
  <c r="H145" i="35"/>
  <c r="G145" i="35"/>
  <c r="F145" i="35"/>
  <c r="E145" i="35"/>
  <c r="I144" i="35"/>
  <c r="I143" i="35"/>
  <c r="I142" i="35"/>
  <c r="I141" i="35"/>
  <c r="I140" i="35"/>
  <c r="I139" i="35"/>
  <c r="I138" i="35"/>
  <c r="I137" i="35"/>
  <c r="I136" i="35"/>
  <c r="I135" i="35"/>
  <c r="I134" i="35"/>
  <c r="I133" i="35"/>
  <c r="I132" i="35"/>
  <c r="I131" i="35"/>
  <c r="I130" i="35"/>
  <c r="I129" i="35"/>
  <c r="I128" i="35"/>
  <c r="I127" i="35"/>
  <c r="I126" i="35"/>
  <c r="I125" i="35"/>
  <c r="I124" i="35"/>
  <c r="I123" i="35"/>
  <c r="I122" i="35"/>
  <c r="I121" i="35"/>
  <c r="I120" i="35"/>
  <c r="I119" i="35"/>
  <c r="I118" i="35"/>
  <c r="I117" i="35"/>
  <c r="I116" i="35"/>
  <c r="I115" i="35"/>
  <c r="I114" i="35"/>
  <c r="I113" i="35"/>
  <c r="I112" i="35"/>
  <c r="I111" i="35"/>
  <c r="I110" i="35"/>
  <c r="I109" i="35"/>
  <c r="I108" i="35"/>
  <c r="I107" i="35"/>
  <c r="I106" i="35"/>
  <c r="I105" i="35"/>
  <c r="I104" i="35"/>
  <c r="I103" i="35"/>
  <c r="I102" i="35"/>
  <c r="I101" i="35"/>
  <c r="I100" i="35"/>
  <c r="I99" i="35"/>
  <c r="I98" i="35"/>
  <c r="I97" i="35"/>
  <c r="I96" i="35"/>
  <c r="I95" i="35"/>
  <c r="I94" i="35"/>
  <c r="I93" i="35"/>
  <c r="I92" i="35"/>
  <c r="I91" i="35"/>
  <c r="I90" i="35"/>
  <c r="I89" i="35"/>
  <c r="I88" i="35"/>
  <c r="I87" i="35"/>
  <c r="I86" i="35"/>
  <c r="I85" i="35"/>
  <c r="I84" i="35"/>
  <c r="I83" i="35"/>
  <c r="I82" i="35"/>
  <c r="I81" i="35"/>
  <c r="I80" i="35"/>
  <c r="I79" i="35"/>
  <c r="I78" i="35"/>
  <c r="I77" i="35"/>
  <c r="I76" i="35"/>
  <c r="I75" i="35"/>
  <c r="I74" i="35"/>
  <c r="I73" i="35"/>
  <c r="I72" i="35"/>
  <c r="I71" i="35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7" i="35"/>
  <c r="I56" i="35"/>
  <c r="I55" i="35"/>
  <c r="I54" i="35"/>
  <c r="I53" i="35"/>
  <c r="I52" i="35"/>
  <c r="I51" i="35"/>
  <c r="I50" i="35"/>
  <c r="I49" i="35"/>
  <c r="I48" i="35"/>
  <c r="I47" i="35"/>
  <c r="I46" i="35"/>
  <c r="I45" i="35"/>
  <c r="I44" i="35"/>
  <c r="I43" i="35"/>
  <c r="I42" i="35"/>
  <c r="I41" i="35"/>
  <c r="I40" i="35"/>
  <c r="I39" i="35"/>
  <c r="I38" i="35"/>
  <c r="I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11" i="35"/>
  <c r="I10" i="35"/>
  <c r="I145" i="35" l="1"/>
  <c r="G145" i="24"/>
  <c r="H145" i="21" l="1"/>
  <c r="G145" i="21"/>
  <c r="F145" i="21"/>
  <c r="H145" i="24" l="1"/>
  <c r="F145" i="24"/>
  <c r="E145" i="24"/>
  <c r="I144" i="24"/>
  <c r="I143" i="24"/>
  <c r="I142" i="24"/>
  <c r="I141" i="24"/>
  <c r="I140" i="24"/>
  <c r="I139" i="24"/>
  <c r="I138" i="24"/>
  <c r="I137" i="24"/>
  <c r="I136" i="24"/>
  <c r="I135" i="24"/>
  <c r="I134" i="24"/>
  <c r="I133" i="24"/>
  <c r="I132" i="24"/>
  <c r="I131" i="24"/>
  <c r="I130" i="24"/>
  <c r="I129" i="24"/>
  <c r="I128" i="24"/>
  <c r="I127" i="24"/>
  <c r="I126" i="24"/>
  <c r="I125" i="24"/>
  <c r="I124" i="24"/>
  <c r="I123" i="24"/>
  <c r="I122" i="24"/>
  <c r="I121" i="24"/>
  <c r="I120" i="24"/>
  <c r="I119" i="24"/>
  <c r="I118" i="24"/>
  <c r="I117" i="24"/>
  <c r="I116" i="24"/>
  <c r="I115" i="24"/>
  <c r="I114" i="24"/>
  <c r="I113" i="24"/>
  <c r="I112" i="24"/>
  <c r="I111" i="24"/>
  <c r="I110" i="24"/>
  <c r="I109" i="24"/>
  <c r="I108" i="24"/>
  <c r="I107" i="24"/>
  <c r="I106" i="24"/>
  <c r="I105" i="24"/>
  <c r="I104" i="24"/>
  <c r="I103" i="24"/>
  <c r="I102" i="24"/>
  <c r="I101" i="24"/>
  <c r="I100" i="24"/>
  <c r="I99" i="24"/>
  <c r="I98" i="24"/>
  <c r="I97" i="24"/>
  <c r="I96" i="24"/>
  <c r="I95" i="24"/>
  <c r="I94" i="24"/>
  <c r="I93" i="24"/>
  <c r="I92" i="24"/>
  <c r="I91" i="24"/>
  <c r="I90" i="24"/>
  <c r="I89" i="24"/>
  <c r="I88" i="24"/>
  <c r="I87" i="24"/>
  <c r="I86" i="24"/>
  <c r="I85" i="24"/>
  <c r="I84" i="24"/>
  <c r="I83" i="24"/>
  <c r="I82" i="24"/>
  <c r="I81" i="24"/>
  <c r="I80" i="24"/>
  <c r="I79" i="24"/>
  <c r="I78" i="24"/>
  <c r="I77" i="24"/>
  <c r="I76" i="24"/>
  <c r="I75" i="24"/>
  <c r="I74" i="24"/>
  <c r="I73" i="24"/>
  <c r="I72" i="24"/>
  <c r="I71" i="24"/>
  <c r="I70" i="24"/>
  <c r="I69" i="24"/>
  <c r="I68" i="24"/>
  <c r="I67" i="24"/>
  <c r="I66" i="24"/>
  <c r="I65" i="24"/>
  <c r="I64" i="24"/>
  <c r="I63" i="24"/>
  <c r="I62" i="24"/>
  <c r="I61" i="24"/>
  <c r="I60" i="24"/>
  <c r="I59" i="24"/>
  <c r="I58" i="24"/>
  <c r="I57" i="24"/>
  <c r="I56" i="24"/>
  <c r="I55" i="24"/>
  <c r="I54" i="24"/>
  <c r="I53" i="24"/>
  <c r="I52" i="24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145" i="24" l="1"/>
  <c r="H145" i="23"/>
  <c r="G145" i="23"/>
  <c r="F145" i="23"/>
  <c r="E145" i="23"/>
  <c r="I144" i="23"/>
  <c r="I143" i="23"/>
  <c r="I142" i="23"/>
  <c r="I141" i="23"/>
  <c r="I140" i="23"/>
  <c r="I139" i="23"/>
  <c r="I138" i="23"/>
  <c r="I137" i="23"/>
  <c r="I136" i="23"/>
  <c r="I135" i="23"/>
  <c r="I134" i="23"/>
  <c r="I133" i="23"/>
  <c r="I132" i="23"/>
  <c r="I131" i="23"/>
  <c r="I130" i="23"/>
  <c r="I129" i="23"/>
  <c r="I128" i="23"/>
  <c r="I127" i="23"/>
  <c r="I126" i="23"/>
  <c r="I125" i="23"/>
  <c r="I124" i="23"/>
  <c r="I123" i="23"/>
  <c r="I122" i="23"/>
  <c r="I121" i="23"/>
  <c r="I120" i="23"/>
  <c r="I119" i="23"/>
  <c r="I118" i="23"/>
  <c r="I117" i="23"/>
  <c r="I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145" i="23" l="1"/>
  <c r="H145" i="22"/>
  <c r="G145" i="22"/>
  <c r="F145" i="22"/>
  <c r="E145" i="22"/>
  <c r="I144" i="22"/>
  <c r="I143" i="22"/>
  <c r="I142" i="22"/>
  <c r="I141" i="22"/>
  <c r="I140" i="22"/>
  <c r="I139" i="22"/>
  <c r="I138" i="22"/>
  <c r="I137" i="22"/>
  <c r="I136" i="22"/>
  <c r="I135" i="22"/>
  <c r="I134" i="22"/>
  <c r="I133" i="22"/>
  <c r="I132" i="22"/>
  <c r="I131" i="22"/>
  <c r="I130" i="22"/>
  <c r="I129" i="22"/>
  <c r="I128" i="22"/>
  <c r="I127" i="22"/>
  <c r="I126" i="22"/>
  <c r="I125" i="22"/>
  <c r="I124" i="22"/>
  <c r="I123" i="22"/>
  <c r="I122" i="22"/>
  <c r="I121" i="22"/>
  <c r="I120" i="22"/>
  <c r="I119" i="22"/>
  <c r="I118" i="22"/>
  <c r="I117" i="22"/>
  <c r="I116" i="22"/>
  <c r="I115" i="22"/>
  <c r="I114" i="22"/>
  <c r="I113" i="22"/>
  <c r="I112" i="22"/>
  <c r="I111" i="22"/>
  <c r="I110" i="22"/>
  <c r="I109" i="22"/>
  <c r="I108" i="22"/>
  <c r="I107" i="22"/>
  <c r="I106" i="22"/>
  <c r="I105" i="22"/>
  <c r="I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145" i="22" l="1"/>
  <c r="H145" i="1" l="1"/>
  <c r="G145" i="1"/>
  <c r="F145" i="1"/>
  <c r="E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145" i="18"/>
  <c r="I145" i="1" l="1"/>
  <c r="I11" i="18" l="1"/>
  <c r="I11" i="21"/>
  <c r="I12" i="18"/>
  <c r="I12" i="21"/>
  <c r="I14" i="18"/>
  <c r="I14" i="21"/>
  <c r="I16" i="18"/>
  <c r="I16" i="21"/>
  <c r="I19" i="18"/>
  <c r="I19" i="21"/>
  <c r="I21" i="18"/>
  <c r="I21" i="21"/>
  <c r="I22" i="18"/>
  <c r="I22" i="21"/>
  <c r="I25" i="18"/>
  <c r="I25" i="21"/>
  <c r="I27" i="18"/>
  <c r="I27" i="21"/>
  <c r="I29" i="18"/>
  <c r="I29" i="21"/>
  <c r="I30" i="18"/>
  <c r="I30" i="21"/>
  <c r="I32" i="18"/>
  <c r="I32" i="21"/>
  <c r="I34" i="18"/>
  <c r="I34" i="21"/>
  <c r="I36" i="18"/>
  <c r="I36" i="21"/>
  <c r="I38" i="18"/>
  <c r="I38" i="21"/>
  <c r="I40" i="18"/>
  <c r="I40" i="21"/>
  <c r="I43" i="18"/>
  <c r="I43" i="21"/>
  <c r="I45" i="18"/>
  <c r="I45" i="21"/>
  <c r="I46" i="18"/>
  <c r="I46" i="21"/>
  <c r="I47" i="18"/>
  <c r="I47" i="21"/>
  <c r="I49" i="18"/>
  <c r="I49" i="21"/>
  <c r="I51" i="18"/>
  <c r="I51" i="21"/>
  <c r="I53" i="18"/>
  <c r="I53" i="21"/>
  <c r="I55" i="18"/>
  <c r="I55" i="21"/>
  <c r="I58" i="18"/>
  <c r="I58" i="21"/>
  <c r="I60" i="18"/>
  <c r="I60" i="21"/>
  <c r="I62" i="18"/>
  <c r="I62" i="21"/>
  <c r="I64" i="18"/>
  <c r="I64" i="21"/>
  <c r="I67" i="18"/>
  <c r="I67" i="21"/>
  <c r="I68" i="18"/>
  <c r="I68" i="21"/>
  <c r="I70" i="18"/>
  <c r="I70" i="21"/>
  <c r="I73" i="18"/>
  <c r="I73" i="21"/>
  <c r="I75" i="18"/>
  <c r="I75" i="21"/>
  <c r="I76" i="18"/>
  <c r="I76" i="21"/>
  <c r="I77" i="18"/>
  <c r="I77" i="21"/>
  <c r="I78" i="18"/>
  <c r="I78" i="21"/>
  <c r="I79" i="18"/>
  <c r="I79" i="21"/>
  <c r="I80" i="18"/>
  <c r="I80" i="21"/>
  <c r="I81" i="18"/>
  <c r="I81" i="21"/>
  <c r="I82" i="18"/>
  <c r="I82" i="21"/>
  <c r="I83" i="18"/>
  <c r="I83" i="21"/>
  <c r="I84" i="18"/>
  <c r="I84" i="21"/>
  <c r="I85" i="18"/>
  <c r="I85" i="21"/>
  <c r="I86" i="18"/>
  <c r="I86" i="21"/>
  <c r="I87" i="18"/>
  <c r="I87" i="21"/>
  <c r="I88" i="18"/>
  <c r="I88" i="21"/>
  <c r="I89" i="18"/>
  <c r="I89" i="21"/>
  <c r="I90" i="18"/>
  <c r="I90" i="21"/>
  <c r="I91" i="18"/>
  <c r="I91" i="21"/>
  <c r="I92" i="18"/>
  <c r="I92" i="21"/>
  <c r="I93" i="18"/>
  <c r="I93" i="21"/>
  <c r="I94" i="18"/>
  <c r="I94" i="21"/>
  <c r="I95" i="18"/>
  <c r="I95" i="21"/>
  <c r="I96" i="18"/>
  <c r="I96" i="21"/>
  <c r="I97" i="18"/>
  <c r="I97" i="21"/>
  <c r="I98" i="18"/>
  <c r="I98" i="21"/>
  <c r="I99" i="18"/>
  <c r="I99" i="21"/>
  <c r="I100" i="18"/>
  <c r="I100" i="21"/>
  <c r="I101" i="18"/>
  <c r="I101" i="21"/>
  <c r="I102" i="18"/>
  <c r="I102" i="21"/>
  <c r="I103" i="18"/>
  <c r="I103" i="21"/>
  <c r="I104" i="18"/>
  <c r="I104" i="21"/>
  <c r="I105" i="18"/>
  <c r="I105" i="21"/>
  <c r="I106" i="18"/>
  <c r="I106" i="21"/>
  <c r="I107" i="18"/>
  <c r="I107" i="21"/>
  <c r="I108" i="18"/>
  <c r="I108" i="21"/>
  <c r="I109" i="18"/>
  <c r="I109" i="21"/>
  <c r="I110" i="18"/>
  <c r="I110" i="21"/>
  <c r="I111" i="18"/>
  <c r="I111" i="21"/>
  <c r="I112" i="18"/>
  <c r="I112" i="21"/>
  <c r="I113" i="18"/>
  <c r="I113" i="21"/>
  <c r="I114" i="18"/>
  <c r="I114" i="21"/>
  <c r="I115" i="18"/>
  <c r="I115" i="21"/>
  <c r="I116" i="18"/>
  <c r="I116" i="21"/>
  <c r="I117" i="18"/>
  <c r="I117" i="21"/>
  <c r="I118" i="18"/>
  <c r="I118" i="21"/>
  <c r="I119" i="18"/>
  <c r="I119" i="21"/>
  <c r="I120" i="18"/>
  <c r="I120" i="21"/>
  <c r="I121" i="18"/>
  <c r="I121" i="21"/>
  <c r="I122" i="18"/>
  <c r="I122" i="21"/>
  <c r="I123" i="18"/>
  <c r="I123" i="21"/>
  <c r="I124" i="18"/>
  <c r="I124" i="21"/>
  <c r="I125" i="18"/>
  <c r="I125" i="21"/>
  <c r="I126" i="18"/>
  <c r="I126" i="21"/>
  <c r="I127" i="18"/>
  <c r="I127" i="21"/>
  <c r="I128" i="18"/>
  <c r="I128" i="21"/>
  <c r="I129" i="18"/>
  <c r="I129" i="21"/>
  <c r="I130" i="18"/>
  <c r="I130" i="21"/>
  <c r="I131" i="18"/>
  <c r="I131" i="21"/>
  <c r="I132" i="18"/>
  <c r="I132" i="21"/>
  <c r="I133" i="18"/>
  <c r="I133" i="21"/>
  <c r="I134" i="18"/>
  <c r="I134" i="21"/>
  <c r="I135" i="18"/>
  <c r="I135" i="21"/>
  <c r="I136" i="18"/>
  <c r="I136" i="21"/>
  <c r="I137" i="18"/>
  <c r="I137" i="21"/>
  <c r="I138" i="18"/>
  <c r="I138" i="21"/>
  <c r="I139" i="18"/>
  <c r="I139" i="21"/>
  <c r="I140" i="18"/>
  <c r="I140" i="21"/>
  <c r="I141" i="18"/>
  <c r="I141" i="21"/>
  <c r="I142" i="18"/>
  <c r="I142" i="21"/>
  <c r="I143" i="18"/>
  <c r="I143" i="21"/>
  <c r="I144" i="18"/>
  <c r="I144" i="21"/>
  <c r="E145" i="21"/>
  <c r="I10" i="21"/>
  <c r="I13" i="18"/>
  <c r="I13" i="21"/>
  <c r="I15" i="18"/>
  <c r="I15" i="21"/>
  <c r="I17" i="18"/>
  <c r="I17" i="21"/>
  <c r="I18" i="18"/>
  <c r="I18" i="21"/>
  <c r="I20" i="18"/>
  <c r="I20" i="21"/>
  <c r="I23" i="18"/>
  <c r="I23" i="21"/>
  <c r="I24" i="18"/>
  <c r="I24" i="21"/>
  <c r="I26" i="18"/>
  <c r="I26" i="21"/>
  <c r="I28" i="18"/>
  <c r="I28" i="21"/>
  <c r="I31" i="18"/>
  <c r="I31" i="21"/>
  <c r="I33" i="18"/>
  <c r="I33" i="21"/>
  <c r="I35" i="18"/>
  <c r="I35" i="21"/>
  <c r="I37" i="18"/>
  <c r="I37" i="21"/>
  <c r="I39" i="18"/>
  <c r="I39" i="21"/>
  <c r="I41" i="18"/>
  <c r="I41" i="21"/>
  <c r="I42" i="18"/>
  <c r="I42" i="21"/>
  <c r="I44" i="18"/>
  <c r="I44" i="21"/>
  <c r="I48" i="18"/>
  <c r="I48" i="21"/>
  <c r="I50" i="18"/>
  <c r="I50" i="21"/>
  <c r="I52" i="18"/>
  <c r="I52" i="21"/>
  <c r="I54" i="18"/>
  <c r="I54" i="21"/>
  <c r="I56" i="18"/>
  <c r="I56" i="21"/>
  <c r="I57" i="18"/>
  <c r="I57" i="21"/>
  <c r="I59" i="18"/>
  <c r="I59" i="21"/>
  <c r="I61" i="18"/>
  <c r="I61" i="21"/>
  <c r="I63" i="18"/>
  <c r="I63" i="21"/>
  <c r="I65" i="18"/>
  <c r="I65" i="21"/>
  <c r="I66" i="18"/>
  <c r="I66" i="21"/>
  <c r="I69" i="18"/>
  <c r="I69" i="21"/>
  <c r="I71" i="18"/>
  <c r="I71" i="21"/>
  <c r="I72" i="18"/>
  <c r="I72" i="21"/>
  <c r="I74" i="18"/>
  <c r="I74" i="21"/>
  <c r="F145" i="18"/>
  <c r="I145" i="21" l="1"/>
  <c r="E145" i="18"/>
  <c r="I10" i="18"/>
  <c r="I145" i="18" l="1"/>
  <c r="F145" i="36"/>
  <c r="I10" i="36"/>
  <c r="I145" i="36" s="1"/>
</calcChain>
</file>

<file path=xl/sharedStrings.xml><?xml version="1.0" encoding="utf-8"?>
<sst xmlns="http://schemas.openxmlformats.org/spreadsheetml/2006/main" count="1898" uniqueCount="170">
  <si>
    <t>(En pesos)</t>
  </si>
  <si>
    <t>Municipio</t>
  </si>
  <si>
    <t>Inmobiliario
Rural
Libre
Disponibilidad</t>
  </si>
  <si>
    <t>Inmobiliario
Rural
Fondo
Compensador</t>
  </si>
  <si>
    <t>Ingresos
Brutos
Pequeños
Contribuyentes</t>
  </si>
  <si>
    <t>Otros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</si>
  <si>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</si>
  <si>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</si>
  <si>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</si>
  <si>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</si>
  <si>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</si>
  <si>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</si>
  <si>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</si>
  <si>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</si>
  <si>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</si>
  <si>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</si>
  <si>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</si>
  <si>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</si>
  <si>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</si>
  <si>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</si>
  <si>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</si>
  <si>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</si>
  <si>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</si>
  <si>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</si>
  <si>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</si>
  <si>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</si>
  <si>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</si>
  <si>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</si>
  <si>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</si>
  <si>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</si>
  <si>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</si>
  <si>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</si>
  <si>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</si>
  <si>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</si>
  <si>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DORREGO</t>
  </si>
  <si>
    <t>CORONEL PRINGLES</t>
  </si>
  <si>
    <t>CORONEL ROSALES</t>
  </si>
  <si>
    <t>CORONEL SUAREZ</t>
  </si>
  <si>
    <t>DAIREAUX</t>
  </si>
  <si>
    <t>DOLORES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</si>
  <si>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</si>
  <si>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</si>
  <si>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</si>
  <si>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</si>
  <si>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</si>
  <si>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</si>
  <si>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</si>
  <si>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</si>
  <si>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</si>
  <si>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</si>
  <si>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</si>
  <si>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</si>
  <si>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</si>
  <si>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</si>
  <si>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LAVALLE</t>
  </si>
  <si>
    <t>GENERAL MADARIAGA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</si>
  <si>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</si>
  <si>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</si>
  <si>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</si>
  <si>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</si>
  <si>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</si>
  <si>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</si>
  <si>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</si>
  <si>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</si>
  <si>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</si>
  <si>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</si>
  <si>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</si>
  <si>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</si>
  <si>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</si>
  <si>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</si>
  <si>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</si>
  <si>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</si>
  <si>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</si>
  <si>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</si>
  <si>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</si>
  <si>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</si>
  <si>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</si>
  <si>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</si>
  <si>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</si>
  <si>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</si>
  <si>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</si>
  <si>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</si>
  <si>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</si>
  <si>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</si>
  <si>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</si>
  <si>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</si>
  <si>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</si>
  <si>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</si>
  <si>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</si>
  <si>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</si>
  <si>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</si>
  <si>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</si>
  <si>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</si>
  <si>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</si>
  <si>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</si>
  <si>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NUEVE DE JULIO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</si>
  <si>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</si>
  <si>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</si>
  <si>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</si>
  <si>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</si>
  <si>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</si>
  <si>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</si>
  <si>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</si>
  <si>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</si>
  <si>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</si>
  <si>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</si>
  <si>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</si>
  <si>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</si>
  <si>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</si>
  <si>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</si>
  <si>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</si>
  <si>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</si>
  <si>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</si>
  <si>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</si>
  <si>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</si>
  <si>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</si>
  <si>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</si>
  <si>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</si>
  <si>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</si>
  <si>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</si>
  <si>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</si>
  <si>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</si>
  <si>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</si>
  <si>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</si>
  <si>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</si>
  <si>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</si>
  <si>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</si>
  <si>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</si>
  <si>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</si>
  <si>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</si>
  <si>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</si>
  <si>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</si>
  <si>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</si>
  <si>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</si>
  <si>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</si>
  <si>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</si>
  <si>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VEINTICINCO DE MAYO</t>
  </si>
  <si>
    <t>VICENTE LOPEZ</t>
  </si>
  <si>
    <t>VILLA GESELL</t>
  </si>
  <si>
    <t>VILLARINO</t>
  </si>
  <si>
    <t>ZARATE</t>
  </si>
  <si>
    <t>CONSOLIDADO 135 MUNICIPIOS</t>
  </si>
  <si>
    <t xml:space="preserve">Total      </t>
  </si>
  <si>
    <t>LEY 13.010 Y MODIFICATORIAS. DESCENTRALIZACIÓN ADMINISTRATIVA TRIBUTARIA</t>
  </si>
  <si>
    <t>MES DE DICIEMBRE 2021</t>
  </si>
  <si>
    <t>DICIEMBRE 2021</t>
  </si>
  <si>
    <t>MES DE NOVIEMBRE 2021</t>
  </si>
  <si>
    <t>NOVIEMBRE 2021</t>
  </si>
  <si>
    <t>MES DE OCTUBRE 2021</t>
  </si>
  <si>
    <t>OCTUBRE 2021</t>
  </si>
  <si>
    <t>MES DE SEPTIEMBRE 2021</t>
  </si>
  <si>
    <t>SEPTIEMBRE 2021</t>
  </si>
  <si>
    <t>MES DE AGOSTO 2021</t>
  </si>
  <si>
    <t>AGOSTO 2021</t>
  </si>
  <si>
    <t>MES DE JULIO 2021</t>
  </si>
  <si>
    <t>JULIO 2021</t>
  </si>
  <si>
    <t>MES DE JUNIO 2021</t>
  </si>
  <si>
    <t>JUNIO 2021</t>
  </si>
  <si>
    <t>MES DE MAYO 2021</t>
  </si>
  <si>
    <t>MAYO 2021</t>
  </si>
  <si>
    <t>MES DE ABRIL 2021</t>
  </si>
  <si>
    <t>ABRIL 2021</t>
  </si>
  <si>
    <t>MES DE MARZO 2021</t>
  </si>
  <si>
    <t>MARZO 2021</t>
  </si>
  <si>
    <t>MES DE FEBRERO 2021</t>
  </si>
  <si>
    <t>FEBRERO 2021</t>
  </si>
  <si>
    <t>MES DE ENERO 2021</t>
  </si>
  <si>
    <t>ENERO 2021</t>
  </si>
  <si>
    <t>ACUMULADO ENERO - DICIEMBRE 2021</t>
  </si>
  <si>
    <t>Acumulado ENERO - DICIEMBRE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</si>
</sst>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_ ;_ * \-#,##0_ ;_ * &quot;-&quot;_ ;_ @_ "/>
    <numFmt numFmtId="165" formatCode="_(* #,##0.00_);_(* \(#,##0.00\);_(* &quot;-&quot;??_);_(@_)"/>
    <numFmt numFmtId="166" formatCode="#,"/>
    <numFmt numFmtId="167" formatCode="#,#00"/>
    <numFmt numFmtId="168" formatCode="#.##000"/>
    <numFmt numFmtId="169" formatCode="&quot;$&quot;#,#00"/>
    <numFmt numFmtId="170" formatCode="\$#,##0\ ;\(\$#,##0\)"/>
    <numFmt numFmtId="171" formatCode="#,##0.0"/>
    <numFmt numFmtId="172" formatCode="_(* #,##0_);_(* \(#,##0\);_(* &quot;-&quot;??_);_(@_)"/>
    <numFmt numFmtId="173" formatCode="_ * #,##0.0000000_ ;_ * \-#,##0.0000000_ ;_ * &quot;-&quot;_ ;_ @_ "/>
  </numFmts>
  <fonts count="22" x14ac:knownFonts="1">
    <font>
      <sz val="10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0"/>
      <name val="Arial"/>
      <family val="2"/>
    </font>
    <font>
      <b/>
      <sz val="11"/>
      <color indexed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b/>
      <sz val="12"/>
      <color indexed="9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sz val="8"/>
      <name val="Courier"/>
      <family val="3"/>
    </font>
    <font>
      <b/>
      <sz val="11"/>
      <color theme="0"/>
      <name val="Arial"/>
      <family val="2"/>
    </font>
    <font>
      <b/>
      <i/>
      <sz val="16"/>
      <color rgb="FF44AEAC"/>
      <name val="Arial"/>
      <family val="2"/>
    </font>
    <font>
      <sz val="11"/>
      <color rgb="FF44AEA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AEAC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2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>
      <protection locked="0"/>
    </xf>
    <xf numFmtId="166" fontId="15" fillId="0" borderId="0">
      <protection locked="0"/>
    </xf>
    <xf numFmtId="166" fontId="15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6" fillId="0" borderId="0">
      <protection locked="0"/>
    </xf>
    <xf numFmtId="0" fontId="17" fillId="0" borderId="0" applyFont="0" applyFill="0" applyBorder="0" applyAlignment="0" applyProtection="0"/>
    <xf numFmtId="167" fontId="14" fillId="0" borderId="0">
      <protection locked="0"/>
    </xf>
    <xf numFmtId="168" fontId="14" fillId="0" borderId="0">
      <protection locked="0"/>
    </xf>
    <xf numFmtId="165" fontId="1" fillId="0" borderId="0" applyFont="0" applyFill="0" applyBorder="0" applyAlignment="0" applyProtection="0"/>
    <xf numFmtId="169" fontId="14" fillId="0" borderId="0">
      <protection locked="0"/>
    </xf>
    <xf numFmtId="170" fontId="17" fillId="0" borderId="0" applyFont="0" applyFill="0" applyBorder="0" applyAlignment="0" applyProtection="0"/>
    <xf numFmtId="171" fontId="7" fillId="0" borderId="0" applyFill="0" applyBorder="0" applyAlignment="0" applyProtection="0"/>
    <xf numFmtId="3" fontId="17" fillId="0" borderId="0" applyFont="0" applyFill="0" applyBorder="0" applyAlignment="0" applyProtection="0"/>
    <xf numFmtId="0" fontId="18" fillId="0" borderId="0"/>
  </cellStyleXfs>
  <cellXfs count="28">
    <xf numFmtId="0" fontId="0" fillId="0" borderId="0" xfId="0"/>
    <xf numFmtId="164" fontId="2" fillId="0" borderId="0" xfId="0" applyNumberFormat="1" applyFont="1" applyFill="1" applyBorder="1"/>
    <xf numFmtId="164" fontId="2" fillId="0" borderId="0" xfId="0" applyNumberFormat="1" applyFont="1"/>
    <xf numFmtId="164" fontId="2" fillId="0" borderId="0" xfId="0" applyNumberFormat="1" applyFont="1" applyBorder="1"/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6" fillId="0" borderId="0" xfId="0" applyNumberFormat="1" applyFont="1" applyFill="1" applyBorder="1" applyAlignment="1" applyProtection="1">
      <alignment horizontal="center" vertical="center" textRotation="90" wrapText="1"/>
    </xf>
    <xf numFmtId="164" fontId="7" fillId="0" borderId="0" xfId="0" applyNumberFormat="1" applyFont="1" applyFill="1" applyBorder="1" applyAlignment="1" applyProtection="1">
      <alignment horizontal="center"/>
    </xf>
    <xf numFmtId="164" fontId="7" fillId="0" borderId="0" xfId="0" applyNumberFormat="1" applyFont="1" applyFill="1" applyBorder="1" applyProtection="1"/>
    <xf numFmtId="164" fontId="10" fillId="0" borderId="0" xfId="0" applyNumberFormat="1" applyFont="1" applyFill="1" applyBorder="1" applyProtection="1"/>
    <xf numFmtId="173" fontId="2" fillId="0" borderId="0" xfId="0" applyNumberFormat="1" applyFont="1"/>
    <xf numFmtId="0" fontId="8" fillId="0" borderId="1" xfId="0" applyFont="1" applyFill="1" applyBorder="1" applyAlignment="1" applyProtection="1">
      <alignment horizontal="left" indent="1"/>
    </xf>
    <xf numFmtId="164" fontId="8" fillId="2" borderId="1" xfId="16" applyNumberFormat="1" applyFont="1" applyFill="1" applyBorder="1" applyAlignment="1" applyProtection="1">
      <alignment horizontal="right" indent="2"/>
    </xf>
    <xf numFmtId="172" fontId="9" fillId="2" borderId="1" xfId="16" applyNumberFormat="1" applyFont="1" applyFill="1" applyBorder="1" applyAlignment="1" applyProtection="1">
      <alignment horizontal="right"/>
    </xf>
    <xf numFmtId="0" fontId="19" fillId="2" borderId="0" xfId="21" applyFont="1" applyFill="1" applyAlignment="1">
      <alignment vertical="center"/>
    </xf>
    <xf numFmtId="164" fontId="9" fillId="0" borderId="1" xfId="16" applyNumberFormat="1" applyFont="1" applyFill="1" applyBorder="1" applyAlignment="1" applyProtection="1">
      <alignment horizontal="right" indent="2"/>
    </xf>
    <xf numFmtId="172" fontId="9" fillId="0" borderId="1" xfId="16" applyNumberFormat="1" applyFont="1" applyFill="1" applyBorder="1" applyAlignment="1" applyProtection="1">
      <alignment horizontal="right"/>
    </xf>
    <xf numFmtId="164" fontId="20" fillId="0" borderId="0" xfId="0" applyNumberFormat="1" applyFont="1" applyBorder="1"/>
    <xf numFmtId="164" fontId="21" fillId="0" borderId="0" xfId="0" applyNumberFormat="1" applyFont="1" applyBorder="1"/>
    <xf numFmtId="164" fontId="5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 applyProtection="1">
      <alignment horizontal="left" vertical="center" wrapText="1" indent="1"/>
    </xf>
    <xf numFmtId="172" fontId="11" fillId="3" borderId="1" xfId="16" applyNumberFormat="1" applyFont="1" applyFill="1" applyBorder="1" applyAlignment="1" applyProtection="1">
      <alignment horizontal="right" vertical="center" wrapText="1"/>
    </xf>
    <xf numFmtId="164" fontId="11" fillId="3" borderId="5" xfId="0" applyNumberFormat="1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" vertical="center" wrapText="1"/>
    </xf>
    <xf numFmtId="164" fontId="11" fillId="3" borderId="2" xfId="0" quotePrefix="1" applyNumberFormat="1" applyFont="1" applyFill="1" applyBorder="1" applyAlignment="1">
      <alignment horizontal="center" vertical="center" wrapText="1"/>
    </xf>
    <xf numFmtId="164" fontId="11" fillId="3" borderId="3" xfId="0" applyNumberFormat="1" applyFont="1" applyFill="1" applyBorder="1" applyAlignment="1">
      <alignment horizontal="center" vertical="center" wrapText="1"/>
    </xf>
    <xf numFmtId="164" fontId="11" fillId="3" borderId="4" xfId="0" applyNumberFormat="1" applyFont="1" applyFill="1" applyBorder="1" applyAlignment="1">
      <alignment horizontal="center" vertical="center" wrapText="1"/>
    </xf>
  </cellXfs>
  <cellStyles count="22">
    <cellStyle name="Cabecera 1" xfId="1"/>
    <cellStyle name="Cabecera 2" xfId="2"/>
    <cellStyle name="Dia" xfId="3"/>
    <cellStyle name="Encabez1" xfId="4"/>
    <cellStyle name="Encabez2" xfId="5"/>
    <cellStyle name="F2" xfId="6"/>
    <cellStyle name="F3" xfId="7"/>
    <cellStyle name="F4" xfId="8"/>
    <cellStyle name="F5" xfId="9"/>
    <cellStyle name="F6" xfId="10"/>
    <cellStyle name="F7" xfId="11"/>
    <cellStyle name="F8" xfId="12"/>
    <cellStyle name="Fecha" xfId="13"/>
    <cellStyle name="Fijo" xfId="14"/>
    <cellStyle name="Financiero" xfId="15"/>
    <cellStyle name="Millares" xfId="16" builtinId="3"/>
    <cellStyle name="Monetario" xfId="17"/>
    <cellStyle name="Monetario0" xfId="18"/>
    <cellStyle name="Normal" xfId="0" builtinId="0"/>
    <cellStyle name="Normal 5" xfId="21"/>
    <cellStyle name="Punto" xfId="19"/>
    <cellStyle name="Punto0" xfId="20"/>
  </cellStyles>
  <dxfs count="0"/>
  <tableStyles count="0" defaultTableStyle="TableStyleMedium9" defaultPivotStyle="PivotStyleLight16"/>
  <colors>
    <mruColors>
      <color rgb="FF44A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1035844</xdr:colOff>
      <xdr:row>0</xdr:row>
      <xdr:rowOff>178595</xdr:rowOff>
    </xdr:from>
    <xdr:to>
      <xdr:col>8</xdr:col>
      <xdr:colOff>999165</xdr:colOff>
      <xdr:row>1</xdr:row>
      <xdr:rowOff>487910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344" y="17859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11907</xdr:colOff>
      <xdr:row>0</xdr:row>
      <xdr:rowOff>154782</xdr:rowOff>
    </xdr:from>
    <xdr:to>
      <xdr:col>8</xdr:col>
      <xdr:colOff>1130134</xdr:colOff>
      <xdr:row>1</xdr:row>
      <xdr:rowOff>464097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3313" y="154782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1118227</xdr:colOff>
      <xdr:row>1</xdr:row>
      <xdr:rowOff>547440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1406" y="238125"/>
          <a:ext cx="2273134" cy="54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onco\mis%20document\Mis%20documentos\Tareas\varios%202004\Coparticipaci&#243;n\ANTICIP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turla\aa%20decentral\Mis%20documentos\SMIRANDA\TRANSFERENCIAS\DESC\TRANDES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iranda\mis%20document\Mis%20documentos\SMIRANDA\DESCENTRALIZACION%20LEY%2013010\IMPUESTO%20INMOBILIARIO%20RURAL\Cierres%202004\CUOTA%20CORRIENTE\CUOTA%201-04\Febrero%2004\DISTRIBUIDO%20FEBRERO%20CUOTA%20CTE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8 FLUJO DE FONDOS (2)"/>
      <sheetName val="1998 FLUJO DE FONDOS"/>
      <sheetName val="Hoja1"/>
      <sheetName val="1992-2000"/>
      <sheetName val="1992"/>
      <sheetName val="1993"/>
      <sheetName val="1994"/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3 TOTO"/>
      <sheetName val="2004"/>
      <sheetName val="2004 TOTO"/>
      <sheetName val="Ret. Ant. 2002"/>
      <sheetName val="Ret. Ant. 2003"/>
      <sheetName val="Depósitos y Gasto en Pers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P2" t="str">
            <v>DESCUENTOS</v>
          </cell>
          <cell r="Q2" t="str">
            <v>SALDO</v>
          </cell>
        </row>
        <row r="3">
          <cell r="P3">
            <v>0</v>
          </cell>
          <cell r="Q3">
            <v>190000</v>
          </cell>
        </row>
      </sheetData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 desde 1996"/>
      <sheetName val="Principal desde 1992"/>
      <sheetName val="IBT92"/>
      <sheetName val="IBT93"/>
      <sheetName val="IBT94"/>
      <sheetName val="IBT95"/>
      <sheetName val="IBT96"/>
      <sheetName val="IBT97"/>
      <sheetName val="IBT98"/>
      <sheetName val="IBT99"/>
      <sheetName val="IBT00"/>
      <sheetName val="IBT01"/>
      <sheetName val="IBT02"/>
      <sheetName val="IBT03"/>
      <sheetName val="INT92"/>
      <sheetName val="INT93"/>
      <sheetName val="INT94"/>
      <sheetName val="INT95"/>
      <sheetName val="INT96"/>
      <sheetName val="INT97"/>
      <sheetName val="INT98"/>
      <sheetName val="INT99"/>
      <sheetName val="INT00"/>
      <sheetName val="INT01"/>
      <sheetName val="INT02"/>
      <sheetName val="INT03"/>
      <sheetName val="FMOV03"/>
      <sheetName val="FET92"/>
      <sheetName val="FET93"/>
      <sheetName val="FET94"/>
      <sheetName val="FET95"/>
      <sheetName val="FET96"/>
      <sheetName val="FET97"/>
      <sheetName val="FET98"/>
      <sheetName val="FET99"/>
      <sheetName val="FET00"/>
      <sheetName val="REDE02"/>
      <sheetName val="REDE03"/>
      <sheetName val="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IDO IIR CC FEBRERO"/>
      <sheetName val="0302"/>
      <sheetName val="0402"/>
      <sheetName val="0502"/>
      <sheetName val="0602"/>
      <sheetName val="0902"/>
      <sheetName val="1002"/>
      <sheetName val="1102"/>
      <sheetName val="1202"/>
      <sheetName val="1302"/>
      <sheetName val="1602"/>
      <sheetName val="1702"/>
      <sheetName val="1802"/>
      <sheetName val="1902"/>
      <sheetName val="2002"/>
      <sheetName val="2302"/>
      <sheetName val="2402"/>
      <sheetName val="2502"/>
      <sheetName val="2602"/>
      <sheetName val="2702"/>
      <sheetName val="0103"/>
      <sheetName val="0202"/>
      <sheetName val="Rec. y Transf.ENERO-04"/>
      <sheetName val="Rec_ y Transf_ENERO_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4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44AEAC"/>
    <pageSetUpPr fitToPage="1"/>
  </sheetPr>
  <dimension ref="A1:J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B2" s="2"/>
      <c r="C2" s="2"/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166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7">
        <v>372059.55000000005</v>
      </c>
      <c r="F10" s="17">
        <v>946863.89737150026</v>
      </c>
      <c r="G10" s="17">
        <v>243532.68</v>
      </c>
      <c r="H10" s="17">
        <v>0</v>
      </c>
      <c r="I10" s="13">
        <f t="shared" ref="I10:I73" si="0">SUM(E10:H10)</f>
        <v>1562456.1273715002</v>
      </c>
    </row>
    <row r="11" spans="1:9" ht="15.75" x14ac:dyDescent="0.25">
      <c r="A11" s="8"/>
      <c r="B11" s="8"/>
      <c r="C11" s="9"/>
      <c r="D11" s="12" t="s">
        <v>7</v>
      </c>
      <c r="E11" s="17">
        <v>975701.04</v>
      </c>
      <c r="F11" s="17">
        <v>531452.32276600017</v>
      </c>
      <c r="G11" s="17">
        <v>184529.62</v>
      </c>
      <c r="H11" s="17">
        <v>0</v>
      </c>
      <c r="I11" s="13">
        <f t="shared" si="0"/>
        <v>1691682.9827660001</v>
      </c>
    </row>
    <row r="12" spans="1:9" ht="15.75" x14ac:dyDescent="0.25">
      <c r="A12" s="8"/>
      <c r="B12" s="8"/>
      <c r="C12" s="9"/>
      <c r="D12" s="12" t="s">
        <v>8</v>
      </c>
      <c r="E12" s="17">
        <v>346751.10000000003</v>
      </c>
      <c r="F12" s="17">
        <v>192667.04323650006</v>
      </c>
      <c r="G12" s="17">
        <v>181066.19000000003</v>
      </c>
      <c r="H12" s="17">
        <v>0</v>
      </c>
      <c r="I12" s="13">
        <f t="shared" si="0"/>
        <v>720484.33323650016</v>
      </c>
    </row>
    <row r="13" spans="1:9" ht="15.75" x14ac:dyDescent="0.25">
      <c r="A13" s="8"/>
      <c r="B13" s="8"/>
      <c r="C13" s="9"/>
      <c r="D13" s="12" t="s">
        <v>9</v>
      </c>
      <c r="E13" s="17">
        <v>211119.52</v>
      </c>
      <c r="F13" s="17">
        <v>5098.4742830000014</v>
      </c>
      <c r="G13" s="17">
        <v>1778971.6700000004</v>
      </c>
      <c r="H13" s="17">
        <v>0</v>
      </c>
      <c r="I13" s="13">
        <f t="shared" si="0"/>
        <v>1995189.6642830004</v>
      </c>
    </row>
    <row r="14" spans="1:9" ht="15.75" x14ac:dyDescent="0.25">
      <c r="A14" s="8"/>
      <c r="B14" s="8"/>
      <c r="C14" s="9"/>
      <c r="D14" s="12" t="s">
        <v>10</v>
      </c>
      <c r="E14" s="17">
        <v>1549695.83</v>
      </c>
      <c r="F14" s="17">
        <v>214074.49248500008</v>
      </c>
      <c r="G14" s="17">
        <v>270196.47999999998</v>
      </c>
      <c r="H14" s="17">
        <v>0</v>
      </c>
      <c r="I14" s="13">
        <f t="shared" si="0"/>
        <v>2033966.8024850001</v>
      </c>
    </row>
    <row r="15" spans="1:9" ht="15.75" x14ac:dyDescent="0.25">
      <c r="A15" s="8"/>
      <c r="B15" s="8"/>
      <c r="C15" s="9"/>
      <c r="D15" s="12" t="s">
        <v>11</v>
      </c>
      <c r="E15" s="17">
        <v>29809.800000000003</v>
      </c>
      <c r="F15" s="17">
        <v>1189.0589765000004</v>
      </c>
      <c r="G15" s="17">
        <v>1752828.22</v>
      </c>
      <c r="H15" s="17">
        <v>0</v>
      </c>
      <c r="I15" s="13">
        <f t="shared" si="0"/>
        <v>1783827.0789765001</v>
      </c>
    </row>
    <row r="16" spans="1:9" ht="15.75" x14ac:dyDescent="0.25">
      <c r="A16" s="8"/>
      <c r="B16" s="8"/>
      <c r="C16" s="9"/>
      <c r="D16" s="12" t="s">
        <v>12</v>
      </c>
      <c r="E16" s="17">
        <v>1319812.52</v>
      </c>
      <c r="F16" s="17">
        <v>1020769.8361175002</v>
      </c>
      <c r="G16" s="17">
        <v>332185.20999999996</v>
      </c>
      <c r="H16" s="17">
        <v>0</v>
      </c>
      <c r="I16" s="13">
        <f t="shared" si="0"/>
        <v>2672767.5661175</v>
      </c>
    </row>
    <row r="17" spans="1:9" ht="15.75" x14ac:dyDescent="0.25">
      <c r="A17" s="8"/>
      <c r="B17" s="8"/>
      <c r="C17" s="9"/>
      <c r="D17" s="12" t="s">
        <v>13</v>
      </c>
      <c r="E17" s="17">
        <v>1494606.07</v>
      </c>
      <c r="F17" s="17">
        <v>937860.39545350033</v>
      </c>
      <c r="G17" s="17">
        <v>723220.84000000008</v>
      </c>
      <c r="H17" s="17">
        <v>0</v>
      </c>
      <c r="I17" s="13">
        <f t="shared" si="0"/>
        <v>3155687.3054535007</v>
      </c>
    </row>
    <row r="18" spans="1:9" ht="15.75" x14ac:dyDescent="0.25">
      <c r="A18" s="8"/>
      <c r="B18" s="8"/>
      <c r="C18" s="9"/>
      <c r="D18" s="12" t="s">
        <v>14</v>
      </c>
      <c r="E18" s="17">
        <v>323146.34999999998</v>
      </c>
      <c r="F18" s="17">
        <v>76455.175887500023</v>
      </c>
      <c r="G18" s="17">
        <v>3523231.5</v>
      </c>
      <c r="H18" s="17">
        <v>0</v>
      </c>
      <c r="I18" s="13">
        <f t="shared" si="0"/>
        <v>3922833.0258875</v>
      </c>
    </row>
    <row r="19" spans="1:9" ht="15.75" x14ac:dyDescent="0.25">
      <c r="A19" s="8"/>
      <c r="B19" s="8"/>
      <c r="C19" s="9"/>
      <c r="D19" s="12" t="s">
        <v>15</v>
      </c>
      <c r="E19" s="17">
        <v>1244718.97</v>
      </c>
      <c r="F19" s="17">
        <v>729731.19785100035</v>
      </c>
      <c r="G19" s="17">
        <v>580693.62999999989</v>
      </c>
      <c r="H19" s="17">
        <v>0</v>
      </c>
      <c r="I19" s="13">
        <f t="shared" si="0"/>
        <v>2555143.797851</v>
      </c>
    </row>
    <row r="20" spans="1:9" ht="15.75" x14ac:dyDescent="0.25">
      <c r="A20" s="8"/>
      <c r="B20" s="8"/>
      <c r="C20" s="9"/>
      <c r="D20" s="12" t="s">
        <v>16</v>
      </c>
      <c r="E20" s="17">
        <v>1071660.4699999997</v>
      </c>
      <c r="F20" s="17">
        <v>200485.87384950006</v>
      </c>
      <c r="G20" s="17">
        <v>315474.37</v>
      </c>
      <c r="H20" s="17">
        <v>0</v>
      </c>
      <c r="I20" s="13">
        <f t="shared" si="0"/>
        <v>1587620.7138494998</v>
      </c>
    </row>
    <row r="21" spans="1:9" ht="15.75" x14ac:dyDescent="0.25">
      <c r="A21" s="8"/>
      <c r="B21" s="8"/>
      <c r="C21" s="9"/>
      <c r="D21" s="12" t="s">
        <v>17</v>
      </c>
      <c r="E21" s="17">
        <v>739059.91999999993</v>
      </c>
      <c r="F21" s="17">
        <v>872957.95862550032</v>
      </c>
      <c r="G21" s="17">
        <v>173851.06</v>
      </c>
      <c r="H21" s="17">
        <v>0</v>
      </c>
      <c r="I21" s="13">
        <f t="shared" si="0"/>
        <v>1785868.9386255003</v>
      </c>
    </row>
    <row r="22" spans="1:9" ht="15.75" x14ac:dyDescent="0.25">
      <c r="A22" s="8"/>
      <c r="B22" s="8"/>
      <c r="C22" s="9"/>
      <c r="D22" s="12" t="s">
        <v>18</v>
      </c>
      <c r="E22" s="17">
        <v>43617.070000000007</v>
      </c>
      <c r="F22" s="17">
        <v>37378.573508500012</v>
      </c>
      <c r="G22" s="17">
        <v>1184408.98</v>
      </c>
      <c r="H22" s="17">
        <v>0</v>
      </c>
      <c r="I22" s="13">
        <f t="shared" si="0"/>
        <v>1265404.6235084999</v>
      </c>
    </row>
    <row r="23" spans="1:9" ht="15.75" x14ac:dyDescent="0.25">
      <c r="A23" s="8"/>
      <c r="B23" s="8"/>
      <c r="C23" s="9"/>
      <c r="D23" s="12" t="s">
        <v>19</v>
      </c>
      <c r="E23" s="17">
        <v>52716.27</v>
      </c>
      <c r="F23" s="17">
        <v>13930.857012500004</v>
      </c>
      <c r="G23" s="17">
        <v>1111593.47</v>
      </c>
      <c r="H23" s="17">
        <v>0</v>
      </c>
      <c r="I23" s="13">
        <f t="shared" si="0"/>
        <v>1178240.5970125</v>
      </c>
    </row>
    <row r="24" spans="1:9" ht="15.75" x14ac:dyDescent="0.25">
      <c r="A24" s="8"/>
      <c r="B24" s="8"/>
      <c r="C24" s="9"/>
      <c r="D24" s="12" t="s">
        <v>20</v>
      </c>
      <c r="E24" s="17">
        <v>1020291.95</v>
      </c>
      <c r="F24" s="17">
        <v>535361.73807250021</v>
      </c>
      <c r="G24" s="17">
        <v>437698.41</v>
      </c>
      <c r="H24" s="17">
        <v>0</v>
      </c>
      <c r="I24" s="13">
        <f t="shared" si="0"/>
        <v>1993352.0980725002</v>
      </c>
    </row>
    <row r="25" spans="1:9" ht="15.75" x14ac:dyDescent="0.25">
      <c r="A25" s="8"/>
      <c r="B25" s="8"/>
      <c r="C25" s="9"/>
      <c r="D25" s="12" t="s">
        <v>21</v>
      </c>
      <c r="E25" s="17">
        <v>850140.53</v>
      </c>
      <c r="F25" s="17">
        <v>397571.30228650017</v>
      </c>
      <c r="G25" s="17">
        <v>558931.72</v>
      </c>
      <c r="H25" s="17">
        <v>0</v>
      </c>
      <c r="I25" s="13">
        <f t="shared" si="0"/>
        <v>1806643.5522865001</v>
      </c>
    </row>
    <row r="26" spans="1:9" ht="15.75" x14ac:dyDescent="0.25">
      <c r="A26" s="8"/>
      <c r="B26" s="8"/>
      <c r="C26" s="9"/>
      <c r="D26" s="12" t="s">
        <v>22</v>
      </c>
      <c r="E26" s="17">
        <v>1038577.1499999999</v>
      </c>
      <c r="F26" s="17">
        <v>227667.49879200009</v>
      </c>
      <c r="G26" s="17">
        <v>195365.28999999998</v>
      </c>
      <c r="H26" s="17">
        <v>0</v>
      </c>
      <c r="I26" s="13">
        <f t="shared" si="0"/>
        <v>1461609.9387920001</v>
      </c>
    </row>
    <row r="27" spans="1:9" ht="15.75" x14ac:dyDescent="0.25">
      <c r="A27" s="8"/>
      <c r="B27" s="8"/>
      <c r="C27" s="9"/>
      <c r="D27" s="12" t="s">
        <v>23</v>
      </c>
      <c r="E27" s="17">
        <v>303843.32</v>
      </c>
      <c r="F27" s="17">
        <v>39076.602379000018</v>
      </c>
      <c r="G27" s="17">
        <v>710717.27</v>
      </c>
      <c r="H27" s="17">
        <v>0</v>
      </c>
      <c r="I27" s="13">
        <f t="shared" si="0"/>
        <v>1053637.1923790001</v>
      </c>
    </row>
    <row r="28" spans="1:9" ht="15.75" x14ac:dyDescent="0.25">
      <c r="A28" s="8"/>
      <c r="B28" s="8"/>
      <c r="C28" s="9"/>
      <c r="D28" s="12" t="s">
        <v>24</v>
      </c>
      <c r="E28" s="17">
        <v>429182.55999999994</v>
      </c>
      <c r="F28" s="17">
        <v>185194.83867200007</v>
      </c>
      <c r="G28" s="17">
        <v>380943.52999999991</v>
      </c>
      <c r="H28" s="17">
        <v>0</v>
      </c>
      <c r="I28" s="13">
        <f t="shared" si="0"/>
        <v>995320.92867199995</v>
      </c>
    </row>
    <row r="29" spans="1:9" ht="15.75" x14ac:dyDescent="0.25">
      <c r="A29" s="8"/>
      <c r="B29" s="8"/>
      <c r="C29" s="9"/>
      <c r="D29" s="12" t="s">
        <v>25</v>
      </c>
      <c r="E29" s="17">
        <v>491292.86000000004</v>
      </c>
      <c r="F29" s="17">
        <v>103641.18850150003</v>
      </c>
      <c r="G29" s="17">
        <v>132194.79</v>
      </c>
      <c r="H29" s="17">
        <v>0</v>
      </c>
      <c r="I29" s="13">
        <f t="shared" si="0"/>
        <v>727128.83850150008</v>
      </c>
    </row>
    <row r="30" spans="1:9" ht="15.75" x14ac:dyDescent="0.25">
      <c r="A30" s="8"/>
      <c r="B30" s="8"/>
      <c r="C30" s="9"/>
      <c r="D30" s="12" t="s">
        <v>26</v>
      </c>
      <c r="E30" s="17">
        <v>594842.26</v>
      </c>
      <c r="F30" s="17">
        <v>558976.18608550029</v>
      </c>
      <c r="G30" s="17">
        <v>344757.83000000007</v>
      </c>
      <c r="H30" s="17">
        <v>0</v>
      </c>
      <c r="I30" s="13">
        <f t="shared" si="0"/>
        <v>1498576.2760855004</v>
      </c>
    </row>
    <row r="31" spans="1:9" ht="15.75" x14ac:dyDescent="0.25">
      <c r="A31" s="8"/>
      <c r="B31" s="8"/>
      <c r="C31" s="9"/>
      <c r="D31" s="12" t="s">
        <v>27</v>
      </c>
      <c r="E31" s="17">
        <v>1113830.0999999999</v>
      </c>
      <c r="F31" s="17">
        <v>579365.69554600026</v>
      </c>
      <c r="G31" s="17">
        <v>145258.54000000004</v>
      </c>
      <c r="H31" s="17">
        <v>0</v>
      </c>
      <c r="I31" s="13">
        <f t="shared" si="0"/>
        <v>1838454.3355460002</v>
      </c>
    </row>
    <row r="32" spans="1:9" ht="15.75" x14ac:dyDescent="0.25">
      <c r="A32" s="8"/>
      <c r="B32" s="8"/>
      <c r="C32" s="9"/>
      <c r="D32" s="12" t="s">
        <v>28</v>
      </c>
      <c r="E32" s="17">
        <v>758727.58</v>
      </c>
      <c r="F32" s="17">
        <v>195558.51875500003</v>
      </c>
      <c r="G32" s="17">
        <v>145812.66999999998</v>
      </c>
      <c r="H32" s="17">
        <v>0</v>
      </c>
      <c r="I32" s="13">
        <f t="shared" si="0"/>
        <v>1100098.7687549999</v>
      </c>
    </row>
    <row r="33" spans="1:9" ht="15.75" x14ac:dyDescent="0.25">
      <c r="A33" s="8"/>
      <c r="B33" s="8"/>
      <c r="C33" s="9"/>
      <c r="D33" s="12" t="s">
        <v>29</v>
      </c>
      <c r="E33" s="17">
        <v>238673.03999999998</v>
      </c>
      <c r="F33" s="17">
        <v>295628.14265550009</v>
      </c>
      <c r="G33" s="17">
        <v>81501.119999999995</v>
      </c>
      <c r="H33" s="17">
        <v>0</v>
      </c>
      <c r="I33" s="13">
        <f t="shared" si="0"/>
        <v>615802.30265550001</v>
      </c>
    </row>
    <row r="34" spans="1:9" ht="15.75" x14ac:dyDescent="0.25">
      <c r="A34" s="8"/>
      <c r="B34" s="8"/>
      <c r="C34" s="9"/>
      <c r="D34" s="12" t="s">
        <v>30</v>
      </c>
      <c r="E34" s="17">
        <v>1069653.7399999998</v>
      </c>
      <c r="F34" s="17">
        <v>424243.95733500016</v>
      </c>
      <c r="G34" s="17">
        <v>642297.43999999994</v>
      </c>
      <c r="H34" s="17">
        <v>0</v>
      </c>
      <c r="I34" s="13">
        <f t="shared" si="0"/>
        <v>2136195.1373349996</v>
      </c>
    </row>
    <row r="35" spans="1:9" ht="15.75" x14ac:dyDescent="0.25">
      <c r="A35" s="8"/>
      <c r="B35" s="8"/>
      <c r="C35" s="9"/>
      <c r="D35" s="12" t="s">
        <v>31</v>
      </c>
      <c r="E35" s="17">
        <v>1037485.55</v>
      </c>
      <c r="F35" s="17">
        <v>623711.89139650029</v>
      </c>
      <c r="G35" s="17">
        <v>391773.29</v>
      </c>
      <c r="H35" s="17">
        <v>0</v>
      </c>
      <c r="I35" s="13">
        <f t="shared" si="0"/>
        <v>2052970.7313965005</v>
      </c>
    </row>
    <row r="36" spans="1:9" ht="15.75" x14ac:dyDescent="0.25">
      <c r="A36" s="8"/>
      <c r="B36" s="8"/>
      <c r="C36" s="9"/>
      <c r="D36" s="12" t="s">
        <v>32</v>
      </c>
      <c r="E36" s="17">
        <v>845959.83000000007</v>
      </c>
      <c r="F36" s="17">
        <v>387036.50301500014</v>
      </c>
      <c r="G36" s="17">
        <v>879180.75</v>
      </c>
      <c r="H36" s="17">
        <v>0</v>
      </c>
      <c r="I36" s="13">
        <f t="shared" si="0"/>
        <v>2112177.0830150004</v>
      </c>
    </row>
    <row r="37" spans="1:9" ht="15.75" x14ac:dyDescent="0.25">
      <c r="A37" s="8"/>
      <c r="B37" s="8"/>
      <c r="C37" s="9"/>
      <c r="D37" s="12" t="s">
        <v>33</v>
      </c>
      <c r="E37" s="17">
        <v>322053.51</v>
      </c>
      <c r="F37" s="17">
        <v>214074.49248500008</v>
      </c>
      <c r="G37" s="17">
        <v>316561.66000000003</v>
      </c>
      <c r="H37" s="17">
        <v>0</v>
      </c>
      <c r="I37" s="13">
        <f t="shared" si="0"/>
        <v>852689.6624850001</v>
      </c>
    </row>
    <row r="38" spans="1:9" ht="15.75" x14ac:dyDescent="0.25">
      <c r="A38" s="8"/>
      <c r="B38" s="8"/>
      <c r="C38" s="9"/>
      <c r="D38" s="12" t="s">
        <v>34</v>
      </c>
      <c r="E38" s="17">
        <v>818758.87000000011</v>
      </c>
      <c r="F38" s="17">
        <v>465194.09544450016</v>
      </c>
      <c r="G38" s="17">
        <v>246093.41999999998</v>
      </c>
      <c r="H38" s="17">
        <v>0</v>
      </c>
      <c r="I38" s="13">
        <f t="shared" si="0"/>
        <v>1530046.3854445003</v>
      </c>
    </row>
    <row r="39" spans="1:9" ht="15.75" x14ac:dyDescent="0.25">
      <c r="A39" s="8"/>
      <c r="B39" s="8"/>
      <c r="C39" s="9"/>
      <c r="D39" s="12" t="s">
        <v>35</v>
      </c>
      <c r="E39" s="17">
        <v>331587.64</v>
      </c>
      <c r="F39" s="17">
        <v>728371.01968600019</v>
      </c>
      <c r="G39" s="17">
        <v>308457.18</v>
      </c>
      <c r="H39" s="17">
        <v>0</v>
      </c>
      <c r="I39" s="13">
        <f t="shared" si="0"/>
        <v>1368415.839686</v>
      </c>
    </row>
    <row r="40" spans="1:9" ht="15.75" x14ac:dyDescent="0.25">
      <c r="A40" s="8"/>
      <c r="B40" s="8"/>
      <c r="C40" s="9"/>
      <c r="D40" s="12" t="s">
        <v>36</v>
      </c>
      <c r="E40" s="17">
        <v>98295.180000000008</v>
      </c>
      <c r="F40" s="17">
        <v>38229.781779500016</v>
      </c>
      <c r="G40" s="17">
        <v>334094.95</v>
      </c>
      <c r="H40" s="17">
        <v>0</v>
      </c>
      <c r="I40" s="13">
        <f t="shared" si="0"/>
        <v>470619.91177950002</v>
      </c>
    </row>
    <row r="41" spans="1:9" ht="15.75" x14ac:dyDescent="0.25">
      <c r="A41" s="8"/>
      <c r="B41" s="8"/>
      <c r="C41" s="9"/>
      <c r="D41" s="12" t="s">
        <v>37</v>
      </c>
      <c r="E41" s="17">
        <v>697979.47</v>
      </c>
      <c r="F41" s="17">
        <v>638831.80738550017</v>
      </c>
      <c r="G41" s="17">
        <v>629311.87</v>
      </c>
      <c r="H41" s="17">
        <v>0</v>
      </c>
      <c r="I41" s="13">
        <f t="shared" si="0"/>
        <v>1966123.1473855004</v>
      </c>
    </row>
    <row r="42" spans="1:9" ht="15.75" x14ac:dyDescent="0.25">
      <c r="A42" s="8"/>
      <c r="B42" s="8"/>
      <c r="C42" s="9"/>
      <c r="D42" s="12" t="s">
        <v>38</v>
      </c>
      <c r="E42" s="17">
        <v>1218556.7399999998</v>
      </c>
      <c r="F42" s="17">
        <v>691843.65444850014</v>
      </c>
      <c r="G42" s="17">
        <v>218069.99000000002</v>
      </c>
      <c r="H42" s="17">
        <v>0</v>
      </c>
      <c r="I42" s="13">
        <f t="shared" si="0"/>
        <v>2128470.3844484999</v>
      </c>
    </row>
    <row r="43" spans="1:9" ht="15.75" x14ac:dyDescent="0.25">
      <c r="A43" s="8"/>
      <c r="B43" s="8"/>
      <c r="C43" s="9"/>
      <c r="D43" s="12" t="s">
        <v>39</v>
      </c>
      <c r="E43" s="17">
        <v>430911.75</v>
      </c>
      <c r="F43" s="17">
        <v>251624.18518200007</v>
      </c>
      <c r="G43" s="17">
        <v>200773.75999999998</v>
      </c>
      <c r="H43" s="17">
        <v>0</v>
      </c>
      <c r="I43" s="13">
        <f t="shared" si="0"/>
        <v>883309.69518200005</v>
      </c>
    </row>
    <row r="44" spans="1:9" ht="15.75" x14ac:dyDescent="0.25">
      <c r="A44" s="8"/>
      <c r="B44" s="8"/>
      <c r="C44" s="9"/>
      <c r="D44" s="12" t="s">
        <v>40</v>
      </c>
      <c r="E44" s="17">
        <v>198.76</v>
      </c>
      <c r="F44" s="17">
        <v>19367.182001000008</v>
      </c>
      <c r="G44" s="17">
        <v>287581.91000000003</v>
      </c>
      <c r="H44" s="17">
        <v>0</v>
      </c>
      <c r="I44" s="13">
        <f t="shared" si="0"/>
        <v>307147.85200100002</v>
      </c>
    </row>
    <row r="45" spans="1:9" ht="15.75" x14ac:dyDescent="0.25">
      <c r="A45" s="8"/>
      <c r="B45" s="8"/>
      <c r="C45" s="9"/>
      <c r="D45" s="12" t="s">
        <v>41</v>
      </c>
      <c r="E45" s="17">
        <v>192226.21000000002</v>
      </c>
      <c r="F45" s="17">
        <v>5607.4441770000012</v>
      </c>
      <c r="G45" s="17">
        <v>1097978.2400000002</v>
      </c>
      <c r="H45" s="17">
        <v>0</v>
      </c>
      <c r="I45" s="13">
        <f t="shared" si="0"/>
        <v>1295811.8941770003</v>
      </c>
    </row>
    <row r="46" spans="1:9" ht="15.75" x14ac:dyDescent="0.25">
      <c r="A46" s="8"/>
      <c r="B46" s="8"/>
      <c r="C46" s="9"/>
      <c r="D46" s="12" t="s">
        <v>42</v>
      </c>
      <c r="E46" s="17">
        <v>167701.06000000006</v>
      </c>
      <c r="F46" s="17">
        <v>18687.092918500006</v>
      </c>
      <c r="G46" s="17">
        <v>1011421.98</v>
      </c>
      <c r="H46" s="17">
        <v>0</v>
      </c>
      <c r="I46" s="13">
        <f t="shared" si="0"/>
        <v>1197810.1329185001</v>
      </c>
    </row>
    <row r="47" spans="1:9" ht="15.75" x14ac:dyDescent="0.25">
      <c r="A47" s="8"/>
      <c r="B47" s="8"/>
      <c r="C47" s="9"/>
      <c r="D47" s="12" t="s">
        <v>43</v>
      </c>
      <c r="E47" s="17">
        <v>537357.54999999993</v>
      </c>
      <c r="F47" s="17">
        <v>118589.98530200004</v>
      </c>
      <c r="G47" s="17">
        <v>251877.18999999997</v>
      </c>
      <c r="H47" s="17">
        <v>0</v>
      </c>
      <c r="I47" s="13">
        <f t="shared" si="0"/>
        <v>907824.72530199995</v>
      </c>
    </row>
    <row r="48" spans="1:9" ht="15.75" x14ac:dyDescent="0.25">
      <c r="A48" s="8"/>
      <c r="B48" s="8"/>
      <c r="C48" s="9"/>
      <c r="D48" s="12" t="s">
        <v>44</v>
      </c>
      <c r="E48" s="17">
        <v>873704.18</v>
      </c>
      <c r="F48" s="17">
        <v>18687.092918500006</v>
      </c>
      <c r="G48" s="17">
        <v>482500.86</v>
      </c>
      <c r="H48" s="17">
        <v>0</v>
      </c>
      <c r="I48" s="13">
        <f t="shared" si="0"/>
        <v>1374892.1329184999</v>
      </c>
    </row>
    <row r="49" spans="1:9" ht="15.75" x14ac:dyDescent="0.25">
      <c r="A49" s="8"/>
      <c r="B49" s="8"/>
      <c r="C49" s="9"/>
      <c r="D49" s="12" t="s">
        <v>45</v>
      </c>
      <c r="E49" s="17">
        <v>104961.09000000001</v>
      </c>
      <c r="F49" s="17">
        <v>22258.657519500004</v>
      </c>
      <c r="G49" s="17">
        <v>835457.89</v>
      </c>
      <c r="H49" s="17">
        <v>0</v>
      </c>
      <c r="I49" s="13">
        <f t="shared" si="0"/>
        <v>962677.63751949999</v>
      </c>
    </row>
    <row r="50" spans="1:9" ht="15.75" x14ac:dyDescent="0.25">
      <c r="A50" s="8"/>
      <c r="B50" s="8"/>
      <c r="C50" s="9"/>
      <c r="D50" s="12" t="s">
        <v>46</v>
      </c>
      <c r="E50" s="17">
        <v>244184.86000000002</v>
      </c>
      <c r="F50" s="17">
        <v>215096.81994450008</v>
      </c>
      <c r="G50" s="17">
        <v>113207.45</v>
      </c>
      <c r="H50" s="17">
        <v>0</v>
      </c>
      <c r="I50" s="13">
        <f t="shared" si="0"/>
        <v>572489.12994450005</v>
      </c>
    </row>
    <row r="51" spans="1:9" ht="15.75" x14ac:dyDescent="0.25">
      <c r="A51" s="8"/>
      <c r="B51" s="8"/>
      <c r="C51" s="9"/>
      <c r="D51" s="12" t="s">
        <v>47</v>
      </c>
      <c r="E51" s="17">
        <v>359481.69</v>
      </c>
      <c r="F51" s="17">
        <v>391112.64983850013</v>
      </c>
      <c r="G51" s="17">
        <v>264746.08999999997</v>
      </c>
      <c r="H51" s="17">
        <v>0</v>
      </c>
      <c r="I51" s="13">
        <f t="shared" si="0"/>
        <v>1015340.4298385001</v>
      </c>
    </row>
    <row r="52" spans="1:9" ht="15.75" x14ac:dyDescent="0.25">
      <c r="A52" s="8"/>
      <c r="B52" s="8"/>
      <c r="C52" s="9"/>
      <c r="D52" s="12" t="s">
        <v>48</v>
      </c>
      <c r="E52" s="17">
        <v>604827.06000000006</v>
      </c>
      <c r="F52" s="17">
        <v>394170.85687400016</v>
      </c>
      <c r="G52" s="17">
        <v>100297.88999999998</v>
      </c>
      <c r="H52" s="17">
        <v>0</v>
      </c>
      <c r="I52" s="13">
        <f t="shared" si="0"/>
        <v>1099295.8068740002</v>
      </c>
    </row>
    <row r="53" spans="1:9" ht="15.75" x14ac:dyDescent="0.25">
      <c r="A53" s="8"/>
      <c r="B53" s="8"/>
      <c r="C53" s="9"/>
      <c r="D53" s="12" t="s">
        <v>49</v>
      </c>
      <c r="E53" s="17">
        <v>438851.17000000004</v>
      </c>
      <c r="F53" s="17">
        <v>270144.54658350005</v>
      </c>
      <c r="G53" s="17">
        <v>545485.16999999993</v>
      </c>
      <c r="H53" s="17">
        <v>0</v>
      </c>
      <c r="I53" s="13">
        <f t="shared" si="0"/>
        <v>1254480.8865835001</v>
      </c>
    </row>
    <row r="54" spans="1:9" ht="15.75" x14ac:dyDescent="0.25">
      <c r="A54" s="8"/>
      <c r="B54" s="8"/>
      <c r="C54" s="9"/>
      <c r="D54" s="12" t="s">
        <v>50</v>
      </c>
      <c r="E54" s="17">
        <v>448806.73000000004</v>
      </c>
      <c r="F54" s="17">
        <v>248057.00825250009</v>
      </c>
      <c r="G54" s="17">
        <v>194423.13</v>
      </c>
      <c r="H54" s="17">
        <v>0</v>
      </c>
      <c r="I54" s="13">
        <f t="shared" si="0"/>
        <v>891286.86825250008</v>
      </c>
    </row>
    <row r="55" spans="1:9" ht="15.75" x14ac:dyDescent="0.25">
      <c r="A55" s="8"/>
      <c r="B55" s="8"/>
      <c r="C55" s="9"/>
      <c r="D55" s="12" t="s">
        <v>51</v>
      </c>
      <c r="E55" s="17">
        <v>159180.62000000002</v>
      </c>
      <c r="F55" s="17">
        <v>508008.99394150014</v>
      </c>
      <c r="G55" s="17">
        <v>18410.7</v>
      </c>
      <c r="H55" s="17">
        <v>0</v>
      </c>
      <c r="I55" s="13">
        <f t="shared" si="0"/>
        <v>685600.31394150015</v>
      </c>
    </row>
    <row r="56" spans="1:9" ht="15.75" x14ac:dyDescent="0.25">
      <c r="A56" s="8"/>
      <c r="B56" s="8"/>
      <c r="C56" s="9"/>
      <c r="D56" s="12" t="s">
        <v>52</v>
      </c>
      <c r="E56" s="17">
        <v>603293.05000000005</v>
      </c>
      <c r="F56" s="17">
        <v>565434.83853350021</v>
      </c>
      <c r="G56" s="17">
        <v>169574.48</v>
      </c>
      <c r="H56" s="17">
        <v>0</v>
      </c>
      <c r="I56" s="13">
        <f t="shared" si="0"/>
        <v>1338302.3685335002</v>
      </c>
    </row>
    <row r="57" spans="1:9" ht="15.75" x14ac:dyDescent="0.25">
      <c r="A57" s="8"/>
      <c r="B57" s="8"/>
      <c r="C57" s="9"/>
      <c r="D57" s="12" t="s">
        <v>53</v>
      </c>
      <c r="E57" s="17">
        <v>132456.90999999997</v>
      </c>
      <c r="F57" s="17">
        <v>186892.86754250003</v>
      </c>
      <c r="G57" s="17">
        <v>158584.24000000002</v>
      </c>
      <c r="H57" s="17">
        <v>0</v>
      </c>
      <c r="I57" s="13">
        <f t="shared" si="0"/>
        <v>477934.01754250005</v>
      </c>
    </row>
    <row r="58" spans="1:9" ht="15.75" x14ac:dyDescent="0.25">
      <c r="A58" s="8"/>
      <c r="B58" s="8"/>
      <c r="C58" s="9"/>
      <c r="D58" s="12" t="s">
        <v>54</v>
      </c>
      <c r="E58" s="17">
        <v>225719.82</v>
      </c>
      <c r="F58" s="17">
        <v>201165.96293200005</v>
      </c>
      <c r="G58" s="17">
        <v>14066.249999999996</v>
      </c>
      <c r="H58" s="17">
        <v>0</v>
      </c>
      <c r="I58" s="13">
        <f t="shared" si="0"/>
        <v>440952.03293200006</v>
      </c>
    </row>
    <row r="59" spans="1:9" ht="15.75" x14ac:dyDescent="0.25">
      <c r="A59" s="8"/>
      <c r="B59" s="8"/>
      <c r="C59" s="9"/>
      <c r="D59" s="12" t="s">
        <v>55</v>
      </c>
      <c r="E59" s="17">
        <v>321780.30999999994</v>
      </c>
      <c r="F59" s="17">
        <v>339803.21931750013</v>
      </c>
      <c r="G59" s="17">
        <v>220262.65000000002</v>
      </c>
      <c r="H59" s="17">
        <v>0</v>
      </c>
      <c r="I59" s="13">
        <f t="shared" si="0"/>
        <v>881846.17931750009</v>
      </c>
    </row>
    <row r="60" spans="1:9" ht="15.75" x14ac:dyDescent="0.25">
      <c r="A60" s="8"/>
      <c r="B60" s="8"/>
      <c r="C60" s="9"/>
      <c r="D60" s="12" t="s">
        <v>56</v>
      </c>
      <c r="E60" s="17">
        <v>257127.62</v>
      </c>
      <c r="F60" s="17">
        <v>205579.96046100007</v>
      </c>
      <c r="G60" s="17">
        <v>103885.41000000002</v>
      </c>
      <c r="H60" s="17">
        <v>0</v>
      </c>
      <c r="I60" s="13">
        <f t="shared" si="0"/>
        <v>566592.99046100012</v>
      </c>
    </row>
    <row r="61" spans="1:9" ht="15.75" x14ac:dyDescent="0.25">
      <c r="A61" s="8"/>
      <c r="B61" s="8"/>
      <c r="C61" s="9"/>
      <c r="D61" s="12" t="s">
        <v>57</v>
      </c>
      <c r="E61" s="17">
        <v>395184.47000000003</v>
      </c>
      <c r="F61" s="17">
        <v>344901.69360050012</v>
      </c>
      <c r="G61" s="17">
        <v>165655.84000000003</v>
      </c>
      <c r="H61" s="17">
        <v>0</v>
      </c>
      <c r="I61" s="13">
        <f t="shared" si="0"/>
        <v>905742.00360050029</v>
      </c>
    </row>
    <row r="62" spans="1:9" ht="15.75" x14ac:dyDescent="0.25">
      <c r="A62" s="8"/>
      <c r="B62" s="8"/>
      <c r="C62" s="9"/>
      <c r="D62" s="12" t="s">
        <v>58</v>
      </c>
      <c r="E62" s="17">
        <v>841855.27</v>
      </c>
      <c r="F62" s="17">
        <v>384829.50425050012</v>
      </c>
      <c r="G62" s="17">
        <v>7563052.0100000016</v>
      </c>
      <c r="H62" s="17">
        <v>0</v>
      </c>
      <c r="I62" s="13">
        <f t="shared" si="0"/>
        <v>8789736.7842505015</v>
      </c>
    </row>
    <row r="63" spans="1:9" ht="15.75" x14ac:dyDescent="0.25">
      <c r="A63" s="8"/>
      <c r="B63" s="8"/>
      <c r="C63" s="9"/>
      <c r="D63" s="12" t="s">
        <v>59</v>
      </c>
      <c r="E63" s="17">
        <v>145185.92000000001</v>
      </c>
      <c r="F63" s="17">
        <v>42477.047791500008</v>
      </c>
      <c r="G63" s="17">
        <v>333485.20000000007</v>
      </c>
      <c r="H63" s="17">
        <v>0</v>
      </c>
      <c r="I63" s="13">
        <f t="shared" si="0"/>
        <v>521148.16779150011</v>
      </c>
    </row>
    <row r="64" spans="1:9" ht="15.75" x14ac:dyDescent="0.25">
      <c r="A64" s="8"/>
      <c r="B64" s="8"/>
      <c r="C64" s="9"/>
      <c r="D64" s="12" t="s">
        <v>60</v>
      </c>
      <c r="E64" s="17">
        <v>0</v>
      </c>
      <c r="F64" s="17">
        <v>0</v>
      </c>
      <c r="G64" s="17">
        <v>2389773.9400000004</v>
      </c>
      <c r="H64" s="17">
        <v>0</v>
      </c>
      <c r="I64" s="13">
        <f t="shared" si="0"/>
        <v>2389773.9400000004</v>
      </c>
    </row>
    <row r="65" spans="1:9" ht="15.75" x14ac:dyDescent="0.25">
      <c r="A65" s="8"/>
      <c r="B65" s="8"/>
      <c r="C65" s="9"/>
      <c r="D65" s="12" t="s">
        <v>61</v>
      </c>
      <c r="E65" s="17">
        <v>665686.17999999993</v>
      </c>
      <c r="F65" s="17">
        <v>502910.51965850021</v>
      </c>
      <c r="G65" s="17">
        <v>143172.66</v>
      </c>
      <c r="H65" s="17">
        <v>0</v>
      </c>
      <c r="I65" s="13">
        <f t="shared" si="0"/>
        <v>1311769.3596584999</v>
      </c>
    </row>
    <row r="66" spans="1:9" ht="15.75" x14ac:dyDescent="0.25">
      <c r="A66" s="8"/>
      <c r="B66" s="8"/>
      <c r="C66" s="9"/>
      <c r="D66" s="12" t="s">
        <v>62</v>
      </c>
      <c r="E66" s="17">
        <v>2505570.9900000002</v>
      </c>
      <c r="F66" s="17">
        <v>999875.74443450035</v>
      </c>
      <c r="G66" s="17">
        <v>323530.7</v>
      </c>
      <c r="H66" s="17">
        <v>0</v>
      </c>
      <c r="I66" s="13">
        <f t="shared" si="0"/>
        <v>3828977.4344345005</v>
      </c>
    </row>
    <row r="67" spans="1:9" ht="15.75" x14ac:dyDescent="0.25">
      <c r="A67" s="8"/>
      <c r="B67" s="8"/>
      <c r="C67" s="9"/>
      <c r="D67" s="12" t="s">
        <v>63</v>
      </c>
      <c r="E67" s="17">
        <v>742236.76</v>
      </c>
      <c r="F67" s="17">
        <v>462135.88840900018</v>
      </c>
      <c r="G67" s="17">
        <v>183720.34</v>
      </c>
      <c r="H67" s="17">
        <v>0</v>
      </c>
      <c r="I67" s="13">
        <f t="shared" si="0"/>
        <v>1388092.9884090002</v>
      </c>
    </row>
    <row r="68" spans="1:9" ht="15.75" x14ac:dyDescent="0.25">
      <c r="A68" s="8"/>
      <c r="B68" s="8"/>
      <c r="C68" s="9"/>
      <c r="D68" s="12" t="s">
        <v>64</v>
      </c>
      <c r="E68" s="17">
        <v>414339.48</v>
      </c>
      <c r="F68" s="17">
        <v>195387.39956650004</v>
      </c>
      <c r="G68" s="17">
        <v>148522.22</v>
      </c>
      <c r="H68" s="17">
        <v>0</v>
      </c>
      <c r="I68" s="13">
        <f t="shared" si="0"/>
        <v>758249.09956649994</v>
      </c>
    </row>
    <row r="69" spans="1:9" ht="15.75" x14ac:dyDescent="0.25">
      <c r="A69" s="8"/>
      <c r="B69" s="8"/>
      <c r="C69" s="9"/>
      <c r="D69" s="12" t="s">
        <v>65</v>
      </c>
      <c r="E69" s="17">
        <v>0</v>
      </c>
      <c r="F69" s="17">
        <v>0</v>
      </c>
      <c r="G69" s="17">
        <v>861377.35</v>
      </c>
      <c r="H69" s="17">
        <v>0</v>
      </c>
      <c r="I69" s="13">
        <f t="shared" si="0"/>
        <v>861377.35</v>
      </c>
    </row>
    <row r="70" spans="1:9" ht="15.75" x14ac:dyDescent="0.25">
      <c r="A70" s="8"/>
      <c r="B70" s="8"/>
      <c r="C70" s="9"/>
      <c r="D70" s="12" t="s">
        <v>66</v>
      </c>
      <c r="E70" s="17">
        <v>0</v>
      </c>
      <c r="F70" s="17">
        <v>0</v>
      </c>
      <c r="G70" s="17">
        <v>991303.7</v>
      </c>
      <c r="H70" s="17">
        <v>0</v>
      </c>
      <c r="I70" s="13">
        <f t="shared" si="0"/>
        <v>991303.7</v>
      </c>
    </row>
    <row r="71" spans="1:9" ht="15.75" x14ac:dyDescent="0.25">
      <c r="A71" s="8"/>
      <c r="B71" s="8"/>
      <c r="C71" s="9"/>
      <c r="D71" s="12" t="s">
        <v>67</v>
      </c>
      <c r="E71" s="17">
        <v>4928.22</v>
      </c>
      <c r="F71" s="17">
        <v>5098.4742830000014</v>
      </c>
      <c r="G71" s="17">
        <v>562937.1100000001</v>
      </c>
      <c r="H71" s="17">
        <v>0</v>
      </c>
      <c r="I71" s="13">
        <f t="shared" si="0"/>
        <v>572963.80428300006</v>
      </c>
    </row>
    <row r="72" spans="1:9" ht="15.75" x14ac:dyDescent="0.25">
      <c r="A72" s="8"/>
      <c r="B72" s="8"/>
      <c r="C72" s="9"/>
      <c r="D72" s="12" t="s">
        <v>68</v>
      </c>
      <c r="E72" s="17">
        <v>703448.21</v>
      </c>
      <c r="F72" s="17">
        <v>317377.83028100012</v>
      </c>
      <c r="G72" s="17">
        <v>1411334.34</v>
      </c>
      <c r="H72" s="17">
        <v>0</v>
      </c>
      <c r="I72" s="13">
        <f t="shared" si="0"/>
        <v>2432160.3802810004</v>
      </c>
    </row>
    <row r="73" spans="1:9" ht="15.75" x14ac:dyDescent="0.25">
      <c r="A73" s="8"/>
      <c r="B73" s="8"/>
      <c r="C73" s="9"/>
      <c r="D73" s="12" t="s">
        <v>69</v>
      </c>
      <c r="E73" s="17">
        <v>5474.49</v>
      </c>
      <c r="F73" s="17">
        <v>0</v>
      </c>
      <c r="G73" s="17">
        <v>465438.72000000003</v>
      </c>
      <c r="H73" s="17">
        <v>0</v>
      </c>
      <c r="I73" s="13">
        <f t="shared" si="0"/>
        <v>470913.21</v>
      </c>
    </row>
    <row r="74" spans="1:9" ht="15.75" x14ac:dyDescent="0.25">
      <c r="A74" s="8"/>
      <c r="B74" s="8"/>
      <c r="C74" s="9"/>
      <c r="D74" s="12" t="s">
        <v>70</v>
      </c>
      <c r="E74" s="17">
        <v>54838.030000000013</v>
      </c>
      <c r="F74" s="17">
        <v>26843.774237000009</v>
      </c>
      <c r="G74" s="17">
        <v>4049672.55</v>
      </c>
      <c r="H74" s="17">
        <v>0</v>
      </c>
      <c r="I74" s="13">
        <f t="shared" ref="I74:I137" si="1">SUM(E74:H74)</f>
        <v>4131354.354237</v>
      </c>
    </row>
    <row r="75" spans="1:9" ht="15.75" x14ac:dyDescent="0.25">
      <c r="A75" s="8"/>
      <c r="B75" s="8"/>
      <c r="C75" s="9"/>
      <c r="D75" s="12" t="s">
        <v>71</v>
      </c>
      <c r="E75" s="17">
        <v>468435.42</v>
      </c>
      <c r="F75" s="17">
        <v>104321.27758400002</v>
      </c>
      <c r="G75" s="17">
        <v>7931738.9599999981</v>
      </c>
      <c r="H75" s="17">
        <v>0</v>
      </c>
      <c r="I75" s="13">
        <f t="shared" si="1"/>
        <v>8504495.6575839985</v>
      </c>
    </row>
    <row r="76" spans="1:9" ht="15.75" x14ac:dyDescent="0.25">
      <c r="A76" s="8"/>
      <c r="B76" s="8"/>
      <c r="C76" s="9"/>
      <c r="D76" s="12" t="s">
        <v>72</v>
      </c>
      <c r="E76" s="17">
        <v>0</v>
      </c>
      <c r="F76" s="17">
        <v>0</v>
      </c>
      <c r="G76" s="17">
        <v>2394719.6400000006</v>
      </c>
      <c r="H76" s="17">
        <v>0</v>
      </c>
      <c r="I76" s="13">
        <f t="shared" si="1"/>
        <v>2394719.6400000006</v>
      </c>
    </row>
    <row r="77" spans="1:9" ht="15.75" x14ac:dyDescent="0.25">
      <c r="A77" s="8"/>
      <c r="B77" s="8"/>
      <c r="C77" s="9"/>
      <c r="D77" s="12" t="s">
        <v>73</v>
      </c>
      <c r="E77" s="17">
        <v>204568.17</v>
      </c>
      <c r="F77" s="17">
        <v>517350.34656500025</v>
      </c>
      <c r="G77" s="17">
        <v>128268.35</v>
      </c>
      <c r="H77" s="17">
        <v>0</v>
      </c>
      <c r="I77" s="13">
        <f t="shared" si="1"/>
        <v>850186.86656500027</v>
      </c>
    </row>
    <row r="78" spans="1:9" ht="15.75" x14ac:dyDescent="0.25">
      <c r="A78" s="8"/>
      <c r="B78" s="8"/>
      <c r="C78" s="9"/>
      <c r="D78" s="12" t="s">
        <v>74</v>
      </c>
      <c r="E78" s="17">
        <v>363242.35000000003</v>
      </c>
      <c r="F78" s="17">
        <v>524998.05798950023</v>
      </c>
      <c r="G78" s="17">
        <v>299186.63</v>
      </c>
      <c r="H78" s="17">
        <v>0</v>
      </c>
      <c r="I78" s="13">
        <f t="shared" si="1"/>
        <v>1187427.0379895004</v>
      </c>
    </row>
    <row r="79" spans="1:9" ht="15.75" x14ac:dyDescent="0.25">
      <c r="A79" s="8"/>
      <c r="B79" s="8"/>
      <c r="C79" s="9"/>
      <c r="D79" s="12" t="s">
        <v>75</v>
      </c>
      <c r="E79" s="17">
        <v>982489.61000000022</v>
      </c>
      <c r="F79" s="17">
        <v>294781.32205600012</v>
      </c>
      <c r="G79" s="17">
        <v>318757.06</v>
      </c>
      <c r="H79" s="17">
        <v>0</v>
      </c>
      <c r="I79" s="13">
        <f t="shared" si="1"/>
        <v>1596027.9920560005</v>
      </c>
    </row>
    <row r="80" spans="1:9" ht="15.75" x14ac:dyDescent="0.25">
      <c r="A80" s="8"/>
      <c r="B80" s="8"/>
      <c r="C80" s="9"/>
      <c r="D80" s="12" t="s">
        <v>76</v>
      </c>
      <c r="E80" s="17">
        <v>234763.40999999997</v>
      </c>
      <c r="F80" s="17">
        <v>155801.82729350007</v>
      </c>
      <c r="G80" s="17">
        <v>37185.560000000005</v>
      </c>
      <c r="H80" s="17">
        <v>0</v>
      </c>
      <c r="I80" s="13">
        <f t="shared" si="1"/>
        <v>427750.79729350004</v>
      </c>
    </row>
    <row r="81" spans="1:9" ht="15.75" x14ac:dyDescent="0.25">
      <c r="A81" s="8"/>
      <c r="B81" s="8"/>
      <c r="C81" s="9"/>
      <c r="D81" s="12" t="s">
        <v>77</v>
      </c>
      <c r="E81" s="17">
        <v>1712604.1</v>
      </c>
      <c r="F81" s="17">
        <v>940067.39421800035</v>
      </c>
      <c r="G81" s="17">
        <v>636679.59999999986</v>
      </c>
      <c r="H81" s="17">
        <v>0</v>
      </c>
      <c r="I81" s="13">
        <f t="shared" si="1"/>
        <v>3289351.0942179998</v>
      </c>
    </row>
    <row r="82" spans="1:9" ht="15.75" x14ac:dyDescent="0.25">
      <c r="A82" s="8"/>
      <c r="B82" s="8"/>
      <c r="C82" s="9"/>
      <c r="D82" s="12" t="s">
        <v>78</v>
      </c>
      <c r="E82" s="17">
        <v>1482647.2999999998</v>
      </c>
      <c r="F82" s="17">
        <v>651573.60542150028</v>
      </c>
      <c r="G82" s="17">
        <v>206917.88999999998</v>
      </c>
      <c r="H82" s="17">
        <v>0</v>
      </c>
      <c r="I82" s="13">
        <f t="shared" si="1"/>
        <v>2341138.7954215002</v>
      </c>
    </row>
    <row r="83" spans="1:9" ht="15.75" x14ac:dyDescent="0.25">
      <c r="A83" s="8"/>
      <c r="B83" s="8"/>
      <c r="C83" s="9"/>
      <c r="D83" s="12" t="s">
        <v>79</v>
      </c>
      <c r="E83" s="17">
        <v>939274.72999999986</v>
      </c>
      <c r="F83" s="17">
        <v>267595.30944200006</v>
      </c>
      <c r="G83" s="17">
        <v>310409.19000000006</v>
      </c>
      <c r="H83" s="17">
        <v>0</v>
      </c>
      <c r="I83" s="13">
        <f t="shared" si="1"/>
        <v>1517279.2294419999</v>
      </c>
    </row>
    <row r="84" spans="1:9" ht="15.75" x14ac:dyDescent="0.25">
      <c r="A84" s="8"/>
      <c r="B84" s="8"/>
      <c r="C84" s="9"/>
      <c r="D84" s="12" t="s">
        <v>80</v>
      </c>
      <c r="E84" s="17">
        <v>0</v>
      </c>
      <c r="F84" s="17">
        <v>0</v>
      </c>
      <c r="G84" s="17">
        <v>3053806.2199999997</v>
      </c>
      <c r="H84" s="17">
        <v>0</v>
      </c>
      <c r="I84" s="13">
        <f t="shared" si="1"/>
        <v>3053806.2199999997</v>
      </c>
    </row>
    <row r="85" spans="1:9" ht="15.75" x14ac:dyDescent="0.25">
      <c r="A85" s="8"/>
      <c r="B85" s="8"/>
      <c r="C85" s="9"/>
      <c r="D85" s="12" t="s">
        <v>81</v>
      </c>
      <c r="E85" s="17">
        <v>1593143.06</v>
      </c>
      <c r="F85" s="17">
        <v>83251.679041000025</v>
      </c>
      <c r="G85" s="17">
        <v>1146945.6099999999</v>
      </c>
      <c r="H85" s="17">
        <v>0</v>
      </c>
      <c r="I85" s="13">
        <f t="shared" si="1"/>
        <v>2823340.349041</v>
      </c>
    </row>
    <row r="86" spans="1:9" ht="15.75" x14ac:dyDescent="0.25">
      <c r="A86" s="8"/>
      <c r="B86" s="8"/>
      <c r="C86" s="9"/>
      <c r="D86" s="12" t="s">
        <v>82</v>
      </c>
      <c r="E86" s="17">
        <v>470007.42999999993</v>
      </c>
      <c r="F86" s="17">
        <v>345752.90187150013</v>
      </c>
      <c r="G86" s="17">
        <v>113388.58</v>
      </c>
      <c r="H86" s="17">
        <v>0</v>
      </c>
      <c r="I86" s="13">
        <f t="shared" si="1"/>
        <v>929148.91187149996</v>
      </c>
    </row>
    <row r="87" spans="1:9" ht="15.75" x14ac:dyDescent="0.25">
      <c r="A87" s="8"/>
      <c r="B87" s="8"/>
      <c r="C87" s="9"/>
      <c r="D87" s="12" t="s">
        <v>83</v>
      </c>
      <c r="E87" s="17">
        <v>212353.31</v>
      </c>
      <c r="F87" s="17">
        <v>455339.38525550021</v>
      </c>
      <c r="G87" s="17">
        <v>97682.25</v>
      </c>
      <c r="H87" s="17">
        <v>0</v>
      </c>
      <c r="I87" s="13">
        <f t="shared" si="1"/>
        <v>765374.94525550026</v>
      </c>
    </row>
    <row r="88" spans="1:9" ht="15.75" x14ac:dyDescent="0.25">
      <c r="A88" s="8"/>
      <c r="B88" s="8"/>
      <c r="C88" s="9"/>
      <c r="D88" s="12" t="s">
        <v>84</v>
      </c>
      <c r="E88" s="17">
        <v>281097.61</v>
      </c>
      <c r="F88" s="17">
        <v>0</v>
      </c>
      <c r="G88" s="17">
        <v>982854.9600000002</v>
      </c>
      <c r="H88" s="17">
        <v>0</v>
      </c>
      <c r="I88" s="13">
        <f t="shared" si="1"/>
        <v>1263952.5700000003</v>
      </c>
    </row>
    <row r="89" spans="1:9" ht="15.75" x14ac:dyDescent="0.25">
      <c r="A89" s="8"/>
      <c r="B89" s="8"/>
      <c r="C89" s="9"/>
      <c r="D89" s="12" t="s">
        <v>85</v>
      </c>
      <c r="E89" s="17">
        <v>603119.45000000007</v>
      </c>
      <c r="F89" s="17">
        <v>446502.61485450016</v>
      </c>
      <c r="G89" s="17">
        <v>204028.87</v>
      </c>
      <c r="H89" s="17">
        <v>0</v>
      </c>
      <c r="I89" s="13">
        <f t="shared" si="1"/>
        <v>1253650.9348545005</v>
      </c>
    </row>
    <row r="90" spans="1:9" ht="15.75" x14ac:dyDescent="0.25">
      <c r="A90" s="8"/>
      <c r="B90" s="8"/>
      <c r="C90" s="9"/>
      <c r="D90" s="12" t="s">
        <v>86</v>
      </c>
      <c r="E90" s="17">
        <v>331512.48</v>
      </c>
      <c r="F90" s="17">
        <v>115531.77826650004</v>
      </c>
      <c r="G90" s="17">
        <v>213482.74000000005</v>
      </c>
      <c r="H90" s="17">
        <v>0</v>
      </c>
      <c r="I90" s="13">
        <f t="shared" si="1"/>
        <v>660526.99826650007</v>
      </c>
    </row>
    <row r="91" spans="1:9" ht="15.75" x14ac:dyDescent="0.25">
      <c r="A91" s="8"/>
      <c r="B91" s="8"/>
      <c r="C91" s="9"/>
      <c r="D91" s="12" t="s">
        <v>87</v>
      </c>
      <c r="E91" s="17">
        <v>839982.17</v>
      </c>
      <c r="F91" s="17">
        <v>263519.16261850006</v>
      </c>
      <c r="G91" s="17">
        <v>495630.23000000004</v>
      </c>
      <c r="H91" s="17">
        <v>0</v>
      </c>
      <c r="I91" s="13">
        <f t="shared" si="1"/>
        <v>1599131.5626185001</v>
      </c>
    </row>
    <row r="92" spans="1:9" ht="15.75" x14ac:dyDescent="0.25">
      <c r="A92" s="8"/>
      <c r="B92" s="8"/>
      <c r="C92" s="9"/>
      <c r="D92" s="12" t="s">
        <v>88</v>
      </c>
      <c r="E92" s="17">
        <v>28682.09</v>
      </c>
      <c r="F92" s="17">
        <v>36360.633720500016</v>
      </c>
      <c r="G92" s="17">
        <v>1283535.4300000002</v>
      </c>
      <c r="H92" s="17">
        <v>0</v>
      </c>
      <c r="I92" s="13">
        <f t="shared" si="1"/>
        <v>1348578.1537205002</v>
      </c>
    </row>
    <row r="93" spans="1:9" ht="15.75" x14ac:dyDescent="0.25">
      <c r="A93" s="8"/>
      <c r="B93" s="8"/>
      <c r="C93" s="9"/>
      <c r="D93" s="12" t="s">
        <v>89</v>
      </c>
      <c r="E93" s="17">
        <v>969735.35</v>
      </c>
      <c r="F93" s="17">
        <v>294610.20286750013</v>
      </c>
      <c r="G93" s="17">
        <v>145281.73000000001</v>
      </c>
      <c r="H93" s="17">
        <v>0</v>
      </c>
      <c r="I93" s="13">
        <f t="shared" si="1"/>
        <v>1409627.2828675001</v>
      </c>
    </row>
    <row r="94" spans="1:9" ht="15.75" x14ac:dyDescent="0.25">
      <c r="A94" s="8"/>
      <c r="B94" s="8"/>
      <c r="C94" s="9"/>
      <c r="D94" s="12" t="s">
        <v>90</v>
      </c>
      <c r="E94" s="17">
        <v>23213.300000000003</v>
      </c>
      <c r="F94" s="17">
        <v>0</v>
      </c>
      <c r="G94" s="17">
        <v>32725.54</v>
      </c>
      <c r="H94" s="17">
        <v>0</v>
      </c>
      <c r="I94" s="13">
        <f t="shared" si="1"/>
        <v>55938.840000000004</v>
      </c>
    </row>
    <row r="95" spans="1:9" ht="15.75" x14ac:dyDescent="0.25">
      <c r="A95" s="8"/>
      <c r="B95" s="8"/>
      <c r="C95" s="9"/>
      <c r="D95" s="12" t="s">
        <v>91</v>
      </c>
      <c r="E95" s="17">
        <v>184647.6</v>
      </c>
      <c r="F95" s="17">
        <v>9345.7402950000032</v>
      </c>
      <c r="G95" s="17">
        <v>1077947.1399999999</v>
      </c>
      <c r="H95" s="17">
        <v>0</v>
      </c>
      <c r="I95" s="13">
        <f t="shared" si="1"/>
        <v>1271940.4802949999</v>
      </c>
    </row>
    <row r="96" spans="1:9" ht="15.75" x14ac:dyDescent="0.25">
      <c r="A96" s="8"/>
      <c r="B96" s="8"/>
      <c r="C96" s="9"/>
      <c r="D96" s="12" t="s">
        <v>92</v>
      </c>
      <c r="E96" s="17">
        <v>0</v>
      </c>
      <c r="F96" s="17">
        <v>0</v>
      </c>
      <c r="G96" s="17">
        <v>2472565.7000000002</v>
      </c>
      <c r="H96" s="17">
        <v>0</v>
      </c>
      <c r="I96" s="13">
        <f t="shared" si="1"/>
        <v>2472565.7000000002</v>
      </c>
    </row>
    <row r="97" spans="1:9" ht="15.75" x14ac:dyDescent="0.25">
      <c r="A97" s="8"/>
      <c r="B97" s="8"/>
      <c r="C97" s="9"/>
      <c r="D97" s="12" t="s">
        <v>93</v>
      </c>
      <c r="E97" s="17">
        <v>208696.72999999998</v>
      </c>
      <c r="F97" s="17">
        <v>419658.84061750013</v>
      </c>
      <c r="G97" s="17">
        <v>170742.76</v>
      </c>
      <c r="H97" s="17">
        <v>0</v>
      </c>
      <c r="I97" s="13">
        <f t="shared" si="1"/>
        <v>799098.33061750012</v>
      </c>
    </row>
    <row r="98" spans="1:9" ht="15.75" x14ac:dyDescent="0.25">
      <c r="A98" s="8"/>
      <c r="B98" s="8"/>
      <c r="C98" s="9"/>
      <c r="D98" s="12" t="s">
        <v>94</v>
      </c>
      <c r="E98" s="17">
        <v>910697.21</v>
      </c>
      <c r="F98" s="17">
        <v>552012.95141500025</v>
      </c>
      <c r="G98" s="17">
        <v>1138525.4100000004</v>
      </c>
      <c r="H98" s="17">
        <v>0</v>
      </c>
      <c r="I98" s="13">
        <f t="shared" si="1"/>
        <v>2601235.5714150006</v>
      </c>
    </row>
    <row r="99" spans="1:9" ht="15.75" x14ac:dyDescent="0.25">
      <c r="A99" s="8"/>
      <c r="B99" s="8"/>
      <c r="C99" s="9"/>
      <c r="D99" s="12" t="s">
        <v>95</v>
      </c>
      <c r="E99" s="17">
        <v>1696596.52</v>
      </c>
      <c r="F99" s="17">
        <v>1051865.2640380003</v>
      </c>
      <c r="G99" s="17">
        <v>585074.72000000009</v>
      </c>
      <c r="H99" s="17">
        <v>0</v>
      </c>
      <c r="I99" s="13">
        <f t="shared" si="1"/>
        <v>3333536.5040380005</v>
      </c>
    </row>
    <row r="100" spans="1:9" ht="15.75" x14ac:dyDescent="0.25">
      <c r="A100" s="8"/>
      <c r="B100" s="8"/>
      <c r="C100" s="9"/>
      <c r="D100" s="12" t="s">
        <v>96</v>
      </c>
      <c r="E100" s="17">
        <v>933419.12999999989</v>
      </c>
      <c r="F100" s="17">
        <v>1052374.2339320004</v>
      </c>
      <c r="G100" s="17">
        <v>877411.29999999993</v>
      </c>
      <c r="H100" s="17">
        <v>0</v>
      </c>
      <c r="I100" s="13">
        <f t="shared" si="1"/>
        <v>2863204.6639320003</v>
      </c>
    </row>
    <row r="101" spans="1:9" ht="15.75" x14ac:dyDescent="0.25">
      <c r="A101" s="8"/>
      <c r="B101" s="8"/>
      <c r="C101" s="9"/>
      <c r="D101" s="12" t="s">
        <v>97</v>
      </c>
      <c r="E101" s="17">
        <v>176476.34</v>
      </c>
      <c r="F101" s="17">
        <v>1412215.9489900004</v>
      </c>
      <c r="G101" s="17">
        <v>9320.86</v>
      </c>
      <c r="H101" s="17">
        <v>0</v>
      </c>
      <c r="I101" s="13">
        <f t="shared" si="1"/>
        <v>1598013.1489900006</v>
      </c>
    </row>
    <row r="102" spans="1:9" ht="15.75" x14ac:dyDescent="0.25">
      <c r="A102" s="8"/>
      <c r="B102" s="8"/>
      <c r="C102" s="9"/>
      <c r="D102" s="12" t="s">
        <v>98</v>
      </c>
      <c r="E102" s="17">
        <v>1453552.97</v>
      </c>
      <c r="F102" s="17">
        <v>607231.79724250024</v>
      </c>
      <c r="G102" s="17">
        <v>512717.06</v>
      </c>
      <c r="H102" s="17">
        <v>0</v>
      </c>
      <c r="I102" s="13">
        <f t="shared" si="1"/>
        <v>2573501.8272425001</v>
      </c>
    </row>
    <row r="103" spans="1:9" ht="15.75" x14ac:dyDescent="0.25">
      <c r="A103" s="8"/>
      <c r="B103" s="8"/>
      <c r="C103" s="9"/>
      <c r="D103" s="12" t="s">
        <v>99</v>
      </c>
      <c r="E103" s="17">
        <v>286192.56</v>
      </c>
      <c r="F103" s="17">
        <v>192838.16242500008</v>
      </c>
      <c r="G103" s="17">
        <v>98471.41</v>
      </c>
      <c r="H103" s="17">
        <v>0</v>
      </c>
      <c r="I103" s="13">
        <f t="shared" si="1"/>
        <v>577502.13242500008</v>
      </c>
    </row>
    <row r="104" spans="1:9" ht="15.75" x14ac:dyDescent="0.25">
      <c r="A104" s="8"/>
      <c r="B104" s="8"/>
      <c r="C104" s="9"/>
      <c r="D104" s="12" t="s">
        <v>100</v>
      </c>
      <c r="E104" s="17">
        <v>2238986.9699999997</v>
      </c>
      <c r="F104" s="17">
        <v>352378.28583650012</v>
      </c>
      <c r="G104" s="17">
        <v>1420052.15</v>
      </c>
      <c r="H104" s="17">
        <v>0</v>
      </c>
      <c r="I104" s="13">
        <f t="shared" si="1"/>
        <v>4011417.4058364998</v>
      </c>
    </row>
    <row r="105" spans="1:9" ht="15.75" x14ac:dyDescent="0.25">
      <c r="A105" s="8"/>
      <c r="B105" s="8"/>
      <c r="C105" s="9"/>
      <c r="D105" s="12" t="s">
        <v>101</v>
      </c>
      <c r="E105" s="17">
        <v>344332.51</v>
      </c>
      <c r="F105" s="17">
        <v>523300.02911900019</v>
      </c>
      <c r="G105" s="17">
        <v>6565.0800000000008</v>
      </c>
      <c r="H105" s="17">
        <v>0</v>
      </c>
      <c r="I105" s="13">
        <f t="shared" si="1"/>
        <v>874197.61911900016</v>
      </c>
    </row>
    <row r="106" spans="1:9" ht="15.75" x14ac:dyDescent="0.25">
      <c r="A106" s="8"/>
      <c r="B106" s="8"/>
      <c r="C106" s="9"/>
      <c r="D106" s="12" t="s">
        <v>102</v>
      </c>
      <c r="E106" s="17">
        <v>1048873.1000000001</v>
      </c>
      <c r="F106" s="17">
        <v>32280.099225500009</v>
      </c>
      <c r="G106" s="17">
        <v>1677861.15</v>
      </c>
      <c r="H106" s="17">
        <v>0</v>
      </c>
      <c r="I106" s="13">
        <f t="shared" si="1"/>
        <v>2759014.3492254997</v>
      </c>
    </row>
    <row r="107" spans="1:9" ht="15.75" x14ac:dyDescent="0.25">
      <c r="A107" s="8"/>
      <c r="B107" s="8"/>
      <c r="C107" s="9"/>
      <c r="D107" s="12" t="s">
        <v>103</v>
      </c>
      <c r="E107" s="17">
        <v>0</v>
      </c>
      <c r="F107" s="17">
        <v>0</v>
      </c>
      <c r="G107" s="17">
        <v>441358.93000000005</v>
      </c>
      <c r="H107" s="17">
        <v>0</v>
      </c>
      <c r="I107" s="13">
        <f t="shared" si="1"/>
        <v>441358.93000000005</v>
      </c>
    </row>
    <row r="108" spans="1:9" ht="15.75" x14ac:dyDescent="0.25">
      <c r="A108" s="8"/>
      <c r="B108" s="8"/>
      <c r="C108" s="9"/>
      <c r="D108" s="12" t="s">
        <v>104</v>
      </c>
      <c r="E108" s="17">
        <v>103470.29999999999</v>
      </c>
      <c r="F108" s="17">
        <v>0</v>
      </c>
      <c r="G108" s="17">
        <v>118839.23</v>
      </c>
      <c r="H108" s="17">
        <v>0</v>
      </c>
      <c r="I108" s="13">
        <f t="shared" si="1"/>
        <v>222309.52999999997</v>
      </c>
    </row>
    <row r="109" spans="1:9" ht="15.75" x14ac:dyDescent="0.25">
      <c r="A109" s="8"/>
      <c r="B109" s="8"/>
      <c r="C109" s="9"/>
      <c r="D109" s="12" t="s">
        <v>105</v>
      </c>
      <c r="E109" s="17">
        <v>110415.29999999999</v>
      </c>
      <c r="F109" s="17">
        <v>841695.79918800038</v>
      </c>
      <c r="G109" s="17">
        <v>114285.72999999998</v>
      </c>
      <c r="H109" s="17">
        <v>0</v>
      </c>
      <c r="I109" s="13">
        <f t="shared" si="1"/>
        <v>1066396.8291880004</v>
      </c>
    </row>
    <row r="110" spans="1:9" ht="15.75" x14ac:dyDescent="0.25">
      <c r="A110" s="8"/>
      <c r="B110" s="8"/>
      <c r="C110" s="9"/>
      <c r="D110" s="12" t="s">
        <v>106</v>
      </c>
      <c r="E110" s="17">
        <v>285802.59999999998</v>
      </c>
      <c r="F110" s="17">
        <v>206769.01943750007</v>
      </c>
      <c r="G110" s="17">
        <v>95219.78</v>
      </c>
      <c r="H110" s="17">
        <v>0</v>
      </c>
      <c r="I110" s="13">
        <f t="shared" si="1"/>
        <v>587791.39943750005</v>
      </c>
    </row>
    <row r="111" spans="1:9" ht="15.75" x14ac:dyDescent="0.25">
      <c r="A111" s="8"/>
      <c r="B111" s="8"/>
      <c r="C111" s="9"/>
      <c r="D111" s="12" t="s">
        <v>107</v>
      </c>
      <c r="E111" s="17">
        <v>491.18</v>
      </c>
      <c r="F111" s="17">
        <v>3229.3262240000013</v>
      </c>
      <c r="G111" s="17">
        <v>2883328.8299999996</v>
      </c>
      <c r="H111" s="17">
        <v>0</v>
      </c>
      <c r="I111" s="13">
        <f t="shared" si="1"/>
        <v>2887049.3362239995</v>
      </c>
    </row>
    <row r="112" spans="1:9" ht="15.75" x14ac:dyDescent="0.25">
      <c r="A112" s="8"/>
      <c r="B112" s="8"/>
      <c r="C112" s="9"/>
      <c r="D112" s="12" t="s">
        <v>108</v>
      </c>
      <c r="E112" s="17">
        <v>622053.78999999992</v>
      </c>
      <c r="F112" s="17">
        <v>220870.99563850008</v>
      </c>
      <c r="G112" s="17">
        <v>261554.29</v>
      </c>
      <c r="H112" s="17">
        <v>0</v>
      </c>
      <c r="I112" s="13">
        <f t="shared" si="1"/>
        <v>1104479.0756385</v>
      </c>
    </row>
    <row r="113" spans="1:9" ht="15.75" x14ac:dyDescent="0.25">
      <c r="A113" s="8"/>
      <c r="B113" s="8"/>
      <c r="C113" s="9"/>
      <c r="D113" s="12" t="s">
        <v>109</v>
      </c>
      <c r="E113" s="17">
        <v>394742.89</v>
      </c>
      <c r="F113" s="17">
        <v>531794.56114300014</v>
      </c>
      <c r="G113" s="17">
        <v>207706.67999999996</v>
      </c>
      <c r="H113" s="17">
        <v>0</v>
      </c>
      <c r="I113" s="13">
        <f t="shared" si="1"/>
        <v>1134244.1311430002</v>
      </c>
    </row>
    <row r="114" spans="1:9" ht="15.75" x14ac:dyDescent="0.25">
      <c r="A114" s="8"/>
      <c r="B114" s="8"/>
      <c r="C114" s="9"/>
      <c r="D114" s="12" t="s">
        <v>110</v>
      </c>
      <c r="E114" s="17">
        <v>661443.77</v>
      </c>
      <c r="F114" s="17">
        <v>609947.76590100024</v>
      </c>
      <c r="G114" s="17">
        <v>365786.07</v>
      </c>
      <c r="H114" s="17">
        <v>0</v>
      </c>
      <c r="I114" s="13">
        <f t="shared" si="1"/>
        <v>1637177.6059010003</v>
      </c>
    </row>
    <row r="115" spans="1:9" ht="15.75" x14ac:dyDescent="0.25">
      <c r="A115" s="8"/>
      <c r="B115" s="8"/>
      <c r="C115" s="9"/>
      <c r="D115" s="12" t="s">
        <v>111</v>
      </c>
      <c r="E115" s="17">
        <v>969313.14000000013</v>
      </c>
      <c r="F115" s="17">
        <v>301577.82520950009</v>
      </c>
      <c r="G115" s="17">
        <v>621597.93999999994</v>
      </c>
      <c r="H115" s="17">
        <v>0</v>
      </c>
      <c r="I115" s="13">
        <f t="shared" si="1"/>
        <v>1892488.9052095001</v>
      </c>
    </row>
    <row r="116" spans="1:9" ht="15.75" x14ac:dyDescent="0.25">
      <c r="A116" s="8"/>
      <c r="B116" s="8"/>
      <c r="C116" s="9"/>
      <c r="D116" s="12" t="s">
        <v>112</v>
      </c>
      <c r="E116" s="17">
        <v>250143.01</v>
      </c>
      <c r="F116" s="17">
        <v>391626.00740400015</v>
      </c>
      <c r="G116" s="17">
        <v>141389.15000000002</v>
      </c>
      <c r="H116" s="17">
        <v>0</v>
      </c>
      <c r="I116" s="13">
        <f t="shared" si="1"/>
        <v>783158.16740400018</v>
      </c>
    </row>
    <row r="117" spans="1:9" ht="15.75" x14ac:dyDescent="0.25">
      <c r="A117" s="8"/>
      <c r="B117" s="8"/>
      <c r="C117" s="9"/>
      <c r="D117" s="12" t="s">
        <v>113</v>
      </c>
      <c r="E117" s="17">
        <v>448580.4</v>
      </c>
      <c r="F117" s="17">
        <v>302424.64580900013</v>
      </c>
      <c r="G117" s="17">
        <v>332536.8</v>
      </c>
      <c r="H117" s="17">
        <v>0</v>
      </c>
      <c r="I117" s="13">
        <f t="shared" si="1"/>
        <v>1083541.8458090001</v>
      </c>
    </row>
    <row r="118" spans="1:9" ht="15.75" x14ac:dyDescent="0.25">
      <c r="A118" s="8"/>
      <c r="B118" s="8"/>
      <c r="C118" s="9"/>
      <c r="D118" s="12" t="s">
        <v>114</v>
      </c>
      <c r="E118" s="17">
        <v>736781.97000000009</v>
      </c>
      <c r="F118" s="17">
        <v>472328.44930350012</v>
      </c>
      <c r="G118" s="17">
        <v>388880.26</v>
      </c>
      <c r="H118" s="17">
        <v>0</v>
      </c>
      <c r="I118" s="13">
        <f t="shared" si="1"/>
        <v>1597990.6793035001</v>
      </c>
    </row>
    <row r="119" spans="1:9" ht="15.75" x14ac:dyDescent="0.25">
      <c r="A119" s="8"/>
      <c r="B119" s="8"/>
      <c r="C119" s="9"/>
      <c r="D119" s="12" t="s">
        <v>115</v>
      </c>
      <c r="E119" s="17">
        <v>34382.43</v>
      </c>
      <c r="F119" s="17">
        <v>45873.10553250002</v>
      </c>
      <c r="G119" s="17">
        <v>267903.20000000007</v>
      </c>
      <c r="H119" s="17">
        <v>0</v>
      </c>
      <c r="I119" s="13">
        <f t="shared" si="1"/>
        <v>348158.73553250008</v>
      </c>
    </row>
    <row r="120" spans="1:9" ht="15.75" x14ac:dyDescent="0.25">
      <c r="A120" s="8"/>
      <c r="B120" s="8"/>
      <c r="C120" s="9"/>
      <c r="D120" s="12" t="s">
        <v>116</v>
      </c>
      <c r="E120" s="17">
        <v>1704936.6199999996</v>
      </c>
      <c r="F120" s="17">
        <v>200485.87384950006</v>
      </c>
      <c r="G120" s="17">
        <v>398827.13000000006</v>
      </c>
      <c r="H120" s="17">
        <v>0</v>
      </c>
      <c r="I120" s="13">
        <f t="shared" si="1"/>
        <v>2304249.6238494995</v>
      </c>
    </row>
    <row r="121" spans="1:9" ht="15.75" x14ac:dyDescent="0.25">
      <c r="A121" s="8"/>
      <c r="B121" s="8"/>
      <c r="C121" s="9"/>
      <c r="D121" s="12" t="s">
        <v>117</v>
      </c>
      <c r="E121" s="17">
        <v>479161.43999999994</v>
      </c>
      <c r="F121" s="17">
        <v>297497.29071450012</v>
      </c>
      <c r="G121" s="17">
        <v>222758.6</v>
      </c>
      <c r="H121" s="17">
        <v>0</v>
      </c>
      <c r="I121" s="13">
        <f t="shared" si="1"/>
        <v>999417.33071450004</v>
      </c>
    </row>
    <row r="122" spans="1:9" ht="15.75" x14ac:dyDescent="0.25">
      <c r="A122" s="8"/>
      <c r="B122" s="8"/>
      <c r="C122" s="9"/>
      <c r="D122" s="12" t="s">
        <v>118</v>
      </c>
      <c r="E122" s="17">
        <v>448091.77</v>
      </c>
      <c r="F122" s="17">
        <v>219344.08595650009</v>
      </c>
      <c r="G122" s="17">
        <v>350640.8</v>
      </c>
      <c r="H122" s="17">
        <v>0</v>
      </c>
      <c r="I122" s="13">
        <f t="shared" si="1"/>
        <v>1018076.6559565002</v>
      </c>
    </row>
    <row r="123" spans="1:9" ht="15.75" x14ac:dyDescent="0.25">
      <c r="A123" s="8"/>
      <c r="B123" s="8"/>
      <c r="C123" s="9"/>
      <c r="D123" s="12" t="s">
        <v>119</v>
      </c>
      <c r="E123" s="17">
        <v>908646.2</v>
      </c>
      <c r="F123" s="17">
        <v>403007.62727500015</v>
      </c>
      <c r="G123" s="17">
        <v>113889.3</v>
      </c>
      <c r="H123" s="17">
        <v>0</v>
      </c>
      <c r="I123" s="13">
        <f t="shared" si="1"/>
        <v>1425543.1272750001</v>
      </c>
    </row>
    <row r="124" spans="1:9" ht="15.75" x14ac:dyDescent="0.25">
      <c r="A124" s="8"/>
      <c r="B124" s="8"/>
      <c r="C124" s="9"/>
      <c r="D124" s="12" t="s">
        <v>120</v>
      </c>
      <c r="E124" s="17">
        <v>83178.98</v>
      </c>
      <c r="F124" s="17">
        <v>0</v>
      </c>
      <c r="G124" s="17">
        <v>1076616.9100000001</v>
      </c>
      <c r="H124" s="17">
        <v>794794.42500000016</v>
      </c>
      <c r="I124" s="13">
        <f t="shared" si="1"/>
        <v>1954590.3150000004</v>
      </c>
    </row>
    <row r="125" spans="1:9" ht="15.75" x14ac:dyDescent="0.25">
      <c r="A125" s="8"/>
      <c r="B125" s="8"/>
      <c r="C125" s="9"/>
      <c r="D125" s="12" t="s">
        <v>121</v>
      </c>
      <c r="E125" s="17">
        <v>0</v>
      </c>
      <c r="F125" s="17">
        <v>0</v>
      </c>
      <c r="G125" s="17">
        <v>3324178.3899999997</v>
      </c>
      <c r="H125" s="17">
        <v>151648.68499999997</v>
      </c>
      <c r="I125" s="13">
        <f t="shared" si="1"/>
        <v>3475827.0749999997</v>
      </c>
    </row>
    <row r="126" spans="1:9" ht="15.75" x14ac:dyDescent="0.25">
      <c r="A126" s="8"/>
      <c r="B126" s="8"/>
      <c r="C126" s="9"/>
      <c r="D126" s="12" t="s">
        <v>122</v>
      </c>
      <c r="E126" s="17">
        <v>4602.58</v>
      </c>
      <c r="F126" s="17">
        <v>0</v>
      </c>
      <c r="G126" s="17">
        <v>1270876.32</v>
      </c>
      <c r="H126" s="17">
        <v>0</v>
      </c>
      <c r="I126" s="13">
        <f t="shared" si="1"/>
        <v>1275478.9000000001</v>
      </c>
    </row>
    <row r="127" spans="1:9" ht="15.75" x14ac:dyDescent="0.25">
      <c r="A127" s="8"/>
      <c r="B127" s="8"/>
      <c r="C127" s="9"/>
      <c r="D127" s="12" t="s">
        <v>123</v>
      </c>
      <c r="E127" s="17">
        <v>486126.45999999996</v>
      </c>
      <c r="F127" s="17">
        <v>84949.707911500038</v>
      </c>
      <c r="G127" s="17">
        <v>9835727.7799999993</v>
      </c>
      <c r="H127" s="17">
        <v>0</v>
      </c>
      <c r="I127" s="13">
        <f t="shared" si="1"/>
        <v>10406803.947911499</v>
      </c>
    </row>
    <row r="128" spans="1:9" ht="15.75" x14ac:dyDescent="0.25">
      <c r="A128" s="8"/>
      <c r="B128" s="8"/>
      <c r="C128" s="9"/>
      <c r="D128" s="12" t="s">
        <v>124</v>
      </c>
      <c r="E128" s="17">
        <v>886959.51</v>
      </c>
      <c r="F128" s="17">
        <v>265046.07230050012</v>
      </c>
      <c r="G128" s="17">
        <v>438872.77</v>
      </c>
      <c r="H128" s="17">
        <v>0</v>
      </c>
      <c r="I128" s="13">
        <f t="shared" si="1"/>
        <v>1590878.3523005</v>
      </c>
    </row>
    <row r="129" spans="1:9" ht="15.75" x14ac:dyDescent="0.25">
      <c r="A129" s="8"/>
      <c r="B129" s="8"/>
      <c r="C129" s="9"/>
      <c r="D129" s="12" t="s">
        <v>125</v>
      </c>
      <c r="E129" s="17">
        <v>234770.73</v>
      </c>
      <c r="F129" s="17">
        <v>128277.96397400004</v>
      </c>
      <c r="G129" s="17">
        <v>239407.05</v>
      </c>
      <c r="H129" s="17">
        <v>0</v>
      </c>
      <c r="I129" s="13">
        <f t="shared" si="1"/>
        <v>602455.74397399998</v>
      </c>
    </row>
    <row r="130" spans="1:9" ht="15.75" x14ac:dyDescent="0.25">
      <c r="A130" s="8"/>
      <c r="B130" s="8"/>
      <c r="C130" s="9"/>
      <c r="D130" s="12" t="s">
        <v>126</v>
      </c>
      <c r="E130" s="17">
        <v>151373.26999999999</v>
      </c>
      <c r="F130" s="17">
        <v>225969.46992150007</v>
      </c>
      <c r="G130" s="17">
        <v>102114.69999999998</v>
      </c>
      <c r="H130" s="17">
        <v>0</v>
      </c>
      <c r="I130" s="13">
        <f t="shared" si="1"/>
        <v>479457.43992150004</v>
      </c>
    </row>
    <row r="131" spans="1:9" ht="15.75" x14ac:dyDescent="0.25">
      <c r="A131" s="8"/>
      <c r="B131" s="8"/>
      <c r="C131" s="9"/>
      <c r="D131" s="12" t="s">
        <v>127</v>
      </c>
      <c r="E131" s="17">
        <v>1616143.1099999999</v>
      </c>
      <c r="F131" s="17">
        <v>1235019.8354625003</v>
      </c>
      <c r="G131" s="17">
        <v>2217548.7599999998</v>
      </c>
      <c r="H131" s="17">
        <v>0</v>
      </c>
      <c r="I131" s="13">
        <f t="shared" si="1"/>
        <v>5068711.7054625005</v>
      </c>
    </row>
    <row r="132" spans="1:9" ht="15.75" x14ac:dyDescent="0.25">
      <c r="A132" s="8"/>
      <c r="B132" s="8"/>
      <c r="C132" s="9"/>
      <c r="D132" s="12" t="s">
        <v>128</v>
      </c>
      <c r="E132" s="17">
        <v>282530.82</v>
      </c>
      <c r="F132" s="17">
        <v>757764.03106450033</v>
      </c>
      <c r="G132" s="17">
        <v>63542.340000000004</v>
      </c>
      <c r="H132" s="17">
        <v>0</v>
      </c>
      <c r="I132" s="13">
        <f t="shared" si="1"/>
        <v>1103837.1910645005</v>
      </c>
    </row>
    <row r="133" spans="1:9" ht="15.75" x14ac:dyDescent="0.25">
      <c r="A133" s="8"/>
      <c r="B133" s="8"/>
      <c r="C133" s="9"/>
      <c r="D133" s="12" t="s">
        <v>129</v>
      </c>
      <c r="E133" s="17">
        <v>193237.2</v>
      </c>
      <c r="F133" s="17">
        <v>0</v>
      </c>
      <c r="G133" s="17">
        <v>2649053.2000000002</v>
      </c>
      <c r="H133" s="17">
        <v>680942.07000000007</v>
      </c>
      <c r="I133" s="13">
        <f t="shared" si="1"/>
        <v>3523232.4700000007</v>
      </c>
    </row>
    <row r="134" spans="1:9" ht="15.75" x14ac:dyDescent="0.25">
      <c r="A134" s="8"/>
      <c r="B134" s="8"/>
      <c r="C134" s="9"/>
      <c r="D134" s="12" t="s">
        <v>130</v>
      </c>
      <c r="E134" s="17">
        <v>93591.94</v>
      </c>
      <c r="F134" s="17">
        <v>37378.573508500012</v>
      </c>
      <c r="G134" s="17">
        <v>8326.82</v>
      </c>
      <c r="H134" s="17">
        <v>0</v>
      </c>
      <c r="I134" s="13">
        <f t="shared" si="1"/>
        <v>139297.33350850001</v>
      </c>
    </row>
    <row r="135" spans="1:9" ht="15.75" x14ac:dyDescent="0.25">
      <c r="A135" s="8"/>
      <c r="B135" s="8"/>
      <c r="C135" s="9"/>
      <c r="D135" s="12" t="s">
        <v>131</v>
      </c>
      <c r="E135" s="17">
        <v>315473.88999999996</v>
      </c>
      <c r="F135" s="17">
        <v>472328.44930350012</v>
      </c>
      <c r="G135" s="17">
        <v>91084.39</v>
      </c>
      <c r="H135" s="17">
        <v>0</v>
      </c>
      <c r="I135" s="13">
        <f t="shared" si="1"/>
        <v>878886.72930350003</v>
      </c>
    </row>
    <row r="136" spans="1:9" ht="15.75" x14ac:dyDescent="0.25">
      <c r="A136" s="8"/>
      <c r="B136" s="8"/>
      <c r="C136" s="9"/>
      <c r="D136" s="12" t="s">
        <v>132</v>
      </c>
      <c r="E136" s="17">
        <v>891521.01</v>
      </c>
      <c r="F136" s="17">
        <v>570871.16352200019</v>
      </c>
      <c r="G136" s="17">
        <v>785721.25000000012</v>
      </c>
      <c r="H136" s="17">
        <v>0</v>
      </c>
      <c r="I136" s="13">
        <f t="shared" si="1"/>
        <v>2248113.4235220002</v>
      </c>
    </row>
    <row r="137" spans="1:9" ht="15.75" x14ac:dyDescent="0.25">
      <c r="A137" s="8"/>
      <c r="B137" s="8"/>
      <c r="C137" s="9"/>
      <c r="D137" s="12" t="s">
        <v>133</v>
      </c>
      <c r="E137" s="17">
        <v>1152083.5799999998</v>
      </c>
      <c r="F137" s="17">
        <v>897594.73409800045</v>
      </c>
      <c r="G137" s="17">
        <v>1078835.8799999999</v>
      </c>
      <c r="H137" s="17">
        <v>0</v>
      </c>
      <c r="I137" s="13">
        <f t="shared" si="1"/>
        <v>3128514.1940980004</v>
      </c>
    </row>
    <row r="138" spans="1:9" ht="15.75" x14ac:dyDescent="0.25">
      <c r="A138" s="8"/>
      <c r="B138" s="8"/>
      <c r="C138" s="9"/>
      <c r="D138" s="12" t="s">
        <v>134</v>
      </c>
      <c r="E138" s="17">
        <v>0</v>
      </c>
      <c r="F138" s="17">
        <v>0</v>
      </c>
      <c r="G138" s="17">
        <v>2170500.94</v>
      </c>
      <c r="H138" s="17">
        <v>0</v>
      </c>
      <c r="I138" s="13">
        <f t="shared" ref="I138:I144" si="2">SUM(E138:H138)</f>
        <v>2170500.94</v>
      </c>
    </row>
    <row r="139" spans="1:9" ht="15.75" x14ac:dyDescent="0.25">
      <c r="A139" s="8"/>
      <c r="B139" s="8"/>
      <c r="C139" s="9"/>
      <c r="D139" s="12" t="s">
        <v>135</v>
      </c>
      <c r="E139" s="17">
        <v>132908.41999999998</v>
      </c>
      <c r="F139" s="17">
        <v>134394.37804500005</v>
      </c>
      <c r="G139" s="17">
        <v>151614.26999999999</v>
      </c>
      <c r="H139" s="17">
        <v>0</v>
      </c>
      <c r="I139" s="13">
        <f t="shared" si="2"/>
        <v>418917.06804500008</v>
      </c>
    </row>
    <row r="140" spans="1:9" ht="15.75" x14ac:dyDescent="0.25">
      <c r="A140" s="8"/>
      <c r="B140" s="8"/>
      <c r="C140" s="9"/>
      <c r="D140" s="12" t="s">
        <v>136</v>
      </c>
      <c r="E140" s="17">
        <v>1326302.01</v>
      </c>
      <c r="F140" s="17">
        <v>953151.43063100032</v>
      </c>
      <c r="G140" s="17">
        <v>454552.36</v>
      </c>
      <c r="H140" s="17">
        <v>0</v>
      </c>
      <c r="I140" s="13">
        <f t="shared" si="2"/>
        <v>2734005.8006310002</v>
      </c>
    </row>
    <row r="141" spans="1:9" ht="15.75" x14ac:dyDescent="0.25">
      <c r="A141" s="8"/>
      <c r="B141" s="8"/>
      <c r="C141" s="9"/>
      <c r="D141" s="12" t="s">
        <v>137</v>
      </c>
      <c r="E141" s="17">
        <v>0</v>
      </c>
      <c r="F141" s="17">
        <v>0</v>
      </c>
      <c r="G141" s="17">
        <v>2593544.8299999996</v>
      </c>
      <c r="H141" s="17">
        <v>116427.78499999999</v>
      </c>
      <c r="I141" s="13">
        <f t="shared" si="2"/>
        <v>2709972.6149999998</v>
      </c>
    </row>
    <row r="142" spans="1:9" ht="15.75" x14ac:dyDescent="0.25">
      <c r="A142" s="8"/>
      <c r="B142" s="8"/>
      <c r="C142" s="9"/>
      <c r="D142" s="12" t="s">
        <v>138</v>
      </c>
      <c r="E142" s="17">
        <v>1563.68</v>
      </c>
      <c r="F142" s="17">
        <v>0</v>
      </c>
      <c r="G142" s="17">
        <v>287659.28000000003</v>
      </c>
      <c r="H142" s="17">
        <v>0</v>
      </c>
      <c r="I142" s="13">
        <f t="shared" si="2"/>
        <v>289222.96000000002</v>
      </c>
    </row>
    <row r="143" spans="1:9" ht="15.75" x14ac:dyDescent="0.25">
      <c r="A143" s="8"/>
      <c r="B143" s="8"/>
      <c r="C143" s="9"/>
      <c r="D143" s="12" t="s">
        <v>139</v>
      </c>
      <c r="E143" s="17">
        <v>72064.049999999988</v>
      </c>
      <c r="F143" s="17">
        <v>880943.5207555003</v>
      </c>
      <c r="G143" s="17">
        <v>69614.739999999991</v>
      </c>
      <c r="H143" s="17">
        <v>0</v>
      </c>
      <c r="I143" s="13">
        <f t="shared" si="2"/>
        <v>1022622.3107555003</v>
      </c>
    </row>
    <row r="144" spans="1:9" ht="15.75" x14ac:dyDescent="0.25">
      <c r="A144" s="8"/>
      <c r="B144" s="8"/>
      <c r="C144" s="9"/>
      <c r="D144" s="12" t="s">
        <v>140</v>
      </c>
      <c r="E144" s="17">
        <v>803802.53</v>
      </c>
      <c r="F144" s="17">
        <v>107037.24624250004</v>
      </c>
      <c r="G144" s="17">
        <v>589870.69000000006</v>
      </c>
      <c r="H144" s="17">
        <v>0</v>
      </c>
      <c r="I144" s="13">
        <f t="shared" si="2"/>
        <v>1500710.4662425001</v>
      </c>
    </row>
    <row r="145" spans="3:10" s="2" customFormat="1" ht="24.75" customHeight="1" x14ac:dyDescent="0.2">
      <c r="C145" s="10"/>
      <c r="D145" s="21" t="s">
        <v>141</v>
      </c>
      <c r="E145" s="22">
        <f>SUM(E10:E144)</f>
        <v>73745758.38000001</v>
      </c>
      <c r="F145" s="22">
        <f>SUM(F10:F144)</f>
        <v>43874679.12042401</v>
      </c>
      <c r="G145" s="22">
        <f>SUM(G10:G144)</f>
        <v>112024563.77999999</v>
      </c>
      <c r="H145" s="22">
        <f>SUM(H10:H144)</f>
        <v>1743812.9650000001</v>
      </c>
      <c r="I145" s="22">
        <f>SUM(I10:I144)</f>
        <v>231388814.24542394</v>
      </c>
      <c r="J145" s="11"/>
    </row>
  </sheetData>
  <customSheetViews>
    <customSheetView guid="{F1F511AB-5865-40AB-8DB4-DDEDE7CBB603}" scale="80" showGridLines="0" fitToPage="1">
      <pane xSplit="4" ySplit="9" topLeftCell="E133" activePane="bottomRight" state="frozen"/>
      <selection pane="bottomRight" activeCell="G29" sqref="G29"/>
      <pageMargins left="0" right="0" top="0.19685039370078741" bottom="0.43307086614173229" header="0.15748031496062992" footer="0"/>
      <printOptions horizontalCentered="1"/>
      <pageSetup paperSize="9" scale="85" fitToHeight="7" orientation="landscape" horizontalDpi="300" verticalDpi="300" r:id="rId1"/>
      <headerFooter alignWithMargins="0">
        <oddFooter>&amp;C&amp;"Arial,Negrita"&amp;K09-024Ministerio de Economía &amp;"Arial,Normal"&amp;K000000| Subsecretaría de Coordinación Económica | Dirección Provincial de Coordinación Municipal&amp;R&amp;P</oddFooter>
      </headerFooter>
    </customSheetView>
    <customSheetView guid="{1154F945-E781-4016-ADEC-250E9B61A614}" scale="80" showGridLines="0" fitToPage="1">
      <pane xSplit="4" ySplit="9" topLeftCell="E10" activePane="bottomRight" state="frozen"/>
      <selection pane="bottomRight" activeCell="D10" sqref="D10"/>
      <pageMargins left="0" right="0" top="0.19685039370078741" bottom="0.39370078740157483" header="0" footer="0"/>
      <printOptions horizontalCentered="1"/>
      <pageSetup paperSize="9" scale="85" fitToHeight="7" orientation="landscape" horizontalDpi="300" verticalDpi="300" r:id="rId2"/>
      <headerFooter alignWithMargins="0">
        <oddFooter>&amp;C&amp;"Arial,Negrita"&amp;K09-023SUBSECRETARÍA DE COORDINACIÓN ECONÓMICA
Dirección Provincial de Coordinación Municipal &amp;R&amp;P</oddFooter>
      </headerFooter>
    </customSheetView>
  </customSheetViews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4" fitToHeight="7" orientation="portrait" r:id="rId3"/>
  <headerFooter alignWithMargins="0">
    <oddFooter>&amp;C&amp;"Arial,Normal"&amp;9Subsecretaría de Coordinación Económica y Estadística
MINISTERIO DE HACIENDA Y FINANZAS&amp;R&amp;P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3.5" customHeight="1" x14ac:dyDescent="0.2">
      <c r="B2" s="2"/>
      <c r="C2" s="2"/>
      <c r="D2" s="15"/>
      <c r="E2" s="15"/>
      <c r="F2" s="15"/>
      <c r="G2" s="15"/>
      <c r="H2" s="15"/>
      <c r="I2" s="15"/>
    </row>
    <row r="3" spans="1:9" ht="8.25" customHeight="1" x14ac:dyDescent="0.2"/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164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228993.96</v>
      </c>
      <c r="F10" s="14">
        <v>1038695.5972451061</v>
      </c>
      <c r="G10" s="14">
        <v>306705.87</v>
      </c>
      <c r="H10" s="14">
        <v>0</v>
      </c>
      <c r="I10" s="13">
        <f t="shared" ref="I10:I73" si="0">SUM(E10:H10)</f>
        <v>1574395.4272451061</v>
      </c>
    </row>
    <row r="11" spans="1:9" ht="15.75" x14ac:dyDescent="0.25">
      <c r="A11" s="8"/>
      <c r="B11" s="8"/>
      <c r="C11" s="9"/>
      <c r="D11" s="12" t="s">
        <v>7</v>
      </c>
      <c r="E11" s="14">
        <v>277526.78999999998</v>
      </c>
      <c r="F11" s="14">
        <v>582995.28510394413</v>
      </c>
      <c r="G11" s="14">
        <v>364500.51999999996</v>
      </c>
      <c r="H11" s="14">
        <v>0</v>
      </c>
      <c r="I11" s="13">
        <f t="shared" si="0"/>
        <v>1225022.5951039442</v>
      </c>
    </row>
    <row r="12" spans="1:9" ht="15.75" x14ac:dyDescent="0.25">
      <c r="A12" s="8"/>
      <c r="B12" s="8"/>
      <c r="C12" s="9"/>
      <c r="D12" s="12" t="s">
        <v>8</v>
      </c>
      <c r="E12" s="14">
        <v>267377.01</v>
      </c>
      <c r="F12" s="14">
        <v>211352.87774676603</v>
      </c>
      <c r="G12" s="14">
        <v>194423.29</v>
      </c>
      <c r="H12" s="14">
        <v>0</v>
      </c>
      <c r="I12" s="13">
        <f t="shared" si="0"/>
        <v>673153.17774676601</v>
      </c>
    </row>
    <row r="13" spans="1:9" ht="15.75" x14ac:dyDescent="0.25">
      <c r="A13" s="8"/>
      <c r="B13" s="8"/>
      <c r="C13" s="9"/>
      <c r="D13" s="12" t="s">
        <v>9</v>
      </c>
      <c r="E13" s="14">
        <v>433579.60000000003</v>
      </c>
      <c r="F13" s="14">
        <v>5592.9503755720007</v>
      </c>
      <c r="G13" s="14">
        <v>2113248.08</v>
      </c>
      <c r="H13" s="14">
        <v>0</v>
      </c>
      <c r="I13" s="13">
        <f t="shared" si="0"/>
        <v>2552420.630375572</v>
      </c>
    </row>
    <row r="14" spans="1:9" ht="15.75" x14ac:dyDescent="0.25">
      <c r="A14" s="8"/>
      <c r="B14" s="8"/>
      <c r="C14" s="9"/>
      <c r="D14" s="12" t="s">
        <v>10</v>
      </c>
      <c r="E14" s="14">
        <v>528263.88</v>
      </c>
      <c r="F14" s="14">
        <v>234836.53082973999</v>
      </c>
      <c r="G14" s="14">
        <v>380432.61999999994</v>
      </c>
      <c r="H14" s="14">
        <v>0</v>
      </c>
      <c r="I14" s="13">
        <f t="shared" si="0"/>
        <v>1143533.03082974</v>
      </c>
    </row>
    <row r="15" spans="1:9" ht="15.75" x14ac:dyDescent="0.25">
      <c r="A15" s="8"/>
      <c r="B15" s="8"/>
      <c r="C15" s="9"/>
      <c r="D15" s="12" t="s">
        <v>11</v>
      </c>
      <c r="E15" s="14">
        <v>12331.92</v>
      </c>
      <c r="F15" s="14">
        <v>1304.3799929260003</v>
      </c>
      <c r="G15" s="14">
        <v>2065664.0400000003</v>
      </c>
      <c r="H15" s="14">
        <v>0</v>
      </c>
      <c r="I15" s="13">
        <f t="shared" si="0"/>
        <v>2079300.3399929262</v>
      </c>
    </row>
    <row r="16" spans="1:9" ht="15.75" x14ac:dyDescent="0.25">
      <c r="A16" s="8"/>
      <c r="B16" s="8"/>
      <c r="C16" s="9"/>
      <c r="D16" s="12" t="s">
        <v>12</v>
      </c>
      <c r="E16" s="14">
        <v>526775.80999999994</v>
      </c>
      <c r="F16" s="14">
        <v>1119769.3116393702</v>
      </c>
      <c r="G16" s="14">
        <v>518096.26</v>
      </c>
      <c r="H16" s="14">
        <v>0</v>
      </c>
      <c r="I16" s="13">
        <f t="shared" si="0"/>
        <v>2164641.3816393698</v>
      </c>
    </row>
    <row r="17" spans="1:9" ht="15.75" x14ac:dyDescent="0.25">
      <c r="A17" s="8"/>
      <c r="B17" s="8"/>
      <c r="C17" s="9"/>
      <c r="D17" s="12" t="s">
        <v>13</v>
      </c>
      <c r="E17" s="14">
        <v>1106488.8099999998</v>
      </c>
      <c r="F17" s="14">
        <v>1028818.8896971941</v>
      </c>
      <c r="G17" s="14">
        <v>919542.62999999989</v>
      </c>
      <c r="H17" s="14">
        <v>0</v>
      </c>
      <c r="I17" s="13">
        <f t="shared" si="0"/>
        <v>3054850.3296971936</v>
      </c>
    </row>
    <row r="18" spans="1:9" ht="15.75" x14ac:dyDescent="0.25">
      <c r="A18" s="8"/>
      <c r="B18" s="8"/>
      <c r="C18" s="9"/>
      <c r="D18" s="12" t="s">
        <v>14</v>
      </c>
      <c r="E18" s="14">
        <v>92762.950000000026</v>
      </c>
      <c r="F18" s="14">
        <v>83870.189582049992</v>
      </c>
      <c r="G18" s="14">
        <v>4302039.540000001</v>
      </c>
      <c r="H18" s="14">
        <v>0</v>
      </c>
      <c r="I18" s="13">
        <f t="shared" si="0"/>
        <v>4478672.679582051</v>
      </c>
    </row>
    <row r="19" spans="1:9" ht="15.75" x14ac:dyDescent="0.25">
      <c r="A19" s="8"/>
      <c r="B19" s="8"/>
      <c r="C19" s="9"/>
      <c r="D19" s="12" t="s">
        <v>15</v>
      </c>
      <c r="E19" s="14">
        <v>1377358.07</v>
      </c>
      <c r="F19" s="14">
        <v>800504.25883208413</v>
      </c>
      <c r="G19" s="14">
        <v>780681.70000000007</v>
      </c>
      <c r="H19" s="14">
        <v>0</v>
      </c>
      <c r="I19" s="13">
        <f t="shared" si="0"/>
        <v>2958544.0288320845</v>
      </c>
    </row>
    <row r="20" spans="1:9" ht="15.75" x14ac:dyDescent="0.25">
      <c r="A20" s="8"/>
      <c r="B20" s="8"/>
      <c r="C20" s="9"/>
      <c r="D20" s="12" t="s">
        <v>16</v>
      </c>
      <c r="E20" s="14">
        <v>716628.89999999991</v>
      </c>
      <c r="F20" s="14">
        <v>219930.01851205801</v>
      </c>
      <c r="G20" s="14">
        <v>376974.31000000006</v>
      </c>
      <c r="H20" s="14">
        <v>0</v>
      </c>
      <c r="I20" s="13">
        <f t="shared" si="0"/>
        <v>1313533.228512058</v>
      </c>
    </row>
    <row r="21" spans="1:9" ht="15.75" x14ac:dyDescent="0.25">
      <c r="A21" s="8"/>
      <c r="B21" s="8"/>
      <c r="C21" s="9"/>
      <c r="D21" s="12" t="s">
        <v>17</v>
      </c>
      <c r="E21" s="14">
        <v>691311.08000000007</v>
      </c>
      <c r="F21" s="14">
        <v>957621.88285084208</v>
      </c>
      <c r="G21" s="14">
        <v>330994.86</v>
      </c>
      <c r="H21" s="14">
        <v>0</v>
      </c>
      <c r="I21" s="13">
        <f t="shared" si="0"/>
        <v>1979927.822850842</v>
      </c>
    </row>
    <row r="22" spans="1:9" ht="15.75" x14ac:dyDescent="0.25">
      <c r="A22" s="8"/>
      <c r="B22" s="8"/>
      <c r="C22" s="9"/>
      <c r="D22" s="12" t="s">
        <v>18</v>
      </c>
      <c r="E22" s="14">
        <v>73522.23</v>
      </c>
      <c r="F22" s="14">
        <v>41003.738596814008</v>
      </c>
      <c r="G22" s="14">
        <v>1532926.47</v>
      </c>
      <c r="H22" s="14">
        <v>0</v>
      </c>
      <c r="I22" s="13">
        <f t="shared" si="0"/>
        <v>1647452.4385968139</v>
      </c>
    </row>
    <row r="23" spans="1:9" ht="15.75" x14ac:dyDescent="0.25">
      <c r="A23" s="8"/>
      <c r="B23" s="8"/>
      <c r="C23" s="9"/>
      <c r="D23" s="12" t="s">
        <v>19</v>
      </c>
      <c r="E23" s="14">
        <v>5412.6100000000006</v>
      </c>
      <c r="F23" s="14">
        <v>15281.942721550002</v>
      </c>
      <c r="G23" s="14">
        <v>1153986.9600000002</v>
      </c>
      <c r="H23" s="14">
        <v>0</v>
      </c>
      <c r="I23" s="13">
        <f t="shared" si="0"/>
        <v>1174681.5127215502</v>
      </c>
    </row>
    <row r="24" spans="1:9" ht="15.75" x14ac:dyDescent="0.25">
      <c r="A24" s="8"/>
      <c r="B24" s="8"/>
      <c r="C24" s="9"/>
      <c r="D24" s="12" t="s">
        <v>20</v>
      </c>
      <c r="E24" s="14">
        <v>958014.7200000002</v>
      </c>
      <c r="F24" s="14">
        <v>587283.85548659018</v>
      </c>
      <c r="G24" s="14">
        <v>733666.57000000007</v>
      </c>
      <c r="H24" s="14">
        <v>0</v>
      </c>
      <c r="I24" s="13">
        <f t="shared" si="0"/>
        <v>2278965.1454865905</v>
      </c>
    </row>
    <row r="25" spans="1:9" ht="15.75" x14ac:dyDescent="0.25">
      <c r="A25" s="8"/>
      <c r="B25" s="8"/>
      <c r="C25" s="9"/>
      <c r="D25" s="12" t="s">
        <v>21</v>
      </c>
      <c r="E25" s="14">
        <v>670948.9</v>
      </c>
      <c r="F25" s="14">
        <v>436129.79903696605</v>
      </c>
      <c r="G25" s="14">
        <v>729272.4</v>
      </c>
      <c r="H25" s="14">
        <v>0</v>
      </c>
      <c r="I25" s="13">
        <f t="shared" si="0"/>
        <v>1836351.099036966</v>
      </c>
    </row>
    <row r="26" spans="1:9" ht="15.75" x14ac:dyDescent="0.25">
      <c r="A26" s="8"/>
      <c r="B26" s="8"/>
      <c r="C26" s="9"/>
      <c r="D26" s="12" t="s">
        <v>22</v>
      </c>
      <c r="E26" s="14">
        <v>325253.3</v>
      </c>
      <c r="F26" s="14">
        <v>249747.85635772804</v>
      </c>
      <c r="G26" s="14">
        <v>248683.15</v>
      </c>
      <c r="H26" s="14">
        <v>0</v>
      </c>
      <c r="I26" s="13">
        <f t="shared" si="0"/>
        <v>823684.30635772808</v>
      </c>
    </row>
    <row r="27" spans="1:9" ht="15.75" x14ac:dyDescent="0.25">
      <c r="A27" s="8"/>
      <c r="B27" s="8"/>
      <c r="C27" s="9"/>
      <c r="D27" s="12" t="s">
        <v>23</v>
      </c>
      <c r="E27" s="14">
        <v>168945.74000000002</v>
      </c>
      <c r="F27" s="14">
        <v>42866.450985236006</v>
      </c>
      <c r="G27" s="14">
        <v>729648.1399999999</v>
      </c>
      <c r="H27" s="14">
        <v>0</v>
      </c>
      <c r="I27" s="13">
        <f t="shared" si="0"/>
        <v>941460.33098523598</v>
      </c>
    </row>
    <row r="28" spans="1:9" ht="15.75" x14ac:dyDescent="0.25">
      <c r="A28" s="8"/>
      <c r="B28" s="8"/>
      <c r="C28" s="9"/>
      <c r="D28" s="12" t="s">
        <v>24</v>
      </c>
      <c r="E28" s="14">
        <v>311203.43</v>
      </c>
      <c r="F28" s="14">
        <v>203155.98059564803</v>
      </c>
      <c r="G28" s="14">
        <v>479245.97999999986</v>
      </c>
      <c r="H28" s="14">
        <v>0</v>
      </c>
      <c r="I28" s="13">
        <f t="shared" si="0"/>
        <v>993605.39059564786</v>
      </c>
    </row>
    <row r="29" spans="1:9" ht="15.75" x14ac:dyDescent="0.25">
      <c r="A29" s="8"/>
      <c r="B29" s="8"/>
      <c r="C29" s="9"/>
      <c r="D29" s="12" t="s">
        <v>25</v>
      </c>
      <c r="E29" s="14">
        <v>282816.84999999992</v>
      </c>
      <c r="F29" s="14">
        <v>113692.84063802601</v>
      </c>
      <c r="G29" s="14">
        <v>217187.74</v>
      </c>
      <c r="H29" s="14">
        <v>0</v>
      </c>
      <c r="I29" s="13">
        <f t="shared" si="0"/>
        <v>613697.43063802598</v>
      </c>
    </row>
    <row r="30" spans="1:9" ht="15.75" x14ac:dyDescent="0.25">
      <c r="A30" s="8"/>
      <c r="B30" s="8"/>
      <c r="C30" s="9"/>
      <c r="D30" s="12" t="s">
        <v>26</v>
      </c>
      <c r="E30" s="14">
        <v>359396.35000000003</v>
      </c>
      <c r="F30" s="14">
        <v>613188.55335348216</v>
      </c>
      <c r="G30" s="14">
        <v>415761.87999999995</v>
      </c>
      <c r="H30" s="14">
        <v>0</v>
      </c>
      <c r="I30" s="13">
        <f t="shared" si="0"/>
        <v>1388346.7833534821</v>
      </c>
    </row>
    <row r="31" spans="1:9" ht="15.75" x14ac:dyDescent="0.25">
      <c r="A31" s="8"/>
      <c r="B31" s="8"/>
      <c r="C31" s="9"/>
      <c r="D31" s="12" t="s">
        <v>27</v>
      </c>
      <c r="E31" s="14">
        <v>494990.22000000015</v>
      </c>
      <c r="F31" s="14">
        <v>635555.54164546402</v>
      </c>
      <c r="G31" s="14">
        <v>213798.05</v>
      </c>
      <c r="H31" s="14">
        <v>0</v>
      </c>
      <c r="I31" s="13">
        <f t="shared" si="0"/>
        <v>1344343.8116454643</v>
      </c>
    </row>
    <row r="32" spans="1:9" ht="15.75" x14ac:dyDescent="0.25">
      <c r="A32" s="8"/>
      <c r="B32" s="8"/>
      <c r="C32" s="9"/>
      <c r="D32" s="12" t="s">
        <v>28</v>
      </c>
      <c r="E32" s="14">
        <v>303043.75999999995</v>
      </c>
      <c r="F32" s="14">
        <v>214524.78333842001</v>
      </c>
      <c r="G32" s="14">
        <v>171277.52</v>
      </c>
      <c r="H32" s="14">
        <v>0</v>
      </c>
      <c r="I32" s="13">
        <f t="shared" si="0"/>
        <v>688846.06333842</v>
      </c>
    </row>
    <row r="33" spans="1:9" ht="15.75" x14ac:dyDescent="0.25">
      <c r="A33" s="8"/>
      <c r="B33" s="8"/>
      <c r="C33" s="9"/>
      <c r="D33" s="12" t="s">
        <v>29</v>
      </c>
      <c r="E33" s="14">
        <v>50673.14</v>
      </c>
      <c r="F33" s="14">
        <v>324299.67078736203</v>
      </c>
      <c r="G33" s="14">
        <v>110475.04000000001</v>
      </c>
      <c r="H33" s="14">
        <v>0</v>
      </c>
      <c r="I33" s="13">
        <f t="shared" si="0"/>
        <v>485447.85078736208</v>
      </c>
    </row>
    <row r="34" spans="1:9" ht="15.75" x14ac:dyDescent="0.25">
      <c r="A34" s="8"/>
      <c r="B34" s="8"/>
      <c r="C34" s="9"/>
      <c r="D34" s="12" t="s">
        <v>30</v>
      </c>
      <c r="E34" s="14">
        <v>843711.76999999979</v>
      </c>
      <c r="F34" s="14">
        <v>465389.30448714003</v>
      </c>
      <c r="G34" s="14">
        <v>929915.88999999978</v>
      </c>
      <c r="H34" s="14">
        <v>0</v>
      </c>
      <c r="I34" s="13">
        <f t="shared" si="0"/>
        <v>2239016.9644871396</v>
      </c>
    </row>
    <row r="35" spans="1:9" ht="15.75" x14ac:dyDescent="0.25">
      <c r="A35" s="8"/>
      <c r="B35" s="8"/>
      <c r="C35" s="9"/>
      <c r="D35" s="12" t="s">
        <v>31</v>
      </c>
      <c r="E35" s="14">
        <v>435619</v>
      </c>
      <c r="F35" s="14">
        <v>684202.65820820606</v>
      </c>
      <c r="G35" s="14">
        <v>514990.42000000004</v>
      </c>
      <c r="H35" s="14">
        <v>0</v>
      </c>
      <c r="I35" s="13">
        <f t="shared" si="0"/>
        <v>1634812.0782082062</v>
      </c>
    </row>
    <row r="36" spans="1:9" ht="15.75" x14ac:dyDescent="0.25">
      <c r="A36" s="8"/>
      <c r="B36" s="8"/>
      <c r="C36" s="9"/>
      <c r="D36" s="12" t="s">
        <v>32</v>
      </c>
      <c r="E36" s="14">
        <v>523532.72</v>
      </c>
      <c r="F36" s="14">
        <v>424573.28109226003</v>
      </c>
      <c r="G36" s="14">
        <v>1227689.21</v>
      </c>
      <c r="H36" s="14">
        <v>0</v>
      </c>
      <c r="I36" s="13">
        <f t="shared" si="0"/>
        <v>2175795.2110922597</v>
      </c>
    </row>
    <row r="37" spans="1:9" ht="15.75" x14ac:dyDescent="0.25">
      <c r="A37" s="8"/>
      <c r="B37" s="8"/>
      <c r="C37" s="9"/>
      <c r="D37" s="12" t="s">
        <v>33</v>
      </c>
      <c r="E37" s="14">
        <v>313889.71000000008</v>
      </c>
      <c r="F37" s="14">
        <v>234836.53082973999</v>
      </c>
      <c r="G37" s="14">
        <v>580489.92000000004</v>
      </c>
      <c r="H37" s="14">
        <v>0</v>
      </c>
      <c r="I37" s="13">
        <f t="shared" si="0"/>
        <v>1129216.1608297401</v>
      </c>
    </row>
    <row r="38" spans="1:9" ht="15.75" x14ac:dyDescent="0.25">
      <c r="A38" s="8"/>
      <c r="B38" s="8"/>
      <c r="C38" s="9"/>
      <c r="D38" s="12" t="s">
        <v>34</v>
      </c>
      <c r="E38" s="14">
        <v>303940.56999999995</v>
      </c>
      <c r="F38" s="14">
        <v>510310.99627303809</v>
      </c>
      <c r="G38" s="14">
        <v>305597.94999999995</v>
      </c>
      <c r="H38" s="14">
        <v>0</v>
      </c>
      <c r="I38" s="13">
        <f t="shared" si="0"/>
        <v>1119849.516273038</v>
      </c>
    </row>
    <row r="39" spans="1:9" ht="15.75" x14ac:dyDescent="0.25">
      <c r="A39" s="8"/>
      <c r="B39" s="8"/>
      <c r="C39" s="9"/>
      <c r="D39" s="12" t="s">
        <v>35</v>
      </c>
      <c r="E39" s="14">
        <v>185882.98999999996</v>
      </c>
      <c r="F39" s="14">
        <v>799012.16363722412</v>
      </c>
      <c r="G39" s="14">
        <v>501181.99999999994</v>
      </c>
      <c r="H39" s="14">
        <v>0</v>
      </c>
      <c r="I39" s="13">
        <f t="shared" si="0"/>
        <v>1486077.1536372241</v>
      </c>
    </row>
    <row r="40" spans="1:9" ht="15.75" x14ac:dyDescent="0.25">
      <c r="A40" s="8"/>
      <c r="B40" s="8"/>
      <c r="C40" s="9"/>
      <c r="D40" s="12" t="s">
        <v>36</v>
      </c>
      <c r="E40" s="14">
        <v>55483.78</v>
      </c>
      <c r="F40" s="14">
        <v>41937.501396178006</v>
      </c>
      <c r="G40" s="14">
        <v>343251.64</v>
      </c>
      <c r="H40" s="14">
        <v>0</v>
      </c>
      <c r="I40" s="13">
        <f t="shared" si="0"/>
        <v>440672.92139617802</v>
      </c>
    </row>
    <row r="41" spans="1:9" ht="15.75" x14ac:dyDescent="0.25">
      <c r="A41" s="8"/>
      <c r="B41" s="8"/>
      <c r="C41" s="9"/>
      <c r="D41" s="12" t="s">
        <v>37</v>
      </c>
      <c r="E41" s="14">
        <v>584917.27</v>
      </c>
      <c r="F41" s="14">
        <v>700788.98092268209</v>
      </c>
      <c r="G41" s="14">
        <v>779837.36</v>
      </c>
      <c r="H41" s="14">
        <v>0</v>
      </c>
      <c r="I41" s="13">
        <f t="shared" si="0"/>
        <v>2065543.6109226821</v>
      </c>
    </row>
    <row r="42" spans="1:9" ht="15.75" x14ac:dyDescent="0.25">
      <c r="A42" s="8"/>
      <c r="B42" s="8"/>
      <c r="C42" s="9"/>
      <c r="D42" s="12" t="s">
        <v>38</v>
      </c>
      <c r="E42" s="14">
        <v>720458.81</v>
      </c>
      <c r="F42" s="14">
        <v>758942.18783977407</v>
      </c>
      <c r="G42" s="14">
        <v>298171.21999999997</v>
      </c>
      <c r="H42" s="14">
        <v>0</v>
      </c>
      <c r="I42" s="13">
        <f t="shared" si="0"/>
        <v>1777572.217839774</v>
      </c>
    </row>
    <row r="43" spans="1:9" ht="15.75" x14ac:dyDescent="0.25">
      <c r="A43" s="8"/>
      <c r="B43" s="8"/>
      <c r="C43" s="9"/>
      <c r="D43" s="12" t="s">
        <v>39</v>
      </c>
      <c r="E43" s="14">
        <v>216229.35</v>
      </c>
      <c r="F43" s="14">
        <v>276027.98462848802</v>
      </c>
      <c r="G43" s="14">
        <v>348389.38</v>
      </c>
      <c r="H43" s="14">
        <v>0</v>
      </c>
      <c r="I43" s="13">
        <f t="shared" si="0"/>
        <v>840646.71462848806</v>
      </c>
    </row>
    <row r="44" spans="1:9" ht="15.75" x14ac:dyDescent="0.25">
      <c r="A44" s="8"/>
      <c r="B44" s="8"/>
      <c r="C44" s="9"/>
      <c r="D44" s="12" t="s">
        <v>40</v>
      </c>
      <c r="E44" s="14">
        <v>2100.6</v>
      </c>
      <c r="F44" s="14">
        <v>21245.510290684004</v>
      </c>
      <c r="G44" s="14">
        <v>363255.56</v>
      </c>
      <c r="H44" s="14">
        <v>0</v>
      </c>
      <c r="I44" s="13">
        <f t="shared" si="0"/>
        <v>386601.67029068398</v>
      </c>
    </row>
    <row r="45" spans="1:9" ht="15.75" x14ac:dyDescent="0.25">
      <c r="A45" s="8"/>
      <c r="B45" s="8"/>
      <c r="C45" s="9"/>
      <c r="D45" s="12" t="s">
        <v>41</v>
      </c>
      <c r="E45" s="14">
        <v>873328.33</v>
      </c>
      <c r="F45" s="14">
        <v>6151.2827710679994</v>
      </c>
      <c r="G45" s="14">
        <v>1386785.66</v>
      </c>
      <c r="H45" s="14">
        <v>0</v>
      </c>
      <c r="I45" s="13">
        <f t="shared" si="0"/>
        <v>2266265.2727710679</v>
      </c>
    </row>
    <row r="46" spans="1:9" ht="15.75" x14ac:dyDescent="0.25">
      <c r="A46" s="8"/>
      <c r="B46" s="8"/>
      <c r="C46" s="9"/>
      <c r="D46" s="12" t="s">
        <v>42</v>
      </c>
      <c r="E46" s="14">
        <v>7410.54</v>
      </c>
      <c r="F46" s="14">
        <v>20499.462693254005</v>
      </c>
      <c r="G46" s="14">
        <v>1342103.47</v>
      </c>
      <c r="H46" s="14">
        <v>0</v>
      </c>
      <c r="I46" s="13">
        <f t="shared" si="0"/>
        <v>1370013.472693254</v>
      </c>
    </row>
    <row r="47" spans="1:9" ht="15.75" x14ac:dyDescent="0.25">
      <c r="A47" s="8"/>
      <c r="B47" s="8"/>
      <c r="C47" s="9"/>
      <c r="D47" s="12" t="s">
        <v>43</v>
      </c>
      <c r="E47" s="14">
        <v>693233.19000000018</v>
      </c>
      <c r="F47" s="14">
        <v>130091.44815056803</v>
      </c>
      <c r="G47" s="14">
        <v>340219.83</v>
      </c>
      <c r="H47" s="14">
        <v>0</v>
      </c>
      <c r="I47" s="13">
        <f t="shared" si="0"/>
        <v>1163544.4681505682</v>
      </c>
    </row>
    <row r="48" spans="1:9" ht="15.75" x14ac:dyDescent="0.25">
      <c r="A48" s="8"/>
      <c r="B48" s="8"/>
      <c r="C48" s="9"/>
      <c r="D48" s="12" t="s">
        <v>44</v>
      </c>
      <c r="E48" s="14">
        <v>198052.34999999998</v>
      </c>
      <c r="F48" s="14">
        <v>20499.462693254005</v>
      </c>
      <c r="G48" s="14">
        <v>526047.41999999993</v>
      </c>
      <c r="H48" s="14">
        <v>0</v>
      </c>
      <c r="I48" s="13">
        <f t="shared" si="0"/>
        <v>744599.2326932539</v>
      </c>
    </row>
    <row r="49" spans="1:9" ht="15.75" x14ac:dyDescent="0.25">
      <c r="A49" s="8"/>
      <c r="B49" s="8"/>
      <c r="C49" s="9"/>
      <c r="D49" s="12" t="s">
        <v>45</v>
      </c>
      <c r="E49" s="14">
        <v>214493.23</v>
      </c>
      <c r="F49" s="14">
        <v>24417.415882338006</v>
      </c>
      <c r="G49" s="14">
        <v>1112428.69</v>
      </c>
      <c r="H49" s="14">
        <v>0</v>
      </c>
      <c r="I49" s="13">
        <f t="shared" si="0"/>
        <v>1351339.335882338</v>
      </c>
    </row>
    <row r="50" spans="1:9" ht="15.75" x14ac:dyDescent="0.25">
      <c r="A50" s="8"/>
      <c r="B50" s="8"/>
      <c r="C50" s="9"/>
      <c r="D50" s="12" t="s">
        <v>46</v>
      </c>
      <c r="E50" s="14">
        <v>312422.14999999997</v>
      </c>
      <c r="F50" s="14">
        <v>235958.00883103802</v>
      </c>
      <c r="G50" s="14">
        <v>151551.99999999997</v>
      </c>
      <c r="H50" s="14">
        <v>0</v>
      </c>
      <c r="I50" s="13">
        <f t="shared" si="0"/>
        <v>699932.15883103805</v>
      </c>
    </row>
    <row r="51" spans="1:9" ht="15.75" x14ac:dyDescent="0.25">
      <c r="A51" s="8"/>
      <c r="B51" s="8"/>
      <c r="C51" s="9"/>
      <c r="D51" s="12" t="s">
        <v>47</v>
      </c>
      <c r="E51" s="14">
        <v>606280.75</v>
      </c>
      <c r="F51" s="14">
        <v>429044.75346653408</v>
      </c>
      <c r="G51" s="14">
        <v>369926.19000000006</v>
      </c>
      <c r="H51" s="14">
        <v>0</v>
      </c>
      <c r="I51" s="13">
        <f t="shared" si="0"/>
        <v>1405251.6934665341</v>
      </c>
    </row>
    <row r="52" spans="1:9" ht="15.75" x14ac:dyDescent="0.25">
      <c r="A52" s="8"/>
      <c r="B52" s="8"/>
      <c r="C52" s="9"/>
      <c r="D52" s="12" t="s">
        <v>48</v>
      </c>
      <c r="E52" s="14">
        <v>213789.61000000002</v>
      </c>
      <c r="F52" s="14">
        <v>432399.56104981608</v>
      </c>
      <c r="G52" s="14">
        <v>128272.3</v>
      </c>
      <c r="H52" s="14">
        <v>0</v>
      </c>
      <c r="I52" s="13">
        <f t="shared" si="0"/>
        <v>774461.47104981611</v>
      </c>
    </row>
    <row r="53" spans="1:9" ht="15.75" x14ac:dyDescent="0.25">
      <c r="A53" s="8"/>
      <c r="B53" s="8"/>
      <c r="C53" s="9"/>
      <c r="D53" s="12" t="s">
        <v>49</v>
      </c>
      <c r="E53" s="14">
        <v>282051.66000000009</v>
      </c>
      <c r="F53" s="14">
        <v>296344.54533011402</v>
      </c>
      <c r="G53" s="14">
        <v>842085.2</v>
      </c>
      <c r="H53" s="14">
        <v>0</v>
      </c>
      <c r="I53" s="13">
        <f t="shared" si="0"/>
        <v>1420481.4053301141</v>
      </c>
    </row>
    <row r="54" spans="1:9" ht="15.75" x14ac:dyDescent="0.25">
      <c r="A54" s="8"/>
      <c r="B54" s="8"/>
      <c r="C54" s="9"/>
      <c r="D54" s="12" t="s">
        <v>50</v>
      </c>
      <c r="E54" s="14">
        <v>514499.08</v>
      </c>
      <c r="F54" s="14">
        <v>272114.84464971005</v>
      </c>
      <c r="G54" s="14">
        <v>280619.06</v>
      </c>
      <c r="H54" s="14">
        <v>0</v>
      </c>
      <c r="I54" s="13">
        <f t="shared" si="0"/>
        <v>1067232.9846497101</v>
      </c>
    </row>
    <row r="55" spans="1:9" ht="15.75" x14ac:dyDescent="0.25">
      <c r="A55" s="8"/>
      <c r="B55" s="8"/>
      <c r="C55" s="9"/>
      <c r="D55" s="12" t="s">
        <v>51</v>
      </c>
      <c r="E55" s="14">
        <v>153594.13</v>
      </c>
      <c r="F55" s="14">
        <v>557278.30243898602</v>
      </c>
      <c r="G55" s="14">
        <v>21439.620000000003</v>
      </c>
      <c r="H55" s="14">
        <v>0</v>
      </c>
      <c r="I55" s="13">
        <f t="shared" si="0"/>
        <v>732312.05243898602</v>
      </c>
    </row>
    <row r="56" spans="1:9" ht="15.75" x14ac:dyDescent="0.25">
      <c r="A56" s="8"/>
      <c r="B56" s="8"/>
      <c r="C56" s="9"/>
      <c r="D56" s="12" t="s">
        <v>52</v>
      </c>
      <c r="E56" s="14">
        <v>451838.35</v>
      </c>
      <c r="F56" s="14">
        <v>620273.59892391402</v>
      </c>
      <c r="G56" s="14">
        <v>246016.80000000002</v>
      </c>
      <c r="H56" s="14">
        <v>0</v>
      </c>
      <c r="I56" s="13">
        <f t="shared" si="0"/>
        <v>1318128.748923914</v>
      </c>
    </row>
    <row r="57" spans="1:9" ht="15.75" x14ac:dyDescent="0.25">
      <c r="A57" s="8"/>
      <c r="B57" s="8"/>
      <c r="C57" s="9"/>
      <c r="D57" s="12" t="s">
        <v>53</v>
      </c>
      <c r="E57" s="14">
        <v>113085.44999999998</v>
      </c>
      <c r="F57" s="14">
        <v>205018.69298407005</v>
      </c>
      <c r="G57" s="14">
        <v>163840.87999999998</v>
      </c>
      <c r="H57" s="14">
        <v>0</v>
      </c>
      <c r="I57" s="13">
        <f t="shared" si="0"/>
        <v>481945.02298407</v>
      </c>
    </row>
    <row r="58" spans="1:9" ht="15.75" x14ac:dyDescent="0.25">
      <c r="A58" s="8"/>
      <c r="B58" s="8"/>
      <c r="C58" s="9"/>
      <c r="D58" s="12" t="s">
        <v>54</v>
      </c>
      <c r="E58" s="14">
        <v>143794.75000000003</v>
      </c>
      <c r="F58" s="14">
        <v>220676.06610948802</v>
      </c>
      <c r="G58" s="14">
        <v>38591.560000000005</v>
      </c>
      <c r="H58" s="14">
        <v>0</v>
      </c>
      <c r="I58" s="13">
        <f t="shared" si="0"/>
        <v>403062.37610948802</v>
      </c>
    </row>
    <row r="59" spans="1:9" ht="15.75" x14ac:dyDescent="0.25">
      <c r="A59" s="8"/>
      <c r="B59" s="8"/>
      <c r="C59" s="9"/>
      <c r="D59" s="12" t="s">
        <v>55</v>
      </c>
      <c r="E59" s="14">
        <v>490587.73</v>
      </c>
      <c r="F59" s="14">
        <v>372759.07214817009</v>
      </c>
      <c r="G59" s="14">
        <v>295963.95</v>
      </c>
      <c r="H59" s="14">
        <v>0</v>
      </c>
      <c r="I59" s="13">
        <f t="shared" si="0"/>
        <v>1159310.75214817</v>
      </c>
    </row>
    <row r="60" spans="1:9" ht="15.75" x14ac:dyDescent="0.25">
      <c r="A60" s="8"/>
      <c r="B60" s="8"/>
      <c r="C60" s="9"/>
      <c r="D60" s="12" t="s">
        <v>56</v>
      </c>
      <c r="E60" s="14">
        <v>282017.04000000004</v>
      </c>
      <c r="F60" s="14">
        <v>225518.15567732404</v>
      </c>
      <c r="G60" s="14">
        <v>117637.31</v>
      </c>
      <c r="H60" s="14">
        <v>0</v>
      </c>
      <c r="I60" s="13">
        <f t="shared" si="0"/>
        <v>625172.50567732402</v>
      </c>
    </row>
    <row r="61" spans="1:9" ht="15.75" x14ac:dyDescent="0.25">
      <c r="A61" s="8"/>
      <c r="B61" s="8"/>
      <c r="C61" s="9"/>
      <c r="D61" s="12" t="s">
        <v>57</v>
      </c>
      <c r="E61" s="14">
        <v>316602.44999999995</v>
      </c>
      <c r="F61" s="14">
        <v>378352.02252374205</v>
      </c>
      <c r="G61" s="14">
        <v>229400.82</v>
      </c>
      <c r="H61" s="14">
        <v>0</v>
      </c>
      <c r="I61" s="13">
        <f t="shared" si="0"/>
        <v>924355.29252374195</v>
      </c>
    </row>
    <row r="62" spans="1:9" ht="15.75" x14ac:dyDescent="0.25">
      <c r="A62" s="8"/>
      <c r="B62" s="8"/>
      <c r="C62" s="9"/>
      <c r="D62" s="12" t="s">
        <v>58</v>
      </c>
      <c r="E62" s="14">
        <v>662643.92000000004</v>
      </c>
      <c r="F62" s="14">
        <v>422152.23630834208</v>
      </c>
      <c r="G62" s="14">
        <v>9362004.209999999</v>
      </c>
      <c r="H62" s="14">
        <v>0</v>
      </c>
      <c r="I62" s="13">
        <f t="shared" si="0"/>
        <v>10446800.366308341</v>
      </c>
    </row>
    <row r="63" spans="1:9" ht="15.75" x14ac:dyDescent="0.25">
      <c r="A63" s="8"/>
      <c r="B63" s="8"/>
      <c r="C63" s="9"/>
      <c r="D63" s="12" t="s">
        <v>59</v>
      </c>
      <c r="E63" s="14">
        <v>174506.54999999996</v>
      </c>
      <c r="F63" s="14">
        <v>46596.688972386008</v>
      </c>
      <c r="G63" s="14">
        <v>520399.71999999991</v>
      </c>
      <c r="H63" s="14">
        <v>0</v>
      </c>
      <c r="I63" s="13">
        <f t="shared" si="0"/>
        <v>741502.95897238585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2954673.46</v>
      </c>
      <c r="H64" s="14">
        <v>0</v>
      </c>
      <c r="I64" s="13">
        <f t="shared" si="0"/>
        <v>2954673.46</v>
      </c>
    </row>
    <row r="65" spans="1:9" ht="15.75" x14ac:dyDescent="0.25">
      <c r="A65" s="8"/>
      <c r="B65" s="8"/>
      <c r="C65" s="9"/>
      <c r="D65" s="12" t="s">
        <v>61</v>
      </c>
      <c r="E65" s="14">
        <v>746998.4800000001</v>
      </c>
      <c r="F65" s="14">
        <v>551685.35206341406</v>
      </c>
      <c r="G65" s="14">
        <v>284159.83</v>
      </c>
      <c r="H65" s="14">
        <v>0</v>
      </c>
      <c r="I65" s="13">
        <f t="shared" si="0"/>
        <v>1582843.6620634142</v>
      </c>
    </row>
    <row r="66" spans="1:9" ht="15.75" x14ac:dyDescent="0.25">
      <c r="A66" s="8"/>
      <c r="B66" s="8"/>
      <c r="C66" s="9"/>
      <c r="D66" s="12" t="s">
        <v>62</v>
      </c>
      <c r="E66" s="14">
        <v>1771757.1999999997</v>
      </c>
      <c r="F66" s="14">
        <v>1096848.8041621982</v>
      </c>
      <c r="G66" s="14">
        <v>662950.22000000009</v>
      </c>
      <c r="H66" s="14">
        <v>0</v>
      </c>
      <c r="I66" s="13">
        <f t="shared" si="0"/>
        <v>3531556.2241621981</v>
      </c>
    </row>
    <row r="67" spans="1:9" ht="15.75" x14ac:dyDescent="0.25">
      <c r="A67" s="8"/>
      <c r="B67" s="8"/>
      <c r="C67" s="9"/>
      <c r="D67" s="12" t="s">
        <v>63</v>
      </c>
      <c r="E67" s="14">
        <v>325325.40999999997</v>
      </c>
      <c r="F67" s="14">
        <v>506956.18868975609</v>
      </c>
      <c r="G67" s="14">
        <v>254241.05</v>
      </c>
      <c r="H67" s="14">
        <v>0</v>
      </c>
      <c r="I67" s="13">
        <f t="shared" si="0"/>
        <v>1086522.6486897562</v>
      </c>
    </row>
    <row r="68" spans="1:9" ht="15.75" x14ac:dyDescent="0.25">
      <c r="A68" s="8"/>
      <c r="B68" s="8"/>
      <c r="C68" s="9"/>
      <c r="D68" s="12" t="s">
        <v>64</v>
      </c>
      <c r="E68" s="14">
        <v>440383.91</v>
      </c>
      <c r="F68" s="14">
        <v>214337.06813648602</v>
      </c>
      <c r="G68" s="14">
        <v>212868.7</v>
      </c>
      <c r="H68" s="14">
        <v>0</v>
      </c>
      <c r="I68" s="13">
        <f t="shared" si="0"/>
        <v>867589.67813648609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997833.62999999989</v>
      </c>
      <c r="H69" s="14">
        <v>0</v>
      </c>
      <c r="I69" s="13">
        <f t="shared" si="0"/>
        <v>997833.62999999989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1211527.1499999999</v>
      </c>
      <c r="H70" s="14">
        <v>0</v>
      </c>
      <c r="I70" s="13">
        <f t="shared" si="0"/>
        <v>1211527.1499999999</v>
      </c>
    </row>
    <row r="71" spans="1:9" ht="15.75" x14ac:dyDescent="0.25">
      <c r="A71" s="8"/>
      <c r="B71" s="8"/>
      <c r="C71" s="9"/>
      <c r="D71" s="12" t="s">
        <v>67</v>
      </c>
      <c r="E71" s="14">
        <v>14473.109999999999</v>
      </c>
      <c r="F71" s="14">
        <v>5592.9503755720007</v>
      </c>
      <c r="G71" s="14">
        <v>674362.55999999994</v>
      </c>
      <c r="H71" s="14">
        <v>0</v>
      </c>
      <c r="I71" s="13">
        <f t="shared" si="0"/>
        <v>694428.62037557189</v>
      </c>
    </row>
    <row r="72" spans="1:9" ht="15.75" x14ac:dyDescent="0.25">
      <c r="A72" s="8"/>
      <c r="B72" s="8"/>
      <c r="C72" s="9"/>
      <c r="D72" s="12" t="s">
        <v>68</v>
      </c>
      <c r="E72" s="14">
        <v>459338.62000000005</v>
      </c>
      <c r="F72" s="14">
        <v>348158.75427420402</v>
      </c>
      <c r="G72" s="14">
        <v>1996444.4800000002</v>
      </c>
      <c r="H72" s="14">
        <v>0</v>
      </c>
      <c r="I72" s="13">
        <f t="shared" si="0"/>
        <v>2803941.854274204</v>
      </c>
    </row>
    <row r="73" spans="1:9" ht="15.75" x14ac:dyDescent="0.25">
      <c r="A73" s="8"/>
      <c r="B73" s="8"/>
      <c r="C73" s="9"/>
      <c r="D73" s="12" t="s">
        <v>69</v>
      </c>
      <c r="E73" s="14">
        <v>4303.63</v>
      </c>
      <c r="F73" s="14">
        <v>0</v>
      </c>
      <c r="G73" s="14">
        <v>820777.65</v>
      </c>
      <c r="H73" s="14">
        <v>0</v>
      </c>
      <c r="I73" s="13">
        <f t="shared" si="0"/>
        <v>825081.28</v>
      </c>
    </row>
    <row r="74" spans="1:9" ht="15.75" x14ac:dyDescent="0.25">
      <c r="A74" s="8"/>
      <c r="B74" s="8"/>
      <c r="C74" s="9"/>
      <c r="D74" s="12" t="s">
        <v>70</v>
      </c>
      <c r="E74" s="14">
        <v>86781.94</v>
      </c>
      <c r="F74" s="14">
        <v>29447.220652108001</v>
      </c>
      <c r="G74" s="14">
        <v>5243678.0999999987</v>
      </c>
      <c r="H74" s="14">
        <v>0</v>
      </c>
      <c r="I74" s="13">
        <f t="shared" ref="I74:I137" si="1">SUM(E74:H74)</f>
        <v>5359907.2606521063</v>
      </c>
    </row>
    <row r="75" spans="1:9" ht="15.75" x14ac:dyDescent="0.25">
      <c r="A75" s="8"/>
      <c r="B75" s="8"/>
      <c r="C75" s="9"/>
      <c r="D75" s="12" t="s">
        <v>71</v>
      </c>
      <c r="E75" s="14">
        <v>315077.50999999989</v>
      </c>
      <c r="F75" s="14">
        <v>114438.888235456</v>
      </c>
      <c r="G75" s="14">
        <v>10062562.270000001</v>
      </c>
      <c r="H75" s="14">
        <v>0</v>
      </c>
      <c r="I75" s="13">
        <f t="shared" si="1"/>
        <v>10492078.668235457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2863984.5500000007</v>
      </c>
      <c r="H76" s="14">
        <v>0</v>
      </c>
      <c r="I76" s="13">
        <f t="shared" si="1"/>
        <v>2863984.5500000007</v>
      </c>
    </row>
    <row r="77" spans="1:9" ht="15.75" x14ac:dyDescent="0.25">
      <c r="A77" s="8"/>
      <c r="B77" s="8"/>
      <c r="C77" s="9"/>
      <c r="D77" s="12" t="s">
        <v>73</v>
      </c>
      <c r="E77" s="14">
        <v>128625.82</v>
      </c>
      <c r="F77" s="14">
        <v>567525.62718046014</v>
      </c>
      <c r="G77" s="14">
        <v>165559.57999999996</v>
      </c>
      <c r="H77" s="14">
        <v>0</v>
      </c>
      <c r="I77" s="13">
        <f t="shared" si="1"/>
        <v>861711.02718046017</v>
      </c>
    </row>
    <row r="78" spans="1:9" ht="15.75" x14ac:dyDescent="0.25">
      <c r="A78" s="8"/>
      <c r="B78" s="8"/>
      <c r="C78" s="9"/>
      <c r="D78" s="12" t="s">
        <v>74</v>
      </c>
      <c r="E78" s="14">
        <v>314324.45</v>
      </c>
      <c r="F78" s="14">
        <v>575915.05274381815</v>
      </c>
      <c r="G78" s="14">
        <v>302640.03999999998</v>
      </c>
      <c r="H78" s="14">
        <v>0</v>
      </c>
      <c r="I78" s="13">
        <f t="shared" si="1"/>
        <v>1192879.5427438181</v>
      </c>
    </row>
    <row r="79" spans="1:9" ht="15.75" x14ac:dyDescent="0.25">
      <c r="A79" s="8"/>
      <c r="B79" s="8"/>
      <c r="C79" s="9"/>
      <c r="D79" s="12" t="s">
        <v>75</v>
      </c>
      <c r="E79" s="14">
        <v>357694.05</v>
      </c>
      <c r="F79" s="14">
        <v>323370.72119830403</v>
      </c>
      <c r="G79" s="14">
        <v>438526.9</v>
      </c>
      <c r="H79" s="14">
        <v>0</v>
      </c>
      <c r="I79" s="13">
        <f t="shared" si="1"/>
        <v>1119591.671198304</v>
      </c>
    </row>
    <row r="80" spans="1:9" ht="15.75" x14ac:dyDescent="0.25">
      <c r="A80" s="8"/>
      <c r="B80" s="8"/>
      <c r="C80" s="9"/>
      <c r="D80" s="12" t="s">
        <v>76</v>
      </c>
      <c r="E80" s="14">
        <v>293496.06999999995</v>
      </c>
      <c r="F80" s="14">
        <v>170912.28475575405</v>
      </c>
      <c r="G80" s="14">
        <v>46713.86</v>
      </c>
      <c r="H80" s="14">
        <v>0</v>
      </c>
      <c r="I80" s="13">
        <f t="shared" si="1"/>
        <v>511122.21475575399</v>
      </c>
    </row>
    <row r="81" spans="1:9" ht="15.75" x14ac:dyDescent="0.25">
      <c r="A81" s="8"/>
      <c r="B81" s="8"/>
      <c r="C81" s="9"/>
      <c r="D81" s="12" t="s">
        <v>77</v>
      </c>
      <c r="E81" s="14">
        <v>1024884.5499999998</v>
      </c>
      <c r="F81" s="14">
        <v>1031239.9344811122</v>
      </c>
      <c r="G81" s="14">
        <v>759914.32000000007</v>
      </c>
      <c r="H81" s="14">
        <v>0</v>
      </c>
      <c r="I81" s="13">
        <f t="shared" si="1"/>
        <v>2816038.8044811124</v>
      </c>
    </row>
    <row r="82" spans="1:9" ht="15.75" x14ac:dyDescent="0.25">
      <c r="A82" s="8"/>
      <c r="B82" s="8"/>
      <c r="C82" s="9"/>
      <c r="D82" s="12" t="s">
        <v>78</v>
      </c>
      <c r="E82" s="14">
        <v>1213473.51</v>
      </c>
      <c r="F82" s="14">
        <v>714766.54365130607</v>
      </c>
      <c r="G82" s="14">
        <v>303905.37000000005</v>
      </c>
      <c r="H82" s="14">
        <v>0</v>
      </c>
      <c r="I82" s="13">
        <f t="shared" si="1"/>
        <v>2232145.423651306</v>
      </c>
    </row>
    <row r="83" spans="1:9" ht="15.75" x14ac:dyDescent="0.25">
      <c r="A83" s="8"/>
      <c r="B83" s="8"/>
      <c r="C83" s="9"/>
      <c r="D83" s="12" t="s">
        <v>79</v>
      </c>
      <c r="E83" s="14">
        <v>555735.21000000008</v>
      </c>
      <c r="F83" s="14">
        <v>293548.07014232804</v>
      </c>
      <c r="G83" s="14">
        <v>450001.84999999992</v>
      </c>
      <c r="H83" s="14">
        <v>0</v>
      </c>
      <c r="I83" s="13">
        <f t="shared" si="1"/>
        <v>1299285.1301423281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3607637.93</v>
      </c>
      <c r="H84" s="14">
        <v>0</v>
      </c>
      <c r="I84" s="13">
        <f t="shared" si="1"/>
        <v>3607637.93</v>
      </c>
    </row>
    <row r="85" spans="1:9" ht="15.75" x14ac:dyDescent="0.25">
      <c r="A85" s="8"/>
      <c r="B85" s="8"/>
      <c r="C85" s="9"/>
      <c r="D85" s="12" t="s">
        <v>81</v>
      </c>
      <c r="E85" s="14">
        <v>685733.7</v>
      </c>
      <c r="F85" s="14">
        <v>91325.852346044005</v>
      </c>
      <c r="G85" s="14">
        <v>1310795.9499999997</v>
      </c>
      <c r="H85" s="14">
        <v>0</v>
      </c>
      <c r="I85" s="13">
        <f t="shared" si="1"/>
        <v>2087855.5023460437</v>
      </c>
    </row>
    <row r="86" spans="1:9" ht="15.75" x14ac:dyDescent="0.25">
      <c r="A86" s="8"/>
      <c r="B86" s="8"/>
      <c r="C86" s="9"/>
      <c r="D86" s="12" t="s">
        <v>82</v>
      </c>
      <c r="E86" s="14">
        <v>224579.32</v>
      </c>
      <c r="F86" s="14">
        <v>379285.78532310604</v>
      </c>
      <c r="G86" s="14">
        <v>152588.06000000003</v>
      </c>
      <c r="H86" s="14">
        <v>0</v>
      </c>
      <c r="I86" s="13">
        <f t="shared" si="1"/>
        <v>756453.16532310611</v>
      </c>
    </row>
    <row r="87" spans="1:9" ht="15.75" x14ac:dyDescent="0.25">
      <c r="A87" s="8"/>
      <c r="B87" s="8"/>
      <c r="C87" s="9"/>
      <c r="D87" s="12" t="s">
        <v>83</v>
      </c>
      <c r="E87" s="14">
        <v>119499.47999999998</v>
      </c>
      <c r="F87" s="14">
        <v>499500.52592576214</v>
      </c>
      <c r="G87" s="14">
        <v>84566.729999999981</v>
      </c>
      <c r="H87" s="14">
        <v>0</v>
      </c>
      <c r="I87" s="13">
        <f t="shared" si="1"/>
        <v>703566.7359257621</v>
      </c>
    </row>
    <row r="88" spans="1:9" ht="15.75" x14ac:dyDescent="0.25">
      <c r="A88" s="8"/>
      <c r="B88" s="8"/>
      <c r="C88" s="9"/>
      <c r="D88" s="12" t="s">
        <v>84</v>
      </c>
      <c r="E88" s="14">
        <v>101484.11000000002</v>
      </c>
      <c r="F88" s="14">
        <v>0</v>
      </c>
      <c r="G88" s="14">
        <v>1177915.49</v>
      </c>
      <c r="H88" s="14">
        <v>0</v>
      </c>
      <c r="I88" s="13">
        <f t="shared" si="1"/>
        <v>1279399.6000000001</v>
      </c>
    </row>
    <row r="89" spans="1:9" ht="15.75" x14ac:dyDescent="0.25">
      <c r="A89" s="8"/>
      <c r="B89" s="8"/>
      <c r="C89" s="9"/>
      <c r="D89" s="12" t="s">
        <v>85</v>
      </c>
      <c r="E89" s="14">
        <v>253295.25000000003</v>
      </c>
      <c r="F89" s="14">
        <v>489806.72036947811</v>
      </c>
      <c r="G89" s="14">
        <v>322538.50000000006</v>
      </c>
      <c r="H89" s="14">
        <v>0</v>
      </c>
      <c r="I89" s="13">
        <f t="shared" si="1"/>
        <v>1065640.4703694782</v>
      </c>
    </row>
    <row r="90" spans="1:9" ht="15.75" x14ac:dyDescent="0.25">
      <c r="A90" s="8"/>
      <c r="B90" s="8"/>
      <c r="C90" s="9"/>
      <c r="D90" s="12" t="s">
        <v>86</v>
      </c>
      <c r="E90" s="14">
        <v>309972.68</v>
      </c>
      <c r="F90" s="14">
        <v>126736.64056728601</v>
      </c>
      <c r="G90" s="14">
        <v>241203.07</v>
      </c>
      <c r="H90" s="14">
        <v>0</v>
      </c>
      <c r="I90" s="13">
        <f t="shared" si="1"/>
        <v>677912.39056728594</v>
      </c>
    </row>
    <row r="91" spans="1:9" ht="15.75" x14ac:dyDescent="0.25">
      <c r="A91" s="8"/>
      <c r="B91" s="8"/>
      <c r="C91" s="9"/>
      <c r="D91" s="12" t="s">
        <v>87</v>
      </c>
      <c r="E91" s="14">
        <v>255952.57000000004</v>
      </c>
      <c r="F91" s="14">
        <v>289076.59776805399</v>
      </c>
      <c r="G91" s="14">
        <v>706738.74999999988</v>
      </c>
      <c r="H91" s="14">
        <v>0</v>
      </c>
      <c r="I91" s="13">
        <f t="shared" si="1"/>
        <v>1251767.9177680539</v>
      </c>
    </row>
    <row r="92" spans="1:9" ht="15.75" x14ac:dyDescent="0.25">
      <c r="A92" s="8"/>
      <c r="B92" s="8"/>
      <c r="C92" s="9"/>
      <c r="D92" s="12" t="s">
        <v>88</v>
      </c>
      <c r="E92" s="14">
        <v>20967.63</v>
      </c>
      <c r="F92" s="14">
        <v>39887.073805822009</v>
      </c>
      <c r="G92" s="14">
        <v>1470074.36</v>
      </c>
      <c r="H92" s="14">
        <v>0</v>
      </c>
      <c r="I92" s="13">
        <f t="shared" si="1"/>
        <v>1530929.0638058221</v>
      </c>
    </row>
    <row r="93" spans="1:9" ht="15.75" x14ac:dyDescent="0.25">
      <c r="A93" s="8"/>
      <c r="B93" s="8"/>
      <c r="C93" s="9"/>
      <c r="D93" s="12" t="s">
        <v>89</v>
      </c>
      <c r="E93" s="14">
        <v>303017.32</v>
      </c>
      <c r="F93" s="14">
        <v>323183.00599636999</v>
      </c>
      <c r="G93" s="14">
        <v>208715.17000000004</v>
      </c>
      <c r="H93" s="14">
        <v>0</v>
      </c>
      <c r="I93" s="13">
        <f t="shared" si="1"/>
        <v>834915.4959963701</v>
      </c>
    </row>
    <row r="94" spans="1:9" ht="15.75" x14ac:dyDescent="0.25">
      <c r="A94" s="8"/>
      <c r="B94" s="8"/>
      <c r="C94" s="9"/>
      <c r="D94" s="12" t="s">
        <v>90</v>
      </c>
      <c r="E94" s="14">
        <v>0</v>
      </c>
      <c r="F94" s="14">
        <v>0</v>
      </c>
      <c r="G94" s="14">
        <v>64245.16</v>
      </c>
      <c r="H94" s="14">
        <v>0</v>
      </c>
      <c r="I94" s="13">
        <f t="shared" si="1"/>
        <v>64245.16</v>
      </c>
    </row>
    <row r="95" spans="1:9" ht="15.75" x14ac:dyDescent="0.25">
      <c r="A95" s="8"/>
      <c r="B95" s="8"/>
      <c r="C95" s="9"/>
      <c r="D95" s="12" t="s">
        <v>91</v>
      </c>
      <c r="E95" s="14">
        <v>253224.60999999996</v>
      </c>
      <c r="F95" s="14">
        <v>10252.137951780001</v>
      </c>
      <c r="G95" s="14">
        <v>1328258.94</v>
      </c>
      <c r="H95" s="14">
        <v>0</v>
      </c>
      <c r="I95" s="13">
        <f t="shared" si="1"/>
        <v>1591735.6879517799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3062504.4200000004</v>
      </c>
      <c r="H96" s="14">
        <v>0</v>
      </c>
      <c r="I96" s="13">
        <f t="shared" si="1"/>
        <v>3062504.4200000004</v>
      </c>
    </row>
    <row r="97" spans="1:9" ht="15.75" x14ac:dyDescent="0.25">
      <c r="A97" s="8"/>
      <c r="B97" s="8"/>
      <c r="C97" s="9"/>
      <c r="D97" s="12" t="s">
        <v>93</v>
      </c>
      <c r="E97" s="14">
        <v>117674.77000000002</v>
      </c>
      <c r="F97" s="14">
        <v>460359.49971737002</v>
      </c>
      <c r="G97" s="14">
        <v>215848.91</v>
      </c>
      <c r="H97" s="14">
        <v>0</v>
      </c>
      <c r="I97" s="13">
        <f t="shared" si="1"/>
        <v>793883.17971737008</v>
      </c>
    </row>
    <row r="98" spans="1:9" ht="15.75" x14ac:dyDescent="0.25">
      <c r="A98" s="8"/>
      <c r="B98" s="8"/>
      <c r="C98" s="9"/>
      <c r="D98" s="12" t="s">
        <v>94</v>
      </c>
      <c r="E98" s="14">
        <v>717412.85</v>
      </c>
      <c r="F98" s="14">
        <v>605549.98859786009</v>
      </c>
      <c r="G98" s="14">
        <v>1666589.0200000003</v>
      </c>
      <c r="H98" s="14">
        <v>0</v>
      </c>
      <c r="I98" s="13">
        <f t="shared" si="1"/>
        <v>2989551.8585978607</v>
      </c>
    </row>
    <row r="99" spans="1:9" ht="15.75" x14ac:dyDescent="0.25">
      <c r="A99" s="8"/>
      <c r="B99" s="8"/>
      <c r="C99" s="9"/>
      <c r="D99" s="12" t="s">
        <v>95</v>
      </c>
      <c r="E99" s="14">
        <v>1075454.2999999998</v>
      </c>
      <c r="F99" s="14">
        <v>1153880.5330779923</v>
      </c>
      <c r="G99" s="14">
        <v>801289.35</v>
      </c>
      <c r="H99" s="14">
        <v>0</v>
      </c>
      <c r="I99" s="13">
        <f t="shared" si="1"/>
        <v>3030624.1830779924</v>
      </c>
    </row>
    <row r="100" spans="1:9" ht="15.75" x14ac:dyDescent="0.25">
      <c r="A100" s="8"/>
      <c r="B100" s="8"/>
      <c r="C100" s="9"/>
      <c r="D100" s="12" t="s">
        <v>96</v>
      </c>
      <c r="E100" s="14">
        <v>601020.16000000003</v>
      </c>
      <c r="F100" s="14">
        <v>1154438.8654734883</v>
      </c>
      <c r="G100" s="14">
        <v>1239332.45</v>
      </c>
      <c r="H100" s="14">
        <v>0</v>
      </c>
      <c r="I100" s="13">
        <f t="shared" si="1"/>
        <v>2994791.4754734887</v>
      </c>
    </row>
    <row r="101" spans="1:9" ht="15.75" x14ac:dyDescent="0.25">
      <c r="A101" s="8"/>
      <c r="B101" s="8"/>
      <c r="C101" s="9"/>
      <c r="D101" s="12" t="s">
        <v>97</v>
      </c>
      <c r="E101" s="14">
        <v>68431.05</v>
      </c>
      <c r="F101" s="14">
        <v>1549179.8690891601</v>
      </c>
      <c r="G101" s="14">
        <v>28263.149999999994</v>
      </c>
      <c r="H101" s="14">
        <v>0</v>
      </c>
      <c r="I101" s="13">
        <f t="shared" si="1"/>
        <v>1645874.0690891601</v>
      </c>
    </row>
    <row r="102" spans="1:9" ht="15.75" x14ac:dyDescent="0.25">
      <c r="A102" s="8"/>
      <c r="B102" s="8"/>
      <c r="C102" s="9"/>
      <c r="D102" s="12" t="s">
        <v>98</v>
      </c>
      <c r="E102" s="14">
        <v>754256.49</v>
      </c>
      <c r="F102" s="14">
        <v>666124.24029887002</v>
      </c>
      <c r="G102" s="14">
        <v>767678.13000000012</v>
      </c>
      <c r="H102" s="14">
        <v>0</v>
      </c>
      <c r="I102" s="13">
        <f t="shared" si="1"/>
        <v>2188058.8602988701</v>
      </c>
    </row>
    <row r="103" spans="1:9" ht="15.75" x14ac:dyDescent="0.25">
      <c r="A103" s="8"/>
      <c r="B103" s="8"/>
      <c r="C103" s="9"/>
      <c r="D103" s="12" t="s">
        <v>99</v>
      </c>
      <c r="E103" s="14">
        <v>397376.63</v>
      </c>
      <c r="F103" s="14">
        <v>211540.59294870001</v>
      </c>
      <c r="G103" s="14">
        <v>97507.57</v>
      </c>
      <c r="H103" s="14">
        <v>0</v>
      </c>
      <c r="I103" s="13">
        <f t="shared" si="1"/>
        <v>706424.79294870002</v>
      </c>
    </row>
    <row r="104" spans="1:9" ht="15.75" x14ac:dyDescent="0.25">
      <c r="A104" s="8"/>
      <c r="B104" s="8"/>
      <c r="C104" s="9"/>
      <c r="D104" s="12" t="s">
        <v>100</v>
      </c>
      <c r="E104" s="14">
        <v>1930396.7300000004</v>
      </c>
      <c r="F104" s="14">
        <v>386553.73288516607</v>
      </c>
      <c r="G104" s="14">
        <v>1953943.0799999998</v>
      </c>
      <c r="H104" s="14">
        <v>0</v>
      </c>
      <c r="I104" s="13">
        <f t="shared" si="1"/>
        <v>4270893.5428851666</v>
      </c>
    </row>
    <row r="105" spans="1:9" ht="15.75" x14ac:dyDescent="0.25">
      <c r="A105" s="8"/>
      <c r="B105" s="8"/>
      <c r="C105" s="9"/>
      <c r="D105" s="12" t="s">
        <v>101</v>
      </c>
      <c r="E105" s="14">
        <v>250082.62</v>
      </c>
      <c r="F105" s="14">
        <v>574052.34035539615</v>
      </c>
      <c r="G105" s="14">
        <v>10019.139999999998</v>
      </c>
      <c r="H105" s="14">
        <v>0</v>
      </c>
      <c r="I105" s="13">
        <f t="shared" si="1"/>
        <v>834154.10035539616</v>
      </c>
    </row>
    <row r="106" spans="1:9" ht="15.75" x14ac:dyDescent="0.25">
      <c r="A106" s="8"/>
      <c r="B106" s="8"/>
      <c r="C106" s="9"/>
      <c r="D106" s="12" t="s">
        <v>102</v>
      </c>
      <c r="E106" s="14">
        <v>518565.83000000007</v>
      </c>
      <c r="F106" s="14">
        <v>35410.788221242008</v>
      </c>
      <c r="G106" s="14">
        <v>2286986.5800000005</v>
      </c>
      <c r="H106" s="14">
        <v>0</v>
      </c>
      <c r="I106" s="13">
        <f t="shared" si="1"/>
        <v>2840963.1982212425</v>
      </c>
    </row>
    <row r="107" spans="1:9" ht="15.75" x14ac:dyDescent="0.25">
      <c r="A107" s="8"/>
      <c r="B107" s="8"/>
      <c r="C107" s="9"/>
      <c r="D107" s="12" t="s">
        <v>103</v>
      </c>
      <c r="E107" s="14">
        <v>0</v>
      </c>
      <c r="F107" s="14">
        <v>0</v>
      </c>
      <c r="G107" s="14">
        <v>685487.74999999988</v>
      </c>
      <c r="H107" s="14">
        <v>0</v>
      </c>
      <c r="I107" s="13">
        <f t="shared" si="1"/>
        <v>685487.74999999988</v>
      </c>
    </row>
    <row r="108" spans="1:9" ht="15.75" x14ac:dyDescent="0.25">
      <c r="A108" s="8"/>
      <c r="B108" s="8"/>
      <c r="C108" s="9"/>
      <c r="D108" s="12" t="s">
        <v>104</v>
      </c>
      <c r="E108" s="14">
        <v>38434.81</v>
      </c>
      <c r="F108" s="14">
        <v>0</v>
      </c>
      <c r="G108" s="14">
        <v>170614.87999999995</v>
      </c>
      <c r="H108" s="14">
        <v>0</v>
      </c>
      <c r="I108" s="13">
        <f t="shared" si="1"/>
        <v>209049.68999999994</v>
      </c>
    </row>
    <row r="109" spans="1:9" ht="15.75" x14ac:dyDescent="0.25">
      <c r="A109" s="8"/>
      <c r="B109" s="8"/>
      <c r="C109" s="9"/>
      <c r="D109" s="12" t="s">
        <v>105</v>
      </c>
      <c r="E109" s="14">
        <v>67031.62</v>
      </c>
      <c r="F109" s="14">
        <v>923327.75942059211</v>
      </c>
      <c r="G109" s="14">
        <v>166931.31</v>
      </c>
      <c r="H109" s="14">
        <v>0</v>
      </c>
      <c r="I109" s="13">
        <f t="shared" si="1"/>
        <v>1157290.689420592</v>
      </c>
    </row>
    <row r="110" spans="1:9" ht="15.75" x14ac:dyDescent="0.25">
      <c r="A110" s="8"/>
      <c r="B110" s="8"/>
      <c r="C110" s="9"/>
      <c r="D110" s="12" t="s">
        <v>106</v>
      </c>
      <c r="E110" s="14">
        <v>244510.91</v>
      </c>
      <c r="F110" s="14">
        <v>226822.53567025001</v>
      </c>
      <c r="G110" s="14">
        <v>146107.69999999998</v>
      </c>
      <c r="H110" s="14">
        <v>0</v>
      </c>
      <c r="I110" s="13">
        <f t="shared" si="1"/>
        <v>617441.14567024994</v>
      </c>
    </row>
    <row r="111" spans="1:9" ht="15.75" x14ac:dyDescent="0.25">
      <c r="A111" s="8"/>
      <c r="B111" s="8"/>
      <c r="C111" s="9"/>
      <c r="D111" s="12" t="s">
        <v>107</v>
      </c>
      <c r="E111" s="14">
        <v>376.47</v>
      </c>
      <c r="F111" s="14">
        <v>3542.5227852160006</v>
      </c>
      <c r="G111" s="14">
        <v>3375667.7700000005</v>
      </c>
      <c r="H111" s="14">
        <v>0</v>
      </c>
      <c r="I111" s="13">
        <f t="shared" si="1"/>
        <v>3379586.7627852163</v>
      </c>
    </row>
    <row r="112" spans="1:9" ht="15.75" x14ac:dyDescent="0.25">
      <c r="A112" s="8"/>
      <c r="B112" s="8"/>
      <c r="C112" s="9"/>
      <c r="D112" s="12" t="s">
        <v>108</v>
      </c>
      <c r="E112" s="14">
        <v>295794.13</v>
      </c>
      <c r="F112" s="14">
        <v>242292.19359373403</v>
      </c>
      <c r="G112" s="14">
        <v>395037.41999999993</v>
      </c>
      <c r="H112" s="14">
        <v>0</v>
      </c>
      <c r="I112" s="13">
        <f t="shared" si="1"/>
        <v>933123.74359373399</v>
      </c>
    </row>
    <row r="113" spans="1:9" ht="15.75" x14ac:dyDescent="0.25">
      <c r="A113" s="8"/>
      <c r="B113" s="8"/>
      <c r="C113" s="9"/>
      <c r="D113" s="12" t="s">
        <v>109</v>
      </c>
      <c r="E113" s="14">
        <v>269416.80000000005</v>
      </c>
      <c r="F113" s="14">
        <v>583370.7155078121</v>
      </c>
      <c r="G113" s="14">
        <v>312069.84999999992</v>
      </c>
      <c r="H113" s="14">
        <v>0</v>
      </c>
      <c r="I113" s="13">
        <f t="shared" si="1"/>
        <v>1164857.365507812</v>
      </c>
    </row>
    <row r="114" spans="1:9" ht="15.75" x14ac:dyDescent="0.25">
      <c r="A114" s="8"/>
      <c r="B114" s="8"/>
      <c r="C114" s="9"/>
      <c r="D114" s="12" t="s">
        <v>110</v>
      </c>
      <c r="E114" s="14">
        <v>421107.26</v>
      </c>
      <c r="F114" s="14">
        <v>669103.61747828405</v>
      </c>
      <c r="G114" s="14">
        <v>580413.90999999992</v>
      </c>
      <c r="H114" s="14">
        <v>0</v>
      </c>
      <c r="I114" s="13">
        <f t="shared" si="1"/>
        <v>1670624.787478284</v>
      </c>
    </row>
    <row r="115" spans="1:9" ht="15.75" x14ac:dyDescent="0.25">
      <c r="A115" s="8"/>
      <c r="B115" s="8"/>
      <c r="C115" s="9"/>
      <c r="D115" s="12" t="s">
        <v>111</v>
      </c>
      <c r="E115" s="14">
        <v>741770.60000000009</v>
      </c>
      <c r="F115" s="14">
        <v>330826.38396229804</v>
      </c>
      <c r="G115" s="14">
        <v>890696.05</v>
      </c>
      <c r="H115" s="14">
        <v>0</v>
      </c>
      <c r="I115" s="13">
        <f t="shared" si="1"/>
        <v>1963293.0339622982</v>
      </c>
    </row>
    <row r="116" spans="1:9" ht="15.75" x14ac:dyDescent="0.25">
      <c r="A116" s="8"/>
      <c r="B116" s="8"/>
      <c r="C116" s="9"/>
      <c r="D116" s="12" t="s">
        <v>112</v>
      </c>
      <c r="E116" s="14">
        <v>160830.45000000001</v>
      </c>
      <c r="F116" s="14">
        <v>429607.89907233603</v>
      </c>
      <c r="G116" s="14">
        <v>164266.51000000004</v>
      </c>
      <c r="H116" s="14">
        <v>0</v>
      </c>
      <c r="I116" s="13">
        <f t="shared" si="1"/>
        <v>754704.859072336</v>
      </c>
    </row>
    <row r="117" spans="1:9" ht="15.75" x14ac:dyDescent="0.25">
      <c r="A117" s="8"/>
      <c r="B117" s="8"/>
      <c r="C117" s="9"/>
      <c r="D117" s="12" t="s">
        <v>113</v>
      </c>
      <c r="E117" s="14">
        <v>130911.41999999998</v>
      </c>
      <c r="F117" s="14">
        <v>331755.33355135605</v>
      </c>
      <c r="G117" s="14">
        <v>471003.23</v>
      </c>
      <c r="H117" s="14">
        <v>0</v>
      </c>
      <c r="I117" s="13">
        <f t="shared" si="1"/>
        <v>933669.98355135601</v>
      </c>
    </row>
    <row r="118" spans="1:9" ht="15.75" x14ac:dyDescent="0.25">
      <c r="A118" s="8"/>
      <c r="B118" s="8"/>
      <c r="C118" s="9"/>
      <c r="D118" s="12" t="s">
        <v>114</v>
      </c>
      <c r="E118" s="14">
        <v>416674.73999999982</v>
      </c>
      <c r="F118" s="14">
        <v>518137.27623059403</v>
      </c>
      <c r="G118" s="14">
        <v>471515.45</v>
      </c>
      <c r="H118" s="14">
        <v>0</v>
      </c>
      <c r="I118" s="13">
        <f t="shared" si="1"/>
        <v>1406327.4662305939</v>
      </c>
    </row>
    <row r="119" spans="1:9" ht="15.75" x14ac:dyDescent="0.25">
      <c r="A119" s="8"/>
      <c r="B119" s="8"/>
      <c r="C119" s="9"/>
      <c r="D119" s="12" t="s">
        <v>115</v>
      </c>
      <c r="E119" s="14">
        <v>29918.59</v>
      </c>
      <c r="F119" s="14">
        <v>50322.113749230004</v>
      </c>
      <c r="G119" s="14">
        <v>314969.57</v>
      </c>
      <c r="H119" s="14">
        <v>0</v>
      </c>
      <c r="I119" s="13">
        <f t="shared" si="1"/>
        <v>395210.27374923002</v>
      </c>
    </row>
    <row r="120" spans="1:9" ht="15.75" x14ac:dyDescent="0.25">
      <c r="A120" s="8"/>
      <c r="B120" s="8"/>
      <c r="C120" s="9"/>
      <c r="D120" s="12" t="s">
        <v>116</v>
      </c>
      <c r="E120" s="14">
        <v>484317.69999999995</v>
      </c>
      <c r="F120" s="14">
        <v>219930.01851205801</v>
      </c>
      <c r="G120" s="14">
        <v>647943.25</v>
      </c>
      <c r="H120" s="14">
        <v>0</v>
      </c>
      <c r="I120" s="13">
        <f t="shared" si="1"/>
        <v>1352190.968512058</v>
      </c>
    </row>
    <row r="121" spans="1:9" ht="15.75" x14ac:dyDescent="0.25">
      <c r="A121" s="8"/>
      <c r="B121" s="8"/>
      <c r="C121" s="9"/>
      <c r="D121" s="12" t="s">
        <v>117</v>
      </c>
      <c r="E121" s="14">
        <v>845786.12000000011</v>
      </c>
      <c r="F121" s="14">
        <v>326350.09837771807</v>
      </c>
      <c r="G121" s="14">
        <v>358575.69000000006</v>
      </c>
      <c r="H121" s="14">
        <v>0</v>
      </c>
      <c r="I121" s="13">
        <f t="shared" si="1"/>
        <v>1530711.9083777182</v>
      </c>
    </row>
    <row r="122" spans="1:9" ht="15.75" x14ac:dyDescent="0.25">
      <c r="A122" s="8"/>
      <c r="B122" s="8"/>
      <c r="C122" s="9"/>
      <c r="D122" s="12" t="s">
        <v>118</v>
      </c>
      <c r="E122" s="14">
        <v>617059.07999999996</v>
      </c>
      <c r="F122" s="14">
        <v>240617.19640724605</v>
      </c>
      <c r="G122" s="14">
        <v>506339.27</v>
      </c>
      <c r="H122" s="14">
        <v>0</v>
      </c>
      <c r="I122" s="13">
        <f t="shared" si="1"/>
        <v>1364015.546407246</v>
      </c>
    </row>
    <row r="123" spans="1:9" ht="15.75" x14ac:dyDescent="0.25">
      <c r="A123" s="8"/>
      <c r="B123" s="8"/>
      <c r="C123" s="9"/>
      <c r="D123" s="12" t="s">
        <v>119</v>
      </c>
      <c r="E123" s="14">
        <v>557712.82999999996</v>
      </c>
      <c r="F123" s="14">
        <v>442093.36660610005</v>
      </c>
      <c r="G123" s="14">
        <v>278440.01999999996</v>
      </c>
      <c r="H123" s="14">
        <v>0</v>
      </c>
      <c r="I123" s="13">
        <f t="shared" si="1"/>
        <v>1278246.2166061001</v>
      </c>
    </row>
    <row r="124" spans="1:9" ht="15.75" x14ac:dyDescent="0.25">
      <c r="A124" s="8"/>
      <c r="B124" s="8"/>
      <c r="C124" s="9"/>
      <c r="D124" s="12" t="s">
        <v>120</v>
      </c>
      <c r="E124" s="14">
        <v>120315.95999999999</v>
      </c>
      <c r="F124" s="14">
        <v>0</v>
      </c>
      <c r="G124" s="14">
        <v>1326420.6299999999</v>
      </c>
      <c r="H124" s="14">
        <v>943575.3600000001</v>
      </c>
      <c r="I124" s="13">
        <f t="shared" si="1"/>
        <v>2390311.9500000002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4323830.62</v>
      </c>
      <c r="H125" s="14">
        <v>135696.13</v>
      </c>
      <c r="I125" s="13">
        <f t="shared" si="1"/>
        <v>4459526.75</v>
      </c>
    </row>
    <row r="126" spans="1:9" ht="15.75" x14ac:dyDescent="0.25">
      <c r="A126" s="8"/>
      <c r="B126" s="8"/>
      <c r="C126" s="9"/>
      <c r="D126" s="12" t="s">
        <v>122</v>
      </c>
      <c r="E126" s="14">
        <v>4664.82</v>
      </c>
      <c r="F126" s="14">
        <v>0</v>
      </c>
      <c r="G126" s="14">
        <v>1545726.2599999998</v>
      </c>
      <c r="H126" s="14">
        <v>0</v>
      </c>
      <c r="I126" s="13">
        <f t="shared" si="1"/>
        <v>1550391.0799999998</v>
      </c>
    </row>
    <row r="127" spans="1:9" ht="15.75" x14ac:dyDescent="0.25">
      <c r="A127" s="8"/>
      <c r="B127" s="8"/>
      <c r="C127" s="9"/>
      <c r="D127" s="12" t="s">
        <v>123</v>
      </c>
      <c r="E127" s="14">
        <v>259601.8</v>
      </c>
      <c r="F127" s="14">
        <v>93188.56473446601</v>
      </c>
      <c r="G127" s="14">
        <v>5394184.2799999993</v>
      </c>
      <c r="H127" s="14">
        <v>0</v>
      </c>
      <c r="I127" s="13">
        <f t="shared" si="1"/>
        <v>5746974.6447344655</v>
      </c>
    </row>
    <row r="128" spans="1:9" ht="15.75" x14ac:dyDescent="0.25">
      <c r="A128" s="8"/>
      <c r="B128" s="8"/>
      <c r="C128" s="9"/>
      <c r="D128" s="12" t="s">
        <v>124</v>
      </c>
      <c r="E128" s="14">
        <v>813189.89999999991</v>
      </c>
      <c r="F128" s="14">
        <v>290751.59495454206</v>
      </c>
      <c r="G128" s="14">
        <v>709199.91000000015</v>
      </c>
      <c r="H128" s="14">
        <v>0</v>
      </c>
      <c r="I128" s="13">
        <f t="shared" si="1"/>
        <v>1813141.4049545422</v>
      </c>
    </row>
    <row r="129" spans="1:9" ht="15.75" x14ac:dyDescent="0.25">
      <c r="A129" s="8"/>
      <c r="B129" s="8"/>
      <c r="C129" s="9"/>
      <c r="D129" s="12" t="s">
        <v>125</v>
      </c>
      <c r="E129" s="14">
        <v>199644.12999999998</v>
      </c>
      <c r="F129" s="14">
        <v>140719.01650621602</v>
      </c>
      <c r="G129" s="14">
        <v>296245.78999999998</v>
      </c>
      <c r="H129" s="14">
        <v>0</v>
      </c>
      <c r="I129" s="13">
        <f t="shared" si="1"/>
        <v>636608.93650621595</v>
      </c>
    </row>
    <row r="130" spans="1:9" ht="15.75" x14ac:dyDescent="0.25">
      <c r="A130" s="8"/>
      <c r="B130" s="8"/>
      <c r="C130" s="9"/>
      <c r="D130" s="12" t="s">
        <v>126</v>
      </c>
      <c r="E130" s="14">
        <v>108245.79</v>
      </c>
      <c r="F130" s="14">
        <v>247885.14396930602</v>
      </c>
      <c r="G130" s="14">
        <v>129173.59000000001</v>
      </c>
      <c r="H130" s="14">
        <v>0</v>
      </c>
      <c r="I130" s="13">
        <f t="shared" si="1"/>
        <v>485304.52396930603</v>
      </c>
    </row>
    <row r="131" spans="1:9" ht="15.75" x14ac:dyDescent="0.25">
      <c r="A131" s="8"/>
      <c r="B131" s="8"/>
      <c r="C131" s="9"/>
      <c r="D131" s="12" t="s">
        <v>127</v>
      </c>
      <c r="E131" s="14">
        <v>1182909.0900000001</v>
      </c>
      <c r="F131" s="14">
        <v>1354798.3708813502</v>
      </c>
      <c r="G131" s="14">
        <v>2790247.1900000009</v>
      </c>
      <c r="H131" s="14">
        <v>0</v>
      </c>
      <c r="I131" s="13">
        <f t="shared" si="1"/>
        <v>5327954.6508813519</v>
      </c>
    </row>
    <row r="132" spans="1:9" ht="15.75" x14ac:dyDescent="0.25">
      <c r="A132" s="8"/>
      <c r="B132" s="8"/>
      <c r="C132" s="9"/>
      <c r="D132" s="12" t="s">
        <v>128</v>
      </c>
      <c r="E132" s="14">
        <v>156269.99999999997</v>
      </c>
      <c r="F132" s="14">
        <v>831255.85947711812</v>
      </c>
      <c r="G132" s="14">
        <v>79622.920000000013</v>
      </c>
      <c r="H132" s="14">
        <v>0</v>
      </c>
      <c r="I132" s="13">
        <f t="shared" si="1"/>
        <v>1067148.779477118</v>
      </c>
    </row>
    <row r="133" spans="1:9" ht="15.75" x14ac:dyDescent="0.25">
      <c r="A133" s="8"/>
      <c r="B133" s="8"/>
      <c r="C133" s="9"/>
      <c r="D133" s="12" t="s">
        <v>129</v>
      </c>
      <c r="E133" s="14">
        <v>37899.770000000004</v>
      </c>
      <c r="F133" s="14">
        <v>0</v>
      </c>
      <c r="G133" s="14">
        <v>3435317.4</v>
      </c>
      <c r="H133" s="14">
        <v>571126.23499999999</v>
      </c>
      <c r="I133" s="13">
        <f t="shared" si="1"/>
        <v>4044343.4049999998</v>
      </c>
    </row>
    <row r="134" spans="1:9" ht="15.75" x14ac:dyDescent="0.25">
      <c r="A134" s="8"/>
      <c r="B134" s="8"/>
      <c r="C134" s="9"/>
      <c r="D134" s="12" t="s">
        <v>130</v>
      </c>
      <c r="E134" s="14">
        <v>41963.87</v>
      </c>
      <c r="F134" s="14">
        <v>41003.738596814008</v>
      </c>
      <c r="G134" s="14">
        <v>7188.6800000000012</v>
      </c>
      <c r="H134" s="14">
        <v>0</v>
      </c>
      <c r="I134" s="13">
        <f t="shared" si="1"/>
        <v>90156.288596814018</v>
      </c>
    </row>
    <row r="135" spans="1:9" ht="15.75" x14ac:dyDescent="0.25">
      <c r="A135" s="8"/>
      <c r="B135" s="8"/>
      <c r="C135" s="9"/>
      <c r="D135" s="12" t="s">
        <v>131</v>
      </c>
      <c r="E135" s="14">
        <v>203213.39</v>
      </c>
      <c r="F135" s="14">
        <v>518137.27623059403</v>
      </c>
      <c r="G135" s="14">
        <v>112397.70999999999</v>
      </c>
      <c r="H135" s="14">
        <v>0</v>
      </c>
      <c r="I135" s="13">
        <f t="shared" si="1"/>
        <v>833748.376230594</v>
      </c>
    </row>
    <row r="136" spans="1:9" ht="15.75" x14ac:dyDescent="0.25">
      <c r="A136" s="8"/>
      <c r="B136" s="8"/>
      <c r="C136" s="9"/>
      <c r="D136" s="12" t="s">
        <v>132</v>
      </c>
      <c r="E136" s="14">
        <v>733331.98999999987</v>
      </c>
      <c r="F136" s="14">
        <v>626237.16649304808</v>
      </c>
      <c r="G136" s="14">
        <v>1018964.4000000001</v>
      </c>
      <c r="H136" s="14">
        <v>0</v>
      </c>
      <c r="I136" s="13">
        <f t="shared" si="1"/>
        <v>2378533.5564930481</v>
      </c>
    </row>
    <row r="137" spans="1:9" ht="15.75" x14ac:dyDescent="0.25">
      <c r="A137" s="8"/>
      <c r="B137" s="8"/>
      <c r="C137" s="9"/>
      <c r="D137" s="12" t="s">
        <v>133</v>
      </c>
      <c r="E137" s="14">
        <v>703808.16</v>
      </c>
      <c r="F137" s="14">
        <v>984648.05871903221</v>
      </c>
      <c r="G137" s="14">
        <v>1641184.53</v>
      </c>
      <c r="H137" s="14">
        <v>0</v>
      </c>
      <c r="I137" s="13">
        <f t="shared" si="1"/>
        <v>3329640.7487190319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2444051.42</v>
      </c>
      <c r="H138" s="14">
        <v>0</v>
      </c>
      <c r="I138" s="13">
        <f t="shared" ref="I138:I144" si="2">SUM(E138:H138)</f>
        <v>2444051.42</v>
      </c>
    </row>
    <row r="139" spans="1:9" ht="15.75" x14ac:dyDescent="0.25">
      <c r="A139" s="8"/>
      <c r="B139" s="8"/>
      <c r="C139" s="9"/>
      <c r="D139" s="12" t="s">
        <v>135</v>
      </c>
      <c r="E139" s="14">
        <v>107422.63</v>
      </c>
      <c r="F139" s="14">
        <v>147428.63167278003</v>
      </c>
      <c r="G139" s="14">
        <v>236584.93</v>
      </c>
      <c r="H139" s="14">
        <v>0</v>
      </c>
      <c r="I139" s="13">
        <f t="shared" si="2"/>
        <v>491436.19167278003</v>
      </c>
    </row>
    <row r="140" spans="1:9" ht="15.75" x14ac:dyDescent="0.25">
      <c r="A140" s="8"/>
      <c r="B140" s="8"/>
      <c r="C140" s="9"/>
      <c r="D140" s="12" t="s">
        <v>136</v>
      </c>
      <c r="E140" s="14">
        <v>753352.42</v>
      </c>
      <c r="F140" s="14">
        <v>1045592.9276136041</v>
      </c>
      <c r="G140" s="14">
        <v>671650.06</v>
      </c>
      <c r="H140" s="14">
        <v>0</v>
      </c>
      <c r="I140" s="13">
        <f t="shared" si="2"/>
        <v>2470595.4076136043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3154195.4800000004</v>
      </c>
      <c r="H141" s="14">
        <v>70099.839999999997</v>
      </c>
      <c r="I141" s="13">
        <f t="shared" si="2"/>
        <v>3224295.3200000003</v>
      </c>
    </row>
    <row r="142" spans="1:9" ht="15.75" x14ac:dyDescent="0.25">
      <c r="A142" s="8"/>
      <c r="B142" s="8"/>
      <c r="C142" s="9"/>
      <c r="D142" s="12" t="s">
        <v>138</v>
      </c>
      <c r="E142" s="14">
        <v>13516.99</v>
      </c>
      <c r="F142" s="14">
        <v>0</v>
      </c>
      <c r="G142" s="14">
        <v>470248.42000000004</v>
      </c>
      <c r="H142" s="14">
        <v>0</v>
      </c>
      <c r="I142" s="13">
        <f t="shared" si="2"/>
        <v>483765.41000000003</v>
      </c>
    </row>
    <row r="143" spans="1:9" ht="15.75" x14ac:dyDescent="0.25">
      <c r="A143" s="8"/>
      <c r="B143" s="8"/>
      <c r="C143" s="9"/>
      <c r="D143" s="12" t="s">
        <v>139</v>
      </c>
      <c r="E143" s="14">
        <v>50014.53</v>
      </c>
      <c r="F143" s="14">
        <v>966381.92560776207</v>
      </c>
      <c r="G143" s="14">
        <v>82478.000000000015</v>
      </c>
      <c r="H143" s="14">
        <v>0</v>
      </c>
      <c r="I143" s="13">
        <f t="shared" si="2"/>
        <v>1098874.4556077621</v>
      </c>
    </row>
    <row r="144" spans="1:9" ht="15.75" x14ac:dyDescent="0.25">
      <c r="A144" s="8"/>
      <c r="B144" s="8"/>
      <c r="C144" s="9"/>
      <c r="D144" s="12" t="s">
        <v>140</v>
      </c>
      <c r="E144" s="14">
        <v>488283.36999999988</v>
      </c>
      <c r="F144" s="14">
        <v>117418.26541486999</v>
      </c>
      <c r="G144" s="14">
        <v>626231.31999999995</v>
      </c>
      <c r="H144" s="14">
        <v>0</v>
      </c>
      <c r="I144" s="13">
        <f t="shared" si="2"/>
        <v>1231932.9554148698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49463991.570000008</v>
      </c>
      <c r="F145" s="22">
        <f t="shared" ref="F145:I145" si="3">SUM(F10:F144)</f>
        <v>48129869.730418012</v>
      </c>
      <c r="G145" s="22">
        <f t="shared" si="3"/>
        <v>137001127.50999996</v>
      </c>
      <c r="H145" s="22">
        <f t="shared" si="3"/>
        <v>1720497.5650000002</v>
      </c>
      <c r="I145" s="22">
        <f t="shared" si="3"/>
        <v>236315486.37541798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162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163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102682.78999999998</v>
      </c>
      <c r="F10" s="14">
        <v>1998787.4554192384</v>
      </c>
      <c r="G10" s="14">
        <v>232079.41999999998</v>
      </c>
      <c r="H10" s="14">
        <v>0</v>
      </c>
      <c r="I10" s="13">
        <f t="shared" ref="I10:I73" si="0">SUM(E10:H10)</f>
        <v>2333549.6654192382</v>
      </c>
    </row>
    <row r="11" spans="1:9" ht="15.75" x14ac:dyDescent="0.25">
      <c r="A11" s="8"/>
      <c r="B11" s="8"/>
      <c r="C11" s="9"/>
      <c r="D11" s="12" t="s">
        <v>7</v>
      </c>
      <c r="E11" s="14">
        <v>137029.84999999998</v>
      </c>
      <c r="F11" s="14">
        <v>1121872.1495739124</v>
      </c>
      <c r="G11" s="14">
        <v>210542.17</v>
      </c>
      <c r="H11" s="14">
        <v>0</v>
      </c>
      <c r="I11" s="13">
        <f t="shared" si="0"/>
        <v>1469444.1695739124</v>
      </c>
    </row>
    <row r="12" spans="1:9" ht="15.75" x14ac:dyDescent="0.25">
      <c r="A12" s="8"/>
      <c r="B12" s="8"/>
      <c r="C12" s="9"/>
      <c r="D12" s="12" t="s">
        <v>8</v>
      </c>
      <c r="E12" s="14">
        <v>319765.93000000005</v>
      </c>
      <c r="F12" s="14">
        <v>406711.53495541809</v>
      </c>
      <c r="G12" s="14">
        <v>231478.37999999998</v>
      </c>
      <c r="H12" s="14">
        <v>0</v>
      </c>
      <c r="I12" s="13">
        <f t="shared" si="0"/>
        <v>957955.84495541814</v>
      </c>
    </row>
    <row r="13" spans="1:9" ht="15.75" x14ac:dyDescent="0.25">
      <c r="A13" s="8"/>
      <c r="B13" s="8"/>
      <c r="C13" s="9"/>
      <c r="D13" s="12" t="s">
        <v>9</v>
      </c>
      <c r="E13" s="14">
        <v>462877.06000000006</v>
      </c>
      <c r="F13" s="14">
        <v>10762.651809756004</v>
      </c>
      <c r="G13" s="14">
        <v>1824613.9000000001</v>
      </c>
      <c r="H13" s="14">
        <v>0</v>
      </c>
      <c r="I13" s="13">
        <f t="shared" si="0"/>
        <v>2298253.6118097561</v>
      </c>
    </row>
    <row r="14" spans="1:9" ht="15.75" x14ac:dyDescent="0.25">
      <c r="A14" s="8"/>
      <c r="B14" s="8"/>
      <c r="C14" s="9"/>
      <c r="D14" s="12" t="s">
        <v>10</v>
      </c>
      <c r="E14" s="14">
        <v>556493.19999999995</v>
      </c>
      <c r="F14" s="14">
        <v>451901.70550602011</v>
      </c>
      <c r="G14" s="14">
        <v>346456.68</v>
      </c>
      <c r="H14" s="14">
        <v>0</v>
      </c>
      <c r="I14" s="13">
        <f t="shared" si="0"/>
        <v>1354851.5855060201</v>
      </c>
    </row>
    <row r="15" spans="1:9" ht="15.75" x14ac:dyDescent="0.25">
      <c r="A15" s="8"/>
      <c r="B15" s="8"/>
      <c r="C15" s="9"/>
      <c r="D15" s="12" t="s">
        <v>11</v>
      </c>
      <c r="E15" s="14">
        <v>20355.89</v>
      </c>
      <c r="F15" s="14">
        <v>2510.050465098001</v>
      </c>
      <c r="G15" s="14">
        <v>1639504.6</v>
      </c>
      <c r="H15" s="14">
        <v>0</v>
      </c>
      <c r="I15" s="13">
        <f t="shared" si="0"/>
        <v>1662370.5404650981</v>
      </c>
    </row>
    <row r="16" spans="1:9" ht="15.75" x14ac:dyDescent="0.25">
      <c r="A16" s="8"/>
      <c r="B16" s="8"/>
      <c r="C16" s="9"/>
      <c r="D16" s="12" t="s">
        <v>12</v>
      </c>
      <c r="E16" s="14">
        <v>463302.7</v>
      </c>
      <c r="F16" s="14">
        <v>2154799.5957665108</v>
      </c>
      <c r="G16" s="14">
        <v>390200.3</v>
      </c>
      <c r="H16" s="14">
        <v>0</v>
      </c>
      <c r="I16" s="13">
        <f t="shared" si="0"/>
        <v>3008302.5957665108</v>
      </c>
    </row>
    <row r="17" spans="1:9" ht="15.75" x14ac:dyDescent="0.25">
      <c r="A17" s="8"/>
      <c r="B17" s="8"/>
      <c r="C17" s="9"/>
      <c r="D17" s="12" t="s">
        <v>13</v>
      </c>
      <c r="E17" s="14">
        <v>676669.69</v>
      </c>
      <c r="F17" s="14">
        <v>1979781.4644436624</v>
      </c>
      <c r="G17" s="14">
        <v>707252.02</v>
      </c>
      <c r="H17" s="14">
        <v>0</v>
      </c>
      <c r="I17" s="13">
        <f t="shared" si="0"/>
        <v>3363703.1744436626</v>
      </c>
    </row>
    <row r="18" spans="1:9" ht="15.75" x14ac:dyDescent="0.25">
      <c r="A18" s="8"/>
      <c r="B18" s="8"/>
      <c r="C18" s="9"/>
      <c r="D18" s="12" t="s">
        <v>14</v>
      </c>
      <c r="E18" s="14">
        <v>180115.90999999997</v>
      </c>
      <c r="F18" s="14">
        <v>161393.46625215001</v>
      </c>
      <c r="G18" s="14">
        <v>3318962.04</v>
      </c>
      <c r="H18" s="14">
        <v>0</v>
      </c>
      <c r="I18" s="13">
        <f t="shared" si="0"/>
        <v>3660471.4162521502</v>
      </c>
    </row>
    <row r="19" spans="1:9" ht="15.75" x14ac:dyDescent="0.25">
      <c r="A19" s="8"/>
      <c r="B19" s="8"/>
      <c r="C19" s="9"/>
      <c r="D19" s="12" t="s">
        <v>15</v>
      </c>
      <c r="E19" s="14">
        <v>1128461.6200000001</v>
      </c>
      <c r="F19" s="14">
        <v>1540430.0112631326</v>
      </c>
      <c r="G19" s="14">
        <v>545257.82000000007</v>
      </c>
      <c r="H19" s="14">
        <v>0</v>
      </c>
      <c r="I19" s="13">
        <f t="shared" si="0"/>
        <v>3214149.4512631325</v>
      </c>
    </row>
    <row r="20" spans="1:9" ht="15.75" x14ac:dyDescent="0.25">
      <c r="A20" s="8"/>
      <c r="B20" s="8"/>
      <c r="C20" s="9"/>
      <c r="D20" s="12" t="s">
        <v>16</v>
      </c>
      <c r="E20" s="14">
        <v>387172.32000000007</v>
      </c>
      <c r="F20" s="14">
        <v>423216.73764473409</v>
      </c>
      <c r="G20" s="14">
        <v>264670.78999999998</v>
      </c>
      <c r="H20" s="14">
        <v>0</v>
      </c>
      <c r="I20" s="13">
        <f t="shared" si="0"/>
        <v>1075059.8476447342</v>
      </c>
    </row>
    <row r="21" spans="1:9" ht="15.75" x14ac:dyDescent="0.25">
      <c r="A21" s="8"/>
      <c r="B21" s="8"/>
      <c r="C21" s="9"/>
      <c r="D21" s="12" t="s">
        <v>17</v>
      </c>
      <c r="E21" s="14">
        <v>389432.49000000005</v>
      </c>
      <c r="F21" s="14">
        <v>1842775.3150719665</v>
      </c>
      <c r="G21" s="14">
        <v>189740.35000000003</v>
      </c>
      <c r="H21" s="14">
        <v>0</v>
      </c>
      <c r="I21" s="13">
        <f t="shared" si="0"/>
        <v>2421948.1550719668</v>
      </c>
    </row>
    <row r="22" spans="1:9" ht="15.75" x14ac:dyDescent="0.25">
      <c r="A22" s="8"/>
      <c r="B22" s="8"/>
      <c r="C22" s="9"/>
      <c r="D22" s="12" t="s">
        <v>18</v>
      </c>
      <c r="E22" s="14">
        <v>116489.70000000001</v>
      </c>
      <c r="F22" s="14">
        <v>78904.501520922029</v>
      </c>
      <c r="G22" s="14">
        <v>1176890.1300000001</v>
      </c>
      <c r="H22" s="14">
        <v>0</v>
      </c>
      <c r="I22" s="13">
        <f t="shared" si="0"/>
        <v>1372284.3315209222</v>
      </c>
    </row>
    <row r="23" spans="1:9" ht="15.75" x14ac:dyDescent="0.25">
      <c r="A23" s="8"/>
      <c r="B23" s="8"/>
      <c r="C23" s="9"/>
      <c r="D23" s="12" t="s">
        <v>19</v>
      </c>
      <c r="E23" s="14">
        <v>5300.56</v>
      </c>
      <c r="F23" s="14">
        <v>29407.417810650004</v>
      </c>
      <c r="G23" s="14">
        <v>446417.11999999994</v>
      </c>
      <c r="H23" s="14">
        <v>0</v>
      </c>
      <c r="I23" s="13">
        <f t="shared" si="0"/>
        <v>481125.09781064995</v>
      </c>
    </row>
    <row r="24" spans="1:9" ht="15.75" x14ac:dyDescent="0.25">
      <c r="A24" s="8"/>
      <c r="B24" s="8"/>
      <c r="C24" s="9"/>
      <c r="D24" s="12" t="s">
        <v>20</v>
      </c>
      <c r="E24" s="14">
        <v>752386.81</v>
      </c>
      <c r="F24" s="14">
        <v>1130124.7509185704</v>
      </c>
      <c r="G24" s="14">
        <v>592424.39999999991</v>
      </c>
      <c r="H24" s="14">
        <v>0</v>
      </c>
      <c r="I24" s="13">
        <f t="shared" si="0"/>
        <v>2474935.9609185704</v>
      </c>
    </row>
    <row r="25" spans="1:9" ht="15.75" x14ac:dyDescent="0.25">
      <c r="A25" s="8"/>
      <c r="B25" s="8"/>
      <c r="C25" s="9"/>
      <c r="D25" s="12" t="s">
        <v>21</v>
      </c>
      <c r="E25" s="14">
        <v>403878.11000000004</v>
      </c>
      <c r="F25" s="14">
        <v>839255.28669001814</v>
      </c>
      <c r="G25" s="14">
        <v>597241.24</v>
      </c>
      <c r="H25" s="14">
        <v>0</v>
      </c>
      <c r="I25" s="13">
        <f t="shared" si="0"/>
        <v>1840374.6366900182</v>
      </c>
    </row>
    <row r="26" spans="1:9" ht="15.75" x14ac:dyDescent="0.25">
      <c r="A26" s="8"/>
      <c r="B26" s="8"/>
      <c r="C26" s="9"/>
      <c r="D26" s="12" t="s">
        <v>22</v>
      </c>
      <c r="E26" s="14">
        <v>241469.54999999996</v>
      </c>
      <c r="F26" s="14">
        <v>480595.93554614414</v>
      </c>
      <c r="G26" s="14">
        <v>208683.78</v>
      </c>
      <c r="H26" s="14">
        <v>0</v>
      </c>
      <c r="I26" s="13">
        <f t="shared" si="0"/>
        <v>930749.2655461441</v>
      </c>
    </row>
    <row r="27" spans="1:9" ht="15.75" x14ac:dyDescent="0.25">
      <c r="A27" s="8"/>
      <c r="B27" s="8"/>
      <c r="C27" s="9"/>
      <c r="D27" s="12" t="s">
        <v>23</v>
      </c>
      <c r="E27" s="14">
        <v>100496.09999999999</v>
      </c>
      <c r="F27" s="14">
        <v>82488.964731228014</v>
      </c>
      <c r="G27" s="14">
        <v>524716.62</v>
      </c>
      <c r="H27" s="14">
        <v>0</v>
      </c>
      <c r="I27" s="13">
        <f t="shared" si="0"/>
        <v>707701.68473122804</v>
      </c>
    </row>
    <row r="28" spans="1:9" ht="15.75" x14ac:dyDescent="0.25">
      <c r="A28" s="8"/>
      <c r="B28" s="8"/>
      <c r="C28" s="9"/>
      <c r="D28" s="12" t="s">
        <v>24</v>
      </c>
      <c r="E28" s="14">
        <v>185593.36000000002</v>
      </c>
      <c r="F28" s="14">
        <v>390938.0443943041</v>
      </c>
      <c r="G28" s="14">
        <v>385890.34000000008</v>
      </c>
      <c r="H28" s="14">
        <v>0</v>
      </c>
      <c r="I28" s="13">
        <f t="shared" si="0"/>
        <v>962421.74439430423</v>
      </c>
    </row>
    <row r="29" spans="1:9" ht="15.75" x14ac:dyDescent="0.25">
      <c r="A29" s="8"/>
      <c r="B29" s="8"/>
      <c r="C29" s="9"/>
      <c r="D29" s="12" t="s">
        <v>25</v>
      </c>
      <c r="E29" s="14">
        <v>210435.31999999998</v>
      </c>
      <c r="F29" s="14">
        <v>218781.92633239806</v>
      </c>
      <c r="G29" s="14">
        <v>171285.79000000004</v>
      </c>
      <c r="H29" s="14">
        <v>0</v>
      </c>
      <c r="I29" s="13">
        <f t="shared" si="0"/>
        <v>600503.03633239807</v>
      </c>
    </row>
    <row r="30" spans="1:9" ht="15.75" x14ac:dyDescent="0.25">
      <c r="A30" s="8"/>
      <c r="B30" s="8"/>
      <c r="C30" s="9"/>
      <c r="D30" s="12" t="s">
        <v>26</v>
      </c>
      <c r="E30" s="14">
        <v>392129.87999999989</v>
      </c>
      <c r="F30" s="14">
        <v>1179973.7974246864</v>
      </c>
      <c r="G30" s="14">
        <v>263666.31</v>
      </c>
      <c r="H30" s="14">
        <v>0</v>
      </c>
      <c r="I30" s="13">
        <f t="shared" si="0"/>
        <v>1835769.9874246863</v>
      </c>
    </row>
    <row r="31" spans="1:9" ht="15.75" x14ac:dyDescent="0.25">
      <c r="A31" s="8"/>
      <c r="B31" s="8"/>
      <c r="C31" s="9"/>
      <c r="D31" s="12" t="s">
        <v>27</v>
      </c>
      <c r="E31" s="14">
        <v>384526.67</v>
      </c>
      <c r="F31" s="14">
        <v>1223015.1424848724</v>
      </c>
      <c r="G31" s="14">
        <v>205194.08000000002</v>
      </c>
      <c r="H31" s="14">
        <v>0</v>
      </c>
      <c r="I31" s="13">
        <f t="shared" si="0"/>
        <v>1812735.8924848724</v>
      </c>
    </row>
    <row r="32" spans="1:9" ht="15.75" x14ac:dyDescent="0.25">
      <c r="A32" s="8"/>
      <c r="B32" s="8"/>
      <c r="C32" s="9"/>
      <c r="D32" s="12" t="s">
        <v>28</v>
      </c>
      <c r="E32" s="14">
        <v>273803.28000000003</v>
      </c>
      <c r="F32" s="14">
        <v>412815.31080966012</v>
      </c>
      <c r="G32" s="14">
        <v>126387.16999999998</v>
      </c>
      <c r="H32" s="14">
        <v>0</v>
      </c>
      <c r="I32" s="13">
        <f t="shared" si="0"/>
        <v>813005.76080966019</v>
      </c>
    </row>
    <row r="33" spans="1:9" ht="15.75" x14ac:dyDescent="0.25">
      <c r="A33" s="8"/>
      <c r="B33" s="8"/>
      <c r="C33" s="9"/>
      <c r="D33" s="12" t="s">
        <v>29</v>
      </c>
      <c r="E33" s="14">
        <v>80889.799999999988</v>
      </c>
      <c r="F33" s="14">
        <v>624057.82356792619</v>
      </c>
      <c r="G33" s="14">
        <v>73997.270000000019</v>
      </c>
      <c r="H33" s="14">
        <v>0</v>
      </c>
      <c r="I33" s="13">
        <f t="shared" si="0"/>
        <v>778944.89356792625</v>
      </c>
    </row>
    <row r="34" spans="1:9" ht="15.75" x14ac:dyDescent="0.25">
      <c r="A34" s="8"/>
      <c r="B34" s="8"/>
      <c r="C34" s="9"/>
      <c r="D34" s="12" t="s">
        <v>30</v>
      </c>
      <c r="E34" s="14">
        <v>831686.79999999981</v>
      </c>
      <c r="F34" s="14">
        <v>895560.07184622029</v>
      </c>
      <c r="G34" s="14">
        <v>569461.79</v>
      </c>
      <c r="H34" s="14">
        <v>0</v>
      </c>
      <c r="I34" s="13">
        <f t="shared" si="0"/>
        <v>2296708.66184622</v>
      </c>
    </row>
    <row r="35" spans="1:9" ht="15.75" x14ac:dyDescent="0.25">
      <c r="A35" s="8"/>
      <c r="B35" s="8"/>
      <c r="C35" s="9"/>
      <c r="D35" s="12" t="s">
        <v>31</v>
      </c>
      <c r="E35" s="14">
        <v>359269.82</v>
      </c>
      <c r="F35" s="14">
        <v>1316627.9840005382</v>
      </c>
      <c r="G35" s="14">
        <v>415581.25</v>
      </c>
      <c r="H35" s="14">
        <v>0</v>
      </c>
      <c r="I35" s="13">
        <f t="shared" si="0"/>
        <v>2091479.0540005383</v>
      </c>
    </row>
    <row r="36" spans="1:9" ht="15.75" x14ac:dyDescent="0.25">
      <c r="A36" s="8"/>
      <c r="B36" s="8"/>
      <c r="C36" s="9"/>
      <c r="D36" s="12" t="s">
        <v>32</v>
      </c>
      <c r="E36" s="14">
        <v>462846.48999999993</v>
      </c>
      <c r="F36" s="14">
        <v>817016.79529998021</v>
      </c>
      <c r="G36" s="14">
        <v>929177.98999999987</v>
      </c>
      <c r="H36" s="14">
        <v>0</v>
      </c>
      <c r="I36" s="13">
        <f t="shared" si="0"/>
        <v>2209041.2752999798</v>
      </c>
    </row>
    <row r="37" spans="1:9" ht="15.75" x14ac:dyDescent="0.25">
      <c r="A37" s="8"/>
      <c r="B37" s="8"/>
      <c r="C37" s="9"/>
      <c r="D37" s="12" t="s">
        <v>33</v>
      </c>
      <c r="E37" s="14">
        <v>441824.43</v>
      </c>
      <c r="F37" s="14">
        <v>451901.70550602011</v>
      </c>
      <c r="G37" s="14">
        <v>250311.62</v>
      </c>
      <c r="H37" s="14">
        <v>0</v>
      </c>
      <c r="I37" s="13">
        <f t="shared" si="0"/>
        <v>1144037.75550602</v>
      </c>
    </row>
    <row r="38" spans="1:9" ht="15.75" x14ac:dyDescent="0.25">
      <c r="A38" s="8"/>
      <c r="B38" s="8"/>
      <c r="C38" s="9"/>
      <c r="D38" s="12" t="s">
        <v>34</v>
      </c>
      <c r="E38" s="14">
        <v>275953.88000000006</v>
      </c>
      <c r="F38" s="14">
        <v>982003.98694127426</v>
      </c>
      <c r="G38" s="14">
        <v>194449.36000000002</v>
      </c>
      <c r="H38" s="14">
        <v>0</v>
      </c>
      <c r="I38" s="13">
        <f t="shared" si="0"/>
        <v>1452407.2269412745</v>
      </c>
    </row>
    <row r="39" spans="1:9" ht="15.75" x14ac:dyDescent="0.25">
      <c r="A39" s="8"/>
      <c r="B39" s="8"/>
      <c r="C39" s="9"/>
      <c r="D39" s="12" t="s">
        <v>35</v>
      </c>
      <c r="E39" s="14">
        <v>123851.87</v>
      </c>
      <c r="F39" s="14">
        <v>1537558.7358233524</v>
      </c>
      <c r="G39" s="14">
        <v>245634.57</v>
      </c>
      <c r="H39" s="14">
        <v>0</v>
      </c>
      <c r="I39" s="13">
        <f t="shared" si="0"/>
        <v>1907045.1758233525</v>
      </c>
    </row>
    <row r="40" spans="1:9" ht="15.75" x14ac:dyDescent="0.25">
      <c r="A40" s="8"/>
      <c r="B40" s="8"/>
      <c r="C40" s="9"/>
      <c r="D40" s="12" t="s">
        <v>36</v>
      </c>
      <c r="E40" s="14">
        <v>88657.63</v>
      </c>
      <c r="F40" s="14">
        <v>80701.364215494017</v>
      </c>
      <c r="G40" s="14">
        <v>310063.02000000008</v>
      </c>
      <c r="H40" s="14">
        <v>0</v>
      </c>
      <c r="I40" s="13">
        <f t="shared" si="0"/>
        <v>479422.0142154941</v>
      </c>
    </row>
    <row r="41" spans="1:9" ht="15.75" x14ac:dyDescent="0.25">
      <c r="A41" s="8"/>
      <c r="B41" s="8"/>
      <c r="C41" s="9"/>
      <c r="D41" s="12" t="s">
        <v>37</v>
      </c>
      <c r="E41" s="14">
        <v>496309.74999999994</v>
      </c>
      <c r="F41" s="14">
        <v>1348545.4522762862</v>
      </c>
      <c r="G41" s="14">
        <v>610165.46</v>
      </c>
      <c r="H41" s="14">
        <v>0</v>
      </c>
      <c r="I41" s="13">
        <f t="shared" si="0"/>
        <v>2455020.6622762862</v>
      </c>
    </row>
    <row r="42" spans="1:9" ht="15.75" x14ac:dyDescent="0.25">
      <c r="A42" s="8"/>
      <c r="B42" s="8"/>
      <c r="C42" s="9"/>
      <c r="D42" s="12" t="s">
        <v>38</v>
      </c>
      <c r="E42" s="14">
        <v>525365.12</v>
      </c>
      <c r="F42" s="14">
        <v>1460451.0969970021</v>
      </c>
      <c r="G42" s="14">
        <v>175786.63999999998</v>
      </c>
      <c r="H42" s="14">
        <v>0</v>
      </c>
      <c r="I42" s="13">
        <f t="shared" si="0"/>
        <v>2161602.8569970024</v>
      </c>
    </row>
    <row r="43" spans="1:9" ht="15.75" x14ac:dyDescent="0.25">
      <c r="A43" s="8"/>
      <c r="B43" s="8"/>
      <c r="C43" s="9"/>
      <c r="D43" s="12" t="s">
        <v>39</v>
      </c>
      <c r="E43" s="14">
        <v>261449.53</v>
      </c>
      <c r="F43" s="14">
        <v>531167.43200162414</v>
      </c>
      <c r="G43" s="14">
        <v>291116.40999999997</v>
      </c>
      <c r="H43" s="14">
        <v>0</v>
      </c>
      <c r="I43" s="13">
        <f t="shared" si="0"/>
        <v>1083733.3720016242</v>
      </c>
    </row>
    <row r="44" spans="1:9" ht="15.75" x14ac:dyDescent="0.25">
      <c r="A44" s="8"/>
      <c r="B44" s="8"/>
      <c r="C44" s="9"/>
      <c r="D44" s="12" t="s">
        <v>40</v>
      </c>
      <c r="E44" s="14">
        <v>13177.98</v>
      </c>
      <c r="F44" s="14">
        <v>40883.257390932013</v>
      </c>
      <c r="G44" s="14">
        <v>255825.83</v>
      </c>
      <c r="H44" s="14">
        <v>0</v>
      </c>
      <c r="I44" s="13">
        <f t="shared" si="0"/>
        <v>309887.067390932</v>
      </c>
    </row>
    <row r="45" spans="1:9" ht="15.75" x14ac:dyDescent="0.25">
      <c r="A45" s="8"/>
      <c r="B45" s="8"/>
      <c r="C45" s="9"/>
      <c r="D45" s="12" t="s">
        <v>41</v>
      </c>
      <c r="E45" s="14">
        <v>1057636.8599999999</v>
      </c>
      <c r="F45" s="14">
        <v>11837.064554964003</v>
      </c>
      <c r="G45" s="14">
        <v>1193024.32</v>
      </c>
      <c r="H45" s="14">
        <v>0</v>
      </c>
      <c r="I45" s="13">
        <f t="shared" si="0"/>
        <v>2262498.2445549639</v>
      </c>
    </row>
    <row r="46" spans="1:9" ht="15.75" x14ac:dyDescent="0.25">
      <c r="A46" s="8"/>
      <c r="B46" s="8"/>
      <c r="C46" s="9"/>
      <c r="D46" s="12" t="s">
        <v>42</v>
      </c>
      <c r="E46" s="14">
        <v>71819.97</v>
      </c>
      <c r="F46" s="14">
        <v>39447.619671042012</v>
      </c>
      <c r="G46" s="14">
        <v>1024973.74</v>
      </c>
      <c r="H46" s="14">
        <v>0</v>
      </c>
      <c r="I46" s="13">
        <f t="shared" si="0"/>
        <v>1136241.329671042</v>
      </c>
    </row>
    <row r="47" spans="1:9" ht="15.75" x14ac:dyDescent="0.25">
      <c r="A47" s="8"/>
      <c r="B47" s="8"/>
      <c r="C47" s="9"/>
      <c r="D47" s="12" t="s">
        <v>43</v>
      </c>
      <c r="E47" s="14">
        <v>531234.38</v>
      </c>
      <c r="F47" s="14">
        <v>250338.16963346413</v>
      </c>
      <c r="G47" s="14">
        <v>230635.08</v>
      </c>
      <c r="H47" s="14">
        <v>0</v>
      </c>
      <c r="I47" s="13">
        <f t="shared" si="0"/>
        <v>1012207.629633464</v>
      </c>
    </row>
    <row r="48" spans="1:9" ht="15.75" x14ac:dyDescent="0.25">
      <c r="A48" s="8"/>
      <c r="B48" s="8"/>
      <c r="C48" s="9"/>
      <c r="D48" s="12" t="s">
        <v>44</v>
      </c>
      <c r="E48" s="14">
        <v>236631.09999999998</v>
      </c>
      <c r="F48" s="14">
        <v>39447.619671042012</v>
      </c>
      <c r="G48" s="14">
        <v>440612.79</v>
      </c>
      <c r="H48" s="14">
        <v>0</v>
      </c>
      <c r="I48" s="13">
        <f t="shared" si="0"/>
        <v>716691.50967104197</v>
      </c>
    </row>
    <row r="49" spans="1:9" ht="15.75" x14ac:dyDescent="0.25">
      <c r="A49" s="8"/>
      <c r="B49" s="8"/>
      <c r="C49" s="9"/>
      <c r="D49" s="12" t="s">
        <v>45</v>
      </c>
      <c r="E49" s="14">
        <v>69411.619999999981</v>
      </c>
      <c r="F49" s="14">
        <v>46987.033245174011</v>
      </c>
      <c r="G49" s="14">
        <v>837357.56</v>
      </c>
      <c r="H49" s="14">
        <v>0</v>
      </c>
      <c r="I49" s="13">
        <f t="shared" si="0"/>
        <v>953756.21324517403</v>
      </c>
    </row>
    <row r="50" spans="1:9" ht="15.75" x14ac:dyDescent="0.25">
      <c r="A50" s="8"/>
      <c r="B50" s="8"/>
      <c r="C50" s="9"/>
      <c r="D50" s="12" t="s">
        <v>46</v>
      </c>
      <c r="E50" s="14">
        <v>302752.93000000005</v>
      </c>
      <c r="F50" s="14">
        <v>454059.79317527416</v>
      </c>
      <c r="G50" s="14">
        <v>113326.81999999999</v>
      </c>
      <c r="H50" s="14">
        <v>0</v>
      </c>
      <c r="I50" s="13">
        <f t="shared" si="0"/>
        <v>870139.54317527416</v>
      </c>
    </row>
    <row r="51" spans="1:9" ht="15.75" x14ac:dyDescent="0.25">
      <c r="A51" s="8"/>
      <c r="B51" s="8"/>
      <c r="C51" s="9"/>
      <c r="D51" s="12" t="s">
        <v>47</v>
      </c>
      <c r="E51" s="14">
        <v>252196.38</v>
      </c>
      <c r="F51" s="14">
        <v>825621.35944048222</v>
      </c>
      <c r="G51" s="14">
        <v>461970.79</v>
      </c>
      <c r="H51" s="14">
        <v>0</v>
      </c>
      <c r="I51" s="13">
        <f t="shared" si="0"/>
        <v>1539788.5294404821</v>
      </c>
    </row>
    <row r="52" spans="1:9" ht="15.75" x14ac:dyDescent="0.25">
      <c r="A52" s="8"/>
      <c r="B52" s="8"/>
      <c r="C52" s="9"/>
      <c r="D52" s="12" t="s">
        <v>48</v>
      </c>
      <c r="E52" s="14">
        <v>129123.53</v>
      </c>
      <c r="F52" s="14">
        <v>832077.09809056832</v>
      </c>
      <c r="G52" s="14">
        <v>105198.80000000002</v>
      </c>
      <c r="H52" s="14">
        <v>0</v>
      </c>
      <c r="I52" s="13">
        <f t="shared" si="0"/>
        <v>1066399.4280905684</v>
      </c>
    </row>
    <row r="53" spans="1:9" ht="15.75" x14ac:dyDescent="0.25">
      <c r="A53" s="8"/>
      <c r="B53" s="8"/>
      <c r="C53" s="9"/>
      <c r="D53" s="12" t="s">
        <v>49</v>
      </c>
      <c r="E53" s="14">
        <v>258666.56999999998</v>
      </c>
      <c r="F53" s="14">
        <v>570263.08887682215</v>
      </c>
      <c r="G53" s="14">
        <v>499858.86</v>
      </c>
      <c r="H53" s="14">
        <v>0</v>
      </c>
      <c r="I53" s="13">
        <f t="shared" si="0"/>
        <v>1328788.5188768222</v>
      </c>
    </row>
    <row r="54" spans="1:9" ht="15.75" x14ac:dyDescent="0.25">
      <c r="A54" s="8"/>
      <c r="B54" s="8"/>
      <c r="C54" s="9"/>
      <c r="D54" s="12" t="s">
        <v>50</v>
      </c>
      <c r="E54" s="14">
        <v>305632.36</v>
      </c>
      <c r="F54" s="14">
        <v>523637.28060633014</v>
      </c>
      <c r="G54" s="14">
        <v>223388.98</v>
      </c>
      <c r="H54" s="14">
        <v>0</v>
      </c>
      <c r="I54" s="13">
        <f t="shared" si="0"/>
        <v>1052658.6206063302</v>
      </c>
    </row>
    <row r="55" spans="1:9" ht="15.75" x14ac:dyDescent="0.25">
      <c r="A55" s="8"/>
      <c r="B55" s="8"/>
      <c r="C55" s="9"/>
      <c r="D55" s="12" t="s">
        <v>51</v>
      </c>
      <c r="E55" s="14">
        <v>121721.53999999998</v>
      </c>
      <c r="F55" s="14">
        <v>1072384.3280424783</v>
      </c>
      <c r="G55" s="14">
        <v>15616.499999999998</v>
      </c>
      <c r="H55" s="14">
        <v>0</v>
      </c>
      <c r="I55" s="13">
        <f t="shared" si="0"/>
        <v>1209722.3680424783</v>
      </c>
    </row>
    <row r="56" spans="1:9" ht="15.75" x14ac:dyDescent="0.25">
      <c r="A56" s="8"/>
      <c r="B56" s="8"/>
      <c r="C56" s="9"/>
      <c r="D56" s="12" t="s">
        <v>52</v>
      </c>
      <c r="E56" s="14">
        <v>232974.55999999997</v>
      </c>
      <c r="F56" s="14">
        <v>1193607.7246742221</v>
      </c>
      <c r="G56" s="14">
        <v>244831.76</v>
      </c>
      <c r="H56" s="14">
        <v>0</v>
      </c>
      <c r="I56" s="13">
        <f t="shared" si="0"/>
        <v>1671414.0446742221</v>
      </c>
    </row>
    <row r="57" spans="1:9" ht="15.75" x14ac:dyDescent="0.25">
      <c r="A57" s="8"/>
      <c r="B57" s="8"/>
      <c r="C57" s="9"/>
      <c r="D57" s="12" t="s">
        <v>53</v>
      </c>
      <c r="E57" s="14">
        <v>119912.49</v>
      </c>
      <c r="F57" s="14">
        <v>394522.50760461006</v>
      </c>
      <c r="G57" s="14">
        <v>150028.01</v>
      </c>
      <c r="H57" s="14">
        <v>0</v>
      </c>
      <c r="I57" s="13">
        <f t="shared" si="0"/>
        <v>664463.00760461006</v>
      </c>
    </row>
    <row r="58" spans="1:9" ht="15.75" x14ac:dyDescent="0.25">
      <c r="A58" s="8"/>
      <c r="B58" s="8"/>
      <c r="C58" s="9"/>
      <c r="D58" s="12" t="s">
        <v>54</v>
      </c>
      <c r="E58" s="14">
        <v>133188.86000000002</v>
      </c>
      <c r="F58" s="14">
        <v>424652.37536462408</v>
      </c>
      <c r="G58" s="14">
        <v>13269.509999999998</v>
      </c>
      <c r="H58" s="14">
        <v>0</v>
      </c>
      <c r="I58" s="13">
        <f t="shared" si="0"/>
        <v>571110.74536462408</v>
      </c>
    </row>
    <row r="59" spans="1:9" ht="15.75" x14ac:dyDescent="0.25">
      <c r="A59" s="8"/>
      <c r="B59" s="8"/>
      <c r="C59" s="9"/>
      <c r="D59" s="12" t="s">
        <v>55</v>
      </c>
      <c r="E59" s="14">
        <v>420432.74000000005</v>
      </c>
      <c r="F59" s="14">
        <v>717309.44010891009</v>
      </c>
      <c r="G59" s="14">
        <v>159462.05000000002</v>
      </c>
      <c r="H59" s="14">
        <v>0</v>
      </c>
      <c r="I59" s="13">
        <f t="shared" si="0"/>
        <v>1297204.2301089102</v>
      </c>
    </row>
    <row r="60" spans="1:9" ht="15.75" x14ac:dyDescent="0.25">
      <c r="A60" s="8"/>
      <c r="B60" s="8"/>
      <c r="C60" s="9"/>
      <c r="D60" s="12" t="s">
        <v>56</v>
      </c>
      <c r="E60" s="14">
        <v>101525.08</v>
      </c>
      <c r="F60" s="14">
        <v>433970.12727565214</v>
      </c>
      <c r="G60" s="14">
        <v>79191.009999999995</v>
      </c>
      <c r="H60" s="14">
        <v>0</v>
      </c>
      <c r="I60" s="13">
        <f t="shared" si="0"/>
        <v>614686.2172756521</v>
      </c>
    </row>
    <row r="61" spans="1:9" ht="15.75" x14ac:dyDescent="0.25">
      <c r="A61" s="8"/>
      <c r="B61" s="8"/>
      <c r="C61" s="9"/>
      <c r="D61" s="12" t="s">
        <v>57</v>
      </c>
      <c r="E61" s="14">
        <v>454940.01000000013</v>
      </c>
      <c r="F61" s="14">
        <v>728072.09191866626</v>
      </c>
      <c r="G61" s="14">
        <v>187624.95</v>
      </c>
      <c r="H61" s="14">
        <v>0</v>
      </c>
      <c r="I61" s="13">
        <f t="shared" si="0"/>
        <v>1370637.0519186663</v>
      </c>
    </row>
    <row r="62" spans="1:9" ht="15.75" x14ac:dyDescent="0.25">
      <c r="A62" s="8"/>
      <c r="B62" s="8"/>
      <c r="C62" s="9"/>
      <c r="D62" s="12" t="s">
        <v>58</v>
      </c>
      <c r="E62" s="14">
        <v>646051.82000000007</v>
      </c>
      <c r="F62" s="14">
        <v>812357.9193444663</v>
      </c>
      <c r="G62" s="14">
        <v>7884950.0300000003</v>
      </c>
      <c r="H62" s="14">
        <v>0</v>
      </c>
      <c r="I62" s="13">
        <f t="shared" si="0"/>
        <v>9343359.7693444677</v>
      </c>
    </row>
    <row r="63" spans="1:9" ht="15.75" x14ac:dyDescent="0.25">
      <c r="A63" s="8"/>
      <c r="B63" s="8"/>
      <c r="C63" s="9"/>
      <c r="D63" s="12" t="s">
        <v>59</v>
      </c>
      <c r="E63" s="14">
        <v>45147.850000000006</v>
      </c>
      <c r="F63" s="14">
        <v>89667.153330678018</v>
      </c>
      <c r="G63" s="14">
        <v>361324.4</v>
      </c>
      <c r="H63" s="14">
        <v>0</v>
      </c>
      <c r="I63" s="13">
        <f t="shared" si="0"/>
        <v>496139.40333067806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2286109.3099999996</v>
      </c>
      <c r="H64" s="14">
        <v>0</v>
      </c>
      <c r="I64" s="13">
        <f t="shared" si="0"/>
        <v>2286109.3099999996</v>
      </c>
    </row>
    <row r="65" spans="1:9" ht="15.75" x14ac:dyDescent="0.25">
      <c r="A65" s="8"/>
      <c r="B65" s="8"/>
      <c r="C65" s="9"/>
      <c r="D65" s="12" t="s">
        <v>61</v>
      </c>
      <c r="E65" s="14">
        <v>480904.08999999997</v>
      </c>
      <c r="F65" s="14">
        <v>1061621.6762327224</v>
      </c>
      <c r="G65" s="14">
        <v>161170.16</v>
      </c>
      <c r="H65" s="14">
        <v>0</v>
      </c>
      <c r="I65" s="13">
        <f t="shared" si="0"/>
        <v>1703695.9262327224</v>
      </c>
    </row>
    <row r="66" spans="1:9" ht="15.75" x14ac:dyDescent="0.25">
      <c r="A66" s="8"/>
      <c r="B66" s="8"/>
      <c r="C66" s="9"/>
      <c r="D66" s="12" t="s">
        <v>62</v>
      </c>
      <c r="E66" s="14">
        <v>1192508.5</v>
      </c>
      <c r="F66" s="14">
        <v>2110693.1001399546</v>
      </c>
      <c r="G66" s="14">
        <v>382564.06000000006</v>
      </c>
      <c r="H66" s="14">
        <v>0</v>
      </c>
      <c r="I66" s="13">
        <f t="shared" si="0"/>
        <v>3685765.6601399546</v>
      </c>
    </row>
    <row r="67" spans="1:9" ht="15.75" x14ac:dyDescent="0.25">
      <c r="A67" s="8"/>
      <c r="B67" s="8"/>
      <c r="C67" s="9"/>
      <c r="D67" s="12" t="s">
        <v>63</v>
      </c>
      <c r="E67" s="14">
        <v>226448.44999999998</v>
      </c>
      <c r="F67" s="14">
        <v>975548.24829118827</v>
      </c>
      <c r="G67" s="14">
        <v>223823.05000000002</v>
      </c>
      <c r="H67" s="14">
        <v>0</v>
      </c>
      <c r="I67" s="13">
        <f t="shared" si="0"/>
        <v>1425819.7482911884</v>
      </c>
    </row>
    <row r="68" spans="1:9" ht="15.75" x14ac:dyDescent="0.25">
      <c r="A68" s="8"/>
      <c r="B68" s="8"/>
      <c r="C68" s="9"/>
      <c r="D68" s="12" t="s">
        <v>64</v>
      </c>
      <c r="E68" s="14">
        <v>399056.00000000006</v>
      </c>
      <c r="F68" s="14">
        <v>412454.08583497809</v>
      </c>
      <c r="G68" s="14">
        <v>152738.82999999999</v>
      </c>
      <c r="H68" s="14">
        <v>0</v>
      </c>
      <c r="I68" s="13">
        <f t="shared" si="0"/>
        <v>964248.91583497811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740192.09000000008</v>
      </c>
      <c r="H69" s="14">
        <v>0</v>
      </c>
      <c r="I69" s="13">
        <f t="shared" si="0"/>
        <v>740192.09000000008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952240.5</v>
      </c>
      <c r="H70" s="14">
        <v>0</v>
      </c>
      <c r="I70" s="13">
        <f t="shared" si="0"/>
        <v>952240.5</v>
      </c>
    </row>
    <row r="71" spans="1:9" ht="15.75" x14ac:dyDescent="0.25">
      <c r="A71" s="8"/>
      <c r="B71" s="8"/>
      <c r="C71" s="9"/>
      <c r="D71" s="12" t="s">
        <v>67</v>
      </c>
      <c r="E71" s="14">
        <v>58642.07</v>
      </c>
      <c r="F71" s="14">
        <v>10762.651809756004</v>
      </c>
      <c r="G71" s="14">
        <v>565867.32000000007</v>
      </c>
      <c r="H71" s="14">
        <v>0</v>
      </c>
      <c r="I71" s="13">
        <f t="shared" si="0"/>
        <v>635272.04180975608</v>
      </c>
    </row>
    <row r="72" spans="1:9" ht="15.75" x14ac:dyDescent="0.25">
      <c r="A72" s="8"/>
      <c r="B72" s="8"/>
      <c r="C72" s="9"/>
      <c r="D72" s="12" t="s">
        <v>68</v>
      </c>
      <c r="E72" s="14">
        <v>427087.99000000005</v>
      </c>
      <c r="F72" s="14">
        <v>669970.44406789215</v>
      </c>
      <c r="G72" s="14">
        <v>1469711.7700000003</v>
      </c>
      <c r="H72" s="14">
        <v>0</v>
      </c>
      <c r="I72" s="13">
        <f t="shared" si="0"/>
        <v>2566770.2040678924</v>
      </c>
    </row>
    <row r="73" spans="1:9" ht="15.75" x14ac:dyDescent="0.25">
      <c r="A73" s="8"/>
      <c r="B73" s="8"/>
      <c r="C73" s="9"/>
      <c r="D73" s="12" t="s">
        <v>69</v>
      </c>
      <c r="E73" s="14">
        <v>24572.350000000002</v>
      </c>
      <c r="F73" s="14">
        <v>0</v>
      </c>
      <c r="G73" s="14">
        <v>1014675.9400000001</v>
      </c>
      <c r="H73" s="14">
        <v>0</v>
      </c>
      <c r="I73" s="13">
        <f t="shared" si="0"/>
        <v>1039248.29</v>
      </c>
    </row>
    <row r="74" spans="1:9" ht="15.75" x14ac:dyDescent="0.25">
      <c r="A74" s="8"/>
      <c r="B74" s="8"/>
      <c r="C74" s="9"/>
      <c r="D74" s="12" t="s">
        <v>70</v>
      </c>
      <c r="E74" s="14">
        <v>42974.409999999996</v>
      </c>
      <c r="F74" s="14">
        <v>56666.010130884009</v>
      </c>
      <c r="G74" s="14">
        <v>3976997.11</v>
      </c>
      <c r="H74" s="14">
        <v>0</v>
      </c>
      <c r="I74" s="13">
        <f t="shared" ref="I74:I137" si="1">SUM(E74:H74)</f>
        <v>4076637.5301308837</v>
      </c>
    </row>
    <row r="75" spans="1:9" ht="15.75" x14ac:dyDescent="0.25">
      <c r="A75" s="8"/>
      <c r="B75" s="8"/>
      <c r="C75" s="9"/>
      <c r="D75" s="12" t="s">
        <v>71</v>
      </c>
      <c r="E75" s="14">
        <v>253864.69999999998</v>
      </c>
      <c r="F75" s="14">
        <v>220217.56405228804</v>
      </c>
      <c r="G75" s="14">
        <v>7439463.7899999991</v>
      </c>
      <c r="H75" s="14">
        <v>0</v>
      </c>
      <c r="I75" s="13">
        <f t="shared" si="1"/>
        <v>7913546.0540522868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2332351.9500000002</v>
      </c>
      <c r="H76" s="14">
        <v>0</v>
      </c>
      <c r="I76" s="13">
        <f t="shared" si="1"/>
        <v>2332351.9500000002</v>
      </c>
    </row>
    <row r="77" spans="1:9" ht="15.75" x14ac:dyDescent="0.25">
      <c r="A77" s="8"/>
      <c r="B77" s="8"/>
      <c r="C77" s="9"/>
      <c r="D77" s="12" t="s">
        <v>73</v>
      </c>
      <c r="E77" s="14">
        <v>73639.44</v>
      </c>
      <c r="F77" s="14">
        <v>1092103.5067885802</v>
      </c>
      <c r="G77" s="14">
        <v>186548.19</v>
      </c>
      <c r="H77" s="14">
        <v>0</v>
      </c>
      <c r="I77" s="13">
        <f t="shared" si="1"/>
        <v>1352291.1367885801</v>
      </c>
    </row>
    <row r="78" spans="1:9" ht="15.75" x14ac:dyDescent="0.25">
      <c r="A78" s="8"/>
      <c r="B78" s="8"/>
      <c r="C78" s="9"/>
      <c r="D78" s="12" t="s">
        <v>74</v>
      </c>
      <c r="E78" s="14">
        <v>297059.64999999997</v>
      </c>
      <c r="F78" s="14">
        <v>1108247.4845032142</v>
      </c>
      <c r="G78" s="14">
        <v>209224.18</v>
      </c>
      <c r="H78" s="14">
        <v>0</v>
      </c>
      <c r="I78" s="13">
        <f t="shared" si="1"/>
        <v>1614531.3145032141</v>
      </c>
    </row>
    <row r="79" spans="1:9" ht="15.75" x14ac:dyDescent="0.25">
      <c r="A79" s="8"/>
      <c r="B79" s="8"/>
      <c r="C79" s="9"/>
      <c r="D79" s="12" t="s">
        <v>75</v>
      </c>
      <c r="E79" s="14">
        <v>236374.09</v>
      </c>
      <c r="F79" s="14">
        <v>622270.22305219213</v>
      </c>
      <c r="G79" s="14">
        <v>262907.15000000002</v>
      </c>
      <c r="H79" s="14">
        <v>0</v>
      </c>
      <c r="I79" s="13">
        <f t="shared" si="1"/>
        <v>1121551.4630521922</v>
      </c>
    </row>
    <row r="80" spans="1:9" ht="15.75" x14ac:dyDescent="0.25">
      <c r="A80" s="8"/>
      <c r="B80" s="8"/>
      <c r="C80" s="9"/>
      <c r="D80" s="12" t="s">
        <v>76</v>
      </c>
      <c r="E80" s="14">
        <v>121478.37000000001</v>
      </c>
      <c r="F80" s="14">
        <v>328890.70835854212</v>
      </c>
      <c r="G80" s="14">
        <v>44303.450000000004</v>
      </c>
      <c r="H80" s="14">
        <v>0</v>
      </c>
      <c r="I80" s="13">
        <f t="shared" si="1"/>
        <v>494672.52835854213</v>
      </c>
    </row>
    <row r="81" spans="1:9" ht="15.75" x14ac:dyDescent="0.25">
      <c r="A81" s="8"/>
      <c r="B81" s="8"/>
      <c r="C81" s="9"/>
      <c r="D81" s="12" t="s">
        <v>77</v>
      </c>
      <c r="E81" s="14">
        <v>1257910.23</v>
      </c>
      <c r="F81" s="14">
        <v>1984440.3403991768</v>
      </c>
      <c r="G81" s="14">
        <v>656033.66</v>
      </c>
      <c r="H81" s="14">
        <v>0</v>
      </c>
      <c r="I81" s="13">
        <f t="shared" si="1"/>
        <v>3898384.2303991769</v>
      </c>
    </row>
    <row r="82" spans="1:9" ht="15.75" x14ac:dyDescent="0.25">
      <c r="A82" s="8"/>
      <c r="B82" s="8"/>
      <c r="C82" s="9"/>
      <c r="D82" s="12" t="s">
        <v>78</v>
      </c>
      <c r="E82" s="14">
        <v>669552.14000000013</v>
      </c>
      <c r="F82" s="14">
        <v>1375442.8196218384</v>
      </c>
      <c r="G82" s="14">
        <v>171244.51</v>
      </c>
      <c r="H82" s="14">
        <v>0</v>
      </c>
      <c r="I82" s="13">
        <f t="shared" si="1"/>
        <v>2216239.4696218385</v>
      </c>
    </row>
    <row r="83" spans="1:9" ht="15.75" x14ac:dyDescent="0.25">
      <c r="A83" s="8"/>
      <c r="B83" s="8"/>
      <c r="C83" s="9"/>
      <c r="D83" s="12" t="s">
        <v>79</v>
      </c>
      <c r="E83" s="14">
        <v>617955.45000000007</v>
      </c>
      <c r="F83" s="14">
        <v>564881.76297194418</v>
      </c>
      <c r="G83" s="14">
        <v>367286.63999999996</v>
      </c>
      <c r="H83" s="14">
        <v>0</v>
      </c>
      <c r="I83" s="13">
        <f t="shared" si="1"/>
        <v>1550123.8529719443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2824405.8699999996</v>
      </c>
      <c r="H84" s="14">
        <v>0</v>
      </c>
      <c r="I84" s="13">
        <f t="shared" si="1"/>
        <v>2824405.8699999996</v>
      </c>
    </row>
    <row r="85" spans="1:9" ht="15.75" x14ac:dyDescent="0.25">
      <c r="A85" s="8"/>
      <c r="B85" s="8"/>
      <c r="C85" s="9"/>
      <c r="D85" s="12" t="s">
        <v>81</v>
      </c>
      <c r="E85" s="14">
        <v>415049.66000000003</v>
      </c>
      <c r="F85" s="14">
        <v>175740.58127221203</v>
      </c>
      <c r="G85" s="14">
        <v>1125486.76</v>
      </c>
      <c r="H85" s="14">
        <v>0</v>
      </c>
      <c r="I85" s="13">
        <f t="shared" si="1"/>
        <v>1716277.001272212</v>
      </c>
    </row>
    <row r="86" spans="1:9" ht="15.75" x14ac:dyDescent="0.25">
      <c r="A86" s="8"/>
      <c r="B86" s="8"/>
      <c r="C86" s="9"/>
      <c r="D86" s="12" t="s">
        <v>82</v>
      </c>
      <c r="E86" s="14">
        <v>132588.08000000002</v>
      </c>
      <c r="F86" s="14">
        <v>729868.95461323811</v>
      </c>
      <c r="G86" s="14">
        <v>111184.09000000003</v>
      </c>
      <c r="H86" s="14">
        <v>0</v>
      </c>
      <c r="I86" s="13">
        <f t="shared" si="1"/>
        <v>973641.12461323827</v>
      </c>
    </row>
    <row r="87" spans="1:9" ht="15.75" x14ac:dyDescent="0.25">
      <c r="A87" s="8"/>
      <c r="B87" s="8"/>
      <c r="C87" s="9"/>
      <c r="D87" s="12" t="s">
        <v>83</v>
      </c>
      <c r="E87" s="14">
        <v>135793.59</v>
      </c>
      <c r="F87" s="14">
        <v>961201.13327112643</v>
      </c>
      <c r="G87" s="14">
        <v>127077.20000000001</v>
      </c>
      <c r="H87" s="14">
        <v>0</v>
      </c>
      <c r="I87" s="13">
        <f t="shared" si="1"/>
        <v>1224071.9232711263</v>
      </c>
    </row>
    <row r="88" spans="1:9" ht="15.75" x14ac:dyDescent="0.25">
      <c r="A88" s="8"/>
      <c r="B88" s="8"/>
      <c r="C88" s="9"/>
      <c r="D88" s="12" t="s">
        <v>84</v>
      </c>
      <c r="E88" s="14">
        <v>5109.7</v>
      </c>
      <c r="F88" s="14">
        <v>0</v>
      </c>
      <c r="G88" s="14">
        <v>1100752.55</v>
      </c>
      <c r="H88" s="14">
        <v>0</v>
      </c>
      <c r="I88" s="13">
        <f t="shared" si="1"/>
        <v>1105862.25</v>
      </c>
    </row>
    <row r="89" spans="1:9" ht="15.75" x14ac:dyDescent="0.25">
      <c r="A89" s="8"/>
      <c r="B89" s="8"/>
      <c r="C89" s="9"/>
      <c r="D89" s="12" t="s">
        <v>85</v>
      </c>
      <c r="E89" s="14">
        <v>176625.68000000002</v>
      </c>
      <c r="F89" s="14">
        <v>942547.10509139427</v>
      </c>
      <c r="G89" s="14">
        <v>309183.2</v>
      </c>
      <c r="H89" s="14">
        <v>0</v>
      </c>
      <c r="I89" s="13">
        <f t="shared" si="1"/>
        <v>1428355.9850913943</v>
      </c>
    </row>
    <row r="90" spans="1:9" ht="15.75" x14ac:dyDescent="0.25">
      <c r="A90" s="8"/>
      <c r="B90" s="8"/>
      <c r="C90" s="9"/>
      <c r="D90" s="12" t="s">
        <v>86</v>
      </c>
      <c r="E90" s="14">
        <v>122160.22</v>
      </c>
      <c r="F90" s="14">
        <v>243882.43098337806</v>
      </c>
      <c r="G90" s="14">
        <v>163642.74</v>
      </c>
      <c r="H90" s="14">
        <v>0</v>
      </c>
      <c r="I90" s="13">
        <f t="shared" si="1"/>
        <v>529685.39098337805</v>
      </c>
    </row>
    <row r="91" spans="1:9" ht="15.75" x14ac:dyDescent="0.25">
      <c r="A91" s="8"/>
      <c r="B91" s="8"/>
      <c r="C91" s="9"/>
      <c r="D91" s="12" t="s">
        <v>87</v>
      </c>
      <c r="E91" s="14">
        <v>244505.05000000005</v>
      </c>
      <c r="F91" s="14">
        <v>556277.19883144216</v>
      </c>
      <c r="G91" s="14">
        <v>586858.17000000004</v>
      </c>
      <c r="H91" s="14">
        <v>0</v>
      </c>
      <c r="I91" s="13">
        <f t="shared" si="1"/>
        <v>1387640.4188314422</v>
      </c>
    </row>
    <row r="92" spans="1:9" ht="15.75" x14ac:dyDescent="0.25">
      <c r="A92" s="8"/>
      <c r="B92" s="8"/>
      <c r="C92" s="9"/>
      <c r="D92" s="12" t="s">
        <v>88</v>
      </c>
      <c r="E92" s="14">
        <v>15579.85</v>
      </c>
      <c r="F92" s="14">
        <v>76755.676030506031</v>
      </c>
      <c r="G92" s="14">
        <v>1190925.98</v>
      </c>
      <c r="H92" s="14">
        <v>0</v>
      </c>
      <c r="I92" s="13">
        <f t="shared" si="1"/>
        <v>1283261.506030506</v>
      </c>
    </row>
    <row r="93" spans="1:9" ht="15.75" x14ac:dyDescent="0.25">
      <c r="A93" s="8"/>
      <c r="B93" s="8"/>
      <c r="C93" s="9"/>
      <c r="D93" s="12" t="s">
        <v>89</v>
      </c>
      <c r="E93" s="14">
        <v>145263.60999999999</v>
      </c>
      <c r="F93" s="14">
        <v>621908.99807751016</v>
      </c>
      <c r="G93" s="14">
        <v>187227.94000000003</v>
      </c>
      <c r="H93" s="14">
        <v>0</v>
      </c>
      <c r="I93" s="13">
        <f t="shared" si="1"/>
        <v>954400.5480775102</v>
      </c>
    </row>
    <row r="94" spans="1:9" ht="15.75" x14ac:dyDescent="0.25">
      <c r="A94" s="8"/>
      <c r="B94" s="8"/>
      <c r="C94" s="9"/>
      <c r="D94" s="12" t="s">
        <v>90</v>
      </c>
      <c r="E94" s="14">
        <v>0</v>
      </c>
      <c r="F94" s="14">
        <v>0</v>
      </c>
      <c r="G94" s="14">
        <v>121907.20999999999</v>
      </c>
      <c r="H94" s="14">
        <v>0</v>
      </c>
      <c r="I94" s="13">
        <f t="shared" si="1"/>
        <v>121907.20999999999</v>
      </c>
    </row>
    <row r="95" spans="1:9" ht="15.75" x14ac:dyDescent="0.25">
      <c r="A95" s="8"/>
      <c r="B95" s="8"/>
      <c r="C95" s="9"/>
      <c r="D95" s="12" t="s">
        <v>91</v>
      </c>
      <c r="E95" s="14">
        <v>115451.84000000001</v>
      </c>
      <c r="F95" s="14">
        <v>19728.440924940005</v>
      </c>
      <c r="G95" s="14">
        <v>1113807.1099999999</v>
      </c>
      <c r="H95" s="14">
        <v>0</v>
      </c>
      <c r="I95" s="13">
        <f t="shared" si="1"/>
        <v>1248987.3909249399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2344115.17</v>
      </c>
      <c r="H96" s="14">
        <v>0</v>
      </c>
      <c r="I96" s="13">
        <f t="shared" si="1"/>
        <v>2344115.17</v>
      </c>
    </row>
    <row r="97" spans="1:9" ht="15.75" x14ac:dyDescent="0.25">
      <c r="A97" s="8"/>
      <c r="B97" s="8"/>
      <c r="C97" s="9"/>
      <c r="D97" s="12" t="s">
        <v>93</v>
      </c>
      <c r="E97" s="14">
        <v>81041.149999999994</v>
      </c>
      <c r="F97" s="14">
        <v>885881.09496051027</v>
      </c>
      <c r="G97" s="14">
        <v>186796.55</v>
      </c>
      <c r="H97" s="14">
        <v>0</v>
      </c>
      <c r="I97" s="13">
        <f t="shared" si="1"/>
        <v>1153718.7949605102</v>
      </c>
    </row>
    <row r="98" spans="1:9" ht="15.75" x14ac:dyDescent="0.25">
      <c r="A98" s="8"/>
      <c r="B98" s="8"/>
      <c r="C98" s="9"/>
      <c r="D98" s="12" t="s">
        <v>94</v>
      </c>
      <c r="E98" s="14">
        <v>487818.47000000003</v>
      </c>
      <c r="F98" s="14">
        <v>1165274.7196087802</v>
      </c>
      <c r="G98" s="14">
        <v>1284935.25</v>
      </c>
      <c r="H98" s="14">
        <v>0</v>
      </c>
      <c r="I98" s="13">
        <f t="shared" si="1"/>
        <v>2938028.4396087802</v>
      </c>
    </row>
    <row r="99" spans="1:9" ht="15.75" x14ac:dyDescent="0.25">
      <c r="A99" s="8"/>
      <c r="B99" s="8"/>
      <c r="C99" s="9"/>
      <c r="D99" s="12" t="s">
        <v>95</v>
      </c>
      <c r="E99" s="14">
        <v>587650.11</v>
      </c>
      <c r="F99" s="14">
        <v>2220440.6571914167</v>
      </c>
      <c r="G99" s="14">
        <v>611045.80000000005</v>
      </c>
      <c r="H99" s="14">
        <v>0</v>
      </c>
      <c r="I99" s="13">
        <f t="shared" si="1"/>
        <v>3419136.5671914164</v>
      </c>
    </row>
    <row r="100" spans="1:9" ht="15.75" x14ac:dyDescent="0.25">
      <c r="A100" s="8"/>
      <c r="B100" s="8"/>
      <c r="C100" s="9"/>
      <c r="D100" s="12" t="s">
        <v>96</v>
      </c>
      <c r="E100" s="14">
        <v>684193.4</v>
      </c>
      <c r="F100" s="14">
        <v>2221515.0699366247</v>
      </c>
      <c r="G100" s="14">
        <v>951168.56</v>
      </c>
      <c r="H100" s="14">
        <v>0</v>
      </c>
      <c r="I100" s="13">
        <f t="shared" si="1"/>
        <v>3856877.0299366247</v>
      </c>
    </row>
    <row r="101" spans="1:9" ht="15.75" x14ac:dyDescent="0.25">
      <c r="A101" s="8"/>
      <c r="B101" s="8"/>
      <c r="C101" s="9"/>
      <c r="D101" s="12" t="s">
        <v>97</v>
      </c>
      <c r="E101" s="14">
        <v>37442.039999999994</v>
      </c>
      <c r="F101" s="14">
        <v>2981124.8807986807</v>
      </c>
      <c r="G101" s="14">
        <v>15594.45</v>
      </c>
      <c r="H101" s="14">
        <v>0</v>
      </c>
      <c r="I101" s="13">
        <f t="shared" si="1"/>
        <v>3034161.3707986809</v>
      </c>
    </row>
    <row r="102" spans="1:9" ht="15.75" x14ac:dyDescent="0.25">
      <c r="A102" s="8"/>
      <c r="B102" s="8"/>
      <c r="C102" s="9"/>
      <c r="D102" s="12" t="s">
        <v>98</v>
      </c>
      <c r="E102" s="14">
        <v>783104.99000000011</v>
      </c>
      <c r="F102" s="14">
        <v>1281839.2402850103</v>
      </c>
      <c r="G102" s="14">
        <v>491818.92</v>
      </c>
      <c r="H102" s="14">
        <v>0</v>
      </c>
      <c r="I102" s="13">
        <f t="shared" si="1"/>
        <v>2556763.1502850102</v>
      </c>
    </row>
    <row r="103" spans="1:9" ht="15.75" x14ac:dyDescent="0.25">
      <c r="A103" s="8"/>
      <c r="B103" s="8"/>
      <c r="C103" s="9"/>
      <c r="D103" s="12" t="s">
        <v>99</v>
      </c>
      <c r="E103" s="14">
        <v>509128.53999999992</v>
      </c>
      <c r="F103" s="14">
        <v>407072.75993010012</v>
      </c>
      <c r="G103" s="14">
        <v>159121.99000000002</v>
      </c>
      <c r="H103" s="14">
        <v>0</v>
      </c>
      <c r="I103" s="13">
        <f t="shared" si="1"/>
        <v>1075323.2899301001</v>
      </c>
    </row>
    <row r="104" spans="1:9" ht="15.75" x14ac:dyDescent="0.25">
      <c r="A104" s="8"/>
      <c r="B104" s="8"/>
      <c r="C104" s="9"/>
      <c r="D104" s="12" t="s">
        <v>100</v>
      </c>
      <c r="E104" s="14">
        <v>1490938.1</v>
      </c>
      <c r="F104" s="14">
        <v>743854.84465861821</v>
      </c>
      <c r="G104" s="14">
        <v>1276954.8799999999</v>
      </c>
      <c r="H104" s="14">
        <v>0</v>
      </c>
      <c r="I104" s="13">
        <f t="shared" si="1"/>
        <v>3511747.8246586183</v>
      </c>
    </row>
    <row r="105" spans="1:9" ht="15.75" x14ac:dyDescent="0.25">
      <c r="A105" s="8"/>
      <c r="B105" s="8"/>
      <c r="C105" s="9"/>
      <c r="D105" s="12" t="s">
        <v>101</v>
      </c>
      <c r="E105" s="14">
        <v>108766.59</v>
      </c>
      <c r="F105" s="14">
        <v>1104663.0212929084</v>
      </c>
      <c r="G105" s="14">
        <v>12069.24</v>
      </c>
      <c r="H105" s="14">
        <v>0</v>
      </c>
      <c r="I105" s="13">
        <f t="shared" si="1"/>
        <v>1225498.8512929084</v>
      </c>
    </row>
    <row r="106" spans="1:9" ht="15.75" x14ac:dyDescent="0.25">
      <c r="A106" s="8"/>
      <c r="B106" s="8"/>
      <c r="C106" s="9"/>
      <c r="D106" s="12" t="s">
        <v>102</v>
      </c>
      <c r="E106" s="14">
        <v>654403.58000000007</v>
      </c>
      <c r="F106" s="14">
        <v>68141.849711166011</v>
      </c>
      <c r="G106" s="14">
        <v>1667970.33</v>
      </c>
      <c r="H106" s="14">
        <v>0</v>
      </c>
      <c r="I106" s="13">
        <f t="shared" si="1"/>
        <v>2390515.7597111659</v>
      </c>
    </row>
    <row r="107" spans="1:9" ht="15.75" x14ac:dyDescent="0.25">
      <c r="A107" s="8"/>
      <c r="B107" s="8"/>
      <c r="C107" s="9"/>
      <c r="D107" s="12" t="s">
        <v>103</v>
      </c>
      <c r="E107" s="14">
        <v>14539.460000000001</v>
      </c>
      <c r="F107" s="14">
        <v>0</v>
      </c>
      <c r="G107" s="14">
        <v>888079.79000000015</v>
      </c>
      <c r="H107" s="14">
        <v>0</v>
      </c>
      <c r="I107" s="13">
        <f t="shared" si="1"/>
        <v>902619.25000000012</v>
      </c>
    </row>
    <row r="108" spans="1:9" ht="15.75" x14ac:dyDescent="0.25">
      <c r="A108" s="8"/>
      <c r="B108" s="8"/>
      <c r="C108" s="9"/>
      <c r="D108" s="12" t="s">
        <v>104</v>
      </c>
      <c r="E108" s="14">
        <v>50259.75</v>
      </c>
      <c r="F108" s="14">
        <v>0</v>
      </c>
      <c r="G108" s="14">
        <v>129024.16</v>
      </c>
      <c r="H108" s="14">
        <v>0</v>
      </c>
      <c r="I108" s="13">
        <f t="shared" si="1"/>
        <v>179283.91</v>
      </c>
    </row>
    <row r="109" spans="1:9" ht="15.75" x14ac:dyDescent="0.25">
      <c r="A109" s="8"/>
      <c r="B109" s="8"/>
      <c r="C109" s="9"/>
      <c r="D109" s="12" t="s">
        <v>105</v>
      </c>
      <c r="E109" s="14">
        <v>42696.91</v>
      </c>
      <c r="F109" s="14">
        <v>1776782.2908512165</v>
      </c>
      <c r="G109" s="14">
        <v>142118.35</v>
      </c>
      <c r="H109" s="14">
        <v>0</v>
      </c>
      <c r="I109" s="13">
        <f t="shared" si="1"/>
        <v>1961597.5508512165</v>
      </c>
    </row>
    <row r="110" spans="1:9" ht="15.75" x14ac:dyDescent="0.25">
      <c r="A110" s="8"/>
      <c r="B110" s="8"/>
      <c r="C110" s="9"/>
      <c r="D110" s="12" t="s">
        <v>106</v>
      </c>
      <c r="E110" s="14">
        <v>108505.20000000001</v>
      </c>
      <c r="F110" s="14">
        <v>436480.17774075014</v>
      </c>
      <c r="G110" s="14">
        <v>89179.59</v>
      </c>
      <c r="H110" s="14">
        <v>0</v>
      </c>
      <c r="I110" s="13">
        <f t="shared" si="1"/>
        <v>634164.96774075006</v>
      </c>
    </row>
    <row r="111" spans="1:9" ht="15.75" x14ac:dyDescent="0.25">
      <c r="A111" s="8"/>
      <c r="B111" s="8"/>
      <c r="C111" s="9"/>
      <c r="D111" s="12" t="s">
        <v>107</v>
      </c>
      <c r="E111" s="14">
        <v>17614.22</v>
      </c>
      <c r="F111" s="14">
        <v>6816.9636247680019</v>
      </c>
      <c r="G111" s="14">
        <v>2739194.7399999998</v>
      </c>
      <c r="H111" s="14">
        <v>0</v>
      </c>
      <c r="I111" s="13">
        <f t="shared" si="1"/>
        <v>2763625.9236247679</v>
      </c>
    </row>
    <row r="112" spans="1:9" ht="15.75" x14ac:dyDescent="0.25">
      <c r="A112" s="8"/>
      <c r="B112" s="8"/>
      <c r="C112" s="9"/>
      <c r="D112" s="12" t="s">
        <v>108</v>
      </c>
      <c r="E112" s="14">
        <v>741376.33</v>
      </c>
      <c r="F112" s="14">
        <v>466248.82052608213</v>
      </c>
      <c r="G112" s="14">
        <v>225845.02000000002</v>
      </c>
      <c r="H112" s="14">
        <v>0</v>
      </c>
      <c r="I112" s="13">
        <f t="shared" si="1"/>
        <v>1433470.1705260822</v>
      </c>
    </row>
    <row r="113" spans="1:9" ht="15.75" x14ac:dyDescent="0.25">
      <c r="A113" s="8"/>
      <c r="B113" s="8"/>
      <c r="C113" s="9"/>
      <c r="D113" s="12" t="s">
        <v>109</v>
      </c>
      <c r="E113" s="14">
        <v>198854.13999999998</v>
      </c>
      <c r="F113" s="14">
        <v>1122594.5995232763</v>
      </c>
      <c r="G113" s="14">
        <v>231576.11</v>
      </c>
      <c r="H113" s="14">
        <v>0</v>
      </c>
      <c r="I113" s="13">
        <f t="shared" si="1"/>
        <v>1553024.8495232761</v>
      </c>
    </row>
    <row r="114" spans="1:9" ht="15.75" x14ac:dyDescent="0.25">
      <c r="A114" s="8"/>
      <c r="B114" s="8"/>
      <c r="C114" s="9"/>
      <c r="D114" s="12" t="s">
        <v>110</v>
      </c>
      <c r="E114" s="14">
        <v>324769.96000000002</v>
      </c>
      <c r="F114" s="14">
        <v>1287572.5289857322</v>
      </c>
      <c r="G114" s="14">
        <v>346646.39</v>
      </c>
      <c r="H114" s="14">
        <v>0</v>
      </c>
      <c r="I114" s="13">
        <f t="shared" si="1"/>
        <v>1958988.8789857323</v>
      </c>
    </row>
    <row r="115" spans="1:9" ht="15.75" x14ac:dyDescent="0.25">
      <c r="A115" s="8"/>
      <c r="B115" s="8"/>
      <c r="C115" s="9"/>
      <c r="D115" s="12" t="s">
        <v>111</v>
      </c>
      <c r="E115" s="14">
        <v>776550.3600000001</v>
      </c>
      <c r="F115" s="14">
        <v>636617.33807225421</v>
      </c>
      <c r="G115" s="14">
        <v>522690.02999999997</v>
      </c>
      <c r="H115" s="14">
        <v>0</v>
      </c>
      <c r="I115" s="13">
        <f t="shared" si="1"/>
        <v>1935857.7280722542</v>
      </c>
    </row>
    <row r="116" spans="1:9" ht="15.75" x14ac:dyDescent="0.25">
      <c r="A116" s="8"/>
      <c r="B116" s="8"/>
      <c r="C116" s="9"/>
      <c r="D116" s="12" t="s">
        <v>112</v>
      </c>
      <c r="E116" s="14">
        <v>144793.41</v>
      </c>
      <c r="F116" s="14">
        <v>826705.03436452826</v>
      </c>
      <c r="G116" s="14">
        <v>124127.49000000002</v>
      </c>
      <c r="H116" s="14">
        <v>0</v>
      </c>
      <c r="I116" s="13">
        <f t="shared" si="1"/>
        <v>1095625.9343645284</v>
      </c>
    </row>
    <row r="117" spans="1:9" ht="15.75" x14ac:dyDescent="0.25">
      <c r="A117" s="8"/>
      <c r="B117" s="8"/>
      <c r="C117" s="9"/>
      <c r="D117" s="12" t="s">
        <v>113</v>
      </c>
      <c r="E117" s="14">
        <v>156207.83999999997</v>
      </c>
      <c r="F117" s="14">
        <v>638404.93858798826</v>
      </c>
      <c r="G117" s="14">
        <v>285366</v>
      </c>
      <c r="H117" s="14">
        <v>0</v>
      </c>
      <c r="I117" s="13">
        <f t="shared" si="1"/>
        <v>1079978.7785879881</v>
      </c>
    </row>
    <row r="118" spans="1:9" ht="15.75" x14ac:dyDescent="0.25">
      <c r="A118" s="8"/>
      <c r="B118" s="8"/>
      <c r="C118" s="9"/>
      <c r="D118" s="12" t="s">
        <v>114</v>
      </c>
      <c r="E118" s="14">
        <v>346105.31000000006</v>
      </c>
      <c r="F118" s="14">
        <v>997064.28973186214</v>
      </c>
      <c r="G118" s="14">
        <v>356929.24</v>
      </c>
      <c r="H118" s="14">
        <v>0</v>
      </c>
      <c r="I118" s="13">
        <f t="shared" si="1"/>
        <v>1700098.8397318621</v>
      </c>
    </row>
    <row r="119" spans="1:9" ht="15.75" x14ac:dyDescent="0.25">
      <c r="A119" s="8"/>
      <c r="B119" s="8"/>
      <c r="C119" s="9"/>
      <c r="D119" s="12" t="s">
        <v>115</v>
      </c>
      <c r="E119" s="14">
        <v>24187.63</v>
      </c>
      <c r="F119" s="14">
        <v>96836.079751290032</v>
      </c>
      <c r="G119" s="14">
        <v>180989.49</v>
      </c>
      <c r="H119" s="14">
        <v>0</v>
      </c>
      <c r="I119" s="13">
        <f t="shared" si="1"/>
        <v>302013.19975129003</v>
      </c>
    </row>
    <row r="120" spans="1:9" ht="15.75" x14ac:dyDescent="0.25">
      <c r="A120" s="8"/>
      <c r="B120" s="8"/>
      <c r="C120" s="9"/>
      <c r="D120" s="12" t="s">
        <v>116</v>
      </c>
      <c r="E120" s="14">
        <v>310801.95000000007</v>
      </c>
      <c r="F120" s="14">
        <v>423216.73764473409</v>
      </c>
      <c r="G120" s="14">
        <v>347790.35</v>
      </c>
      <c r="H120" s="14">
        <v>0</v>
      </c>
      <c r="I120" s="13">
        <f t="shared" si="1"/>
        <v>1081809.0376447341</v>
      </c>
    </row>
    <row r="121" spans="1:9" ht="15.75" x14ac:dyDescent="0.25">
      <c r="A121" s="8"/>
      <c r="B121" s="8"/>
      <c r="C121" s="9"/>
      <c r="D121" s="12" t="s">
        <v>117</v>
      </c>
      <c r="E121" s="14">
        <v>190061.01999999996</v>
      </c>
      <c r="F121" s="14">
        <v>628003.51175291417</v>
      </c>
      <c r="G121" s="14">
        <v>203041.26</v>
      </c>
      <c r="H121" s="14">
        <v>0</v>
      </c>
      <c r="I121" s="13">
        <f t="shared" si="1"/>
        <v>1021105.7917529142</v>
      </c>
    </row>
    <row r="122" spans="1:9" ht="15.75" x14ac:dyDescent="0.25">
      <c r="A122" s="8"/>
      <c r="B122" s="8"/>
      <c r="C122" s="9"/>
      <c r="D122" s="12" t="s">
        <v>118</v>
      </c>
      <c r="E122" s="14">
        <v>339624.41000000003</v>
      </c>
      <c r="F122" s="14">
        <v>463025.58229045809</v>
      </c>
      <c r="G122" s="14">
        <v>524584.58999999985</v>
      </c>
      <c r="H122" s="14">
        <v>0</v>
      </c>
      <c r="I122" s="13">
        <f t="shared" si="1"/>
        <v>1327234.582290458</v>
      </c>
    </row>
    <row r="123" spans="1:9" ht="15.75" x14ac:dyDescent="0.25">
      <c r="A123" s="8"/>
      <c r="B123" s="8"/>
      <c r="C123" s="9"/>
      <c r="D123" s="12" t="s">
        <v>119</v>
      </c>
      <c r="E123" s="14">
        <v>407679.99000000011</v>
      </c>
      <c r="F123" s="14">
        <v>850731.12627030024</v>
      </c>
      <c r="G123" s="14">
        <v>179846.97000000003</v>
      </c>
      <c r="H123" s="14">
        <v>0</v>
      </c>
      <c r="I123" s="13">
        <f t="shared" si="1"/>
        <v>1438258.0862703004</v>
      </c>
    </row>
    <row r="124" spans="1:9" ht="15.75" x14ac:dyDescent="0.25">
      <c r="A124" s="8"/>
      <c r="B124" s="8"/>
      <c r="C124" s="9"/>
      <c r="D124" s="12" t="s">
        <v>120</v>
      </c>
      <c r="E124" s="14">
        <v>9775.16</v>
      </c>
      <c r="F124" s="14">
        <v>0</v>
      </c>
      <c r="G124" s="14">
        <v>950478.79999999981</v>
      </c>
      <c r="H124" s="14">
        <v>466224.99499999994</v>
      </c>
      <c r="I124" s="13">
        <f t="shared" si="1"/>
        <v>1426478.9549999998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3191684.0700000003</v>
      </c>
      <c r="H125" s="14">
        <v>136473.935</v>
      </c>
      <c r="I125" s="13">
        <f t="shared" si="1"/>
        <v>3328158.0050000004</v>
      </c>
    </row>
    <row r="126" spans="1:9" ht="15.75" x14ac:dyDescent="0.25">
      <c r="A126" s="8"/>
      <c r="B126" s="8"/>
      <c r="C126" s="9"/>
      <c r="D126" s="12" t="s">
        <v>122</v>
      </c>
      <c r="E126" s="14">
        <v>4602.58</v>
      </c>
      <c r="F126" s="14">
        <v>0</v>
      </c>
      <c r="G126" s="14">
        <v>1160479.08</v>
      </c>
      <c r="H126" s="14">
        <v>0</v>
      </c>
      <c r="I126" s="13">
        <f t="shared" si="1"/>
        <v>1165081.6600000001</v>
      </c>
    </row>
    <row r="127" spans="1:9" ht="15.75" x14ac:dyDescent="0.25">
      <c r="A127" s="8"/>
      <c r="B127" s="8"/>
      <c r="C127" s="9"/>
      <c r="D127" s="12" t="s">
        <v>123</v>
      </c>
      <c r="E127" s="14">
        <v>272110.2</v>
      </c>
      <c r="F127" s="14">
        <v>179325.04448251805</v>
      </c>
      <c r="G127" s="14">
        <v>894623.93999999983</v>
      </c>
      <c r="H127" s="14">
        <v>0</v>
      </c>
      <c r="I127" s="13">
        <f t="shared" si="1"/>
        <v>1346059.1844825179</v>
      </c>
    </row>
    <row r="128" spans="1:9" ht="15.75" x14ac:dyDescent="0.25">
      <c r="A128" s="8"/>
      <c r="B128" s="8"/>
      <c r="C128" s="9"/>
      <c r="D128" s="12" t="s">
        <v>124</v>
      </c>
      <c r="E128" s="14">
        <v>620756.81999999995</v>
      </c>
      <c r="F128" s="14">
        <v>559500.4370670662</v>
      </c>
      <c r="G128" s="14">
        <v>479808.46</v>
      </c>
      <c r="H128" s="14">
        <v>0</v>
      </c>
      <c r="I128" s="13">
        <f t="shared" si="1"/>
        <v>1660065.7170670661</v>
      </c>
    </row>
    <row r="129" spans="1:9" ht="15.75" x14ac:dyDescent="0.25">
      <c r="A129" s="8"/>
      <c r="B129" s="8"/>
      <c r="C129" s="9"/>
      <c r="D129" s="12" t="s">
        <v>125</v>
      </c>
      <c r="E129" s="14">
        <v>106921.81</v>
      </c>
      <c r="F129" s="14">
        <v>270789.06050776807</v>
      </c>
      <c r="G129" s="14">
        <v>242927.81</v>
      </c>
      <c r="H129" s="14">
        <v>0</v>
      </c>
      <c r="I129" s="13">
        <f t="shared" si="1"/>
        <v>620638.68050776806</v>
      </c>
    </row>
    <row r="130" spans="1:9" ht="15.75" x14ac:dyDescent="0.25">
      <c r="A130" s="8"/>
      <c r="B130" s="8"/>
      <c r="C130" s="9"/>
      <c r="D130" s="12" t="s">
        <v>126</v>
      </c>
      <c r="E130" s="14">
        <v>111635.35</v>
      </c>
      <c r="F130" s="14">
        <v>477011.47233583813</v>
      </c>
      <c r="G130" s="14">
        <v>113708.03</v>
      </c>
      <c r="H130" s="14">
        <v>0</v>
      </c>
      <c r="I130" s="13">
        <f t="shared" si="1"/>
        <v>702354.85233583814</v>
      </c>
    </row>
    <row r="131" spans="1:9" ht="15.75" x14ac:dyDescent="0.25">
      <c r="A131" s="8"/>
      <c r="B131" s="8"/>
      <c r="C131" s="9"/>
      <c r="D131" s="12" t="s">
        <v>127</v>
      </c>
      <c r="E131" s="14">
        <v>691241.32999999984</v>
      </c>
      <c r="F131" s="14">
        <v>2607071.7884260509</v>
      </c>
      <c r="G131" s="14">
        <v>2365821.84</v>
      </c>
      <c r="H131" s="14">
        <v>0</v>
      </c>
      <c r="I131" s="13">
        <f t="shared" si="1"/>
        <v>5664134.9584260508</v>
      </c>
    </row>
    <row r="132" spans="1:9" ht="15.75" x14ac:dyDescent="0.25">
      <c r="A132" s="8"/>
      <c r="B132" s="8"/>
      <c r="C132" s="9"/>
      <c r="D132" s="12" t="s">
        <v>128</v>
      </c>
      <c r="E132" s="14">
        <v>200495.65999999997</v>
      </c>
      <c r="F132" s="14">
        <v>1599606.0718591143</v>
      </c>
      <c r="G132" s="14">
        <v>86019.48000000001</v>
      </c>
      <c r="H132" s="14">
        <v>0</v>
      </c>
      <c r="I132" s="13">
        <f t="shared" si="1"/>
        <v>1886121.2118591142</v>
      </c>
    </row>
    <row r="133" spans="1:9" ht="15.75" x14ac:dyDescent="0.25">
      <c r="A133" s="8"/>
      <c r="B133" s="8"/>
      <c r="C133" s="9"/>
      <c r="D133" s="12" t="s">
        <v>129</v>
      </c>
      <c r="E133" s="14">
        <v>163522.75000000003</v>
      </c>
      <c r="F133" s="14">
        <v>0</v>
      </c>
      <c r="G133" s="14">
        <v>2918589.91</v>
      </c>
      <c r="H133" s="14">
        <v>511418.24</v>
      </c>
      <c r="I133" s="13">
        <f t="shared" si="1"/>
        <v>3593530.9000000004</v>
      </c>
    </row>
    <row r="134" spans="1:9" ht="15.75" x14ac:dyDescent="0.25">
      <c r="A134" s="8"/>
      <c r="B134" s="8"/>
      <c r="C134" s="9"/>
      <c r="D134" s="12" t="s">
        <v>130</v>
      </c>
      <c r="E134" s="14">
        <v>80456.69</v>
      </c>
      <c r="F134" s="14">
        <v>78904.501520922029</v>
      </c>
      <c r="G134" s="14">
        <v>6713.2199999999993</v>
      </c>
      <c r="H134" s="14">
        <v>0</v>
      </c>
      <c r="I134" s="13">
        <f t="shared" si="1"/>
        <v>166074.41152092203</v>
      </c>
    </row>
    <row r="135" spans="1:9" ht="15.75" x14ac:dyDescent="0.25">
      <c r="A135" s="8"/>
      <c r="B135" s="8"/>
      <c r="C135" s="9"/>
      <c r="D135" s="12" t="s">
        <v>131</v>
      </c>
      <c r="E135" s="14">
        <v>154201.28999999998</v>
      </c>
      <c r="F135" s="14">
        <v>997064.28973186214</v>
      </c>
      <c r="G135" s="14">
        <v>110032.07</v>
      </c>
      <c r="H135" s="14">
        <v>0</v>
      </c>
      <c r="I135" s="13">
        <f t="shared" si="1"/>
        <v>1261297.6497318621</v>
      </c>
    </row>
    <row r="136" spans="1:9" ht="15.75" x14ac:dyDescent="0.25">
      <c r="A136" s="8"/>
      <c r="B136" s="8"/>
      <c r="C136" s="9"/>
      <c r="D136" s="12" t="s">
        <v>132</v>
      </c>
      <c r="E136" s="14">
        <v>441482.07999999996</v>
      </c>
      <c r="F136" s="14">
        <v>1205083.5642545044</v>
      </c>
      <c r="G136" s="14">
        <v>722997.41999999993</v>
      </c>
      <c r="H136" s="14">
        <v>0</v>
      </c>
      <c r="I136" s="13">
        <f t="shared" si="1"/>
        <v>2369563.0642545042</v>
      </c>
    </row>
    <row r="137" spans="1:9" ht="15.75" x14ac:dyDescent="0.25">
      <c r="A137" s="8"/>
      <c r="B137" s="8"/>
      <c r="C137" s="9"/>
      <c r="D137" s="12" t="s">
        <v>133</v>
      </c>
      <c r="E137" s="14">
        <v>1320547.2299999997</v>
      </c>
      <c r="F137" s="14">
        <v>1894782.4492473367</v>
      </c>
      <c r="G137" s="14">
        <v>1174689.4200000002</v>
      </c>
      <c r="H137" s="14">
        <v>0</v>
      </c>
      <c r="I137" s="13">
        <f t="shared" si="1"/>
        <v>4390019.0992473364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1929357.1999999997</v>
      </c>
      <c r="H138" s="14">
        <v>0</v>
      </c>
      <c r="I138" s="13">
        <f t="shared" ref="I138:I144" si="2">SUM(E138:H138)</f>
        <v>1929357.1999999997</v>
      </c>
    </row>
    <row r="139" spans="1:9" ht="15.75" x14ac:dyDescent="0.25">
      <c r="A139" s="8"/>
      <c r="B139" s="8"/>
      <c r="C139" s="9"/>
      <c r="D139" s="12" t="s">
        <v>135</v>
      </c>
      <c r="E139" s="14">
        <v>45912.560000000005</v>
      </c>
      <c r="F139" s="14">
        <v>283700.53780794004</v>
      </c>
      <c r="G139" s="14">
        <v>192641.89</v>
      </c>
      <c r="H139" s="14">
        <v>0</v>
      </c>
      <c r="I139" s="13">
        <f t="shared" si="2"/>
        <v>522254.98780794005</v>
      </c>
    </row>
    <row r="140" spans="1:9" ht="15.75" x14ac:dyDescent="0.25">
      <c r="A140" s="8"/>
      <c r="B140" s="8"/>
      <c r="C140" s="9"/>
      <c r="D140" s="12" t="s">
        <v>136</v>
      </c>
      <c r="E140" s="14">
        <v>578993.76000000013</v>
      </c>
      <c r="F140" s="14">
        <v>2012060.157694093</v>
      </c>
      <c r="G140" s="14">
        <v>491369.48000000004</v>
      </c>
      <c r="H140" s="14">
        <v>0</v>
      </c>
      <c r="I140" s="13">
        <f t="shared" si="2"/>
        <v>3082423.3976940932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2562838.8799999994</v>
      </c>
      <c r="H141" s="14">
        <v>29250.58</v>
      </c>
      <c r="I141" s="13">
        <f t="shared" si="2"/>
        <v>2592089.4599999995</v>
      </c>
    </row>
    <row r="142" spans="1:9" ht="15.75" x14ac:dyDescent="0.25">
      <c r="A142" s="8"/>
      <c r="B142" s="8"/>
      <c r="C142" s="9"/>
      <c r="D142" s="12" t="s">
        <v>138</v>
      </c>
      <c r="E142" s="14">
        <v>10254.89</v>
      </c>
      <c r="F142" s="14">
        <v>0</v>
      </c>
      <c r="G142" s="14">
        <v>540664.35</v>
      </c>
      <c r="H142" s="14">
        <v>0</v>
      </c>
      <c r="I142" s="13">
        <f t="shared" si="2"/>
        <v>550919.24</v>
      </c>
    </row>
    <row r="143" spans="1:9" ht="15.75" x14ac:dyDescent="0.25">
      <c r="A143" s="8"/>
      <c r="B143" s="8"/>
      <c r="C143" s="9"/>
      <c r="D143" s="12" t="s">
        <v>139</v>
      </c>
      <c r="E143" s="14">
        <v>44280.240000000005</v>
      </c>
      <c r="F143" s="14">
        <v>1859632.4805571265</v>
      </c>
      <c r="G143" s="14">
        <v>64914.520000000019</v>
      </c>
      <c r="H143" s="14">
        <v>0</v>
      </c>
      <c r="I143" s="13">
        <f t="shared" si="2"/>
        <v>1968827.2405571265</v>
      </c>
    </row>
    <row r="144" spans="1:9" ht="15.75" x14ac:dyDescent="0.25">
      <c r="A144" s="8"/>
      <c r="B144" s="8"/>
      <c r="C144" s="9"/>
      <c r="D144" s="12" t="s">
        <v>140</v>
      </c>
      <c r="E144" s="14">
        <v>254153.51</v>
      </c>
      <c r="F144" s="14">
        <v>225950.85275301005</v>
      </c>
      <c r="G144" s="14">
        <v>461969.92999999993</v>
      </c>
      <c r="H144" s="14">
        <v>0</v>
      </c>
      <c r="I144" s="13">
        <f t="shared" si="2"/>
        <v>942074.29275301006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39961766.519999988</v>
      </c>
      <c r="F145" s="22">
        <f>SUM(F10:F144)</f>
        <v>92617490.729019225</v>
      </c>
      <c r="G145" s="22">
        <f>SUM(G10:G144)</f>
        <v>102886635.60999994</v>
      </c>
      <c r="H145" s="22">
        <f>SUM(H10:H144)</f>
        <v>1143367.75</v>
      </c>
      <c r="I145" s="22">
        <f>SUM(I10:I144)</f>
        <v>236609260.60901922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160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161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5891478.8900000006</v>
      </c>
      <c r="F10" s="14">
        <v>10778706.160826396</v>
      </c>
      <c r="G10" s="14">
        <v>297137.24</v>
      </c>
      <c r="H10" s="14">
        <v>0</v>
      </c>
      <c r="I10" s="13">
        <f t="shared" ref="I10:I73" si="0">SUM(E10:H10)</f>
        <v>16967322.290826395</v>
      </c>
    </row>
    <row r="11" spans="1:9" ht="15.75" x14ac:dyDescent="0.25">
      <c r="A11" s="8"/>
      <c r="B11" s="8"/>
      <c r="C11" s="9"/>
      <c r="D11" s="12" t="s">
        <v>7</v>
      </c>
      <c r="E11" s="14">
        <v>8139918.6100000022</v>
      </c>
      <c r="F11" s="14">
        <v>6049832.9712278284</v>
      </c>
      <c r="G11" s="14">
        <v>194418.53999999995</v>
      </c>
      <c r="H11" s="14">
        <v>0</v>
      </c>
      <c r="I11" s="13">
        <f t="shared" si="0"/>
        <v>14384170.121227831</v>
      </c>
    </row>
    <row r="12" spans="1:9" ht="15.75" x14ac:dyDescent="0.25">
      <c r="A12" s="8"/>
      <c r="B12" s="8"/>
      <c r="C12" s="9"/>
      <c r="D12" s="12" t="s">
        <v>8</v>
      </c>
      <c r="E12" s="14">
        <v>9336762.2799999993</v>
      </c>
      <c r="F12" s="14">
        <v>2193241.765460067</v>
      </c>
      <c r="G12" s="14">
        <v>167106.69999999998</v>
      </c>
      <c r="H12" s="14">
        <v>0</v>
      </c>
      <c r="I12" s="13">
        <f t="shared" si="0"/>
        <v>11697110.745460065</v>
      </c>
    </row>
    <row r="13" spans="1:9" ht="15.75" x14ac:dyDescent="0.25">
      <c r="A13" s="8"/>
      <c r="B13" s="8"/>
      <c r="C13" s="9"/>
      <c r="D13" s="12" t="s">
        <v>9</v>
      </c>
      <c r="E13" s="14">
        <v>2726122.5899999994</v>
      </c>
      <c r="F13" s="14">
        <v>58038.918072114</v>
      </c>
      <c r="G13" s="14">
        <v>2498375.6000000006</v>
      </c>
      <c r="H13" s="14">
        <v>0</v>
      </c>
      <c r="I13" s="13">
        <f t="shared" si="0"/>
        <v>5282537.1080721142</v>
      </c>
    </row>
    <row r="14" spans="1:9" ht="15.75" x14ac:dyDescent="0.25">
      <c r="A14" s="8"/>
      <c r="B14" s="8"/>
      <c r="C14" s="9"/>
      <c r="D14" s="12" t="s">
        <v>10</v>
      </c>
      <c r="E14" s="14">
        <v>11570849.430000003</v>
      </c>
      <c r="F14" s="14">
        <v>2436935.2949556299</v>
      </c>
      <c r="G14" s="14">
        <v>594017.41</v>
      </c>
      <c r="H14" s="14">
        <v>0</v>
      </c>
      <c r="I14" s="13">
        <f t="shared" si="0"/>
        <v>14601802.134955633</v>
      </c>
    </row>
    <row r="15" spans="1:9" ht="15.75" x14ac:dyDescent="0.25">
      <c r="A15" s="8"/>
      <c r="B15" s="8"/>
      <c r="C15" s="9"/>
      <c r="D15" s="12" t="s">
        <v>11</v>
      </c>
      <c r="E15" s="14">
        <v>251641.96</v>
      </c>
      <c r="F15" s="14">
        <v>13535.754558987002</v>
      </c>
      <c r="G15" s="14">
        <v>2401664.12</v>
      </c>
      <c r="H15" s="14">
        <v>0</v>
      </c>
      <c r="I15" s="13">
        <f t="shared" si="0"/>
        <v>2666841.8345589871</v>
      </c>
    </row>
    <row r="16" spans="1:9" ht="15.75" x14ac:dyDescent="0.25">
      <c r="A16" s="8"/>
      <c r="B16" s="8"/>
      <c r="C16" s="9"/>
      <c r="D16" s="12" t="s">
        <v>12</v>
      </c>
      <c r="E16" s="14">
        <v>13600456.579999998</v>
      </c>
      <c r="F16" s="14">
        <v>11620020.735703064</v>
      </c>
      <c r="G16" s="14">
        <v>493812.17999999988</v>
      </c>
      <c r="H16" s="14">
        <v>0</v>
      </c>
      <c r="I16" s="13">
        <f t="shared" si="0"/>
        <v>25714289.495703064</v>
      </c>
    </row>
    <row r="17" spans="1:9" ht="15.75" x14ac:dyDescent="0.25">
      <c r="A17" s="8"/>
      <c r="B17" s="8"/>
      <c r="C17" s="9"/>
      <c r="D17" s="12" t="s">
        <v>13</v>
      </c>
      <c r="E17" s="14">
        <v>28515924.440000009</v>
      </c>
      <c r="F17" s="14">
        <v>10676214.026674954</v>
      </c>
      <c r="G17" s="14">
        <v>1065230.24</v>
      </c>
      <c r="H17" s="14">
        <v>0</v>
      </c>
      <c r="I17" s="13">
        <f t="shared" si="0"/>
        <v>40257368.706674963</v>
      </c>
    </row>
    <row r="18" spans="1:9" ht="15.75" x14ac:dyDescent="0.25">
      <c r="A18" s="8"/>
      <c r="B18" s="8"/>
      <c r="C18" s="9"/>
      <c r="D18" s="12" t="s">
        <v>14</v>
      </c>
      <c r="E18" s="14">
        <v>5787825.5300000003</v>
      </c>
      <c r="F18" s="14">
        <v>870334.03391272493</v>
      </c>
      <c r="G18" s="14">
        <v>4678463.6499999994</v>
      </c>
      <c r="H18" s="14">
        <v>0</v>
      </c>
      <c r="I18" s="13">
        <f t="shared" si="0"/>
        <v>11336623.213912725</v>
      </c>
    </row>
    <row r="19" spans="1:9" ht="15.75" x14ac:dyDescent="0.25">
      <c r="A19" s="8"/>
      <c r="B19" s="8"/>
      <c r="C19" s="9"/>
      <c r="D19" s="12" t="s">
        <v>15</v>
      </c>
      <c r="E19" s="14">
        <v>26547160.640000001</v>
      </c>
      <c r="F19" s="14">
        <v>8306957.5045142584</v>
      </c>
      <c r="G19" s="14">
        <v>878800.21</v>
      </c>
      <c r="H19" s="14">
        <v>0</v>
      </c>
      <c r="I19" s="13">
        <f t="shared" si="0"/>
        <v>35732918.354514264</v>
      </c>
    </row>
    <row r="20" spans="1:9" ht="15.75" x14ac:dyDescent="0.25">
      <c r="A20" s="8"/>
      <c r="B20" s="8"/>
      <c r="C20" s="9"/>
      <c r="D20" s="12" t="s">
        <v>16</v>
      </c>
      <c r="E20" s="14">
        <v>9659961.790000001</v>
      </c>
      <c r="F20" s="14">
        <v>2282248.092486321</v>
      </c>
      <c r="G20" s="14">
        <v>416261.95</v>
      </c>
      <c r="H20" s="14">
        <v>0</v>
      </c>
      <c r="I20" s="13">
        <f t="shared" si="0"/>
        <v>12358471.83248632</v>
      </c>
    </row>
    <row r="21" spans="1:9" ht="15.75" x14ac:dyDescent="0.25">
      <c r="A21" s="8"/>
      <c r="B21" s="8"/>
      <c r="C21" s="9"/>
      <c r="D21" s="12" t="s">
        <v>17</v>
      </c>
      <c r="E21" s="14">
        <v>12806959.189999996</v>
      </c>
      <c r="F21" s="14">
        <v>9937391.5859497301</v>
      </c>
      <c r="G21" s="14">
        <v>292267.42000000004</v>
      </c>
      <c r="H21" s="14">
        <v>0</v>
      </c>
      <c r="I21" s="13">
        <f t="shared" si="0"/>
        <v>23036618.195949726</v>
      </c>
    </row>
    <row r="22" spans="1:9" ht="15.75" x14ac:dyDescent="0.25">
      <c r="A22" s="8"/>
      <c r="B22" s="8"/>
      <c r="C22" s="9"/>
      <c r="D22" s="12" t="s">
        <v>18</v>
      </c>
      <c r="E22" s="14">
        <v>657965.42999999993</v>
      </c>
      <c r="F22" s="14">
        <v>425502.18851664301</v>
      </c>
      <c r="G22" s="14">
        <v>1731121.83</v>
      </c>
      <c r="H22" s="14">
        <v>0</v>
      </c>
      <c r="I22" s="13">
        <f t="shared" si="0"/>
        <v>2814589.4485166431</v>
      </c>
    </row>
    <row r="23" spans="1:9" ht="15.75" x14ac:dyDescent="0.25">
      <c r="A23" s="8"/>
      <c r="B23" s="8"/>
      <c r="C23" s="9"/>
      <c r="D23" s="12" t="s">
        <v>19</v>
      </c>
      <c r="E23" s="14">
        <v>205988.93</v>
      </c>
      <c r="F23" s="14">
        <v>158583.10230547498</v>
      </c>
      <c r="G23" s="14">
        <v>669157.21999999986</v>
      </c>
      <c r="H23" s="14">
        <v>0</v>
      </c>
      <c r="I23" s="13">
        <f t="shared" si="0"/>
        <v>1033729.2523054748</v>
      </c>
    </row>
    <row r="24" spans="1:9" ht="15.75" x14ac:dyDescent="0.25">
      <c r="A24" s="8"/>
      <c r="B24" s="8"/>
      <c r="C24" s="9"/>
      <c r="D24" s="12" t="s">
        <v>20</v>
      </c>
      <c r="E24" s="14">
        <v>12700752.530000001</v>
      </c>
      <c r="F24" s="14">
        <v>6094336.1347409552</v>
      </c>
      <c r="G24" s="14">
        <v>695390.27</v>
      </c>
      <c r="H24" s="14">
        <v>0</v>
      </c>
      <c r="I24" s="13">
        <f t="shared" si="0"/>
        <v>19490478.934740957</v>
      </c>
    </row>
    <row r="25" spans="1:9" ht="15.75" x14ac:dyDescent="0.25">
      <c r="A25" s="8"/>
      <c r="B25" s="8"/>
      <c r="C25" s="9"/>
      <c r="D25" s="12" t="s">
        <v>21</v>
      </c>
      <c r="E25" s="14">
        <v>11571163.169999998</v>
      </c>
      <c r="F25" s="14">
        <v>4525786.9237799672</v>
      </c>
      <c r="G25" s="14">
        <v>811595.02999999991</v>
      </c>
      <c r="H25" s="14">
        <v>0</v>
      </c>
      <c r="I25" s="13">
        <f t="shared" si="0"/>
        <v>16908545.123779967</v>
      </c>
    </row>
    <row r="26" spans="1:9" ht="15.75" x14ac:dyDescent="0.25">
      <c r="A26" s="8"/>
      <c r="B26" s="8"/>
      <c r="C26" s="9"/>
      <c r="D26" s="12" t="s">
        <v>22</v>
      </c>
      <c r="E26" s="14">
        <v>5060044</v>
      </c>
      <c r="F26" s="14">
        <v>2591672.4448587364</v>
      </c>
      <c r="G26" s="14">
        <v>267974.36000000004</v>
      </c>
      <c r="H26" s="14">
        <v>0</v>
      </c>
      <c r="I26" s="13">
        <f t="shared" si="0"/>
        <v>7919690.8048587367</v>
      </c>
    </row>
    <row r="27" spans="1:9" ht="15.75" x14ac:dyDescent="0.25">
      <c r="A27" s="8"/>
      <c r="B27" s="8"/>
      <c r="C27" s="9"/>
      <c r="D27" s="12" t="s">
        <v>23</v>
      </c>
      <c r="E27" s="14">
        <v>4100729.45</v>
      </c>
      <c r="F27" s="14">
        <v>444831.84539608203</v>
      </c>
      <c r="G27" s="14">
        <v>852210.19</v>
      </c>
      <c r="H27" s="14">
        <v>0</v>
      </c>
      <c r="I27" s="13">
        <f t="shared" si="0"/>
        <v>5397771.4853960816</v>
      </c>
    </row>
    <row r="28" spans="1:9" ht="15.75" x14ac:dyDescent="0.25">
      <c r="A28" s="8"/>
      <c r="B28" s="8"/>
      <c r="C28" s="9"/>
      <c r="D28" s="12" t="s">
        <v>24</v>
      </c>
      <c r="E28" s="14">
        <v>4858408.08</v>
      </c>
      <c r="F28" s="14">
        <v>2108181.2857037759</v>
      </c>
      <c r="G28" s="14">
        <v>746449.66999999993</v>
      </c>
      <c r="H28" s="14">
        <v>0</v>
      </c>
      <c r="I28" s="13">
        <f t="shared" si="0"/>
        <v>7713039.0357037764</v>
      </c>
    </row>
    <row r="29" spans="1:9" ht="15.75" x14ac:dyDescent="0.25">
      <c r="A29" s="8"/>
      <c r="B29" s="8"/>
      <c r="C29" s="9"/>
      <c r="D29" s="12" t="s">
        <v>25</v>
      </c>
      <c r="E29" s="14">
        <v>4914396.08</v>
      </c>
      <c r="F29" s="14">
        <v>1179808.3337189369</v>
      </c>
      <c r="G29" s="14">
        <v>198502.18999999997</v>
      </c>
      <c r="H29" s="14">
        <v>0</v>
      </c>
      <c r="I29" s="13">
        <f t="shared" si="0"/>
        <v>6292706.6037189374</v>
      </c>
    </row>
    <row r="30" spans="1:9" ht="15.75" x14ac:dyDescent="0.25">
      <c r="A30" s="8"/>
      <c r="B30" s="8"/>
      <c r="C30" s="9"/>
      <c r="D30" s="12" t="s">
        <v>26</v>
      </c>
      <c r="E30" s="14">
        <v>10673670.970000003</v>
      </c>
      <c r="F30" s="14">
        <v>6363153.2234364096</v>
      </c>
      <c r="G30" s="14">
        <v>371108.94000000006</v>
      </c>
      <c r="H30" s="14">
        <v>0</v>
      </c>
      <c r="I30" s="13">
        <f t="shared" si="0"/>
        <v>17407933.133436415</v>
      </c>
    </row>
    <row r="31" spans="1:9" ht="15.75" x14ac:dyDescent="0.25">
      <c r="A31" s="8"/>
      <c r="B31" s="8"/>
      <c r="C31" s="9"/>
      <c r="D31" s="12" t="s">
        <v>27</v>
      </c>
      <c r="E31" s="14">
        <v>10543848.250000002</v>
      </c>
      <c r="F31" s="14">
        <v>6595258.9482910689</v>
      </c>
      <c r="G31" s="14">
        <v>286399.27999999997</v>
      </c>
      <c r="H31" s="14">
        <v>0</v>
      </c>
      <c r="I31" s="13">
        <f t="shared" si="0"/>
        <v>17425506.478291072</v>
      </c>
    </row>
    <row r="32" spans="1:9" ht="15.75" x14ac:dyDescent="0.25">
      <c r="A32" s="8"/>
      <c r="B32" s="8"/>
      <c r="C32" s="9"/>
      <c r="D32" s="12" t="s">
        <v>28</v>
      </c>
      <c r="E32" s="14">
        <v>7637833.6400000015</v>
      </c>
      <c r="F32" s="14">
        <v>2226157.1243322901</v>
      </c>
      <c r="G32" s="14">
        <v>209467.33</v>
      </c>
      <c r="H32" s="14">
        <v>0</v>
      </c>
      <c r="I32" s="13">
        <f t="shared" si="0"/>
        <v>10073458.094332291</v>
      </c>
    </row>
    <row r="33" spans="1:9" ht="15.75" x14ac:dyDescent="0.25">
      <c r="A33" s="8"/>
      <c r="B33" s="8"/>
      <c r="C33" s="9"/>
      <c r="D33" s="12" t="s">
        <v>29</v>
      </c>
      <c r="E33" s="14">
        <v>2589004.0799999996</v>
      </c>
      <c r="F33" s="14">
        <v>3365308.2469404694</v>
      </c>
      <c r="G33" s="14">
        <v>122105.41999999998</v>
      </c>
      <c r="H33" s="14">
        <v>0</v>
      </c>
      <c r="I33" s="13">
        <f t="shared" si="0"/>
        <v>6076417.7469404694</v>
      </c>
    </row>
    <row r="34" spans="1:9" ht="15.75" x14ac:dyDescent="0.25">
      <c r="A34" s="8"/>
      <c r="B34" s="8"/>
      <c r="C34" s="9"/>
      <c r="D34" s="12" t="s">
        <v>30</v>
      </c>
      <c r="E34" s="14">
        <v>22487295.140000001</v>
      </c>
      <c r="F34" s="14">
        <v>4829417.3738319296</v>
      </c>
      <c r="G34" s="14">
        <v>900221.40000000014</v>
      </c>
      <c r="H34" s="14">
        <v>0</v>
      </c>
      <c r="I34" s="13">
        <f t="shared" si="0"/>
        <v>28216933.913831927</v>
      </c>
    </row>
    <row r="35" spans="1:9" ht="15.75" x14ac:dyDescent="0.25">
      <c r="A35" s="8"/>
      <c r="B35" s="8"/>
      <c r="C35" s="9"/>
      <c r="D35" s="12" t="s">
        <v>31</v>
      </c>
      <c r="E35" s="14">
        <v>8979728.1100000013</v>
      </c>
      <c r="F35" s="14">
        <v>7100077.6616773475</v>
      </c>
      <c r="G35" s="14">
        <v>606391.17000000004</v>
      </c>
      <c r="H35" s="14">
        <v>0</v>
      </c>
      <c r="I35" s="13">
        <f t="shared" si="0"/>
        <v>16686196.941677349</v>
      </c>
    </row>
    <row r="36" spans="1:9" ht="15.75" x14ac:dyDescent="0.25">
      <c r="A36" s="8"/>
      <c r="B36" s="8"/>
      <c r="C36" s="9"/>
      <c r="D36" s="12" t="s">
        <v>32</v>
      </c>
      <c r="E36" s="14">
        <v>12384744.65</v>
      </c>
      <c r="F36" s="14">
        <v>4405863.1352333706</v>
      </c>
      <c r="G36" s="14">
        <v>1214722.8899999999</v>
      </c>
      <c r="H36" s="14">
        <v>0</v>
      </c>
      <c r="I36" s="13">
        <f t="shared" si="0"/>
        <v>18005330.675233372</v>
      </c>
    </row>
    <row r="37" spans="1:9" ht="15.75" x14ac:dyDescent="0.25">
      <c r="A37" s="8"/>
      <c r="B37" s="8"/>
      <c r="C37" s="9"/>
      <c r="D37" s="12" t="s">
        <v>33</v>
      </c>
      <c r="E37" s="14">
        <v>10363476.820000002</v>
      </c>
      <c r="F37" s="14">
        <v>2436935.2949556299</v>
      </c>
      <c r="G37" s="14">
        <v>336617.59</v>
      </c>
      <c r="H37" s="14">
        <v>0</v>
      </c>
      <c r="I37" s="13">
        <f t="shared" si="0"/>
        <v>13137029.704955632</v>
      </c>
    </row>
    <row r="38" spans="1:9" ht="15.75" x14ac:dyDescent="0.25">
      <c r="A38" s="8"/>
      <c r="B38" s="8"/>
      <c r="C38" s="9"/>
      <c r="D38" s="12" t="s">
        <v>34</v>
      </c>
      <c r="E38" s="14">
        <v>9177456.9899999984</v>
      </c>
      <c r="F38" s="14">
        <v>5295576.7734593302</v>
      </c>
      <c r="G38" s="14">
        <v>350602.01999999996</v>
      </c>
      <c r="H38" s="14">
        <v>0</v>
      </c>
      <c r="I38" s="13">
        <f t="shared" si="0"/>
        <v>14823635.783459328</v>
      </c>
    </row>
    <row r="39" spans="1:9" ht="15.75" x14ac:dyDescent="0.25">
      <c r="A39" s="8"/>
      <c r="B39" s="8"/>
      <c r="C39" s="9"/>
      <c r="D39" s="12" t="s">
        <v>35</v>
      </c>
      <c r="E39" s="14">
        <v>7254143.919999999</v>
      </c>
      <c r="F39" s="14">
        <v>8291473.8000371885</v>
      </c>
      <c r="G39" s="14">
        <v>333505.40999999992</v>
      </c>
      <c r="H39" s="14">
        <v>0</v>
      </c>
      <c r="I39" s="13">
        <f t="shared" si="0"/>
        <v>15879123.130037189</v>
      </c>
    </row>
    <row r="40" spans="1:9" ht="15.75" x14ac:dyDescent="0.25">
      <c r="A40" s="8"/>
      <c r="B40" s="8"/>
      <c r="C40" s="9"/>
      <c r="D40" s="12" t="s">
        <v>36</v>
      </c>
      <c r="E40" s="14">
        <v>982630.42000000016</v>
      </c>
      <c r="F40" s="14">
        <v>435191.990673261</v>
      </c>
      <c r="G40" s="14">
        <v>425680.24999999994</v>
      </c>
      <c r="H40" s="14">
        <v>0</v>
      </c>
      <c r="I40" s="13">
        <f t="shared" si="0"/>
        <v>1843502.6606732612</v>
      </c>
    </row>
    <row r="41" spans="1:9" ht="15.75" x14ac:dyDescent="0.25">
      <c r="A41" s="8"/>
      <c r="B41" s="8"/>
      <c r="C41" s="9"/>
      <c r="D41" s="12" t="s">
        <v>37</v>
      </c>
      <c r="E41" s="14">
        <v>14949610.879999999</v>
      </c>
      <c r="F41" s="14">
        <v>7272196.5185418082</v>
      </c>
      <c r="G41" s="14">
        <v>846424.22</v>
      </c>
      <c r="H41" s="14">
        <v>0</v>
      </c>
      <c r="I41" s="13">
        <f t="shared" si="0"/>
        <v>23068231.618541807</v>
      </c>
    </row>
    <row r="42" spans="1:9" ht="15.75" x14ac:dyDescent="0.25">
      <c r="A42" s="8"/>
      <c r="B42" s="8"/>
      <c r="C42" s="9"/>
      <c r="D42" s="12" t="s">
        <v>38</v>
      </c>
      <c r="E42" s="14">
        <v>11160059.15</v>
      </c>
      <c r="F42" s="14">
        <v>7875661.4136771634</v>
      </c>
      <c r="G42" s="14">
        <v>234381.13000000003</v>
      </c>
      <c r="H42" s="14">
        <v>0</v>
      </c>
      <c r="I42" s="13">
        <f t="shared" si="0"/>
        <v>19270101.693677161</v>
      </c>
    </row>
    <row r="43" spans="1:9" ht="15.75" x14ac:dyDescent="0.25">
      <c r="A43" s="8"/>
      <c r="B43" s="8"/>
      <c r="C43" s="9"/>
      <c r="D43" s="12" t="s">
        <v>39</v>
      </c>
      <c r="E43" s="14">
        <v>2759280.1499999994</v>
      </c>
      <c r="F43" s="14">
        <v>2864385.4333903557</v>
      </c>
      <c r="G43" s="14">
        <v>306844.8600000001</v>
      </c>
      <c r="H43" s="14">
        <v>0</v>
      </c>
      <c r="I43" s="13">
        <f t="shared" si="0"/>
        <v>5930510.4433903554</v>
      </c>
    </row>
    <row r="44" spans="1:9" ht="15.75" x14ac:dyDescent="0.25">
      <c r="A44" s="8"/>
      <c r="B44" s="8"/>
      <c r="C44" s="9"/>
      <c r="D44" s="12" t="s">
        <v>40</v>
      </c>
      <c r="E44" s="14">
        <v>12323.49</v>
      </c>
      <c r="F44" s="14">
        <v>220467.97277995799</v>
      </c>
      <c r="G44" s="14">
        <v>383961.01999999996</v>
      </c>
      <c r="H44" s="14">
        <v>0</v>
      </c>
      <c r="I44" s="13">
        <f t="shared" si="0"/>
        <v>616752.48277995794</v>
      </c>
    </row>
    <row r="45" spans="1:9" ht="15.75" x14ac:dyDescent="0.25">
      <c r="A45" s="8"/>
      <c r="B45" s="8"/>
      <c r="C45" s="9"/>
      <c r="D45" s="12" t="s">
        <v>41</v>
      </c>
      <c r="E45" s="14">
        <v>4567061.6700000009</v>
      </c>
      <c r="F45" s="14">
        <v>63832.820392566005</v>
      </c>
      <c r="G45" s="14">
        <v>1752724.92</v>
      </c>
      <c r="H45" s="14">
        <v>0</v>
      </c>
      <c r="I45" s="13">
        <f t="shared" si="0"/>
        <v>6383619.4103925666</v>
      </c>
    </row>
    <row r="46" spans="1:9" ht="15.75" x14ac:dyDescent="0.25">
      <c r="A46" s="8"/>
      <c r="B46" s="8"/>
      <c r="C46" s="9"/>
      <c r="D46" s="12" t="s">
        <v>42</v>
      </c>
      <c r="E46" s="14">
        <v>911831.74000000011</v>
      </c>
      <c r="F46" s="14">
        <v>212726.12054142304</v>
      </c>
      <c r="G46" s="14">
        <v>1515476.2700000003</v>
      </c>
      <c r="H46" s="14">
        <v>0</v>
      </c>
      <c r="I46" s="13">
        <f t="shared" si="0"/>
        <v>2640034.1305414233</v>
      </c>
    </row>
    <row r="47" spans="1:9" ht="15.75" x14ac:dyDescent="0.25">
      <c r="A47" s="8"/>
      <c r="B47" s="8"/>
      <c r="C47" s="9"/>
      <c r="D47" s="12" t="s">
        <v>43</v>
      </c>
      <c r="E47" s="14">
        <v>5846733.4699999997</v>
      </c>
      <c r="F47" s="14">
        <v>1349979.2406653161</v>
      </c>
      <c r="G47" s="14">
        <v>408358.45</v>
      </c>
      <c r="H47" s="14">
        <v>0</v>
      </c>
      <c r="I47" s="13">
        <f t="shared" si="0"/>
        <v>7605071.1606653156</v>
      </c>
    </row>
    <row r="48" spans="1:9" ht="15.75" x14ac:dyDescent="0.25">
      <c r="A48" s="8"/>
      <c r="B48" s="8"/>
      <c r="C48" s="9"/>
      <c r="D48" s="12" t="s">
        <v>44</v>
      </c>
      <c r="E48" s="14">
        <v>3318708.3400000003</v>
      </c>
      <c r="F48" s="14">
        <v>212726.12054142304</v>
      </c>
      <c r="G48" s="14">
        <v>612909.44999999995</v>
      </c>
      <c r="H48" s="14">
        <v>0</v>
      </c>
      <c r="I48" s="13">
        <f t="shared" si="0"/>
        <v>4144343.9105414236</v>
      </c>
    </row>
    <row r="49" spans="1:9" ht="15.75" x14ac:dyDescent="0.25">
      <c r="A49" s="8"/>
      <c r="B49" s="8"/>
      <c r="C49" s="9"/>
      <c r="D49" s="12" t="s">
        <v>45</v>
      </c>
      <c r="E49" s="14">
        <v>1757122.4500000004</v>
      </c>
      <c r="F49" s="14">
        <v>253383.33165218099</v>
      </c>
      <c r="G49" s="14">
        <v>1227972.98</v>
      </c>
      <c r="H49" s="14">
        <v>0</v>
      </c>
      <c r="I49" s="13">
        <f t="shared" si="0"/>
        <v>3238478.7616521814</v>
      </c>
    </row>
    <row r="50" spans="1:9" ht="15.75" x14ac:dyDescent="0.25">
      <c r="A50" s="8"/>
      <c r="B50" s="8"/>
      <c r="C50" s="9"/>
      <c r="D50" s="12" t="s">
        <v>46</v>
      </c>
      <c r="E50" s="14">
        <v>5610903.5300000012</v>
      </c>
      <c r="F50" s="14">
        <v>2448573.0470303311</v>
      </c>
      <c r="G50" s="14">
        <v>174544.33000000002</v>
      </c>
      <c r="H50" s="14">
        <v>0</v>
      </c>
      <c r="I50" s="13">
        <f t="shared" si="0"/>
        <v>8234020.9070303328</v>
      </c>
    </row>
    <row r="51" spans="1:9" ht="15.75" x14ac:dyDescent="0.25">
      <c r="A51" s="8"/>
      <c r="B51" s="8"/>
      <c r="C51" s="9"/>
      <c r="D51" s="12" t="s">
        <v>47</v>
      </c>
      <c r="E51" s="14">
        <v>8364916.620000001</v>
      </c>
      <c r="F51" s="14">
        <v>4452264.3012307826</v>
      </c>
      <c r="G51" s="14">
        <v>709681.12</v>
      </c>
      <c r="H51" s="14">
        <v>0</v>
      </c>
      <c r="I51" s="13">
        <f t="shared" si="0"/>
        <v>13526862.041230783</v>
      </c>
    </row>
    <row r="52" spans="1:9" ht="15.75" x14ac:dyDescent="0.25">
      <c r="A52" s="8"/>
      <c r="B52" s="8"/>
      <c r="C52" s="9"/>
      <c r="D52" s="12" t="s">
        <v>48</v>
      </c>
      <c r="E52" s="14">
        <v>6192828.4000000004</v>
      </c>
      <c r="F52" s="14">
        <v>4487077.6625872925</v>
      </c>
      <c r="G52" s="14">
        <v>144035.23000000001</v>
      </c>
      <c r="H52" s="14">
        <v>0</v>
      </c>
      <c r="I52" s="13">
        <f t="shared" si="0"/>
        <v>10823941.292587293</v>
      </c>
    </row>
    <row r="53" spans="1:9" ht="15.75" x14ac:dyDescent="0.25">
      <c r="A53" s="8"/>
      <c r="B53" s="8"/>
      <c r="C53" s="9"/>
      <c r="D53" s="12" t="s">
        <v>49</v>
      </c>
      <c r="E53" s="14">
        <v>10132604.999999998</v>
      </c>
      <c r="F53" s="14">
        <v>3075213.551447493</v>
      </c>
      <c r="G53" s="14">
        <v>654146.79000000015</v>
      </c>
      <c r="H53" s="14">
        <v>0</v>
      </c>
      <c r="I53" s="13">
        <f t="shared" si="0"/>
        <v>13861965.341447493</v>
      </c>
    </row>
    <row r="54" spans="1:9" ht="15.75" x14ac:dyDescent="0.25">
      <c r="A54" s="8"/>
      <c r="B54" s="8"/>
      <c r="C54" s="9"/>
      <c r="D54" s="12" t="s">
        <v>50</v>
      </c>
      <c r="E54" s="14">
        <v>6824084.0500000026</v>
      </c>
      <c r="F54" s="14">
        <v>2823778.1697133952</v>
      </c>
      <c r="G54" s="14">
        <v>288238.12</v>
      </c>
      <c r="H54" s="14">
        <v>0</v>
      </c>
      <c r="I54" s="13">
        <f t="shared" si="0"/>
        <v>9936100.3397133965</v>
      </c>
    </row>
    <row r="55" spans="1:9" ht="15.75" x14ac:dyDescent="0.25">
      <c r="A55" s="8"/>
      <c r="B55" s="8"/>
      <c r="C55" s="9"/>
      <c r="D55" s="12" t="s">
        <v>51</v>
      </c>
      <c r="E55" s="14">
        <v>2792516.6799999997</v>
      </c>
      <c r="F55" s="14">
        <v>5782963.8324504569</v>
      </c>
      <c r="G55" s="14">
        <v>39682.230000000003</v>
      </c>
      <c r="H55" s="14">
        <v>0</v>
      </c>
      <c r="I55" s="13">
        <f t="shared" si="0"/>
        <v>8615162.7424504571</v>
      </c>
    </row>
    <row r="56" spans="1:9" ht="15.75" x14ac:dyDescent="0.25">
      <c r="A56" s="8"/>
      <c r="B56" s="8"/>
      <c r="C56" s="9"/>
      <c r="D56" s="12" t="s">
        <v>52</v>
      </c>
      <c r="E56" s="14">
        <v>7083687.1600000011</v>
      </c>
      <c r="F56" s="14">
        <v>6436675.8459855923</v>
      </c>
      <c r="G56" s="14">
        <v>277215.93</v>
      </c>
      <c r="H56" s="14">
        <v>0</v>
      </c>
      <c r="I56" s="13">
        <f t="shared" si="0"/>
        <v>13797578.935985593</v>
      </c>
    </row>
    <row r="57" spans="1:9" ht="15.75" x14ac:dyDescent="0.25">
      <c r="A57" s="8"/>
      <c r="B57" s="8"/>
      <c r="C57" s="9"/>
      <c r="D57" s="12" t="s">
        <v>53</v>
      </c>
      <c r="E57" s="14">
        <v>2090557.35</v>
      </c>
      <c r="F57" s="14">
        <v>2127510.942583215</v>
      </c>
      <c r="G57" s="14">
        <v>172898.22000000003</v>
      </c>
      <c r="H57" s="14">
        <v>0</v>
      </c>
      <c r="I57" s="13">
        <f t="shared" si="0"/>
        <v>4390966.5125832148</v>
      </c>
    </row>
    <row r="58" spans="1:9" ht="15.75" x14ac:dyDescent="0.25">
      <c r="A58" s="8"/>
      <c r="B58" s="8"/>
      <c r="C58" s="9"/>
      <c r="D58" s="12" t="s">
        <v>54</v>
      </c>
      <c r="E58" s="14">
        <v>2720302.15</v>
      </c>
      <c r="F58" s="14">
        <v>2289989.9447248559</v>
      </c>
      <c r="G58" s="14">
        <v>29257.670000000002</v>
      </c>
      <c r="H58" s="14">
        <v>0</v>
      </c>
      <c r="I58" s="13">
        <f t="shared" si="0"/>
        <v>5039549.7647248562</v>
      </c>
    </row>
    <row r="59" spans="1:9" ht="15.75" x14ac:dyDescent="0.25">
      <c r="A59" s="8"/>
      <c r="B59" s="8"/>
      <c r="C59" s="9"/>
      <c r="D59" s="12" t="s">
        <v>55</v>
      </c>
      <c r="E59" s="14">
        <v>4841436.3500000006</v>
      </c>
      <c r="F59" s="14">
        <v>3868179.0104086651</v>
      </c>
      <c r="G59" s="14">
        <v>353198.5</v>
      </c>
      <c r="H59" s="14">
        <v>0</v>
      </c>
      <c r="I59" s="13">
        <f t="shared" si="0"/>
        <v>9062813.8604086656</v>
      </c>
    </row>
    <row r="60" spans="1:9" ht="15.75" x14ac:dyDescent="0.25">
      <c r="A60" s="8"/>
      <c r="B60" s="8"/>
      <c r="C60" s="9"/>
      <c r="D60" s="12" t="s">
        <v>56</v>
      </c>
      <c r="E60" s="14">
        <v>3487018.3899999997</v>
      </c>
      <c r="F60" s="14">
        <v>2340237.0631246381</v>
      </c>
      <c r="G60" s="14">
        <v>141610.51999999999</v>
      </c>
      <c r="H60" s="14">
        <v>0</v>
      </c>
      <c r="I60" s="13">
        <f t="shared" si="0"/>
        <v>5968865.9731246373</v>
      </c>
    </row>
    <row r="61" spans="1:9" ht="15.75" x14ac:dyDescent="0.25">
      <c r="A61" s="8"/>
      <c r="B61" s="8"/>
      <c r="C61" s="9"/>
      <c r="D61" s="12" t="s">
        <v>57</v>
      </c>
      <c r="E61" s="14">
        <v>10469082.629999997</v>
      </c>
      <c r="F61" s="14">
        <v>3926217.9284807793</v>
      </c>
      <c r="G61" s="14">
        <v>292378.57000000007</v>
      </c>
      <c r="H61" s="14">
        <v>0</v>
      </c>
      <c r="I61" s="13">
        <f t="shared" si="0"/>
        <v>14687679.128480777</v>
      </c>
    </row>
    <row r="62" spans="1:9" ht="15.75" x14ac:dyDescent="0.25">
      <c r="A62" s="8"/>
      <c r="B62" s="8"/>
      <c r="C62" s="9"/>
      <c r="D62" s="12" t="s">
        <v>58</v>
      </c>
      <c r="E62" s="14">
        <v>11103329.76</v>
      </c>
      <c r="F62" s="14">
        <v>4380739.5760334795</v>
      </c>
      <c r="G62" s="14">
        <v>11997670.249999998</v>
      </c>
      <c r="H62" s="14">
        <v>0</v>
      </c>
      <c r="I62" s="13">
        <f t="shared" si="0"/>
        <v>27481739.586033478</v>
      </c>
    </row>
    <row r="63" spans="1:9" ht="15.75" x14ac:dyDescent="0.25">
      <c r="A63" s="8"/>
      <c r="B63" s="8"/>
      <c r="C63" s="9"/>
      <c r="D63" s="12" t="s">
        <v>59</v>
      </c>
      <c r="E63" s="14">
        <v>3054658.61</v>
      </c>
      <c r="F63" s="14">
        <v>483541.10658875696</v>
      </c>
      <c r="G63" s="14">
        <v>497132.68999999994</v>
      </c>
      <c r="H63" s="14">
        <v>0</v>
      </c>
      <c r="I63" s="13">
        <f t="shared" si="0"/>
        <v>4035332.4065887569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3288436.5799999996</v>
      </c>
      <c r="H64" s="14">
        <v>0</v>
      </c>
      <c r="I64" s="13">
        <f t="shared" si="0"/>
        <v>3288436.5799999996</v>
      </c>
    </row>
    <row r="65" spans="1:9" ht="15.75" x14ac:dyDescent="0.25">
      <c r="A65" s="8"/>
      <c r="B65" s="8"/>
      <c r="C65" s="9"/>
      <c r="D65" s="12" t="s">
        <v>61</v>
      </c>
      <c r="E65" s="14">
        <v>8652992.1400000006</v>
      </c>
      <c r="F65" s="14">
        <v>5724924.9143783432</v>
      </c>
      <c r="G65" s="14">
        <v>256424.43</v>
      </c>
      <c r="H65" s="14">
        <v>0</v>
      </c>
      <c r="I65" s="13">
        <f t="shared" si="0"/>
        <v>14634341.484378343</v>
      </c>
    </row>
    <row r="66" spans="1:9" ht="15.75" x14ac:dyDescent="0.25">
      <c r="A66" s="8"/>
      <c r="B66" s="8"/>
      <c r="C66" s="9"/>
      <c r="D66" s="12" t="s">
        <v>62</v>
      </c>
      <c r="E66" s="14">
        <v>35540564.530000009</v>
      </c>
      <c r="F66" s="14">
        <v>11382171.055961752</v>
      </c>
      <c r="G66" s="14">
        <v>522740.68</v>
      </c>
      <c r="H66" s="14">
        <v>0</v>
      </c>
      <c r="I66" s="13">
        <f t="shared" si="0"/>
        <v>47445476.265961759</v>
      </c>
    </row>
    <row r="67" spans="1:9" ht="15.75" x14ac:dyDescent="0.25">
      <c r="A67" s="8"/>
      <c r="B67" s="8"/>
      <c r="C67" s="9"/>
      <c r="D67" s="12" t="s">
        <v>63</v>
      </c>
      <c r="E67" s="14">
        <v>6584562.5999999996</v>
      </c>
      <c r="F67" s="14">
        <v>5260763.4121028222</v>
      </c>
      <c r="G67" s="14">
        <v>247684.36999999997</v>
      </c>
      <c r="H67" s="14">
        <v>0</v>
      </c>
      <c r="I67" s="13">
        <f t="shared" si="0"/>
        <v>12093010.382102821</v>
      </c>
    </row>
    <row r="68" spans="1:9" ht="15.75" x14ac:dyDescent="0.25">
      <c r="A68" s="8"/>
      <c r="B68" s="8"/>
      <c r="C68" s="9"/>
      <c r="D68" s="12" t="s">
        <v>64</v>
      </c>
      <c r="E68" s="14">
        <v>7192896.0099999998</v>
      </c>
      <c r="F68" s="14">
        <v>2224209.1744142072</v>
      </c>
      <c r="G68" s="14">
        <v>267861.36</v>
      </c>
      <c r="H68" s="14">
        <v>0</v>
      </c>
      <c r="I68" s="13">
        <f t="shared" si="0"/>
        <v>9684966.5444142073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1060876.4200000002</v>
      </c>
      <c r="H69" s="14">
        <v>0</v>
      </c>
      <c r="I69" s="13">
        <f t="shared" si="0"/>
        <v>1060876.4200000002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1259653.32</v>
      </c>
      <c r="H70" s="14">
        <v>0</v>
      </c>
      <c r="I70" s="13">
        <f t="shared" si="0"/>
        <v>1259653.32</v>
      </c>
    </row>
    <row r="71" spans="1:9" ht="15.75" x14ac:dyDescent="0.25">
      <c r="A71" s="8"/>
      <c r="B71" s="8"/>
      <c r="C71" s="9"/>
      <c r="D71" s="12" t="s">
        <v>67</v>
      </c>
      <c r="E71" s="14">
        <v>56684.38</v>
      </c>
      <c r="F71" s="14">
        <v>58038.918072114</v>
      </c>
      <c r="G71" s="14">
        <v>811758.30999999994</v>
      </c>
      <c r="H71" s="14">
        <v>0</v>
      </c>
      <c r="I71" s="13">
        <f t="shared" si="0"/>
        <v>926481.60807211394</v>
      </c>
    </row>
    <row r="72" spans="1:9" ht="15.75" x14ac:dyDescent="0.25">
      <c r="A72" s="8"/>
      <c r="B72" s="8"/>
      <c r="C72" s="9"/>
      <c r="D72" s="12" t="s">
        <v>68</v>
      </c>
      <c r="E72" s="14">
        <v>13369875.399999999</v>
      </c>
      <c r="F72" s="14">
        <v>3612897.6762721981</v>
      </c>
      <c r="G72" s="14">
        <v>2052036.0599999998</v>
      </c>
      <c r="H72" s="14">
        <v>0</v>
      </c>
      <c r="I72" s="13">
        <f t="shared" si="0"/>
        <v>19034809.136272196</v>
      </c>
    </row>
    <row r="73" spans="1:9" ht="15.75" x14ac:dyDescent="0.25">
      <c r="A73" s="8"/>
      <c r="B73" s="8"/>
      <c r="C73" s="9"/>
      <c r="D73" s="12" t="s">
        <v>69</v>
      </c>
      <c r="E73" s="14">
        <v>91685.349999999991</v>
      </c>
      <c r="F73" s="14">
        <v>0</v>
      </c>
      <c r="G73" s="14">
        <v>1630979.2700000003</v>
      </c>
      <c r="H73" s="14">
        <v>0</v>
      </c>
      <c r="I73" s="13">
        <f t="shared" si="0"/>
        <v>1722664.6200000003</v>
      </c>
    </row>
    <row r="74" spans="1:9" ht="15.75" x14ac:dyDescent="0.25">
      <c r="A74" s="8"/>
      <c r="B74" s="8"/>
      <c r="C74" s="9"/>
      <c r="D74" s="12" t="s">
        <v>70</v>
      </c>
      <c r="E74" s="14">
        <v>1616450.0599999998</v>
      </c>
      <c r="F74" s="14">
        <v>305578.39997004601</v>
      </c>
      <c r="G74" s="14">
        <v>5491799.04</v>
      </c>
      <c r="H74" s="14">
        <v>0</v>
      </c>
      <c r="I74" s="13">
        <f t="shared" ref="I74:I137" si="1">SUM(E74:H74)</f>
        <v>7413827.4999700459</v>
      </c>
    </row>
    <row r="75" spans="1:9" ht="15.75" x14ac:dyDescent="0.25">
      <c r="A75" s="8"/>
      <c r="B75" s="8"/>
      <c r="C75" s="9"/>
      <c r="D75" s="12" t="s">
        <v>71</v>
      </c>
      <c r="E75" s="14">
        <v>5633893.9800000014</v>
      </c>
      <c r="F75" s="14">
        <v>1187550.1859574721</v>
      </c>
      <c r="G75" s="14">
        <v>10560775.319999998</v>
      </c>
      <c r="H75" s="14">
        <v>0</v>
      </c>
      <c r="I75" s="13">
        <f t="shared" si="1"/>
        <v>17382219.485957474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3084223.38</v>
      </c>
      <c r="H76" s="14">
        <v>0</v>
      </c>
      <c r="I76" s="13">
        <f t="shared" si="1"/>
        <v>3084223.38</v>
      </c>
    </row>
    <row r="77" spans="1:9" ht="15.75" x14ac:dyDescent="0.25">
      <c r="A77" s="8"/>
      <c r="B77" s="8"/>
      <c r="C77" s="9"/>
      <c r="D77" s="12" t="s">
        <v>73</v>
      </c>
      <c r="E77" s="14">
        <v>4262158.1500000004</v>
      </c>
      <c r="F77" s="14">
        <v>5889301.9190042708</v>
      </c>
      <c r="G77" s="14">
        <v>193838.25</v>
      </c>
      <c r="H77" s="14">
        <v>0</v>
      </c>
      <c r="I77" s="13">
        <f t="shared" si="1"/>
        <v>10345298.319004271</v>
      </c>
    </row>
    <row r="78" spans="1:9" ht="15.75" x14ac:dyDescent="0.25">
      <c r="A78" s="8"/>
      <c r="B78" s="8"/>
      <c r="C78" s="9"/>
      <c r="D78" s="12" t="s">
        <v>74</v>
      </c>
      <c r="E78" s="14">
        <v>8264677.6399999997</v>
      </c>
      <c r="F78" s="14">
        <v>5976360.2961124415</v>
      </c>
      <c r="G78" s="14">
        <v>340515.85999999993</v>
      </c>
      <c r="H78" s="14">
        <v>0</v>
      </c>
      <c r="I78" s="13">
        <f t="shared" si="1"/>
        <v>14581553.796112441</v>
      </c>
    </row>
    <row r="79" spans="1:9" ht="15.75" x14ac:dyDescent="0.25">
      <c r="A79" s="8"/>
      <c r="B79" s="8"/>
      <c r="C79" s="9"/>
      <c r="D79" s="12" t="s">
        <v>75</v>
      </c>
      <c r="E79" s="14">
        <v>8775223.0600000005</v>
      </c>
      <c r="F79" s="14">
        <v>3355668.3922176477</v>
      </c>
      <c r="G79" s="14">
        <v>325066.40000000002</v>
      </c>
      <c r="H79" s="14">
        <v>0</v>
      </c>
      <c r="I79" s="13">
        <f t="shared" si="1"/>
        <v>12455957.852217648</v>
      </c>
    </row>
    <row r="80" spans="1:9" ht="15.75" x14ac:dyDescent="0.25">
      <c r="A80" s="8"/>
      <c r="B80" s="8"/>
      <c r="C80" s="9"/>
      <c r="D80" s="12" t="s">
        <v>76</v>
      </c>
      <c r="E80" s="14">
        <v>3231133.25</v>
      </c>
      <c r="F80" s="14">
        <v>1773583.426697673</v>
      </c>
      <c r="G80" s="14">
        <v>44256.38</v>
      </c>
      <c r="H80" s="14">
        <v>0</v>
      </c>
      <c r="I80" s="13">
        <f t="shared" si="1"/>
        <v>5048973.0566976732</v>
      </c>
    </row>
    <row r="81" spans="1:9" ht="15.75" x14ac:dyDescent="0.25">
      <c r="A81" s="8"/>
      <c r="B81" s="8"/>
      <c r="C81" s="9"/>
      <c r="D81" s="12" t="s">
        <v>77</v>
      </c>
      <c r="E81" s="14">
        <v>23030132.460000005</v>
      </c>
      <c r="F81" s="14">
        <v>10701337.585874844</v>
      </c>
      <c r="G81" s="14">
        <v>853379.29999999993</v>
      </c>
      <c r="H81" s="14">
        <v>0</v>
      </c>
      <c r="I81" s="13">
        <f t="shared" si="1"/>
        <v>34584849.345874846</v>
      </c>
    </row>
    <row r="82" spans="1:9" ht="15.75" x14ac:dyDescent="0.25">
      <c r="A82" s="8"/>
      <c r="B82" s="8"/>
      <c r="C82" s="9"/>
      <c r="D82" s="12" t="s">
        <v>78</v>
      </c>
      <c r="E82" s="14">
        <v>27677043.329999998</v>
      </c>
      <c r="F82" s="14">
        <v>7417243.8662882969</v>
      </c>
      <c r="G82" s="14">
        <v>254173.41</v>
      </c>
      <c r="H82" s="14">
        <v>0</v>
      </c>
      <c r="I82" s="13">
        <f t="shared" si="1"/>
        <v>35348460.606288292</v>
      </c>
    </row>
    <row r="83" spans="1:9" ht="15.75" x14ac:dyDescent="0.25">
      <c r="A83" s="8"/>
      <c r="B83" s="8"/>
      <c r="C83" s="9"/>
      <c r="D83" s="12" t="s">
        <v>79</v>
      </c>
      <c r="E83" s="14">
        <v>6422102.0700000012</v>
      </c>
      <c r="F83" s="14">
        <v>3046194.0924114361</v>
      </c>
      <c r="G83" s="14">
        <v>453985.67</v>
      </c>
      <c r="H83" s="14">
        <v>0</v>
      </c>
      <c r="I83" s="13">
        <f t="shared" si="1"/>
        <v>9922281.8324114364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3951558.2399999993</v>
      </c>
      <c r="H84" s="14">
        <v>0</v>
      </c>
      <c r="I84" s="13">
        <f t="shared" si="1"/>
        <v>3951558.2399999993</v>
      </c>
    </row>
    <row r="85" spans="1:9" ht="15.75" x14ac:dyDescent="0.25">
      <c r="A85" s="8"/>
      <c r="B85" s="8"/>
      <c r="C85" s="9"/>
      <c r="D85" s="12" t="s">
        <v>81</v>
      </c>
      <c r="E85" s="14">
        <v>7132875.1899999995</v>
      </c>
      <c r="F85" s="14">
        <v>947702.60886427807</v>
      </c>
      <c r="G85" s="14">
        <v>1542749.8</v>
      </c>
      <c r="H85" s="14">
        <v>0</v>
      </c>
      <c r="I85" s="13">
        <f t="shared" si="1"/>
        <v>9623327.5988642778</v>
      </c>
    </row>
    <row r="86" spans="1:9" ht="15.75" x14ac:dyDescent="0.25">
      <c r="A86" s="8"/>
      <c r="B86" s="8"/>
      <c r="C86" s="9"/>
      <c r="D86" s="12" t="s">
        <v>82</v>
      </c>
      <c r="E86" s="14">
        <v>4955167.0599999996</v>
      </c>
      <c r="F86" s="14">
        <v>3935907.7306373967</v>
      </c>
      <c r="G86" s="14">
        <v>159309.56999999998</v>
      </c>
      <c r="H86" s="14">
        <v>0</v>
      </c>
      <c r="I86" s="13">
        <f t="shared" si="1"/>
        <v>9050384.3606373966</v>
      </c>
    </row>
    <row r="87" spans="1:9" ht="15.75" x14ac:dyDescent="0.25">
      <c r="A87" s="8"/>
      <c r="B87" s="8"/>
      <c r="C87" s="9"/>
      <c r="D87" s="12" t="s">
        <v>83</v>
      </c>
      <c r="E87" s="14">
        <v>3302624.2800000007</v>
      </c>
      <c r="F87" s="14">
        <v>5183394.8371512694</v>
      </c>
      <c r="G87" s="14">
        <v>144116.72000000003</v>
      </c>
      <c r="H87" s="14">
        <v>0</v>
      </c>
      <c r="I87" s="13">
        <f t="shared" si="1"/>
        <v>8630135.8371512704</v>
      </c>
    </row>
    <row r="88" spans="1:9" ht="15.75" x14ac:dyDescent="0.25">
      <c r="A88" s="8"/>
      <c r="B88" s="8"/>
      <c r="C88" s="9"/>
      <c r="D88" s="12" t="s">
        <v>84</v>
      </c>
      <c r="E88" s="14">
        <v>801816.69000000006</v>
      </c>
      <c r="F88" s="14">
        <v>0</v>
      </c>
      <c r="G88" s="14">
        <v>1859897.3900000001</v>
      </c>
      <c r="H88" s="14">
        <v>0</v>
      </c>
      <c r="I88" s="13">
        <f t="shared" si="1"/>
        <v>2661714.08</v>
      </c>
    </row>
    <row r="89" spans="1:9" ht="15.75" x14ac:dyDescent="0.25">
      <c r="A89" s="8"/>
      <c r="B89" s="8"/>
      <c r="C89" s="9"/>
      <c r="D89" s="12" t="s">
        <v>85</v>
      </c>
      <c r="E89" s="14">
        <v>4838576.4000000013</v>
      </c>
      <c r="F89" s="14">
        <v>5082800.7054841118</v>
      </c>
      <c r="G89" s="14">
        <v>473564.67</v>
      </c>
      <c r="H89" s="14">
        <v>0</v>
      </c>
      <c r="I89" s="13">
        <f t="shared" si="1"/>
        <v>10394941.775484113</v>
      </c>
    </row>
    <row r="90" spans="1:9" ht="15.75" x14ac:dyDescent="0.25">
      <c r="A90" s="8"/>
      <c r="B90" s="8"/>
      <c r="C90" s="9"/>
      <c r="D90" s="12" t="s">
        <v>86</v>
      </c>
      <c r="E90" s="14">
        <v>1757620.16</v>
      </c>
      <c r="F90" s="14">
        <v>1315165.879308807</v>
      </c>
      <c r="G90" s="14">
        <v>255387.45999999996</v>
      </c>
      <c r="H90" s="14">
        <v>0</v>
      </c>
      <c r="I90" s="13">
        <f t="shared" si="1"/>
        <v>3328173.4993088068</v>
      </c>
    </row>
    <row r="91" spans="1:9" ht="15.75" x14ac:dyDescent="0.25">
      <c r="A91" s="8"/>
      <c r="B91" s="8"/>
      <c r="C91" s="9"/>
      <c r="D91" s="12" t="s">
        <v>87</v>
      </c>
      <c r="E91" s="14">
        <v>5207037.5900000008</v>
      </c>
      <c r="F91" s="14">
        <v>2999792.9264140227</v>
      </c>
      <c r="G91" s="14">
        <v>762269.51</v>
      </c>
      <c r="H91" s="14">
        <v>0</v>
      </c>
      <c r="I91" s="13">
        <f t="shared" si="1"/>
        <v>8969100.0264140237</v>
      </c>
    </row>
    <row r="92" spans="1:9" ht="15.75" x14ac:dyDescent="0.25">
      <c r="A92" s="8"/>
      <c r="B92" s="8"/>
      <c r="C92" s="9"/>
      <c r="D92" s="12" t="s">
        <v>88</v>
      </c>
      <c r="E92" s="14">
        <v>723162.53</v>
      </c>
      <c r="F92" s="14">
        <v>413914.383875739</v>
      </c>
      <c r="G92" s="14">
        <v>1568437.89</v>
      </c>
      <c r="H92" s="14">
        <v>0</v>
      </c>
      <c r="I92" s="13">
        <f t="shared" si="1"/>
        <v>2705514.8038757388</v>
      </c>
    </row>
    <row r="93" spans="1:9" ht="15.75" x14ac:dyDescent="0.25">
      <c r="A93" s="8"/>
      <c r="B93" s="8"/>
      <c r="C93" s="9"/>
      <c r="D93" s="12" t="s">
        <v>89</v>
      </c>
      <c r="E93" s="14">
        <v>7867232.3800000008</v>
      </c>
      <c r="F93" s="14">
        <v>3353720.4422995653</v>
      </c>
      <c r="G93" s="14">
        <v>212889.86000000004</v>
      </c>
      <c r="H93" s="14">
        <v>0</v>
      </c>
      <c r="I93" s="13">
        <f t="shared" si="1"/>
        <v>11433842.682299566</v>
      </c>
    </row>
    <row r="94" spans="1:9" ht="15.75" x14ac:dyDescent="0.25">
      <c r="A94" s="8"/>
      <c r="B94" s="8"/>
      <c r="C94" s="9"/>
      <c r="D94" s="12" t="s">
        <v>90</v>
      </c>
      <c r="E94" s="14">
        <v>43661.71</v>
      </c>
      <c r="F94" s="14">
        <v>0</v>
      </c>
      <c r="G94" s="14">
        <v>152805.80000000002</v>
      </c>
      <c r="H94" s="14">
        <v>0</v>
      </c>
      <c r="I94" s="13">
        <f t="shared" si="1"/>
        <v>196467.51</v>
      </c>
    </row>
    <row r="95" spans="1:9" ht="15.75" x14ac:dyDescent="0.25">
      <c r="A95" s="8"/>
      <c r="B95" s="8"/>
      <c r="C95" s="9"/>
      <c r="D95" s="12" t="s">
        <v>91</v>
      </c>
      <c r="E95" s="14">
        <v>865772.30000000028</v>
      </c>
      <c r="F95" s="14">
        <v>106388.03398761</v>
      </c>
      <c r="G95" s="14">
        <v>1710552.47</v>
      </c>
      <c r="H95" s="14">
        <v>0</v>
      </c>
      <c r="I95" s="13">
        <f t="shared" si="1"/>
        <v>2682712.8039876102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3290817.9000000004</v>
      </c>
      <c r="H96" s="14">
        <v>0</v>
      </c>
      <c r="I96" s="13">
        <f t="shared" si="1"/>
        <v>3290817.9000000004</v>
      </c>
    </row>
    <row r="97" spans="1:9" ht="15.75" x14ac:dyDescent="0.25">
      <c r="A97" s="8"/>
      <c r="B97" s="8"/>
      <c r="C97" s="9"/>
      <c r="D97" s="12" t="s">
        <v>93</v>
      </c>
      <c r="E97" s="14">
        <v>3839733.84</v>
      </c>
      <c r="F97" s="14">
        <v>4777222.3055140655</v>
      </c>
      <c r="G97" s="14">
        <v>311769.45999999996</v>
      </c>
      <c r="H97" s="14">
        <v>0</v>
      </c>
      <c r="I97" s="13">
        <f t="shared" si="1"/>
        <v>8928725.6055140644</v>
      </c>
    </row>
    <row r="98" spans="1:9" ht="15.75" x14ac:dyDescent="0.25">
      <c r="A98" s="8"/>
      <c r="B98" s="8"/>
      <c r="C98" s="9"/>
      <c r="D98" s="12" t="s">
        <v>94</v>
      </c>
      <c r="E98" s="14">
        <v>14072697.639999997</v>
      </c>
      <c r="F98" s="14">
        <v>6283886.6460005706</v>
      </c>
      <c r="G98" s="14">
        <v>2034002.6600000001</v>
      </c>
      <c r="H98" s="14">
        <v>0</v>
      </c>
      <c r="I98" s="13">
        <f t="shared" si="1"/>
        <v>22390586.946000569</v>
      </c>
    </row>
    <row r="99" spans="1:9" ht="15.75" x14ac:dyDescent="0.25">
      <c r="A99" s="8"/>
      <c r="B99" s="8"/>
      <c r="C99" s="9"/>
      <c r="D99" s="12" t="s">
        <v>95</v>
      </c>
      <c r="E99" s="14">
        <v>17404393.399999999</v>
      </c>
      <c r="F99" s="14">
        <v>11973998.199022405</v>
      </c>
      <c r="G99" s="14">
        <v>802279.02</v>
      </c>
      <c r="H99" s="14">
        <v>0</v>
      </c>
      <c r="I99" s="13">
        <f t="shared" si="1"/>
        <v>30180670.619022403</v>
      </c>
    </row>
    <row r="100" spans="1:9" ht="15.75" x14ac:dyDescent="0.25">
      <c r="A100" s="8"/>
      <c r="B100" s="8"/>
      <c r="C100" s="9"/>
      <c r="D100" s="12" t="s">
        <v>96</v>
      </c>
      <c r="E100" s="14">
        <v>17206648.789999999</v>
      </c>
      <c r="F100" s="14">
        <v>11979792.101342857</v>
      </c>
      <c r="G100" s="14">
        <v>1469277.4999999998</v>
      </c>
      <c r="H100" s="14">
        <v>0</v>
      </c>
      <c r="I100" s="13">
        <f t="shared" si="1"/>
        <v>30655718.391342856</v>
      </c>
    </row>
    <row r="101" spans="1:9" ht="15.75" x14ac:dyDescent="0.25">
      <c r="A101" s="8"/>
      <c r="B101" s="8"/>
      <c r="C101" s="9"/>
      <c r="D101" s="12" t="s">
        <v>97</v>
      </c>
      <c r="E101" s="14">
        <v>683465.91</v>
      </c>
      <c r="F101" s="14">
        <v>16076081.041902421</v>
      </c>
      <c r="G101" s="14">
        <v>29431.219999999994</v>
      </c>
      <c r="H101" s="14">
        <v>0</v>
      </c>
      <c r="I101" s="13">
        <f t="shared" si="1"/>
        <v>16788978.171902422</v>
      </c>
    </row>
    <row r="102" spans="1:9" ht="15.75" x14ac:dyDescent="0.25">
      <c r="A102" s="8"/>
      <c r="B102" s="8"/>
      <c r="C102" s="9"/>
      <c r="D102" s="12" t="s">
        <v>98</v>
      </c>
      <c r="E102" s="14">
        <v>18753880.450000003</v>
      </c>
      <c r="F102" s="14">
        <v>6912475.100335815</v>
      </c>
      <c r="G102" s="14">
        <v>732768.92</v>
      </c>
      <c r="H102" s="14">
        <v>0</v>
      </c>
      <c r="I102" s="13">
        <f t="shared" si="1"/>
        <v>26399124.470335819</v>
      </c>
    </row>
    <row r="103" spans="1:9" ht="15.75" x14ac:dyDescent="0.25">
      <c r="A103" s="8"/>
      <c r="B103" s="8"/>
      <c r="C103" s="9"/>
      <c r="D103" s="12" t="s">
        <v>99</v>
      </c>
      <c r="E103" s="14">
        <v>5217831.9399999995</v>
      </c>
      <c r="F103" s="14">
        <v>2195189.7153781499</v>
      </c>
      <c r="G103" s="14">
        <v>121041.95999999999</v>
      </c>
      <c r="H103" s="14">
        <v>0</v>
      </c>
      <c r="I103" s="13">
        <f t="shared" si="1"/>
        <v>7534063.6153781498</v>
      </c>
    </row>
    <row r="104" spans="1:9" ht="15.75" x14ac:dyDescent="0.25">
      <c r="A104" s="8"/>
      <c r="B104" s="8"/>
      <c r="C104" s="9"/>
      <c r="D104" s="12" t="s">
        <v>100</v>
      </c>
      <c r="E104" s="14">
        <v>30492538.080000006</v>
      </c>
      <c r="F104" s="14">
        <v>4011328.3556708675</v>
      </c>
      <c r="G104" s="14">
        <v>1784810.2999999998</v>
      </c>
      <c r="H104" s="14">
        <v>0</v>
      </c>
      <c r="I104" s="13">
        <f t="shared" si="1"/>
        <v>36288676.735670872</v>
      </c>
    </row>
    <row r="105" spans="1:9" ht="15.75" x14ac:dyDescent="0.25">
      <c r="A105" s="8"/>
      <c r="B105" s="8"/>
      <c r="C105" s="9"/>
      <c r="D105" s="12" t="s">
        <v>101</v>
      </c>
      <c r="E105" s="14">
        <v>3620131.32</v>
      </c>
      <c r="F105" s="14">
        <v>5957030.6392330024</v>
      </c>
      <c r="G105" s="14">
        <v>15764.199999999999</v>
      </c>
      <c r="H105" s="14">
        <v>0</v>
      </c>
      <c r="I105" s="13">
        <f t="shared" si="1"/>
        <v>9592926.159233002</v>
      </c>
    </row>
    <row r="106" spans="1:9" ht="15.75" x14ac:dyDescent="0.25">
      <c r="A106" s="8"/>
      <c r="B106" s="8"/>
      <c r="C106" s="9"/>
      <c r="D106" s="12" t="s">
        <v>102</v>
      </c>
      <c r="E106" s="14">
        <v>5273800.0599999996</v>
      </c>
      <c r="F106" s="14">
        <v>367463.27044452896</v>
      </c>
      <c r="G106" s="14">
        <v>2214005.83</v>
      </c>
      <c r="H106" s="14">
        <v>0</v>
      </c>
      <c r="I106" s="13">
        <f t="shared" si="1"/>
        <v>7855269.1604445288</v>
      </c>
    </row>
    <row r="107" spans="1:9" ht="15.75" x14ac:dyDescent="0.25">
      <c r="A107" s="8"/>
      <c r="B107" s="8"/>
      <c r="C107" s="9"/>
      <c r="D107" s="12" t="s">
        <v>103</v>
      </c>
      <c r="E107" s="14">
        <v>31759.85</v>
      </c>
      <c r="F107" s="14">
        <v>0</v>
      </c>
      <c r="G107" s="14">
        <v>1372731.2700000003</v>
      </c>
      <c r="H107" s="14">
        <v>0</v>
      </c>
      <c r="I107" s="13">
        <f t="shared" si="1"/>
        <v>1404491.1200000003</v>
      </c>
    </row>
    <row r="108" spans="1:9" ht="15.75" x14ac:dyDescent="0.25">
      <c r="A108" s="8"/>
      <c r="B108" s="8"/>
      <c r="C108" s="9"/>
      <c r="D108" s="12" t="s">
        <v>104</v>
      </c>
      <c r="E108" s="14">
        <v>510371.89</v>
      </c>
      <c r="F108" s="14">
        <v>0</v>
      </c>
      <c r="G108" s="14">
        <v>164293.65</v>
      </c>
      <c r="H108" s="14">
        <v>0</v>
      </c>
      <c r="I108" s="13">
        <f t="shared" si="1"/>
        <v>674665.54</v>
      </c>
    </row>
    <row r="109" spans="1:9" ht="15.75" x14ac:dyDescent="0.25">
      <c r="A109" s="8"/>
      <c r="B109" s="8"/>
      <c r="C109" s="9"/>
      <c r="D109" s="12" t="s">
        <v>105</v>
      </c>
      <c r="E109" s="14">
        <v>2607656.9400000004</v>
      </c>
      <c r="F109" s="14">
        <v>9581516.1201461051</v>
      </c>
      <c r="G109" s="14">
        <v>155802.34</v>
      </c>
      <c r="H109" s="14">
        <v>0</v>
      </c>
      <c r="I109" s="13">
        <f t="shared" si="1"/>
        <v>12344975.400146104</v>
      </c>
    </row>
    <row r="110" spans="1:9" ht="15.75" x14ac:dyDescent="0.25">
      <c r="A110" s="8"/>
      <c r="B110" s="8"/>
      <c r="C110" s="9"/>
      <c r="D110" s="12" t="s">
        <v>106</v>
      </c>
      <c r="E110" s="14">
        <v>2296597.6500000004</v>
      </c>
      <c r="F110" s="14">
        <v>2353772.8176836255</v>
      </c>
      <c r="G110" s="14">
        <v>192570.37999999998</v>
      </c>
      <c r="H110" s="14">
        <v>0</v>
      </c>
      <c r="I110" s="13">
        <f t="shared" si="1"/>
        <v>4842940.8476836262</v>
      </c>
    </row>
    <row r="111" spans="1:9" ht="15.75" x14ac:dyDescent="0.25">
      <c r="A111" s="8"/>
      <c r="B111" s="8"/>
      <c r="C111" s="9"/>
      <c r="D111" s="12" t="s">
        <v>107</v>
      </c>
      <c r="E111" s="14">
        <v>81729.200000000012</v>
      </c>
      <c r="F111" s="14">
        <v>36761.311274592001</v>
      </c>
      <c r="G111" s="14">
        <v>3784626.0900000003</v>
      </c>
      <c r="H111" s="14">
        <v>0</v>
      </c>
      <c r="I111" s="13">
        <f t="shared" si="1"/>
        <v>3903116.6012745923</v>
      </c>
    </row>
    <row r="112" spans="1:9" ht="15.75" x14ac:dyDescent="0.25">
      <c r="A112" s="8"/>
      <c r="B112" s="8"/>
      <c r="C112" s="9"/>
      <c r="D112" s="12" t="s">
        <v>108</v>
      </c>
      <c r="E112" s="14">
        <v>9249576.2800000012</v>
      </c>
      <c r="F112" s="14">
        <v>2514303.8699071826</v>
      </c>
      <c r="G112" s="14">
        <v>336456.37</v>
      </c>
      <c r="H112" s="14">
        <v>0</v>
      </c>
      <c r="I112" s="13">
        <f t="shared" si="1"/>
        <v>12100336.519907182</v>
      </c>
    </row>
    <row r="113" spans="1:9" ht="15.75" x14ac:dyDescent="0.25">
      <c r="A113" s="8"/>
      <c r="B113" s="8"/>
      <c r="C113" s="9"/>
      <c r="D113" s="12" t="s">
        <v>109</v>
      </c>
      <c r="E113" s="14">
        <v>6443805.8700000001</v>
      </c>
      <c r="F113" s="14">
        <v>6053728.8710639952</v>
      </c>
      <c r="G113" s="14">
        <v>293736.66999999993</v>
      </c>
      <c r="H113" s="14">
        <v>0</v>
      </c>
      <c r="I113" s="13">
        <f t="shared" si="1"/>
        <v>12791271.411063995</v>
      </c>
    </row>
    <row r="114" spans="1:9" ht="15.75" x14ac:dyDescent="0.25">
      <c r="A114" s="8"/>
      <c r="B114" s="8"/>
      <c r="C114" s="9"/>
      <c r="D114" s="12" t="s">
        <v>110</v>
      </c>
      <c r="E114" s="14">
        <v>15574830.74</v>
      </c>
      <c r="F114" s="14">
        <v>6943392.5618561581</v>
      </c>
      <c r="G114" s="14">
        <v>405118.71000000008</v>
      </c>
      <c r="H114" s="14">
        <v>0</v>
      </c>
      <c r="I114" s="13">
        <f t="shared" si="1"/>
        <v>22923342.011856161</v>
      </c>
    </row>
    <row r="115" spans="1:9" ht="15.75" x14ac:dyDescent="0.25">
      <c r="A115" s="8"/>
      <c r="B115" s="8"/>
      <c r="C115" s="9"/>
      <c r="D115" s="12" t="s">
        <v>111</v>
      </c>
      <c r="E115" s="14">
        <v>26204951.710000001</v>
      </c>
      <c r="F115" s="14">
        <v>3433036.967169201</v>
      </c>
      <c r="G115" s="14">
        <v>781938.71</v>
      </c>
      <c r="H115" s="14">
        <v>0</v>
      </c>
      <c r="I115" s="13">
        <f t="shared" si="1"/>
        <v>30419927.387169205</v>
      </c>
    </row>
    <row r="116" spans="1:9" ht="15.75" x14ac:dyDescent="0.25">
      <c r="A116" s="8"/>
      <c r="B116" s="8"/>
      <c r="C116" s="9"/>
      <c r="D116" s="12" t="s">
        <v>112</v>
      </c>
      <c r="E116" s="14">
        <v>4253748.5000000009</v>
      </c>
      <c r="F116" s="14">
        <v>4458108.1509850314</v>
      </c>
      <c r="G116" s="14">
        <v>206895.33000000002</v>
      </c>
      <c r="H116" s="14">
        <v>0</v>
      </c>
      <c r="I116" s="13">
        <f t="shared" si="1"/>
        <v>8918751.9809850324</v>
      </c>
    </row>
    <row r="117" spans="1:9" ht="15.75" x14ac:dyDescent="0.25">
      <c r="A117" s="8"/>
      <c r="B117" s="8"/>
      <c r="C117" s="9"/>
      <c r="D117" s="12" t="s">
        <v>113</v>
      </c>
      <c r="E117" s="14">
        <v>4268810.51</v>
      </c>
      <c r="F117" s="14">
        <v>3442676.8218920222</v>
      </c>
      <c r="G117" s="14">
        <v>493970.69</v>
      </c>
      <c r="H117" s="14">
        <v>0</v>
      </c>
      <c r="I117" s="13">
        <f t="shared" si="1"/>
        <v>8205458.0218920223</v>
      </c>
    </row>
    <row r="118" spans="1:9" ht="15.75" x14ac:dyDescent="0.25">
      <c r="A118" s="8"/>
      <c r="B118" s="8"/>
      <c r="C118" s="9"/>
      <c r="D118" s="12" t="s">
        <v>114</v>
      </c>
      <c r="E118" s="14">
        <v>6853017.8900000006</v>
      </c>
      <c r="F118" s="14">
        <v>5376791.300813253</v>
      </c>
      <c r="G118" s="14">
        <v>512002.37</v>
      </c>
      <c r="H118" s="14">
        <v>0</v>
      </c>
      <c r="I118" s="13">
        <f t="shared" si="1"/>
        <v>12741811.560813254</v>
      </c>
    </row>
    <row r="119" spans="1:9" ht="15.75" x14ac:dyDescent="0.25">
      <c r="A119" s="8"/>
      <c r="B119" s="8"/>
      <c r="C119" s="9"/>
      <c r="D119" s="12" t="s">
        <v>115</v>
      </c>
      <c r="E119" s="14">
        <v>1543933.33</v>
      </c>
      <c r="F119" s="14">
        <v>522200.42034763499</v>
      </c>
      <c r="G119" s="14">
        <v>225188.64</v>
      </c>
      <c r="H119" s="14">
        <v>0</v>
      </c>
      <c r="I119" s="13">
        <f t="shared" si="1"/>
        <v>2291322.3903476349</v>
      </c>
    </row>
    <row r="120" spans="1:9" ht="15.75" x14ac:dyDescent="0.25">
      <c r="A120" s="8"/>
      <c r="B120" s="8"/>
      <c r="C120" s="9"/>
      <c r="D120" s="12" t="s">
        <v>116</v>
      </c>
      <c r="E120" s="14">
        <v>20621472.240000002</v>
      </c>
      <c r="F120" s="14">
        <v>2282248.092486321</v>
      </c>
      <c r="G120" s="14">
        <v>476070.62</v>
      </c>
      <c r="H120" s="14">
        <v>0</v>
      </c>
      <c r="I120" s="13">
        <f t="shared" si="1"/>
        <v>23379790.952486325</v>
      </c>
    </row>
    <row r="121" spans="1:9" ht="15.75" x14ac:dyDescent="0.25">
      <c r="A121" s="8"/>
      <c r="B121" s="8"/>
      <c r="C121" s="9"/>
      <c r="D121" s="12" t="s">
        <v>117</v>
      </c>
      <c r="E121" s="14">
        <v>7321735.8099999987</v>
      </c>
      <c r="F121" s="14">
        <v>3386585.8537379913</v>
      </c>
      <c r="G121" s="14">
        <v>333157.3</v>
      </c>
      <c r="H121" s="14">
        <v>0</v>
      </c>
      <c r="I121" s="13">
        <f t="shared" si="1"/>
        <v>11041478.963737991</v>
      </c>
    </row>
    <row r="122" spans="1:9" ht="15.75" x14ac:dyDescent="0.25">
      <c r="A122" s="8"/>
      <c r="B122" s="8"/>
      <c r="C122" s="9"/>
      <c r="D122" s="12" t="s">
        <v>118</v>
      </c>
      <c r="E122" s="14">
        <v>7563345.3299999991</v>
      </c>
      <c r="F122" s="14">
        <v>2496922.162945827</v>
      </c>
      <c r="G122" s="14">
        <v>543736.26</v>
      </c>
      <c r="H122" s="14">
        <v>0</v>
      </c>
      <c r="I122" s="13">
        <f t="shared" si="1"/>
        <v>10604003.752945825</v>
      </c>
    </row>
    <row r="123" spans="1:9" ht="15.75" x14ac:dyDescent="0.25">
      <c r="A123" s="8"/>
      <c r="B123" s="8"/>
      <c r="C123" s="9"/>
      <c r="D123" s="12" t="s">
        <v>119</v>
      </c>
      <c r="E123" s="14">
        <v>8845455.9900000002</v>
      </c>
      <c r="F123" s="14">
        <v>4587671.7942544492</v>
      </c>
      <c r="G123" s="14">
        <v>250151.55000000005</v>
      </c>
      <c r="H123" s="14">
        <v>0</v>
      </c>
      <c r="I123" s="13">
        <f t="shared" si="1"/>
        <v>13683279.334254451</v>
      </c>
    </row>
    <row r="124" spans="1:9" ht="15.75" x14ac:dyDescent="0.25">
      <c r="A124" s="8"/>
      <c r="B124" s="8"/>
      <c r="C124" s="9"/>
      <c r="D124" s="12" t="s">
        <v>120</v>
      </c>
      <c r="E124" s="14">
        <v>292114.38000000006</v>
      </c>
      <c r="F124" s="14">
        <v>0</v>
      </c>
      <c r="G124" s="14">
        <v>1392315.42</v>
      </c>
      <c r="H124" s="14">
        <v>21943851.204999994</v>
      </c>
      <c r="I124" s="13">
        <f t="shared" si="1"/>
        <v>23628281.004999995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4187018.8299999996</v>
      </c>
      <c r="H125" s="14">
        <v>4385203.4650000008</v>
      </c>
      <c r="I125" s="13">
        <f t="shared" si="1"/>
        <v>8572222.2949999999</v>
      </c>
    </row>
    <row r="126" spans="1:9" ht="15.75" x14ac:dyDescent="0.25">
      <c r="A126" s="8"/>
      <c r="B126" s="8"/>
      <c r="C126" s="9"/>
      <c r="D126" s="12" t="s">
        <v>122</v>
      </c>
      <c r="E126" s="14">
        <v>45397.950000000004</v>
      </c>
      <c r="F126" s="14">
        <v>0</v>
      </c>
      <c r="G126" s="14">
        <v>1755616.5499999998</v>
      </c>
      <c r="H126" s="14">
        <v>0</v>
      </c>
      <c r="I126" s="13">
        <f t="shared" si="1"/>
        <v>1801014.4999999998</v>
      </c>
    </row>
    <row r="127" spans="1:9" ht="15.75" x14ac:dyDescent="0.25">
      <c r="A127" s="8"/>
      <c r="B127" s="8"/>
      <c r="C127" s="9"/>
      <c r="D127" s="12" t="s">
        <v>123</v>
      </c>
      <c r="E127" s="14">
        <v>5246896.18</v>
      </c>
      <c r="F127" s="14">
        <v>967032.26574371709</v>
      </c>
      <c r="G127" s="14">
        <v>7050421.5900000008</v>
      </c>
      <c r="H127" s="14">
        <v>0</v>
      </c>
      <c r="I127" s="13">
        <f t="shared" si="1"/>
        <v>13264350.035743717</v>
      </c>
    </row>
    <row r="128" spans="1:9" ht="15.75" x14ac:dyDescent="0.25">
      <c r="A128" s="8"/>
      <c r="B128" s="8"/>
      <c r="C128" s="9"/>
      <c r="D128" s="12" t="s">
        <v>124</v>
      </c>
      <c r="E128" s="14">
        <v>10746442.820000002</v>
      </c>
      <c r="F128" s="14">
        <v>3017174.6333753793</v>
      </c>
      <c r="G128" s="14">
        <v>688456.13</v>
      </c>
      <c r="H128" s="14">
        <v>0</v>
      </c>
      <c r="I128" s="13">
        <f t="shared" si="1"/>
        <v>14452073.583375381</v>
      </c>
    </row>
    <row r="129" spans="1:9" ht="15.75" x14ac:dyDescent="0.25">
      <c r="A129" s="8"/>
      <c r="B129" s="8"/>
      <c r="C129" s="9"/>
      <c r="D129" s="12" t="s">
        <v>125</v>
      </c>
      <c r="E129" s="14">
        <v>3638911.6100000003</v>
      </c>
      <c r="F129" s="14">
        <v>1460263.1744890921</v>
      </c>
      <c r="G129" s="14">
        <v>304013.65999999997</v>
      </c>
      <c r="H129" s="14">
        <v>0</v>
      </c>
      <c r="I129" s="13">
        <f t="shared" si="1"/>
        <v>5403188.4444890926</v>
      </c>
    </row>
    <row r="130" spans="1:9" ht="15.75" x14ac:dyDescent="0.25">
      <c r="A130" s="8"/>
      <c r="B130" s="8"/>
      <c r="C130" s="9"/>
      <c r="D130" s="12" t="s">
        <v>126</v>
      </c>
      <c r="E130" s="14">
        <v>2483470.11</v>
      </c>
      <c r="F130" s="14">
        <v>2572342.7879792969</v>
      </c>
      <c r="G130" s="14">
        <v>207640.78</v>
      </c>
      <c r="H130" s="14">
        <v>0</v>
      </c>
      <c r="I130" s="13">
        <f t="shared" si="1"/>
        <v>5263453.677979297</v>
      </c>
    </row>
    <row r="131" spans="1:9" ht="15.75" x14ac:dyDescent="0.25">
      <c r="A131" s="8"/>
      <c r="B131" s="8"/>
      <c r="C131" s="9"/>
      <c r="D131" s="12" t="s">
        <v>127</v>
      </c>
      <c r="E131" s="14">
        <v>26316555.68</v>
      </c>
      <c r="F131" s="14">
        <v>14058953.928010575</v>
      </c>
      <c r="G131" s="14">
        <v>3226762.8</v>
      </c>
      <c r="H131" s="14">
        <v>0</v>
      </c>
      <c r="I131" s="13">
        <f t="shared" si="1"/>
        <v>43602272.408010572</v>
      </c>
    </row>
    <row r="132" spans="1:9" ht="15.75" x14ac:dyDescent="0.25">
      <c r="A132" s="8"/>
      <c r="B132" s="8"/>
      <c r="C132" s="9"/>
      <c r="D132" s="12" t="s">
        <v>128</v>
      </c>
      <c r="E132" s="14">
        <v>5194853.2399999993</v>
      </c>
      <c r="F132" s="14">
        <v>8626071.6590432916</v>
      </c>
      <c r="G132" s="14">
        <v>110522.83</v>
      </c>
      <c r="H132" s="14">
        <v>0</v>
      </c>
      <c r="I132" s="13">
        <f t="shared" si="1"/>
        <v>13931447.729043292</v>
      </c>
    </row>
    <row r="133" spans="1:9" ht="15.75" x14ac:dyDescent="0.25">
      <c r="A133" s="8"/>
      <c r="B133" s="8"/>
      <c r="C133" s="9"/>
      <c r="D133" s="12" t="s">
        <v>129</v>
      </c>
      <c r="E133" s="14">
        <v>2851391.2600000002</v>
      </c>
      <c r="F133" s="14">
        <v>0</v>
      </c>
      <c r="G133" s="14">
        <v>3800396.98</v>
      </c>
      <c r="H133" s="14">
        <v>14266760.190000001</v>
      </c>
      <c r="I133" s="13">
        <f t="shared" si="1"/>
        <v>20918548.43</v>
      </c>
    </row>
    <row r="134" spans="1:9" ht="15.75" x14ac:dyDescent="0.25">
      <c r="A134" s="8"/>
      <c r="B134" s="8"/>
      <c r="C134" s="9"/>
      <c r="D134" s="12" t="s">
        <v>130</v>
      </c>
      <c r="E134" s="14">
        <v>1009989.6700000002</v>
      </c>
      <c r="F134" s="14">
        <v>425502.18851664301</v>
      </c>
      <c r="G134" s="14">
        <v>17907.37</v>
      </c>
      <c r="H134" s="14">
        <v>0</v>
      </c>
      <c r="I134" s="13">
        <f t="shared" si="1"/>
        <v>1453399.2285166434</v>
      </c>
    </row>
    <row r="135" spans="1:9" ht="15.75" x14ac:dyDescent="0.25">
      <c r="A135" s="8"/>
      <c r="B135" s="8"/>
      <c r="C135" s="9"/>
      <c r="D135" s="12" t="s">
        <v>131</v>
      </c>
      <c r="E135" s="14">
        <v>2794995.6700000004</v>
      </c>
      <c r="F135" s="14">
        <v>5376791.300813253</v>
      </c>
      <c r="G135" s="14">
        <v>152011.38000000003</v>
      </c>
      <c r="H135" s="14">
        <v>0</v>
      </c>
      <c r="I135" s="13">
        <f t="shared" si="1"/>
        <v>8323798.3508132538</v>
      </c>
    </row>
    <row r="136" spans="1:9" ht="15.75" x14ac:dyDescent="0.25">
      <c r="A136" s="8"/>
      <c r="B136" s="8"/>
      <c r="C136" s="9"/>
      <c r="D136" s="12" t="s">
        <v>132</v>
      </c>
      <c r="E136" s="14">
        <v>19866507.560000006</v>
      </c>
      <c r="F136" s="14">
        <v>6498560.7164600762</v>
      </c>
      <c r="G136" s="14">
        <v>1099614.1000000001</v>
      </c>
      <c r="H136" s="14">
        <v>0</v>
      </c>
      <c r="I136" s="13">
        <f t="shared" si="1"/>
        <v>27464682.376460083</v>
      </c>
    </row>
    <row r="137" spans="1:9" ht="15.75" x14ac:dyDescent="0.25">
      <c r="A137" s="8"/>
      <c r="B137" s="8"/>
      <c r="C137" s="9"/>
      <c r="D137" s="12" t="s">
        <v>133</v>
      </c>
      <c r="E137" s="14">
        <v>23151886.740000002</v>
      </c>
      <c r="F137" s="14">
        <v>10217846.426719885</v>
      </c>
      <c r="G137" s="14">
        <v>1606209.09</v>
      </c>
      <c r="H137" s="14">
        <v>0</v>
      </c>
      <c r="I137" s="13">
        <f t="shared" si="1"/>
        <v>34975942.256719887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2650640.19</v>
      </c>
      <c r="H138" s="14">
        <v>0</v>
      </c>
      <c r="I138" s="13">
        <f t="shared" ref="I138:I144" si="2">SUM(E138:H138)</f>
        <v>2650640.19</v>
      </c>
    </row>
    <row r="139" spans="1:9" ht="15.75" x14ac:dyDescent="0.25">
      <c r="A139" s="8"/>
      <c r="B139" s="8"/>
      <c r="C139" s="9"/>
      <c r="D139" s="12" t="s">
        <v>135</v>
      </c>
      <c r="E139" s="14">
        <v>2656693.44</v>
      </c>
      <c r="F139" s="14">
        <v>1529889.8972021104</v>
      </c>
      <c r="G139" s="14">
        <v>209880.19000000003</v>
      </c>
      <c r="H139" s="14">
        <v>0</v>
      </c>
      <c r="I139" s="13">
        <f t="shared" si="2"/>
        <v>4396463.5272021107</v>
      </c>
    </row>
    <row r="140" spans="1:9" ht="15.75" x14ac:dyDescent="0.25">
      <c r="A140" s="8"/>
      <c r="B140" s="8"/>
      <c r="C140" s="9"/>
      <c r="D140" s="12" t="s">
        <v>136</v>
      </c>
      <c r="E140" s="14">
        <v>13016656.299999999</v>
      </c>
      <c r="F140" s="14">
        <v>10850280.833457498</v>
      </c>
      <c r="G140" s="14">
        <v>857583.21</v>
      </c>
      <c r="H140" s="14">
        <v>0</v>
      </c>
      <c r="I140" s="13">
        <f t="shared" si="2"/>
        <v>24724520.343457498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3400224.3299999991</v>
      </c>
      <c r="H141" s="14">
        <v>1518829.2600000005</v>
      </c>
      <c r="I141" s="13">
        <f t="shared" si="2"/>
        <v>4919053.59</v>
      </c>
    </row>
    <row r="142" spans="1:9" ht="15.75" x14ac:dyDescent="0.25">
      <c r="A142" s="8"/>
      <c r="B142" s="8"/>
      <c r="C142" s="9"/>
      <c r="D142" s="12" t="s">
        <v>138</v>
      </c>
      <c r="E142" s="14">
        <v>31252.550000000003</v>
      </c>
      <c r="F142" s="14">
        <v>0</v>
      </c>
      <c r="G142" s="14">
        <v>772249.35999999987</v>
      </c>
      <c r="H142" s="14">
        <v>0</v>
      </c>
      <c r="I142" s="13">
        <f t="shared" si="2"/>
        <v>803501.90999999992</v>
      </c>
    </row>
    <row r="143" spans="1:9" ht="15.75" x14ac:dyDescent="0.25">
      <c r="A143" s="8"/>
      <c r="B143" s="8"/>
      <c r="C143" s="9"/>
      <c r="D143" s="12" t="s">
        <v>139</v>
      </c>
      <c r="E143" s="14">
        <v>1269868.44</v>
      </c>
      <c r="F143" s="14">
        <v>10028295.915460268</v>
      </c>
      <c r="G143" s="14">
        <v>95964.029999999984</v>
      </c>
      <c r="H143" s="14">
        <v>0</v>
      </c>
      <c r="I143" s="13">
        <f t="shared" si="2"/>
        <v>11394128.385460267</v>
      </c>
    </row>
    <row r="144" spans="1:9" ht="15.75" x14ac:dyDescent="0.25">
      <c r="A144" s="8"/>
      <c r="B144" s="8"/>
      <c r="C144" s="9"/>
      <c r="D144" s="12" t="s">
        <v>140</v>
      </c>
      <c r="E144" s="14">
        <v>7397440.7300000004</v>
      </c>
      <c r="F144" s="14">
        <v>1218467.6474778149</v>
      </c>
      <c r="G144" s="14">
        <v>800642.72999999986</v>
      </c>
      <c r="H144" s="14">
        <v>0</v>
      </c>
      <c r="I144" s="13">
        <f t="shared" si="2"/>
        <v>9416551.1074778158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978775866.80000043</v>
      </c>
      <c r="F145" s="22">
        <f>SUM(F10:F144)</f>
        <v>499451162.36071813</v>
      </c>
      <c r="G145" s="22">
        <f>SUM(G10:G144)</f>
        <v>151682031.84999996</v>
      </c>
      <c r="H145" s="22">
        <f>SUM(H10:H144)</f>
        <v>42114644.119999997</v>
      </c>
      <c r="I145" s="22">
        <f>SUM(I10:I144)</f>
        <v>1672023705.130718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0.25" x14ac:dyDescent="0.3">
      <c r="D5" s="18" t="s">
        <v>143</v>
      </c>
      <c r="E5" s="19"/>
      <c r="F5" s="19"/>
      <c r="G5" s="19"/>
      <c r="H5" s="19"/>
      <c r="I5" s="19"/>
    </row>
    <row r="6" spans="1:9" ht="20.25" x14ac:dyDescent="0.3">
      <c r="D6" s="18" t="s">
        <v>158</v>
      </c>
      <c r="E6" s="19"/>
      <c r="F6" s="19"/>
      <c r="G6" s="19"/>
      <c r="H6" s="19"/>
      <c r="I6" s="19"/>
    </row>
    <row r="7" spans="1:9" ht="15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215895.23000000004</v>
      </c>
      <c r="F10" s="14">
        <v>1738182.3852593102</v>
      </c>
      <c r="G10" s="14">
        <v>330667.05999999994</v>
      </c>
      <c r="H10" s="14">
        <v>0</v>
      </c>
      <c r="I10" s="13">
        <f t="shared" ref="I10:I73" si="0">SUM(E10:H10)</f>
        <v>2284744.6752593103</v>
      </c>
    </row>
    <row r="11" spans="1:9" ht="15.75" x14ac:dyDescent="0.25">
      <c r="A11" s="8"/>
      <c r="B11" s="8"/>
      <c r="C11" s="9"/>
      <c r="D11" s="12" t="s">
        <v>7</v>
      </c>
      <c r="E11" s="14">
        <v>231915.34999999998</v>
      </c>
      <c r="F11" s="14">
        <v>975600.68411244021</v>
      </c>
      <c r="G11" s="14">
        <v>369046.73</v>
      </c>
      <c r="H11" s="14">
        <v>0</v>
      </c>
      <c r="I11" s="13">
        <f t="shared" si="0"/>
        <v>1576562.7641124402</v>
      </c>
    </row>
    <row r="12" spans="1:9" ht="15.75" x14ac:dyDescent="0.25">
      <c r="A12" s="8"/>
      <c r="B12" s="8"/>
      <c r="C12" s="9"/>
      <c r="D12" s="12" t="s">
        <v>8</v>
      </c>
      <c r="E12" s="14">
        <v>304659.95999999996</v>
      </c>
      <c r="F12" s="14">
        <v>353683.84168341011</v>
      </c>
      <c r="G12" s="14">
        <v>186379.16999999998</v>
      </c>
      <c r="H12" s="14">
        <v>0</v>
      </c>
      <c r="I12" s="13">
        <f t="shared" si="0"/>
        <v>844722.97168341</v>
      </c>
    </row>
    <row r="13" spans="1:9" ht="15.75" x14ac:dyDescent="0.25">
      <c r="A13" s="8"/>
      <c r="B13" s="8"/>
      <c r="C13" s="9"/>
      <c r="D13" s="12" t="s">
        <v>9</v>
      </c>
      <c r="E13" s="14">
        <v>241529.53000000003</v>
      </c>
      <c r="F13" s="14">
        <v>9359.400242220001</v>
      </c>
      <c r="G13" s="14">
        <v>2749336.3899999997</v>
      </c>
      <c r="H13" s="14">
        <v>0</v>
      </c>
      <c r="I13" s="13">
        <f t="shared" si="0"/>
        <v>3000225.3202422196</v>
      </c>
    </row>
    <row r="14" spans="1:9" ht="15.75" x14ac:dyDescent="0.25">
      <c r="A14" s="8"/>
      <c r="B14" s="8"/>
      <c r="C14" s="9"/>
      <c r="D14" s="12" t="s">
        <v>10</v>
      </c>
      <c r="E14" s="14">
        <v>425587.38</v>
      </c>
      <c r="F14" s="14">
        <v>392982.04631490004</v>
      </c>
      <c r="G14" s="14">
        <v>587101.64</v>
      </c>
      <c r="H14" s="14">
        <v>0</v>
      </c>
      <c r="I14" s="13">
        <f t="shared" si="0"/>
        <v>1405671.0663149001</v>
      </c>
    </row>
    <row r="15" spans="1:9" ht="15.75" x14ac:dyDescent="0.25">
      <c r="A15" s="8"/>
      <c r="B15" s="8"/>
      <c r="C15" s="9"/>
      <c r="D15" s="12" t="s">
        <v>11</v>
      </c>
      <c r="E15" s="14">
        <v>12784.05</v>
      </c>
      <c r="F15" s="14">
        <v>2182.7861150100007</v>
      </c>
      <c r="G15" s="14">
        <v>2492845.7000000002</v>
      </c>
      <c r="H15" s="14">
        <v>0</v>
      </c>
      <c r="I15" s="13">
        <f t="shared" si="0"/>
        <v>2507812.5361150103</v>
      </c>
    </row>
    <row r="16" spans="1:9" ht="15.75" x14ac:dyDescent="0.25">
      <c r="A16" s="8"/>
      <c r="B16" s="8"/>
      <c r="C16" s="9"/>
      <c r="D16" s="12" t="s">
        <v>12</v>
      </c>
      <c r="E16" s="14">
        <v>495240.99</v>
      </c>
      <c r="F16" s="14">
        <v>1873853.4159649501</v>
      </c>
      <c r="G16" s="14">
        <v>547616.07000000007</v>
      </c>
      <c r="H16" s="14">
        <v>0</v>
      </c>
      <c r="I16" s="13">
        <f t="shared" si="0"/>
        <v>2916710.4759649504</v>
      </c>
    </row>
    <row r="17" spans="1:9" ht="15.75" x14ac:dyDescent="0.25">
      <c r="A17" s="8"/>
      <c r="B17" s="8"/>
      <c r="C17" s="9"/>
      <c r="D17" s="12" t="s">
        <v>13</v>
      </c>
      <c r="E17" s="14">
        <v>495181.86</v>
      </c>
      <c r="F17" s="14">
        <v>1721654.4254511907</v>
      </c>
      <c r="G17" s="14">
        <v>1069215.9800000002</v>
      </c>
      <c r="H17" s="14">
        <v>0</v>
      </c>
      <c r="I17" s="13">
        <f t="shared" si="0"/>
        <v>3286052.265451191</v>
      </c>
    </row>
    <row r="18" spans="1:9" ht="15.75" x14ac:dyDescent="0.25">
      <c r="A18" s="8"/>
      <c r="B18" s="8"/>
      <c r="C18" s="9"/>
      <c r="D18" s="12" t="s">
        <v>14</v>
      </c>
      <c r="E18" s="14">
        <v>57034.720000000008</v>
      </c>
      <c r="F18" s="14">
        <v>140350.73082675002</v>
      </c>
      <c r="G18" s="14">
        <v>5185393.2699999996</v>
      </c>
      <c r="H18" s="14">
        <v>0</v>
      </c>
      <c r="I18" s="13">
        <f t="shared" si="0"/>
        <v>5382778.7208267497</v>
      </c>
    </row>
    <row r="19" spans="1:9" ht="15.75" x14ac:dyDescent="0.25">
      <c r="A19" s="8"/>
      <c r="B19" s="8"/>
      <c r="C19" s="9"/>
      <c r="D19" s="12" t="s">
        <v>15</v>
      </c>
      <c r="E19" s="14">
        <v>806296.62999999989</v>
      </c>
      <c r="F19" s="14">
        <v>1339586.3097113403</v>
      </c>
      <c r="G19" s="14">
        <v>788386.65</v>
      </c>
      <c r="H19" s="14">
        <v>0</v>
      </c>
      <c r="I19" s="13">
        <f t="shared" si="0"/>
        <v>2934269.5897113401</v>
      </c>
    </row>
    <row r="20" spans="1:9" ht="15.75" x14ac:dyDescent="0.25">
      <c r="A20" s="8"/>
      <c r="B20" s="8"/>
      <c r="C20" s="9"/>
      <c r="D20" s="12" t="s">
        <v>16</v>
      </c>
      <c r="E20" s="14">
        <v>487301.35000000009</v>
      </c>
      <c r="F20" s="14">
        <v>368037.06993783009</v>
      </c>
      <c r="G20" s="14">
        <v>381123.24</v>
      </c>
      <c r="H20" s="14">
        <v>0</v>
      </c>
      <c r="I20" s="13">
        <f t="shared" si="0"/>
        <v>1236461.6599378302</v>
      </c>
    </row>
    <row r="21" spans="1:9" ht="15.75" x14ac:dyDescent="0.25">
      <c r="A21" s="8"/>
      <c r="B21" s="8"/>
      <c r="C21" s="9"/>
      <c r="D21" s="12" t="s">
        <v>17</v>
      </c>
      <c r="E21" s="14">
        <v>410097.36999999994</v>
      </c>
      <c r="F21" s="14">
        <v>1602511.3545536704</v>
      </c>
      <c r="G21" s="14">
        <v>292260.65000000002</v>
      </c>
      <c r="H21" s="14">
        <v>0</v>
      </c>
      <c r="I21" s="13">
        <f t="shared" si="0"/>
        <v>2304869.3745536702</v>
      </c>
    </row>
    <row r="22" spans="1:9" ht="15.75" x14ac:dyDescent="0.25">
      <c r="A22" s="8"/>
      <c r="B22" s="8"/>
      <c r="C22" s="9"/>
      <c r="D22" s="12" t="s">
        <v>18</v>
      </c>
      <c r="E22" s="14">
        <v>47175.040000000001</v>
      </c>
      <c r="F22" s="14">
        <v>68616.807799890012</v>
      </c>
      <c r="G22" s="14">
        <v>1738796.6300000001</v>
      </c>
      <c r="H22" s="14">
        <v>0</v>
      </c>
      <c r="I22" s="13">
        <f t="shared" si="0"/>
        <v>1854588.4777998901</v>
      </c>
    </row>
    <row r="23" spans="1:9" ht="15.75" x14ac:dyDescent="0.25">
      <c r="A23" s="8"/>
      <c r="B23" s="8"/>
      <c r="C23" s="9"/>
      <c r="D23" s="12" t="s">
        <v>19</v>
      </c>
      <c r="E23" s="14">
        <v>3697.87</v>
      </c>
      <c r="F23" s="14">
        <v>25573.232159250005</v>
      </c>
      <c r="G23" s="14">
        <v>916285.50999999989</v>
      </c>
      <c r="H23" s="14">
        <v>0</v>
      </c>
      <c r="I23" s="13">
        <f t="shared" si="0"/>
        <v>945556.61215924984</v>
      </c>
    </row>
    <row r="24" spans="1:9" ht="15.75" x14ac:dyDescent="0.25">
      <c r="A24" s="8"/>
      <c r="B24" s="8"/>
      <c r="C24" s="9"/>
      <c r="D24" s="12" t="s">
        <v>20</v>
      </c>
      <c r="E24" s="14">
        <v>620015.47000000009</v>
      </c>
      <c r="F24" s="14">
        <v>982777.29823965032</v>
      </c>
      <c r="G24" s="14">
        <v>685939.02</v>
      </c>
      <c r="H24" s="14">
        <v>0</v>
      </c>
      <c r="I24" s="13">
        <f t="shared" si="0"/>
        <v>2288731.7882396504</v>
      </c>
    </row>
    <row r="25" spans="1:9" ht="15.75" x14ac:dyDescent="0.25">
      <c r="A25" s="8"/>
      <c r="B25" s="8"/>
      <c r="C25" s="9"/>
      <c r="D25" s="12" t="s">
        <v>21</v>
      </c>
      <c r="E25" s="14">
        <v>361659.68000000005</v>
      </c>
      <c r="F25" s="14">
        <v>729831.85486041009</v>
      </c>
      <c r="G25" s="14">
        <v>728929.02</v>
      </c>
      <c r="H25" s="14">
        <v>0</v>
      </c>
      <c r="I25" s="13">
        <f t="shared" si="0"/>
        <v>1820420.5548604103</v>
      </c>
    </row>
    <row r="26" spans="1:9" ht="15.75" x14ac:dyDescent="0.25">
      <c r="A26" s="8"/>
      <c r="B26" s="8"/>
      <c r="C26" s="9"/>
      <c r="D26" s="12" t="s">
        <v>22</v>
      </c>
      <c r="E26" s="14">
        <v>228371.11</v>
      </c>
      <c r="F26" s="14">
        <v>417935.07725328009</v>
      </c>
      <c r="G26" s="14">
        <v>327740.59999999992</v>
      </c>
      <c r="H26" s="14">
        <v>0</v>
      </c>
      <c r="I26" s="13">
        <f t="shared" si="0"/>
        <v>974046.78725327994</v>
      </c>
    </row>
    <row r="27" spans="1:9" ht="15.75" x14ac:dyDescent="0.25">
      <c r="A27" s="8"/>
      <c r="B27" s="8"/>
      <c r="C27" s="9"/>
      <c r="D27" s="12" t="s">
        <v>23</v>
      </c>
      <c r="E27" s="14">
        <v>33720.949999999997</v>
      </c>
      <c r="F27" s="14">
        <v>71733.923026860008</v>
      </c>
      <c r="G27" s="14">
        <v>768925.23</v>
      </c>
      <c r="H27" s="14">
        <v>0</v>
      </c>
      <c r="I27" s="13">
        <f t="shared" si="0"/>
        <v>874380.10302685993</v>
      </c>
    </row>
    <row r="28" spans="1:9" ht="15.75" x14ac:dyDescent="0.25">
      <c r="A28" s="8"/>
      <c r="B28" s="8"/>
      <c r="C28" s="9"/>
      <c r="D28" s="12" t="s">
        <v>24</v>
      </c>
      <c r="E28" s="14">
        <v>392951.94999999995</v>
      </c>
      <c r="F28" s="14">
        <v>339966.92377248005</v>
      </c>
      <c r="G28" s="14">
        <v>616977.21</v>
      </c>
      <c r="H28" s="14">
        <v>0</v>
      </c>
      <c r="I28" s="13">
        <f t="shared" si="0"/>
        <v>1349896.08377248</v>
      </c>
    </row>
    <row r="29" spans="1:9" ht="15.75" x14ac:dyDescent="0.25">
      <c r="A29" s="8"/>
      <c r="B29" s="8"/>
      <c r="C29" s="9"/>
      <c r="D29" s="12" t="s">
        <v>25</v>
      </c>
      <c r="E29" s="14">
        <v>175002.93999999997</v>
      </c>
      <c r="F29" s="14">
        <v>190256.79270351003</v>
      </c>
      <c r="G29" s="14">
        <v>177403.15000000002</v>
      </c>
      <c r="H29" s="14">
        <v>0</v>
      </c>
      <c r="I29" s="13">
        <f t="shared" si="0"/>
        <v>542662.88270351</v>
      </c>
    </row>
    <row r="30" spans="1:9" ht="15.75" x14ac:dyDescent="0.25">
      <c r="A30" s="8"/>
      <c r="B30" s="8"/>
      <c r="C30" s="9"/>
      <c r="D30" s="12" t="s">
        <v>26</v>
      </c>
      <c r="E30" s="14">
        <v>256459.97</v>
      </c>
      <c r="F30" s="14">
        <v>1026126.9472100702</v>
      </c>
      <c r="G30" s="14">
        <v>401145.53</v>
      </c>
      <c r="H30" s="14">
        <v>0</v>
      </c>
      <c r="I30" s="13">
        <f t="shared" si="0"/>
        <v>1683732.4472100702</v>
      </c>
    </row>
    <row r="31" spans="1:9" ht="15.75" x14ac:dyDescent="0.25">
      <c r="A31" s="8"/>
      <c r="B31" s="8"/>
      <c r="C31" s="9"/>
      <c r="D31" s="12" t="s">
        <v>27</v>
      </c>
      <c r="E31" s="14">
        <v>166672.06</v>
      </c>
      <c r="F31" s="14">
        <v>1063556.4936176403</v>
      </c>
      <c r="G31" s="14">
        <v>227047.69</v>
      </c>
      <c r="H31" s="14">
        <v>0</v>
      </c>
      <c r="I31" s="13">
        <f t="shared" si="0"/>
        <v>1457276.2436176403</v>
      </c>
    </row>
    <row r="32" spans="1:9" ht="15.75" x14ac:dyDescent="0.25">
      <c r="A32" s="8"/>
      <c r="B32" s="8"/>
      <c r="C32" s="9"/>
      <c r="D32" s="12" t="s">
        <v>28</v>
      </c>
      <c r="E32" s="14">
        <v>177382.36</v>
      </c>
      <c r="F32" s="14">
        <v>358991.79758670006</v>
      </c>
      <c r="G32" s="14">
        <v>137059.96999999997</v>
      </c>
      <c r="H32" s="14">
        <v>0</v>
      </c>
      <c r="I32" s="13">
        <f t="shared" si="0"/>
        <v>673434.12758670002</v>
      </c>
    </row>
    <row r="33" spans="1:9" ht="15.75" x14ac:dyDescent="0.25">
      <c r="A33" s="8"/>
      <c r="B33" s="8"/>
      <c r="C33" s="9"/>
      <c r="D33" s="12" t="s">
        <v>29</v>
      </c>
      <c r="E33" s="14">
        <v>67512.399999999994</v>
      </c>
      <c r="F33" s="14">
        <v>542692.17738387012</v>
      </c>
      <c r="G33" s="14">
        <v>110372.5</v>
      </c>
      <c r="H33" s="14">
        <v>0</v>
      </c>
      <c r="I33" s="13">
        <f t="shared" si="0"/>
        <v>720577.07738387014</v>
      </c>
    </row>
    <row r="34" spans="1:9" ht="15.75" x14ac:dyDescent="0.25">
      <c r="A34" s="8"/>
      <c r="B34" s="8"/>
      <c r="C34" s="9"/>
      <c r="D34" s="12" t="s">
        <v>30</v>
      </c>
      <c r="E34" s="14">
        <v>338347.38000000006</v>
      </c>
      <c r="F34" s="14">
        <v>778795.53306390019</v>
      </c>
      <c r="G34" s="14">
        <v>694463.56</v>
      </c>
      <c r="H34" s="14">
        <v>0</v>
      </c>
      <c r="I34" s="13">
        <f t="shared" si="0"/>
        <v>1811606.4730639004</v>
      </c>
    </row>
    <row r="35" spans="1:9" ht="15.75" x14ac:dyDescent="0.25">
      <c r="A35" s="8"/>
      <c r="B35" s="8"/>
      <c r="C35" s="9"/>
      <c r="D35" s="12" t="s">
        <v>31</v>
      </c>
      <c r="E35" s="14">
        <v>361239.22</v>
      </c>
      <c r="F35" s="14">
        <v>1144963.9447778102</v>
      </c>
      <c r="G35" s="14">
        <v>611504.83999999985</v>
      </c>
      <c r="H35" s="14">
        <v>0</v>
      </c>
      <c r="I35" s="13">
        <f t="shared" si="0"/>
        <v>2117708.0047778101</v>
      </c>
    </row>
    <row r="36" spans="1:9" ht="15.75" x14ac:dyDescent="0.25">
      <c r="A36" s="8"/>
      <c r="B36" s="8"/>
      <c r="C36" s="9"/>
      <c r="D36" s="12" t="s">
        <v>32</v>
      </c>
      <c r="E36" s="14">
        <v>403033.8299999999</v>
      </c>
      <c r="F36" s="14">
        <v>710492.85315510025</v>
      </c>
      <c r="G36" s="14">
        <v>1203187.5</v>
      </c>
      <c r="H36" s="14">
        <v>0</v>
      </c>
      <c r="I36" s="13">
        <f t="shared" si="0"/>
        <v>2316714.1831550999</v>
      </c>
    </row>
    <row r="37" spans="1:9" ht="15.75" x14ac:dyDescent="0.25">
      <c r="A37" s="8"/>
      <c r="B37" s="8"/>
      <c r="C37" s="9"/>
      <c r="D37" s="12" t="s">
        <v>33</v>
      </c>
      <c r="E37" s="14">
        <v>202249.29</v>
      </c>
      <c r="F37" s="14">
        <v>392982.04631490004</v>
      </c>
      <c r="G37" s="14">
        <v>370057.75</v>
      </c>
      <c r="H37" s="14">
        <v>0</v>
      </c>
      <c r="I37" s="13">
        <f t="shared" si="0"/>
        <v>965289.08631490008</v>
      </c>
    </row>
    <row r="38" spans="1:9" ht="15.75" x14ac:dyDescent="0.25">
      <c r="A38" s="8"/>
      <c r="B38" s="8"/>
      <c r="C38" s="9"/>
      <c r="D38" s="12" t="s">
        <v>34</v>
      </c>
      <c r="E38" s="14">
        <v>254334.23</v>
      </c>
      <c r="F38" s="14">
        <v>853968.75377013022</v>
      </c>
      <c r="G38" s="14">
        <v>334305.80999999994</v>
      </c>
      <c r="H38" s="14">
        <v>0</v>
      </c>
      <c r="I38" s="13">
        <f t="shared" si="0"/>
        <v>1442608.7937701303</v>
      </c>
    </row>
    <row r="39" spans="1:9" ht="15.75" x14ac:dyDescent="0.25">
      <c r="A39" s="8"/>
      <c r="B39" s="8"/>
      <c r="C39" s="9"/>
      <c r="D39" s="12" t="s">
        <v>35</v>
      </c>
      <c r="E39" s="14">
        <v>145691.09</v>
      </c>
      <c r="F39" s="14">
        <v>1337089.3957052401</v>
      </c>
      <c r="G39" s="14">
        <v>735130.27999999991</v>
      </c>
      <c r="H39" s="14">
        <v>0</v>
      </c>
      <c r="I39" s="13">
        <f t="shared" si="0"/>
        <v>2217910.76570524</v>
      </c>
    </row>
    <row r="40" spans="1:9" ht="15.75" x14ac:dyDescent="0.25">
      <c r="A40" s="8"/>
      <c r="B40" s="8"/>
      <c r="C40" s="9"/>
      <c r="D40" s="12" t="s">
        <v>36</v>
      </c>
      <c r="E40" s="14">
        <v>76533.06</v>
      </c>
      <c r="F40" s="14">
        <v>70179.392694030015</v>
      </c>
      <c r="G40" s="14">
        <v>450133.10000000003</v>
      </c>
      <c r="H40" s="14">
        <v>0</v>
      </c>
      <c r="I40" s="13">
        <f t="shared" si="0"/>
        <v>596845.55269403011</v>
      </c>
    </row>
    <row r="41" spans="1:9" ht="15.75" x14ac:dyDescent="0.25">
      <c r="A41" s="8"/>
      <c r="B41" s="8"/>
      <c r="C41" s="9"/>
      <c r="D41" s="12" t="s">
        <v>37</v>
      </c>
      <c r="E41" s="14">
        <v>742428.2300000001</v>
      </c>
      <c r="F41" s="14">
        <v>1172719.9630520702</v>
      </c>
      <c r="G41" s="14">
        <v>785880.46</v>
      </c>
      <c r="H41" s="14">
        <v>0</v>
      </c>
      <c r="I41" s="13">
        <f t="shared" si="0"/>
        <v>2701028.6530520702</v>
      </c>
    </row>
    <row r="42" spans="1:9" ht="15.75" x14ac:dyDescent="0.25">
      <c r="A42" s="8"/>
      <c r="B42" s="8"/>
      <c r="C42" s="9"/>
      <c r="D42" s="12" t="s">
        <v>38</v>
      </c>
      <c r="E42" s="14">
        <v>386546.69</v>
      </c>
      <c r="F42" s="14">
        <v>1270035.1727994902</v>
      </c>
      <c r="G42" s="14">
        <v>279150.22000000003</v>
      </c>
      <c r="H42" s="14">
        <v>0</v>
      </c>
      <c r="I42" s="13">
        <f t="shared" si="0"/>
        <v>1935732.0827994901</v>
      </c>
    </row>
    <row r="43" spans="1:9" ht="15.75" x14ac:dyDescent="0.25">
      <c r="A43" s="8"/>
      <c r="B43" s="8"/>
      <c r="C43" s="9"/>
      <c r="D43" s="12" t="s">
        <v>39</v>
      </c>
      <c r="E43" s="14">
        <v>59371.199999999997</v>
      </c>
      <c r="F43" s="14">
        <v>461912.9820058801</v>
      </c>
      <c r="G43" s="14">
        <v>336828.38</v>
      </c>
      <c r="H43" s="14">
        <v>0</v>
      </c>
      <c r="I43" s="13">
        <f t="shared" si="0"/>
        <v>858112.56200588006</v>
      </c>
    </row>
    <row r="44" spans="1:9" ht="15.75" x14ac:dyDescent="0.25">
      <c r="A44" s="8"/>
      <c r="B44" s="8"/>
      <c r="C44" s="9"/>
      <c r="D44" s="12" t="s">
        <v>40</v>
      </c>
      <c r="E44" s="14">
        <v>400.17</v>
      </c>
      <c r="F44" s="14">
        <v>35552.833622340004</v>
      </c>
      <c r="G44" s="14">
        <v>419415.86000000004</v>
      </c>
      <c r="H44" s="14">
        <v>0</v>
      </c>
      <c r="I44" s="13">
        <f t="shared" si="0"/>
        <v>455368.86362234002</v>
      </c>
    </row>
    <row r="45" spans="1:9" ht="15.75" x14ac:dyDescent="0.25">
      <c r="A45" s="8"/>
      <c r="B45" s="8"/>
      <c r="C45" s="9"/>
      <c r="D45" s="12" t="s">
        <v>41</v>
      </c>
      <c r="E45" s="14">
        <v>252606.19</v>
      </c>
      <c r="F45" s="14">
        <v>10293.729354180001</v>
      </c>
      <c r="G45" s="14">
        <v>1801655.73</v>
      </c>
      <c r="H45" s="14">
        <v>0</v>
      </c>
      <c r="I45" s="13">
        <f t="shared" si="0"/>
        <v>2064555.6493541799</v>
      </c>
    </row>
    <row r="46" spans="1:9" ht="15.75" x14ac:dyDescent="0.25">
      <c r="A46" s="8"/>
      <c r="B46" s="8"/>
      <c r="C46" s="9"/>
      <c r="D46" s="12" t="s">
        <v>42</v>
      </c>
      <c r="E46" s="14">
        <v>1269.6199999999999</v>
      </c>
      <c r="F46" s="14">
        <v>34304.376619290008</v>
      </c>
      <c r="G46" s="14">
        <v>1474580.75</v>
      </c>
      <c r="H46" s="14">
        <v>0</v>
      </c>
      <c r="I46" s="13">
        <f t="shared" si="0"/>
        <v>1510154.74661929</v>
      </c>
    </row>
    <row r="47" spans="1:9" ht="15.75" x14ac:dyDescent="0.25">
      <c r="A47" s="8"/>
      <c r="B47" s="8"/>
      <c r="C47" s="9"/>
      <c r="D47" s="12" t="s">
        <v>43</v>
      </c>
      <c r="E47" s="14">
        <v>454027.99</v>
      </c>
      <c r="F47" s="14">
        <v>217698.68308668007</v>
      </c>
      <c r="G47" s="14">
        <v>404195.27000000008</v>
      </c>
      <c r="H47" s="14">
        <v>0</v>
      </c>
      <c r="I47" s="13">
        <f t="shared" si="0"/>
        <v>1075921.94308668</v>
      </c>
    </row>
    <row r="48" spans="1:9" ht="15.75" x14ac:dyDescent="0.25">
      <c r="A48" s="8"/>
      <c r="B48" s="8"/>
      <c r="C48" s="9"/>
      <c r="D48" s="12" t="s">
        <v>44</v>
      </c>
      <c r="E48" s="14">
        <v>160882.66</v>
      </c>
      <c r="F48" s="14">
        <v>34304.376619290008</v>
      </c>
      <c r="G48" s="14">
        <v>655855.25999999989</v>
      </c>
      <c r="H48" s="14">
        <v>0</v>
      </c>
      <c r="I48" s="13">
        <f t="shared" si="0"/>
        <v>851042.2966192899</v>
      </c>
    </row>
    <row r="49" spans="1:9" ht="15.75" x14ac:dyDescent="0.25">
      <c r="A49" s="8"/>
      <c r="B49" s="8"/>
      <c r="C49" s="9"/>
      <c r="D49" s="12" t="s">
        <v>45</v>
      </c>
      <c r="E49" s="14">
        <v>22449.809999999998</v>
      </c>
      <c r="F49" s="14">
        <v>40860.789525630003</v>
      </c>
      <c r="G49" s="14">
        <v>1351298.06</v>
      </c>
      <c r="H49" s="14">
        <v>0</v>
      </c>
      <c r="I49" s="13">
        <f t="shared" si="0"/>
        <v>1414608.6595256301</v>
      </c>
    </row>
    <row r="50" spans="1:9" ht="15.75" x14ac:dyDescent="0.25">
      <c r="A50" s="8"/>
      <c r="B50" s="8"/>
      <c r="C50" s="9"/>
      <c r="D50" s="12" t="s">
        <v>46</v>
      </c>
      <c r="E50" s="14">
        <v>177978.88999999996</v>
      </c>
      <c r="F50" s="14">
        <v>394858.75910013006</v>
      </c>
      <c r="G50" s="14">
        <v>164066.03000000003</v>
      </c>
      <c r="H50" s="14">
        <v>0</v>
      </c>
      <c r="I50" s="13">
        <f t="shared" si="0"/>
        <v>736903.67910012999</v>
      </c>
    </row>
    <row r="51" spans="1:9" ht="15.75" x14ac:dyDescent="0.25">
      <c r="A51" s="8"/>
      <c r="B51" s="8"/>
      <c r="C51" s="9"/>
      <c r="D51" s="12" t="s">
        <v>47</v>
      </c>
      <c r="E51" s="14">
        <v>132528.06</v>
      </c>
      <c r="F51" s="14">
        <v>717975.54061209026</v>
      </c>
      <c r="G51" s="14">
        <v>537521.53</v>
      </c>
      <c r="H51" s="14">
        <v>0</v>
      </c>
      <c r="I51" s="13">
        <f t="shared" si="0"/>
        <v>1388025.1306120902</v>
      </c>
    </row>
    <row r="52" spans="1:9" ht="15.75" x14ac:dyDescent="0.25">
      <c r="A52" s="8"/>
      <c r="B52" s="8"/>
      <c r="C52" s="9"/>
      <c r="D52" s="12" t="s">
        <v>48</v>
      </c>
      <c r="E52" s="14">
        <v>265475.96999999997</v>
      </c>
      <c r="F52" s="14">
        <v>723589.56984516024</v>
      </c>
      <c r="G52" s="14">
        <v>126193.61</v>
      </c>
      <c r="H52" s="14">
        <v>0</v>
      </c>
      <c r="I52" s="13">
        <f t="shared" si="0"/>
        <v>1115259.1498451603</v>
      </c>
    </row>
    <row r="53" spans="1:9" ht="15.75" x14ac:dyDescent="0.25">
      <c r="A53" s="8"/>
      <c r="B53" s="8"/>
      <c r="C53" s="9"/>
      <c r="D53" s="12" t="s">
        <v>49</v>
      </c>
      <c r="E53" s="14">
        <v>109444.49999999999</v>
      </c>
      <c r="F53" s="14">
        <v>495911.28529539006</v>
      </c>
      <c r="G53" s="14">
        <v>627593.74</v>
      </c>
      <c r="H53" s="14">
        <v>0</v>
      </c>
      <c r="I53" s="13">
        <f t="shared" si="0"/>
        <v>1232949.52529539</v>
      </c>
    </row>
    <row r="54" spans="1:9" ht="15.75" x14ac:dyDescent="0.25">
      <c r="A54" s="8"/>
      <c r="B54" s="8"/>
      <c r="C54" s="9"/>
      <c r="D54" s="12" t="s">
        <v>50</v>
      </c>
      <c r="E54" s="14">
        <v>547787.97000000009</v>
      </c>
      <c r="F54" s="14">
        <v>455364.62366085005</v>
      </c>
      <c r="G54" s="14">
        <v>310333.25000000006</v>
      </c>
      <c r="H54" s="14">
        <v>0</v>
      </c>
      <c r="I54" s="13">
        <f t="shared" si="0"/>
        <v>1313485.8436608501</v>
      </c>
    </row>
    <row r="55" spans="1:9" ht="15.75" x14ac:dyDescent="0.25">
      <c r="A55" s="8"/>
      <c r="B55" s="8"/>
      <c r="C55" s="9"/>
      <c r="D55" s="12" t="s">
        <v>51</v>
      </c>
      <c r="E55" s="14">
        <v>107605.17000000001</v>
      </c>
      <c r="F55" s="14">
        <v>932565.16303311021</v>
      </c>
      <c r="G55" s="14">
        <v>14277.7</v>
      </c>
      <c r="H55" s="14">
        <v>0</v>
      </c>
      <c r="I55" s="13">
        <f t="shared" si="0"/>
        <v>1054448.0330331102</v>
      </c>
    </row>
    <row r="56" spans="1:9" ht="15.75" x14ac:dyDescent="0.25">
      <c r="A56" s="8"/>
      <c r="B56" s="8"/>
      <c r="C56" s="9"/>
      <c r="D56" s="12" t="s">
        <v>52</v>
      </c>
      <c r="E56" s="14">
        <v>203192.09</v>
      </c>
      <c r="F56" s="14">
        <v>1037983.2614583902</v>
      </c>
      <c r="G56" s="14">
        <v>286085.11</v>
      </c>
      <c r="H56" s="14">
        <v>0</v>
      </c>
      <c r="I56" s="13">
        <f t="shared" si="0"/>
        <v>1527260.4614583901</v>
      </c>
    </row>
    <row r="57" spans="1:9" ht="15.75" x14ac:dyDescent="0.25">
      <c r="A57" s="8"/>
      <c r="B57" s="8"/>
      <c r="C57" s="9"/>
      <c r="D57" s="12" t="s">
        <v>53</v>
      </c>
      <c r="E57" s="14">
        <v>101053.22</v>
      </c>
      <c r="F57" s="14">
        <v>343084.03899945004</v>
      </c>
      <c r="G57" s="14">
        <v>227799.02000000002</v>
      </c>
      <c r="H57" s="14">
        <v>0</v>
      </c>
      <c r="I57" s="13">
        <f t="shared" si="0"/>
        <v>671936.27899945003</v>
      </c>
    </row>
    <row r="58" spans="1:9" ht="15.75" x14ac:dyDescent="0.25">
      <c r="A58" s="8"/>
      <c r="B58" s="8"/>
      <c r="C58" s="9"/>
      <c r="D58" s="12" t="s">
        <v>54</v>
      </c>
      <c r="E58" s="14">
        <v>156242.74999999994</v>
      </c>
      <c r="F58" s="14">
        <v>369285.52694088011</v>
      </c>
      <c r="G58" s="14">
        <v>23662.86</v>
      </c>
      <c r="H58" s="14">
        <v>0</v>
      </c>
      <c r="I58" s="13">
        <f t="shared" si="0"/>
        <v>549191.1369408801</v>
      </c>
    </row>
    <row r="59" spans="1:9" ht="15.75" x14ac:dyDescent="0.25">
      <c r="A59" s="8"/>
      <c r="B59" s="8"/>
      <c r="C59" s="9"/>
      <c r="D59" s="12" t="s">
        <v>55</v>
      </c>
      <c r="E59" s="14">
        <v>204312.01</v>
      </c>
      <c r="F59" s="14">
        <v>623785.50065295014</v>
      </c>
      <c r="G59" s="14">
        <v>272847.88999999996</v>
      </c>
      <c r="H59" s="14">
        <v>0</v>
      </c>
      <c r="I59" s="13">
        <f t="shared" si="0"/>
        <v>1100945.4006529502</v>
      </c>
    </row>
    <row r="60" spans="1:9" ht="15.75" x14ac:dyDescent="0.25">
      <c r="A60" s="8"/>
      <c r="B60" s="8"/>
      <c r="C60" s="9"/>
      <c r="D60" s="12" t="s">
        <v>56</v>
      </c>
      <c r="E60" s="14">
        <v>103055.98</v>
      </c>
      <c r="F60" s="14">
        <v>377388.41561874008</v>
      </c>
      <c r="G60" s="14">
        <v>130255.63999999998</v>
      </c>
      <c r="H60" s="14">
        <v>0</v>
      </c>
      <c r="I60" s="13">
        <f t="shared" si="0"/>
        <v>610700.03561874002</v>
      </c>
    </row>
    <row r="61" spans="1:9" ht="15.75" x14ac:dyDescent="0.25">
      <c r="A61" s="8"/>
      <c r="B61" s="8"/>
      <c r="C61" s="9"/>
      <c r="D61" s="12" t="s">
        <v>57</v>
      </c>
      <c r="E61" s="14">
        <v>322765.69999999995</v>
      </c>
      <c r="F61" s="14">
        <v>633144.90089517017</v>
      </c>
      <c r="G61" s="14">
        <v>229486.64</v>
      </c>
      <c r="H61" s="14">
        <v>0</v>
      </c>
      <c r="I61" s="13">
        <f t="shared" si="0"/>
        <v>1185397.2408951703</v>
      </c>
    </row>
    <row r="62" spans="1:9" ht="15.75" x14ac:dyDescent="0.25">
      <c r="A62" s="8"/>
      <c r="B62" s="8"/>
      <c r="C62" s="9"/>
      <c r="D62" s="12" t="s">
        <v>58</v>
      </c>
      <c r="E62" s="14">
        <v>507144.08999999991</v>
      </c>
      <c r="F62" s="14">
        <v>706441.40881617018</v>
      </c>
      <c r="G62" s="14">
        <v>10954862.389999999</v>
      </c>
      <c r="H62" s="14">
        <v>0</v>
      </c>
      <c r="I62" s="13">
        <f t="shared" si="0"/>
        <v>12168447.888816169</v>
      </c>
    </row>
    <row r="63" spans="1:9" ht="15.75" x14ac:dyDescent="0.25">
      <c r="A63" s="8"/>
      <c r="B63" s="8"/>
      <c r="C63" s="9"/>
      <c r="D63" s="12" t="s">
        <v>59</v>
      </c>
      <c r="E63" s="14">
        <v>109089.06000000003</v>
      </c>
      <c r="F63" s="14">
        <v>77976.208042110011</v>
      </c>
      <c r="G63" s="14">
        <v>453061.81</v>
      </c>
      <c r="H63" s="14">
        <v>0</v>
      </c>
      <c r="I63" s="13">
        <f t="shared" si="0"/>
        <v>640127.07804210996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3358266.3000000007</v>
      </c>
      <c r="H64" s="14">
        <v>0</v>
      </c>
      <c r="I64" s="13">
        <f t="shared" si="0"/>
        <v>3358266.3000000007</v>
      </c>
    </row>
    <row r="65" spans="1:9" ht="15.75" x14ac:dyDescent="0.25">
      <c r="A65" s="8"/>
      <c r="B65" s="8"/>
      <c r="C65" s="9"/>
      <c r="D65" s="12" t="s">
        <v>61</v>
      </c>
      <c r="E65" s="14">
        <v>620454.91</v>
      </c>
      <c r="F65" s="14">
        <v>923205.76279089018</v>
      </c>
      <c r="G65" s="14">
        <v>211175.59999999998</v>
      </c>
      <c r="H65" s="14">
        <v>0</v>
      </c>
      <c r="I65" s="13">
        <f t="shared" si="0"/>
        <v>1754836.2727908902</v>
      </c>
    </row>
    <row r="66" spans="1:9" ht="15.75" x14ac:dyDescent="0.25">
      <c r="A66" s="8"/>
      <c r="B66" s="8"/>
      <c r="C66" s="9"/>
      <c r="D66" s="12" t="s">
        <v>62</v>
      </c>
      <c r="E66" s="14">
        <v>1401886.4799999995</v>
      </c>
      <c r="F66" s="14">
        <v>1835497.5950067304</v>
      </c>
      <c r="G66" s="14">
        <v>479079.84999999992</v>
      </c>
      <c r="H66" s="14">
        <v>0</v>
      </c>
      <c r="I66" s="13">
        <f t="shared" si="0"/>
        <v>3716463.92500673</v>
      </c>
    </row>
    <row r="67" spans="1:9" ht="15.75" x14ac:dyDescent="0.25">
      <c r="A67" s="8"/>
      <c r="B67" s="8"/>
      <c r="C67" s="9"/>
      <c r="D67" s="12" t="s">
        <v>63</v>
      </c>
      <c r="E67" s="14">
        <v>145069.36000000002</v>
      </c>
      <c r="F67" s="14">
        <v>848354.72453706025</v>
      </c>
      <c r="G67" s="14">
        <v>315614.40000000002</v>
      </c>
      <c r="H67" s="14">
        <v>0</v>
      </c>
      <c r="I67" s="13">
        <f t="shared" si="0"/>
        <v>1309038.4845370604</v>
      </c>
    </row>
    <row r="68" spans="1:9" ht="15.75" x14ac:dyDescent="0.25">
      <c r="A68" s="8"/>
      <c r="B68" s="8"/>
      <c r="C68" s="9"/>
      <c r="D68" s="12" t="s">
        <v>64</v>
      </c>
      <c r="E68" s="14">
        <v>359868.04000000004</v>
      </c>
      <c r="F68" s="14">
        <v>358677.66969561006</v>
      </c>
      <c r="G68" s="14">
        <v>209484.80000000002</v>
      </c>
      <c r="H68" s="14">
        <v>0</v>
      </c>
      <c r="I68" s="13">
        <f t="shared" si="0"/>
        <v>928030.50969561015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1172218.33</v>
      </c>
      <c r="H69" s="14">
        <v>0</v>
      </c>
      <c r="I69" s="13">
        <f t="shared" si="0"/>
        <v>1172218.33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1321995.2899999998</v>
      </c>
      <c r="H70" s="14">
        <v>0</v>
      </c>
      <c r="I70" s="13">
        <f t="shared" si="0"/>
        <v>1321995.2899999998</v>
      </c>
    </row>
    <row r="71" spans="1:9" ht="15.75" x14ac:dyDescent="0.25">
      <c r="A71" s="8"/>
      <c r="B71" s="8"/>
      <c r="C71" s="9"/>
      <c r="D71" s="12" t="s">
        <v>67</v>
      </c>
      <c r="E71" s="14">
        <v>0</v>
      </c>
      <c r="F71" s="14">
        <v>9359.400242220001</v>
      </c>
      <c r="G71" s="14">
        <v>863953.50999999989</v>
      </c>
      <c r="H71" s="14">
        <v>0</v>
      </c>
      <c r="I71" s="13">
        <f t="shared" si="0"/>
        <v>873312.91024221992</v>
      </c>
    </row>
    <row r="72" spans="1:9" ht="15.75" x14ac:dyDescent="0.25">
      <c r="A72" s="8"/>
      <c r="B72" s="8"/>
      <c r="C72" s="9"/>
      <c r="D72" s="12" t="s">
        <v>68</v>
      </c>
      <c r="E72" s="14">
        <v>757038.36</v>
      </c>
      <c r="F72" s="14">
        <v>582618.63779754005</v>
      </c>
      <c r="G72" s="14">
        <v>1792032.7299999997</v>
      </c>
      <c r="H72" s="14">
        <v>0</v>
      </c>
      <c r="I72" s="13">
        <f t="shared" si="0"/>
        <v>3131689.7277975399</v>
      </c>
    </row>
    <row r="73" spans="1:9" ht="15.75" x14ac:dyDescent="0.25">
      <c r="A73" s="8"/>
      <c r="B73" s="8"/>
      <c r="C73" s="9"/>
      <c r="D73" s="12" t="s">
        <v>69</v>
      </c>
      <c r="E73" s="14">
        <v>3452.57</v>
      </c>
      <c r="F73" s="14">
        <v>0</v>
      </c>
      <c r="G73" s="14">
        <v>1249000.26</v>
      </c>
      <c r="H73" s="14">
        <v>0</v>
      </c>
      <c r="I73" s="13">
        <f t="shared" si="0"/>
        <v>1252452.83</v>
      </c>
    </row>
    <row r="74" spans="1:9" ht="15.75" x14ac:dyDescent="0.25">
      <c r="A74" s="8"/>
      <c r="B74" s="8"/>
      <c r="C74" s="9"/>
      <c r="D74" s="12" t="s">
        <v>70</v>
      </c>
      <c r="E74" s="14">
        <v>41678.490000000005</v>
      </c>
      <c r="F74" s="14">
        <v>49277.806094580003</v>
      </c>
      <c r="G74" s="14">
        <v>5730304.0099999998</v>
      </c>
      <c r="H74" s="14">
        <v>0</v>
      </c>
      <c r="I74" s="13">
        <f t="shared" ref="I74:I137" si="1">SUM(E74:H74)</f>
        <v>5821260.3060945794</v>
      </c>
    </row>
    <row r="75" spans="1:9" ht="15.75" x14ac:dyDescent="0.25">
      <c r="A75" s="8"/>
      <c r="B75" s="8"/>
      <c r="C75" s="9"/>
      <c r="D75" s="12" t="s">
        <v>71</v>
      </c>
      <c r="E75" s="14">
        <v>130260.55000000002</v>
      </c>
      <c r="F75" s="14">
        <v>191505.24970656005</v>
      </c>
      <c r="G75" s="14">
        <v>11171774.580000002</v>
      </c>
      <c r="H75" s="14">
        <v>0</v>
      </c>
      <c r="I75" s="13">
        <f t="shared" si="1"/>
        <v>11493540.379706562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3356429.89</v>
      </c>
      <c r="H76" s="14">
        <v>0</v>
      </c>
      <c r="I76" s="13">
        <f t="shared" si="1"/>
        <v>3356429.89</v>
      </c>
    </row>
    <row r="77" spans="1:9" ht="15.75" x14ac:dyDescent="0.25">
      <c r="A77" s="8"/>
      <c r="B77" s="8"/>
      <c r="C77" s="9"/>
      <c r="D77" s="12" t="s">
        <v>73</v>
      </c>
      <c r="E77" s="14">
        <v>97459.239999999991</v>
      </c>
      <c r="F77" s="14">
        <v>949713.32406210015</v>
      </c>
      <c r="G77" s="14">
        <v>258069.47000000003</v>
      </c>
      <c r="H77" s="14">
        <v>0</v>
      </c>
      <c r="I77" s="13">
        <f t="shared" si="1"/>
        <v>1305242.0340621001</v>
      </c>
    </row>
    <row r="78" spans="1:9" ht="15.75" x14ac:dyDescent="0.25">
      <c r="A78" s="8"/>
      <c r="B78" s="8"/>
      <c r="C78" s="9"/>
      <c r="D78" s="12" t="s">
        <v>74</v>
      </c>
      <c r="E78" s="14">
        <v>377562.32</v>
      </c>
      <c r="F78" s="14">
        <v>963752.42442543025</v>
      </c>
      <c r="G78" s="14">
        <v>379121.06999999995</v>
      </c>
      <c r="H78" s="14">
        <v>0</v>
      </c>
      <c r="I78" s="13">
        <f t="shared" si="1"/>
        <v>1720435.8144254303</v>
      </c>
    </row>
    <row r="79" spans="1:9" ht="15.75" x14ac:dyDescent="0.25">
      <c r="A79" s="8"/>
      <c r="B79" s="8"/>
      <c r="C79" s="9"/>
      <c r="D79" s="12" t="s">
        <v>75</v>
      </c>
      <c r="E79" s="14">
        <v>200156.11</v>
      </c>
      <c r="F79" s="14">
        <v>541137.64705104008</v>
      </c>
      <c r="G79" s="14">
        <v>399551.08</v>
      </c>
      <c r="H79" s="14">
        <v>0</v>
      </c>
      <c r="I79" s="13">
        <f t="shared" si="1"/>
        <v>1140844.83705104</v>
      </c>
    </row>
    <row r="80" spans="1:9" ht="15.75" x14ac:dyDescent="0.25">
      <c r="A80" s="8"/>
      <c r="B80" s="8"/>
      <c r="C80" s="9"/>
      <c r="D80" s="12" t="s">
        <v>76</v>
      </c>
      <c r="E80" s="14">
        <v>66990.52</v>
      </c>
      <c r="F80" s="14">
        <v>286009.41755679005</v>
      </c>
      <c r="G80" s="14">
        <v>41557.01999999999</v>
      </c>
      <c r="H80" s="14">
        <v>0</v>
      </c>
      <c r="I80" s="13">
        <f t="shared" si="1"/>
        <v>394556.95755679009</v>
      </c>
    </row>
    <row r="81" spans="1:9" ht="15.75" x14ac:dyDescent="0.25">
      <c r="A81" s="8"/>
      <c r="B81" s="8"/>
      <c r="C81" s="9"/>
      <c r="D81" s="12" t="s">
        <v>77</v>
      </c>
      <c r="E81" s="14">
        <v>1615876.1</v>
      </c>
      <c r="F81" s="14">
        <v>1725705.8697901205</v>
      </c>
      <c r="G81" s="14">
        <v>843519.06</v>
      </c>
      <c r="H81" s="14">
        <v>0</v>
      </c>
      <c r="I81" s="13">
        <f t="shared" si="1"/>
        <v>4185101.0297901207</v>
      </c>
    </row>
    <row r="82" spans="1:9" ht="15.75" x14ac:dyDescent="0.25">
      <c r="A82" s="8"/>
      <c r="B82" s="8"/>
      <c r="C82" s="9"/>
      <c r="D82" s="12" t="s">
        <v>78</v>
      </c>
      <c r="E82" s="14">
        <v>683028.3600000001</v>
      </c>
      <c r="F82" s="14">
        <v>1196110.4090963101</v>
      </c>
      <c r="G82" s="14">
        <v>306043.46999999997</v>
      </c>
      <c r="H82" s="14">
        <v>0</v>
      </c>
      <c r="I82" s="13">
        <f t="shared" si="1"/>
        <v>2185182.23909631</v>
      </c>
    </row>
    <row r="83" spans="1:9" ht="15.75" x14ac:dyDescent="0.25">
      <c r="A83" s="8"/>
      <c r="B83" s="8"/>
      <c r="C83" s="9"/>
      <c r="D83" s="12" t="s">
        <v>79</v>
      </c>
      <c r="E83" s="14">
        <v>401917.69</v>
      </c>
      <c r="F83" s="14">
        <v>491231.5851742801</v>
      </c>
      <c r="G83" s="14">
        <v>467154.87</v>
      </c>
      <c r="H83" s="14">
        <v>0</v>
      </c>
      <c r="I83" s="13">
        <f t="shared" si="1"/>
        <v>1360304.1451742803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4429159.5299999993</v>
      </c>
      <c r="H84" s="14">
        <v>0</v>
      </c>
      <c r="I84" s="13">
        <f t="shared" si="1"/>
        <v>4429159.5299999993</v>
      </c>
    </row>
    <row r="85" spans="1:9" ht="15.75" x14ac:dyDescent="0.25">
      <c r="A85" s="8"/>
      <c r="B85" s="8"/>
      <c r="C85" s="9"/>
      <c r="D85" s="12" t="s">
        <v>81</v>
      </c>
      <c r="E85" s="14">
        <v>554988.18000000005</v>
      </c>
      <c r="F85" s="14">
        <v>152827.24629594001</v>
      </c>
      <c r="G85" s="14">
        <v>1505701.22</v>
      </c>
      <c r="H85" s="14">
        <v>0</v>
      </c>
      <c r="I85" s="13">
        <f t="shared" si="1"/>
        <v>2213516.64629594</v>
      </c>
    </row>
    <row r="86" spans="1:9" ht="15.75" x14ac:dyDescent="0.25">
      <c r="A86" s="8"/>
      <c r="B86" s="8"/>
      <c r="C86" s="9"/>
      <c r="D86" s="12" t="s">
        <v>82</v>
      </c>
      <c r="E86" s="14">
        <v>248372.53000000009</v>
      </c>
      <c r="F86" s="14">
        <v>634707.48578931007</v>
      </c>
      <c r="G86" s="14">
        <v>171096.06</v>
      </c>
      <c r="H86" s="14">
        <v>0</v>
      </c>
      <c r="I86" s="13">
        <f t="shared" si="1"/>
        <v>1054176.0757893103</v>
      </c>
    </row>
    <row r="87" spans="1:9" ht="15.75" x14ac:dyDescent="0.25">
      <c r="A87" s="8"/>
      <c r="B87" s="8"/>
      <c r="C87" s="9"/>
      <c r="D87" s="12" t="s">
        <v>83</v>
      </c>
      <c r="E87" s="14">
        <v>116312.46</v>
      </c>
      <c r="F87" s="14">
        <v>835878.20906787028</v>
      </c>
      <c r="G87" s="14">
        <v>124076.56999999999</v>
      </c>
      <c r="H87" s="14">
        <v>0</v>
      </c>
      <c r="I87" s="13">
        <f t="shared" si="1"/>
        <v>1076267.2390678702</v>
      </c>
    </row>
    <row r="88" spans="1:9" ht="15.75" x14ac:dyDescent="0.25">
      <c r="A88" s="8"/>
      <c r="B88" s="8"/>
      <c r="C88" s="9"/>
      <c r="D88" s="12" t="s">
        <v>84</v>
      </c>
      <c r="E88" s="14">
        <v>657440.4</v>
      </c>
      <c r="F88" s="14">
        <v>0</v>
      </c>
      <c r="G88" s="14">
        <v>1589702.4200000002</v>
      </c>
      <c r="H88" s="14">
        <v>0</v>
      </c>
      <c r="I88" s="13">
        <f t="shared" si="1"/>
        <v>2247142.8200000003</v>
      </c>
    </row>
    <row r="89" spans="1:9" ht="15.75" x14ac:dyDescent="0.25">
      <c r="A89" s="8"/>
      <c r="B89" s="8"/>
      <c r="C89" s="9"/>
      <c r="D89" s="12" t="s">
        <v>85</v>
      </c>
      <c r="E89" s="14">
        <v>105275.20999999998</v>
      </c>
      <c r="F89" s="14">
        <v>819656.32258953026</v>
      </c>
      <c r="G89" s="14">
        <v>333982.2099999999</v>
      </c>
      <c r="H89" s="14">
        <v>0</v>
      </c>
      <c r="I89" s="13">
        <f t="shared" si="1"/>
        <v>1258913.7425895301</v>
      </c>
    </row>
    <row r="90" spans="1:9" ht="15.75" x14ac:dyDescent="0.25">
      <c r="A90" s="8"/>
      <c r="B90" s="8"/>
      <c r="C90" s="9"/>
      <c r="D90" s="12" t="s">
        <v>86</v>
      </c>
      <c r="E90" s="14">
        <v>114844.51000000001</v>
      </c>
      <c r="F90" s="14">
        <v>212084.65385361004</v>
      </c>
      <c r="G90" s="14">
        <v>274984.17</v>
      </c>
      <c r="H90" s="14">
        <v>0</v>
      </c>
      <c r="I90" s="13">
        <f t="shared" si="1"/>
        <v>601913.33385361009</v>
      </c>
    </row>
    <row r="91" spans="1:9" ht="15.75" x14ac:dyDescent="0.25">
      <c r="A91" s="8"/>
      <c r="B91" s="8"/>
      <c r="C91" s="9"/>
      <c r="D91" s="12" t="s">
        <v>87</v>
      </c>
      <c r="E91" s="14">
        <v>166298.38000000003</v>
      </c>
      <c r="F91" s="14">
        <v>483748.89771729009</v>
      </c>
      <c r="G91" s="14">
        <v>724117.74000000011</v>
      </c>
      <c r="H91" s="14">
        <v>0</v>
      </c>
      <c r="I91" s="13">
        <f t="shared" si="1"/>
        <v>1374165.0177172902</v>
      </c>
    </row>
    <row r="92" spans="1:9" ht="15.75" x14ac:dyDescent="0.25">
      <c r="A92" s="8"/>
      <c r="B92" s="8"/>
      <c r="C92" s="9"/>
      <c r="D92" s="12" t="s">
        <v>88</v>
      </c>
      <c r="E92" s="14">
        <v>5231.4400000000005</v>
      </c>
      <c r="F92" s="14">
        <v>66748.149575970019</v>
      </c>
      <c r="G92" s="14">
        <v>1721499.46</v>
      </c>
      <c r="H92" s="14">
        <v>0</v>
      </c>
      <c r="I92" s="13">
        <f t="shared" si="1"/>
        <v>1793479.04957597</v>
      </c>
    </row>
    <row r="93" spans="1:9" ht="15.75" x14ac:dyDescent="0.25">
      <c r="A93" s="8"/>
      <c r="B93" s="8"/>
      <c r="C93" s="9"/>
      <c r="D93" s="12" t="s">
        <v>89</v>
      </c>
      <c r="E93" s="14">
        <v>204473.71999999994</v>
      </c>
      <c r="F93" s="14">
        <v>540823.51915995008</v>
      </c>
      <c r="G93" s="14">
        <v>204789.25999999995</v>
      </c>
      <c r="H93" s="14">
        <v>0</v>
      </c>
      <c r="I93" s="13">
        <f t="shared" si="1"/>
        <v>950086.49915995006</v>
      </c>
    </row>
    <row r="94" spans="1:9" ht="15.75" x14ac:dyDescent="0.25">
      <c r="A94" s="8"/>
      <c r="B94" s="8"/>
      <c r="C94" s="9"/>
      <c r="D94" s="12" t="s">
        <v>90</v>
      </c>
      <c r="E94" s="14">
        <v>0</v>
      </c>
      <c r="F94" s="14">
        <v>0</v>
      </c>
      <c r="G94" s="14">
        <v>86799.359999999986</v>
      </c>
      <c r="H94" s="14">
        <v>0</v>
      </c>
      <c r="I94" s="13">
        <f t="shared" si="1"/>
        <v>86799.359999999986</v>
      </c>
    </row>
    <row r="95" spans="1:9" ht="15.75" x14ac:dyDescent="0.25">
      <c r="A95" s="8"/>
      <c r="B95" s="8"/>
      <c r="C95" s="9"/>
      <c r="D95" s="12" t="s">
        <v>91</v>
      </c>
      <c r="E95" s="14">
        <v>203792.45</v>
      </c>
      <c r="F95" s="14">
        <v>17156.215590300002</v>
      </c>
      <c r="G95" s="14">
        <v>1464432.5699999998</v>
      </c>
      <c r="H95" s="14">
        <v>0</v>
      </c>
      <c r="I95" s="13">
        <f t="shared" si="1"/>
        <v>1685381.2355902998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3598914.04</v>
      </c>
      <c r="H96" s="14">
        <v>0</v>
      </c>
      <c r="I96" s="13">
        <f t="shared" si="1"/>
        <v>3598914.04</v>
      </c>
    </row>
    <row r="97" spans="1:9" ht="15.75" x14ac:dyDescent="0.25">
      <c r="A97" s="8"/>
      <c r="B97" s="8"/>
      <c r="C97" s="9"/>
      <c r="D97" s="12" t="s">
        <v>93</v>
      </c>
      <c r="E97" s="14">
        <v>113591.31999999999</v>
      </c>
      <c r="F97" s="14">
        <v>770378.51649495005</v>
      </c>
      <c r="G97" s="14">
        <v>232010.78999999998</v>
      </c>
      <c r="H97" s="14">
        <v>0</v>
      </c>
      <c r="I97" s="13">
        <f t="shared" si="1"/>
        <v>1115980.6264949499</v>
      </c>
    </row>
    <row r="98" spans="1:9" ht="15.75" x14ac:dyDescent="0.25">
      <c r="A98" s="8"/>
      <c r="B98" s="8"/>
      <c r="C98" s="9"/>
      <c r="D98" s="12" t="s">
        <v>94</v>
      </c>
      <c r="E98" s="14">
        <v>453366.41999999993</v>
      </c>
      <c r="F98" s="14">
        <v>1013344.3584111002</v>
      </c>
      <c r="G98" s="14">
        <v>1902888.89</v>
      </c>
      <c r="H98" s="14">
        <v>0</v>
      </c>
      <c r="I98" s="13">
        <f t="shared" si="1"/>
        <v>3369599.6684111003</v>
      </c>
    </row>
    <row r="99" spans="1:9" ht="15.75" x14ac:dyDescent="0.25">
      <c r="A99" s="8"/>
      <c r="B99" s="8"/>
      <c r="C99" s="9"/>
      <c r="D99" s="12" t="s">
        <v>95</v>
      </c>
      <c r="E99" s="14">
        <v>521877.69</v>
      </c>
      <c r="F99" s="14">
        <v>1930936.0919689205</v>
      </c>
      <c r="G99" s="14">
        <v>790137.89000000013</v>
      </c>
      <c r="H99" s="14">
        <v>0</v>
      </c>
      <c r="I99" s="13">
        <f t="shared" si="1"/>
        <v>3242951.6719689206</v>
      </c>
    </row>
    <row r="100" spans="1:9" ht="15.75" x14ac:dyDescent="0.25">
      <c r="A100" s="8"/>
      <c r="B100" s="8"/>
      <c r="C100" s="9"/>
      <c r="D100" s="12" t="s">
        <v>96</v>
      </c>
      <c r="E100" s="14">
        <v>449727.86000000004</v>
      </c>
      <c r="F100" s="14">
        <v>1931870.4210808806</v>
      </c>
      <c r="G100" s="14">
        <v>1531492.8399999999</v>
      </c>
      <c r="H100" s="14">
        <v>0</v>
      </c>
      <c r="I100" s="13">
        <f t="shared" si="1"/>
        <v>3913091.1210808805</v>
      </c>
    </row>
    <row r="101" spans="1:9" ht="15.75" x14ac:dyDescent="0.25">
      <c r="A101" s="8"/>
      <c r="B101" s="8"/>
      <c r="C101" s="9"/>
      <c r="D101" s="12" t="s">
        <v>97</v>
      </c>
      <c r="E101" s="14">
        <v>8960.32</v>
      </c>
      <c r="F101" s="14">
        <v>2592441.1032366003</v>
      </c>
      <c r="G101" s="14">
        <v>13378.89</v>
      </c>
      <c r="H101" s="14">
        <v>0</v>
      </c>
      <c r="I101" s="13">
        <f t="shared" si="1"/>
        <v>2614780.3132366003</v>
      </c>
    </row>
    <row r="102" spans="1:9" ht="15.75" x14ac:dyDescent="0.25">
      <c r="A102" s="8"/>
      <c r="B102" s="8"/>
      <c r="C102" s="9"/>
      <c r="D102" s="12" t="s">
        <v>98</v>
      </c>
      <c r="E102" s="14">
        <v>521886.04</v>
      </c>
      <c r="F102" s="14">
        <v>1114711.0124974502</v>
      </c>
      <c r="G102" s="14">
        <v>732260.55999999994</v>
      </c>
      <c r="H102" s="14">
        <v>0</v>
      </c>
      <c r="I102" s="13">
        <f t="shared" si="1"/>
        <v>2368857.6124974503</v>
      </c>
    </row>
    <row r="103" spans="1:9" ht="15.75" x14ac:dyDescent="0.25">
      <c r="A103" s="8"/>
      <c r="B103" s="8"/>
      <c r="C103" s="9"/>
      <c r="D103" s="12" t="s">
        <v>99</v>
      </c>
      <c r="E103" s="14">
        <v>143233.87</v>
      </c>
      <c r="F103" s="14">
        <v>353997.96957450005</v>
      </c>
      <c r="G103" s="14">
        <v>108197.96</v>
      </c>
      <c r="H103" s="14">
        <v>0</v>
      </c>
      <c r="I103" s="13">
        <f t="shared" si="1"/>
        <v>605429.79957450007</v>
      </c>
    </row>
    <row r="104" spans="1:9" ht="15.75" x14ac:dyDescent="0.25">
      <c r="A104" s="8"/>
      <c r="B104" s="8"/>
      <c r="C104" s="9"/>
      <c r="D104" s="12" t="s">
        <v>100</v>
      </c>
      <c r="E104" s="14">
        <v>930304.09999999986</v>
      </c>
      <c r="F104" s="14">
        <v>646869.87336741015</v>
      </c>
      <c r="G104" s="14">
        <v>1636741.1900000002</v>
      </c>
      <c r="H104" s="14">
        <v>0</v>
      </c>
      <c r="I104" s="13">
        <f t="shared" si="1"/>
        <v>3213915.1633674102</v>
      </c>
    </row>
    <row r="105" spans="1:9" ht="15.75" x14ac:dyDescent="0.25">
      <c r="A105" s="8"/>
      <c r="B105" s="8"/>
      <c r="C105" s="9"/>
      <c r="D105" s="12" t="s">
        <v>101</v>
      </c>
      <c r="E105" s="14">
        <v>129320.31999999999</v>
      </c>
      <c r="F105" s="14">
        <v>960635.30919846019</v>
      </c>
      <c r="G105" s="14">
        <v>18763.39</v>
      </c>
      <c r="H105" s="14">
        <v>0</v>
      </c>
      <c r="I105" s="13">
        <f t="shared" si="1"/>
        <v>1108719.01919846</v>
      </c>
    </row>
    <row r="106" spans="1:9" ht="15.75" x14ac:dyDescent="0.25">
      <c r="A106" s="8"/>
      <c r="B106" s="8"/>
      <c r="C106" s="9"/>
      <c r="D106" s="12" t="s">
        <v>102</v>
      </c>
      <c r="E106" s="14">
        <v>564778.43000000017</v>
      </c>
      <c r="F106" s="14">
        <v>59257.407557670012</v>
      </c>
      <c r="G106" s="14">
        <v>2573996.7599999998</v>
      </c>
      <c r="H106" s="14">
        <v>0</v>
      </c>
      <c r="I106" s="13">
        <f t="shared" si="1"/>
        <v>3198032.59755767</v>
      </c>
    </row>
    <row r="107" spans="1:9" ht="15.75" x14ac:dyDescent="0.25">
      <c r="A107" s="8"/>
      <c r="B107" s="8"/>
      <c r="C107" s="9"/>
      <c r="D107" s="12" t="s">
        <v>103</v>
      </c>
      <c r="E107" s="14">
        <v>0</v>
      </c>
      <c r="F107" s="14">
        <v>0</v>
      </c>
      <c r="G107" s="14">
        <v>1141145.3999999999</v>
      </c>
      <c r="H107" s="14">
        <v>0</v>
      </c>
      <c r="I107" s="13">
        <f t="shared" si="1"/>
        <v>1141145.3999999999</v>
      </c>
    </row>
    <row r="108" spans="1:9" ht="15.75" x14ac:dyDescent="0.25">
      <c r="A108" s="8"/>
      <c r="B108" s="8"/>
      <c r="C108" s="9"/>
      <c r="D108" s="12" t="s">
        <v>104</v>
      </c>
      <c r="E108" s="14">
        <v>45177.35</v>
      </c>
      <c r="F108" s="14">
        <v>0</v>
      </c>
      <c r="G108" s="14">
        <v>337173.81999999995</v>
      </c>
      <c r="H108" s="14">
        <v>0</v>
      </c>
      <c r="I108" s="13">
        <f t="shared" si="1"/>
        <v>382351.16999999993</v>
      </c>
    </row>
    <row r="109" spans="1:9" ht="15.75" x14ac:dyDescent="0.25">
      <c r="A109" s="8"/>
      <c r="B109" s="8"/>
      <c r="C109" s="9"/>
      <c r="D109" s="12" t="s">
        <v>105</v>
      </c>
      <c r="E109" s="14">
        <v>56548.91</v>
      </c>
      <c r="F109" s="14">
        <v>1545122.6052199202</v>
      </c>
      <c r="G109" s="14">
        <v>211955.21</v>
      </c>
      <c r="H109" s="14">
        <v>0</v>
      </c>
      <c r="I109" s="13">
        <f t="shared" si="1"/>
        <v>1813626.72521992</v>
      </c>
    </row>
    <row r="110" spans="1:9" ht="15.75" x14ac:dyDescent="0.25">
      <c r="A110" s="8"/>
      <c r="B110" s="8"/>
      <c r="C110" s="9"/>
      <c r="D110" s="12" t="s">
        <v>106</v>
      </c>
      <c r="E110" s="14">
        <v>78142.809999999983</v>
      </c>
      <c r="F110" s="14">
        <v>379571.20173375006</v>
      </c>
      <c r="G110" s="14">
        <v>176613.48</v>
      </c>
      <c r="H110" s="14">
        <v>0</v>
      </c>
      <c r="I110" s="13">
        <f t="shared" si="1"/>
        <v>634327.4917337501</v>
      </c>
    </row>
    <row r="111" spans="1:9" ht="15.75" x14ac:dyDescent="0.25">
      <c r="A111" s="8"/>
      <c r="B111" s="8"/>
      <c r="C111" s="9"/>
      <c r="D111" s="12" t="s">
        <v>107</v>
      </c>
      <c r="E111" s="14">
        <v>376.47</v>
      </c>
      <c r="F111" s="14">
        <v>5928.1571241600013</v>
      </c>
      <c r="G111" s="14">
        <v>5058081.97</v>
      </c>
      <c r="H111" s="14">
        <v>0</v>
      </c>
      <c r="I111" s="13">
        <f t="shared" si="1"/>
        <v>5064386.5971241593</v>
      </c>
    </row>
    <row r="112" spans="1:9" ht="15.75" x14ac:dyDescent="0.25">
      <c r="A112" s="8"/>
      <c r="B112" s="8"/>
      <c r="C112" s="9"/>
      <c r="D112" s="12" t="s">
        <v>108</v>
      </c>
      <c r="E112" s="14">
        <v>290092.66000000009</v>
      </c>
      <c r="F112" s="14">
        <v>405458.56178409007</v>
      </c>
      <c r="G112" s="14">
        <v>347415.72</v>
      </c>
      <c r="H112" s="14">
        <v>0</v>
      </c>
      <c r="I112" s="13">
        <f t="shared" si="1"/>
        <v>1042966.9417840901</v>
      </c>
    </row>
    <row r="113" spans="1:9" ht="15.75" x14ac:dyDescent="0.25">
      <c r="A113" s="8"/>
      <c r="B113" s="8"/>
      <c r="C113" s="9"/>
      <c r="D113" s="12" t="s">
        <v>109</v>
      </c>
      <c r="E113" s="14">
        <v>207888.81</v>
      </c>
      <c r="F113" s="14">
        <v>976228.93989462021</v>
      </c>
      <c r="G113" s="14">
        <v>306879.52</v>
      </c>
      <c r="H113" s="14">
        <v>0</v>
      </c>
      <c r="I113" s="13">
        <f t="shared" si="1"/>
        <v>1490997.2698946202</v>
      </c>
    </row>
    <row r="114" spans="1:9" ht="15.75" x14ac:dyDescent="0.25">
      <c r="A114" s="8"/>
      <c r="B114" s="8"/>
      <c r="C114" s="9"/>
      <c r="D114" s="12" t="s">
        <v>110</v>
      </c>
      <c r="E114" s="14">
        <v>306213.25000000012</v>
      </c>
      <c r="F114" s="14">
        <v>1119696.7859483403</v>
      </c>
      <c r="G114" s="14">
        <v>471916.40000000008</v>
      </c>
      <c r="H114" s="14">
        <v>0</v>
      </c>
      <c r="I114" s="13">
        <f t="shared" si="1"/>
        <v>1897826.4359483405</v>
      </c>
    </row>
    <row r="115" spans="1:9" ht="15.75" x14ac:dyDescent="0.25">
      <c r="A115" s="8"/>
      <c r="B115" s="8"/>
      <c r="C115" s="9"/>
      <c r="D115" s="12" t="s">
        <v>111</v>
      </c>
      <c r="E115" s="14">
        <v>1060257.6000000001</v>
      </c>
      <c r="F115" s="14">
        <v>553614.16252023017</v>
      </c>
      <c r="G115" s="14">
        <v>777921.05999999994</v>
      </c>
      <c r="H115" s="14">
        <v>0</v>
      </c>
      <c r="I115" s="13">
        <f t="shared" si="1"/>
        <v>2391792.8225202304</v>
      </c>
    </row>
    <row r="116" spans="1:9" ht="15.75" x14ac:dyDescent="0.25">
      <c r="A116" s="8"/>
      <c r="B116" s="8"/>
      <c r="C116" s="9"/>
      <c r="D116" s="12" t="s">
        <v>112</v>
      </c>
      <c r="E116" s="14">
        <v>119918.55000000002</v>
      </c>
      <c r="F116" s="14">
        <v>718917.92428536026</v>
      </c>
      <c r="G116" s="14">
        <v>182795.36</v>
      </c>
      <c r="H116" s="14">
        <v>0</v>
      </c>
      <c r="I116" s="13">
        <f t="shared" si="1"/>
        <v>1021631.8342853603</v>
      </c>
    </row>
    <row r="117" spans="1:9" ht="15.75" x14ac:dyDescent="0.25">
      <c r="A117" s="8"/>
      <c r="B117" s="8"/>
      <c r="C117" s="9"/>
      <c r="D117" s="12" t="s">
        <v>113</v>
      </c>
      <c r="E117" s="14">
        <v>267042.37</v>
      </c>
      <c r="F117" s="14">
        <v>555168.69285306009</v>
      </c>
      <c r="G117" s="14">
        <v>525209.43000000005</v>
      </c>
      <c r="H117" s="14">
        <v>0</v>
      </c>
      <c r="I117" s="13">
        <f t="shared" si="1"/>
        <v>1347420.4928530601</v>
      </c>
    </row>
    <row r="118" spans="1:9" ht="15.75" x14ac:dyDescent="0.25">
      <c r="A118" s="8"/>
      <c r="B118" s="8"/>
      <c r="C118" s="9"/>
      <c r="D118" s="12" t="s">
        <v>114</v>
      </c>
      <c r="E118" s="14">
        <v>252137.98999999996</v>
      </c>
      <c r="F118" s="14">
        <v>867065.4704601902</v>
      </c>
      <c r="G118" s="14">
        <v>500157.32000000007</v>
      </c>
      <c r="H118" s="14">
        <v>0</v>
      </c>
      <c r="I118" s="13">
        <f t="shared" si="1"/>
        <v>1619360.7804601903</v>
      </c>
    </row>
    <row r="119" spans="1:9" ht="15.75" x14ac:dyDescent="0.25">
      <c r="A119" s="8"/>
      <c r="B119" s="8"/>
      <c r="C119" s="9"/>
      <c r="D119" s="12" t="s">
        <v>115</v>
      </c>
      <c r="E119" s="14">
        <v>41489</v>
      </c>
      <c r="F119" s="14">
        <v>84210.438496050017</v>
      </c>
      <c r="G119" s="14">
        <v>349638.75</v>
      </c>
      <c r="H119" s="14">
        <v>0</v>
      </c>
      <c r="I119" s="13">
        <f t="shared" si="1"/>
        <v>475338.18849605002</v>
      </c>
    </row>
    <row r="120" spans="1:9" ht="15.75" x14ac:dyDescent="0.25">
      <c r="A120" s="8"/>
      <c r="B120" s="8"/>
      <c r="C120" s="9"/>
      <c r="D120" s="12" t="s">
        <v>116</v>
      </c>
      <c r="E120" s="14">
        <v>408916.18</v>
      </c>
      <c r="F120" s="14">
        <v>368037.06993783009</v>
      </c>
      <c r="G120" s="14">
        <v>458160.90999999992</v>
      </c>
      <c r="H120" s="14">
        <v>0</v>
      </c>
      <c r="I120" s="13">
        <f t="shared" si="1"/>
        <v>1235114.1599378299</v>
      </c>
    </row>
    <row r="121" spans="1:9" ht="15.75" x14ac:dyDescent="0.25">
      <c r="A121" s="8"/>
      <c r="B121" s="8"/>
      <c r="C121" s="9"/>
      <c r="D121" s="12" t="s">
        <v>117</v>
      </c>
      <c r="E121" s="14">
        <v>324406.15000000002</v>
      </c>
      <c r="F121" s="14">
        <v>546123.42050193017</v>
      </c>
      <c r="G121" s="14">
        <v>282716.45</v>
      </c>
      <c r="H121" s="14">
        <v>0</v>
      </c>
      <c r="I121" s="13">
        <f t="shared" si="1"/>
        <v>1153246.0205019303</v>
      </c>
    </row>
    <row r="122" spans="1:9" ht="15.75" x14ac:dyDescent="0.25">
      <c r="A122" s="8"/>
      <c r="B122" s="8"/>
      <c r="C122" s="9"/>
      <c r="D122" s="12" t="s">
        <v>118</v>
      </c>
      <c r="E122" s="14">
        <v>289024.38</v>
      </c>
      <c r="F122" s="14">
        <v>402655.57444821007</v>
      </c>
      <c r="G122" s="14">
        <v>632569.56999999983</v>
      </c>
      <c r="H122" s="14">
        <v>0</v>
      </c>
      <c r="I122" s="13">
        <f t="shared" si="1"/>
        <v>1324249.5244482099</v>
      </c>
    </row>
    <row r="123" spans="1:9" ht="15.75" x14ac:dyDescent="0.25">
      <c r="A123" s="8"/>
      <c r="B123" s="8"/>
      <c r="C123" s="9"/>
      <c r="D123" s="12" t="s">
        <v>119</v>
      </c>
      <c r="E123" s="14">
        <v>290637.63</v>
      </c>
      <c r="F123" s="14">
        <v>739811.45632350014</v>
      </c>
      <c r="G123" s="14">
        <v>296604.90000000002</v>
      </c>
      <c r="H123" s="14">
        <v>0</v>
      </c>
      <c r="I123" s="13">
        <f t="shared" si="1"/>
        <v>1327053.9863235001</v>
      </c>
    </row>
    <row r="124" spans="1:9" ht="15.75" x14ac:dyDescent="0.25">
      <c r="A124" s="8"/>
      <c r="B124" s="8"/>
      <c r="C124" s="9"/>
      <c r="D124" s="12" t="s">
        <v>120</v>
      </c>
      <c r="E124" s="14">
        <v>8636.5499999999993</v>
      </c>
      <c r="F124" s="14">
        <v>0</v>
      </c>
      <c r="G124" s="14">
        <v>1459839.3800000004</v>
      </c>
      <c r="H124" s="14">
        <v>3065354.37</v>
      </c>
      <c r="I124" s="13">
        <f t="shared" si="1"/>
        <v>4533830.3000000007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4388857.93</v>
      </c>
      <c r="H125" s="14">
        <v>612413.43999999994</v>
      </c>
      <c r="I125" s="13">
        <f t="shared" si="1"/>
        <v>5001271.3699999992</v>
      </c>
    </row>
    <row r="126" spans="1:9" ht="15.75" x14ac:dyDescent="0.25">
      <c r="A126" s="8"/>
      <c r="B126" s="8"/>
      <c r="C126" s="9"/>
      <c r="D126" s="12" t="s">
        <v>122</v>
      </c>
      <c r="E126" s="14">
        <v>12353.779999999999</v>
      </c>
      <c r="F126" s="14">
        <v>0</v>
      </c>
      <c r="G126" s="14">
        <v>1813803.58</v>
      </c>
      <c r="H126" s="14">
        <v>0</v>
      </c>
      <c r="I126" s="13">
        <f t="shared" si="1"/>
        <v>1826157.36</v>
      </c>
    </row>
    <row r="127" spans="1:9" ht="15.75" x14ac:dyDescent="0.25">
      <c r="A127" s="8"/>
      <c r="B127" s="8"/>
      <c r="C127" s="9"/>
      <c r="D127" s="12" t="s">
        <v>123</v>
      </c>
      <c r="E127" s="14">
        <v>258086.15000000002</v>
      </c>
      <c r="F127" s="14">
        <v>155944.36152291004</v>
      </c>
      <c r="G127" s="14">
        <v>3006505.38</v>
      </c>
      <c r="H127" s="14">
        <v>0</v>
      </c>
      <c r="I127" s="13">
        <f t="shared" si="1"/>
        <v>3420535.89152291</v>
      </c>
    </row>
    <row r="128" spans="1:9" ht="15.75" x14ac:dyDescent="0.25">
      <c r="A128" s="8"/>
      <c r="B128" s="8"/>
      <c r="C128" s="9"/>
      <c r="D128" s="12" t="s">
        <v>124</v>
      </c>
      <c r="E128" s="14">
        <v>332170.96000000002</v>
      </c>
      <c r="F128" s="14">
        <v>486551.88505317003</v>
      </c>
      <c r="G128" s="14">
        <v>730904.66000000015</v>
      </c>
      <c r="H128" s="14">
        <v>0</v>
      </c>
      <c r="I128" s="13">
        <f t="shared" si="1"/>
        <v>1549627.5050531703</v>
      </c>
    </row>
    <row r="129" spans="1:9" ht="15.75" x14ac:dyDescent="0.25">
      <c r="A129" s="8"/>
      <c r="B129" s="8"/>
      <c r="C129" s="9"/>
      <c r="D129" s="12" t="s">
        <v>125</v>
      </c>
      <c r="E129" s="14">
        <v>151374.94999999998</v>
      </c>
      <c r="F129" s="14">
        <v>235483.15445916008</v>
      </c>
      <c r="G129" s="14">
        <v>508355.48</v>
      </c>
      <c r="H129" s="14">
        <v>0</v>
      </c>
      <c r="I129" s="13">
        <f t="shared" si="1"/>
        <v>895213.58445915999</v>
      </c>
    </row>
    <row r="130" spans="1:9" ht="15.75" x14ac:dyDescent="0.25">
      <c r="A130" s="8"/>
      <c r="B130" s="8"/>
      <c r="C130" s="9"/>
      <c r="D130" s="12" t="s">
        <v>126</v>
      </c>
      <c r="E130" s="14">
        <v>51603.74000000002</v>
      </c>
      <c r="F130" s="14">
        <v>414817.96202631004</v>
      </c>
      <c r="G130" s="14">
        <v>166787.24</v>
      </c>
      <c r="H130" s="14">
        <v>0</v>
      </c>
      <c r="I130" s="13">
        <f t="shared" si="1"/>
        <v>633208.94202631002</v>
      </c>
    </row>
    <row r="131" spans="1:9" ht="15.75" x14ac:dyDescent="0.25">
      <c r="A131" s="8"/>
      <c r="B131" s="8"/>
      <c r="C131" s="9"/>
      <c r="D131" s="12" t="s">
        <v>127</v>
      </c>
      <c r="E131" s="14">
        <v>936804.49</v>
      </c>
      <c r="F131" s="14">
        <v>2267157.6447322508</v>
      </c>
      <c r="G131" s="14">
        <v>3585046.33</v>
      </c>
      <c r="H131" s="14">
        <v>0</v>
      </c>
      <c r="I131" s="13">
        <f t="shared" si="1"/>
        <v>6789008.4647322511</v>
      </c>
    </row>
    <row r="132" spans="1:9" ht="15.75" x14ac:dyDescent="0.25">
      <c r="A132" s="8"/>
      <c r="B132" s="8"/>
      <c r="C132" s="9"/>
      <c r="D132" s="12" t="s">
        <v>128</v>
      </c>
      <c r="E132" s="14">
        <v>290018.01999999996</v>
      </c>
      <c r="F132" s="14">
        <v>1391046.9019209305</v>
      </c>
      <c r="G132" s="14">
        <v>121876.70999999999</v>
      </c>
      <c r="H132" s="14">
        <v>0</v>
      </c>
      <c r="I132" s="13">
        <f t="shared" si="1"/>
        <v>1802941.6319209305</v>
      </c>
    </row>
    <row r="133" spans="1:9" ht="15.75" x14ac:dyDescent="0.25">
      <c r="A133" s="8"/>
      <c r="B133" s="8"/>
      <c r="C133" s="9"/>
      <c r="D133" s="12" t="s">
        <v>129</v>
      </c>
      <c r="E133" s="14">
        <v>27967.329999999998</v>
      </c>
      <c r="F133" s="14">
        <v>0</v>
      </c>
      <c r="G133" s="14">
        <v>3959028.6200000006</v>
      </c>
      <c r="H133" s="14">
        <v>2141439.145</v>
      </c>
      <c r="I133" s="13">
        <f t="shared" si="1"/>
        <v>6128435.0950000007</v>
      </c>
    </row>
    <row r="134" spans="1:9" ht="15.75" x14ac:dyDescent="0.25">
      <c r="A134" s="8"/>
      <c r="B134" s="8"/>
      <c r="C134" s="9"/>
      <c r="D134" s="12" t="s">
        <v>130</v>
      </c>
      <c r="E134" s="14">
        <v>47938.610000000008</v>
      </c>
      <c r="F134" s="14">
        <v>68616.807799890012</v>
      </c>
      <c r="G134" s="14">
        <v>9572.3100000000013</v>
      </c>
      <c r="H134" s="14">
        <v>0</v>
      </c>
      <c r="I134" s="13">
        <f t="shared" si="1"/>
        <v>126127.72779989001</v>
      </c>
    </row>
    <row r="135" spans="1:9" ht="15.75" x14ac:dyDescent="0.25">
      <c r="A135" s="8"/>
      <c r="B135" s="8"/>
      <c r="C135" s="9"/>
      <c r="D135" s="12" t="s">
        <v>131</v>
      </c>
      <c r="E135" s="14">
        <v>100837.47</v>
      </c>
      <c r="F135" s="14">
        <v>867065.4704601902</v>
      </c>
      <c r="G135" s="14">
        <v>139160.6</v>
      </c>
      <c r="H135" s="14">
        <v>0</v>
      </c>
      <c r="I135" s="13">
        <f t="shared" si="1"/>
        <v>1107063.5404601903</v>
      </c>
    </row>
    <row r="136" spans="1:9" ht="15.75" x14ac:dyDescent="0.25">
      <c r="A136" s="8"/>
      <c r="B136" s="8"/>
      <c r="C136" s="9"/>
      <c r="D136" s="12" t="s">
        <v>132</v>
      </c>
      <c r="E136" s="14">
        <v>499454.89999999997</v>
      </c>
      <c r="F136" s="14">
        <v>1047962.8629214801</v>
      </c>
      <c r="G136" s="14">
        <v>1026887.3200000001</v>
      </c>
      <c r="H136" s="14">
        <v>0</v>
      </c>
      <c r="I136" s="13">
        <f t="shared" si="1"/>
        <v>2574305.0829214798</v>
      </c>
    </row>
    <row r="137" spans="1:9" ht="15.75" x14ac:dyDescent="0.25">
      <c r="A137" s="8"/>
      <c r="B137" s="8"/>
      <c r="C137" s="9"/>
      <c r="D137" s="12" t="s">
        <v>133</v>
      </c>
      <c r="E137" s="14">
        <v>628963.02</v>
      </c>
      <c r="F137" s="14">
        <v>1647737.7163093206</v>
      </c>
      <c r="G137" s="14">
        <v>2016597.39</v>
      </c>
      <c r="H137" s="14">
        <v>0</v>
      </c>
      <c r="I137" s="13">
        <f t="shared" si="1"/>
        <v>4293298.1263093203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2922952.18</v>
      </c>
      <c r="H138" s="14">
        <v>0</v>
      </c>
      <c r="I138" s="13">
        <f t="shared" ref="I138:I144" si="2">SUM(E138:H138)</f>
        <v>2922952.18</v>
      </c>
    </row>
    <row r="139" spans="1:9" ht="15.75" x14ac:dyDescent="0.25">
      <c r="A139" s="8"/>
      <c r="B139" s="8"/>
      <c r="C139" s="9"/>
      <c r="D139" s="12" t="s">
        <v>135</v>
      </c>
      <c r="E139" s="14">
        <v>73596.5</v>
      </c>
      <c r="F139" s="14">
        <v>246711.21292530006</v>
      </c>
      <c r="G139" s="14">
        <v>228773.83</v>
      </c>
      <c r="H139" s="14">
        <v>0</v>
      </c>
      <c r="I139" s="13">
        <f t="shared" si="2"/>
        <v>549081.54292530008</v>
      </c>
    </row>
    <row r="140" spans="1:9" ht="15.75" x14ac:dyDescent="0.25">
      <c r="A140" s="8"/>
      <c r="B140" s="8"/>
      <c r="C140" s="9"/>
      <c r="D140" s="12" t="s">
        <v>136</v>
      </c>
      <c r="E140" s="14">
        <v>251493.11</v>
      </c>
      <c r="F140" s="14">
        <v>1749724.5716165404</v>
      </c>
      <c r="G140" s="14">
        <v>605600.44999999995</v>
      </c>
      <c r="H140" s="14">
        <v>0</v>
      </c>
      <c r="I140" s="13">
        <f t="shared" si="2"/>
        <v>2606818.1316165403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4092228.1100000003</v>
      </c>
      <c r="H141" s="14">
        <v>268470.90999999997</v>
      </c>
      <c r="I141" s="13">
        <f t="shared" si="2"/>
        <v>4360699.0200000005</v>
      </c>
    </row>
    <row r="142" spans="1:9" ht="15.75" x14ac:dyDescent="0.25">
      <c r="A142" s="8"/>
      <c r="B142" s="8"/>
      <c r="C142" s="9"/>
      <c r="D142" s="12" t="s">
        <v>138</v>
      </c>
      <c r="E142" s="14">
        <v>7300.8099999999995</v>
      </c>
      <c r="F142" s="14">
        <v>0</v>
      </c>
      <c r="G142" s="14">
        <v>495440.85999999993</v>
      </c>
      <c r="H142" s="14">
        <v>0</v>
      </c>
      <c r="I142" s="13">
        <f t="shared" si="2"/>
        <v>502741.66999999993</v>
      </c>
    </row>
    <row r="143" spans="1:9" ht="15.75" x14ac:dyDescent="0.25">
      <c r="A143" s="8"/>
      <c r="B143" s="8"/>
      <c r="C143" s="9"/>
      <c r="D143" s="12" t="s">
        <v>139</v>
      </c>
      <c r="E143" s="14">
        <v>34830.17</v>
      </c>
      <c r="F143" s="14">
        <v>1617170.6561378704</v>
      </c>
      <c r="G143" s="14">
        <v>97217.31</v>
      </c>
      <c r="H143" s="14">
        <v>0</v>
      </c>
      <c r="I143" s="13">
        <f t="shared" si="2"/>
        <v>1749218.1361378704</v>
      </c>
    </row>
    <row r="144" spans="1:9" ht="15.75" x14ac:dyDescent="0.25">
      <c r="A144" s="8"/>
      <c r="B144" s="8"/>
      <c r="C144" s="9"/>
      <c r="D144" s="12" t="s">
        <v>140</v>
      </c>
      <c r="E144" s="14">
        <v>317253.53000000003</v>
      </c>
      <c r="F144" s="14">
        <v>196491.02315745002</v>
      </c>
      <c r="G144" s="14">
        <v>712797.83</v>
      </c>
      <c r="H144" s="14">
        <v>0</v>
      </c>
      <c r="I144" s="13">
        <f t="shared" si="2"/>
        <v>1226542.38315745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34808961.289999999</v>
      </c>
      <c r="F145" s="22">
        <f>SUM(F10:F144)</f>
        <v>80541875.783552215</v>
      </c>
      <c r="G145" s="22">
        <f>SUM(G10:G144)</f>
        <v>151922342.79000002</v>
      </c>
      <c r="H145" s="22">
        <f>SUM(H10:H144)</f>
        <v>6087677.8650000002</v>
      </c>
      <c r="I145" s="22">
        <f>SUM(I10:I144)</f>
        <v>273360857.72855216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156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88588.36</v>
      </c>
      <c r="F10" s="14">
        <v>2227517.5829817075</v>
      </c>
      <c r="G10" s="14">
        <v>293920.10999999993</v>
      </c>
      <c r="H10" s="14">
        <v>0</v>
      </c>
      <c r="I10" s="13">
        <f t="shared" ref="I10:I73" si="0">SUM(E10:H10)</f>
        <v>2610026.0529817073</v>
      </c>
    </row>
    <row r="11" spans="1:9" ht="15.75" x14ac:dyDescent="0.25">
      <c r="A11" s="8"/>
      <c r="B11" s="8"/>
      <c r="C11" s="9"/>
      <c r="D11" s="12" t="s">
        <v>7</v>
      </c>
      <c r="E11" s="14">
        <v>403098.18000000005</v>
      </c>
      <c r="F11" s="14">
        <v>1250252.9632442684</v>
      </c>
      <c r="G11" s="14">
        <v>241506.96</v>
      </c>
      <c r="H11" s="14">
        <v>0</v>
      </c>
      <c r="I11" s="13">
        <f t="shared" si="0"/>
        <v>1894858.1032442683</v>
      </c>
    </row>
    <row r="12" spans="1:9" ht="15.75" x14ac:dyDescent="0.25">
      <c r="A12" s="8"/>
      <c r="B12" s="8"/>
      <c r="C12" s="9"/>
      <c r="D12" s="12" t="s">
        <v>8</v>
      </c>
      <c r="E12" s="14">
        <v>199474.31</v>
      </c>
      <c r="F12" s="14">
        <v>453253.34259947715</v>
      </c>
      <c r="G12" s="14">
        <v>193756.62000000002</v>
      </c>
      <c r="H12" s="14">
        <v>0</v>
      </c>
      <c r="I12" s="13">
        <f t="shared" si="0"/>
        <v>846484.2725994772</v>
      </c>
    </row>
    <row r="13" spans="1:9" ht="15.75" x14ac:dyDescent="0.25">
      <c r="A13" s="8"/>
      <c r="B13" s="8"/>
      <c r="C13" s="9"/>
      <c r="D13" s="12" t="s">
        <v>9</v>
      </c>
      <c r="E13" s="14">
        <v>196170.80000000002</v>
      </c>
      <c r="F13" s="14">
        <v>11994.269866334003</v>
      </c>
      <c r="G13" s="14">
        <v>2392111.66</v>
      </c>
      <c r="H13" s="14">
        <v>0</v>
      </c>
      <c r="I13" s="13">
        <f t="shared" si="0"/>
        <v>2600276.7298663342</v>
      </c>
    </row>
    <row r="14" spans="1:9" ht="15.75" x14ac:dyDescent="0.25">
      <c r="A14" s="8"/>
      <c r="B14" s="8"/>
      <c r="C14" s="9"/>
      <c r="D14" s="12" t="s">
        <v>10</v>
      </c>
      <c r="E14" s="14">
        <v>459403.98000000004</v>
      </c>
      <c r="F14" s="14">
        <v>503614.82511053013</v>
      </c>
      <c r="G14" s="14">
        <v>423097.69999999995</v>
      </c>
      <c r="H14" s="14">
        <v>0</v>
      </c>
      <c r="I14" s="13">
        <f t="shared" si="0"/>
        <v>1386116.5051105302</v>
      </c>
    </row>
    <row r="15" spans="1:9" ht="15.75" x14ac:dyDescent="0.25">
      <c r="A15" s="8"/>
      <c r="B15" s="8"/>
      <c r="C15" s="9"/>
      <c r="D15" s="12" t="s">
        <v>11</v>
      </c>
      <c r="E15" s="14">
        <v>0</v>
      </c>
      <c r="F15" s="14">
        <v>2797.2866899970004</v>
      </c>
      <c r="G15" s="14">
        <v>2433416.7400000002</v>
      </c>
      <c r="H15" s="14">
        <v>0</v>
      </c>
      <c r="I15" s="13">
        <f t="shared" si="0"/>
        <v>2436214.0266899974</v>
      </c>
    </row>
    <row r="16" spans="1:9" ht="15.75" x14ac:dyDescent="0.25">
      <c r="A16" s="8"/>
      <c r="B16" s="8"/>
      <c r="C16" s="9"/>
      <c r="D16" s="12" t="s">
        <v>12</v>
      </c>
      <c r="E16" s="14">
        <v>368578.08999999997</v>
      </c>
      <c r="F16" s="14">
        <v>2401382.8855880154</v>
      </c>
      <c r="G16" s="14">
        <v>540384.62</v>
      </c>
      <c r="H16" s="14">
        <v>0</v>
      </c>
      <c r="I16" s="13">
        <f t="shared" si="0"/>
        <v>3310345.5955880154</v>
      </c>
    </row>
    <row r="17" spans="1:9" ht="15.75" x14ac:dyDescent="0.25">
      <c r="A17" s="8"/>
      <c r="B17" s="8"/>
      <c r="C17" s="9"/>
      <c r="D17" s="12" t="s">
        <v>13</v>
      </c>
      <c r="E17" s="14">
        <v>647907.7300000001</v>
      </c>
      <c r="F17" s="14">
        <v>2206336.6520301434</v>
      </c>
      <c r="G17" s="14">
        <v>1066721.3500000001</v>
      </c>
      <c r="H17" s="14">
        <v>0</v>
      </c>
      <c r="I17" s="13">
        <f t="shared" si="0"/>
        <v>3920965.7320301435</v>
      </c>
    </row>
    <row r="18" spans="1:9" ht="15.75" x14ac:dyDescent="0.25">
      <c r="A18" s="8"/>
      <c r="B18" s="8"/>
      <c r="C18" s="9"/>
      <c r="D18" s="12" t="s">
        <v>14</v>
      </c>
      <c r="E18" s="14">
        <v>77426.25</v>
      </c>
      <c r="F18" s="14">
        <v>179862.43753947504</v>
      </c>
      <c r="G18" s="14">
        <v>4912677.7300000004</v>
      </c>
      <c r="H18" s="14">
        <v>0</v>
      </c>
      <c r="I18" s="13">
        <f t="shared" si="0"/>
        <v>5169966.4175394755</v>
      </c>
    </row>
    <row r="19" spans="1:9" ht="15.75" x14ac:dyDescent="0.25">
      <c r="A19" s="8"/>
      <c r="B19" s="8"/>
      <c r="C19" s="9"/>
      <c r="D19" s="12" t="s">
        <v>15</v>
      </c>
      <c r="E19" s="14">
        <v>913977.25</v>
      </c>
      <c r="F19" s="14">
        <v>1716708.2603695984</v>
      </c>
      <c r="G19" s="14">
        <v>796410.96</v>
      </c>
      <c r="H19" s="14">
        <v>0</v>
      </c>
      <c r="I19" s="13">
        <f t="shared" si="0"/>
        <v>3427096.4703695984</v>
      </c>
    </row>
    <row r="20" spans="1:9" ht="15.75" x14ac:dyDescent="0.25">
      <c r="A20" s="8"/>
      <c r="B20" s="8"/>
      <c r="C20" s="9"/>
      <c r="D20" s="12" t="s">
        <v>16</v>
      </c>
      <c r="E20" s="14">
        <v>370761.7099999999</v>
      </c>
      <c r="F20" s="14">
        <v>471647.3089521511</v>
      </c>
      <c r="G20" s="14">
        <v>344293.8</v>
      </c>
      <c r="H20" s="14">
        <v>0</v>
      </c>
      <c r="I20" s="13">
        <f t="shared" si="0"/>
        <v>1186702.8189521511</v>
      </c>
    </row>
    <row r="21" spans="1:9" ht="15.75" x14ac:dyDescent="0.25">
      <c r="A21" s="8"/>
      <c r="B21" s="8"/>
      <c r="C21" s="9"/>
      <c r="D21" s="12" t="s">
        <v>17</v>
      </c>
      <c r="E21" s="14">
        <v>337256.45</v>
      </c>
      <c r="F21" s="14">
        <v>2053652.2803753996</v>
      </c>
      <c r="G21" s="14">
        <v>374970.88</v>
      </c>
      <c r="H21" s="14">
        <v>0</v>
      </c>
      <c r="I21" s="13">
        <f t="shared" si="0"/>
        <v>2765879.6103753997</v>
      </c>
    </row>
    <row r="22" spans="1:9" ht="15.75" x14ac:dyDescent="0.25">
      <c r="A22" s="8"/>
      <c r="B22" s="8"/>
      <c r="C22" s="9"/>
      <c r="D22" s="12" t="s">
        <v>18</v>
      </c>
      <c r="E22" s="14">
        <v>55330.1</v>
      </c>
      <c r="F22" s="14">
        <v>87933.894140533012</v>
      </c>
      <c r="G22" s="14">
        <v>1741914.91</v>
      </c>
      <c r="H22" s="14">
        <v>0</v>
      </c>
      <c r="I22" s="13">
        <f t="shared" si="0"/>
        <v>1885178.9041405329</v>
      </c>
    </row>
    <row r="23" spans="1:9" ht="15.75" x14ac:dyDescent="0.25">
      <c r="A23" s="8"/>
      <c r="B23" s="8"/>
      <c r="C23" s="9"/>
      <c r="D23" s="12" t="s">
        <v>19</v>
      </c>
      <c r="E23" s="14">
        <v>48384.920000000006</v>
      </c>
      <c r="F23" s="14">
        <v>32772.63926472501</v>
      </c>
      <c r="G23" s="14">
        <v>1351687.8399999999</v>
      </c>
      <c r="H23" s="14">
        <v>0</v>
      </c>
      <c r="I23" s="13">
        <f t="shared" si="0"/>
        <v>1432845.3992647249</v>
      </c>
    </row>
    <row r="24" spans="1:9" ht="15.75" x14ac:dyDescent="0.25">
      <c r="A24" s="8"/>
      <c r="B24" s="8"/>
      <c r="C24" s="9"/>
      <c r="D24" s="12" t="s">
        <v>20</v>
      </c>
      <c r="E24" s="14">
        <v>734793.72999999986</v>
      </c>
      <c r="F24" s="14">
        <v>1259449.9464206053</v>
      </c>
      <c r="G24" s="14">
        <v>673761.2300000001</v>
      </c>
      <c r="H24" s="14">
        <v>0</v>
      </c>
      <c r="I24" s="13">
        <f t="shared" si="0"/>
        <v>2668004.9064206053</v>
      </c>
    </row>
    <row r="25" spans="1:9" ht="15.75" x14ac:dyDescent="0.25">
      <c r="A25" s="8"/>
      <c r="B25" s="8"/>
      <c r="C25" s="9"/>
      <c r="D25" s="12" t="s">
        <v>21</v>
      </c>
      <c r="E25" s="14">
        <v>216583.75999999998</v>
      </c>
      <c r="F25" s="14">
        <v>935294.99729637709</v>
      </c>
      <c r="G25" s="14">
        <v>609329.01</v>
      </c>
      <c r="H25" s="14">
        <v>0</v>
      </c>
      <c r="I25" s="13">
        <f t="shared" si="0"/>
        <v>1761207.7672963771</v>
      </c>
    </row>
    <row r="26" spans="1:9" ht="15.75" x14ac:dyDescent="0.25">
      <c r="A26" s="8"/>
      <c r="B26" s="8"/>
      <c r="C26" s="9"/>
      <c r="D26" s="12" t="s">
        <v>22</v>
      </c>
      <c r="E26" s="14">
        <v>217694.83999999997</v>
      </c>
      <c r="F26" s="14">
        <v>535592.66336001619</v>
      </c>
      <c r="G26" s="14">
        <v>274014.34999999998</v>
      </c>
      <c r="H26" s="14">
        <v>0</v>
      </c>
      <c r="I26" s="13">
        <f t="shared" si="0"/>
        <v>1027301.8533600161</v>
      </c>
    </row>
    <row r="27" spans="1:9" ht="15.75" x14ac:dyDescent="0.25">
      <c r="A27" s="8"/>
      <c r="B27" s="8"/>
      <c r="C27" s="9"/>
      <c r="D27" s="12" t="s">
        <v>23</v>
      </c>
      <c r="E27" s="14">
        <v>401407.57999999996</v>
      </c>
      <c r="F27" s="14">
        <v>91928.543398942027</v>
      </c>
      <c r="G27" s="14">
        <v>780690.48999999987</v>
      </c>
      <c r="H27" s="14">
        <v>0</v>
      </c>
      <c r="I27" s="13">
        <f t="shared" si="0"/>
        <v>1274026.6133989419</v>
      </c>
    </row>
    <row r="28" spans="1:9" ht="15.75" x14ac:dyDescent="0.25">
      <c r="A28" s="8"/>
      <c r="B28" s="8"/>
      <c r="C28" s="9"/>
      <c r="D28" s="12" t="s">
        <v>24</v>
      </c>
      <c r="E28" s="14">
        <v>237386.96</v>
      </c>
      <c r="F28" s="14">
        <v>435674.82144425606</v>
      </c>
      <c r="G28" s="14">
        <v>497946.36999999994</v>
      </c>
      <c r="H28" s="14">
        <v>0</v>
      </c>
      <c r="I28" s="13">
        <f t="shared" si="0"/>
        <v>1171008.1514442561</v>
      </c>
    </row>
    <row r="29" spans="1:9" ht="15.75" x14ac:dyDescent="0.25">
      <c r="A29" s="8"/>
      <c r="B29" s="8"/>
      <c r="C29" s="9"/>
      <c r="D29" s="12" t="s">
        <v>25</v>
      </c>
      <c r="E29" s="14">
        <v>274491.15999999997</v>
      </c>
      <c r="F29" s="14">
        <v>243818.11403844706</v>
      </c>
      <c r="G29" s="14">
        <v>213416.95999999996</v>
      </c>
      <c r="H29" s="14">
        <v>0</v>
      </c>
      <c r="I29" s="13">
        <f t="shared" si="0"/>
        <v>731726.23403844703</v>
      </c>
    </row>
    <row r="30" spans="1:9" ht="15.75" x14ac:dyDescent="0.25">
      <c r="A30" s="8"/>
      <c r="B30" s="8"/>
      <c r="C30" s="9"/>
      <c r="D30" s="12" t="s">
        <v>26</v>
      </c>
      <c r="E30" s="14">
        <v>413887.77000000008</v>
      </c>
      <c r="F30" s="14">
        <v>1315003.4407584793</v>
      </c>
      <c r="G30" s="14">
        <v>384373.62999999995</v>
      </c>
      <c r="H30" s="14">
        <v>0</v>
      </c>
      <c r="I30" s="13">
        <f t="shared" si="0"/>
        <v>2113264.8407584792</v>
      </c>
    </row>
    <row r="31" spans="1:9" ht="15.75" x14ac:dyDescent="0.25">
      <c r="A31" s="8"/>
      <c r="B31" s="8"/>
      <c r="C31" s="9"/>
      <c r="D31" s="12" t="s">
        <v>27</v>
      </c>
      <c r="E31" s="14">
        <v>191813.53999999998</v>
      </c>
      <c r="F31" s="14">
        <v>1362970.1981327082</v>
      </c>
      <c r="G31" s="14">
        <v>286266.65999999997</v>
      </c>
      <c r="H31" s="14">
        <v>0</v>
      </c>
      <c r="I31" s="13">
        <f t="shared" si="0"/>
        <v>1841050.3981327082</v>
      </c>
    </row>
    <row r="32" spans="1:9" ht="15.75" x14ac:dyDescent="0.25">
      <c r="A32" s="8"/>
      <c r="B32" s="8"/>
      <c r="C32" s="9"/>
      <c r="D32" s="12" t="s">
        <v>28</v>
      </c>
      <c r="E32" s="14">
        <v>548934.74</v>
      </c>
      <c r="F32" s="14">
        <v>460055.60063899012</v>
      </c>
      <c r="G32" s="14">
        <v>199308.57</v>
      </c>
      <c r="H32" s="14">
        <v>0</v>
      </c>
      <c r="I32" s="13">
        <f t="shared" si="0"/>
        <v>1208298.9106389901</v>
      </c>
    </row>
    <row r="33" spans="1:9" ht="15.75" x14ac:dyDescent="0.25">
      <c r="A33" s="8"/>
      <c r="B33" s="8"/>
      <c r="C33" s="9"/>
      <c r="D33" s="12" t="s">
        <v>29</v>
      </c>
      <c r="E33" s="14">
        <v>79047.280000000013</v>
      </c>
      <c r="F33" s="14">
        <v>695471.5325163391</v>
      </c>
      <c r="G33" s="14">
        <v>142302.35</v>
      </c>
      <c r="H33" s="14">
        <v>0</v>
      </c>
      <c r="I33" s="13">
        <f t="shared" si="0"/>
        <v>916821.1625163391</v>
      </c>
    </row>
    <row r="34" spans="1:9" ht="15.75" x14ac:dyDescent="0.25">
      <c r="A34" s="8"/>
      <c r="B34" s="8"/>
      <c r="C34" s="9"/>
      <c r="D34" s="12" t="s">
        <v>30</v>
      </c>
      <c r="E34" s="14">
        <v>682277.32</v>
      </c>
      <c r="F34" s="14">
        <v>998042.98913583008</v>
      </c>
      <c r="G34" s="14">
        <v>849028.90999999992</v>
      </c>
      <c r="H34" s="14">
        <v>0</v>
      </c>
      <c r="I34" s="13">
        <f t="shared" si="0"/>
        <v>2529349.2191358302</v>
      </c>
    </row>
    <row r="35" spans="1:9" ht="15.75" x14ac:dyDescent="0.25">
      <c r="A35" s="8"/>
      <c r="B35" s="8"/>
      <c r="C35" s="9"/>
      <c r="D35" s="12" t="s">
        <v>31</v>
      </c>
      <c r="E35" s="14">
        <v>323724.18</v>
      </c>
      <c r="F35" s="14">
        <v>1467295.5729511571</v>
      </c>
      <c r="G35" s="14">
        <v>606426.09</v>
      </c>
      <c r="H35" s="14">
        <v>0</v>
      </c>
      <c r="I35" s="13">
        <f t="shared" si="0"/>
        <v>2397445.8429511571</v>
      </c>
    </row>
    <row r="36" spans="1:9" ht="15.75" x14ac:dyDescent="0.25">
      <c r="A36" s="8"/>
      <c r="B36" s="8"/>
      <c r="C36" s="9"/>
      <c r="D36" s="12" t="s">
        <v>32</v>
      </c>
      <c r="E36" s="14">
        <v>415788.91</v>
      </c>
      <c r="F36" s="14">
        <v>910511.65654847014</v>
      </c>
      <c r="G36" s="14">
        <v>1077455.8899999999</v>
      </c>
      <c r="H36" s="14">
        <v>0</v>
      </c>
      <c r="I36" s="13">
        <f t="shared" si="0"/>
        <v>2403756.4565484701</v>
      </c>
    </row>
    <row r="37" spans="1:9" ht="15.75" x14ac:dyDescent="0.25">
      <c r="A37" s="8"/>
      <c r="B37" s="8"/>
      <c r="C37" s="9"/>
      <c r="D37" s="12" t="s">
        <v>33</v>
      </c>
      <c r="E37" s="14">
        <v>400651</v>
      </c>
      <c r="F37" s="14">
        <v>503614.82511053013</v>
      </c>
      <c r="G37" s="14">
        <v>359076.73999999993</v>
      </c>
      <c r="H37" s="14">
        <v>0</v>
      </c>
      <c r="I37" s="13">
        <f t="shared" si="0"/>
        <v>1263342.56511053</v>
      </c>
    </row>
    <row r="38" spans="1:9" ht="15.75" x14ac:dyDescent="0.25">
      <c r="A38" s="8"/>
      <c r="B38" s="8"/>
      <c r="C38" s="9"/>
      <c r="D38" s="12" t="s">
        <v>34</v>
      </c>
      <c r="E38" s="14">
        <v>168921.72999999998</v>
      </c>
      <c r="F38" s="14">
        <v>1094379.0654374612</v>
      </c>
      <c r="G38" s="14">
        <v>269720.56999999995</v>
      </c>
      <c r="H38" s="14">
        <v>0</v>
      </c>
      <c r="I38" s="13">
        <f t="shared" si="0"/>
        <v>1533021.3654374611</v>
      </c>
    </row>
    <row r="39" spans="1:9" ht="15.75" x14ac:dyDescent="0.25">
      <c r="A39" s="8"/>
      <c r="B39" s="8"/>
      <c r="C39" s="9"/>
      <c r="D39" s="12" t="s">
        <v>35</v>
      </c>
      <c r="E39" s="14">
        <v>152572.34</v>
      </c>
      <c r="F39" s="14">
        <v>1713508.4121264282</v>
      </c>
      <c r="G39" s="14">
        <v>488070.91000000003</v>
      </c>
      <c r="H39" s="14">
        <v>0</v>
      </c>
      <c r="I39" s="13">
        <f t="shared" si="0"/>
        <v>2354151.6621264284</v>
      </c>
    </row>
    <row r="40" spans="1:9" ht="15.75" x14ac:dyDescent="0.25">
      <c r="A40" s="8"/>
      <c r="B40" s="8"/>
      <c r="C40" s="9"/>
      <c r="D40" s="12" t="s">
        <v>36</v>
      </c>
      <c r="E40" s="14">
        <v>7553.89</v>
      </c>
      <c r="F40" s="14">
        <v>89936.379815291017</v>
      </c>
      <c r="G40" s="14">
        <v>389662.58000000007</v>
      </c>
      <c r="H40" s="14">
        <v>0</v>
      </c>
      <c r="I40" s="13">
        <f t="shared" si="0"/>
        <v>487152.84981529112</v>
      </c>
    </row>
    <row r="41" spans="1:9" ht="15.75" x14ac:dyDescent="0.25">
      <c r="A41" s="8"/>
      <c r="B41" s="8"/>
      <c r="C41" s="9"/>
      <c r="D41" s="12" t="s">
        <v>37</v>
      </c>
      <c r="E41" s="14">
        <v>523228.94999999995</v>
      </c>
      <c r="F41" s="14">
        <v>1502865.4989058794</v>
      </c>
      <c r="G41" s="14">
        <v>785728.11</v>
      </c>
      <c r="H41" s="14">
        <v>0</v>
      </c>
      <c r="I41" s="13">
        <f t="shared" si="0"/>
        <v>2811822.5589058795</v>
      </c>
    </row>
    <row r="42" spans="1:9" ht="15.75" x14ac:dyDescent="0.25">
      <c r="A42" s="8"/>
      <c r="B42" s="8"/>
      <c r="C42" s="9"/>
      <c r="D42" s="12" t="s">
        <v>38</v>
      </c>
      <c r="E42" s="14">
        <v>283660.64999999997</v>
      </c>
      <c r="F42" s="14">
        <v>1627577.0036606533</v>
      </c>
      <c r="G42" s="14">
        <v>343398.53</v>
      </c>
      <c r="H42" s="14">
        <v>0</v>
      </c>
      <c r="I42" s="13">
        <f t="shared" si="0"/>
        <v>2254636.1836606534</v>
      </c>
    </row>
    <row r="43" spans="1:9" ht="15.75" x14ac:dyDescent="0.25">
      <c r="A43" s="8"/>
      <c r="B43" s="8"/>
      <c r="C43" s="9"/>
      <c r="D43" s="12" t="s">
        <v>39</v>
      </c>
      <c r="E43" s="14">
        <v>92720.320000000007</v>
      </c>
      <c r="F43" s="14">
        <v>591951.28080423619</v>
      </c>
      <c r="G43" s="14">
        <v>332007.86</v>
      </c>
      <c r="H43" s="14">
        <v>0</v>
      </c>
      <c r="I43" s="13">
        <f t="shared" si="0"/>
        <v>1016679.4608042362</v>
      </c>
    </row>
    <row r="44" spans="1:9" ht="15.75" x14ac:dyDescent="0.25">
      <c r="A44" s="8"/>
      <c r="B44" s="8"/>
      <c r="C44" s="9"/>
      <c r="D44" s="12" t="s">
        <v>40</v>
      </c>
      <c r="E44" s="14">
        <v>1894.4299999999998</v>
      </c>
      <c r="F44" s="14">
        <v>45561.710146298014</v>
      </c>
      <c r="G44" s="14">
        <v>350329.44999999995</v>
      </c>
      <c r="H44" s="14">
        <v>0</v>
      </c>
      <c r="I44" s="13">
        <f t="shared" si="0"/>
        <v>397785.59014629794</v>
      </c>
    </row>
    <row r="45" spans="1:9" ht="15.75" x14ac:dyDescent="0.25">
      <c r="A45" s="8"/>
      <c r="B45" s="8"/>
      <c r="C45" s="9"/>
      <c r="D45" s="12" t="s">
        <v>41</v>
      </c>
      <c r="E45" s="14">
        <v>168607.52</v>
      </c>
      <c r="F45" s="14">
        <v>13191.632434746003</v>
      </c>
      <c r="G45" s="14">
        <v>1608949.26</v>
      </c>
      <c r="H45" s="14">
        <v>0</v>
      </c>
      <c r="I45" s="13">
        <f t="shared" si="0"/>
        <v>1790748.412434746</v>
      </c>
    </row>
    <row r="46" spans="1:9" ht="15.75" x14ac:dyDescent="0.25">
      <c r="A46" s="8"/>
      <c r="B46" s="8"/>
      <c r="C46" s="9"/>
      <c r="D46" s="12" t="s">
        <v>42</v>
      </c>
      <c r="E46" s="14">
        <v>10991.939999999999</v>
      </c>
      <c r="F46" s="14">
        <v>43961.786024713016</v>
      </c>
      <c r="G46" s="14">
        <v>1427061.24</v>
      </c>
      <c r="H46" s="14">
        <v>0</v>
      </c>
      <c r="I46" s="13">
        <f t="shared" si="0"/>
        <v>1482014.9660247131</v>
      </c>
    </row>
    <row r="47" spans="1:9" ht="15.75" x14ac:dyDescent="0.25">
      <c r="A47" s="8"/>
      <c r="B47" s="8"/>
      <c r="C47" s="9"/>
      <c r="D47" s="12" t="s">
        <v>43</v>
      </c>
      <c r="E47" s="14">
        <v>479649.94999999995</v>
      </c>
      <c r="F47" s="14">
        <v>278985.47843999608</v>
      </c>
      <c r="G47" s="14">
        <v>447322.26</v>
      </c>
      <c r="H47" s="14">
        <v>0</v>
      </c>
      <c r="I47" s="13">
        <f t="shared" si="0"/>
        <v>1205957.688439996</v>
      </c>
    </row>
    <row r="48" spans="1:9" ht="15.75" x14ac:dyDescent="0.25">
      <c r="A48" s="8"/>
      <c r="B48" s="8"/>
      <c r="C48" s="9"/>
      <c r="D48" s="12" t="s">
        <v>44</v>
      </c>
      <c r="E48" s="14">
        <v>158272.78</v>
      </c>
      <c r="F48" s="14">
        <v>43961.786024713016</v>
      </c>
      <c r="G48" s="14">
        <v>681566.97</v>
      </c>
      <c r="H48" s="14">
        <v>0</v>
      </c>
      <c r="I48" s="13">
        <f t="shared" si="0"/>
        <v>883801.53602471296</v>
      </c>
    </row>
    <row r="49" spans="1:9" ht="15.75" x14ac:dyDescent="0.25">
      <c r="A49" s="8"/>
      <c r="B49" s="8"/>
      <c r="C49" s="9"/>
      <c r="D49" s="12" t="s">
        <v>45</v>
      </c>
      <c r="E49" s="14">
        <v>43876.4</v>
      </c>
      <c r="F49" s="14">
        <v>52363.968185811005</v>
      </c>
      <c r="G49" s="14">
        <v>1163043.1100000003</v>
      </c>
      <c r="H49" s="14">
        <v>0</v>
      </c>
      <c r="I49" s="13">
        <f t="shared" si="0"/>
        <v>1259283.4781858113</v>
      </c>
    </row>
    <row r="50" spans="1:9" ht="15.75" x14ac:dyDescent="0.25">
      <c r="A50" s="8"/>
      <c r="B50" s="8"/>
      <c r="C50" s="9"/>
      <c r="D50" s="12" t="s">
        <v>46</v>
      </c>
      <c r="E50" s="14">
        <v>143685.88</v>
      </c>
      <c r="F50" s="14">
        <v>506019.87233846105</v>
      </c>
      <c r="G50" s="14">
        <v>164213.82</v>
      </c>
      <c r="H50" s="14">
        <v>0</v>
      </c>
      <c r="I50" s="13">
        <f t="shared" si="0"/>
        <v>813919.57233846118</v>
      </c>
    </row>
    <row r="51" spans="1:9" ht="15.75" x14ac:dyDescent="0.25">
      <c r="A51" s="8"/>
      <c r="B51" s="8"/>
      <c r="C51" s="9"/>
      <c r="D51" s="12" t="s">
        <v>47</v>
      </c>
      <c r="E51" s="14">
        <v>202308.16</v>
      </c>
      <c r="F51" s="14">
        <v>920100.87918687332</v>
      </c>
      <c r="G51" s="14">
        <v>428469.69999999995</v>
      </c>
      <c r="H51" s="14">
        <v>0</v>
      </c>
      <c r="I51" s="13">
        <f t="shared" si="0"/>
        <v>1550878.7391868732</v>
      </c>
    </row>
    <row r="52" spans="1:9" ht="15.75" x14ac:dyDescent="0.25">
      <c r="A52" s="8"/>
      <c r="B52" s="8"/>
      <c r="C52" s="9"/>
      <c r="D52" s="12" t="s">
        <v>48</v>
      </c>
      <c r="E52" s="14">
        <v>165274.80000000002</v>
      </c>
      <c r="F52" s="14">
        <v>927295.3766884522</v>
      </c>
      <c r="G52" s="14">
        <v>161442.26999999999</v>
      </c>
      <c r="H52" s="14">
        <v>0</v>
      </c>
      <c r="I52" s="13">
        <f t="shared" si="0"/>
        <v>1254012.4466884523</v>
      </c>
    </row>
    <row r="53" spans="1:9" ht="15.75" x14ac:dyDescent="0.25">
      <c r="A53" s="8"/>
      <c r="B53" s="8"/>
      <c r="C53" s="9"/>
      <c r="D53" s="12" t="s">
        <v>49</v>
      </c>
      <c r="E53" s="14">
        <v>318644.63999999996</v>
      </c>
      <c r="F53" s="14">
        <v>635520.82736688317</v>
      </c>
      <c r="G53" s="14">
        <v>530194.95000000007</v>
      </c>
      <c r="H53" s="14">
        <v>0</v>
      </c>
      <c r="I53" s="13">
        <f t="shared" si="0"/>
        <v>1484360.4173668833</v>
      </c>
    </row>
    <row r="54" spans="1:9" ht="15.75" x14ac:dyDescent="0.25">
      <c r="A54" s="8"/>
      <c r="B54" s="8"/>
      <c r="C54" s="9"/>
      <c r="D54" s="12" t="s">
        <v>50</v>
      </c>
      <c r="E54" s="14">
        <v>314526.21000000002</v>
      </c>
      <c r="F54" s="14">
        <v>583559.4207342451</v>
      </c>
      <c r="G54" s="14">
        <v>278901.66000000003</v>
      </c>
      <c r="H54" s="14">
        <v>0</v>
      </c>
      <c r="I54" s="13">
        <f t="shared" si="0"/>
        <v>1176987.290734245</v>
      </c>
    </row>
    <row r="55" spans="1:9" ht="15.75" x14ac:dyDescent="0.25">
      <c r="A55" s="8"/>
      <c r="B55" s="8"/>
      <c r="C55" s="9"/>
      <c r="D55" s="12" t="s">
        <v>51</v>
      </c>
      <c r="E55" s="14">
        <v>129617.63</v>
      </c>
      <c r="F55" s="14">
        <v>1195102.0304595674</v>
      </c>
      <c r="G55" s="14">
        <v>17177.170000000002</v>
      </c>
      <c r="H55" s="14">
        <v>0</v>
      </c>
      <c r="I55" s="13">
        <f t="shared" si="0"/>
        <v>1341896.8304595673</v>
      </c>
    </row>
    <row r="56" spans="1:9" ht="15.75" x14ac:dyDescent="0.25">
      <c r="A56" s="8"/>
      <c r="B56" s="8"/>
      <c r="C56" s="9"/>
      <c r="D56" s="12" t="s">
        <v>52</v>
      </c>
      <c r="E56" s="14">
        <v>298604.12000000005</v>
      </c>
      <c r="F56" s="14">
        <v>1330197.5588679831</v>
      </c>
      <c r="G56" s="14">
        <v>285169.48</v>
      </c>
      <c r="H56" s="14">
        <v>0</v>
      </c>
      <c r="I56" s="13">
        <f t="shared" si="0"/>
        <v>1913971.1588679831</v>
      </c>
    </row>
    <row r="57" spans="1:9" ht="15.75" x14ac:dyDescent="0.25">
      <c r="A57" s="8"/>
      <c r="B57" s="8"/>
      <c r="C57" s="9"/>
      <c r="D57" s="12" t="s">
        <v>53</v>
      </c>
      <c r="E57" s="14">
        <v>95485.12000000001</v>
      </c>
      <c r="F57" s="14">
        <v>439669.47070266516</v>
      </c>
      <c r="G57" s="14">
        <v>221931.72</v>
      </c>
      <c r="H57" s="14">
        <v>0</v>
      </c>
      <c r="I57" s="13">
        <f t="shared" si="0"/>
        <v>757086.31070266513</v>
      </c>
    </row>
    <row r="58" spans="1:9" ht="15.75" x14ac:dyDescent="0.25">
      <c r="A58" s="8"/>
      <c r="B58" s="8"/>
      <c r="C58" s="9"/>
      <c r="D58" s="12" t="s">
        <v>54</v>
      </c>
      <c r="E58" s="14">
        <v>178363.3</v>
      </c>
      <c r="F58" s="14">
        <v>473247.23307373608</v>
      </c>
      <c r="G58" s="14">
        <v>34938.480000000003</v>
      </c>
      <c r="H58" s="14">
        <v>0</v>
      </c>
      <c r="I58" s="13">
        <f t="shared" si="0"/>
        <v>686549.0130737361</v>
      </c>
    </row>
    <row r="59" spans="1:9" ht="15.75" x14ac:dyDescent="0.25">
      <c r="A59" s="8"/>
      <c r="B59" s="8"/>
      <c r="C59" s="9"/>
      <c r="D59" s="12" t="s">
        <v>55</v>
      </c>
      <c r="E59" s="14">
        <v>290138.65999999997</v>
      </c>
      <c r="F59" s="14">
        <v>799394.34578161512</v>
      </c>
      <c r="G59" s="14">
        <v>347158.78999999992</v>
      </c>
      <c r="H59" s="14">
        <v>0</v>
      </c>
      <c r="I59" s="13">
        <f t="shared" si="0"/>
        <v>1436691.7957816152</v>
      </c>
    </row>
    <row r="60" spans="1:9" ht="15.75" x14ac:dyDescent="0.25">
      <c r="A60" s="8"/>
      <c r="B60" s="8"/>
      <c r="C60" s="9"/>
      <c r="D60" s="12" t="s">
        <v>56</v>
      </c>
      <c r="E60" s="14">
        <v>125280.49</v>
      </c>
      <c r="F60" s="14">
        <v>483631.25672737806</v>
      </c>
      <c r="G60" s="14">
        <v>135794.65</v>
      </c>
      <c r="H60" s="14">
        <v>0</v>
      </c>
      <c r="I60" s="13">
        <f t="shared" si="0"/>
        <v>744706.39672737813</v>
      </c>
    </row>
    <row r="61" spans="1:9" ht="15.75" x14ac:dyDescent="0.25">
      <c r="A61" s="8"/>
      <c r="B61" s="8"/>
      <c r="C61" s="9"/>
      <c r="D61" s="12" t="s">
        <v>57</v>
      </c>
      <c r="E61" s="14">
        <v>477517.00000000006</v>
      </c>
      <c r="F61" s="14">
        <v>811388.61564794928</v>
      </c>
      <c r="G61" s="14">
        <v>249651.89</v>
      </c>
      <c r="H61" s="14">
        <v>0</v>
      </c>
      <c r="I61" s="13">
        <f t="shared" si="0"/>
        <v>1538557.5056479494</v>
      </c>
    </row>
    <row r="62" spans="1:9" ht="15.75" x14ac:dyDescent="0.25">
      <c r="A62" s="8"/>
      <c r="B62" s="8"/>
      <c r="C62" s="9"/>
      <c r="D62" s="12" t="s">
        <v>58</v>
      </c>
      <c r="E62" s="14">
        <v>528202.82000000007</v>
      </c>
      <c r="F62" s="14">
        <v>905319.64472164924</v>
      </c>
      <c r="G62" s="14">
        <v>9558289.459999999</v>
      </c>
      <c r="H62" s="14">
        <v>0</v>
      </c>
      <c r="I62" s="13">
        <f t="shared" si="0"/>
        <v>10991811.924721649</v>
      </c>
    </row>
    <row r="63" spans="1:9" ht="15.75" x14ac:dyDescent="0.25">
      <c r="A63" s="8"/>
      <c r="B63" s="8"/>
      <c r="C63" s="9"/>
      <c r="D63" s="12" t="s">
        <v>59</v>
      </c>
      <c r="E63" s="14">
        <v>268260.58999999997</v>
      </c>
      <c r="F63" s="14">
        <v>99928.164006867009</v>
      </c>
      <c r="G63" s="14">
        <v>549899.25999999989</v>
      </c>
      <c r="H63" s="14">
        <v>0</v>
      </c>
      <c r="I63" s="13">
        <f t="shared" si="0"/>
        <v>918088.01400686684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3300704.03</v>
      </c>
      <c r="H64" s="14">
        <v>0</v>
      </c>
      <c r="I64" s="13">
        <f t="shared" si="0"/>
        <v>3300704.03</v>
      </c>
    </row>
    <row r="65" spans="1:9" ht="15.75" x14ac:dyDescent="0.25">
      <c r="A65" s="8"/>
      <c r="B65" s="8"/>
      <c r="C65" s="9"/>
      <c r="D65" s="12" t="s">
        <v>61</v>
      </c>
      <c r="E65" s="14">
        <v>498258.58</v>
      </c>
      <c r="F65" s="14">
        <v>1183107.7605932332</v>
      </c>
      <c r="G65" s="14">
        <v>232413.33000000002</v>
      </c>
      <c r="H65" s="14">
        <v>0</v>
      </c>
      <c r="I65" s="13">
        <f t="shared" si="0"/>
        <v>1913779.6705932333</v>
      </c>
    </row>
    <row r="66" spans="1:9" ht="15.75" x14ac:dyDescent="0.25">
      <c r="A66" s="8"/>
      <c r="B66" s="8"/>
      <c r="C66" s="9"/>
      <c r="D66" s="12" t="s">
        <v>62</v>
      </c>
      <c r="E66" s="14">
        <v>2081966.5099999998</v>
      </c>
      <c r="F66" s="14">
        <v>2352229.0877364818</v>
      </c>
      <c r="G66" s="14">
        <v>473486.32000000007</v>
      </c>
      <c r="H66" s="14">
        <v>0</v>
      </c>
      <c r="I66" s="13">
        <f t="shared" si="0"/>
        <v>4907681.9177364819</v>
      </c>
    </row>
    <row r="67" spans="1:9" ht="15.75" x14ac:dyDescent="0.25">
      <c r="A67" s="8"/>
      <c r="B67" s="8"/>
      <c r="C67" s="9"/>
      <c r="D67" s="12" t="s">
        <v>63</v>
      </c>
      <c r="E67" s="14">
        <v>183891.71999999997</v>
      </c>
      <c r="F67" s="14">
        <v>1087184.5679358824</v>
      </c>
      <c r="G67" s="14">
        <v>224795.85</v>
      </c>
      <c r="H67" s="14">
        <v>0</v>
      </c>
      <c r="I67" s="13">
        <f t="shared" si="0"/>
        <v>1495872.1379358824</v>
      </c>
    </row>
    <row r="68" spans="1:9" ht="15.75" x14ac:dyDescent="0.25">
      <c r="A68" s="8"/>
      <c r="B68" s="8"/>
      <c r="C68" s="9"/>
      <c r="D68" s="12" t="s">
        <v>64</v>
      </c>
      <c r="E68" s="14">
        <v>316582.0199999999</v>
      </c>
      <c r="F68" s="14">
        <v>459653.03908581706</v>
      </c>
      <c r="G68" s="14">
        <v>227767.06</v>
      </c>
      <c r="H68" s="14">
        <v>0</v>
      </c>
      <c r="I68" s="13">
        <f t="shared" si="0"/>
        <v>1004002.1190858169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1065218.74</v>
      </c>
      <c r="H69" s="14">
        <v>0</v>
      </c>
      <c r="I69" s="13">
        <f t="shared" si="0"/>
        <v>1065218.74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1346780.53</v>
      </c>
      <c r="H70" s="14">
        <v>0</v>
      </c>
      <c r="I70" s="13">
        <f t="shared" si="0"/>
        <v>1346780.53</v>
      </c>
    </row>
    <row r="71" spans="1:9" ht="15.75" x14ac:dyDescent="0.25">
      <c r="A71" s="8"/>
      <c r="B71" s="8"/>
      <c r="C71" s="9"/>
      <c r="D71" s="12" t="s">
        <v>67</v>
      </c>
      <c r="E71" s="14">
        <v>445.05</v>
      </c>
      <c r="F71" s="14">
        <v>11994.269866334003</v>
      </c>
      <c r="G71" s="14">
        <v>851928.14</v>
      </c>
      <c r="H71" s="14">
        <v>0</v>
      </c>
      <c r="I71" s="13">
        <f t="shared" si="0"/>
        <v>864367.45986633399</v>
      </c>
    </row>
    <row r="72" spans="1:9" ht="15.75" x14ac:dyDescent="0.25">
      <c r="A72" s="8"/>
      <c r="B72" s="8"/>
      <c r="C72" s="9"/>
      <c r="D72" s="12" t="s">
        <v>68</v>
      </c>
      <c r="E72" s="14">
        <v>443877.49000000005</v>
      </c>
      <c r="F72" s="14">
        <v>746638.13813373819</v>
      </c>
      <c r="G72" s="14">
        <v>1794908.42</v>
      </c>
      <c r="H72" s="14">
        <v>0</v>
      </c>
      <c r="I72" s="13">
        <f t="shared" si="0"/>
        <v>2985424.0481337383</v>
      </c>
    </row>
    <row r="73" spans="1:9" ht="15.75" x14ac:dyDescent="0.25">
      <c r="A73" s="8"/>
      <c r="B73" s="8"/>
      <c r="C73" s="9"/>
      <c r="D73" s="12" t="s">
        <v>69</v>
      </c>
      <c r="E73" s="14">
        <v>9497.06</v>
      </c>
      <c r="F73" s="14">
        <v>0</v>
      </c>
      <c r="G73" s="14">
        <v>826225.07</v>
      </c>
      <c r="H73" s="14">
        <v>0</v>
      </c>
      <c r="I73" s="13">
        <f t="shared" si="0"/>
        <v>835722.13</v>
      </c>
    </row>
    <row r="74" spans="1:9" ht="15.75" x14ac:dyDescent="0.25">
      <c r="A74" s="8"/>
      <c r="B74" s="8"/>
      <c r="C74" s="9"/>
      <c r="D74" s="12" t="s">
        <v>70</v>
      </c>
      <c r="E74" s="14">
        <v>41154.270000000004</v>
      </c>
      <c r="F74" s="14">
        <v>63150.55339262601</v>
      </c>
      <c r="G74" s="14">
        <v>5620718.2999999998</v>
      </c>
      <c r="H74" s="14">
        <v>0</v>
      </c>
      <c r="I74" s="13">
        <f t="shared" ref="I74:I137" si="1">SUM(E74:H74)</f>
        <v>5725023.1233926257</v>
      </c>
    </row>
    <row r="75" spans="1:9" ht="15.75" x14ac:dyDescent="0.25">
      <c r="A75" s="8"/>
      <c r="B75" s="8"/>
      <c r="C75" s="9"/>
      <c r="D75" s="12" t="s">
        <v>71</v>
      </c>
      <c r="E75" s="14">
        <v>258697.34</v>
      </c>
      <c r="F75" s="14">
        <v>245418.03816003207</v>
      </c>
      <c r="G75" s="14">
        <v>11264083.98</v>
      </c>
      <c r="H75" s="14">
        <v>0</v>
      </c>
      <c r="I75" s="13">
        <f t="shared" si="1"/>
        <v>11768199.358160032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3126299.5999999996</v>
      </c>
      <c r="H76" s="14">
        <v>0</v>
      </c>
      <c r="I76" s="13">
        <f t="shared" si="1"/>
        <v>3126299.5999999996</v>
      </c>
    </row>
    <row r="77" spans="1:9" ht="15.75" x14ac:dyDescent="0.25">
      <c r="A77" s="8"/>
      <c r="B77" s="8"/>
      <c r="C77" s="9"/>
      <c r="D77" s="12" t="s">
        <v>73</v>
      </c>
      <c r="E77" s="14">
        <v>91004.39</v>
      </c>
      <c r="F77" s="14">
        <v>1217077.7624263703</v>
      </c>
      <c r="G77" s="14">
        <v>227314.05</v>
      </c>
      <c r="H77" s="14">
        <v>0</v>
      </c>
      <c r="I77" s="13">
        <f t="shared" si="1"/>
        <v>1535396.2024263702</v>
      </c>
    </row>
    <row r="78" spans="1:9" ht="15.75" x14ac:dyDescent="0.25">
      <c r="A78" s="8"/>
      <c r="B78" s="8"/>
      <c r="C78" s="9"/>
      <c r="D78" s="12" t="s">
        <v>74</v>
      </c>
      <c r="E78" s="14">
        <v>355196.24999999994</v>
      </c>
      <c r="F78" s="14">
        <v>1235069.1672258712</v>
      </c>
      <c r="G78" s="14">
        <v>362887.09</v>
      </c>
      <c r="H78" s="14">
        <v>0</v>
      </c>
      <c r="I78" s="13">
        <f t="shared" si="1"/>
        <v>1953152.5072258713</v>
      </c>
    </row>
    <row r="79" spans="1:9" ht="15.75" x14ac:dyDescent="0.25">
      <c r="A79" s="8"/>
      <c r="B79" s="8"/>
      <c r="C79" s="9"/>
      <c r="D79" s="12" t="s">
        <v>75</v>
      </c>
      <c r="E79" s="14">
        <v>212482.10999999993</v>
      </c>
      <c r="F79" s="14">
        <v>693479.36893268814</v>
      </c>
      <c r="G79" s="14">
        <v>337289.77000000008</v>
      </c>
      <c r="H79" s="14">
        <v>0</v>
      </c>
      <c r="I79" s="13">
        <f t="shared" si="1"/>
        <v>1243251.248932688</v>
      </c>
    </row>
    <row r="80" spans="1:9" ht="15.75" x14ac:dyDescent="0.25">
      <c r="A80" s="8"/>
      <c r="B80" s="8"/>
      <c r="C80" s="9"/>
      <c r="D80" s="12" t="s">
        <v>76</v>
      </c>
      <c r="E80" s="14">
        <v>143144.49000000002</v>
      </c>
      <c r="F80" s="14">
        <v>366527.1331184631</v>
      </c>
      <c r="G80" s="14">
        <v>52620.999999999985</v>
      </c>
      <c r="H80" s="14">
        <v>0</v>
      </c>
      <c r="I80" s="13">
        <f t="shared" si="1"/>
        <v>562292.62311846309</v>
      </c>
    </row>
    <row r="81" spans="1:9" ht="15.75" x14ac:dyDescent="0.25">
      <c r="A81" s="8"/>
      <c r="B81" s="8"/>
      <c r="C81" s="9"/>
      <c r="D81" s="12" t="s">
        <v>77</v>
      </c>
      <c r="E81" s="14">
        <v>855027.90999999992</v>
      </c>
      <c r="F81" s="14">
        <v>2211528.663856965</v>
      </c>
      <c r="G81" s="14">
        <v>681408.41</v>
      </c>
      <c r="H81" s="14">
        <v>0</v>
      </c>
      <c r="I81" s="13">
        <f t="shared" si="1"/>
        <v>3747964.9838569649</v>
      </c>
    </row>
    <row r="82" spans="1:9" ht="15.75" x14ac:dyDescent="0.25">
      <c r="A82" s="8"/>
      <c r="B82" s="8"/>
      <c r="C82" s="9"/>
      <c r="D82" s="12" t="s">
        <v>78</v>
      </c>
      <c r="E82" s="14">
        <v>617976.27999999991</v>
      </c>
      <c r="F82" s="14">
        <v>1532840.8514806072</v>
      </c>
      <c r="G82" s="14">
        <v>264696.38999999996</v>
      </c>
      <c r="H82" s="14">
        <v>0</v>
      </c>
      <c r="I82" s="13">
        <f t="shared" si="1"/>
        <v>2415513.5214806073</v>
      </c>
    </row>
    <row r="83" spans="1:9" ht="15.75" x14ac:dyDescent="0.25">
      <c r="A83" s="8"/>
      <c r="B83" s="8"/>
      <c r="C83" s="9"/>
      <c r="D83" s="12" t="s">
        <v>79</v>
      </c>
      <c r="E83" s="14">
        <v>341223.45999999996</v>
      </c>
      <c r="F83" s="14">
        <v>629523.69243371615</v>
      </c>
      <c r="G83" s="14">
        <v>471721.44</v>
      </c>
      <c r="H83" s="14">
        <v>0</v>
      </c>
      <c r="I83" s="13">
        <f t="shared" si="1"/>
        <v>1442468.5924337162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4340357.62</v>
      </c>
      <c r="H84" s="14">
        <v>0</v>
      </c>
      <c r="I84" s="13">
        <f t="shared" si="1"/>
        <v>4340357.62</v>
      </c>
    </row>
    <row r="85" spans="1:9" ht="15.75" x14ac:dyDescent="0.25">
      <c r="A85" s="8"/>
      <c r="B85" s="8"/>
      <c r="C85" s="9"/>
      <c r="D85" s="12" t="s">
        <v>81</v>
      </c>
      <c r="E85" s="14">
        <v>740269.7300000001</v>
      </c>
      <c r="F85" s="14">
        <v>195851.35666421804</v>
      </c>
      <c r="G85" s="14">
        <v>1657245.64</v>
      </c>
      <c r="H85" s="14">
        <v>0</v>
      </c>
      <c r="I85" s="13">
        <f t="shared" si="1"/>
        <v>2593366.7266642181</v>
      </c>
    </row>
    <row r="86" spans="1:9" ht="15.75" x14ac:dyDescent="0.25">
      <c r="A86" s="8"/>
      <c r="B86" s="8"/>
      <c r="C86" s="9"/>
      <c r="D86" s="12" t="s">
        <v>82</v>
      </c>
      <c r="E86" s="14">
        <v>248530.74000000005</v>
      </c>
      <c r="F86" s="14">
        <v>813391.10132270714</v>
      </c>
      <c r="G86" s="14">
        <v>121911.8</v>
      </c>
      <c r="H86" s="14">
        <v>0</v>
      </c>
      <c r="I86" s="13">
        <f t="shared" si="1"/>
        <v>1183833.6413227073</v>
      </c>
    </row>
    <row r="87" spans="1:9" ht="15.75" x14ac:dyDescent="0.25">
      <c r="A87" s="8"/>
      <c r="B87" s="8"/>
      <c r="C87" s="9"/>
      <c r="D87" s="12" t="s">
        <v>83</v>
      </c>
      <c r="E87" s="14">
        <v>102044.14</v>
      </c>
      <c r="F87" s="14">
        <v>1071195.6488111392</v>
      </c>
      <c r="G87" s="14">
        <v>170945.58000000002</v>
      </c>
      <c r="H87" s="14">
        <v>0</v>
      </c>
      <c r="I87" s="13">
        <f t="shared" si="1"/>
        <v>1344185.3688111391</v>
      </c>
    </row>
    <row r="88" spans="1:9" ht="15.75" x14ac:dyDescent="0.25">
      <c r="A88" s="8"/>
      <c r="B88" s="8"/>
      <c r="C88" s="9"/>
      <c r="D88" s="12" t="s">
        <v>84</v>
      </c>
      <c r="E88" s="14">
        <v>1079850.4500000002</v>
      </c>
      <c r="F88" s="14">
        <v>0</v>
      </c>
      <c r="G88" s="14">
        <v>1583199.9100000001</v>
      </c>
      <c r="H88" s="14">
        <v>0</v>
      </c>
      <c r="I88" s="13">
        <f t="shared" si="1"/>
        <v>2663050.3600000003</v>
      </c>
    </row>
    <row r="89" spans="1:9" ht="15.75" x14ac:dyDescent="0.25">
      <c r="A89" s="8"/>
      <c r="B89" s="8"/>
      <c r="C89" s="9"/>
      <c r="D89" s="12" t="s">
        <v>85</v>
      </c>
      <c r="E89" s="14">
        <v>214197.20999999996</v>
      </c>
      <c r="F89" s="14">
        <v>1050406.9573216413</v>
      </c>
      <c r="G89" s="14">
        <v>289910.28999999998</v>
      </c>
      <c r="H89" s="14">
        <v>0</v>
      </c>
      <c r="I89" s="13">
        <f t="shared" si="1"/>
        <v>1554514.4573216413</v>
      </c>
    </row>
    <row r="90" spans="1:9" ht="15.75" x14ac:dyDescent="0.25">
      <c r="A90" s="8"/>
      <c r="B90" s="8"/>
      <c r="C90" s="9"/>
      <c r="D90" s="12" t="s">
        <v>86</v>
      </c>
      <c r="E90" s="14">
        <v>103115.24999999999</v>
      </c>
      <c r="F90" s="14">
        <v>271790.98093841702</v>
      </c>
      <c r="G90" s="14">
        <v>282170.58999999997</v>
      </c>
      <c r="H90" s="14">
        <v>0</v>
      </c>
      <c r="I90" s="13">
        <f t="shared" si="1"/>
        <v>657076.82093841699</v>
      </c>
    </row>
    <row r="91" spans="1:9" ht="15.75" x14ac:dyDescent="0.25">
      <c r="A91" s="8"/>
      <c r="B91" s="8"/>
      <c r="C91" s="9"/>
      <c r="D91" s="12" t="s">
        <v>87</v>
      </c>
      <c r="E91" s="14">
        <v>250931.48</v>
      </c>
      <c r="F91" s="14">
        <v>619934.46979531308</v>
      </c>
      <c r="G91" s="14">
        <v>725551.67999999993</v>
      </c>
      <c r="H91" s="14">
        <v>0</v>
      </c>
      <c r="I91" s="13">
        <f t="shared" si="1"/>
        <v>1596417.6297953129</v>
      </c>
    </row>
    <row r="92" spans="1:9" ht="15.75" x14ac:dyDescent="0.25">
      <c r="A92" s="8"/>
      <c r="B92" s="8"/>
      <c r="C92" s="9"/>
      <c r="D92" s="12" t="s">
        <v>88</v>
      </c>
      <c r="E92" s="14">
        <v>43226.680000000008</v>
      </c>
      <c r="F92" s="14">
        <v>85539.169003709016</v>
      </c>
      <c r="G92" s="14">
        <v>1563009.51</v>
      </c>
      <c r="H92" s="14">
        <v>0</v>
      </c>
      <c r="I92" s="13">
        <f t="shared" si="1"/>
        <v>1691775.3590037089</v>
      </c>
    </row>
    <row r="93" spans="1:9" ht="15.75" x14ac:dyDescent="0.25">
      <c r="A93" s="8"/>
      <c r="B93" s="8"/>
      <c r="C93" s="9"/>
      <c r="D93" s="12" t="s">
        <v>89</v>
      </c>
      <c r="E93" s="14">
        <v>235571.76999999996</v>
      </c>
      <c r="F93" s="14">
        <v>693076.80737951514</v>
      </c>
      <c r="G93" s="14">
        <v>230483.58999999997</v>
      </c>
      <c r="H93" s="14">
        <v>0</v>
      </c>
      <c r="I93" s="13">
        <f t="shared" si="1"/>
        <v>1159132.1673795152</v>
      </c>
    </row>
    <row r="94" spans="1:9" ht="15.75" x14ac:dyDescent="0.25">
      <c r="A94" s="8"/>
      <c r="B94" s="8"/>
      <c r="C94" s="9"/>
      <c r="D94" s="12" t="s">
        <v>90</v>
      </c>
      <c r="E94" s="14">
        <v>4558.33</v>
      </c>
      <c r="F94" s="14">
        <v>0</v>
      </c>
      <c r="G94" s="14">
        <v>114346.47</v>
      </c>
      <c r="H94" s="14">
        <v>0</v>
      </c>
      <c r="I94" s="13">
        <f t="shared" si="1"/>
        <v>118904.8</v>
      </c>
    </row>
    <row r="95" spans="1:9" ht="15.75" x14ac:dyDescent="0.25">
      <c r="A95" s="8"/>
      <c r="B95" s="8"/>
      <c r="C95" s="9"/>
      <c r="D95" s="12" t="s">
        <v>91</v>
      </c>
      <c r="E95" s="14">
        <v>13552.77</v>
      </c>
      <c r="F95" s="14">
        <v>21986.054057910005</v>
      </c>
      <c r="G95" s="14">
        <v>1431224.9100000001</v>
      </c>
      <c r="H95" s="14">
        <v>0</v>
      </c>
      <c r="I95" s="13">
        <f t="shared" si="1"/>
        <v>1466763.7340579103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3367689.55</v>
      </c>
      <c r="H96" s="14">
        <v>0</v>
      </c>
      <c r="I96" s="13">
        <f t="shared" si="1"/>
        <v>3367689.55</v>
      </c>
    </row>
    <row r="97" spans="1:9" ht="15.75" x14ac:dyDescent="0.25">
      <c r="A97" s="8"/>
      <c r="B97" s="8"/>
      <c r="C97" s="9"/>
      <c r="D97" s="12" t="s">
        <v>93</v>
      </c>
      <c r="E97" s="14">
        <v>112475.96999999999</v>
      </c>
      <c r="F97" s="14">
        <v>987256.40392901516</v>
      </c>
      <c r="G97" s="14">
        <v>215876.86999999997</v>
      </c>
      <c r="H97" s="14">
        <v>0</v>
      </c>
      <c r="I97" s="13">
        <f t="shared" si="1"/>
        <v>1315609.243929015</v>
      </c>
    </row>
    <row r="98" spans="1:9" ht="15.75" x14ac:dyDescent="0.25">
      <c r="A98" s="8"/>
      <c r="B98" s="8"/>
      <c r="C98" s="9"/>
      <c r="D98" s="12" t="s">
        <v>94</v>
      </c>
      <c r="E98" s="14">
        <v>286332.86</v>
      </c>
      <c r="F98" s="14">
        <v>1298622.2821716703</v>
      </c>
      <c r="G98" s="14">
        <v>1754568.5</v>
      </c>
      <c r="H98" s="14">
        <v>0</v>
      </c>
      <c r="I98" s="13">
        <f t="shared" si="1"/>
        <v>3339523.6421716702</v>
      </c>
    </row>
    <row r="99" spans="1:9" ht="15.75" x14ac:dyDescent="0.25">
      <c r="A99" s="8"/>
      <c r="B99" s="8"/>
      <c r="C99" s="9"/>
      <c r="D99" s="12" t="s">
        <v>95</v>
      </c>
      <c r="E99" s="14">
        <v>538395.94000000006</v>
      </c>
      <c r="F99" s="14">
        <v>2474535.5452633249</v>
      </c>
      <c r="G99" s="14">
        <v>819452.7100000002</v>
      </c>
      <c r="H99" s="14">
        <v>0</v>
      </c>
      <c r="I99" s="13">
        <f t="shared" si="1"/>
        <v>3832384.1952633252</v>
      </c>
    </row>
    <row r="100" spans="1:9" ht="15.75" x14ac:dyDescent="0.25">
      <c r="A100" s="8"/>
      <c r="B100" s="8"/>
      <c r="C100" s="9"/>
      <c r="D100" s="12" t="s">
        <v>96</v>
      </c>
      <c r="E100" s="14">
        <v>438978.98000000004</v>
      </c>
      <c r="F100" s="14">
        <v>2475732.9078317368</v>
      </c>
      <c r="G100" s="14">
        <v>1298366.4999999998</v>
      </c>
      <c r="H100" s="14">
        <v>0</v>
      </c>
      <c r="I100" s="13">
        <f t="shared" si="1"/>
        <v>4213078.3878317364</v>
      </c>
    </row>
    <row r="101" spans="1:9" ht="15.75" x14ac:dyDescent="0.25">
      <c r="A101" s="8"/>
      <c r="B101" s="8"/>
      <c r="C101" s="9"/>
      <c r="D101" s="12" t="s">
        <v>97</v>
      </c>
      <c r="E101" s="14">
        <v>10172.949999999999</v>
      </c>
      <c r="F101" s="14">
        <v>3322268.2436990207</v>
      </c>
      <c r="G101" s="14">
        <v>23619.35</v>
      </c>
      <c r="H101" s="14">
        <v>0</v>
      </c>
      <c r="I101" s="13">
        <f t="shared" si="1"/>
        <v>3356060.543699021</v>
      </c>
    </row>
    <row r="102" spans="1:9" ht="15.75" x14ac:dyDescent="0.25">
      <c r="A102" s="8"/>
      <c r="B102" s="8"/>
      <c r="C102" s="9"/>
      <c r="D102" s="12" t="s">
        <v>98</v>
      </c>
      <c r="E102" s="14">
        <v>804778.37</v>
      </c>
      <c r="F102" s="14">
        <v>1428525.7987532655</v>
      </c>
      <c r="G102" s="14">
        <v>632322.91</v>
      </c>
      <c r="H102" s="14">
        <v>0</v>
      </c>
      <c r="I102" s="13">
        <f t="shared" si="1"/>
        <v>2865627.0787532656</v>
      </c>
    </row>
    <row r="103" spans="1:9" ht="15.75" x14ac:dyDescent="0.25">
      <c r="A103" s="8"/>
      <c r="B103" s="8"/>
      <c r="C103" s="9"/>
      <c r="D103" s="12" t="s">
        <v>99</v>
      </c>
      <c r="E103" s="14">
        <v>1137507.5499999998</v>
      </c>
      <c r="F103" s="14">
        <v>453655.90415265004</v>
      </c>
      <c r="G103" s="14">
        <v>109633.02</v>
      </c>
      <c r="H103" s="14">
        <v>0</v>
      </c>
      <c r="I103" s="13">
        <f t="shared" si="1"/>
        <v>1700796.4741526498</v>
      </c>
    </row>
    <row r="104" spans="1:9" ht="15.75" x14ac:dyDescent="0.25">
      <c r="A104" s="8"/>
      <c r="B104" s="8"/>
      <c r="C104" s="9"/>
      <c r="D104" s="12" t="s">
        <v>100</v>
      </c>
      <c r="E104" s="14">
        <v>1420911.18</v>
      </c>
      <c r="F104" s="14">
        <v>828977.45889427711</v>
      </c>
      <c r="G104" s="14">
        <v>1479523.78</v>
      </c>
      <c r="H104" s="14">
        <v>0</v>
      </c>
      <c r="I104" s="13">
        <f t="shared" si="1"/>
        <v>3729412.418894277</v>
      </c>
    </row>
    <row r="105" spans="1:9" ht="15.75" x14ac:dyDescent="0.25">
      <c r="A105" s="8"/>
      <c r="B105" s="8"/>
      <c r="C105" s="9"/>
      <c r="D105" s="12" t="s">
        <v>101</v>
      </c>
      <c r="E105" s="14">
        <v>133060.41999999998</v>
      </c>
      <c r="F105" s="14">
        <v>1231074.5179674623</v>
      </c>
      <c r="G105" s="14">
        <v>12230.139999999998</v>
      </c>
      <c r="H105" s="14">
        <v>0</v>
      </c>
      <c r="I105" s="13">
        <f t="shared" si="1"/>
        <v>1376365.0779674621</v>
      </c>
    </row>
    <row r="106" spans="1:9" ht="15.75" x14ac:dyDescent="0.25">
      <c r="A106" s="8"/>
      <c r="B106" s="8"/>
      <c r="C106" s="9"/>
      <c r="D106" s="12" t="s">
        <v>102</v>
      </c>
      <c r="E106" s="14">
        <v>474930.33</v>
      </c>
      <c r="F106" s="14">
        <v>75939.624274199014</v>
      </c>
      <c r="G106" s="14">
        <v>2702907.75</v>
      </c>
      <c r="H106" s="14">
        <v>0</v>
      </c>
      <c r="I106" s="13">
        <f t="shared" si="1"/>
        <v>3253777.704274199</v>
      </c>
    </row>
    <row r="107" spans="1:9" ht="15.75" x14ac:dyDescent="0.25">
      <c r="A107" s="8"/>
      <c r="B107" s="8"/>
      <c r="C107" s="9"/>
      <c r="D107" s="12" t="s">
        <v>103</v>
      </c>
      <c r="E107" s="14">
        <v>0</v>
      </c>
      <c r="F107" s="14">
        <v>0</v>
      </c>
      <c r="G107" s="14">
        <v>688050.71</v>
      </c>
      <c r="H107" s="14">
        <v>0</v>
      </c>
      <c r="I107" s="13">
        <f t="shared" si="1"/>
        <v>688050.71</v>
      </c>
    </row>
    <row r="108" spans="1:9" ht="15.75" x14ac:dyDescent="0.25">
      <c r="A108" s="8"/>
      <c r="B108" s="8"/>
      <c r="C108" s="9"/>
      <c r="D108" s="12" t="s">
        <v>104</v>
      </c>
      <c r="E108" s="14">
        <v>48332.009999999995</v>
      </c>
      <c r="F108" s="14">
        <v>0</v>
      </c>
      <c r="G108" s="14">
        <v>204495.01</v>
      </c>
      <c r="H108" s="14">
        <v>0</v>
      </c>
      <c r="I108" s="13">
        <f t="shared" si="1"/>
        <v>252827.02000000002</v>
      </c>
    </row>
    <row r="109" spans="1:9" ht="15.75" x14ac:dyDescent="0.25">
      <c r="A109" s="8"/>
      <c r="B109" s="8"/>
      <c r="C109" s="9"/>
      <c r="D109" s="12" t="s">
        <v>105</v>
      </c>
      <c r="E109" s="14">
        <v>119925.87000000001</v>
      </c>
      <c r="F109" s="14">
        <v>1980107.3812380242</v>
      </c>
      <c r="G109" s="14">
        <v>161594.71</v>
      </c>
      <c r="H109" s="14">
        <v>0</v>
      </c>
      <c r="I109" s="13">
        <f t="shared" si="1"/>
        <v>2261627.9612380243</v>
      </c>
    </row>
    <row r="110" spans="1:9" ht="15.75" x14ac:dyDescent="0.25">
      <c r="A110" s="8"/>
      <c r="B110" s="8"/>
      <c r="C110" s="9"/>
      <c r="D110" s="12" t="s">
        <v>106</v>
      </c>
      <c r="E110" s="14">
        <v>78994.63</v>
      </c>
      <c r="F110" s="14">
        <v>486428.54341737513</v>
      </c>
      <c r="G110" s="14">
        <v>119411.53000000001</v>
      </c>
      <c r="H110" s="14">
        <v>0</v>
      </c>
      <c r="I110" s="13">
        <f t="shared" si="1"/>
        <v>684834.70341737522</v>
      </c>
    </row>
    <row r="111" spans="1:9" ht="15.75" x14ac:dyDescent="0.25">
      <c r="A111" s="8"/>
      <c r="B111" s="8"/>
      <c r="C111" s="9"/>
      <c r="D111" s="12" t="s">
        <v>107</v>
      </c>
      <c r="E111" s="14">
        <v>8730.93</v>
      </c>
      <c r="F111" s="14">
        <v>7597.0590547520014</v>
      </c>
      <c r="G111" s="14">
        <v>4338043.1000000006</v>
      </c>
      <c r="H111" s="14">
        <v>0</v>
      </c>
      <c r="I111" s="13">
        <f t="shared" si="1"/>
        <v>4354371.0890547521</v>
      </c>
    </row>
    <row r="112" spans="1:9" ht="15.75" x14ac:dyDescent="0.25">
      <c r="A112" s="8"/>
      <c r="B112" s="8"/>
      <c r="C112" s="9"/>
      <c r="D112" s="12" t="s">
        <v>108</v>
      </c>
      <c r="E112" s="14">
        <v>462553.39999999997</v>
      </c>
      <c r="F112" s="14">
        <v>519603.7442352731</v>
      </c>
      <c r="G112" s="14">
        <v>324315.73</v>
      </c>
      <c r="H112" s="14">
        <v>0</v>
      </c>
      <c r="I112" s="13">
        <f t="shared" si="1"/>
        <v>1306472.8742352731</v>
      </c>
    </row>
    <row r="113" spans="1:9" ht="15.75" x14ac:dyDescent="0.25">
      <c r="A113" s="8"/>
      <c r="B113" s="8"/>
      <c r="C113" s="9"/>
      <c r="D113" s="12" t="s">
        <v>109</v>
      </c>
      <c r="E113" s="14">
        <v>212685.33</v>
      </c>
      <c r="F113" s="14">
        <v>1251058.0863506144</v>
      </c>
      <c r="G113" s="14">
        <v>286767.61</v>
      </c>
      <c r="H113" s="14">
        <v>0</v>
      </c>
      <c r="I113" s="13">
        <f t="shared" si="1"/>
        <v>1750511.0263506146</v>
      </c>
    </row>
    <row r="114" spans="1:9" ht="15.75" x14ac:dyDescent="0.25">
      <c r="A114" s="8"/>
      <c r="B114" s="8"/>
      <c r="C114" s="9"/>
      <c r="D114" s="12" t="s">
        <v>110</v>
      </c>
      <c r="E114" s="14">
        <v>527263.29</v>
      </c>
      <c r="F114" s="14">
        <v>1434915.1731484979</v>
      </c>
      <c r="G114" s="14">
        <v>491184.66000000003</v>
      </c>
      <c r="H114" s="14">
        <v>0</v>
      </c>
      <c r="I114" s="13">
        <f t="shared" si="1"/>
        <v>2453363.1231484981</v>
      </c>
    </row>
    <row r="115" spans="1:9" ht="15.75" x14ac:dyDescent="0.25">
      <c r="A115" s="8"/>
      <c r="B115" s="8"/>
      <c r="C115" s="9"/>
      <c r="D115" s="12" t="s">
        <v>111</v>
      </c>
      <c r="E115" s="14">
        <v>962588.74</v>
      </c>
      <c r="F115" s="14">
        <v>709468.28805743111</v>
      </c>
      <c r="G115" s="14">
        <v>721840.79</v>
      </c>
      <c r="H115" s="14">
        <v>0</v>
      </c>
      <c r="I115" s="13">
        <f t="shared" si="1"/>
        <v>2393897.8180574309</v>
      </c>
    </row>
    <row r="116" spans="1:9" ht="15.75" x14ac:dyDescent="0.25">
      <c r="A116" s="8"/>
      <c r="B116" s="8"/>
      <c r="C116" s="9"/>
      <c r="D116" s="12" t="s">
        <v>112</v>
      </c>
      <c r="E116" s="14">
        <v>190115.07</v>
      </c>
      <c r="F116" s="14">
        <v>921308.56384639221</v>
      </c>
      <c r="G116" s="14">
        <v>248697.56999999998</v>
      </c>
      <c r="H116" s="14">
        <v>0</v>
      </c>
      <c r="I116" s="13">
        <f t="shared" si="1"/>
        <v>1360121.2038463922</v>
      </c>
    </row>
    <row r="117" spans="1:9" ht="15.75" x14ac:dyDescent="0.25">
      <c r="A117" s="8"/>
      <c r="B117" s="8"/>
      <c r="C117" s="9"/>
      <c r="D117" s="12" t="s">
        <v>113</v>
      </c>
      <c r="E117" s="14">
        <v>149734.25000000003</v>
      </c>
      <c r="F117" s="14">
        <v>711460.45164108218</v>
      </c>
      <c r="G117" s="14">
        <v>448990.53</v>
      </c>
      <c r="H117" s="14">
        <v>0</v>
      </c>
      <c r="I117" s="13">
        <f t="shared" si="1"/>
        <v>1310185.2316410821</v>
      </c>
    </row>
    <row r="118" spans="1:9" ht="15.75" x14ac:dyDescent="0.25">
      <c r="A118" s="8"/>
      <c r="B118" s="8"/>
      <c r="C118" s="9"/>
      <c r="D118" s="12" t="s">
        <v>114</v>
      </c>
      <c r="E118" s="14">
        <v>347213.33999999991</v>
      </c>
      <c r="F118" s="14">
        <v>1111162.7855774432</v>
      </c>
      <c r="G118" s="14">
        <v>459909.44</v>
      </c>
      <c r="H118" s="14">
        <v>0</v>
      </c>
      <c r="I118" s="13">
        <f t="shared" si="1"/>
        <v>1918285.565577443</v>
      </c>
    </row>
    <row r="119" spans="1:9" ht="15.75" x14ac:dyDescent="0.25">
      <c r="A119" s="8"/>
      <c r="B119" s="8"/>
      <c r="C119" s="9"/>
      <c r="D119" s="12" t="s">
        <v>115</v>
      </c>
      <c r="E119" s="14">
        <v>42363.63</v>
      </c>
      <c r="F119" s="14">
        <v>107917.46252368503</v>
      </c>
      <c r="G119" s="14">
        <v>221253.71000000002</v>
      </c>
      <c r="H119" s="14">
        <v>0</v>
      </c>
      <c r="I119" s="13">
        <f t="shared" si="1"/>
        <v>371534.80252368504</v>
      </c>
    </row>
    <row r="120" spans="1:9" ht="15.75" x14ac:dyDescent="0.25">
      <c r="A120" s="8"/>
      <c r="B120" s="8"/>
      <c r="C120" s="9"/>
      <c r="D120" s="12" t="s">
        <v>116</v>
      </c>
      <c r="E120" s="14">
        <v>732460.66999999993</v>
      </c>
      <c r="F120" s="14">
        <v>471647.3089521511</v>
      </c>
      <c r="G120" s="14">
        <v>477298.61999999994</v>
      </c>
      <c r="H120" s="14">
        <v>0</v>
      </c>
      <c r="I120" s="13">
        <f t="shared" si="1"/>
        <v>1681406.5989521509</v>
      </c>
    </row>
    <row r="121" spans="1:9" ht="15.75" x14ac:dyDescent="0.25">
      <c r="A121" s="8"/>
      <c r="B121" s="8"/>
      <c r="C121" s="9"/>
      <c r="D121" s="12" t="s">
        <v>117</v>
      </c>
      <c r="E121" s="14">
        <v>328494.73000000004</v>
      </c>
      <c r="F121" s="14">
        <v>699868.74332792126</v>
      </c>
      <c r="G121" s="14">
        <v>271357.39</v>
      </c>
      <c r="H121" s="14">
        <v>0</v>
      </c>
      <c r="I121" s="13">
        <f t="shared" si="1"/>
        <v>1299720.8633279214</v>
      </c>
    </row>
    <row r="122" spans="1:9" ht="15.75" x14ac:dyDescent="0.25">
      <c r="A122" s="8"/>
      <c r="B122" s="8"/>
      <c r="C122" s="9"/>
      <c r="D122" s="12" t="s">
        <v>118</v>
      </c>
      <c r="E122" s="14">
        <v>378405.57000000007</v>
      </c>
      <c r="F122" s="14">
        <v>516011.65653003711</v>
      </c>
      <c r="G122" s="14">
        <v>663502.40999999992</v>
      </c>
      <c r="H122" s="14">
        <v>0</v>
      </c>
      <c r="I122" s="13">
        <f t="shared" si="1"/>
        <v>1557919.636530037</v>
      </c>
    </row>
    <row r="123" spans="1:9" ht="15.75" x14ac:dyDescent="0.25">
      <c r="A123" s="8"/>
      <c r="B123" s="8"/>
      <c r="C123" s="9"/>
      <c r="D123" s="12" t="s">
        <v>119</v>
      </c>
      <c r="E123" s="14">
        <v>194992.56</v>
      </c>
      <c r="F123" s="14">
        <v>948084.0681779501</v>
      </c>
      <c r="G123" s="14">
        <v>168999.98</v>
      </c>
      <c r="H123" s="14">
        <v>0</v>
      </c>
      <c r="I123" s="13">
        <f t="shared" si="1"/>
        <v>1312076.6081779501</v>
      </c>
    </row>
    <row r="124" spans="1:9" ht="15.75" x14ac:dyDescent="0.25">
      <c r="A124" s="8"/>
      <c r="B124" s="8"/>
      <c r="C124" s="9"/>
      <c r="D124" s="12" t="s">
        <v>120</v>
      </c>
      <c r="E124" s="14">
        <v>7176.1399999999994</v>
      </c>
      <c r="F124" s="14">
        <v>0</v>
      </c>
      <c r="G124" s="14">
        <v>1485732.2800000003</v>
      </c>
      <c r="H124" s="14">
        <v>3087350.855</v>
      </c>
      <c r="I124" s="13">
        <f t="shared" si="1"/>
        <v>4580259.2750000004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4437062.84</v>
      </c>
      <c r="H125" s="14">
        <v>716234.64000000013</v>
      </c>
      <c r="I125" s="13">
        <f t="shared" si="1"/>
        <v>5153297.4800000004</v>
      </c>
    </row>
    <row r="126" spans="1:9" ht="15.75" x14ac:dyDescent="0.25">
      <c r="A126" s="8"/>
      <c r="B126" s="8"/>
      <c r="C126" s="9"/>
      <c r="D126" s="12" t="s">
        <v>122</v>
      </c>
      <c r="E126" s="14">
        <v>7615.5999999999995</v>
      </c>
      <c r="F126" s="14">
        <v>0</v>
      </c>
      <c r="G126" s="14">
        <v>1826698.85</v>
      </c>
      <c r="H126" s="14">
        <v>0</v>
      </c>
      <c r="I126" s="13">
        <f t="shared" si="1"/>
        <v>1834314.4500000002</v>
      </c>
    </row>
    <row r="127" spans="1:9" ht="15.75" x14ac:dyDescent="0.25">
      <c r="A127" s="8"/>
      <c r="B127" s="8"/>
      <c r="C127" s="9"/>
      <c r="D127" s="12" t="s">
        <v>123</v>
      </c>
      <c r="E127" s="14">
        <v>234430.78</v>
      </c>
      <c r="F127" s="14">
        <v>199846.00592262705</v>
      </c>
      <c r="G127" s="14">
        <v>1369967.72</v>
      </c>
      <c r="H127" s="14">
        <v>0</v>
      </c>
      <c r="I127" s="13">
        <f t="shared" si="1"/>
        <v>1804244.5059226272</v>
      </c>
    </row>
    <row r="128" spans="1:9" ht="15.75" x14ac:dyDescent="0.25">
      <c r="A128" s="8"/>
      <c r="B128" s="8"/>
      <c r="C128" s="9"/>
      <c r="D128" s="12" t="s">
        <v>124</v>
      </c>
      <c r="E128" s="14">
        <v>391552.01</v>
      </c>
      <c r="F128" s="14">
        <v>623526.55750054913</v>
      </c>
      <c r="G128" s="14">
        <v>611152.7300000001</v>
      </c>
      <c r="H128" s="14">
        <v>0</v>
      </c>
      <c r="I128" s="13">
        <f t="shared" si="1"/>
        <v>1626231.2975005493</v>
      </c>
    </row>
    <row r="129" spans="1:9" ht="15.75" x14ac:dyDescent="0.25">
      <c r="A129" s="8"/>
      <c r="B129" s="8"/>
      <c r="C129" s="9"/>
      <c r="D129" s="12" t="s">
        <v>125</v>
      </c>
      <c r="E129" s="14">
        <v>145971.69</v>
      </c>
      <c r="F129" s="14">
        <v>301776.65560425207</v>
      </c>
      <c r="G129" s="14">
        <v>340434.13000000006</v>
      </c>
      <c r="H129" s="14">
        <v>0</v>
      </c>
      <c r="I129" s="13">
        <f t="shared" si="1"/>
        <v>788182.47560425219</v>
      </c>
    </row>
    <row r="130" spans="1:9" ht="15.75" x14ac:dyDescent="0.25">
      <c r="A130" s="8"/>
      <c r="B130" s="8"/>
      <c r="C130" s="9"/>
      <c r="D130" s="12" t="s">
        <v>126</v>
      </c>
      <c r="E130" s="14">
        <v>52608.410000000011</v>
      </c>
      <c r="F130" s="14">
        <v>531598.01410160703</v>
      </c>
      <c r="G130" s="14">
        <v>135938.41999999998</v>
      </c>
      <c r="H130" s="14">
        <v>0</v>
      </c>
      <c r="I130" s="13">
        <f t="shared" si="1"/>
        <v>720144.8441016071</v>
      </c>
    </row>
    <row r="131" spans="1:9" ht="15.75" x14ac:dyDescent="0.25">
      <c r="A131" s="8"/>
      <c r="B131" s="8"/>
      <c r="C131" s="9"/>
      <c r="D131" s="12" t="s">
        <v>127</v>
      </c>
      <c r="E131" s="14">
        <v>1252080.4400000002</v>
      </c>
      <c r="F131" s="14">
        <v>2905410.5943428259</v>
      </c>
      <c r="G131" s="14">
        <v>3034228.22</v>
      </c>
      <c r="H131" s="14">
        <v>0</v>
      </c>
      <c r="I131" s="13">
        <f t="shared" si="1"/>
        <v>7191719.2543428261</v>
      </c>
    </row>
    <row r="132" spans="1:9" ht="15.75" x14ac:dyDescent="0.25">
      <c r="A132" s="8"/>
      <c r="B132" s="8"/>
      <c r="C132" s="9"/>
      <c r="D132" s="12" t="s">
        <v>128</v>
      </c>
      <c r="E132" s="14">
        <v>175479.18</v>
      </c>
      <c r="F132" s="14">
        <v>1782656.1004522215</v>
      </c>
      <c r="G132" s="14">
        <v>90404.420000000013</v>
      </c>
      <c r="H132" s="14">
        <v>0</v>
      </c>
      <c r="I132" s="13">
        <f t="shared" si="1"/>
        <v>2048539.7004522213</v>
      </c>
    </row>
    <row r="133" spans="1:9" ht="15.75" x14ac:dyDescent="0.25">
      <c r="A133" s="8"/>
      <c r="B133" s="8"/>
      <c r="C133" s="9"/>
      <c r="D133" s="12" t="s">
        <v>129</v>
      </c>
      <c r="E133" s="14">
        <v>783971.71</v>
      </c>
      <c r="F133" s="14">
        <v>0</v>
      </c>
      <c r="G133" s="14">
        <v>3996403.82</v>
      </c>
      <c r="H133" s="14">
        <v>2057484.0100000002</v>
      </c>
      <c r="I133" s="13">
        <f t="shared" si="1"/>
        <v>6837859.5399999991</v>
      </c>
    </row>
    <row r="134" spans="1:9" ht="15.75" x14ac:dyDescent="0.25">
      <c r="A134" s="8"/>
      <c r="B134" s="8"/>
      <c r="C134" s="9"/>
      <c r="D134" s="12" t="s">
        <v>130</v>
      </c>
      <c r="E134" s="14">
        <v>9316.69</v>
      </c>
      <c r="F134" s="14">
        <v>87933.894140533012</v>
      </c>
      <c r="G134" s="14">
        <v>11343.66</v>
      </c>
      <c r="H134" s="14">
        <v>0</v>
      </c>
      <c r="I134" s="13">
        <f t="shared" si="1"/>
        <v>108594.24414053302</v>
      </c>
    </row>
    <row r="135" spans="1:9" ht="15.75" x14ac:dyDescent="0.25">
      <c r="A135" s="8"/>
      <c r="B135" s="8"/>
      <c r="C135" s="9"/>
      <c r="D135" s="12" t="s">
        <v>131</v>
      </c>
      <c r="E135" s="14">
        <v>78959.259999999995</v>
      </c>
      <c r="F135" s="14">
        <v>1111162.7855774432</v>
      </c>
      <c r="G135" s="14">
        <v>146043.37</v>
      </c>
      <c r="H135" s="14">
        <v>0</v>
      </c>
      <c r="I135" s="13">
        <f t="shared" si="1"/>
        <v>1336165.4155774433</v>
      </c>
    </row>
    <row r="136" spans="1:9" ht="15.75" x14ac:dyDescent="0.25">
      <c r="A136" s="8"/>
      <c r="B136" s="8"/>
      <c r="C136" s="9"/>
      <c r="D136" s="12" t="s">
        <v>132</v>
      </c>
      <c r="E136" s="14">
        <v>613270.20000000007</v>
      </c>
      <c r="F136" s="14">
        <v>1342986.6297495563</v>
      </c>
      <c r="G136" s="14">
        <v>1134822.93</v>
      </c>
      <c r="H136" s="14">
        <v>0</v>
      </c>
      <c r="I136" s="13">
        <f t="shared" si="1"/>
        <v>3091079.759749556</v>
      </c>
    </row>
    <row r="137" spans="1:9" ht="15.75" x14ac:dyDescent="0.25">
      <c r="A137" s="8"/>
      <c r="B137" s="8"/>
      <c r="C137" s="9"/>
      <c r="D137" s="12" t="s">
        <v>133</v>
      </c>
      <c r="E137" s="14">
        <v>646268.69999999995</v>
      </c>
      <c r="F137" s="14">
        <v>2111610.8219412048</v>
      </c>
      <c r="G137" s="14">
        <v>1694341.36</v>
      </c>
      <c r="H137" s="14">
        <v>0</v>
      </c>
      <c r="I137" s="13">
        <f t="shared" si="1"/>
        <v>4452220.8819412049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2701577.36</v>
      </c>
      <c r="H138" s="14">
        <v>0</v>
      </c>
      <c r="I138" s="13">
        <f t="shared" ref="I138:I144" si="2">SUM(E138:H138)</f>
        <v>2701577.36</v>
      </c>
    </row>
    <row r="139" spans="1:9" ht="15.75" x14ac:dyDescent="0.25">
      <c r="A139" s="8"/>
      <c r="B139" s="8"/>
      <c r="C139" s="9"/>
      <c r="D139" s="12" t="s">
        <v>135</v>
      </c>
      <c r="E139" s="14">
        <v>39959.22</v>
      </c>
      <c r="F139" s="14">
        <v>316165.65060741006</v>
      </c>
      <c r="G139" s="14">
        <v>185845.87</v>
      </c>
      <c r="H139" s="14">
        <v>0</v>
      </c>
      <c r="I139" s="13">
        <f t="shared" si="2"/>
        <v>541970.74060741009</v>
      </c>
    </row>
    <row r="140" spans="1:9" ht="15.75" x14ac:dyDescent="0.25">
      <c r="A140" s="8"/>
      <c r="B140" s="8"/>
      <c r="C140" s="9"/>
      <c r="D140" s="12" t="s">
        <v>136</v>
      </c>
      <c r="E140" s="14">
        <v>479126.17</v>
      </c>
      <c r="F140" s="14">
        <v>2242309.1395380385</v>
      </c>
      <c r="G140" s="14">
        <v>656604.37</v>
      </c>
      <c r="H140" s="14">
        <v>0</v>
      </c>
      <c r="I140" s="13">
        <f t="shared" si="2"/>
        <v>3378039.6795380386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3681178.2099999995</v>
      </c>
      <c r="H141" s="14">
        <v>199127.79499999998</v>
      </c>
      <c r="I141" s="13">
        <f t="shared" si="2"/>
        <v>3880306.0049999994</v>
      </c>
    </row>
    <row r="142" spans="1:9" ht="15.75" x14ac:dyDescent="0.25">
      <c r="A142" s="8"/>
      <c r="B142" s="8"/>
      <c r="C142" s="9"/>
      <c r="D142" s="12" t="s">
        <v>138</v>
      </c>
      <c r="E142" s="14">
        <v>8428.1299999999992</v>
      </c>
      <c r="F142" s="14">
        <v>0</v>
      </c>
      <c r="G142" s="14">
        <v>375367.92</v>
      </c>
      <c r="H142" s="14">
        <v>0</v>
      </c>
      <c r="I142" s="13">
        <f t="shared" si="2"/>
        <v>383796.05</v>
      </c>
    </row>
    <row r="143" spans="1:9" ht="15.75" x14ac:dyDescent="0.25">
      <c r="A143" s="8"/>
      <c r="B143" s="8"/>
      <c r="C143" s="9"/>
      <c r="D143" s="12" t="s">
        <v>139</v>
      </c>
      <c r="E143" s="14">
        <v>97797.540000000008</v>
      </c>
      <c r="F143" s="14">
        <v>2072438.4861901393</v>
      </c>
      <c r="G143" s="14">
        <v>95001.849999999991</v>
      </c>
      <c r="H143" s="14">
        <v>0</v>
      </c>
      <c r="I143" s="13">
        <f t="shared" si="2"/>
        <v>2265237.8761901394</v>
      </c>
    </row>
    <row r="144" spans="1:9" ht="15.75" x14ac:dyDescent="0.25">
      <c r="A144" s="8"/>
      <c r="B144" s="8"/>
      <c r="C144" s="9"/>
      <c r="D144" s="12" t="s">
        <v>140</v>
      </c>
      <c r="E144" s="14">
        <v>3327866.98</v>
      </c>
      <c r="F144" s="14">
        <v>251807.41255526507</v>
      </c>
      <c r="G144" s="14">
        <v>695519.42000000016</v>
      </c>
      <c r="H144" s="14">
        <v>0</v>
      </c>
      <c r="I144" s="13">
        <f t="shared" si="2"/>
        <v>4275193.8125552656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42913252.119999982</v>
      </c>
      <c r="F145" s="22">
        <f>SUM(F10:F144)</f>
        <v>103216121.6197264</v>
      </c>
      <c r="G145" s="22">
        <f>SUM(G10:G144)</f>
        <v>141991562.71999997</v>
      </c>
      <c r="H145" s="22">
        <f>SUM(H10:H144)</f>
        <v>6060197.3000000007</v>
      </c>
      <c r="I145" s="22">
        <f>SUM(I10:I144)</f>
        <v>294181133.75972641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J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154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6646028.2599999988</v>
      </c>
      <c r="F10" s="14">
        <v>9687682.6977304555</v>
      </c>
      <c r="G10" s="14">
        <v>390059.65999999992</v>
      </c>
      <c r="H10" s="14">
        <v>0</v>
      </c>
      <c r="I10" s="13">
        <f t="shared" ref="I10:I73" si="0">SUM(E10:H10)</f>
        <v>16723770.617730454</v>
      </c>
    </row>
    <row r="11" spans="1:9" ht="15.75" x14ac:dyDescent="0.25">
      <c r="A11" s="8"/>
      <c r="B11" s="8"/>
      <c r="C11" s="9"/>
      <c r="D11" s="12" t="s">
        <v>7</v>
      </c>
      <c r="E11" s="14">
        <v>9696995.0399999991</v>
      </c>
      <c r="F11" s="14">
        <v>5437467.2919954211</v>
      </c>
      <c r="G11" s="14">
        <v>311513.08000000007</v>
      </c>
      <c r="H11" s="14">
        <v>0</v>
      </c>
      <c r="I11" s="13">
        <f t="shared" si="0"/>
        <v>15445975.41199542</v>
      </c>
    </row>
    <row r="12" spans="1:9" ht="15.75" x14ac:dyDescent="0.25">
      <c r="A12" s="8"/>
      <c r="B12" s="8"/>
      <c r="C12" s="9"/>
      <c r="D12" s="12" t="s">
        <v>8</v>
      </c>
      <c r="E12" s="14">
        <v>9350985.2999999952</v>
      </c>
      <c r="F12" s="14">
        <v>1971241.2590305051</v>
      </c>
      <c r="G12" s="14">
        <v>309825.31000000006</v>
      </c>
      <c r="H12" s="14">
        <v>0</v>
      </c>
      <c r="I12" s="13">
        <f t="shared" si="0"/>
        <v>11632051.8690305</v>
      </c>
    </row>
    <row r="13" spans="1:9" ht="15.75" x14ac:dyDescent="0.25">
      <c r="A13" s="8"/>
      <c r="B13" s="8"/>
      <c r="C13" s="9"/>
      <c r="D13" s="12" t="s">
        <v>9</v>
      </c>
      <c r="E13" s="14">
        <v>1402023.43</v>
      </c>
      <c r="F13" s="14">
        <v>52164.203570710008</v>
      </c>
      <c r="G13" s="14">
        <v>2842493.2</v>
      </c>
      <c r="H13" s="14">
        <v>0</v>
      </c>
      <c r="I13" s="13">
        <f t="shared" si="0"/>
        <v>4296680.8335707104</v>
      </c>
    </row>
    <row r="14" spans="1:9" ht="15.75" x14ac:dyDescent="0.25">
      <c r="A14" s="8"/>
      <c r="B14" s="8"/>
      <c r="C14" s="9"/>
      <c r="D14" s="12" t="s">
        <v>10</v>
      </c>
      <c r="E14" s="14">
        <v>11787599.48</v>
      </c>
      <c r="F14" s="14">
        <v>2190268.0655894503</v>
      </c>
      <c r="G14" s="14">
        <v>474579.12000000005</v>
      </c>
      <c r="H14" s="14">
        <v>0</v>
      </c>
      <c r="I14" s="13">
        <f t="shared" si="0"/>
        <v>14452446.66558945</v>
      </c>
    </row>
    <row r="15" spans="1:9" ht="15.75" x14ac:dyDescent="0.25">
      <c r="A15" s="8"/>
      <c r="B15" s="8"/>
      <c r="C15" s="9"/>
      <c r="D15" s="12" t="s">
        <v>11</v>
      </c>
      <c r="E15" s="14">
        <v>183072.41</v>
      </c>
      <c r="F15" s="14">
        <v>12165.661934305001</v>
      </c>
      <c r="G15" s="14">
        <v>4958031.9799999995</v>
      </c>
      <c r="H15" s="14">
        <v>0</v>
      </c>
      <c r="I15" s="13">
        <f t="shared" si="0"/>
        <v>5153270.0519343046</v>
      </c>
    </row>
    <row r="16" spans="1:9" ht="15.75" x14ac:dyDescent="0.25">
      <c r="A16" s="8"/>
      <c r="B16" s="8"/>
      <c r="C16" s="9"/>
      <c r="D16" s="12" t="s">
        <v>12</v>
      </c>
      <c r="E16" s="14">
        <v>14729878.430000003</v>
      </c>
      <c r="F16" s="14">
        <v>10443839.190798476</v>
      </c>
      <c r="G16" s="14">
        <v>576185.21</v>
      </c>
      <c r="H16" s="14">
        <v>0</v>
      </c>
      <c r="I16" s="13">
        <f t="shared" si="0"/>
        <v>25749902.830798481</v>
      </c>
    </row>
    <row r="17" spans="1:9" ht="15.75" x14ac:dyDescent="0.25">
      <c r="A17" s="8"/>
      <c r="B17" s="8"/>
      <c r="C17" s="9"/>
      <c r="D17" s="12" t="s">
        <v>13</v>
      </c>
      <c r="E17" s="14">
        <v>26775913.140000004</v>
      </c>
      <c r="F17" s="14">
        <v>9595564.8442647979</v>
      </c>
      <c r="G17" s="14">
        <v>1204203.22</v>
      </c>
      <c r="H17" s="14">
        <v>0</v>
      </c>
      <c r="I17" s="13">
        <f t="shared" si="0"/>
        <v>37575681.204264805</v>
      </c>
    </row>
    <row r="18" spans="1:9" ht="15.75" x14ac:dyDescent="0.25">
      <c r="A18" s="8"/>
      <c r="B18" s="8"/>
      <c r="C18" s="9"/>
      <c r="D18" s="12" t="s">
        <v>14</v>
      </c>
      <c r="E18" s="14">
        <v>3314010.4899999998</v>
      </c>
      <c r="F18" s="14">
        <v>782238.59485337499</v>
      </c>
      <c r="G18" s="14">
        <v>5108138.79</v>
      </c>
      <c r="H18" s="14">
        <v>0</v>
      </c>
      <c r="I18" s="13">
        <f t="shared" si="0"/>
        <v>9204387.8748533744</v>
      </c>
    </row>
    <row r="19" spans="1:9" ht="15.75" x14ac:dyDescent="0.25">
      <c r="A19" s="8"/>
      <c r="B19" s="8"/>
      <c r="C19" s="9"/>
      <c r="D19" s="12" t="s">
        <v>15</v>
      </c>
      <c r="E19" s="14">
        <v>26688355.820000004</v>
      </c>
      <c r="F19" s="14">
        <v>7466125.0883468706</v>
      </c>
      <c r="G19" s="14">
        <v>813818.02</v>
      </c>
      <c r="H19" s="14">
        <v>0</v>
      </c>
      <c r="I19" s="13">
        <f t="shared" si="0"/>
        <v>34968298.92834688</v>
      </c>
    </row>
    <row r="20" spans="1:9" ht="15.75" x14ac:dyDescent="0.25">
      <c r="A20" s="8"/>
      <c r="B20" s="8"/>
      <c r="C20" s="9"/>
      <c r="D20" s="12" t="s">
        <v>16</v>
      </c>
      <c r="E20" s="14">
        <v>8746008.6400000006</v>
      </c>
      <c r="F20" s="14">
        <v>2051238.3423033154</v>
      </c>
      <c r="G20" s="14">
        <v>459649.40999999986</v>
      </c>
      <c r="H20" s="14">
        <v>0</v>
      </c>
      <c r="I20" s="13">
        <f t="shared" si="0"/>
        <v>11256896.392303316</v>
      </c>
    </row>
    <row r="21" spans="1:9" ht="15.75" x14ac:dyDescent="0.25">
      <c r="A21" s="8"/>
      <c r="B21" s="8"/>
      <c r="C21" s="9"/>
      <c r="D21" s="12" t="s">
        <v>17</v>
      </c>
      <c r="E21" s="14">
        <v>12967929.319999998</v>
      </c>
      <c r="F21" s="14">
        <v>8931526.2046624366</v>
      </c>
      <c r="G21" s="14">
        <v>282161.96000000002</v>
      </c>
      <c r="H21" s="14">
        <v>0</v>
      </c>
      <c r="I21" s="13">
        <f t="shared" si="0"/>
        <v>22181617.484662436</v>
      </c>
    </row>
    <row r="22" spans="1:9" ht="15.75" x14ac:dyDescent="0.25">
      <c r="A22" s="8"/>
      <c r="B22" s="8"/>
      <c r="C22" s="9"/>
      <c r="D22" s="12" t="s">
        <v>18</v>
      </c>
      <c r="E22" s="14">
        <v>297817.94</v>
      </c>
      <c r="F22" s="14">
        <v>382432.74545514508</v>
      </c>
      <c r="G22" s="14">
        <v>1910381.13</v>
      </c>
      <c r="H22" s="14">
        <v>0</v>
      </c>
      <c r="I22" s="13">
        <f t="shared" si="0"/>
        <v>2590631.8154551452</v>
      </c>
    </row>
    <row r="23" spans="1:9" ht="15.75" x14ac:dyDescent="0.25">
      <c r="A23" s="8"/>
      <c r="B23" s="8"/>
      <c r="C23" s="9"/>
      <c r="D23" s="12" t="s">
        <v>19</v>
      </c>
      <c r="E23" s="14">
        <v>351699.26000000007</v>
      </c>
      <c r="F23" s="14">
        <v>142531.27911962502</v>
      </c>
      <c r="G23" s="14">
        <v>2199916.8199999998</v>
      </c>
      <c r="H23" s="14">
        <v>0</v>
      </c>
      <c r="I23" s="13">
        <f t="shared" si="0"/>
        <v>2694147.3591196248</v>
      </c>
    </row>
    <row r="24" spans="1:9" ht="15.75" x14ac:dyDescent="0.25">
      <c r="A24" s="8"/>
      <c r="B24" s="8"/>
      <c r="C24" s="9"/>
      <c r="D24" s="12" t="s">
        <v>20</v>
      </c>
      <c r="E24" s="14">
        <v>12216319.209999999</v>
      </c>
      <c r="F24" s="14">
        <v>5477465.8336318256</v>
      </c>
      <c r="G24" s="14">
        <v>945357.7300000001</v>
      </c>
      <c r="H24" s="14">
        <v>0</v>
      </c>
      <c r="I24" s="13">
        <f t="shared" si="0"/>
        <v>18639142.773631826</v>
      </c>
    </row>
    <row r="25" spans="1:9" ht="15.75" x14ac:dyDescent="0.25">
      <c r="A25" s="8"/>
      <c r="B25" s="8"/>
      <c r="C25" s="9"/>
      <c r="D25" s="12" t="s">
        <v>21</v>
      </c>
      <c r="E25" s="14">
        <v>10472070.309999999</v>
      </c>
      <c r="F25" s="14">
        <v>4067685.5849790056</v>
      </c>
      <c r="G25" s="14">
        <v>1103229.42</v>
      </c>
      <c r="H25" s="14">
        <v>0</v>
      </c>
      <c r="I25" s="13">
        <f t="shared" si="0"/>
        <v>15642985.314979004</v>
      </c>
    </row>
    <row r="26" spans="1:9" ht="15.75" x14ac:dyDescent="0.25">
      <c r="A26" s="8"/>
      <c r="B26" s="8"/>
      <c r="C26" s="9"/>
      <c r="D26" s="12" t="s">
        <v>22</v>
      </c>
      <c r="E26" s="14">
        <v>5424438.2000000002</v>
      </c>
      <c r="F26" s="14">
        <v>2329342.6806170405</v>
      </c>
      <c r="G26" s="14">
        <v>338409.06</v>
      </c>
      <c r="H26" s="14">
        <v>0</v>
      </c>
      <c r="I26" s="13">
        <f t="shared" si="0"/>
        <v>8092189.9406170407</v>
      </c>
    </row>
    <row r="27" spans="1:9" ht="15.75" x14ac:dyDescent="0.25">
      <c r="A27" s="8"/>
      <c r="B27" s="8"/>
      <c r="C27" s="9"/>
      <c r="D27" s="12" t="s">
        <v>23</v>
      </c>
      <c r="E27" s="14">
        <v>3126891.9099999997</v>
      </c>
      <c r="F27" s="14">
        <v>399805.84939823009</v>
      </c>
      <c r="G27" s="14">
        <v>924622.58000000007</v>
      </c>
      <c r="H27" s="14">
        <v>0</v>
      </c>
      <c r="I27" s="13">
        <f t="shared" si="0"/>
        <v>4451320.3393982295</v>
      </c>
    </row>
    <row r="28" spans="1:9" ht="15.75" x14ac:dyDescent="0.25">
      <c r="A28" s="8"/>
      <c r="B28" s="8"/>
      <c r="C28" s="9"/>
      <c r="D28" s="12" t="s">
        <v>24</v>
      </c>
      <c r="E28" s="14">
        <v>5013827.5599999987</v>
      </c>
      <c r="F28" s="14">
        <v>1894790.6233326404</v>
      </c>
      <c r="G28" s="14">
        <v>651810.59</v>
      </c>
      <c r="H28" s="14">
        <v>0</v>
      </c>
      <c r="I28" s="13">
        <f t="shared" si="0"/>
        <v>7560428.7733326387</v>
      </c>
    </row>
    <row r="29" spans="1:9" ht="15.75" x14ac:dyDescent="0.25">
      <c r="A29" s="8"/>
      <c r="B29" s="8"/>
      <c r="C29" s="9"/>
      <c r="D29" s="12" t="s">
        <v>25</v>
      </c>
      <c r="E29" s="14">
        <v>4962379.4800000004</v>
      </c>
      <c r="F29" s="14">
        <v>1060387.8249085553</v>
      </c>
      <c r="G29" s="14">
        <v>242010.43000000002</v>
      </c>
      <c r="H29" s="14">
        <v>0</v>
      </c>
      <c r="I29" s="13">
        <f t="shared" si="0"/>
        <v>6264777.7349085556</v>
      </c>
    </row>
    <row r="30" spans="1:9" ht="15.75" x14ac:dyDescent="0.25">
      <c r="A30" s="8"/>
      <c r="B30" s="8"/>
      <c r="C30" s="9"/>
      <c r="D30" s="12" t="s">
        <v>26</v>
      </c>
      <c r="E30" s="14">
        <v>10657596.629999997</v>
      </c>
      <c r="F30" s="14">
        <v>5719073.1861426365</v>
      </c>
      <c r="G30" s="14">
        <v>552339.13</v>
      </c>
      <c r="H30" s="14">
        <v>0</v>
      </c>
      <c r="I30" s="13">
        <f t="shared" si="0"/>
        <v>16929008.946142633</v>
      </c>
    </row>
    <row r="31" spans="1:9" ht="15.75" x14ac:dyDescent="0.25">
      <c r="A31" s="8"/>
      <c r="B31" s="8"/>
      <c r="C31" s="9"/>
      <c r="D31" s="12" t="s">
        <v>27</v>
      </c>
      <c r="E31" s="14">
        <v>9650551.0800000001</v>
      </c>
      <c r="F31" s="14">
        <v>5927685.108684022</v>
      </c>
      <c r="G31" s="14">
        <v>334647.88</v>
      </c>
      <c r="H31" s="14">
        <v>0</v>
      </c>
      <c r="I31" s="13">
        <f t="shared" si="0"/>
        <v>15912884.068684023</v>
      </c>
    </row>
    <row r="32" spans="1:9" ht="15.75" x14ac:dyDescent="0.25">
      <c r="A32" s="8"/>
      <c r="B32" s="8"/>
      <c r="C32" s="9"/>
      <c r="D32" s="12" t="s">
        <v>28</v>
      </c>
      <c r="E32" s="14">
        <v>7988233.1099999994</v>
      </c>
      <c r="F32" s="14">
        <v>2000824.91664935</v>
      </c>
      <c r="G32" s="14">
        <v>230026.62</v>
      </c>
      <c r="H32" s="14">
        <v>0</v>
      </c>
      <c r="I32" s="13">
        <f t="shared" si="0"/>
        <v>10219084.646649348</v>
      </c>
    </row>
    <row r="33" spans="1:9" ht="15.75" x14ac:dyDescent="0.25">
      <c r="A33" s="8"/>
      <c r="B33" s="8"/>
      <c r="C33" s="9"/>
      <c r="D33" s="12" t="s">
        <v>29</v>
      </c>
      <c r="E33" s="14">
        <v>2279290.5100000002</v>
      </c>
      <c r="F33" s="14">
        <v>3024670.8640135354</v>
      </c>
      <c r="G33" s="14">
        <v>183240.66999999995</v>
      </c>
      <c r="H33" s="14">
        <v>0</v>
      </c>
      <c r="I33" s="13">
        <f t="shared" si="0"/>
        <v>5487202.0440135356</v>
      </c>
    </row>
    <row r="34" spans="1:9" ht="15.75" x14ac:dyDescent="0.25">
      <c r="A34" s="8"/>
      <c r="B34" s="8"/>
      <c r="C34" s="9"/>
      <c r="D34" s="12" t="s">
        <v>30</v>
      </c>
      <c r="E34" s="14">
        <v>22200034.140000001</v>
      </c>
      <c r="F34" s="14">
        <v>4340582.4812839497</v>
      </c>
      <c r="G34" s="14">
        <v>1187510.54</v>
      </c>
      <c r="H34" s="14">
        <v>0</v>
      </c>
      <c r="I34" s="13">
        <f t="shared" si="0"/>
        <v>27728127.161283948</v>
      </c>
    </row>
    <row r="35" spans="1:9" ht="15.75" x14ac:dyDescent="0.25">
      <c r="A35" s="8"/>
      <c r="B35" s="8"/>
      <c r="C35" s="9"/>
      <c r="D35" s="12" t="s">
        <v>31</v>
      </c>
      <c r="E35" s="14">
        <v>9418267.8300000019</v>
      </c>
      <c r="F35" s="14">
        <v>6381405.9395697061</v>
      </c>
      <c r="G35" s="14">
        <v>726728.74</v>
      </c>
      <c r="H35" s="14">
        <v>0</v>
      </c>
      <c r="I35" s="13">
        <f t="shared" si="0"/>
        <v>16526402.509569708</v>
      </c>
    </row>
    <row r="36" spans="1:9" ht="15.75" x14ac:dyDescent="0.25">
      <c r="A36" s="8"/>
      <c r="B36" s="8"/>
      <c r="C36" s="9"/>
      <c r="D36" s="12" t="s">
        <v>32</v>
      </c>
      <c r="E36" s="14">
        <v>12071022.570000002</v>
      </c>
      <c r="F36" s="14">
        <v>3959900.5137455505</v>
      </c>
      <c r="G36" s="14">
        <v>1321932.3599999999</v>
      </c>
      <c r="H36" s="14">
        <v>0</v>
      </c>
      <c r="I36" s="13">
        <f t="shared" si="0"/>
        <v>17352855.443745553</v>
      </c>
    </row>
    <row r="37" spans="1:9" ht="15.75" x14ac:dyDescent="0.25">
      <c r="A37" s="8"/>
      <c r="B37" s="8"/>
      <c r="C37" s="9"/>
      <c r="D37" s="12" t="s">
        <v>33</v>
      </c>
      <c r="E37" s="14">
        <v>10929892.830000002</v>
      </c>
      <c r="F37" s="14">
        <v>2190268.0655894503</v>
      </c>
      <c r="G37" s="14">
        <v>558036.74000000011</v>
      </c>
      <c r="H37" s="14">
        <v>0</v>
      </c>
      <c r="I37" s="13">
        <f t="shared" si="0"/>
        <v>13678197.635589452</v>
      </c>
    </row>
    <row r="38" spans="1:9" ht="15.75" x14ac:dyDescent="0.25">
      <c r="A38" s="8"/>
      <c r="B38" s="8"/>
      <c r="C38" s="9"/>
      <c r="D38" s="12" t="s">
        <v>34</v>
      </c>
      <c r="E38" s="14">
        <v>8681425.5</v>
      </c>
      <c r="F38" s="14">
        <v>4759557.104283466</v>
      </c>
      <c r="G38" s="14">
        <v>313209.64</v>
      </c>
      <c r="H38" s="14">
        <v>0</v>
      </c>
      <c r="I38" s="13">
        <f t="shared" si="0"/>
        <v>13754192.244283468</v>
      </c>
    </row>
    <row r="39" spans="1:9" ht="15.75" x14ac:dyDescent="0.25">
      <c r="A39" s="8"/>
      <c r="B39" s="8"/>
      <c r="C39" s="9"/>
      <c r="D39" s="12" t="s">
        <v>35</v>
      </c>
      <c r="E39" s="14">
        <v>7259795.2100000009</v>
      </c>
      <c r="F39" s="14">
        <v>7452208.6484958204</v>
      </c>
      <c r="G39" s="14">
        <v>389021.50999999995</v>
      </c>
      <c r="H39" s="14">
        <v>0</v>
      </c>
      <c r="I39" s="13">
        <f t="shared" si="0"/>
        <v>15101025.36849582</v>
      </c>
    </row>
    <row r="40" spans="1:9" ht="15.75" x14ac:dyDescent="0.25">
      <c r="A40" s="8"/>
      <c r="B40" s="8"/>
      <c r="C40" s="9"/>
      <c r="D40" s="12" t="s">
        <v>36</v>
      </c>
      <c r="E40" s="14">
        <v>754815.69</v>
      </c>
      <c r="F40" s="14">
        <v>391141.74329741509</v>
      </c>
      <c r="G40" s="14">
        <v>427511.18000000005</v>
      </c>
      <c r="H40" s="14">
        <v>0</v>
      </c>
      <c r="I40" s="13">
        <f t="shared" si="0"/>
        <v>1573468.613297415</v>
      </c>
    </row>
    <row r="41" spans="1:9" ht="15.75" x14ac:dyDescent="0.25">
      <c r="A41" s="8"/>
      <c r="B41" s="8"/>
      <c r="C41" s="9"/>
      <c r="D41" s="12" t="s">
        <v>37</v>
      </c>
      <c r="E41" s="14">
        <v>16621204.540000003</v>
      </c>
      <c r="F41" s="14">
        <v>6536102.8806236349</v>
      </c>
      <c r="G41" s="14">
        <v>981069.47999999975</v>
      </c>
      <c r="H41" s="14">
        <v>0</v>
      </c>
      <c r="I41" s="13">
        <f t="shared" si="0"/>
        <v>24138376.900623638</v>
      </c>
    </row>
    <row r="42" spans="1:9" ht="15.75" x14ac:dyDescent="0.25">
      <c r="A42" s="8"/>
      <c r="B42" s="8"/>
      <c r="C42" s="9"/>
      <c r="D42" s="12" t="s">
        <v>38</v>
      </c>
      <c r="E42" s="14">
        <v>11230875.030000001</v>
      </c>
      <c r="F42" s="14">
        <v>7078484.9008829454</v>
      </c>
      <c r="G42" s="14">
        <v>466718.07000000007</v>
      </c>
      <c r="H42" s="14">
        <v>0</v>
      </c>
      <c r="I42" s="13">
        <f t="shared" si="0"/>
        <v>18776078.000882946</v>
      </c>
    </row>
    <row r="43" spans="1:9" ht="15.75" x14ac:dyDescent="0.25">
      <c r="A43" s="8"/>
      <c r="B43" s="8"/>
      <c r="C43" s="9"/>
      <c r="D43" s="12" t="s">
        <v>39</v>
      </c>
      <c r="E43" s="14">
        <v>2473117.8699999996</v>
      </c>
      <c r="F43" s="14">
        <v>2574451.58896134</v>
      </c>
      <c r="G43" s="14">
        <v>403621.61999999994</v>
      </c>
      <c r="H43" s="14">
        <v>0</v>
      </c>
      <c r="I43" s="13">
        <f t="shared" si="0"/>
        <v>5451191.0789613398</v>
      </c>
    </row>
    <row r="44" spans="1:9" ht="15.75" x14ac:dyDescent="0.25">
      <c r="A44" s="8"/>
      <c r="B44" s="8"/>
      <c r="C44" s="9"/>
      <c r="D44" s="12" t="s">
        <v>40</v>
      </c>
      <c r="E44" s="14">
        <v>18026.54</v>
      </c>
      <c r="F44" s="14">
        <v>198152.14678237002</v>
      </c>
      <c r="G44" s="14">
        <v>444937.71999999991</v>
      </c>
      <c r="H44" s="14">
        <v>0</v>
      </c>
      <c r="I44" s="13">
        <f t="shared" si="0"/>
        <v>661116.40678236994</v>
      </c>
    </row>
    <row r="45" spans="1:9" ht="15.75" x14ac:dyDescent="0.25">
      <c r="A45" s="8"/>
      <c r="B45" s="8"/>
      <c r="C45" s="9"/>
      <c r="D45" s="12" t="s">
        <v>41</v>
      </c>
      <c r="E45" s="14">
        <v>4272820.8599999994</v>
      </c>
      <c r="F45" s="14">
        <v>57371.645579490003</v>
      </c>
      <c r="G45" s="14">
        <v>1661067.98</v>
      </c>
      <c r="H45" s="14">
        <v>0</v>
      </c>
      <c r="I45" s="13">
        <f t="shared" si="0"/>
        <v>5991260.4855794888</v>
      </c>
    </row>
    <row r="46" spans="1:9" ht="15.75" x14ac:dyDescent="0.25">
      <c r="A46" s="8"/>
      <c r="B46" s="8"/>
      <c r="C46" s="9"/>
      <c r="D46" s="12" t="s">
        <v>42</v>
      </c>
      <c r="E46" s="14">
        <v>1013175.2599999999</v>
      </c>
      <c r="F46" s="14">
        <v>191193.92685684504</v>
      </c>
      <c r="G46" s="14">
        <v>1682643.54</v>
      </c>
      <c r="H46" s="14">
        <v>0</v>
      </c>
      <c r="I46" s="13">
        <f t="shared" si="0"/>
        <v>2887012.726856845</v>
      </c>
    </row>
    <row r="47" spans="1:9" ht="15.75" x14ac:dyDescent="0.25">
      <c r="A47" s="8"/>
      <c r="B47" s="8"/>
      <c r="C47" s="9"/>
      <c r="D47" s="12" t="s">
        <v>43</v>
      </c>
      <c r="E47" s="14">
        <v>5017989.83</v>
      </c>
      <c r="F47" s="14">
        <v>1213333.9880457402</v>
      </c>
      <c r="G47" s="14">
        <v>391608.77999999991</v>
      </c>
      <c r="H47" s="14">
        <v>0</v>
      </c>
      <c r="I47" s="13">
        <f t="shared" si="0"/>
        <v>6622932.5980457403</v>
      </c>
    </row>
    <row r="48" spans="1:9" ht="15.75" x14ac:dyDescent="0.25">
      <c r="A48" s="8"/>
      <c r="B48" s="8"/>
      <c r="C48" s="9"/>
      <c r="D48" s="12" t="s">
        <v>44</v>
      </c>
      <c r="E48" s="14">
        <v>3212478.4299999997</v>
      </c>
      <c r="F48" s="14">
        <v>191193.92685684504</v>
      </c>
      <c r="G48" s="14">
        <v>763290.04</v>
      </c>
      <c r="H48" s="14">
        <v>0</v>
      </c>
      <c r="I48" s="13">
        <f t="shared" si="0"/>
        <v>4166962.3968568449</v>
      </c>
    </row>
    <row r="49" spans="1:9" ht="15.75" x14ac:dyDescent="0.25">
      <c r="A49" s="8"/>
      <c r="B49" s="8"/>
      <c r="C49" s="9"/>
      <c r="D49" s="12" t="s">
        <v>45</v>
      </c>
      <c r="E49" s="14">
        <v>991605.74999999977</v>
      </c>
      <c r="F49" s="14">
        <v>227735.80440121502</v>
      </c>
      <c r="G49" s="14">
        <v>1408205.5299999998</v>
      </c>
      <c r="H49" s="14">
        <v>0</v>
      </c>
      <c r="I49" s="13">
        <f t="shared" si="0"/>
        <v>2627547.0844012145</v>
      </c>
    </row>
    <row r="50" spans="1:9" ht="15.75" x14ac:dyDescent="0.25">
      <c r="A50" s="8"/>
      <c r="B50" s="8"/>
      <c r="C50" s="9"/>
      <c r="D50" s="12" t="s">
        <v>46</v>
      </c>
      <c r="E50" s="14">
        <v>6041040.8800000008</v>
      </c>
      <c r="F50" s="14">
        <v>2200727.8413484651</v>
      </c>
      <c r="G50" s="14">
        <v>167482.68000000002</v>
      </c>
      <c r="H50" s="14">
        <v>0</v>
      </c>
      <c r="I50" s="13">
        <f t="shared" si="0"/>
        <v>8409251.4013484661</v>
      </c>
    </row>
    <row r="51" spans="1:9" ht="15.75" x14ac:dyDescent="0.25">
      <c r="A51" s="8"/>
      <c r="B51" s="8"/>
      <c r="C51" s="9"/>
      <c r="D51" s="12" t="s">
        <v>47</v>
      </c>
      <c r="E51" s="14">
        <v>8070425.8700000001</v>
      </c>
      <c r="F51" s="14">
        <v>4001604.9415572453</v>
      </c>
      <c r="G51" s="14">
        <v>394800.35999999987</v>
      </c>
      <c r="H51" s="14">
        <v>0</v>
      </c>
      <c r="I51" s="13">
        <f t="shared" si="0"/>
        <v>12466831.171557244</v>
      </c>
    </row>
    <row r="52" spans="1:9" ht="15.75" x14ac:dyDescent="0.25">
      <c r="A52" s="8"/>
      <c r="B52" s="8"/>
      <c r="C52" s="9"/>
      <c r="D52" s="12" t="s">
        <v>48</v>
      </c>
      <c r="E52" s="14">
        <v>5601451.2800000012</v>
      </c>
      <c r="F52" s="14">
        <v>4032894.4853513809</v>
      </c>
      <c r="G52" s="14">
        <v>133992.54</v>
      </c>
      <c r="H52" s="14">
        <v>0</v>
      </c>
      <c r="I52" s="13">
        <f t="shared" si="0"/>
        <v>9768338.3053513803</v>
      </c>
    </row>
    <row r="53" spans="1:9" ht="15.75" x14ac:dyDescent="0.25">
      <c r="A53" s="8"/>
      <c r="B53" s="8"/>
      <c r="C53" s="9"/>
      <c r="D53" s="12" t="s">
        <v>49</v>
      </c>
      <c r="E53" s="14">
        <v>10018530.17</v>
      </c>
      <c r="F53" s="14">
        <v>2763939.629642895</v>
      </c>
      <c r="G53" s="14">
        <v>846093.75999999989</v>
      </c>
      <c r="H53" s="14">
        <v>0</v>
      </c>
      <c r="I53" s="13">
        <f t="shared" si="0"/>
        <v>13628563.559642894</v>
      </c>
    </row>
    <row r="54" spans="1:9" ht="15.75" x14ac:dyDescent="0.25">
      <c r="A54" s="8"/>
      <c r="B54" s="8"/>
      <c r="C54" s="9"/>
      <c r="D54" s="12" t="s">
        <v>50</v>
      </c>
      <c r="E54" s="14">
        <v>7284905.0499999998</v>
      </c>
      <c r="F54" s="14">
        <v>2537954.6031584255</v>
      </c>
      <c r="G54" s="14">
        <v>387755.08999999997</v>
      </c>
      <c r="H54" s="14">
        <v>0</v>
      </c>
      <c r="I54" s="13">
        <f t="shared" si="0"/>
        <v>10210614.743158426</v>
      </c>
    </row>
    <row r="55" spans="1:9" ht="15.75" x14ac:dyDescent="0.25">
      <c r="A55" s="8"/>
      <c r="B55" s="8"/>
      <c r="C55" s="9"/>
      <c r="D55" s="12" t="s">
        <v>51</v>
      </c>
      <c r="E55" s="14">
        <v>2764989.51</v>
      </c>
      <c r="F55" s="14">
        <v>5197610.7174013555</v>
      </c>
      <c r="G55" s="14">
        <v>36308.03</v>
      </c>
      <c r="H55" s="14">
        <v>0</v>
      </c>
      <c r="I55" s="13">
        <f t="shared" si="0"/>
        <v>7998908.2574013555</v>
      </c>
    </row>
    <row r="56" spans="1:9" ht="15.75" x14ac:dyDescent="0.25">
      <c r="A56" s="8"/>
      <c r="B56" s="8"/>
      <c r="C56" s="9"/>
      <c r="D56" s="12" t="s">
        <v>52</v>
      </c>
      <c r="E56" s="14">
        <v>6679371.0800000001</v>
      </c>
      <c r="F56" s="14">
        <v>5785153.8295643954</v>
      </c>
      <c r="G56" s="14">
        <v>343960.89999999997</v>
      </c>
      <c r="H56" s="14">
        <v>0</v>
      </c>
      <c r="I56" s="13">
        <f t="shared" si="0"/>
        <v>12808485.809564395</v>
      </c>
    </row>
    <row r="57" spans="1:9" ht="15.75" x14ac:dyDescent="0.25">
      <c r="A57" s="8"/>
      <c r="B57" s="8"/>
      <c r="C57" s="9"/>
      <c r="D57" s="12" t="s">
        <v>53</v>
      </c>
      <c r="E57" s="14">
        <v>2098634.81</v>
      </c>
      <c r="F57" s="14">
        <v>1912163.7272757252</v>
      </c>
      <c r="G57" s="14">
        <v>209200.64000000001</v>
      </c>
      <c r="H57" s="14">
        <v>0</v>
      </c>
      <c r="I57" s="13">
        <f t="shared" si="0"/>
        <v>4219999.1772757247</v>
      </c>
    </row>
    <row r="58" spans="1:9" ht="15.75" x14ac:dyDescent="0.25">
      <c r="A58" s="8"/>
      <c r="B58" s="8"/>
      <c r="C58" s="9"/>
      <c r="D58" s="12" t="s">
        <v>54</v>
      </c>
      <c r="E58" s="14">
        <v>2434887.9099999997</v>
      </c>
      <c r="F58" s="14">
        <v>2058196.5622288403</v>
      </c>
      <c r="G58" s="14">
        <v>25008.489999999998</v>
      </c>
      <c r="H58" s="14">
        <v>0</v>
      </c>
      <c r="I58" s="13">
        <f t="shared" si="0"/>
        <v>4518092.9622288402</v>
      </c>
    </row>
    <row r="59" spans="1:9" ht="15.75" x14ac:dyDescent="0.25">
      <c r="A59" s="8"/>
      <c r="B59" s="8"/>
      <c r="C59" s="9"/>
      <c r="D59" s="12" t="s">
        <v>55</v>
      </c>
      <c r="E59" s="14">
        <v>5384152.0999999996</v>
      </c>
      <c r="F59" s="14">
        <v>3476640.9169824747</v>
      </c>
      <c r="G59" s="14">
        <v>390542.21000000008</v>
      </c>
      <c r="H59" s="14">
        <v>0</v>
      </c>
      <c r="I59" s="13">
        <f t="shared" si="0"/>
        <v>9251335.2269824743</v>
      </c>
    </row>
    <row r="60" spans="1:9" ht="15.75" x14ac:dyDescent="0.25">
      <c r="A60" s="8"/>
      <c r="B60" s="8"/>
      <c r="C60" s="9"/>
      <c r="D60" s="12" t="s">
        <v>56</v>
      </c>
      <c r="E60" s="14">
        <v>3507735.17</v>
      </c>
      <c r="F60" s="14">
        <v>2103357.6541325701</v>
      </c>
      <c r="G60" s="14">
        <v>136800.57</v>
      </c>
      <c r="H60" s="14">
        <v>0</v>
      </c>
      <c r="I60" s="13">
        <f t="shared" si="0"/>
        <v>5747893.3941325704</v>
      </c>
    </row>
    <row r="61" spans="1:9" ht="15.75" x14ac:dyDescent="0.25">
      <c r="A61" s="8"/>
      <c r="B61" s="8"/>
      <c r="C61" s="9"/>
      <c r="D61" s="12" t="s">
        <v>57</v>
      </c>
      <c r="E61" s="14">
        <v>10927787.35</v>
      </c>
      <c r="F61" s="14">
        <v>3528805.1205531857</v>
      </c>
      <c r="G61" s="14">
        <v>347020.17</v>
      </c>
      <c r="H61" s="14">
        <v>0</v>
      </c>
      <c r="I61" s="13">
        <f t="shared" si="0"/>
        <v>14803612.640553186</v>
      </c>
    </row>
    <row r="62" spans="1:9" ht="15.75" x14ac:dyDescent="0.25">
      <c r="A62" s="8"/>
      <c r="B62" s="8"/>
      <c r="C62" s="9"/>
      <c r="D62" s="12" t="s">
        <v>58</v>
      </c>
      <c r="E62" s="14">
        <v>10019945.390000002</v>
      </c>
      <c r="F62" s="14">
        <v>3937319.9677936854</v>
      </c>
      <c r="G62" s="14">
        <v>10654454.629999999</v>
      </c>
      <c r="H62" s="14">
        <v>0</v>
      </c>
      <c r="I62" s="13">
        <f t="shared" si="0"/>
        <v>24611719.987793688</v>
      </c>
    </row>
    <row r="63" spans="1:9" ht="15.75" x14ac:dyDescent="0.25">
      <c r="A63" s="8"/>
      <c r="B63" s="8"/>
      <c r="C63" s="9"/>
      <c r="D63" s="12" t="s">
        <v>59</v>
      </c>
      <c r="E63" s="14">
        <v>3781991.95</v>
      </c>
      <c r="F63" s="14">
        <v>434596.94902585499</v>
      </c>
      <c r="G63" s="14">
        <v>520733.52999999991</v>
      </c>
      <c r="H63" s="14">
        <v>0</v>
      </c>
      <c r="I63" s="13">
        <f t="shared" si="0"/>
        <v>4737322.4290258558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3862023.4</v>
      </c>
      <c r="H64" s="14">
        <v>0</v>
      </c>
      <c r="I64" s="13">
        <f t="shared" si="0"/>
        <v>3862023.4</v>
      </c>
    </row>
    <row r="65" spans="1:9" ht="15.75" x14ac:dyDescent="0.25">
      <c r="A65" s="8"/>
      <c r="B65" s="8"/>
      <c r="C65" s="9"/>
      <c r="D65" s="12" t="s">
        <v>61</v>
      </c>
      <c r="E65" s="14">
        <v>8188642.8200000012</v>
      </c>
      <c r="F65" s="14">
        <v>5145446.5138306459</v>
      </c>
      <c r="G65" s="14">
        <v>262191.30999999994</v>
      </c>
      <c r="H65" s="14">
        <v>0</v>
      </c>
      <c r="I65" s="13">
        <f t="shared" si="0"/>
        <v>13596280.643830648</v>
      </c>
    </row>
    <row r="66" spans="1:9" ht="15.75" x14ac:dyDescent="0.25">
      <c r="A66" s="8"/>
      <c r="B66" s="8"/>
      <c r="C66" s="9"/>
      <c r="D66" s="12" t="s">
        <v>62</v>
      </c>
      <c r="E66" s="14">
        <v>38764343.199999996</v>
      </c>
      <c r="F66" s="14">
        <v>10230064.717989767</v>
      </c>
      <c r="G66" s="14">
        <v>704050.51</v>
      </c>
      <c r="H66" s="14">
        <v>0</v>
      </c>
      <c r="I66" s="13">
        <f t="shared" si="0"/>
        <v>49698458.427989759</v>
      </c>
    </row>
    <row r="67" spans="1:9" ht="15.75" x14ac:dyDescent="0.25">
      <c r="A67" s="8"/>
      <c r="B67" s="8"/>
      <c r="C67" s="9"/>
      <c r="D67" s="12" t="s">
        <v>63</v>
      </c>
      <c r="E67" s="14">
        <v>7510961.8200000003</v>
      </c>
      <c r="F67" s="14">
        <v>4728267.5604893304</v>
      </c>
      <c r="G67" s="14">
        <v>328318.90999999997</v>
      </c>
      <c r="H67" s="14">
        <v>0</v>
      </c>
      <c r="I67" s="13">
        <f t="shared" si="0"/>
        <v>12567548.290489331</v>
      </c>
    </row>
    <row r="68" spans="1:9" ht="15.75" x14ac:dyDescent="0.25">
      <c r="A68" s="8"/>
      <c r="B68" s="8"/>
      <c r="C68" s="9"/>
      <c r="D68" s="12" t="s">
        <v>64</v>
      </c>
      <c r="E68" s="14">
        <v>6398201.4900000012</v>
      </c>
      <c r="F68" s="14">
        <v>1999074.1387326054</v>
      </c>
      <c r="G68" s="14">
        <v>235469.21</v>
      </c>
      <c r="H68" s="14">
        <v>0</v>
      </c>
      <c r="I68" s="13">
        <f t="shared" si="0"/>
        <v>8632744.8387326077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1239912.8</v>
      </c>
      <c r="H69" s="14">
        <v>0</v>
      </c>
      <c r="I69" s="13">
        <f t="shared" si="0"/>
        <v>1239912.8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1415342.6799999997</v>
      </c>
      <c r="H70" s="14">
        <v>0</v>
      </c>
      <c r="I70" s="13">
        <f t="shared" si="0"/>
        <v>1415342.6799999997</v>
      </c>
    </row>
    <row r="71" spans="1:9" ht="15.75" x14ac:dyDescent="0.25">
      <c r="A71" s="8"/>
      <c r="B71" s="8"/>
      <c r="C71" s="9"/>
      <c r="D71" s="12" t="s">
        <v>67</v>
      </c>
      <c r="E71" s="14">
        <v>8426.74</v>
      </c>
      <c r="F71" s="14">
        <v>52164.203570710008</v>
      </c>
      <c r="G71" s="14">
        <v>869784.84</v>
      </c>
      <c r="H71" s="14">
        <v>0</v>
      </c>
      <c r="I71" s="13">
        <f t="shared" si="0"/>
        <v>930375.78357070999</v>
      </c>
    </row>
    <row r="72" spans="1:9" ht="15.75" x14ac:dyDescent="0.25">
      <c r="A72" s="8"/>
      <c r="B72" s="8"/>
      <c r="C72" s="9"/>
      <c r="D72" s="12" t="s">
        <v>68</v>
      </c>
      <c r="E72" s="14">
        <v>12182746.969999999</v>
      </c>
      <c r="F72" s="14">
        <v>3247199.2264059703</v>
      </c>
      <c r="G72" s="14">
        <v>2382604.9900000002</v>
      </c>
      <c r="H72" s="14">
        <v>0</v>
      </c>
      <c r="I72" s="13">
        <f t="shared" si="0"/>
        <v>17812551.186405972</v>
      </c>
    </row>
    <row r="73" spans="1:9" ht="15.75" x14ac:dyDescent="0.25">
      <c r="A73" s="8"/>
      <c r="B73" s="8"/>
      <c r="C73" s="9"/>
      <c r="D73" s="12" t="s">
        <v>69</v>
      </c>
      <c r="E73" s="14">
        <v>91062.85</v>
      </c>
      <c r="F73" s="14">
        <v>0</v>
      </c>
      <c r="G73" s="14">
        <v>896080.76000000013</v>
      </c>
      <c r="H73" s="14">
        <v>0</v>
      </c>
      <c r="I73" s="13">
        <f t="shared" si="0"/>
        <v>987143.6100000001</v>
      </c>
    </row>
    <row r="74" spans="1:9" ht="15.75" x14ac:dyDescent="0.25">
      <c r="A74" s="8"/>
      <c r="B74" s="8"/>
      <c r="C74" s="9"/>
      <c r="D74" s="12" t="s">
        <v>70</v>
      </c>
      <c r="E74" s="14">
        <v>1330701.3400000001</v>
      </c>
      <c r="F74" s="14">
        <v>274647.67422169005</v>
      </c>
      <c r="G74" s="14">
        <v>6360435.1900000004</v>
      </c>
      <c r="H74" s="14">
        <v>0</v>
      </c>
      <c r="I74" s="13">
        <f t="shared" ref="I74:I137" si="1">SUM(E74:H74)</f>
        <v>7965784.2042216901</v>
      </c>
    </row>
    <row r="75" spans="1:9" ht="15.75" x14ac:dyDescent="0.25">
      <c r="A75" s="8"/>
      <c r="B75" s="8"/>
      <c r="C75" s="9"/>
      <c r="D75" s="12" t="s">
        <v>71</v>
      </c>
      <c r="E75" s="14">
        <v>3697379.080000001</v>
      </c>
      <c r="F75" s="14">
        <v>1067346.0448340802</v>
      </c>
      <c r="G75" s="14">
        <v>12037732.630000001</v>
      </c>
      <c r="H75" s="14">
        <v>0</v>
      </c>
      <c r="I75" s="13">
        <f t="shared" si="1"/>
        <v>16802457.754834082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3505921.8899999997</v>
      </c>
      <c r="H76" s="14">
        <v>0</v>
      </c>
      <c r="I76" s="13">
        <f t="shared" si="1"/>
        <v>3505921.8899999997</v>
      </c>
    </row>
    <row r="77" spans="1:9" ht="15.75" x14ac:dyDescent="0.25">
      <c r="A77" s="8"/>
      <c r="B77" s="8"/>
      <c r="C77" s="9"/>
      <c r="D77" s="12" t="s">
        <v>73</v>
      </c>
      <c r="E77" s="14">
        <v>4936595.7500000009</v>
      </c>
      <c r="F77" s="14">
        <v>5293185.234959051</v>
      </c>
      <c r="G77" s="14">
        <v>187550.13</v>
      </c>
      <c r="H77" s="14">
        <v>0</v>
      </c>
      <c r="I77" s="13">
        <f t="shared" si="1"/>
        <v>10417331.114959052</v>
      </c>
    </row>
    <row r="78" spans="1:9" ht="15.75" x14ac:dyDescent="0.25">
      <c r="A78" s="8"/>
      <c r="B78" s="8"/>
      <c r="C78" s="9"/>
      <c r="D78" s="12" t="s">
        <v>74</v>
      </c>
      <c r="E78" s="14">
        <v>8543461.2799999993</v>
      </c>
      <c r="F78" s="14">
        <v>5371431.5403151158</v>
      </c>
      <c r="G78" s="14">
        <v>412422.01</v>
      </c>
      <c r="H78" s="14">
        <v>0</v>
      </c>
      <c r="I78" s="13">
        <f t="shared" si="1"/>
        <v>14327314.830315115</v>
      </c>
    </row>
    <row r="79" spans="1:9" ht="15.75" x14ac:dyDescent="0.25">
      <c r="A79" s="8"/>
      <c r="B79" s="8"/>
      <c r="C79" s="9"/>
      <c r="D79" s="12" t="s">
        <v>75</v>
      </c>
      <c r="E79" s="14">
        <v>9312527.7800000012</v>
      </c>
      <c r="F79" s="14">
        <v>3016006.7579127201</v>
      </c>
      <c r="G79" s="14">
        <v>595107.09</v>
      </c>
      <c r="H79" s="14">
        <v>0</v>
      </c>
      <c r="I79" s="13">
        <f t="shared" si="1"/>
        <v>12923641.627912721</v>
      </c>
    </row>
    <row r="80" spans="1:9" ht="15.75" x14ac:dyDescent="0.25">
      <c r="A80" s="8"/>
      <c r="B80" s="8"/>
      <c r="C80" s="9"/>
      <c r="D80" s="12" t="s">
        <v>76</v>
      </c>
      <c r="E80" s="14">
        <v>3346121.16</v>
      </c>
      <c r="F80" s="14">
        <v>1594060.8473255953</v>
      </c>
      <c r="G80" s="14">
        <v>69069.999999999985</v>
      </c>
      <c r="H80" s="14">
        <v>0</v>
      </c>
      <c r="I80" s="13">
        <f t="shared" si="1"/>
        <v>5009252.0073255952</v>
      </c>
    </row>
    <row r="81" spans="1:9" ht="15.75" x14ac:dyDescent="0.25">
      <c r="A81" s="8"/>
      <c r="B81" s="8"/>
      <c r="C81" s="9"/>
      <c r="D81" s="12" t="s">
        <v>77</v>
      </c>
      <c r="E81" s="14">
        <v>21142621.369999997</v>
      </c>
      <c r="F81" s="14">
        <v>9618145.3902166616</v>
      </c>
      <c r="G81" s="14">
        <v>1090340.19</v>
      </c>
      <c r="H81" s="14">
        <v>0</v>
      </c>
      <c r="I81" s="13">
        <f t="shared" si="1"/>
        <v>31851106.950216662</v>
      </c>
    </row>
    <row r="82" spans="1:9" ht="15.75" x14ac:dyDescent="0.25">
      <c r="A82" s="8"/>
      <c r="B82" s="8"/>
      <c r="C82" s="9"/>
      <c r="D82" s="12" t="s">
        <v>78</v>
      </c>
      <c r="E82" s="14">
        <v>28072859.400000006</v>
      </c>
      <c r="F82" s="14">
        <v>6666468.4978089556</v>
      </c>
      <c r="G82" s="14">
        <v>478516.2</v>
      </c>
      <c r="H82" s="14">
        <v>0</v>
      </c>
      <c r="I82" s="13">
        <f t="shared" si="1"/>
        <v>35217844.097808965</v>
      </c>
    </row>
    <row r="83" spans="1:9" ht="15.75" x14ac:dyDescent="0.25">
      <c r="A83" s="8"/>
      <c r="B83" s="8"/>
      <c r="C83" s="9"/>
      <c r="D83" s="12" t="s">
        <v>79</v>
      </c>
      <c r="E83" s="14">
        <v>6146750.1700000009</v>
      </c>
      <c r="F83" s="14">
        <v>2737857.5278575402</v>
      </c>
      <c r="G83" s="14">
        <v>496516.36999999994</v>
      </c>
      <c r="H83" s="14">
        <v>0</v>
      </c>
      <c r="I83" s="13">
        <f t="shared" si="1"/>
        <v>9381124.0678575393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4713047.3999999994</v>
      </c>
      <c r="H84" s="14">
        <v>0</v>
      </c>
      <c r="I84" s="13">
        <f t="shared" si="1"/>
        <v>4713047.3999999994</v>
      </c>
    </row>
    <row r="85" spans="1:9" ht="15.75" x14ac:dyDescent="0.25">
      <c r="A85" s="8"/>
      <c r="B85" s="8"/>
      <c r="C85" s="9"/>
      <c r="D85" s="12" t="s">
        <v>81</v>
      </c>
      <c r="E85" s="14">
        <v>7305975.1499999994</v>
      </c>
      <c r="F85" s="14">
        <v>851775.90236717009</v>
      </c>
      <c r="G85" s="14">
        <v>1792203.0500000003</v>
      </c>
      <c r="H85" s="14">
        <v>0</v>
      </c>
      <c r="I85" s="13">
        <f t="shared" si="1"/>
        <v>9949954.1023671702</v>
      </c>
    </row>
    <row r="86" spans="1:9" ht="15.75" x14ac:dyDescent="0.25">
      <c r="A86" s="8"/>
      <c r="B86" s="8"/>
      <c r="C86" s="9"/>
      <c r="D86" s="12" t="s">
        <v>82</v>
      </c>
      <c r="E86" s="14">
        <v>4554787.33</v>
      </c>
      <c r="F86" s="14">
        <v>3537514.1183954552</v>
      </c>
      <c r="G86" s="14">
        <v>167612.42000000001</v>
      </c>
      <c r="H86" s="14">
        <v>0</v>
      </c>
      <c r="I86" s="13">
        <f t="shared" si="1"/>
        <v>8259913.8683954552</v>
      </c>
    </row>
    <row r="87" spans="1:9" ht="15.75" x14ac:dyDescent="0.25">
      <c r="A87" s="8"/>
      <c r="B87" s="8"/>
      <c r="C87" s="9"/>
      <c r="D87" s="12" t="s">
        <v>83</v>
      </c>
      <c r="E87" s="14">
        <v>2810048.8900000006</v>
      </c>
      <c r="F87" s="14">
        <v>4658730.2529755356</v>
      </c>
      <c r="G87" s="14">
        <v>144480.47</v>
      </c>
      <c r="H87" s="14">
        <v>0</v>
      </c>
      <c r="I87" s="13">
        <f t="shared" si="1"/>
        <v>7613259.6129755359</v>
      </c>
    </row>
    <row r="88" spans="1:9" ht="15.75" x14ac:dyDescent="0.25">
      <c r="A88" s="8"/>
      <c r="B88" s="8"/>
      <c r="C88" s="9"/>
      <c r="D88" s="12" t="s">
        <v>84</v>
      </c>
      <c r="E88" s="14">
        <v>1855745.77</v>
      </c>
      <c r="F88" s="14">
        <v>0</v>
      </c>
      <c r="G88" s="14">
        <v>1684697.4299999997</v>
      </c>
      <c r="H88" s="14">
        <v>0</v>
      </c>
      <c r="I88" s="13">
        <f t="shared" si="1"/>
        <v>3540443.1999999997</v>
      </c>
    </row>
    <row r="89" spans="1:9" ht="15.75" x14ac:dyDescent="0.25">
      <c r="A89" s="8"/>
      <c r="B89" s="8"/>
      <c r="C89" s="9"/>
      <c r="D89" s="12" t="s">
        <v>85</v>
      </c>
      <c r="E89" s="14">
        <v>4861943.1900000004</v>
      </c>
      <c r="F89" s="14">
        <v>4568318.2856851658</v>
      </c>
      <c r="G89" s="14">
        <v>355616.88</v>
      </c>
      <c r="H89" s="14">
        <v>0</v>
      </c>
      <c r="I89" s="13">
        <f t="shared" si="1"/>
        <v>9785878.355685167</v>
      </c>
    </row>
    <row r="90" spans="1:9" ht="15.75" x14ac:dyDescent="0.25">
      <c r="A90" s="8"/>
      <c r="B90" s="8"/>
      <c r="C90" s="9"/>
      <c r="D90" s="12" t="s">
        <v>86</v>
      </c>
      <c r="E90" s="14">
        <v>1666800.1500000004</v>
      </c>
      <c r="F90" s="14">
        <v>1182044.4442516048</v>
      </c>
      <c r="G90" s="14">
        <v>297968.94</v>
      </c>
      <c r="H90" s="14">
        <v>0</v>
      </c>
      <c r="I90" s="13">
        <f t="shared" si="1"/>
        <v>3146813.5342516052</v>
      </c>
    </row>
    <row r="91" spans="1:9" ht="15.75" x14ac:dyDescent="0.25">
      <c r="A91" s="8"/>
      <c r="B91" s="8"/>
      <c r="C91" s="9"/>
      <c r="D91" s="12" t="s">
        <v>87</v>
      </c>
      <c r="E91" s="14">
        <v>5097963.71</v>
      </c>
      <c r="F91" s="14">
        <v>2696153.1000458449</v>
      </c>
      <c r="G91" s="14">
        <v>777546.82000000007</v>
      </c>
      <c r="H91" s="14">
        <v>0</v>
      </c>
      <c r="I91" s="13">
        <f t="shared" si="1"/>
        <v>8571663.6300458442</v>
      </c>
    </row>
    <row r="92" spans="1:9" ht="15.75" x14ac:dyDescent="0.25">
      <c r="A92" s="8"/>
      <c r="B92" s="8"/>
      <c r="C92" s="9"/>
      <c r="D92" s="12" t="s">
        <v>88</v>
      </c>
      <c r="E92" s="14">
        <v>453192.61999999994</v>
      </c>
      <c r="F92" s="14">
        <v>372017.86143758509</v>
      </c>
      <c r="G92" s="14">
        <v>1772914.2899999998</v>
      </c>
      <c r="H92" s="14">
        <v>0</v>
      </c>
      <c r="I92" s="13">
        <f t="shared" si="1"/>
        <v>2598124.7714375849</v>
      </c>
    </row>
    <row r="93" spans="1:9" ht="15.75" x14ac:dyDescent="0.25">
      <c r="A93" s="8"/>
      <c r="B93" s="8"/>
      <c r="C93" s="9"/>
      <c r="D93" s="12" t="s">
        <v>89</v>
      </c>
      <c r="E93" s="14">
        <v>8103684.9100000001</v>
      </c>
      <c r="F93" s="14">
        <v>3014255.9799959757</v>
      </c>
      <c r="G93" s="14">
        <v>222812.56</v>
      </c>
      <c r="H93" s="14">
        <v>0</v>
      </c>
      <c r="I93" s="13">
        <f t="shared" si="1"/>
        <v>11340753.449995976</v>
      </c>
    </row>
    <row r="94" spans="1:9" ht="15.75" x14ac:dyDescent="0.25">
      <c r="A94" s="8"/>
      <c r="B94" s="8"/>
      <c r="C94" s="9"/>
      <c r="D94" s="12" t="s">
        <v>90</v>
      </c>
      <c r="E94" s="14">
        <v>91101.96</v>
      </c>
      <c r="F94" s="14">
        <v>0</v>
      </c>
      <c r="G94" s="14">
        <v>78592.55</v>
      </c>
      <c r="H94" s="14">
        <v>0</v>
      </c>
      <c r="I94" s="13">
        <f t="shared" si="1"/>
        <v>169694.51</v>
      </c>
    </row>
    <row r="95" spans="1:9" ht="15.75" x14ac:dyDescent="0.25">
      <c r="A95" s="8"/>
      <c r="B95" s="8"/>
      <c r="C95" s="9"/>
      <c r="D95" s="12" t="s">
        <v>91</v>
      </c>
      <c r="E95" s="14">
        <v>803566.23</v>
      </c>
      <c r="F95" s="14">
        <v>95619.409299149993</v>
      </c>
      <c r="G95" s="14">
        <v>1732819.73</v>
      </c>
      <c r="H95" s="14">
        <v>0</v>
      </c>
      <c r="I95" s="13">
        <f t="shared" si="1"/>
        <v>2632005.3692991501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3715575.7500000005</v>
      </c>
      <c r="H96" s="14">
        <v>0</v>
      </c>
      <c r="I96" s="13">
        <f t="shared" si="1"/>
        <v>3715575.7500000005</v>
      </c>
    </row>
    <row r="97" spans="1:9" ht="15.75" x14ac:dyDescent="0.25">
      <c r="A97" s="8"/>
      <c r="B97" s="8"/>
      <c r="C97" s="9"/>
      <c r="D97" s="12" t="s">
        <v>93</v>
      </c>
      <c r="E97" s="14">
        <v>3217435.6600000006</v>
      </c>
      <c r="F97" s="14">
        <v>4293670.611463476</v>
      </c>
      <c r="G97" s="14">
        <v>281874.67000000004</v>
      </c>
      <c r="H97" s="14">
        <v>0</v>
      </c>
      <c r="I97" s="13">
        <f t="shared" si="1"/>
        <v>7792980.941463476</v>
      </c>
    </row>
    <row r="98" spans="1:9" ht="15.75" x14ac:dyDescent="0.25">
      <c r="A98" s="8"/>
      <c r="B98" s="8"/>
      <c r="C98" s="9"/>
      <c r="D98" s="12" t="s">
        <v>94</v>
      </c>
      <c r="E98" s="14">
        <v>12346648.689999996</v>
      </c>
      <c r="F98" s="14">
        <v>5647829.9924535509</v>
      </c>
      <c r="G98" s="14">
        <v>1954794.13</v>
      </c>
      <c r="H98" s="14">
        <v>0</v>
      </c>
      <c r="I98" s="13">
        <f t="shared" si="1"/>
        <v>19949272.812453546</v>
      </c>
    </row>
    <row r="99" spans="1:9" ht="15.75" x14ac:dyDescent="0.25">
      <c r="A99" s="8"/>
      <c r="B99" s="8"/>
      <c r="C99" s="9"/>
      <c r="D99" s="12" t="s">
        <v>95</v>
      </c>
      <c r="E99" s="14">
        <v>16763506.869999999</v>
      </c>
      <c r="F99" s="14">
        <v>10761986.962490063</v>
      </c>
      <c r="G99" s="14">
        <v>939241.07</v>
      </c>
      <c r="H99" s="14">
        <v>0</v>
      </c>
      <c r="I99" s="13">
        <f t="shared" si="1"/>
        <v>28464734.902490065</v>
      </c>
    </row>
    <row r="100" spans="1:9" ht="15.75" x14ac:dyDescent="0.25">
      <c r="A100" s="8"/>
      <c r="B100" s="8"/>
      <c r="C100" s="9"/>
      <c r="D100" s="12" t="s">
        <v>96</v>
      </c>
      <c r="E100" s="14">
        <v>15607289.27</v>
      </c>
      <c r="F100" s="14">
        <v>10767194.404498843</v>
      </c>
      <c r="G100" s="14">
        <v>1536917.8900000001</v>
      </c>
      <c r="H100" s="14">
        <v>0</v>
      </c>
      <c r="I100" s="13">
        <f t="shared" si="1"/>
        <v>27911401.564498842</v>
      </c>
    </row>
    <row r="101" spans="1:9" ht="15.75" x14ac:dyDescent="0.25">
      <c r="A101" s="8"/>
      <c r="B101" s="8"/>
      <c r="C101" s="9"/>
      <c r="D101" s="12" t="s">
        <v>97</v>
      </c>
      <c r="E101" s="14">
        <v>682048.82</v>
      </c>
      <c r="F101" s="14">
        <v>14448855.904706301</v>
      </c>
      <c r="G101" s="14">
        <v>24963.43</v>
      </c>
      <c r="H101" s="14">
        <v>0</v>
      </c>
      <c r="I101" s="13">
        <f t="shared" si="1"/>
        <v>15155868.154706301</v>
      </c>
    </row>
    <row r="102" spans="1:9" ht="15.75" x14ac:dyDescent="0.25">
      <c r="A102" s="8"/>
      <c r="B102" s="8"/>
      <c r="C102" s="9"/>
      <c r="D102" s="12" t="s">
        <v>98</v>
      </c>
      <c r="E102" s="14">
        <v>18227709.199999999</v>
      </c>
      <c r="F102" s="14">
        <v>6212792.5586647261</v>
      </c>
      <c r="G102" s="14">
        <v>849432.54</v>
      </c>
      <c r="H102" s="14">
        <v>0</v>
      </c>
      <c r="I102" s="13">
        <f t="shared" si="1"/>
        <v>25289934.298664726</v>
      </c>
    </row>
    <row r="103" spans="1:9" ht="15.75" x14ac:dyDescent="0.25">
      <c r="A103" s="8"/>
      <c r="B103" s="8"/>
      <c r="C103" s="9"/>
      <c r="D103" s="12" t="s">
        <v>99</v>
      </c>
      <c r="E103" s="14">
        <v>6176655.9199999999</v>
      </c>
      <c r="F103" s="14">
        <v>1972992.0369472501</v>
      </c>
      <c r="G103" s="14">
        <v>170299.93999999997</v>
      </c>
      <c r="H103" s="14">
        <v>0</v>
      </c>
      <c r="I103" s="13">
        <f t="shared" si="1"/>
        <v>8319947.8969472507</v>
      </c>
    </row>
    <row r="104" spans="1:9" ht="15.75" x14ac:dyDescent="0.25">
      <c r="A104" s="8"/>
      <c r="B104" s="8"/>
      <c r="C104" s="9"/>
      <c r="D104" s="12" t="s">
        <v>100</v>
      </c>
      <c r="E104" s="14">
        <v>31777256.010000005</v>
      </c>
      <c r="F104" s="14">
        <v>3605300.6479925052</v>
      </c>
      <c r="G104" s="14">
        <v>2116599.42</v>
      </c>
      <c r="H104" s="14">
        <v>0</v>
      </c>
      <c r="I104" s="13">
        <f t="shared" si="1"/>
        <v>37499156.077992514</v>
      </c>
    </row>
    <row r="105" spans="1:9" ht="15.75" x14ac:dyDescent="0.25">
      <c r="A105" s="8"/>
      <c r="B105" s="8"/>
      <c r="C105" s="9"/>
      <c r="D105" s="12" t="s">
        <v>101</v>
      </c>
      <c r="E105" s="14">
        <v>3876706.1699999995</v>
      </c>
      <c r="F105" s="14">
        <v>5354058.4363720305</v>
      </c>
      <c r="G105" s="14">
        <v>23922.530000000002</v>
      </c>
      <c r="H105" s="14">
        <v>0</v>
      </c>
      <c r="I105" s="13">
        <f t="shared" si="1"/>
        <v>9254687.1363720298</v>
      </c>
    </row>
    <row r="106" spans="1:9" ht="15.75" x14ac:dyDescent="0.25">
      <c r="A106" s="8"/>
      <c r="B106" s="8"/>
      <c r="C106" s="9"/>
      <c r="D106" s="12" t="s">
        <v>102</v>
      </c>
      <c r="E106" s="14">
        <v>5485041.3700000001</v>
      </c>
      <c r="F106" s="14">
        <v>330268.54188443499</v>
      </c>
      <c r="G106" s="14">
        <v>2568116.81</v>
      </c>
      <c r="H106" s="14">
        <v>0</v>
      </c>
      <c r="I106" s="13">
        <f t="shared" si="1"/>
        <v>8383426.721884435</v>
      </c>
    </row>
    <row r="107" spans="1:9" ht="15.75" x14ac:dyDescent="0.25">
      <c r="A107" s="8"/>
      <c r="B107" s="8"/>
      <c r="C107" s="9"/>
      <c r="D107" s="12" t="s">
        <v>103</v>
      </c>
      <c r="E107" s="14">
        <v>20061.78</v>
      </c>
      <c r="F107" s="14">
        <v>0</v>
      </c>
      <c r="G107" s="14">
        <v>529840.98</v>
      </c>
      <c r="H107" s="14">
        <v>0</v>
      </c>
      <c r="I107" s="13">
        <f t="shared" si="1"/>
        <v>549902.76</v>
      </c>
    </row>
    <row r="108" spans="1:9" ht="15.75" x14ac:dyDescent="0.25">
      <c r="A108" s="8"/>
      <c r="B108" s="8"/>
      <c r="C108" s="9"/>
      <c r="D108" s="12" t="s">
        <v>104</v>
      </c>
      <c r="E108" s="14">
        <v>298776.99</v>
      </c>
      <c r="F108" s="14">
        <v>0</v>
      </c>
      <c r="G108" s="14">
        <v>317409.05</v>
      </c>
      <c r="H108" s="14">
        <v>0</v>
      </c>
      <c r="I108" s="13">
        <f t="shared" si="1"/>
        <v>616186.04</v>
      </c>
    </row>
    <row r="109" spans="1:9" ht="15.75" x14ac:dyDescent="0.25">
      <c r="A109" s="8"/>
      <c r="B109" s="8"/>
      <c r="C109" s="9"/>
      <c r="D109" s="12" t="s">
        <v>105</v>
      </c>
      <c r="E109" s="14">
        <v>2261475.8100000005</v>
      </c>
      <c r="F109" s="14">
        <v>8611672.54679556</v>
      </c>
      <c r="G109" s="14">
        <v>197107.96000000002</v>
      </c>
      <c r="H109" s="14">
        <v>0</v>
      </c>
      <c r="I109" s="13">
        <f t="shared" si="1"/>
        <v>11070256.316795561</v>
      </c>
    </row>
    <row r="110" spans="1:9" ht="15.75" x14ac:dyDescent="0.25">
      <c r="A110" s="8"/>
      <c r="B110" s="8"/>
      <c r="C110" s="9"/>
      <c r="D110" s="12" t="s">
        <v>106</v>
      </c>
      <c r="E110" s="14">
        <v>3123623.73</v>
      </c>
      <c r="F110" s="14">
        <v>2115523.3160668751</v>
      </c>
      <c r="G110" s="14">
        <v>209327.7</v>
      </c>
      <c r="H110" s="14">
        <v>0</v>
      </c>
      <c r="I110" s="13">
        <f t="shared" si="1"/>
        <v>5448474.7460668748</v>
      </c>
    </row>
    <row r="111" spans="1:9" ht="15.75" x14ac:dyDescent="0.25">
      <c r="A111" s="8"/>
      <c r="B111" s="8"/>
      <c r="C111" s="9"/>
      <c r="D111" s="12" t="s">
        <v>107</v>
      </c>
      <c r="E111" s="14">
        <v>48551.160000000011</v>
      </c>
      <c r="F111" s="14">
        <v>33040.321710880009</v>
      </c>
      <c r="G111" s="14">
        <v>4441562.83</v>
      </c>
      <c r="H111" s="14">
        <v>0</v>
      </c>
      <c r="I111" s="13">
        <f t="shared" si="1"/>
        <v>4523154.3117108801</v>
      </c>
    </row>
    <row r="112" spans="1:9" ht="15.75" x14ac:dyDescent="0.25">
      <c r="A112" s="8"/>
      <c r="B112" s="8"/>
      <c r="C112" s="9"/>
      <c r="D112" s="12" t="s">
        <v>108</v>
      </c>
      <c r="E112" s="14">
        <v>8603471.6000000015</v>
      </c>
      <c r="F112" s="14">
        <v>2259805.3731032452</v>
      </c>
      <c r="G112" s="14">
        <v>545938.86</v>
      </c>
      <c r="H112" s="14">
        <v>0</v>
      </c>
      <c r="I112" s="13">
        <f t="shared" si="1"/>
        <v>11409215.833103247</v>
      </c>
    </row>
    <row r="113" spans="1:9" ht="15.75" x14ac:dyDescent="0.25">
      <c r="A113" s="8"/>
      <c r="B113" s="8"/>
      <c r="C113" s="9"/>
      <c r="D113" s="12" t="s">
        <v>109</v>
      </c>
      <c r="E113" s="14">
        <v>6098156.1800000016</v>
      </c>
      <c r="F113" s="14">
        <v>5440968.8478289107</v>
      </c>
      <c r="G113" s="14">
        <v>336132.98000000004</v>
      </c>
      <c r="H113" s="14">
        <v>0</v>
      </c>
      <c r="I113" s="13">
        <f t="shared" si="1"/>
        <v>11875258.007828914</v>
      </c>
    </row>
    <row r="114" spans="1:9" ht="15.75" x14ac:dyDescent="0.25">
      <c r="A114" s="8"/>
      <c r="B114" s="8"/>
      <c r="C114" s="9"/>
      <c r="D114" s="12" t="s">
        <v>110</v>
      </c>
      <c r="E114" s="14">
        <v>16028960.49</v>
      </c>
      <c r="F114" s="14">
        <v>6240580.5466253702</v>
      </c>
      <c r="G114" s="14">
        <v>608111.37</v>
      </c>
      <c r="H114" s="14">
        <v>0</v>
      </c>
      <c r="I114" s="13">
        <f t="shared" si="1"/>
        <v>22877652.406625371</v>
      </c>
    </row>
    <row r="115" spans="1:9" ht="15.75" x14ac:dyDescent="0.25">
      <c r="A115" s="8"/>
      <c r="B115" s="8"/>
      <c r="C115" s="9"/>
      <c r="D115" s="12" t="s">
        <v>111</v>
      </c>
      <c r="E115" s="14">
        <v>24899188.219999999</v>
      </c>
      <c r="F115" s="14">
        <v>3085544.0654265149</v>
      </c>
      <c r="G115" s="14">
        <v>1125090.4399999997</v>
      </c>
      <c r="H115" s="14">
        <v>0</v>
      </c>
      <c r="I115" s="13">
        <f t="shared" si="1"/>
        <v>29109822.725426514</v>
      </c>
    </row>
    <row r="116" spans="1:9" ht="15.75" x14ac:dyDescent="0.25">
      <c r="A116" s="8"/>
      <c r="B116" s="8"/>
      <c r="C116" s="9"/>
      <c r="D116" s="12" t="s">
        <v>112</v>
      </c>
      <c r="E116" s="14">
        <v>5156990.38</v>
      </c>
      <c r="F116" s="14">
        <v>4006857.2753074807</v>
      </c>
      <c r="G116" s="14">
        <v>422776.46</v>
      </c>
      <c r="H116" s="14">
        <v>0</v>
      </c>
      <c r="I116" s="13">
        <f t="shared" si="1"/>
        <v>9586624.115307482</v>
      </c>
    </row>
    <row r="117" spans="1:9" ht="15.75" x14ac:dyDescent="0.25">
      <c r="A117" s="8"/>
      <c r="B117" s="8"/>
      <c r="C117" s="9"/>
      <c r="D117" s="12" t="s">
        <v>113</v>
      </c>
      <c r="E117" s="14">
        <v>3957802.7700000005</v>
      </c>
      <c r="F117" s="14">
        <v>3094208.1715273303</v>
      </c>
      <c r="G117" s="14">
        <v>547187.99000000011</v>
      </c>
      <c r="H117" s="14">
        <v>0</v>
      </c>
      <c r="I117" s="13">
        <f t="shared" si="1"/>
        <v>7599198.9315273315</v>
      </c>
    </row>
    <row r="118" spans="1:9" ht="15.75" x14ac:dyDescent="0.25">
      <c r="A118" s="8"/>
      <c r="B118" s="8"/>
      <c r="C118" s="9"/>
      <c r="D118" s="12" t="s">
        <v>114</v>
      </c>
      <c r="E118" s="14">
        <v>7611766.5500000007</v>
      </c>
      <c r="F118" s="14">
        <v>4832551.075889295</v>
      </c>
      <c r="G118" s="14">
        <v>627852.27999999991</v>
      </c>
      <c r="H118" s="14">
        <v>0</v>
      </c>
      <c r="I118" s="13">
        <f t="shared" si="1"/>
        <v>13072169.905889295</v>
      </c>
    </row>
    <row r="119" spans="1:9" ht="15.75" x14ac:dyDescent="0.25">
      <c r="A119" s="8"/>
      <c r="B119" s="8"/>
      <c r="C119" s="9"/>
      <c r="D119" s="12" t="s">
        <v>115</v>
      </c>
      <c r="E119" s="14">
        <v>1868894.4800000002</v>
      </c>
      <c r="F119" s="14">
        <v>469343.15691202506</v>
      </c>
      <c r="G119" s="14">
        <v>329216.48</v>
      </c>
      <c r="H119" s="14">
        <v>0</v>
      </c>
      <c r="I119" s="13">
        <f t="shared" si="1"/>
        <v>2667454.1169120255</v>
      </c>
    </row>
    <row r="120" spans="1:9" ht="15.75" x14ac:dyDescent="0.25">
      <c r="A120" s="8"/>
      <c r="B120" s="8"/>
      <c r="C120" s="9"/>
      <c r="D120" s="12" t="s">
        <v>116</v>
      </c>
      <c r="E120" s="14">
        <v>20275555.699999999</v>
      </c>
      <c r="F120" s="14">
        <v>2051238.3423033154</v>
      </c>
      <c r="G120" s="14">
        <v>731459.7699999999</v>
      </c>
      <c r="H120" s="14">
        <v>0</v>
      </c>
      <c r="I120" s="13">
        <f t="shared" si="1"/>
        <v>23058253.812303316</v>
      </c>
    </row>
    <row r="121" spans="1:9" ht="15.75" x14ac:dyDescent="0.25">
      <c r="A121" s="8"/>
      <c r="B121" s="8"/>
      <c r="C121" s="9"/>
      <c r="D121" s="12" t="s">
        <v>117</v>
      </c>
      <c r="E121" s="14">
        <v>7546274.6800000016</v>
      </c>
      <c r="F121" s="14">
        <v>3043794.7458733651</v>
      </c>
      <c r="G121" s="14">
        <v>380739.46999999991</v>
      </c>
      <c r="H121" s="14">
        <v>0</v>
      </c>
      <c r="I121" s="13">
        <f t="shared" si="1"/>
        <v>10970808.895873368</v>
      </c>
    </row>
    <row r="122" spans="1:9" ht="15.75" x14ac:dyDescent="0.25">
      <c r="A122" s="8"/>
      <c r="B122" s="8"/>
      <c r="C122" s="9"/>
      <c r="D122" s="12" t="s">
        <v>118</v>
      </c>
      <c r="E122" s="14">
        <v>8304885.0600000005</v>
      </c>
      <c r="F122" s="14">
        <v>2244183.0470769056</v>
      </c>
      <c r="G122" s="14">
        <v>689205.3</v>
      </c>
      <c r="H122" s="14">
        <v>0</v>
      </c>
      <c r="I122" s="13">
        <f t="shared" si="1"/>
        <v>11238273.407076906</v>
      </c>
    </row>
    <row r="123" spans="1:9" ht="15.75" x14ac:dyDescent="0.25">
      <c r="A123" s="8"/>
      <c r="B123" s="8"/>
      <c r="C123" s="9"/>
      <c r="D123" s="12" t="s">
        <v>119</v>
      </c>
      <c r="E123" s="14">
        <v>8739962.8599999975</v>
      </c>
      <c r="F123" s="14">
        <v>4123306.4526417502</v>
      </c>
      <c r="G123" s="14">
        <v>218947.22</v>
      </c>
      <c r="H123" s="14">
        <v>0</v>
      </c>
      <c r="I123" s="13">
        <f t="shared" si="1"/>
        <v>13082216.532641748</v>
      </c>
    </row>
    <row r="124" spans="1:9" ht="15.75" x14ac:dyDescent="0.25">
      <c r="A124" s="8"/>
      <c r="B124" s="8"/>
      <c r="C124" s="9"/>
      <c r="D124" s="12" t="s">
        <v>120</v>
      </c>
      <c r="E124" s="14">
        <v>271117.89999999997</v>
      </c>
      <c r="F124" s="14">
        <v>0</v>
      </c>
      <c r="G124" s="14">
        <v>1612013.9499999997</v>
      </c>
      <c r="H124" s="14">
        <v>1841445.2649999997</v>
      </c>
      <c r="I124" s="13">
        <f t="shared" si="1"/>
        <v>3724577.1149999993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4573272.74</v>
      </c>
      <c r="H125" s="14">
        <v>249934.80000000002</v>
      </c>
      <c r="I125" s="13">
        <f t="shared" si="1"/>
        <v>4823207.54</v>
      </c>
    </row>
    <row r="126" spans="1:9" ht="15.75" x14ac:dyDescent="0.25">
      <c r="A126" s="8"/>
      <c r="B126" s="8"/>
      <c r="C126" s="9"/>
      <c r="D126" s="12" t="s">
        <v>122</v>
      </c>
      <c r="E126" s="14">
        <v>50809.490000000005</v>
      </c>
      <c r="F126" s="14">
        <v>0</v>
      </c>
      <c r="G126" s="14">
        <v>1974841.2200000004</v>
      </c>
      <c r="H126" s="14">
        <v>0</v>
      </c>
      <c r="I126" s="13">
        <f t="shared" si="1"/>
        <v>2025650.7100000004</v>
      </c>
    </row>
    <row r="127" spans="1:9" ht="15.75" x14ac:dyDescent="0.25">
      <c r="A127" s="8"/>
      <c r="B127" s="8"/>
      <c r="C127" s="9"/>
      <c r="D127" s="12" t="s">
        <v>123</v>
      </c>
      <c r="E127" s="14">
        <v>4954598.620000001</v>
      </c>
      <c r="F127" s="14">
        <v>869149.00631025503</v>
      </c>
      <c r="G127" s="14">
        <v>14945877.669999998</v>
      </c>
      <c r="H127" s="14">
        <v>0</v>
      </c>
      <c r="I127" s="13">
        <f t="shared" si="1"/>
        <v>20769625.296310253</v>
      </c>
    </row>
    <row r="128" spans="1:9" ht="15.75" x14ac:dyDescent="0.25">
      <c r="A128" s="8"/>
      <c r="B128" s="8"/>
      <c r="C128" s="9"/>
      <c r="D128" s="12" t="s">
        <v>124</v>
      </c>
      <c r="E128" s="14">
        <v>9837431.2799999993</v>
      </c>
      <c r="F128" s="14">
        <v>2711775.4260721854</v>
      </c>
      <c r="G128" s="14">
        <v>781390.51</v>
      </c>
      <c r="H128" s="14">
        <v>0</v>
      </c>
      <c r="I128" s="13">
        <f t="shared" si="1"/>
        <v>13330597.216072185</v>
      </c>
    </row>
    <row r="129" spans="1:9" ht="15.75" x14ac:dyDescent="0.25">
      <c r="A129" s="8"/>
      <c r="B129" s="8"/>
      <c r="C129" s="9"/>
      <c r="D129" s="12" t="s">
        <v>125</v>
      </c>
      <c r="E129" s="14">
        <v>3471820.79</v>
      </c>
      <c r="F129" s="14">
        <v>1312454.9531783802</v>
      </c>
      <c r="G129" s="14">
        <v>409335.63000000006</v>
      </c>
      <c r="H129" s="14">
        <v>0</v>
      </c>
      <c r="I129" s="13">
        <f t="shared" si="1"/>
        <v>5193611.3731783805</v>
      </c>
    </row>
    <row r="130" spans="1:9" ht="15.75" x14ac:dyDescent="0.25">
      <c r="A130" s="8"/>
      <c r="B130" s="8"/>
      <c r="C130" s="9"/>
      <c r="D130" s="12" t="s">
        <v>126</v>
      </c>
      <c r="E130" s="14">
        <v>2570594.3099999996</v>
      </c>
      <c r="F130" s="14">
        <v>2311969.5766739552</v>
      </c>
      <c r="G130" s="14">
        <v>160442.74999999997</v>
      </c>
      <c r="H130" s="14">
        <v>0</v>
      </c>
      <c r="I130" s="13">
        <f t="shared" si="1"/>
        <v>5043006.6366739552</v>
      </c>
    </row>
    <row r="131" spans="1:9" ht="15.75" x14ac:dyDescent="0.25">
      <c r="A131" s="8"/>
      <c r="B131" s="8"/>
      <c r="C131" s="9"/>
      <c r="D131" s="12" t="s">
        <v>127</v>
      </c>
      <c r="E131" s="14">
        <v>25818000.009999994</v>
      </c>
      <c r="F131" s="14">
        <v>12635902.926046127</v>
      </c>
      <c r="G131" s="14">
        <v>3414380.77</v>
      </c>
      <c r="H131" s="14">
        <v>0</v>
      </c>
      <c r="I131" s="13">
        <f t="shared" si="1"/>
        <v>41868283.706046127</v>
      </c>
    </row>
    <row r="132" spans="1:9" ht="15.75" x14ac:dyDescent="0.25">
      <c r="A132" s="8"/>
      <c r="B132" s="8"/>
      <c r="C132" s="9"/>
      <c r="D132" s="12" t="s">
        <v>128</v>
      </c>
      <c r="E132" s="14">
        <v>4965713.62</v>
      </c>
      <c r="F132" s="14">
        <v>7752938.4245028663</v>
      </c>
      <c r="G132" s="14">
        <v>148784.62000000002</v>
      </c>
      <c r="H132" s="14">
        <v>0</v>
      </c>
      <c r="I132" s="13">
        <f t="shared" si="1"/>
        <v>12867436.664502865</v>
      </c>
    </row>
    <row r="133" spans="1:9" ht="15.75" x14ac:dyDescent="0.25">
      <c r="A133" s="8"/>
      <c r="B133" s="8"/>
      <c r="C133" s="9"/>
      <c r="D133" s="12" t="s">
        <v>129</v>
      </c>
      <c r="E133" s="14">
        <v>3593699.38</v>
      </c>
      <c r="F133" s="14">
        <v>0</v>
      </c>
      <c r="G133" s="14">
        <v>4397351.3199999994</v>
      </c>
      <c r="H133" s="14">
        <v>1183433.145</v>
      </c>
      <c r="I133" s="13">
        <f t="shared" si="1"/>
        <v>9174483.8449999988</v>
      </c>
    </row>
    <row r="134" spans="1:9" ht="15.75" x14ac:dyDescent="0.25">
      <c r="A134" s="8"/>
      <c r="B134" s="8"/>
      <c r="C134" s="9"/>
      <c r="D134" s="12" t="s">
        <v>130</v>
      </c>
      <c r="E134" s="14">
        <v>1015962.3</v>
      </c>
      <c r="F134" s="14">
        <v>382432.74545514508</v>
      </c>
      <c r="G134" s="14">
        <v>8953.4299999999985</v>
      </c>
      <c r="H134" s="14">
        <v>0</v>
      </c>
      <c r="I134" s="13">
        <f t="shared" si="1"/>
        <v>1407348.4754551451</v>
      </c>
    </row>
    <row r="135" spans="1:9" ht="15.75" x14ac:dyDescent="0.25">
      <c r="A135" s="8"/>
      <c r="B135" s="8"/>
      <c r="C135" s="9"/>
      <c r="D135" s="12" t="s">
        <v>131</v>
      </c>
      <c r="E135" s="14">
        <v>3427498.8000000003</v>
      </c>
      <c r="F135" s="14">
        <v>4832551.075889295</v>
      </c>
      <c r="G135" s="14">
        <v>116519.01</v>
      </c>
      <c r="H135" s="14">
        <v>0</v>
      </c>
      <c r="I135" s="13">
        <f t="shared" si="1"/>
        <v>8376568.8858892955</v>
      </c>
    </row>
    <row r="136" spans="1:9" ht="15.75" x14ac:dyDescent="0.25">
      <c r="A136" s="8"/>
      <c r="B136" s="8"/>
      <c r="C136" s="9"/>
      <c r="D136" s="12" t="s">
        <v>132</v>
      </c>
      <c r="E136" s="14">
        <v>19792547.639999993</v>
      </c>
      <c r="F136" s="14">
        <v>5840774.69722714</v>
      </c>
      <c r="G136" s="14">
        <v>1257200.5899999999</v>
      </c>
      <c r="H136" s="14">
        <v>0</v>
      </c>
      <c r="I136" s="13">
        <f t="shared" si="1"/>
        <v>26890522.927227132</v>
      </c>
    </row>
    <row r="137" spans="1:9" ht="15.75" x14ac:dyDescent="0.25">
      <c r="A137" s="8"/>
      <c r="B137" s="8"/>
      <c r="C137" s="9"/>
      <c r="D137" s="12" t="s">
        <v>133</v>
      </c>
      <c r="E137" s="14">
        <v>23904962.34</v>
      </c>
      <c r="F137" s="14">
        <v>9183593.3329322618</v>
      </c>
      <c r="G137" s="14">
        <v>2227115.52</v>
      </c>
      <c r="H137" s="14">
        <v>0</v>
      </c>
      <c r="I137" s="13">
        <f t="shared" si="1"/>
        <v>35315671.192932263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2983461.98</v>
      </c>
      <c r="H138" s="14">
        <v>0</v>
      </c>
      <c r="I138" s="13">
        <f t="shared" ref="I138:I144" si="2">SUM(E138:H138)</f>
        <v>2983461.98</v>
      </c>
    </row>
    <row r="139" spans="1:9" ht="15.75" x14ac:dyDescent="0.25">
      <c r="A139" s="8"/>
      <c r="B139" s="8"/>
      <c r="C139" s="9"/>
      <c r="D139" s="12" t="s">
        <v>135</v>
      </c>
      <c r="E139" s="14">
        <v>2982766.9700000007</v>
      </c>
      <c r="F139" s="14">
        <v>1375034.0407666501</v>
      </c>
      <c r="G139" s="14">
        <v>345021.87</v>
      </c>
      <c r="H139" s="14">
        <v>0</v>
      </c>
      <c r="I139" s="13">
        <f t="shared" si="2"/>
        <v>4702822.8807666507</v>
      </c>
    </row>
    <row r="140" spans="1:9" ht="15.75" x14ac:dyDescent="0.25">
      <c r="A140" s="8"/>
      <c r="B140" s="8"/>
      <c r="C140" s="9"/>
      <c r="D140" s="12" t="s">
        <v>136</v>
      </c>
      <c r="E140" s="14">
        <v>13665190.720000003</v>
      </c>
      <c r="F140" s="14">
        <v>9752012.563235471</v>
      </c>
      <c r="G140" s="14">
        <v>847928.17999999993</v>
      </c>
      <c r="H140" s="14">
        <v>0</v>
      </c>
      <c r="I140" s="13">
        <f t="shared" si="2"/>
        <v>24265131.463235475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3743983.67</v>
      </c>
      <c r="H141" s="14">
        <v>148476.18500000003</v>
      </c>
      <c r="I141" s="13">
        <f t="shared" si="2"/>
        <v>3892459.855</v>
      </c>
    </row>
    <row r="142" spans="1:9" ht="15.75" x14ac:dyDescent="0.25">
      <c r="A142" s="8"/>
      <c r="B142" s="8"/>
      <c r="C142" s="9"/>
      <c r="D142" s="12" t="s">
        <v>138</v>
      </c>
      <c r="E142" s="14">
        <v>7998.3399999999992</v>
      </c>
      <c r="F142" s="14">
        <v>0</v>
      </c>
      <c r="G142" s="14">
        <v>319005.10999999993</v>
      </c>
      <c r="H142" s="14">
        <v>0</v>
      </c>
      <c r="I142" s="13">
        <f t="shared" si="2"/>
        <v>327003.44999999995</v>
      </c>
    </row>
    <row r="143" spans="1:9" ht="15.75" x14ac:dyDescent="0.25">
      <c r="A143" s="8"/>
      <c r="B143" s="8"/>
      <c r="C143" s="9"/>
      <c r="D143" s="12" t="s">
        <v>139</v>
      </c>
      <c r="E143" s="14">
        <v>1200243.6199999999</v>
      </c>
      <c r="F143" s="14">
        <v>9013229.1741105355</v>
      </c>
      <c r="G143" s="14">
        <v>125349.54999999997</v>
      </c>
      <c r="H143" s="14">
        <v>0</v>
      </c>
      <c r="I143" s="13">
        <f t="shared" si="2"/>
        <v>10338822.344110535</v>
      </c>
    </row>
    <row r="144" spans="1:9" ht="15.75" x14ac:dyDescent="0.25">
      <c r="A144" s="8"/>
      <c r="B144" s="8"/>
      <c r="C144" s="9"/>
      <c r="D144" s="12" t="s">
        <v>140</v>
      </c>
      <c r="E144" s="14">
        <v>10826815.300000001</v>
      </c>
      <c r="F144" s="14">
        <v>1095134.0327947251</v>
      </c>
      <c r="G144" s="14">
        <v>842906.85</v>
      </c>
      <c r="H144" s="14">
        <v>0</v>
      </c>
      <c r="I144" s="13">
        <f t="shared" si="2"/>
        <v>12764856.182794726</v>
      </c>
    </row>
    <row r="145" spans="1:10" ht="24.75" customHeight="1" x14ac:dyDescent="0.2">
      <c r="A145" s="2"/>
      <c r="B145" s="2"/>
      <c r="C145" s="10"/>
      <c r="D145" s="21" t="s">
        <v>141</v>
      </c>
      <c r="E145" s="22">
        <f>SUM(E10:E144)</f>
        <v>974152992.33999968</v>
      </c>
      <c r="F145" s="22">
        <f>SUM(F10:F144)</f>
        <v>448896584.7819649</v>
      </c>
      <c r="G145" s="22">
        <f>SUM(G10:G144)</f>
        <v>177912404</v>
      </c>
      <c r="H145" s="22">
        <f>SUM(H10:H144)</f>
        <v>3423289.395</v>
      </c>
      <c r="I145" s="22">
        <f>SUM(I10:I144)</f>
        <v>1604385270.5169644</v>
      </c>
      <c r="J145" s="11"/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152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153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v>161979.71</v>
      </c>
      <c r="F10" s="14">
        <v>2255985.5593070276</v>
      </c>
      <c r="G10" s="14">
        <v>529124.72000000009</v>
      </c>
      <c r="H10" s="14">
        <v>0</v>
      </c>
      <c r="I10" s="13">
        <f t="shared" ref="I10:I73" si="0">SUM(E10:H10)</f>
        <v>2947089.9893070278</v>
      </c>
    </row>
    <row r="11" spans="1:9" ht="15.75" x14ac:dyDescent="0.25">
      <c r="A11" s="8"/>
      <c r="B11" s="8"/>
      <c r="C11" s="9"/>
      <c r="D11" s="12" t="s">
        <v>7</v>
      </c>
      <c r="E11" s="14">
        <v>170367.24</v>
      </c>
      <c r="F11" s="14">
        <v>1266231.3654037954</v>
      </c>
      <c r="G11" s="14">
        <v>375715.49999999994</v>
      </c>
      <c r="H11" s="14">
        <v>0</v>
      </c>
      <c r="I11" s="13">
        <f t="shared" si="0"/>
        <v>1812314.1054037954</v>
      </c>
    </row>
    <row r="12" spans="1:9" ht="15.75" x14ac:dyDescent="0.25">
      <c r="A12" s="8"/>
      <c r="B12" s="8"/>
      <c r="C12" s="9"/>
      <c r="D12" s="12" t="s">
        <v>8</v>
      </c>
      <c r="E12" s="14">
        <v>232837.88</v>
      </c>
      <c r="F12" s="14">
        <v>459045.98169021873</v>
      </c>
      <c r="G12" s="14">
        <v>352266.62</v>
      </c>
      <c r="H12" s="14">
        <v>0</v>
      </c>
      <c r="I12" s="13">
        <f t="shared" si="0"/>
        <v>1044150.4816902188</v>
      </c>
    </row>
    <row r="13" spans="1:9" ht="15.75" x14ac:dyDescent="0.25">
      <c r="A13" s="8"/>
      <c r="B13" s="8"/>
      <c r="C13" s="9"/>
      <c r="D13" s="12" t="s">
        <v>9</v>
      </c>
      <c r="E13" s="14">
        <v>211258.06</v>
      </c>
      <c r="F13" s="14">
        <v>12147.558259297994</v>
      </c>
      <c r="G13" s="14">
        <v>2914630.9699999997</v>
      </c>
      <c r="H13" s="14">
        <v>0</v>
      </c>
      <c r="I13" s="13">
        <f t="shared" si="0"/>
        <v>3138036.5882592979</v>
      </c>
    </row>
    <row r="14" spans="1:9" ht="15.75" x14ac:dyDescent="0.25">
      <c r="A14" s="8"/>
      <c r="B14" s="8"/>
      <c r="C14" s="9"/>
      <c r="D14" s="12" t="s">
        <v>10</v>
      </c>
      <c r="E14" s="14">
        <v>833739.71</v>
      </c>
      <c r="F14" s="14">
        <v>510051.09076690971</v>
      </c>
      <c r="G14" s="14">
        <v>615266.44000000006</v>
      </c>
      <c r="H14" s="14">
        <v>0</v>
      </c>
      <c r="I14" s="13">
        <f t="shared" si="0"/>
        <v>1959057.2407669099</v>
      </c>
    </row>
    <row r="15" spans="1:9" ht="15.75" x14ac:dyDescent="0.25">
      <c r="A15" s="8"/>
      <c r="B15" s="8"/>
      <c r="C15" s="9"/>
      <c r="D15" s="12" t="s">
        <v>11</v>
      </c>
      <c r="E15" s="14">
        <v>0</v>
      </c>
      <c r="F15" s="14">
        <v>2833.0363926589989</v>
      </c>
      <c r="G15" s="14">
        <v>2815067.27</v>
      </c>
      <c r="H15" s="14">
        <v>0</v>
      </c>
      <c r="I15" s="13">
        <f t="shared" si="0"/>
        <v>2817900.306392659</v>
      </c>
    </row>
    <row r="16" spans="1:9" ht="15.75" x14ac:dyDescent="0.25">
      <c r="A16" s="8"/>
      <c r="B16" s="8"/>
      <c r="C16" s="9"/>
      <c r="D16" s="12" t="s">
        <v>12</v>
      </c>
      <c r="E16" s="14">
        <v>633002.29</v>
      </c>
      <c r="F16" s="14">
        <v>2432072.8840227034</v>
      </c>
      <c r="G16" s="14">
        <v>569306.73</v>
      </c>
      <c r="H16" s="14">
        <v>0</v>
      </c>
      <c r="I16" s="13">
        <f t="shared" si="0"/>
        <v>3634381.9040227034</v>
      </c>
    </row>
    <row r="17" spans="1:9" ht="15.75" x14ac:dyDescent="0.25">
      <c r="A17" s="8"/>
      <c r="B17" s="8"/>
      <c r="C17" s="9"/>
      <c r="D17" s="12" t="s">
        <v>13</v>
      </c>
      <c r="E17" s="14">
        <v>700651.84000000008</v>
      </c>
      <c r="F17" s="14">
        <v>2234533.9331899197</v>
      </c>
      <c r="G17" s="14">
        <v>1374046.3999999997</v>
      </c>
      <c r="H17" s="14">
        <v>0</v>
      </c>
      <c r="I17" s="13">
        <f t="shared" si="0"/>
        <v>4309232.1731899194</v>
      </c>
    </row>
    <row r="18" spans="1:9" ht="15.75" x14ac:dyDescent="0.25">
      <c r="A18" s="8"/>
      <c r="B18" s="8"/>
      <c r="C18" s="9"/>
      <c r="D18" s="12" t="s">
        <v>14</v>
      </c>
      <c r="E18" s="14">
        <v>203469.81000000006</v>
      </c>
      <c r="F18" s="14">
        <v>182161.10384532489</v>
      </c>
      <c r="G18" s="14">
        <v>6009309.6400000006</v>
      </c>
      <c r="H18" s="14">
        <v>0</v>
      </c>
      <c r="I18" s="13">
        <f t="shared" si="0"/>
        <v>6394940.5538453255</v>
      </c>
    </row>
    <row r="19" spans="1:9" ht="15.75" x14ac:dyDescent="0.25">
      <c r="A19" s="8"/>
      <c r="B19" s="8"/>
      <c r="C19" s="9"/>
      <c r="D19" s="12" t="s">
        <v>15</v>
      </c>
      <c r="E19" s="14">
        <v>1727994.21</v>
      </c>
      <c r="F19" s="14">
        <v>1738648.0243863051</v>
      </c>
      <c r="G19" s="14">
        <v>1107527.99</v>
      </c>
      <c r="H19" s="14">
        <v>0</v>
      </c>
      <c r="I19" s="13">
        <f t="shared" si="0"/>
        <v>4574170.2243863055</v>
      </c>
    </row>
    <row r="20" spans="1:9" ht="15.75" x14ac:dyDescent="0.25">
      <c r="A20" s="8"/>
      <c r="B20" s="8"/>
      <c r="C20" s="9"/>
      <c r="D20" s="12" t="s">
        <v>16</v>
      </c>
      <c r="E20" s="14">
        <v>552678.15</v>
      </c>
      <c r="F20" s="14">
        <v>477675.02542349673</v>
      </c>
      <c r="G20" s="14">
        <v>489644.96</v>
      </c>
      <c r="H20" s="14">
        <v>0</v>
      </c>
      <c r="I20" s="13">
        <f t="shared" si="0"/>
        <v>1519998.1354234968</v>
      </c>
    </row>
    <row r="21" spans="1:9" ht="15.75" x14ac:dyDescent="0.25">
      <c r="A21" s="8"/>
      <c r="B21" s="8"/>
      <c r="C21" s="9"/>
      <c r="D21" s="12" t="s">
        <v>17</v>
      </c>
      <c r="E21" s="14">
        <v>359897.35</v>
      </c>
      <c r="F21" s="14">
        <v>2079898.2345913518</v>
      </c>
      <c r="G21" s="14">
        <v>425977.61</v>
      </c>
      <c r="H21" s="14">
        <v>0</v>
      </c>
      <c r="I21" s="13">
        <f t="shared" si="0"/>
        <v>2865773.1945913518</v>
      </c>
    </row>
    <row r="22" spans="1:9" ht="15.75" x14ac:dyDescent="0.25">
      <c r="A22" s="8"/>
      <c r="B22" s="8"/>
      <c r="C22" s="9"/>
      <c r="D22" s="12" t="s">
        <v>18</v>
      </c>
      <c r="E22" s="14">
        <v>31631.399999999998</v>
      </c>
      <c r="F22" s="14">
        <v>89057.701214250963</v>
      </c>
      <c r="G22" s="14">
        <v>2078485.03</v>
      </c>
      <c r="H22" s="14">
        <v>0</v>
      </c>
      <c r="I22" s="13">
        <f t="shared" si="0"/>
        <v>2199174.1312142508</v>
      </c>
    </row>
    <row r="23" spans="1:9" ht="15.75" x14ac:dyDescent="0.25">
      <c r="A23" s="8"/>
      <c r="B23" s="8"/>
      <c r="C23" s="9"/>
      <c r="D23" s="12" t="s">
        <v>19</v>
      </c>
      <c r="E23" s="14">
        <v>285035.78000000003</v>
      </c>
      <c r="F23" s="14">
        <v>33191.478032074978</v>
      </c>
      <c r="G23" s="14">
        <v>2250503.1399999997</v>
      </c>
      <c r="H23" s="14">
        <v>0</v>
      </c>
      <c r="I23" s="13">
        <f t="shared" si="0"/>
        <v>2568730.3980320748</v>
      </c>
    </row>
    <row r="24" spans="1:9" ht="15.75" x14ac:dyDescent="0.25">
      <c r="A24" s="8"/>
      <c r="B24" s="8"/>
      <c r="C24" s="9"/>
      <c r="D24" s="12" t="s">
        <v>20</v>
      </c>
      <c r="E24" s="14">
        <v>696154.20000000007</v>
      </c>
      <c r="F24" s="14">
        <v>1275545.8872704343</v>
      </c>
      <c r="G24" s="14">
        <v>1118016.99</v>
      </c>
      <c r="H24" s="14">
        <v>0</v>
      </c>
      <c r="I24" s="13">
        <f t="shared" si="0"/>
        <v>3089717.0772704342</v>
      </c>
    </row>
    <row r="25" spans="1:9" ht="15.75" x14ac:dyDescent="0.25">
      <c r="A25" s="8"/>
      <c r="B25" s="8"/>
      <c r="C25" s="9"/>
      <c r="D25" s="12" t="s">
        <v>21</v>
      </c>
      <c r="E25" s="14">
        <v>588930.47999999986</v>
      </c>
      <c r="F25" s="14">
        <v>947248.19400451845</v>
      </c>
      <c r="G25" s="14">
        <v>1253182.4699999997</v>
      </c>
      <c r="H25" s="14">
        <v>0</v>
      </c>
      <c r="I25" s="13">
        <f t="shared" si="0"/>
        <v>2789361.1440045182</v>
      </c>
    </row>
    <row r="26" spans="1:9" ht="15.75" x14ac:dyDescent="0.25">
      <c r="A26" s="8"/>
      <c r="B26" s="8"/>
      <c r="C26" s="9"/>
      <c r="D26" s="12" t="s">
        <v>22</v>
      </c>
      <c r="E26" s="14">
        <v>407548.69</v>
      </c>
      <c r="F26" s="14">
        <v>542437.61011915165</v>
      </c>
      <c r="G26" s="14">
        <v>423150.83999999997</v>
      </c>
      <c r="H26" s="14">
        <v>0</v>
      </c>
      <c r="I26" s="13">
        <f t="shared" si="0"/>
        <v>1373137.1401191517</v>
      </c>
    </row>
    <row r="27" spans="1:9" ht="15.75" x14ac:dyDescent="0.25">
      <c r="A27" s="8"/>
      <c r="B27" s="8"/>
      <c r="C27" s="9"/>
      <c r="D27" s="12" t="s">
        <v>23</v>
      </c>
      <c r="E27" s="14">
        <v>93990.609999999986</v>
      </c>
      <c r="F27" s="14">
        <v>93103.402631073943</v>
      </c>
      <c r="G27" s="14">
        <v>1073482.02</v>
      </c>
      <c r="H27" s="14">
        <v>0</v>
      </c>
      <c r="I27" s="13">
        <f t="shared" si="0"/>
        <v>1260576.0326310741</v>
      </c>
    </row>
    <row r="28" spans="1:9" ht="15.75" x14ac:dyDescent="0.25">
      <c r="A28" s="8"/>
      <c r="B28" s="8"/>
      <c r="C28" s="9"/>
      <c r="D28" s="12" t="s">
        <v>24</v>
      </c>
      <c r="E28" s="14">
        <v>412877.47000000003</v>
      </c>
      <c r="F28" s="14">
        <v>441242.80465443176</v>
      </c>
      <c r="G28" s="14">
        <v>695913.82</v>
      </c>
      <c r="H28" s="14">
        <v>0</v>
      </c>
      <c r="I28" s="13">
        <f t="shared" si="0"/>
        <v>1550034.0946544316</v>
      </c>
    </row>
    <row r="29" spans="1:9" ht="15.75" x14ac:dyDescent="0.25">
      <c r="A29" s="8"/>
      <c r="B29" s="8"/>
      <c r="C29" s="9"/>
      <c r="D29" s="12" t="s">
        <v>25</v>
      </c>
      <c r="E29" s="14">
        <v>309576.28000000003</v>
      </c>
      <c r="F29" s="14">
        <v>246934.14254980886</v>
      </c>
      <c r="G29" s="14">
        <v>428044.27</v>
      </c>
      <c r="H29" s="14">
        <v>0</v>
      </c>
      <c r="I29" s="13">
        <f t="shared" si="0"/>
        <v>984554.69254980888</v>
      </c>
    </row>
    <row r="30" spans="1:9" ht="15.75" x14ac:dyDescent="0.25">
      <c r="A30" s="8"/>
      <c r="B30" s="8"/>
      <c r="C30" s="9"/>
      <c r="D30" s="12" t="s">
        <v>26</v>
      </c>
      <c r="E30" s="14">
        <v>804037.7300000001</v>
      </c>
      <c r="F30" s="14">
        <v>1331809.3627881124</v>
      </c>
      <c r="G30" s="14">
        <v>486262.45</v>
      </c>
      <c r="H30" s="14">
        <v>0</v>
      </c>
      <c r="I30" s="13">
        <f t="shared" si="0"/>
        <v>2622109.5427881125</v>
      </c>
    </row>
    <row r="31" spans="1:9" ht="15.75" x14ac:dyDescent="0.25">
      <c r="A31" s="8"/>
      <c r="B31" s="8"/>
      <c r="C31" s="9"/>
      <c r="D31" s="12" t="s">
        <v>27</v>
      </c>
      <c r="E31" s="14">
        <v>303587.27999999997</v>
      </c>
      <c r="F31" s="14">
        <v>1380389.1418164754</v>
      </c>
      <c r="G31" s="14">
        <v>468979.01</v>
      </c>
      <c r="H31" s="14">
        <v>0</v>
      </c>
      <c r="I31" s="13">
        <f t="shared" si="0"/>
        <v>2152955.4318164755</v>
      </c>
    </row>
    <row r="32" spans="1:9" ht="15.75" x14ac:dyDescent="0.25">
      <c r="A32" s="8"/>
      <c r="B32" s="8"/>
      <c r="C32" s="9"/>
      <c r="D32" s="12" t="s">
        <v>28</v>
      </c>
      <c r="E32" s="14">
        <v>194505.72999999998</v>
      </c>
      <c r="F32" s="14">
        <v>465935.17350852973</v>
      </c>
      <c r="G32" s="14">
        <v>339593.3</v>
      </c>
      <c r="H32" s="14">
        <v>0</v>
      </c>
      <c r="I32" s="13">
        <f t="shared" si="0"/>
        <v>1000034.2035085298</v>
      </c>
    </row>
    <row r="33" spans="1:9" ht="15.75" x14ac:dyDescent="0.25">
      <c r="A33" s="8"/>
      <c r="B33" s="8"/>
      <c r="C33" s="9"/>
      <c r="D33" s="12" t="s">
        <v>29</v>
      </c>
      <c r="E33" s="14">
        <v>41277.769999999997</v>
      </c>
      <c r="F33" s="14">
        <v>704359.75287153258</v>
      </c>
      <c r="G33" s="14">
        <v>197026.99999999997</v>
      </c>
      <c r="H33" s="14">
        <v>0</v>
      </c>
      <c r="I33" s="13">
        <f t="shared" si="0"/>
        <v>942664.52287153259</v>
      </c>
    </row>
    <row r="34" spans="1:9" ht="15.75" x14ac:dyDescent="0.25">
      <c r="A34" s="8"/>
      <c r="B34" s="8"/>
      <c r="C34" s="9"/>
      <c r="D34" s="12" t="s">
        <v>30</v>
      </c>
      <c r="E34" s="14">
        <v>981272.80999999994</v>
      </c>
      <c r="F34" s="14">
        <v>1010798.1136760095</v>
      </c>
      <c r="G34" s="14">
        <v>1427726.87</v>
      </c>
      <c r="H34" s="14">
        <v>0</v>
      </c>
      <c r="I34" s="13">
        <f t="shared" si="0"/>
        <v>3419797.7936760094</v>
      </c>
    </row>
    <row r="35" spans="1:9" ht="15.75" x14ac:dyDescent="0.25">
      <c r="A35" s="8"/>
      <c r="B35" s="8"/>
      <c r="C35" s="9"/>
      <c r="D35" s="12" t="s">
        <v>31</v>
      </c>
      <c r="E35" s="14">
        <v>238548.76999999996</v>
      </c>
      <c r="F35" s="14">
        <v>1486047.8090511782</v>
      </c>
      <c r="G35" s="14">
        <v>754946.06</v>
      </c>
      <c r="H35" s="14">
        <v>0</v>
      </c>
      <c r="I35" s="13">
        <f t="shared" si="0"/>
        <v>2479542.6390511785</v>
      </c>
    </row>
    <row r="36" spans="1:9" ht="15.75" x14ac:dyDescent="0.25">
      <c r="A36" s="8"/>
      <c r="B36" s="8"/>
      <c r="C36" s="9"/>
      <c r="D36" s="12" t="s">
        <v>32</v>
      </c>
      <c r="E36" s="14">
        <v>571351.74000000011</v>
      </c>
      <c r="F36" s="14">
        <v>922148.11880608951</v>
      </c>
      <c r="G36" s="14">
        <v>1667100.32</v>
      </c>
      <c r="H36" s="14">
        <v>0</v>
      </c>
      <c r="I36" s="13">
        <f t="shared" si="0"/>
        <v>3160600.1788060898</v>
      </c>
    </row>
    <row r="37" spans="1:9" ht="15.75" x14ac:dyDescent="0.25">
      <c r="A37" s="8"/>
      <c r="B37" s="8"/>
      <c r="C37" s="9"/>
      <c r="D37" s="12" t="s">
        <v>33</v>
      </c>
      <c r="E37" s="14">
        <v>326665.26999999996</v>
      </c>
      <c r="F37" s="14">
        <v>510051.09076690971</v>
      </c>
      <c r="G37" s="14">
        <v>544825.62</v>
      </c>
      <c r="H37" s="14">
        <v>0</v>
      </c>
      <c r="I37" s="13">
        <f t="shared" si="0"/>
        <v>1381541.9807669097</v>
      </c>
    </row>
    <row r="38" spans="1:9" ht="15.75" x14ac:dyDescent="0.25">
      <c r="A38" s="8"/>
      <c r="B38" s="8"/>
      <c r="C38" s="9"/>
      <c r="D38" s="12" t="s">
        <v>34</v>
      </c>
      <c r="E38" s="14">
        <v>255444.73999999996</v>
      </c>
      <c r="F38" s="14">
        <v>1108365.3780770663</v>
      </c>
      <c r="G38" s="14">
        <v>412945.19000000006</v>
      </c>
      <c r="H38" s="14">
        <v>0</v>
      </c>
      <c r="I38" s="13">
        <f t="shared" si="0"/>
        <v>1776755.3080770662</v>
      </c>
    </row>
    <row r="39" spans="1:9" ht="15.75" x14ac:dyDescent="0.25">
      <c r="A39" s="8"/>
      <c r="B39" s="8"/>
      <c r="C39" s="9"/>
      <c r="D39" s="12" t="s">
        <v>35</v>
      </c>
      <c r="E39" s="14">
        <v>178096.00000000003</v>
      </c>
      <c r="F39" s="14">
        <v>1735407.2816493148</v>
      </c>
      <c r="G39" s="14">
        <v>701800.8899999999</v>
      </c>
      <c r="H39" s="14">
        <v>0</v>
      </c>
      <c r="I39" s="13">
        <f t="shared" si="0"/>
        <v>2615304.1716493145</v>
      </c>
    </row>
    <row r="40" spans="1:9" ht="15.75" x14ac:dyDescent="0.25">
      <c r="A40" s="8"/>
      <c r="B40" s="8"/>
      <c r="C40" s="9"/>
      <c r="D40" s="12" t="s">
        <v>36</v>
      </c>
      <c r="E40" s="14">
        <v>13218.349999999999</v>
      </c>
      <c r="F40" s="14">
        <v>91085.778927076957</v>
      </c>
      <c r="G40" s="14">
        <v>533002.34</v>
      </c>
      <c r="H40" s="14">
        <v>0</v>
      </c>
      <c r="I40" s="13">
        <f t="shared" si="0"/>
        <v>637306.4689270769</v>
      </c>
    </row>
    <row r="41" spans="1:9" ht="15.75" x14ac:dyDescent="0.25">
      <c r="A41" s="8"/>
      <c r="B41" s="8"/>
      <c r="C41" s="9"/>
      <c r="D41" s="12" t="s">
        <v>37</v>
      </c>
      <c r="E41" s="14">
        <v>413556.57</v>
      </c>
      <c r="F41" s="14">
        <v>1522072.3234759122</v>
      </c>
      <c r="G41" s="14">
        <v>1191059.2299999997</v>
      </c>
      <c r="H41" s="14">
        <v>0</v>
      </c>
      <c r="I41" s="13">
        <f t="shared" si="0"/>
        <v>3126688.123475912</v>
      </c>
    </row>
    <row r="42" spans="1:9" ht="15.75" x14ac:dyDescent="0.25">
      <c r="A42" s="8"/>
      <c r="B42" s="8"/>
      <c r="C42" s="9"/>
      <c r="D42" s="12" t="s">
        <v>38</v>
      </c>
      <c r="E42" s="14">
        <v>278985.44</v>
      </c>
      <c r="F42" s="14">
        <v>1648377.6581478901</v>
      </c>
      <c r="G42" s="14">
        <v>537481.79000000015</v>
      </c>
      <c r="H42" s="14">
        <v>0</v>
      </c>
      <c r="I42" s="13">
        <f t="shared" si="0"/>
        <v>2464844.8881478901</v>
      </c>
    </row>
    <row r="43" spans="1:9" ht="15.75" x14ac:dyDescent="0.25">
      <c r="A43" s="8"/>
      <c r="B43" s="8"/>
      <c r="C43" s="9"/>
      <c r="D43" s="12" t="s">
        <v>39</v>
      </c>
      <c r="E43" s="14">
        <v>84095.819999999992</v>
      </c>
      <c r="F43" s="14">
        <v>599516.49832549167</v>
      </c>
      <c r="G43" s="14">
        <v>356776.77000000008</v>
      </c>
      <c r="H43" s="14">
        <v>0</v>
      </c>
      <c r="I43" s="13">
        <f t="shared" si="0"/>
        <v>1040389.0883254916</v>
      </c>
    </row>
    <row r="44" spans="1:9" ht="15.75" x14ac:dyDescent="0.25">
      <c r="A44" s="8"/>
      <c r="B44" s="8"/>
      <c r="C44" s="9"/>
      <c r="D44" s="12" t="s">
        <v>40</v>
      </c>
      <c r="E44" s="14">
        <v>7315.58</v>
      </c>
      <c r="F44" s="14">
        <v>46143.994971205968</v>
      </c>
      <c r="G44" s="14">
        <v>458556.75</v>
      </c>
      <c r="H44" s="14">
        <v>0</v>
      </c>
      <c r="I44" s="13">
        <f t="shared" si="0"/>
        <v>512016.32497120596</v>
      </c>
    </row>
    <row r="45" spans="1:9" ht="15.75" x14ac:dyDescent="0.25">
      <c r="A45" s="8"/>
      <c r="B45" s="8"/>
      <c r="C45" s="9"/>
      <c r="D45" s="12" t="s">
        <v>41</v>
      </c>
      <c r="E45" s="14">
        <v>216910.47</v>
      </c>
      <c r="F45" s="14">
        <v>13360.223283461992</v>
      </c>
      <c r="G45" s="14">
        <v>1928894.32</v>
      </c>
      <c r="H45" s="14">
        <v>0</v>
      </c>
      <c r="I45" s="13">
        <f t="shared" si="0"/>
        <v>2159165.0132834623</v>
      </c>
    </row>
    <row r="46" spans="1:9" ht="15.75" x14ac:dyDescent="0.25">
      <c r="A46" s="8"/>
      <c r="B46" s="8"/>
      <c r="C46" s="9"/>
      <c r="D46" s="12" t="s">
        <v>42</v>
      </c>
      <c r="E46" s="14">
        <v>31116.050000000003</v>
      </c>
      <c r="F46" s="14">
        <v>44523.623602710977</v>
      </c>
      <c r="G46" s="14">
        <v>1759154.5</v>
      </c>
      <c r="H46" s="14">
        <v>0</v>
      </c>
      <c r="I46" s="13">
        <f t="shared" si="0"/>
        <v>1834794.1736027109</v>
      </c>
    </row>
    <row r="47" spans="1:9" ht="15.75" x14ac:dyDescent="0.25">
      <c r="A47" s="8"/>
      <c r="B47" s="8"/>
      <c r="C47" s="9"/>
      <c r="D47" s="12" t="s">
        <v>43</v>
      </c>
      <c r="E47" s="14">
        <v>151415.48000000001</v>
      </c>
      <c r="F47" s="14">
        <v>282550.95063021185</v>
      </c>
      <c r="G47" s="14">
        <v>632162.97000000009</v>
      </c>
      <c r="H47" s="14">
        <v>0</v>
      </c>
      <c r="I47" s="13">
        <f t="shared" si="0"/>
        <v>1066129.4006302119</v>
      </c>
    </row>
    <row r="48" spans="1:9" ht="15.75" x14ac:dyDescent="0.25">
      <c r="A48" s="8"/>
      <c r="B48" s="8"/>
      <c r="C48" s="9"/>
      <c r="D48" s="12" t="s">
        <v>44</v>
      </c>
      <c r="E48" s="14">
        <v>201879.25999999998</v>
      </c>
      <c r="F48" s="14">
        <v>44523.623602710977</v>
      </c>
      <c r="G48" s="14">
        <v>718501.36</v>
      </c>
      <c r="H48" s="14">
        <v>0</v>
      </c>
      <c r="I48" s="13">
        <f t="shared" si="0"/>
        <v>964904.24360271101</v>
      </c>
    </row>
    <row r="49" spans="1:9" ht="15.75" x14ac:dyDescent="0.25">
      <c r="A49" s="8"/>
      <c r="B49" s="8"/>
      <c r="C49" s="9"/>
      <c r="D49" s="12" t="s">
        <v>45</v>
      </c>
      <c r="E49" s="14">
        <v>110922.8</v>
      </c>
      <c r="F49" s="14">
        <v>53033.186789516971</v>
      </c>
      <c r="G49" s="14">
        <v>1597517.6500000001</v>
      </c>
      <c r="H49" s="14">
        <v>0</v>
      </c>
      <c r="I49" s="13">
        <f t="shared" si="0"/>
        <v>1761473.636789517</v>
      </c>
    </row>
    <row r="50" spans="1:9" ht="15.75" x14ac:dyDescent="0.25">
      <c r="A50" s="8"/>
      <c r="B50" s="8"/>
      <c r="C50" s="9"/>
      <c r="D50" s="12" t="s">
        <v>46</v>
      </c>
      <c r="E50" s="14">
        <v>345665.49</v>
      </c>
      <c r="F50" s="14">
        <v>512486.8748240667</v>
      </c>
      <c r="G50" s="14">
        <v>260780.99</v>
      </c>
      <c r="H50" s="14">
        <v>0</v>
      </c>
      <c r="I50" s="13">
        <f t="shared" si="0"/>
        <v>1118933.3548240666</v>
      </c>
    </row>
    <row r="51" spans="1:9" ht="15.75" x14ac:dyDescent="0.25">
      <c r="A51" s="8"/>
      <c r="B51" s="8"/>
      <c r="C51" s="9"/>
      <c r="D51" s="12" t="s">
        <v>47</v>
      </c>
      <c r="E51" s="14">
        <v>171244.32999999996</v>
      </c>
      <c r="F51" s="14">
        <v>931859.89300823049</v>
      </c>
      <c r="G51" s="14">
        <v>512859.99000000005</v>
      </c>
      <c r="H51" s="14">
        <v>0</v>
      </c>
      <c r="I51" s="13">
        <f t="shared" si="0"/>
        <v>1615964.2130082303</v>
      </c>
    </row>
    <row r="52" spans="1:9" ht="15.75" x14ac:dyDescent="0.25">
      <c r="A52" s="8"/>
      <c r="B52" s="8"/>
      <c r="C52" s="9"/>
      <c r="D52" s="12" t="s">
        <v>48</v>
      </c>
      <c r="E52" s="14">
        <v>182265.12</v>
      </c>
      <c r="F52" s="14">
        <v>939146.33716204343</v>
      </c>
      <c r="G52" s="14">
        <v>165363.17000000001</v>
      </c>
      <c r="H52" s="14">
        <v>0</v>
      </c>
      <c r="I52" s="13">
        <f t="shared" si="0"/>
        <v>1286774.6271620435</v>
      </c>
    </row>
    <row r="53" spans="1:9" ht="15.75" x14ac:dyDescent="0.25">
      <c r="A53" s="8"/>
      <c r="B53" s="8"/>
      <c r="C53" s="9"/>
      <c r="D53" s="12" t="s">
        <v>49</v>
      </c>
      <c r="E53" s="14">
        <v>244451.99000000002</v>
      </c>
      <c r="F53" s="14">
        <v>643642.86959270062</v>
      </c>
      <c r="G53" s="14">
        <v>1061286.6600000001</v>
      </c>
      <c r="H53" s="14">
        <v>0</v>
      </c>
      <c r="I53" s="13">
        <f t="shared" si="0"/>
        <v>1949381.5195927008</v>
      </c>
    </row>
    <row r="54" spans="1:9" ht="15.75" x14ac:dyDescent="0.25">
      <c r="A54" s="8"/>
      <c r="B54" s="8"/>
      <c r="C54" s="9"/>
      <c r="D54" s="12" t="s">
        <v>50</v>
      </c>
      <c r="E54" s="14">
        <v>476367.11</v>
      </c>
      <c r="F54" s="14">
        <v>591017.38914751459</v>
      </c>
      <c r="G54" s="14">
        <v>519151.20999999996</v>
      </c>
      <c r="H54" s="14">
        <v>0</v>
      </c>
      <c r="I54" s="13">
        <f t="shared" si="0"/>
        <v>1586535.7091475145</v>
      </c>
    </row>
    <row r="55" spans="1:9" ht="15.75" x14ac:dyDescent="0.25">
      <c r="A55" s="8"/>
      <c r="B55" s="8"/>
      <c r="C55" s="9"/>
      <c r="D55" s="12" t="s">
        <v>51</v>
      </c>
      <c r="E55" s="14">
        <v>136269.48000000001</v>
      </c>
      <c r="F55" s="14">
        <v>1210375.5962304482</v>
      </c>
      <c r="G55" s="14">
        <v>24470.81</v>
      </c>
      <c r="H55" s="14">
        <v>0</v>
      </c>
      <c r="I55" s="13">
        <f t="shared" si="0"/>
        <v>1371115.8862304483</v>
      </c>
    </row>
    <row r="56" spans="1:9" ht="15.75" x14ac:dyDescent="0.25">
      <c r="A56" s="8"/>
      <c r="B56" s="8"/>
      <c r="C56" s="9"/>
      <c r="D56" s="12" t="s">
        <v>52</v>
      </c>
      <c r="E56" s="14">
        <v>303034.55</v>
      </c>
      <c r="F56" s="14">
        <v>1347197.6637844001</v>
      </c>
      <c r="G56" s="14">
        <v>311894.83000000007</v>
      </c>
      <c r="H56" s="14">
        <v>0</v>
      </c>
      <c r="I56" s="13">
        <f t="shared" si="0"/>
        <v>1962127.0437844002</v>
      </c>
    </row>
    <row r="57" spans="1:9" ht="15.75" x14ac:dyDescent="0.25">
      <c r="A57" s="8"/>
      <c r="B57" s="8"/>
      <c r="C57" s="9"/>
      <c r="D57" s="12" t="s">
        <v>53</v>
      </c>
      <c r="E57" s="14">
        <v>71081.23000000001</v>
      </c>
      <c r="F57" s="14">
        <v>445288.50607125473</v>
      </c>
      <c r="G57" s="14">
        <v>230433.80000000002</v>
      </c>
      <c r="H57" s="14">
        <v>0</v>
      </c>
      <c r="I57" s="13">
        <f t="shared" si="0"/>
        <v>746803.53607125476</v>
      </c>
    </row>
    <row r="58" spans="1:9" ht="15.75" x14ac:dyDescent="0.25">
      <c r="A58" s="8"/>
      <c r="B58" s="8"/>
      <c r="C58" s="9"/>
      <c r="D58" s="12" t="s">
        <v>54</v>
      </c>
      <c r="E58" s="14">
        <v>247955.58000000002</v>
      </c>
      <c r="F58" s="14">
        <v>479295.39679199172</v>
      </c>
      <c r="G58" s="14">
        <v>39008.18</v>
      </c>
      <c r="H58" s="14">
        <v>0</v>
      </c>
      <c r="I58" s="13">
        <f t="shared" si="0"/>
        <v>766259.15679199179</v>
      </c>
    </row>
    <row r="59" spans="1:9" ht="15.75" x14ac:dyDescent="0.25">
      <c r="A59" s="8"/>
      <c r="B59" s="8"/>
      <c r="C59" s="9"/>
      <c r="D59" s="12" t="s">
        <v>55</v>
      </c>
      <c r="E59" s="14">
        <v>305999.23000000004</v>
      </c>
      <c r="F59" s="14">
        <v>809610.71376190439</v>
      </c>
      <c r="G59" s="14">
        <v>363063.05</v>
      </c>
      <c r="H59" s="14">
        <v>0</v>
      </c>
      <c r="I59" s="13">
        <f t="shared" si="0"/>
        <v>1478672.9937619045</v>
      </c>
    </row>
    <row r="60" spans="1:9" ht="15.75" x14ac:dyDescent="0.25">
      <c r="A60" s="8"/>
      <c r="B60" s="8"/>
      <c r="C60" s="9"/>
      <c r="D60" s="12" t="s">
        <v>56</v>
      </c>
      <c r="E60" s="14">
        <v>83749.600000000006</v>
      </c>
      <c r="F60" s="14">
        <v>489812.12967396574</v>
      </c>
      <c r="G60" s="14">
        <v>172004.18</v>
      </c>
      <c r="H60" s="14">
        <v>0</v>
      </c>
      <c r="I60" s="13">
        <f t="shared" si="0"/>
        <v>745565.90967396577</v>
      </c>
    </row>
    <row r="61" spans="1:9" ht="15.75" x14ac:dyDescent="0.25">
      <c r="A61" s="8"/>
      <c r="B61" s="8"/>
      <c r="C61" s="9"/>
      <c r="D61" s="12" t="s">
        <v>57</v>
      </c>
      <c r="E61" s="14">
        <v>670714.7300000001</v>
      </c>
      <c r="F61" s="14">
        <v>821758.2720212026</v>
      </c>
      <c r="G61" s="14">
        <v>353426.67000000004</v>
      </c>
      <c r="H61" s="14">
        <v>0</v>
      </c>
      <c r="I61" s="13">
        <f t="shared" si="0"/>
        <v>1845899.6720212027</v>
      </c>
    </row>
    <row r="62" spans="1:9" ht="15.75" x14ac:dyDescent="0.25">
      <c r="A62" s="8"/>
      <c r="B62" s="8"/>
      <c r="C62" s="9"/>
      <c r="D62" s="12" t="s">
        <v>58</v>
      </c>
      <c r="E62" s="14">
        <v>687003.98000000021</v>
      </c>
      <c r="F62" s="14">
        <v>916889.75236510241</v>
      </c>
      <c r="G62" s="14">
        <v>12662419.939999998</v>
      </c>
      <c r="H62" s="14">
        <v>0</v>
      </c>
      <c r="I62" s="13">
        <f t="shared" si="0"/>
        <v>14266313.672365099</v>
      </c>
    </row>
    <row r="63" spans="1:9" ht="15.75" x14ac:dyDescent="0.25">
      <c r="A63" s="8"/>
      <c r="B63" s="8"/>
      <c r="C63" s="9"/>
      <c r="D63" s="12" t="s">
        <v>59</v>
      </c>
      <c r="E63" s="14">
        <v>325699.05000000005</v>
      </c>
      <c r="F63" s="14">
        <v>101205.25947354894</v>
      </c>
      <c r="G63" s="14">
        <v>556340.59</v>
      </c>
      <c r="H63" s="14">
        <v>0</v>
      </c>
      <c r="I63" s="13">
        <f t="shared" si="0"/>
        <v>983244.89947354898</v>
      </c>
    </row>
    <row r="64" spans="1:9" ht="15.75" x14ac:dyDescent="0.25">
      <c r="A64" s="8"/>
      <c r="B64" s="8"/>
      <c r="C64" s="9"/>
      <c r="D64" s="12" t="s">
        <v>60</v>
      </c>
      <c r="E64" s="14">
        <v>0</v>
      </c>
      <c r="F64" s="14">
        <v>0</v>
      </c>
      <c r="G64" s="14">
        <v>3738203.52</v>
      </c>
      <c r="H64" s="14">
        <v>0</v>
      </c>
      <c r="I64" s="13">
        <f t="shared" si="0"/>
        <v>3738203.52</v>
      </c>
    </row>
    <row r="65" spans="1:9" ht="15.75" x14ac:dyDescent="0.25">
      <c r="A65" s="8"/>
      <c r="B65" s="8"/>
      <c r="C65" s="9"/>
      <c r="D65" s="12" t="s">
        <v>61</v>
      </c>
      <c r="E65" s="14">
        <v>351855.61</v>
      </c>
      <c r="F65" s="14">
        <v>1198228.0379711504</v>
      </c>
      <c r="G65" s="14">
        <v>308951.14</v>
      </c>
      <c r="H65" s="14">
        <v>0</v>
      </c>
      <c r="I65" s="13">
        <f t="shared" si="0"/>
        <v>1859034.7879711506</v>
      </c>
    </row>
    <row r="66" spans="1:9" ht="15.75" x14ac:dyDescent="0.25">
      <c r="A66" s="8"/>
      <c r="B66" s="8"/>
      <c r="C66" s="9"/>
      <c r="D66" s="12" t="s">
        <v>62</v>
      </c>
      <c r="E66" s="14">
        <v>1295155.44</v>
      </c>
      <c r="F66" s="14">
        <v>2382290.8939790055</v>
      </c>
      <c r="G66" s="14">
        <v>740968.79000000015</v>
      </c>
      <c r="H66" s="14">
        <v>0</v>
      </c>
      <c r="I66" s="13">
        <f t="shared" si="0"/>
        <v>4418415.123979006</v>
      </c>
    </row>
    <row r="67" spans="1:9" ht="15.75" x14ac:dyDescent="0.25">
      <c r="A67" s="8"/>
      <c r="B67" s="8"/>
      <c r="C67" s="9"/>
      <c r="D67" s="12" t="s">
        <v>63</v>
      </c>
      <c r="E67" s="14">
        <v>254341.27999999997</v>
      </c>
      <c r="F67" s="14">
        <v>1101078.9339232533</v>
      </c>
      <c r="G67" s="14">
        <v>374815.76</v>
      </c>
      <c r="H67" s="14">
        <v>0</v>
      </c>
      <c r="I67" s="13">
        <f t="shared" si="0"/>
        <v>1730235.9739232534</v>
      </c>
    </row>
    <row r="68" spans="1:9" ht="15.75" x14ac:dyDescent="0.25">
      <c r="A68" s="8"/>
      <c r="B68" s="8"/>
      <c r="C68" s="9"/>
      <c r="D68" s="12" t="s">
        <v>64</v>
      </c>
      <c r="E68" s="14">
        <v>449338.72</v>
      </c>
      <c r="F68" s="14">
        <v>465527.46716419864</v>
      </c>
      <c r="G68" s="14">
        <v>347045.59</v>
      </c>
      <c r="H68" s="14">
        <v>0</v>
      </c>
      <c r="I68" s="13">
        <f t="shared" si="0"/>
        <v>1261911.7771641987</v>
      </c>
    </row>
    <row r="69" spans="1:9" ht="15.75" x14ac:dyDescent="0.25">
      <c r="A69" s="8"/>
      <c r="B69" s="8"/>
      <c r="C69" s="9"/>
      <c r="D69" s="12" t="s">
        <v>65</v>
      </c>
      <c r="E69" s="14">
        <v>0</v>
      </c>
      <c r="F69" s="14">
        <v>0</v>
      </c>
      <c r="G69" s="14">
        <v>1256544.3500000001</v>
      </c>
      <c r="H69" s="14">
        <v>0</v>
      </c>
      <c r="I69" s="13">
        <f t="shared" si="0"/>
        <v>1256544.3500000001</v>
      </c>
    </row>
    <row r="70" spans="1:9" ht="15.75" x14ac:dyDescent="0.25">
      <c r="A70" s="8"/>
      <c r="B70" s="8"/>
      <c r="C70" s="9"/>
      <c r="D70" s="12" t="s">
        <v>66</v>
      </c>
      <c r="E70" s="14">
        <v>0</v>
      </c>
      <c r="F70" s="14">
        <v>0</v>
      </c>
      <c r="G70" s="14">
        <v>1641256.15</v>
      </c>
      <c r="H70" s="14">
        <v>0</v>
      </c>
      <c r="I70" s="13">
        <f t="shared" si="0"/>
        <v>1641256.15</v>
      </c>
    </row>
    <row r="71" spans="1:9" ht="15.75" x14ac:dyDescent="0.25">
      <c r="A71" s="8"/>
      <c r="B71" s="8"/>
      <c r="C71" s="9"/>
      <c r="D71" s="12" t="s">
        <v>67</v>
      </c>
      <c r="E71" s="14">
        <v>0</v>
      </c>
      <c r="F71" s="14">
        <v>12147.558259297994</v>
      </c>
      <c r="G71" s="14">
        <v>1058060.3799999999</v>
      </c>
      <c r="H71" s="14">
        <v>0</v>
      </c>
      <c r="I71" s="13">
        <f t="shared" si="0"/>
        <v>1070207.938259298</v>
      </c>
    </row>
    <row r="72" spans="1:9" ht="15.75" x14ac:dyDescent="0.25">
      <c r="A72" s="8"/>
      <c r="B72" s="8"/>
      <c r="C72" s="9"/>
      <c r="D72" s="12" t="s">
        <v>68</v>
      </c>
      <c r="E72" s="14">
        <v>1348481.06</v>
      </c>
      <c r="F72" s="14">
        <v>756180.2746368855</v>
      </c>
      <c r="G72" s="14">
        <v>2966091.42</v>
      </c>
      <c r="H72" s="14">
        <v>0</v>
      </c>
      <c r="I72" s="13">
        <f t="shared" si="0"/>
        <v>5070752.7546368856</v>
      </c>
    </row>
    <row r="73" spans="1:9" ht="15.75" x14ac:dyDescent="0.25">
      <c r="A73" s="8"/>
      <c r="B73" s="8"/>
      <c r="C73" s="9"/>
      <c r="D73" s="12" t="s">
        <v>69</v>
      </c>
      <c r="E73" s="14">
        <v>5057.2199999999993</v>
      </c>
      <c r="F73" s="14">
        <v>0</v>
      </c>
      <c r="G73" s="14">
        <v>824079.11</v>
      </c>
      <c r="H73" s="14">
        <v>0</v>
      </c>
      <c r="I73" s="13">
        <f t="shared" si="0"/>
        <v>829136.33</v>
      </c>
    </row>
    <row r="74" spans="1:9" ht="15.75" x14ac:dyDescent="0.25">
      <c r="A74" s="8"/>
      <c r="B74" s="8"/>
      <c r="C74" s="9"/>
      <c r="D74" s="12" t="s">
        <v>70</v>
      </c>
      <c r="E74" s="14">
        <v>50526.360000000008</v>
      </c>
      <c r="F74" s="14">
        <v>63957.626015821959</v>
      </c>
      <c r="G74" s="14">
        <v>7043570.9800000004</v>
      </c>
      <c r="H74" s="14">
        <v>0</v>
      </c>
      <c r="I74" s="13">
        <f t="shared" ref="I74:I137" si="1">SUM(E74:H74)</f>
        <v>7158054.9660158223</v>
      </c>
    </row>
    <row r="75" spans="1:9" ht="15.75" x14ac:dyDescent="0.25">
      <c r="A75" s="8"/>
      <c r="B75" s="8"/>
      <c r="C75" s="9"/>
      <c r="D75" s="12" t="s">
        <v>71</v>
      </c>
      <c r="E75" s="14">
        <v>216575.95</v>
      </c>
      <c r="F75" s="14">
        <v>248554.51391830386</v>
      </c>
      <c r="G75" s="14">
        <v>14033817.74</v>
      </c>
      <c r="H75" s="14">
        <v>0</v>
      </c>
      <c r="I75" s="13">
        <f t="shared" si="1"/>
        <v>14498948.203918304</v>
      </c>
    </row>
    <row r="76" spans="1:9" ht="15.75" x14ac:dyDescent="0.25">
      <c r="A76" s="8"/>
      <c r="B76" s="8"/>
      <c r="C76" s="9"/>
      <c r="D76" s="12" t="s">
        <v>72</v>
      </c>
      <c r="E76" s="14">
        <v>0</v>
      </c>
      <c r="F76" s="14">
        <v>0</v>
      </c>
      <c r="G76" s="14">
        <v>3708342.9700000007</v>
      </c>
      <c r="H76" s="14">
        <v>0</v>
      </c>
      <c r="I76" s="13">
        <f t="shared" si="1"/>
        <v>3708342.9700000007</v>
      </c>
    </row>
    <row r="77" spans="1:9" ht="15.75" x14ac:dyDescent="0.25">
      <c r="A77" s="8"/>
      <c r="B77" s="8"/>
      <c r="C77" s="9"/>
      <c r="D77" s="12" t="s">
        <v>73</v>
      </c>
      <c r="E77" s="14">
        <v>172710.89</v>
      </c>
      <c r="F77" s="14">
        <v>1232632.1810273891</v>
      </c>
      <c r="G77" s="14">
        <v>299897.48000000004</v>
      </c>
      <c r="H77" s="14">
        <v>0</v>
      </c>
      <c r="I77" s="13">
        <f t="shared" si="1"/>
        <v>1705240.5510273892</v>
      </c>
    </row>
    <row r="78" spans="1:9" ht="15.75" x14ac:dyDescent="0.25">
      <c r="A78" s="8"/>
      <c r="B78" s="8"/>
      <c r="C78" s="9"/>
      <c r="D78" s="12" t="s">
        <v>74</v>
      </c>
      <c r="E78" s="14">
        <v>378083.33</v>
      </c>
      <c r="F78" s="14">
        <v>1250853.5184163365</v>
      </c>
      <c r="G78" s="14">
        <v>472670.61000000004</v>
      </c>
      <c r="H78" s="14">
        <v>0</v>
      </c>
      <c r="I78" s="13">
        <f t="shared" si="1"/>
        <v>2101607.4584163367</v>
      </c>
    </row>
    <row r="79" spans="1:9" ht="15.75" x14ac:dyDescent="0.25">
      <c r="A79" s="8"/>
      <c r="B79" s="8"/>
      <c r="C79" s="9"/>
      <c r="D79" s="12" t="s">
        <v>75</v>
      </c>
      <c r="E79" s="14">
        <v>267628.99000000005</v>
      </c>
      <c r="F79" s="14">
        <v>702342.12916753558</v>
      </c>
      <c r="G79" s="14">
        <v>632716.18000000005</v>
      </c>
      <c r="H79" s="14">
        <v>0</v>
      </c>
      <c r="I79" s="13">
        <f t="shared" si="1"/>
        <v>1602687.2991675357</v>
      </c>
    </row>
    <row r="80" spans="1:9" ht="15.75" x14ac:dyDescent="0.25">
      <c r="A80" s="8"/>
      <c r="B80" s="8"/>
      <c r="C80" s="9"/>
      <c r="D80" s="12" t="s">
        <v>76</v>
      </c>
      <c r="E80" s="14">
        <v>122525.69000000002</v>
      </c>
      <c r="F80" s="14">
        <v>371211.39950896078</v>
      </c>
      <c r="G80" s="14">
        <v>72575.42</v>
      </c>
      <c r="H80" s="14">
        <v>0</v>
      </c>
      <c r="I80" s="13">
        <f t="shared" si="1"/>
        <v>566312.50950896076</v>
      </c>
    </row>
    <row r="81" spans="1:9" ht="15.75" x14ac:dyDescent="0.25">
      <c r="A81" s="8"/>
      <c r="B81" s="8"/>
      <c r="C81" s="9"/>
      <c r="D81" s="12" t="s">
        <v>77</v>
      </c>
      <c r="E81" s="14">
        <v>693252.41999999993</v>
      </c>
      <c r="F81" s="14">
        <v>2239792.2996309069</v>
      </c>
      <c r="G81" s="14">
        <v>1283600.0399999996</v>
      </c>
      <c r="H81" s="14">
        <v>0</v>
      </c>
      <c r="I81" s="13">
        <f t="shared" si="1"/>
        <v>4216644.7596309064</v>
      </c>
    </row>
    <row r="82" spans="1:9" ht="15.75" x14ac:dyDescent="0.25">
      <c r="A82" s="8"/>
      <c r="B82" s="8"/>
      <c r="C82" s="9"/>
      <c r="D82" s="12" t="s">
        <v>78</v>
      </c>
      <c r="E82" s="14">
        <v>691315.30999999994</v>
      </c>
      <c r="F82" s="14">
        <v>1552430.7651153281</v>
      </c>
      <c r="G82" s="14">
        <v>440003.65999999992</v>
      </c>
      <c r="H82" s="14">
        <v>0</v>
      </c>
      <c r="I82" s="13">
        <f t="shared" si="1"/>
        <v>2683749.7351153279</v>
      </c>
    </row>
    <row r="83" spans="1:9" ht="15.75" x14ac:dyDescent="0.25">
      <c r="A83" s="8"/>
      <c r="B83" s="8"/>
      <c r="C83" s="9"/>
      <c r="D83" s="12" t="s">
        <v>79</v>
      </c>
      <c r="E83" s="14">
        <v>805298.37000000011</v>
      </c>
      <c r="F83" s="14">
        <v>637569.09046305157</v>
      </c>
      <c r="G83" s="14">
        <v>642531.85</v>
      </c>
      <c r="H83" s="14">
        <v>0</v>
      </c>
      <c r="I83" s="13">
        <f t="shared" si="1"/>
        <v>2085399.3104630518</v>
      </c>
    </row>
    <row r="84" spans="1:9" ht="15.75" x14ac:dyDescent="0.25">
      <c r="A84" s="8"/>
      <c r="B84" s="8"/>
      <c r="C84" s="9"/>
      <c r="D84" s="12" t="s">
        <v>80</v>
      </c>
      <c r="E84" s="14">
        <v>0</v>
      </c>
      <c r="F84" s="14">
        <v>0</v>
      </c>
      <c r="G84" s="14">
        <v>4966918.1199999992</v>
      </c>
      <c r="H84" s="14">
        <v>0</v>
      </c>
      <c r="I84" s="13">
        <f t="shared" si="1"/>
        <v>4966918.1199999992</v>
      </c>
    </row>
    <row r="85" spans="1:9" ht="15.75" x14ac:dyDescent="0.25">
      <c r="A85" s="8"/>
      <c r="B85" s="8"/>
      <c r="C85" s="9"/>
      <c r="D85" s="12" t="s">
        <v>81</v>
      </c>
      <c r="E85" s="14">
        <v>305564.96999999997</v>
      </c>
      <c r="F85" s="14">
        <v>198354.36352144586</v>
      </c>
      <c r="G85" s="14">
        <v>2129099.62</v>
      </c>
      <c r="H85" s="14">
        <v>0</v>
      </c>
      <c r="I85" s="13">
        <f t="shared" si="1"/>
        <v>2633018.9535214459</v>
      </c>
    </row>
    <row r="86" spans="1:9" ht="15.75" x14ac:dyDescent="0.25">
      <c r="A86" s="8"/>
      <c r="B86" s="8"/>
      <c r="C86" s="9"/>
      <c r="D86" s="12" t="s">
        <v>82</v>
      </c>
      <c r="E86" s="14">
        <v>301794.86000000004</v>
      </c>
      <c r="F86" s="14">
        <v>823786.34973402857</v>
      </c>
      <c r="G86" s="14">
        <v>173951.56</v>
      </c>
      <c r="H86" s="14">
        <v>0</v>
      </c>
      <c r="I86" s="13">
        <f t="shared" si="1"/>
        <v>1299532.7697340287</v>
      </c>
    </row>
    <row r="87" spans="1:9" ht="15.75" x14ac:dyDescent="0.25">
      <c r="A87" s="8"/>
      <c r="B87" s="8"/>
      <c r="C87" s="9"/>
      <c r="D87" s="12" t="s">
        <v>83</v>
      </c>
      <c r="E87" s="14">
        <v>282713.73000000004</v>
      </c>
      <c r="F87" s="14">
        <v>1084885.6742471324</v>
      </c>
      <c r="G87" s="14">
        <v>128395.37999999999</v>
      </c>
      <c r="H87" s="14">
        <v>0</v>
      </c>
      <c r="I87" s="13">
        <f t="shared" si="1"/>
        <v>1495994.7842471323</v>
      </c>
    </row>
    <row r="88" spans="1:9" ht="15.75" x14ac:dyDescent="0.25">
      <c r="A88" s="8"/>
      <c r="B88" s="8"/>
      <c r="C88" s="9"/>
      <c r="D88" s="12" t="s">
        <v>84</v>
      </c>
      <c r="E88" s="14">
        <v>420618.06000000006</v>
      </c>
      <c r="F88" s="14">
        <v>0</v>
      </c>
      <c r="G88" s="14">
        <v>1627916.2400000002</v>
      </c>
      <c r="H88" s="14">
        <v>0</v>
      </c>
      <c r="I88" s="13">
        <f t="shared" si="1"/>
        <v>2048534.3000000003</v>
      </c>
    </row>
    <row r="89" spans="1:9" ht="15.75" x14ac:dyDescent="0.25">
      <c r="A89" s="8"/>
      <c r="B89" s="8"/>
      <c r="C89" s="9"/>
      <c r="D89" s="12" t="s">
        <v>85</v>
      </c>
      <c r="E89" s="14">
        <v>158545.15000000002</v>
      </c>
      <c r="F89" s="14">
        <v>1063831.3004655265</v>
      </c>
      <c r="G89" s="14">
        <v>337848.08999999997</v>
      </c>
      <c r="H89" s="14">
        <v>0</v>
      </c>
      <c r="I89" s="13">
        <f t="shared" si="1"/>
        <v>1560224.5404655263</v>
      </c>
    </row>
    <row r="90" spans="1:9" ht="15.75" x14ac:dyDescent="0.25">
      <c r="A90" s="8"/>
      <c r="B90" s="8"/>
      <c r="C90" s="9"/>
      <c r="D90" s="12" t="s">
        <v>86</v>
      </c>
      <c r="E90" s="14">
        <v>85675.13</v>
      </c>
      <c r="F90" s="14">
        <v>275264.50647639879</v>
      </c>
      <c r="G90" s="14">
        <v>363537.38000000006</v>
      </c>
      <c r="H90" s="14">
        <v>0</v>
      </c>
      <c r="I90" s="13">
        <f t="shared" si="1"/>
        <v>724477.0164763988</v>
      </c>
    </row>
    <row r="91" spans="1:9" ht="15.75" x14ac:dyDescent="0.25">
      <c r="A91" s="8"/>
      <c r="B91" s="8"/>
      <c r="C91" s="9"/>
      <c r="D91" s="12" t="s">
        <v>87</v>
      </c>
      <c r="E91" s="14">
        <v>152600.90999999997</v>
      </c>
      <c r="F91" s="14">
        <v>627857.31626091059</v>
      </c>
      <c r="G91" s="14">
        <v>1072354.6100000001</v>
      </c>
      <c r="H91" s="14">
        <v>0</v>
      </c>
      <c r="I91" s="13">
        <f t="shared" si="1"/>
        <v>1852812.8362609106</v>
      </c>
    </row>
    <row r="92" spans="1:9" ht="15.75" x14ac:dyDescent="0.25">
      <c r="A92" s="8"/>
      <c r="B92" s="8"/>
      <c r="C92" s="9"/>
      <c r="D92" s="12" t="s">
        <v>88</v>
      </c>
      <c r="E92" s="14">
        <v>8692.9</v>
      </c>
      <c r="F92" s="14">
        <v>86632.371165922945</v>
      </c>
      <c r="G92" s="14">
        <v>1972767.7000000002</v>
      </c>
      <c r="H92" s="14">
        <v>0</v>
      </c>
      <c r="I92" s="13">
        <f t="shared" si="1"/>
        <v>2068092.9711659232</v>
      </c>
    </row>
    <row r="93" spans="1:9" ht="15.75" x14ac:dyDescent="0.25">
      <c r="A93" s="8"/>
      <c r="B93" s="8"/>
      <c r="C93" s="9"/>
      <c r="D93" s="12" t="s">
        <v>89</v>
      </c>
      <c r="E93" s="14">
        <v>253502.41</v>
      </c>
      <c r="F93" s="14">
        <v>701934.42282320454</v>
      </c>
      <c r="G93" s="14">
        <v>268885.59999999998</v>
      </c>
      <c r="H93" s="14">
        <v>0</v>
      </c>
      <c r="I93" s="13">
        <f t="shared" si="1"/>
        <v>1224322.4328232044</v>
      </c>
    </row>
    <row r="94" spans="1:9" ht="15.75" x14ac:dyDescent="0.25">
      <c r="A94" s="8"/>
      <c r="B94" s="8"/>
      <c r="C94" s="9"/>
      <c r="D94" s="12" t="s">
        <v>90</v>
      </c>
      <c r="E94" s="14">
        <v>4221.84</v>
      </c>
      <c r="F94" s="14">
        <v>0</v>
      </c>
      <c r="G94" s="14">
        <v>108611.46</v>
      </c>
      <c r="H94" s="14">
        <v>0</v>
      </c>
      <c r="I94" s="13">
        <f t="shared" si="1"/>
        <v>112833.3</v>
      </c>
    </row>
    <row r="95" spans="1:9" ht="15.75" x14ac:dyDescent="0.25">
      <c r="A95" s="8"/>
      <c r="B95" s="8"/>
      <c r="C95" s="9"/>
      <c r="D95" s="12" t="s">
        <v>91</v>
      </c>
      <c r="E95" s="14">
        <v>9577.0299999999988</v>
      </c>
      <c r="F95" s="14">
        <v>22267.038805769986</v>
      </c>
      <c r="G95" s="14">
        <v>2083864.4400000004</v>
      </c>
      <c r="H95" s="14">
        <v>0</v>
      </c>
      <c r="I95" s="13">
        <f t="shared" si="1"/>
        <v>2115708.5088057704</v>
      </c>
    </row>
    <row r="96" spans="1:9" ht="15.75" x14ac:dyDescent="0.25">
      <c r="A96" s="8"/>
      <c r="B96" s="8"/>
      <c r="C96" s="9"/>
      <c r="D96" s="12" t="s">
        <v>92</v>
      </c>
      <c r="E96" s="14">
        <v>0</v>
      </c>
      <c r="F96" s="14">
        <v>0</v>
      </c>
      <c r="G96" s="14">
        <v>4147198.1900000004</v>
      </c>
      <c r="H96" s="14">
        <v>0</v>
      </c>
      <c r="I96" s="13">
        <f t="shared" si="1"/>
        <v>4147198.1900000004</v>
      </c>
    </row>
    <row r="97" spans="1:9" ht="15.75" x14ac:dyDescent="0.25">
      <c r="A97" s="8"/>
      <c r="B97" s="8"/>
      <c r="C97" s="9"/>
      <c r="D97" s="12" t="s">
        <v>93</v>
      </c>
      <c r="E97" s="14">
        <v>160886.39999999999</v>
      </c>
      <c r="F97" s="14">
        <v>999873.67444970447</v>
      </c>
      <c r="G97" s="14">
        <v>324371.82</v>
      </c>
      <c r="H97" s="14">
        <v>0</v>
      </c>
      <c r="I97" s="13">
        <f t="shared" si="1"/>
        <v>1485131.8944497046</v>
      </c>
    </row>
    <row r="98" spans="1:9" ht="15.75" x14ac:dyDescent="0.25">
      <c r="A98" s="8"/>
      <c r="B98" s="8"/>
      <c r="C98" s="9"/>
      <c r="D98" s="12" t="s">
        <v>94</v>
      </c>
      <c r="E98" s="14">
        <v>394217.33999999991</v>
      </c>
      <c r="F98" s="14">
        <v>1315218.8507764894</v>
      </c>
      <c r="G98" s="14">
        <v>2351398.25</v>
      </c>
      <c r="H98" s="14">
        <v>0</v>
      </c>
      <c r="I98" s="13">
        <f t="shared" si="1"/>
        <v>4060834.4407764892</v>
      </c>
    </row>
    <row r="99" spans="1:9" ht="15.75" x14ac:dyDescent="0.25">
      <c r="A99" s="8"/>
      <c r="B99" s="8"/>
      <c r="C99" s="9"/>
      <c r="D99" s="12" t="s">
        <v>95</v>
      </c>
      <c r="E99" s="14">
        <v>723890.24</v>
      </c>
      <c r="F99" s="14">
        <v>2506160.4445938268</v>
      </c>
      <c r="G99" s="14">
        <v>1242736.51</v>
      </c>
      <c r="H99" s="14">
        <v>0</v>
      </c>
      <c r="I99" s="13">
        <f t="shared" si="1"/>
        <v>4472787.1945938263</v>
      </c>
    </row>
    <row r="100" spans="1:9" ht="15.75" x14ac:dyDescent="0.25">
      <c r="A100" s="8"/>
      <c r="B100" s="8"/>
      <c r="C100" s="9"/>
      <c r="D100" s="12" t="s">
        <v>96</v>
      </c>
      <c r="E100" s="14">
        <v>807336.14999999979</v>
      </c>
      <c r="F100" s="14">
        <v>2507373.1096179904</v>
      </c>
      <c r="G100" s="14">
        <v>1830675.39</v>
      </c>
      <c r="H100" s="14">
        <v>0</v>
      </c>
      <c r="I100" s="13">
        <f t="shared" si="1"/>
        <v>5145384.6496179905</v>
      </c>
    </row>
    <row r="101" spans="1:9" ht="15.75" x14ac:dyDescent="0.25">
      <c r="A101" s="8"/>
      <c r="B101" s="8"/>
      <c r="C101" s="9"/>
      <c r="D101" s="12" t="s">
        <v>97</v>
      </c>
      <c r="E101" s="14">
        <v>23688.51</v>
      </c>
      <c r="F101" s="14">
        <v>3364727.2817019378</v>
      </c>
      <c r="G101" s="14">
        <v>35689.159999999996</v>
      </c>
      <c r="H101" s="14">
        <v>0</v>
      </c>
      <c r="I101" s="13">
        <f t="shared" si="1"/>
        <v>3424104.9517019377</v>
      </c>
    </row>
    <row r="102" spans="1:9" ht="15.75" x14ac:dyDescent="0.25">
      <c r="A102" s="8"/>
      <c r="B102" s="8"/>
      <c r="C102" s="9"/>
      <c r="D102" s="12" t="s">
        <v>98</v>
      </c>
      <c r="E102" s="14">
        <v>603457.37</v>
      </c>
      <c r="F102" s="14">
        <v>1446782.5518894542</v>
      </c>
      <c r="G102" s="14">
        <v>1203280.28</v>
      </c>
      <c r="H102" s="14">
        <v>0</v>
      </c>
      <c r="I102" s="13">
        <f t="shared" si="1"/>
        <v>3253520.2018894544</v>
      </c>
    </row>
    <row r="103" spans="1:9" ht="15.75" x14ac:dyDescent="0.25">
      <c r="A103" s="8"/>
      <c r="B103" s="8"/>
      <c r="C103" s="9"/>
      <c r="D103" s="12" t="s">
        <v>99</v>
      </c>
      <c r="E103" s="14">
        <v>280905.78999999998</v>
      </c>
      <c r="F103" s="14">
        <v>459453.6880345497</v>
      </c>
      <c r="G103" s="14">
        <v>185075.20000000001</v>
      </c>
      <c r="H103" s="14">
        <v>0</v>
      </c>
      <c r="I103" s="13">
        <f t="shared" si="1"/>
        <v>925434.67803454958</v>
      </c>
    </row>
    <row r="104" spans="1:9" ht="15.75" x14ac:dyDescent="0.25">
      <c r="A104" s="8"/>
      <c r="B104" s="8"/>
      <c r="C104" s="9"/>
      <c r="D104" s="12" t="s">
        <v>100</v>
      </c>
      <c r="E104" s="14">
        <v>1637964.3100000003</v>
      </c>
      <c r="F104" s="14">
        <v>839571.90306581848</v>
      </c>
      <c r="G104" s="14">
        <v>2693447.56</v>
      </c>
      <c r="H104" s="14">
        <v>0</v>
      </c>
      <c r="I104" s="13">
        <f t="shared" si="1"/>
        <v>5170983.7730658185</v>
      </c>
    </row>
    <row r="105" spans="1:9" ht="15.75" x14ac:dyDescent="0.25">
      <c r="A105" s="8"/>
      <c r="B105" s="8"/>
      <c r="C105" s="9"/>
      <c r="D105" s="12" t="s">
        <v>101</v>
      </c>
      <c r="E105" s="14">
        <v>199904.83999999997</v>
      </c>
      <c r="F105" s="14">
        <v>1246807.8169995134</v>
      </c>
      <c r="G105" s="14">
        <v>21154.32</v>
      </c>
      <c r="H105" s="14">
        <v>0</v>
      </c>
      <c r="I105" s="13">
        <f t="shared" si="1"/>
        <v>1467866.9769995136</v>
      </c>
    </row>
    <row r="106" spans="1:9" ht="15.75" x14ac:dyDescent="0.25">
      <c r="A106" s="8"/>
      <c r="B106" s="8"/>
      <c r="C106" s="9"/>
      <c r="D106" s="12" t="s">
        <v>102</v>
      </c>
      <c r="E106" s="14">
        <v>591029.32999999996</v>
      </c>
      <c r="F106" s="14">
        <v>76910.142954952957</v>
      </c>
      <c r="G106" s="14">
        <v>3059205.28</v>
      </c>
      <c r="H106" s="14">
        <v>0</v>
      </c>
      <c r="I106" s="13">
        <f t="shared" si="1"/>
        <v>3727144.7529549524</v>
      </c>
    </row>
    <row r="107" spans="1:9" ht="15.75" x14ac:dyDescent="0.25">
      <c r="A107" s="8"/>
      <c r="B107" s="8"/>
      <c r="C107" s="9"/>
      <c r="D107" s="12" t="s">
        <v>103</v>
      </c>
      <c r="E107" s="14">
        <v>0</v>
      </c>
      <c r="F107" s="14">
        <v>0</v>
      </c>
      <c r="G107" s="14">
        <v>890897.16</v>
      </c>
      <c r="H107" s="14">
        <v>0</v>
      </c>
      <c r="I107" s="13">
        <f t="shared" si="1"/>
        <v>890897.16</v>
      </c>
    </row>
    <row r="108" spans="1:9" ht="15.75" x14ac:dyDescent="0.25">
      <c r="A108" s="8"/>
      <c r="B108" s="8"/>
      <c r="C108" s="9"/>
      <c r="D108" s="12" t="s">
        <v>104</v>
      </c>
      <c r="E108" s="14">
        <v>47304.01</v>
      </c>
      <c r="F108" s="14">
        <v>0</v>
      </c>
      <c r="G108" s="14">
        <v>348653.73000000004</v>
      </c>
      <c r="H108" s="14">
        <v>0</v>
      </c>
      <c r="I108" s="13">
        <f t="shared" si="1"/>
        <v>395957.74000000005</v>
      </c>
    </row>
    <row r="109" spans="1:9" ht="15.75" x14ac:dyDescent="0.25">
      <c r="A109" s="8"/>
      <c r="B109" s="8"/>
      <c r="C109" s="9"/>
      <c r="D109" s="12" t="s">
        <v>105</v>
      </c>
      <c r="E109" s="14">
        <v>31056.499999999996</v>
      </c>
      <c r="F109" s="14">
        <v>2005413.4216847268</v>
      </c>
      <c r="G109" s="14">
        <v>232437.80000000002</v>
      </c>
      <c r="H109" s="14">
        <v>0</v>
      </c>
      <c r="I109" s="13">
        <f t="shared" si="1"/>
        <v>2268907.7216847269</v>
      </c>
    </row>
    <row r="110" spans="1:9" ht="15.75" x14ac:dyDescent="0.25">
      <c r="A110" s="8"/>
      <c r="B110" s="8"/>
      <c r="C110" s="9"/>
      <c r="D110" s="12" t="s">
        <v>106</v>
      </c>
      <c r="E110" s="14">
        <v>269380.40999999997</v>
      </c>
      <c r="F110" s="14">
        <v>492645.16606662469</v>
      </c>
      <c r="G110" s="14">
        <v>224018.36000000002</v>
      </c>
      <c r="H110" s="14">
        <v>0</v>
      </c>
      <c r="I110" s="13">
        <f t="shared" si="1"/>
        <v>986043.93606662459</v>
      </c>
    </row>
    <row r="111" spans="1:9" ht="15.75" x14ac:dyDescent="0.25">
      <c r="A111" s="8"/>
      <c r="B111" s="8"/>
      <c r="C111" s="9"/>
      <c r="D111" s="12" t="s">
        <v>107</v>
      </c>
      <c r="E111" s="14">
        <v>7438.1</v>
      </c>
      <c r="F111" s="14">
        <v>7694.1504981439957</v>
      </c>
      <c r="G111" s="14">
        <v>4908106.8599999994</v>
      </c>
      <c r="H111" s="14">
        <v>0</v>
      </c>
      <c r="I111" s="13">
        <f t="shared" si="1"/>
        <v>4923239.1104981434</v>
      </c>
    </row>
    <row r="112" spans="1:9" ht="15.75" x14ac:dyDescent="0.25">
      <c r="A112" s="8"/>
      <c r="B112" s="8"/>
      <c r="C112" s="9"/>
      <c r="D112" s="12" t="s">
        <v>108</v>
      </c>
      <c r="E112" s="14">
        <v>696931.05</v>
      </c>
      <c r="F112" s="14">
        <v>526244.35044303071</v>
      </c>
      <c r="G112" s="14">
        <v>545878.51</v>
      </c>
      <c r="H112" s="14">
        <v>0</v>
      </c>
      <c r="I112" s="13">
        <f t="shared" si="1"/>
        <v>1769053.9104430308</v>
      </c>
    </row>
    <row r="113" spans="1:9" ht="15.75" x14ac:dyDescent="0.25">
      <c r="A113" s="8"/>
      <c r="B113" s="8"/>
      <c r="C113" s="9"/>
      <c r="D113" s="12" t="s">
        <v>109</v>
      </c>
      <c r="E113" s="14">
        <v>279208.69</v>
      </c>
      <c r="F113" s="14">
        <v>1267046.7780924574</v>
      </c>
      <c r="G113" s="14">
        <v>364605.51</v>
      </c>
      <c r="H113" s="14">
        <v>0</v>
      </c>
      <c r="I113" s="13">
        <f t="shared" si="1"/>
        <v>1910860.9780924574</v>
      </c>
    </row>
    <row r="114" spans="1:9" ht="15.75" x14ac:dyDescent="0.25">
      <c r="A114" s="8"/>
      <c r="B114" s="8"/>
      <c r="C114" s="9"/>
      <c r="D114" s="12" t="s">
        <v>110</v>
      </c>
      <c r="E114" s="14">
        <v>291640.05000000005</v>
      </c>
      <c r="F114" s="14">
        <v>1453253.5833546051</v>
      </c>
      <c r="G114" s="14">
        <v>781605.92</v>
      </c>
      <c r="H114" s="14">
        <v>0</v>
      </c>
      <c r="I114" s="13">
        <f t="shared" si="1"/>
        <v>2526499.5533546051</v>
      </c>
    </row>
    <row r="115" spans="1:9" ht="15.75" x14ac:dyDescent="0.25">
      <c r="A115" s="8"/>
      <c r="B115" s="8"/>
      <c r="C115" s="9"/>
      <c r="D115" s="12" t="s">
        <v>111</v>
      </c>
      <c r="E115" s="14">
        <v>850348.66</v>
      </c>
      <c r="F115" s="14">
        <v>718535.38884365652</v>
      </c>
      <c r="G115" s="14">
        <v>1317325.01</v>
      </c>
      <c r="H115" s="14">
        <v>0</v>
      </c>
      <c r="I115" s="13">
        <f t="shared" si="1"/>
        <v>2886209.0588436564</v>
      </c>
    </row>
    <row r="116" spans="1:9" ht="15.75" x14ac:dyDescent="0.25">
      <c r="A116" s="8"/>
      <c r="B116" s="8"/>
      <c r="C116" s="9"/>
      <c r="D116" s="12" t="s">
        <v>112</v>
      </c>
      <c r="E116" s="14">
        <v>266550.28999999998</v>
      </c>
      <c r="F116" s="14">
        <v>933083.01204122347</v>
      </c>
      <c r="G116" s="14">
        <v>351851.67000000004</v>
      </c>
      <c r="H116" s="14">
        <v>0</v>
      </c>
      <c r="I116" s="13">
        <f t="shared" si="1"/>
        <v>1551484.9720412237</v>
      </c>
    </row>
    <row r="117" spans="1:9" ht="15.75" x14ac:dyDescent="0.25">
      <c r="A117" s="8"/>
      <c r="B117" s="8"/>
      <c r="C117" s="9"/>
      <c r="D117" s="12" t="s">
        <v>113</v>
      </c>
      <c r="E117" s="14">
        <v>118697.49</v>
      </c>
      <c r="F117" s="14">
        <v>720553.01254765352</v>
      </c>
      <c r="G117" s="14">
        <v>650760.06000000006</v>
      </c>
      <c r="H117" s="14">
        <v>0</v>
      </c>
      <c r="I117" s="13">
        <f t="shared" si="1"/>
        <v>1490010.5625476534</v>
      </c>
    </row>
    <row r="118" spans="1:9" ht="15.75" x14ac:dyDescent="0.25">
      <c r="A118" s="8"/>
      <c r="B118" s="8"/>
      <c r="C118" s="9"/>
      <c r="D118" s="12" t="s">
        <v>114</v>
      </c>
      <c r="E118" s="14">
        <v>237942.65999999997</v>
      </c>
      <c r="F118" s="14">
        <v>1125363.5964330202</v>
      </c>
      <c r="G118" s="14">
        <v>631402.35000000009</v>
      </c>
      <c r="H118" s="14">
        <v>0</v>
      </c>
      <c r="I118" s="13">
        <f t="shared" si="1"/>
        <v>1994708.6064330202</v>
      </c>
    </row>
    <row r="119" spans="1:9" ht="15.75" x14ac:dyDescent="0.25">
      <c r="A119" s="8"/>
      <c r="B119" s="8"/>
      <c r="C119" s="9"/>
      <c r="D119" s="12" t="s">
        <v>115</v>
      </c>
      <c r="E119" s="14">
        <v>56882.49</v>
      </c>
      <c r="F119" s="14">
        <v>109296.66230719494</v>
      </c>
      <c r="G119" s="14">
        <v>296743.09000000003</v>
      </c>
      <c r="H119" s="14">
        <v>0</v>
      </c>
      <c r="I119" s="13">
        <f t="shared" si="1"/>
        <v>462922.24230719497</v>
      </c>
    </row>
    <row r="120" spans="1:9" ht="15.75" x14ac:dyDescent="0.25">
      <c r="A120" s="8"/>
      <c r="B120" s="8"/>
      <c r="C120" s="9"/>
      <c r="D120" s="12" t="s">
        <v>116</v>
      </c>
      <c r="E120" s="14">
        <v>580563.83000000007</v>
      </c>
      <c r="F120" s="14">
        <v>477675.02542349673</v>
      </c>
      <c r="G120" s="14">
        <v>806138.97000000009</v>
      </c>
      <c r="H120" s="14">
        <v>0</v>
      </c>
      <c r="I120" s="13">
        <f t="shared" si="1"/>
        <v>1864377.8254234968</v>
      </c>
    </row>
    <row r="121" spans="1:9" ht="15.75" x14ac:dyDescent="0.25">
      <c r="A121" s="8"/>
      <c r="B121" s="8"/>
      <c r="C121" s="9"/>
      <c r="D121" s="12" t="s">
        <v>117</v>
      </c>
      <c r="E121" s="14">
        <v>256449.48000000007</v>
      </c>
      <c r="F121" s="14">
        <v>708813.16063268669</v>
      </c>
      <c r="G121" s="14">
        <v>485651.80000000005</v>
      </c>
      <c r="H121" s="14">
        <v>0</v>
      </c>
      <c r="I121" s="13">
        <f t="shared" si="1"/>
        <v>1450914.440632687</v>
      </c>
    </row>
    <row r="122" spans="1:9" ht="15.75" x14ac:dyDescent="0.25">
      <c r="A122" s="8"/>
      <c r="B122" s="8"/>
      <c r="C122" s="9"/>
      <c r="D122" s="12" t="s">
        <v>118</v>
      </c>
      <c r="E122" s="14">
        <v>322193.05000000005</v>
      </c>
      <c r="F122" s="14">
        <v>522606.35537053866</v>
      </c>
      <c r="G122" s="14">
        <v>857348.61</v>
      </c>
      <c r="H122" s="14">
        <v>0</v>
      </c>
      <c r="I122" s="13">
        <f t="shared" si="1"/>
        <v>1702148.0153705387</v>
      </c>
    </row>
    <row r="123" spans="1:9" ht="15.75" x14ac:dyDescent="0.25">
      <c r="A123" s="8"/>
      <c r="B123" s="8"/>
      <c r="C123" s="9"/>
      <c r="D123" s="12" t="s">
        <v>119</v>
      </c>
      <c r="E123" s="14">
        <v>203800.83</v>
      </c>
      <c r="F123" s="14">
        <v>960200.71094364941</v>
      </c>
      <c r="G123" s="14">
        <v>296810.81</v>
      </c>
      <c r="H123" s="14">
        <v>0</v>
      </c>
      <c r="I123" s="13">
        <f t="shared" si="1"/>
        <v>1460812.3509436494</v>
      </c>
    </row>
    <row r="124" spans="1:9" ht="15.75" x14ac:dyDescent="0.25">
      <c r="A124" s="8"/>
      <c r="B124" s="8"/>
      <c r="C124" s="9"/>
      <c r="D124" s="12" t="s">
        <v>120</v>
      </c>
      <c r="E124" s="14">
        <v>9458.159999999998</v>
      </c>
      <c r="F124" s="14">
        <v>0</v>
      </c>
      <c r="G124" s="14">
        <v>1728884.38</v>
      </c>
      <c r="H124" s="14">
        <v>772794.2649999999</v>
      </c>
      <c r="I124" s="13">
        <f t="shared" si="1"/>
        <v>2511136.8049999997</v>
      </c>
    </row>
    <row r="125" spans="1:9" ht="15.75" x14ac:dyDescent="0.25">
      <c r="A125" s="8"/>
      <c r="B125" s="8"/>
      <c r="C125" s="9"/>
      <c r="D125" s="12" t="s">
        <v>121</v>
      </c>
      <c r="E125" s="14">
        <v>0</v>
      </c>
      <c r="F125" s="14">
        <v>0</v>
      </c>
      <c r="G125" s="14">
        <v>5171089.92</v>
      </c>
      <c r="H125" s="14">
        <v>117088.185</v>
      </c>
      <c r="I125" s="13">
        <f t="shared" si="1"/>
        <v>5288178.1049999995</v>
      </c>
    </row>
    <row r="126" spans="1:9" ht="15.75" x14ac:dyDescent="0.25">
      <c r="A126" s="8"/>
      <c r="B126" s="8"/>
      <c r="C126" s="9"/>
      <c r="D126" s="12" t="s">
        <v>122</v>
      </c>
      <c r="E126" s="14">
        <v>4602.58</v>
      </c>
      <c r="F126" s="14">
        <v>0</v>
      </c>
      <c r="G126" s="14">
        <v>2159661.1</v>
      </c>
      <c r="H126" s="14">
        <v>0</v>
      </c>
      <c r="I126" s="13">
        <f t="shared" si="1"/>
        <v>2164263.6800000002</v>
      </c>
    </row>
    <row r="127" spans="1:9" ht="15.75" x14ac:dyDescent="0.25">
      <c r="A127" s="8"/>
      <c r="B127" s="8"/>
      <c r="C127" s="9"/>
      <c r="D127" s="12" t="s">
        <v>123</v>
      </c>
      <c r="E127" s="14">
        <v>196338.22999999998</v>
      </c>
      <c r="F127" s="14">
        <v>202400.06493826892</v>
      </c>
      <c r="G127" s="14">
        <v>8468985.3900000006</v>
      </c>
      <c r="H127" s="14">
        <v>0</v>
      </c>
      <c r="I127" s="13">
        <f t="shared" si="1"/>
        <v>8867723.6849382687</v>
      </c>
    </row>
    <row r="128" spans="1:9" ht="15.75" x14ac:dyDescent="0.25">
      <c r="A128" s="8"/>
      <c r="B128" s="8"/>
      <c r="C128" s="9"/>
      <c r="D128" s="12" t="s">
        <v>124</v>
      </c>
      <c r="E128" s="14">
        <v>380338.48000000004</v>
      </c>
      <c r="F128" s="14">
        <v>631495.31133340264</v>
      </c>
      <c r="G128" s="14">
        <v>1004866.3500000001</v>
      </c>
      <c r="H128" s="14">
        <v>0</v>
      </c>
      <c r="I128" s="13">
        <f t="shared" si="1"/>
        <v>2016700.1413334028</v>
      </c>
    </row>
    <row r="129" spans="1:9" ht="15.75" x14ac:dyDescent="0.25">
      <c r="A129" s="8"/>
      <c r="B129" s="8"/>
      <c r="C129" s="9"/>
      <c r="D129" s="12" t="s">
        <v>125</v>
      </c>
      <c r="E129" s="14">
        <v>176193.52000000002</v>
      </c>
      <c r="F129" s="14">
        <v>305633.40212464379</v>
      </c>
      <c r="G129" s="14">
        <v>438549.33</v>
      </c>
      <c r="H129" s="14">
        <v>0</v>
      </c>
      <c r="I129" s="13">
        <f t="shared" si="1"/>
        <v>920376.25212464388</v>
      </c>
    </row>
    <row r="130" spans="1:9" ht="15.75" x14ac:dyDescent="0.25">
      <c r="A130" s="8"/>
      <c r="B130" s="8"/>
      <c r="C130" s="9"/>
      <c r="D130" s="12" t="s">
        <v>126</v>
      </c>
      <c r="E130" s="14">
        <v>112749.87</v>
      </c>
      <c r="F130" s="14">
        <v>538391.90870232868</v>
      </c>
      <c r="G130" s="14">
        <v>220471.7</v>
      </c>
      <c r="H130" s="14">
        <v>0</v>
      </c>
      <c r="I130" s="13">
        <f t="shared" si="1"/>
        <v>871613.47870232863</v>
      </c>
    </row>
    <row r="131" spans="1:9" ht="15.75" x14ac:dyDescent="0.25">
      <c r="A131" s="8"/>
      <c r="B131" s="8"/>
      <c r="C131" s="9"/>
      <c r="D131" s="12" t="s">
        <v>127</v>
      </c>
      <c r="E131" s="14">
        <v>1222668.49</v>
      </c>
      <c r="F131" s="14">
        <v>2942542.1351427734</v>
      </c>
      <c r="G131" s="14">
        <v>4219833.8899999987</v>
      </c>
      <c r="H131" s="14">
        <v>0</v>
      </c>
      <c r="I131" s="13">
        <f t="shared" si="1"/>
        <v>8385044.5151427723</v>
      </c>
    </row>
    <row r="132" spans="1:9" ht="15.75" x14ac:dyDescent="0.25">
      <c r="A132" s="8"/>
      <c r="B132" s="8"/>
      <c r="C132" s="9"/>
      <c r="D132" s="12" t="s">
        <v>128</v>
      </c>
      <c r="E132" s="14">
        <v>171635.77000000002</v>
      </c>
      <c r="F132" s="14">
        <v>1805438.686794786</v>
      </c>
      <c r="G132" s="14">
        <v>147527.20000000001</v>
      </c>
      <c r="H132" s="14">
        <v>0</v>
      </c>
      <c r="I132" s="13">
        <f t="shared" si="1"/>
        <v>2124601.656794786</v>
      </c>
    </row>
    <row r="133" spans="1:9" ht="15.75" x14ac:dyDescent="0.25">
      <c r="A133" s="8"/>
      <c r="B133" s="8"/>
      <c r="C133" s="9"/>
      <c r="D133" s="12" t="s">
        <v>129</v>
      </c>
      <c r="E133" s="14">
        <v>33279.24</v>
      </c>
      <c r="F133" s="14">
        <v>0</v>
      </c>
      <c r="G133" s="14">
        <v>4436335.7299999995</v>
      </c>
      <c r="H133" s="14">
        <v>652316.04499999993</v>
      </c>
      <c r="I133" s="13">
        <f t="shared" si="1"/>
        <v>5121931.0149999997</v>
      </c>
    </row>
    <row r="134" spans="1:9" ht="15.75" x14ac:dyDescent="0.25">
      <c r="A134" s="8"/>
      <c r="B134" s="8"/>
      <c r="C134" s="9"/>
      <c r="D134" s="12" t="s">
        <v>130</v>
      </c>
      <c r="E134" s="14">
        <v>259147.87</v>
      </c>
      <c r="F134" s="14">
        <v>89057.701214250963</v>
      </c>
      <c r="G134" s="14">
        <v>20527.88</v>
      </c>
      <c r="H134" s="14">
        <v>0</v>
      </c>
      <c r="I134" s="13">
        <f t="shared" si="1"/>
        <v>368733.45121425099</v>
      </c>
    </row>
    <row r="135" spans="1:9" ht="15.75" x14ac:dyDescent="0.25">
      <c r="A135" s="8"/>
      <c r="B135" s="8"/>
      <c r="C135" s="9"/>
      <c r="D135" s="12" t="s">
        <v>131</v>
      </c>
      <c r="E135" s="14">
        <v>142076.21</v>
      </c>
      <c r="F135" s="14">
        <v>1125363.5964330202</v>
      </c>
      <c r="G135" s="14">
        <v>141700.85</v>
      </c>
      <c r="H135" s="14">
        <v>0</v>
      </c>
      <c r="I135" s="13">
        <f t="shared" si="1"/>
        <v>1409140.6564330203</v>
      </c>
    </row>
    <row r="136" spans="1:9" ht="15.75" x14ac:dyDescent="0.25">
      <c r="A136" s="8"/>
      <c r="B136" s="8"/>
      <c r="C136" s="9"/>
      <c r="D136" s="12" t="s">
        <v>132</v>
      </c>
      <c r="E136" s="14">
        <v>361763.01</v>
      </c>
      <c r="F136" s="14">
        <v>1360150.1807235312</v>
      </c>
      <c r="G136" s="14">
        <v>1595102.1300000001</v>
      </c>
      <c r="H136" s="14">
        <v>0</v>
      </c>
      <c r="I136" s="13">
        <f t="shared" si="1"/>
        <v>3317015.3207235313</v>
      </c>
    </row>
    <row r="137" spans="1:9" ht="15.75" x14ac:dyDescent="0.25">
      <c r="A137" s="8"/>
      <c r="B137" s="8"/>
      <c r="C137" s="9"/>
      <c r="D137" s="12" t="s">
        <v>133</v>
      </c>
      <c r="E137" s="14">
        <v>718362.5199999999</v>
      </c>
      <c r="F137" s="14">
        <v>2138597.494166187</v>
      </c>
      <c r="G137" s="14">
        <v>2196558.04</v>
      </c>
      <c r="H137" s="14">
        <v>0</v>
      </c>
      <c r="I137" s="13">
        <f t="shared" si="1"/>
        <v>5053518.0541661866</v>
      </c>
    </row>
    <row r="138" spans="1:9" ht="15.75" x14ac:dyDescent="0.25">
      <c r="A138" s="8"/>
      <c r="B138" s="8"/>
      <c r="C138" s="9"/>
      <c r="D138" s="12" t="s">
        <v>134</v>
      </c>
      <c r="E138" s="14">
        <v>0</v>
      </c>
      <c r="F138" s="14">
        <v>0</v>
      </c>
      <c r="G138" s="14">
        <v>3413159.08</v>
      </c>
      <c r="H138" s="14">
        <v>0</v>
      </c>
      <c r="I138" s="13">
        <f t="shared" ref="I138:I144" si="2">SUM(E138:H138)</f>
        <v>3413159.08</v>
      </c>
    </row>
    <row r="139" spans="1:9" ht="15.75" x14ac:dyDescent="0.25">
      <c r="A139" s="8"/>
      <c r="B139" s="8"/>
      <c r="C139" s="9"/>
      <c r="D139" s="12" t="s">
        <v>135</v>
      </c>
      <c r="E139" s="14">
        <v>74462.549999999988</v>
      </c>
      <c r="F139" s="14">
        <v>320206.29043226986</v>
      </c>
      <c r="G139" s="14">
        <v>519264.41</v>
      </c>
      <c r="H139" s="14">
        <v>0</v>
      </c>
      <c r="I139" s="13">
        <f t="shared" si="2"/>
        <v>913933.25043226988</v>
      </c>
    </row>
    <row r="140" spans="1:9" ht="15.75" x14ac:dyDescent="0.25">
      <c r="A140" s="8"/>
      <c r="B140" s="8"/>
      <c r="C140" s="9"/>
      <c r="D140" s="12" t="s">
        <v>136</v>
      </c>
      <c r="E140" s="14">
        <v>336070.47000000003</v>
      </c>
      <c r="F140" s="14">
        <v>2270966.1539589847</v>
      </c>
      <c r="G140" s="14">
        <v>1079290.97</v>
      </c>
      <c r="H140" s="14">
        <v>0</v>
      </c>
      <c r="I140" s="13">
        <f t="shared" si="2"/>
        <v>3686327.5939589851</v>
      </c>
    </row>
    <row r="141" spans="1:9" ht="15.75" x14ac:dyDescent="0.25">
      <c r="A141" s="8"/>
      <c r="B141" s="8"/>
      <c r="C141" s="9"/>
      <c r="D141" s="12" t="s">
        <v>137</v>
      </c>
      <c r="E141" s="14">
        <v>0</v>
      </c>
      <c r="F141" s="14">
        <v>0</v>
      </c>
      <c r="G141" s="14">
        <v>4083879.9400000004</v>
      </c>
      <c r="H141" s="14">
        <v>78109.720000000016</v>
      </c>
      <c r="I141" s="13">
        <f t="shared" si="2"/>
        <v>4161989.6600000006</v>
      </c>
    </row>
    <row r="142" spans="1:9" ht="15.75" x14ac:dyDescent="0.25">
      <c r="A142" s="8"/>
      <c r="B142" s="8"/>
      <c r="C142" s="9"/>
      <c r="D142" s="12" t="s">
        <v>138</v>
      </c>
      <c r="E142" s="14">
        <v>10217.529999999999</v>
      </c>
      <c r="F142" s="14">
        <v>0</v>
      </c>
      <c r="G142" s="14">
        <v>379519.01999999996</v>
      </c>
      <c r="H142" s="14">
        <v>0</v>
      </c>
      <c r="I142" s="13">
        <f t="shared" si="2"/>
        <v>389736.54999999993</v>
      </c>
    </row>
    <row r="143" spans="1:9" ht="15.75" x14ac:dyDescent="0.25">
      <c r="A143" s="8"/>
      <c r="B143" s="8"/>
      <c r="C143" s="9"/>
      <c r="D143" s="12" t="s">
        <v>139</v>
      </c>
      <c r="E143" s="14">
        <v>52821.979999999989</v>
      </c>
      <c r="F143" s="14">
        <v>2098924.5306601315</v>
      </c>
      <c r="G143" s="14">
        <v>180558.72</v>
      </c>
      <c r="H143" s="14">
        <v>0</v>
      </c>
      <c r="I143" s="13">
        <f t="shared" si="2"/>
        <v>2332305.2306601317</v>
      </c>
    </row>
    <row r="144" spans="1:9" ht="15.75" x14ac:dyDescent="0.25">
      <c r="A144" s="8"/>
      <c r="B144" s="8"/>
      <c r="C144" s="9"/>
      <c r="D144" s="12" t="s">
        <v>140</v>
      </c>
      <c r="E144" s="14">
        <v>423645.33</v>
      </c>
      <c r="F144" s="14">
        <v>255025.54538345485</v>
      </c>
      <c r="G144" s="14">
        <v>915770.2100000002</v>
      </c>
      <c r="H144" s="14">
        <v>0</v>
      </c>
      <c r="I144" s="13">
        <f t="shared" si="2"/>
        <v>1594441.085383455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41980479.599999957</v>
      </c>
      <c r="F145" s="22">
        <f>SUM(F10:F144)</f>
        <v>104535237.62990326</v>
      </c>
      <c r="G145" s="22">
        <f>SUM(G10:G144)</f>
        <v>191571379.64999995</v>
      </c>
      <c r="H145" s="22">
        <f>SUM(H10:H144)</f>
        <v>1620308.2149999999</v>
      </c>
      <c r="I145" s="22">
        <f>SUM(I10:I144)</f>
        <v>339707405.09490341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150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151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198274.80000000008</v>
      </c>
      <c r="F10" s="16">
        <v>2460103.1071940949</v>
      </c>
      <c r="G10" s="16">
        <v>463325.2</v>
      </c>
      <c r="H10" s="16">
        <v>0</v>
      </c>
      <c r="I10" s="13">
        <f t="shared" ref="I10:I73" si="0">SUM(E10:H10)</f>
        <v>3121703.1071940954</v>
      </c>
    </row>
    <row r="11" spans="1:9" ht="15.75" x14ac:dyDescent="0.25">
      <c r="A11" s="8"/>
      <c r="B11" s="8"/>
      <c r="C11" s="9"/>
      <c r="D11" s="12" t="s">
        <v>7</v>
      </c>
      <c r="E11" s="16">
        <v>199466.66999999998</v>
      </c>
      <c r="F11" s="16">
        <v>1380797.7199168566</v>
      </c>
      <c r="G11" s="16">
        <v>446864.77999999997</v>
      </c>
      <c r="H11" s="16">
        <v>0</v>
      </c>
      <c r="I11" s="13">
        <f t="shared" si="0"/>
        <v>2027129.1699168566</v>
      </c>
    </row>
    <row r="12" spans="1:9" ht="15.75" x14ac:dyDescent="0.25">
      <c r="A12" s="8"/>
      <c r="B12" s="8"/>
      <c r="C12" s="9"/>
      <c r="D12" s="12" t="s">
        <v>8</v>
      </c>
      <c r="E12" s="16">
        <v>564472.68000000017</v>
      </c>
      <c r="F12" s="16">
        <v>500579.64300443418</v>
      </c>
      <c r="G12" s="16">
        <v>389631.48</v>
      </c>
      <c r="H12" s="16">
        <v>0</v>
      </c>
      <c r="I12" s="13">
        <f t="shared" si="0"/>
        <v>1454683.8030044343</v>
      </c>
    </row>
    <row r="13" spans="1:9" ht="15.75" x14ac:dyDescent="0.25">
      <c r="A13" s="8"/>
      <c r="B13" s="8"/>
      <c r="C13" s="9"/>
      <c r="D13" s="12" t="s">
        <v>9</v>
      </c>
      <c r="E13" s="16">
        <v>291308.61</v>
      </c>
      <c r="F13" s="16">
        <v>13246.647654828004</v>
      </c>
      <c r="G13" s="16">
        <v>3287105.7</v>
      </c>
      <c r="H13" s="16">
        <v>0</v>
      </c>
      <c r="I13" s="13">
        <f t="shared" si="0"/>
        <v>3591660.9576548282</v>
      </c>
    </row>
    <row r="14" spans="1:9" ht="15.75" x14ac:dyDescent="0.25">
      <c r="A14" s="8"/>
      <c r="B14" s="8"/>
      <c r="C14" s="9"/>
      <c r="D14" s="12" t="s">
        <v>10</v>
      </c>
      <c r="E14" s="16">
        <v>452904.02999999997</v>
      </c>
      <c r="F14" s="16">
        <v>556199.6033382602</v>
      </c>
      <c r="G14" s="16">
        <v>553243.45000000007</v>
      </c>
      <c r="H14" s="16">
        <v>0</v>
      </c>
      <c r="I14" s="13">
        <f t="shared" si="0"/>
        <v>1562347.0833382602</v>
      </c>
    </row>
    <row r="15" spans="1:9" ht="15.75" x14ac:dyDescent="0.25">
      <c r="A15" s="8"/>
      <c r="B15" s="8"/>
      <c r="C15" s="9"/>
      <c r="D15" s="12" t="s">
        <v>11</v>
      </c>
      <c r="E15" s="16">
        <v>16667.02</v>
      </c>
      <c r="F15" s="16">
        <v>3089.3644702740012</v>
      </c>
      <c r="G15" s="16">
        <v>3359046.3399999989</v>
      </c>
      <c r="H15" s="16">
        <v>0</v>
      </c>
      <c r="I15" s="13">
        <f t="shared" si="0"/>
        <v>3378802.7244702731</v>
      </c>
    </row>
    <row r="16" spans="1:9" ht="15.75" x14ac:dyDescent="0.25">
      <c r="A16" s="8"/>
      <c r="B16" s="8"/>
      <c r="C16" s="9"/>
      <c r="D16" s="12" t="s">
        <v>12</v>
      </c>
      <c r="E16" s="16">
        <v>583606.6</v>
      </c>
      <c r="F16" s="16">
        <v>2652122.498844631</v>
      </c>
      <c r="G16" s="16">
        <v>668423.43999999994</v>
      </c>
      <c r="H16" s="16">
        <v>0</v>
      </c>
      <c r="I16" s="13">
        <f t="shared" si="0"/>
        <v>3904152.5388446311</v>
      </c>
    </row>
    <row r="17" spans="1:9" ht="15.75" x14ac:dyDescent="0.25">
      <c r="A17" s="8"/>
      <c r="B17" s="8"/>
      <c r="C17" s="9"/>
      <c r="D17" s="12" t="s">
        <v>13</v>
      </c>
      <c r="E17" s="16">
        <v>650992.55000000005</v>
      </c>
      <c r="F17" s="16">
        <v>2436710.5762236072</v>
      </c>
      <c r="G17" s="16">
        <v>1514457.8800000001</v>
      </c>
      <c r="H17" s="16">
        <v>0</v>
      </c>
      <c r="I17" s="13">
        <f t="shared" si="0"/>
        <v>4602161.0062236069</v>
      </c>
    </row>
    <row r="18" spans="1:9" ht="15.75" x14ac:dyDescent="0.25">
      <c r="A18" s="8"/>
      <c r="B18" s="8"/>
      <c r="C18" s="9"/>
      <c r="D18" s="12" t="s">
        <v>14</v>
      </c>
      <c r="E18" s="16">
        <v>100754.15000000001</v>
      </c>
      <c r="F18" s="16">
        <v>198642.71547795006</v>
      </c>
      <c r="G18" s="16">
        <v>6584509.7000000011</v>
      </c>
      <c r="H18" s="16">
        <v>0</v>
      </c>
      <c r="I18" s="13">
        <f t="shared" si="0"/>
        <v>6883906.5654779514</v>
      </c>
    </row>
    <row r="19" spans="1:9" ht="15.75" x14ac:dyDescent="0.25">
      <c r="A19" s="8"/>
      <c r="B19" s="8"/>
      <c r="C19" s="9"/>
      <c r="D19" s="12" t="s">
        <v>15</v>
      </c>
      <c r="E19" s="16">
        <v>1466123.02</v>
      </c>
      <c r="F19" s="16">
        <v>1895957.7952367167</v>
      </c>
      <c r="G19" s="16">
        <v>1519904.21</v>
      </c>
      <c r="H19" s="16">
        <v>0</v>
      </c>
      <c r="I19" s="13">
        <f t="shared" si="0"/>
        <v>4881985.0252367165</v>
      </c>
    </row>
    <row r="20" spans="1:9" ht="15.75" x14ac:dyDescent="0.25">
      <c r="A20" s="8"/>
      <c r="B20" s="8"/>
      <c r="C20" s="9"/>
      <c r="D20" s="12" t="s">
        <v>16</v>
      </c>
      <c r="E20" s="16">
        <v>454848.88</v>
      </c>
      <c r="F20" s="16">
        <v>520894.20937354222</v>
      </c>
      <c r="G20" s="16">
        <v>546070.72</v>
      </c>
      <c r="H20" s="16">
        <v>0</v>
      </c>
      <c r="I20" s="13">
        <f t="shared" si="0"/>
        <v>1521813.8093735422</v>
      </c>
    </row>
    <row r="21" spans="1:9" ht="15.75" x14ac:dyDescent="0.25">
      <c r="A21" s="8"/>
      <c r="B21" s="8"/>
      <c r="C21" s="9"/>
      <c r="D21" s="12" t="s">
        <v>17</v>
      </c>
      <c r="E21" s="16">
        <v>388212.37000000005</v>
      </c>
      <c r="F21" s="16">
        <v>2268083.7155435588</v>
      </c>
      <c r="G21" s="16">
        <v>397165.86000000004</v>
      </c>
      <c r="H21" s="16">
        <v>0</v>
      </c>
      <c r="I21" s="13">
        <f t="shared" si="0"/>
        <v>3053461.9455435588</v>
      </c>
    </row>
    <row r="22" spans="1:9" ht="15.75" x14ac:dyDescent="0.25">
      <c r="A22" s="8"/>
      <c r="B22" s="8"/>
      <c r="C22" s="9"/>
      <c r="D22" s="12" t="s">
        <v>18</v>
      </c>
      <c r="E22" s="16">
        <v>46711.8</v>
      </c>
      <c r="F22" s="16">
        <v>97115.483107986045</v>
      </c>
      <c r="G22" s="16">
        <v>2220683.77</v>
      </c>
      <c r="H22" s="16">
        <v>0</v>
      </c>
      <c r="I22" s="13">
        <f t="shared" si="0"/>
        <v>2364511.0531079862</v>
      </c>
    </row>
    <row r="23" spans="1:9" ht="15.75" x14ac:dyDescent="0.25">
      <c r="A23" s="8"/>
      <c r="B23" s="8"/>
      <c r="C23" s="9"/>
      <c r="D23" s="12" t="s">
        <v>19</v>
      </c>
      <c r="E23" s="16">
        <v>151476.36000000002</v>
      </c>
      <c r="F23" s="16">
        <v>36194.583738450019</v>
      </c>
      <c r="G23" s="16">
        <v>2833046.02</v>
      </c>
      <c r="H23" s="16">
        <v>0</v>
      </c>
      <c r="I23" s="13">
        <f t="shared" si="0"/>
        <v>3020716.9637384498</v>
      </c>
    </row>
    <row r="24" spans="1:9" ht="15.75" x14ac:dyDescent="0.25">
      <c r="A24" s="8"/>
      <c r="B24" s="8"/>
      <c r="C24" s="9"/>
      <c r="D24" s="12" t="s">
        <v>20</v>
      </c>
      <c r="E24" s="16">
        <v>657394.93000000017</v>
      </c>
      <c r="F24" s="16">
        <v>1390955.0031014106</v>
      </c>
      <c r="G24" s="16">
        <v>1170860.1599999999</v>
      </c>
      <c r="H24" s="16">
        <v>0</v>
      </c>
      <c r="I24" s="13">
        <f t="shared" si="0"/>
        <v>3219210.0931014107</v>
      </c>
    </row>
    <row r="25" spans="1:9" ht="15.75" x14ac:dyDescent="0.25">
      <c r="A25" s="8"/>
      <c r="B25" s="8"/>
      <c r="C25" s="9"/>
      <c r="D25" s="12" t="s">
        <v>21</v>
      </c>
      <c r="E25" s="16">
        <v>342974.31999999995</v>
      </c>
      <c r="F25" s="16">
        <v>1032953.5203542343</v>
      </c>
      <c r="G25" s="16">
        <v>1495976.8200000003</v>
      </c>
      <c r="H25" s="16">
        <v>0</v>
      </c>
      <c r="I25" s="13">
        <f t="shared" si="0"/>
        <v>2871904.6603542343</v>
      </c>
    </row>
    <row r="26" spans="1:9" ht="15.75" x14ac:dyDescent="0.25">
      <c r="A26" s="8"/>
      <c r="B26" s="8"/>
      <c r="C26" s="9"/>
      <c r="D26" s="12" t="s">
        <v>22</v>
      </c>
      <c r="E26" s="16">
        <v>471329.88999999996</v>
      </c>
      <c r="F26" s="16">
        <v>591516.3971718722</v>
      </c>
      <c r="G26" s="16">
        <v>396479.62</v>
      </c>
      <c r="H26" s="16">
        <v>0</v>
      </c>
      <c r="I26" s="13">
        <f t="shared" si="0"/>
        <v>1459325.907171872</v>
      </c>
    </row>
    <row r="27" spans="1:9" ht="15.75" x14ac:dyDescent="0.25">
      <c r="A27" s="8"/>
      <c r="B27" s="8"/>
      <c r="C27" s="9"/>
      <c r="D27" s="12" t="s">
        <v>23</v>
      </c>
      <c r="E27" s="16">
        <v>31790.369999999995</v>
      </c>
      <c r="F27" s="16">
        <v>101527.23236996404</v>
      </c>
      <c r="G27" s="16">
        <v>1158003.1500000001</v>
      </c>
      <c r="H27" s="16">
        <v>0</v>
      </c>
      <c r="I27" s="13">
        <f t="shared" si="0"/>
        <v>1291320.7523699643</v>
      </c>
    </row>
    <row r="28" spans="1:9" ht="15.75" x14ac:dyDescent="0.25">
      <c r="A28" s="8"/>
      <c r="B28" s="8"/>
      <c r="C28" s="9"/>
      <c r="D28" s="12" t="s">
        <v>24</v>
      </c>
      <c r="E28" s="16">
        <v>447710.48</v>
      </c>
      <c r="F28" s="16">
        <v>481165.6662779522</v>
      </c>
      <c r="G28" s="16">
        <v>890453.17</v>
      </c>
      <c r="H28" s="16">
        <v>0</v>
      </c>
      <c r="I28" s="13">
        <f t="shared" si="0"/>
        <v>1819329.3162779524</v>
      </c>
    </row>
    <row r="29" spans="1:9" ht="15.75" x14ac:dyDescent="0.25">
      <c r="A29" s="8"/>
      <c r="B29" s="8"/>
      <c r="C29" s="9"/>
      <c r="D29" s="12" t="s">
        <v>25</v>
      </c>
      <c r="E29" s="16">
        <v>267601.86</v>
      </c>
      <c r="F29" s="16">
        <v>269276.30314517411</v>
      </c>
      <c r="G29" s="16">
        <v>268092.28000000003</v>
      </c>
      <c r="H29" s="16">
        <v>0</v>
      </c>
      <c r="I29" s="13">
        <f t="shared" si="0"/>
        <v>804970.44314517407</v>
      </c>
    </row>
    <row r="30" spans="1:9" ht="15.75" x14ac:dyDescent="0.25">
      <c r="A30" s="8"/>
      <c r="B30" s="8"/>
      <c r="C30" s="9"/>
      <c r="D30" s="12" t="s">
        <v>26</v>
      </c>
      <c r="E30" s="16">
        <v>326210.04000000004</v>
      </c>
      <c r="F30" s="16">
        <v>1452309.0974889183</v>
      </c>
      <c r="G30" s="16">
        <v>656401.15999999992</v>
      </c>
      <c r="H30" s="16">
        <v>0</v>
      </c>
      <c r="I30" s="13">
        <f t="shared" si="0"/>
        <v>2434920.2974889185</v>
      </c>
    </row>
    <row r="31" spans="1:9" ht="15.75" x14ac:dyDescent="0.25">
      <c r="A31" s="8"/>
      <c r="B31" s="8"/>
      <c r="C31" s="9"/>
      <c r="D31" s="12" t="s">
        <v>27</v>
      </c>
      <c r="E31" s="16">
        <v>297374.48000000004</v>
      </c>
      <c r="F31" s="16">
        <v>1505284.2882393366</v>
      </c>
      <c r="G31" s="16">
        <v>424765.48</v>
      </c>
      <c r="H31" s="16">
        <v>0</v>
      </c>
      <c r="I31" s="13">
        <f t="shared" si="0"/>
        <v>2227424.2482393365</v>
      </c>
    </row>
    <row r="32" spans="1:9" ht="15.75" x14ac:dyDescent="0.25">
      <c r="A32" s="8"/>
      <c r="B32" s="8"/>
      <c r="C32" s="9"/>
      <c r="D32" s="12" t="s">
        <v>28</v>
      </c>
      <c r="E32" s="16">
        <v>422786.16999999993</v>
      </c>
      <c r="F32" s="16">
        <v>508092.15660558012</v>
      </c>
      <c r="G32" s="16">
        <v>407377.63000000006</v>
      </c>
      <c r="H32" s="16">
        <v>0</v>
      </c>
      <c r="I32" s="13">
        <f t="shared" si="0"/>
        <v>1338255.9566055802</v>
      </c>
    </row>
    <row r="33" spans="1:9" ht="15.75" x14ac:dyDescent="0.25">
      <c r="A33" s="8"/>
      <c r="B33" s="8"/>
      <c r="C33" s="9"/>
      <c r="D33" s="12" t="s">
        <v>29</v>
      </c>
      <c r="E33" s="16">
        <v>53097.45</v>
      </c>
      <c r="F33" s="16">
        <v>768088.96647103818</v>
      </c>
      <c r="G33" s="16">
        <v>189016.16000000003</v>
      </c>
      <c r="H33" s="16">
        <v>0</v>
      </c>
      <c r="I33" s="13">
        <f t="shared" si="0"/>
        <v>1010202.5764710382</v>
      </c>
    </row>
    <row r="34" spans="1:9" ht="15.75" x14ac:dyDescent="0.25">
      <c r="A34" s="8"/>
      <c r="B34" s="8"/>
      <c r="C34" s="9"/>
      <c r="D34" s="12" t="s">
        <v>30</v>
      </c>
      <c r="E34" s="16">
        <v>591099.34000000008</v>
      </c>
      <c r="F34" s="16">
        <v>1102253.3233608603</v>
      </c>
      <c r="G34" s="16">
        <v>1234065.19</v>
      </c>
      <c r="H34" s="16">
        <v>0</v>
      </c>
      <c r="I34" s="13">
        <f t="shared" si="0"/>
        <v>2927417.8533608606</v>
      </c>
    </row>
    <row r="35" spans="1:9" ht="15.75" x14ac:dyDescent="0.25">
      <c r="A35" s="8"/>
      <c r="B35" s="8"/>
      <c r="C35" s="9"/>
      <c r="D35" s="12" t="s">
        <v>31</v>
      </c>
      <c r="E35" s="16">
        <v>413294.52000000014</v>
      </c>
      <c r="F35" s="16">
        <v>1620502.7631509947</v>
      </c>
      <c r="G35" s="16">
        <v>863757.58000000007</v>
      </c>
      <c r="H35" s="16">
        <v>0</v>
      </c>
      <c r="I35" s="13">
        <f t="shared" si="0"/>
        <v>2897554.8631509948</v>
      </c>
    </row>
    <row r="36" spans="1:9" ht="15.75" x14ac:dyDescent="0.25">
      <c r="A36" s="8"/>
      <c r="B36" s="8"/>
      <c r="C36" s="9"/>
      <c r="D36" s="12" t="s">
        <v>32</v>
      </c>
      <c r="E36" s="16">
        <v>419139.4800000001</v>
      </c>
      <c r="F36" s="16">
        <v>1005582.4351397404</v>
      </c>
      <c r="G36" s="16">
        <v>1610050.0499999998</v>
      </c>
      <c r="H36" s="16">
        <v>0</v>
      </c>
      <c r="I36" s="13">
        <f t="shared" si="0"/>
        <v>3034771.9651397401</v>
      </c>
    </row>
    <row r="37" spans="1:9" ht="15.75" x14ac:dyDescent="0.25">
      <c r="A37" s="8"/>
      <c r="B37" s="8"/>
      <c r="C37" s="9"/>
      <c r="D37" s="12" t="s">
        <v>33</v>
      </c>
      <c r="E37" s="16">
        <v>278057.82</v>
      </c>
      <c r="F37" s="16">
        <v>556199.6033382602</v>
      </c>
      <c r="G37" s="16">
        <v>523018.9</v>
      </c>
      <c r="H37" s="16">
        <v>0</v>
      </c>
      <c r="I37" s="13">
        <f t="shared" si="0"/>
        <v>1357276.3233382604</v>
      </c>
    </row>
    <row r="38" spans="1:9" ht="15.75" x14ac:dyDescent="0.25">
      <c r="A38" s="8"/>
      <c r="B38" s="8"/>
      <c r="C38" s="9"/>
      <c r="D38" s="12" t="s">
        <v>34</v>
      </c>
      <c r="E38" s="16">
        <v>172041.43999999997</v>
      </c>
      <c r="F38" s="16">
        <v>1208648.2997485625</v>
      </c>
      <c r="G38" s="16">
        <v>386001.94000000006</v>
      </c>
      <c r="H38" s="16">
        <v>0</v>
      </c>
      <c r="I38" s="13">
        <f t="shared" si="0"/>
        <v>1766691.6797485626</v>
      </c>
    </row>
    <row r="39" spans="1:9" ht="15.75" x14ac:dyDescent="0.25">
      <c r="A39" s="8"/>
      <c r="B39" s="8"/>
      <c r="C39" s="9"/>
      <c r="D39" s="12" t="s">
        <v>35</v>
      </c>
      <c r="E39" s="16">
        <v>165134.74</v>
      </c>
      <c r="F39" s="16">
        <v>1892423.8358795764</v>
      </c>
      <c r="G39" s="16">
        <v>694772.73</v>
      </c>
      <c r="H39" s="16">
        <v>0</v>
      </c>
      <c r="I39" s="13">
        <f t="shared" si="0"/>
        <v>2752331.3058795761</v>
      </c>
    </row>
    <row r="40" spans="1:9" ht="15.75" x14ac:dyDescent="0.25">
      <c r="A40" s="8"/>
      <c r="B40" s="8"/>
      <c r="C40" s="9"/>
      <c r="D40" s="12" t="s">
        <v>36</v>
      </c>
      <c r="E40" s="16">
        <v>7581.1799999999994</v>
      </c>
      <c r="F40" s="16">
        <v>99327.057673422038</v>
      </c>
      <c r="G40" s="16">
        <v>565499.66</v>
      </c>
      <c r="H40" s="16">
        <v>0</v>
      </c>
      <c r="I40" s="13">
        <f t="shared" si="0"/>
        <v>672407.89767342201</v>
      </c>
    </row>
    <row r="41" spans="1:9" ht="15.75" x14ac:dyDescent="0.25">
      <c r="A41" s="8"/>
      <c r="B41" s="8"/>
      <c r="C41" s="9"/>
      <c r="D41" s="12" t="s">
        <v>37</v>
      </c>
      <c r="E41" s="16">
        <v>531368.55999999994</v>
      </c>
      <c r="F41" s="16">
        <v>1659786.7113597186</v>
      </c>
      <c r="G41" s="16">
        <v>1061377.42</v>
      </c>
      <c r="H41" s="16">
        <v>0</v>
      </c>
      <c r="I41" s="13">
        <f t="shared" si="0"/>
        <v>3252532.6913597183</v>
      </c>
    </row>
    <row r="42" spans="1:9" ht="15.75" x14ac:dyDescent="0.25">
      <c r="A42" s="8"/>
      <c r="B42" s="8"/>
      <c r="C42" s="9"/>
      <c r="D42" s="12" t="s">
        <v>38</v>
      </c>
      <c r="E42" s="16">
        <v>522747.67</v>
      </c>
      <c r="F42" s="16">
        <v>1797519.9273370267</v>
      </c>
      <c r="G42" s="16">
        <v>510148.81000000006</v>
      </c>
      <c r="H42" s="16">
        <v>0</v>
      </c>
      <c r="I42" s="13">
        <f t="shared" si="0"/>
        <v>2830416.4073370267</v>
      </c>
    </row>
    <row r="43" spans="1:9" ht="15.75" x14ac:dyDescent="0.25">
      <c r="A43" s="8"/>
      <c r="B43" s="8"/>
      <c r="C43" s="9"/>
      <c r="D43" s="12" t="s">
        <v>39</v>
      </c>
      <c r="E43" s="16">
        <v>70831.81</v>
      </c>
      <c r="F43" s="16">
        <v>653759.6813331123</v>
      </c>
      <c r="G43" s="16">
        <v>464055.40000000008</v>
      </c>
      <c r="H43" s="16">
        <v>0</v>
      </c>
      <c r="I43" s="13">
        <f t="shared" si="0"/>
        <v>1188646.8913331125</v>
      </c>
    </row>
    <row r="44" spans="1:9" ht="15.75" x14ac:dyDescent="0.25">
      <c r="A44" s="8"/>
      <c r="B44" s="8"/>
      <c r="C44" s="9"/>
      <c r="D44" s="12" t="s">
        <v>40</v>
      </c>
      <c r="E44" s="16">
        <v>7476.4600000000009</v>
      </c>
      <c r="F44" s="16">
        <v>50319.021298116015</v>
      </c>
      <c r="G44" s="16">
        <v>534911.21</v>
      </c>
      <c r="H44" s="16">
        <v>0</v>
      </c>
      <c r="I44" s="13">
        <f t="shared" si="0"/>
        <v>592706.691298116</v>
      </c>
    </row>
    <row r="45" spans="1:9" ht="15.75" x14ac:dyDescent="0.25">
      <c r="A45" s="8"/>
      <c r="B45" s="8"/>
      <c r="C45" s="9"/>
      <c r="D45" s="12" t="s">
        <v>41</v>
      </c>
      <c r="E45" s="16">
        <v>191916.96999999994</v>
      </c>
      <c r="F45" s="16">
        <v>14569.032446532005</v>
      </c>
      <c r="G45" s="16">
        <v>2081078.1399999997</v>
      </c>
      <c r="H45" s="16">
        <v>0</v>
      </c>
      <c r="I45" s="13">
        <f t="shared" si="0"/>
        <v>2287564.1424465314</v>
      </c>
    </row>
    <row r="46" spans="1:9" ht="15.75" x14ac:dyDescent="0.25">
      <c r="A46" s="8"/>
      <c r="B46" s="8"/>
      <c r="C46" s="9"/>
      <c r="D46" s="12" t="s">
        <v>42</v>
      </c>
      <c r="E46" s="16">
        <v>31244.16</v>
      </c>
      <c r="F46" s="16">
        <v>48552.04161954602</v>
      </c>
      <c r="G46" s="16">
        <v>2023493.8599999999</v>
      </c>
      <c r="H46" s="16">
        <v>0</v>
      </c>
      <c r="I46" s="13">
        <f t="shared" si="0"/>
        <v>2103290.0616195458</v>
      </c>
    </row>
    <row r="47" spans="1:9" ht="15.75" x14ac:dyDescent="0.25">
      <c r="A47" s="8"/>
      <c r="B47" s="8"/>
      <c r="C47" s="9"/>
      <c r="D47" s="12" t="s">
        <v>43</v>
      </c>
      <c r="E47" s="16">
        <v>191705.94</v>
      </c>
      <c r="F47" s="16">
        <v>308115.65646703215</v>
      </c>
      <c r="G47" s="16">
        <v>544890.05000000005</v>
      </c>
      <c r="H47" s="16">
        <v>0</v>
      </c>
      <c r="I47" s="13">
        <f t="shared" si="0"/>
        <v>1044711.6464670321</v>
      </c>
    </row>
    <row r="48" spans="1:9" ht="15.75" x14ac:dyDescent="0.25">
      <c r="A48" s="8"/>
      <c r="B48" s="8"/>
      <c r="C48" s="9"/>
      <c r="D48" s="12" t="s">
        <v>44</v>
      </c>
      <c r="E48" s="16">
        <v>137284.16</v>
      </c>
      <c r="F48" s="16">
        <v>48552.04161954602</v>
      </c>
      <c r="G48" s="16">
        <v>822682.41999999993</v>
      </c>
      <c r="H48" s="16">
        <v>0</v>
      </c>
      <c r="I48" s="13">
        <f t="shared" si="0"/>
        <v>1008518.621619546</v>
      </c>
    </row>
    <row r="49" spans="1:9" ht="15.75" x14ac:dyDescent="0.25">
      <c r="A49" s="8"/>
      <c r="B49" s="8"/>
      <c r="C49" s="9"/>
      <c r="D49" s="12" t="s">
        <v>45</v>
      </c>
      <c r="E49" s="16">
        <v>133046.92000000001</v>
      </c>
      <c r="F49" s="16">
        <v>57831.53489926202</v>
      </c>
      <c r="G49" s="16">
        <v>1651797.2599999998</v>
      </c>
      <c r="H49" s="16">
        <v>0</v>
      </c>
      <c r="I49" s="13">
        <f t="shared" si="0"/>
        <v>1842675.7148992617</v>
      </c>
    </row>
    <row r="50" spans="1:9" ht="15.75" x14ac:dyDescent="0.25">
      <c r="A50" s="8"/>
      <c r="B50" s="8"/>
      <c r="C50" s="9"/>
      <c r="D50" s="12" t="s">
        <v>46</v>
      </c>
      <c r="E50" s="16">
        <v>148185.1</v>
      </c>
      <c r="F50" s="16">
        <v>558855.77279056225</v>
      </c>
      <c r="G50" s="16">
        <v>171029.08000000002</v>
      </c>
      <c r="H50" s="16">
        <v>0</v>
      </c>
      <c r="I50" s="13">
        <f t="shared" si="0"/>
        <v>878069.9527905623</v>
      </c>
    </row>
    <row r="51" spans="1:9" ht="15.75" x14ac:dyDescent="0.25">
      <c r="A51" s="8"/>
      <c r="B51" s="8"/>
      <c r="C51" s="9"/>
      <c r="D51" s="12" t="s">
        <v>47</v>
      </c>
      <c r="E51" s="16">
        <v>248360.97000000003</v>
      </c>
      <c r="F51" s="16">
        <v>1016172.9133422663</v>
      </c>
      <c r="G51" s="16">
        <v>531832.43999999994</v>
      </c>
      <c r="H51" s="16">
        <v>0</v>
      </c>
      <c r="I51" s="13">
        <f t="shared" si="0"/>
        <v>1796366.3233422663</v>
      </c>
    </row>
    <row r="52" spans="1:9" ht="15.75" x14ac:dyDescent="0.25">
      <c r="A52" s="8"/>
      <c r="B52" s="8"/>
      <c r="C52" s="9"/>
      <c r="D52" s="12" t="s">
        <v>48</v>
      </c>
      <c r="E52" s="16">
        <v>462338.21999999991</v>
      </c>
      <c r="F52" s="16">
        <v>1024118.6219613843</v>
      </c>
      <c r="G52" s="16">
        <v>210378.47999999998</v>
      </c>
      <c r="H52" s="16">
        <v>0</v>
      </c>
      <c r="I52" s="13">
        <f t="shared" si="0"/>
        <v>1696835.3219613843</v>
      </c>
    </row>
    <row r="53" spans="1:9" ht="15.75" x14ac:dyDescent="0.25">
      <c r="A53" s="8"/>
      <c r="B53" s="8"/>
      <c r="C53" s="9"/>
      <c r="D53" s="12" t="s">
        <v>49</v>
      </c>
      <c r="E53" s="16">
        <v>334924.78000000003</v>
      </c>
      <c r="F53" s="16">
        <v>701878.52793468628</v>
      </c>
      <c r="G53" s="16">
        <v>976630.15000000014</v>
      </c>
      <c r="H53" s="16">
        <v>0</v>
      </c>
      <c r="I53" s="13">
        <f t="shared" si="0"/>
        <v>2013433.4579346864</v>
      </c>
    </row>
    <row r="54" spans="1:9" ht="15.75" x14ac:dyDescent="0.25">
      <c r="A54" s="8"/>
      <c r="B54" s="8"/>
      <c r="C54" s="9"/>
      <c r="D54" s="12" t="s">
        <v>50</v>
      </c>
      <c r="E54" s="16">
        <v>263904.63</v>
      </c>
      <c r="F54" s="16">
        <v>644491.58792229032</v>
      </c>
      <c r="G54" s="16">
        <v>459842.07</v>
      </c>
      <c r="H54" s="16">
        <v>0</v>
      </c>
      <c r="I54" s="13">
        <f t="shared" si="0"/>
        <v>1368238.2879222904</v>
      </c>
    </row>
    <row r="55" spans="1:9" ht="15.75" x14ac:dyDescent="0.25">
      <c r="A55" s="8"/>
      <c r="B55" s="8"/>
      <c r="C55" s="9"/>
      <c r="D55" s="12" t="s">
        <v>51</v>
      </c>
      <c r="E55" s="16">
        <v>136962.36000000002</v>
      </c>
      <c r="F55" s="16">
        <v>1319888.2204162145</v>
      </c>
      <c r="G55" s="16">
        <v>25593.089999999997</v>
      </c>
      <c r="H55" s="16">
        <v>0</v>
      </c>
      <c r="I55" s="13">
        <f t="shared" si="0"/>
        <v>1482443.6704162147</v>
      </c>
    </row>
    <row r="56" spans="1:9" ht="15.75" x14ac:dyDescent="0.25">
      <c r="A56" s="8"/>
      <c r="B56" s="8"/>
      <c r="C56" s="9"/>
      <c r="D56" s="12" t="s">
        <v>52</v>
      </c>
      <c r="E56" s="16">
        <v>197886.78999999998</v>
      </c>
      <c r="F56" s="16">
        <v>1469089.7045008864</v>
      </c>
      <c r="G56" s="16">
        <v>264763.83999999997</v>
      </c>
      <c r="H56" s="16">
        <v>0</v>
      </c>
      <c r="I56" s="13">
        <f t="shared" si="0"/>
        <v>1931740.3345008865</v>
      </c>
    </row>
    <row r="57" spans="1:9" ht="15.75" x14ac:dyDescent="0.25">
      <c r="A57" s="8"/>
      <c r="B57" s="8"/>
      <c r="C57" s="9"/>
      <c r="D57" s="12" t="s">
        <v>53</v>
      </c>
      <c r="E57" s="16">
        <v>64053.670000000006</v>
      </c>
      <c r="F57" s="16">
        <v>485577.41553993017</v>
      </c>
      <c r="G57" s="16">
        <v>258412.81999999998</v>
      </c>
      <c r="H57" s="16">
        <v>0</v>
      </c>
      <c r="I57" s="13">
        <f t="shared" si="0"/>
        <v>808043.9055399301</v>
      </c>
    </row>
    <row r="58" spans="1:9" ht="15.75" x14ac:dyDescent="0.25">
      <c r="A58" s="8"/>
      <c r="B58" s="8"/>
      <c r="C58" s="9"/>
      <c r="D58" s="12" t="s">
        <v>54</v>
      </c>
      <c r="E58" s="16">
        <v>269343.14999999997</v>
      </c>
      <c r="F58" s="16">
        <v>522661.18905211217</v>
      </c>
      <c r="G58" s="16">
        <v>34590.97</v>
      </c>
      <c r="H58" s="16">
        <v>0</v>
      </c>
      <c r="I58" s="13">
        <f t="shared" si="0"/>
        <v>826595.30905211205</v>
      </c>
    </row>
    <row r="59" spans="1:9" ht="15.75" x14ac:dyDescent="0.25">
      <c r="A59" s="8"/>
      <c r="B59" s="8"/>
      <c r="C59" s="9"/>
      <c r="D59" s="12" t="s">
        <v>55</v>
      </c>
      <c r="E59" s="16">
        <v>273920.23</v>
      </c>
      <c r="F59" s="16">
        <v>882862.84649583034</v>
      </c>
      <c r="G59" s="16">
        <v>392221.28</v>
      </c>
      <c r="H59" s="16">
        <v>0</v>
      </c>
      <c r="I59" s="13">
        <f t="shared" si="0"/>
        <v>1549004.3564958305</v>
      </c>
    </row>
    <row r="60" spans="1:9" ht="15.75" x14ac:dyDescent="0.25">
      <c r="A60" s="8"/>
      <c r="B60" s="8"/>
      <c r="C60" s="9"/>
      <c r="D60" s="12" t="s">
        <v>56</v>
      </c>
      <c r="E60" s="16">
        <v>164344.62999999998</v>
      </c>
      <c r="F60" s="16">
        <v>534129.45715947624</v>
      </c>
      <c r="G60" s="16">
        <v>199730</v>
      </c>
      <c r="H60" s="16">
        <v>0</v>
      </c>
      <c r="I60" s="13">
        <f t="shared" si="0"/>
        <v>898204.08715947624</v>
      </c>
    </row>
    <row r="61" spans="1:9" ht="15.75" x14ac:dyDescent="0.25">
      <c r="A61" s="8"/>
      <c r="B61" s="8"/>
      <c r="C61" s="9"/>
      <c r="D61" s="12" t="s">
        <v>57</v>
      </c>
      <c r="E61" s="16">
        <v>273543.09000000003</v>
      </c>
      <c r="F61" s="16">
        <v>896109.49415065837</v>
      </c>
      <c r="G61" s="16">
        <v>340143.06</v>
      </c>
      <c r="H61" s="16">
        <v>0</v>
      </c>
      <c r="I61" s="13">
        <f t="shared" si="0"/>
        <v>1509795.6441506585</v>
      </c>
    </row>
    <row r="62" spans="1:9" ht="15.75" x14ac:dyDescent="0.25">
      <c r="A62" s="8"/>
      <c r="B62" s="8"/>
      <c r="C62" s="9"/>
      <c r="D62" s="12" t="s">
        <v>58</v>
      </c>
      <c r="E62" s="16">
        <v>723795.54</v>
      </c>
      <c r="F62" s="16">
        <v>999848.30108605837</v>
      </c>
      <c r="G62" s="16">
        <v>14698987.780000001</v>
      </c>
      <c r="H62" s="16">
        <v>0</v>
      </c>
      <c r="I62" s="13">
        <f t="shared" si="0"/>
        <v>16422631.621086059</v>
      </c>
    </row>
    <row r="63" spans="1:9" ht="15.75" x14ac:dyDescent="0.25">
      <c r="A63" s="8"/>
      <c r="B63" s="8"/>
      <c r="C63" s="9"/>
      <c r="D63" s="12" t="s">
        <v>59</v>
      </c>
      <c r="E63" s="16">
        <v>328024.17</v>
      </c>
      <c r="F63" s="16">
        <v>110362.13076281405</v>
      </c>
      <c r="G63" s="16">
        <v>599371.84000000008</v>
      </c>
      <c r="H63" s="16">
        <v>0</v>
      </c>
      <c r="I63" s="13">
        <f t="shared" si="0"/>
        <v>1037758.1407628141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4095256.0200000005</v>
      </c>
      <c r="H64" s="16">
        <v>0</v>
      </c>
      <c r="I64" s="13">
        <f t="shared" si="0"/>
        <v>4095256.0200000005</v>
      </c>
    </row>
    <row r="65" spans="1:9" ht="15.75" x14ac:dyDescent="0.25">
      <c r="A65" s="8"/>
      <c r="B65" s="8"/>
      <c r="C65" s="9"/>
      <c r="D65" s="12" t="s">
        <v>61</v>
      </c>
      <c r="E65" s="16">
        <v>521432.92000000004</v>
      </c>
      <c r="F65" s="16">
        <v>1306641.5727613866</v>
      </c>
      <c r="G65" s="16">
        <v>382742.66000000003</v>
      </c>
      <c r="H65" s="16">
        <v>0</v>
      </c>
      <c r="I65" s="13">
        <f t="shared" si="0"/>
        <v>2210817.1527613867</v>
      </c>
    </row>
    <row r="66" spans="1:9" ht="15.75" x14ac:dyDescent="0.25">
      <c r="A66" s="8"/>
      <c r="B66" s="8"/>
      <c r="C66" s="9"/>
      <c r="D66" s="12" t="s">
        <v>62</v>
      </c>
      <c r="E66" s="16">
        <v>2058479.6800000002</v>
      </c>
      <c r="F66" s="16">
        <v>2597836.3231714033</v>
      </c>
      <c r="G66" s="16">
        <v>844913.08</v>
      </c>
      <c r="H66" s="16">
        <v>0</v>
      </c>
      <c r="I66" s="13">
        <f t="shared" si="0"/>
        <v>5501229.083171403</v>
      </c>
    </row>
    <row r="67" spans="1:9" ht="15.75" x14ac:dyDescent="0.25">
      <c r="A67" s="8"/>
      <c r="B67" s="8"/>
      <c r="C67" s="9"/>
      <c r="D67" s="12" t="s">
        <v>63</v>
      </c>
      <c r="E67" s="16">
        <v>166288.35</v>
      </c>
      <c r="F67" s="16">
        <v>1200702.5911294445</v>
      </c>
      <c r="G67" s="16">
        <v>462661.51000000007</v>
      </c>
      <c r="H67" s="16">
        <v>0</v>
      </c>
      <c r="I67" s="13">
        <f t="shared" si="0"/>
        <v>1829652.4511294446</v>
      </c>
    </row>
    <row r="68" spans="1:9" ht="15.75" x14ac:dyDescent="0.25">
      <c r="A68" s="8"/>
      <c r="B68" s="8"/>
      <c r="C68" s="9"/>
      <c r="D68" s="12" t="s">
        <v>64</v>
      </c>
      <c r="E68" s="16">
        <v>392478.12999999989</v>
      </c>
      <c r="F68" s="16">
        <v>507647.56171871419</v>
      </c>
      <c r="G68" s="16">
        <v>365312.86</v>
      </c>
      <c r="H68" s="16">
        <v>0</v>
      </c>
      <c r="I68" s="13">
        <f t="shared" si="0"/>
        <v>1265438.5517187142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1417315.1</v>
      </c>
      <c r="H69" s="16">
        <v>0</v>
      </c>
      <c r="I69" s="13">
        <f t="shared" si="0"/>
        <v>1417315.1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1727586.8699999999</v>
      </c>
      <c r="H70" s="16">
        <v>0</v>
      </c>
      <c r="I70" s="13">
        <f t="shared" si="0"/>
        <v>1727586.8699999999</v>
      </c>
    </row>
    <row r="71" spans="1:9" ht="15.75" x14ac:dyDescent="0.25">
      <c r="A71" s="8"/>
      <c r="B71" s="8"/>
      <c r="C71" s="9"/>
      <c r="D71" s="12" t="s">
        <v>67</v>
      </c>
      <c r="E71" s="16">
        <v>76999.180000000008</v>
      </c>
      <c r="F71" s="16">
        <v>13246.647654828004</v>
      </c>
      <c r="G71" s="16">
        <v>1204035.82</v>
      </c>
      <c r="H71" s="16">
        <v>0</v>
      </c>
      <c r="I71" s="13">
        <f t="shared" si="0"/>
        <v>1294281.6476548281</v>
      </c>
    </row>
    <row r="72" spans="1:9" ht="15.75" x14ac:dyDescent="0.25">
      <c r="A72" s="8"/>
      <c r="B72" s="8"/>
      <c r="C72" s="9"/>
      <c r="D72" s="12" t="s">
        <v>68</v>
      </c>
      <c r="E72" s="16">
        <v>555174.34000000008</v>
      </c>
      <c r="F72" s="16">
        <v>824598.11657859618</v>
      </c>
      <c r="G72" s="16">
        <v>2930895.48</v>
      </c>
      <c r="H72" s="16">
        <v>0</v>
      </c>
      <c r="I72" s="13">
        <f t="shared" si="0"/>
        <v>4310667.936578596</v>
      </c>
    </row>
    <row r="73" spans="1:9" ht="15.75" x14ac:dyDescent="0.25">
      <c r="A73" s="8"/>
      <c r="B73" s="8"/>
      <c r="C73" s="9"/>
      <c r="D73" s="12" t="s">
        <v>69</v>
      </c>
      <c r="E73" s="16">
        <v>1829.64</v>
      </c>
      <c r="F73" s="16">
        <v>0</v>
      </c>
      <c r="G73" s="16">
        <v>995296.98</v>
      </c>
      <c r="H73" s="16">
        <v>0</v>
      </c>
      <c r="I73" s="13">
        <f t="shared" si="0"/>
        <v>997126.62</v>
      </c>
    </row>
    <row r="74" spans="1:9" ht="15.75" x14ac:dyDescent="0.25">
      <c r="A74" s="8"/>
      <c r="B74" s="8"/>
      <c r="C74" s="9"/>
      <c r="D74" s="12" t="s">
        <v>70</v>
      </c>
      <c r="E74" s="16">
        <v>73578.789999999994</v>
      </c>
      <c r="F74" s="16">
        <v>69744.397893492031</v>
      </c>
      <c r="G74" s="16">
        <v>7629800.459999999</v>
      </c>
      <c r="H74" s="16">
        <v>0</v>
      </c>
      <c r="I74" s="13">
        <f t="shared" ref="I74:I137" si="1">SUM(E74:H74)</f>
        <v>7773123.6478934912</v>
      </c>
    </row>
    <row r="75" spans="1:9" ht="15.75" x14ac:dyDescent="0.25">
      <c r="A75" s="8"/>
      <c r="B75" s="8"/>
      <c r="C75" s="9"/>
      <c r="D75" s="12" t="s">
        <v>71</v>
      </c>
      <c r="E75" s="16">
        <v>236278.66</v>
      </c>
      <c r="F75" s="16">
        <v>271043.28282374411</v>
      </c>
      <c r="G75" s="16">
        <v>15777359.280000001</v>
      </c>
      <c r="H75" s="16">
        <v>0</v>
      </c>
      <c r="I75" s="13">
        <f t="shared" si="1"/>
        <v>16284681.222823745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4221927.96</v>
      </c>
      <c r="H76" s="16">
        <v>0</v>
      </c>
      <c r="I76" s="13">
        <f t="shared" si="1"/>
        <v>4221927.96</v>
      </c>
    </row>
    <row r="77" spans="1:9" ht="15.75" x14ac:dyDescent="0.25">
      <c r="A77" s="8"/>
      <c r="B77" s="8"/>
      <c r="C77" s="9"/>
      <c r="D77" s="12" t="s">
        <v>73</v>
      </c>
      <c r="E77" s="16">
        <v>138782.66</v>
      </c>
      <c r="F77" s="16">
        <v>1344158.5412915405</v>
      </c>
      <c r="G77" s="16">
        <v>269066.19</v>
      </c>
      <c r="H77" s="16">
        <v>0</v>
      </c>
      <c r="I77" s="13">
        <f t="shared" si="1"/>
        <v>1752007.3912915403</v>
      </c>
    </row>
    <row r="78" spans="1:9" ht="15.75" x14ac:dyDescent="0.25">
      <c r="A78" s="8"/>
      <c r="B78" s="8"/>
      <c r="C78" s="9"/>
      <c r="D78" s="12" t="s">
        <v>74</v>
      </c>
      <c r="E78" s="16">
        <v>260673.76999999993</v>
      </c>
      <c r="F78" s="16">
        <v>1364028.5127737825</v>
      </c>
      <c r="G78" s="16">
        <v>469058.86</v>
      </c>
      <c r="H78" s="16">
        <v>0</v>
      </c>
      <c r="I78" s="13">
        <f t="shared" si="1"/>
        <v>2093761.1427737824</v>
      </c>
    </row>
    <row r="79" spans="1:9" ht="15.75" x14ac:dyDescent="0.25">
      <c r="A79" s="8"/>
      <c r="B79" s="8"/>
      <c r="C79" s="9"/>
      <c r="D79" s="12" t="s">
        <v>75</v>
      </c>
      <c r="E79" s="16">
        <v>415585.23000000004</v>
      </c>
      <c r="F79" s="16">
        <v>765888.79177449632</v>
      </c>
      <c r="G79" s="16">
        <v>578642.73</v>
      </c>
      <c r="H79" s="16">
        <v>0</v>
      </c>
      <c r="I79" s="13">
        <f t="shared" si="1"/>
        <v>1760116.7517744964</v>
      </c>
    </row>
    <row r="80" spans="1:9" ht="15.75" x14ac:dyDescent="0.25">
      <c r="A80" s="8"/>
      <c r="B80" s="8"/>
      <c r="C80" s="9"/>
      <c r="D80" s="12" t="s">
        <v>76</v>
      </c>
      <c r="E80" s="16">
        <v>130806.9</v>
      </c>
      <c r="F80" s="16">
        <v>404797.94455704617</v>
      </c>
      <c r="G80" s="16">
        <v>99609.64</v>
      </c>
      <c r="H80" s="16">
        <v>0</v>
      </c>
      <c r="I80" s="13">
        <f t="shared" si="1"/>
        <v>635214.48455704621</v>
      </c>
    </row>
    <row r="81" spans="1:9" ht="15.75" x14ac:dyDescent="0.25">
      <c r="A81" s="8"/>
      <c r="B81" s="8"/>
      <c r="C81" s="9"/>
      <c r="D81" s="12" t="s">
        <v>77</v>
      </c>
      <c r="E81" s="16">
        <v>1287171.99</v>
      </c>
      <c r="F81" s="16">
        <v>2442444.7102772892</v>
      </c>
      <c r="G81" s="16">
        <v>1176666.95</v>
      </c>
      <c r="H81" s="16">
        <v>0</v>
      </c>
      <c r="I81" s="13">
        <f t="shared" si="1"/>
        <v>4906283.6502772896</v>
      </c>
    </row>
    <row r="82" spans="1:9" ht="15.75" x14ac:dyDescent="0.25">
      <c r="A82" s="8"/>
      <c r="B82" s="8"/>
      <c r="C82" s="9"/>
      <c r="D82" s="12" t="s">
        <v>78</v>
      </c>
      <c r="E82" s="16">
        <v>776218.65</v>
      </c>
      <c r="F82" s="16">
        <v>1692891.9306278946</v>
      </c>
      <c r="G82" s="16">
        <v>401184.18</v>
      </c>
      <c r="H82" s="16">
        <v>0</v>
      </c>
      <c r="I82" s="13">
        <f t="shared" si="1"/>
        <v>2870294.7606278947</v>
      </c>
    </row>
    <row r="83" spans="1:9" ht="15.75" x14ac:dyDescent="0.25">
      <c r="A83" s="8"/>
      <c r="B83" s="8"/>
      <c r="C83" s="9"/>
      <c r="D83" s="12" t="s">
        <v>79</v>
      </c>
      <c r="E83" s="16">
        <v>399903.96000000008</v>
      </c>
      <c r="F83" s="16">
        <v>695255.20410727221</v>
      </c>
      <c r="G83" s="16">
        <v>635641.59999999986</v>
      </c>
      <c r="H83" s="16">
        <v>0</v>
      </c>
      <c r="I83" s="13">
        <f t="shared" si="1"/>
        <v>1730800.7641072723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5435855.7299999995</v>
      </c>
      <c r="H84" s="16">
        <v>0</v>
      </c>
      <c r="I84" s="13">
        <f t="shared" si="1"/>
        <v>5435855.7299999995</v>
      </c>
    </row>
    <row r="85" spans="1:9" ht="15.75" x14ac:dyDescent="0.25">
      <c r="A85" s="8"/>
      <c r="B85" s="8"/>
      <c r="C85" s="9"/>
      <c r="D85" s="12" t="s">
        <v>81</v>
      </c>
      <c r="E85" s="16">
        <v>367198.79999999987</v>
      </c>
      <c r="F85" s="16">
        <v>216301.11239475608</v>
      </c>
      <c r="G85" s="16">
        <v>2058208.4299999997</v>
      </c>
      <c r="H85" s="16">
        <v>0</v>
      </c>
      <c r="I85" s="13">
        <f t="shared" si="1"/>
        <v>2641708.3423947557</v>
      </c>
    </row>
    <row r="86" spans="1:9" ht="15.75" x14ac:dyDescent="0.25">
      <c r="A86" s="8"/>
      <c r="B86" s="8"/>
      <c r="C86" s="9"/>
      <c r="D86" s="12" t="s">
        <v>82</v>
      </c>
      <c r="E86" s="16">
        <v>280398.71999999997</v>
      </c>
      <c r="F86" s="16">
        <v>898321.06871609436</v>
      </c>
      <c r="G86" s="16">
        <v>172210.57</v>
      </c>
      <c r="H86" s="16">
        <v>0</v>
      </c>
      <c r="I86" s="13">
        <f t="shared" si="1"/>
        <v>1350930.3587160944</v>
      </c>
    </row>
    <row r="87" spans="1:9" ht="15.75" x14ac:dyDescent="0.25">
      <c r="A87" s="8"/>
      <c r="B87" s="8"/>
      <c r="C87" s="9"/>
      <c r="D87" s="12" t="s">
        <v>83</v>
      </c>
      <c r="E87" s="16">
        <v>191761.72000000003</v>
      </c>
      <c r="F87" s="16">
        <v>1183044.1942126385</v>
      </c>
      <c r="G87" s="16">
        <v>220575.50999999998</v>
      </c>
      <c r="H87" s="16">
        <v>0</v>
      </c>
      <c r="I87" s="13">
        <f t="shared" si="1"/>
        <v>1595381.4242126385</v>
      </c>
    </row>
    <row r="88" spans="1:9" ht="15.75" x14ac:dyDescent="0.25">
      <c r="A88" s="8"/>
      <c r="B88" s="8"/>
      <c r="C88" s="9"/>
      <c r="D88" s="12" t="s">
        <v>84</v>
      </c>
      <c r="E88" s="16">
        <v>87915.670000000013</v>
      </c>
      <c r="F88" s="16">
        <v>0</v>
      </c>
      <c r="G88" s="16">
        <v>1882389.67</v>
      </c>
      <c r="H88" s="16">
        <v>0</v>
      </c>
      <c r="I88" s="13">
        <f t="shared" si="1"/>
        <v>1970305.3399999999</v>
      </c>
    </row>
    <row r="89" spans="1:9" ht="15.75" x14ac:dyDescent="0.25">
      <c r="A89" s="8"/>
      <c r="B89" s="8"/>
      <c r="C89" s="9"/>
      <c r="D89" s="12" t="s">
        <v>85</v>
      </c>
      <c r="E89" s="16">
        <v>228098.50999999998</v>
      </c>
      <c r="F89" s="16">
        <v>1160084.8582601224</v>
      </c>
      <c r="G89" s="16">
        <v>419911.42</v>
      </c>
      <c r="H89" s="16">
        <v>0</v>
      </c>
      <c r="I89" s="13">
        <f t="shared" si="1"/>
        <v>1808094.7882601223</v>
      </c>
    </row>
    <row r="90" spans="1:9" ht="15.75" x14ac:dyDescent="0.25">
      <c r="A90" s="8"/>
      <c r="B90" s="8"/>
      <c r="C90" s="9"/>
      <c r="D90" s="12" t="s">
        <v>86</v>
      </c>
      <c r="E90" s="16">
        <v>104028.35999999999</v>
      </c>
      <c r="F90" s="16">
        <v>300169.94784791413</v>
      </c>
      <c r="G90" s="16">
        <v>403004.01999999996</v>
      </c>
      <c r="H90" s="16">
        <v>0</v>
      </c>
      <c r="I90" s="13">
        <f t="shared" si="1"/>
        <v>807202.32784791407</v>
      </c>
    </row>
    <row r="91" spans="1:9" ht="15.75" x14ac:dyDescent="0.25">
      <c r="A91" s="8"/>
      <c r="B91" s="8"/>
      <c r="C91" s="9"/>
      <c r="D91" s="12" t="s">
        <v>87</v>
      </c>
      <c r="E91" s="16">
        <v>242176.41999999998</v>
      </c>
      <c r="F91" s="16">
        <v>684664.72590474621</v>
      </c>
      <c r="G91" s="16">
        <v>997240.3899999999</v>
      </c>
      <c r="H91" s="16">
        <v>0</v>
      </c>
      <c r="I91" s="13">
        <f t="shared" si="1"/>
        <v>1924081.535904746</v>
      </c>
    </row>
    <row r="92" spans="1:9" ht="15.75" x14ac:dyDescent="0.25">
      <c r="A92" s="8"/>
      <c r="B92" s="8"/>
      <c r="C92" s="9"/>
      <c r="D92" s="12" t="s">
        <v>88</v>
      </c>
      <c r="E92" s="16">
        <v>41861.71</v>
      </c>
      <c r="F92" s="16">
        <v>94470.713524578023</v>
      </c>
      <c r="G92" s="16">
        <v>2201268.84</v>
      </c>
      <c r="H92" s="16">
        <v>0</v>
      </c>
      <c r="I92" s="13">
        <f t="shared" si="1"/>
        <v>2337601.263524578</v>
      </c>
    </row>
    <row r="93" spans="1:9" ht="15.75" x14ac:dyDescent="0.25">
      <c r="A93" s="8"/>
      <c r="B93" s="8"/>
      <c r="C93" s="9"/>
      <c r="D93" s="12" t="s">
        <v>89</v>
      </c>
      <c r="E93" s="16">
        <v>235368.05000000005</v>
      </c>
      <c r="F93" s="16">
        <v>765444.19688763027</v>
      </c>
      <c r="G93" s="16">
        <v>325787.55000000005</v>
      </c>
      <c r="H93" s="16">
        <v>0</v>
      </c>
      <c r="I93" s="13">
        <f t="shared" si="1"/>
        <v>1326599.7968876304</v>
      </c>
    </row>
    <row r="94" spans="1:9" ht="15.75" x14ac:dyDescent="0.25">
      <c r="A94" s="8"/>
      <c r="B94" s="8"/>
      <c r="C94" s="9"/>
      <c r="D94" s="12" t="s">
        <v>90</v>
      </c>
      <c r="E94" s="16">
        <v>4221.84</v>
      </c>
      <c r="F94" s="16">
        <v>0</v>
      </c>
      <c r="G94" s="16">
        <v>112664.78000000001</v>
      </c>
      <c r="H94" s="16">
        <v>0</v>
      </c>
      <c r="I94" s="13">
        <f t="shared" si="1"/>
        <v>116886.62000000001</v>
      </c>
    </row>
    <row r="95" spans="1:9" ht="15.75" x14ac:dyDescent="0.25">
      <c r="A95" s="8"/>
      <c r="B95" s="8"/>
      <c r="C95" s="9"/>
      <c r="D95" s="12" t="s">
        <v>91</v>
      </c>
      <c r="E95" s="16">
        <v>4139.1899999999996</v>
      </c>
      <c r="F95" s="16">
        <v>24281.720744220005</v>
      </c>
      <c r="G95" s="16">
        <v>2563407.88</v>
      </c>
      <c r="H95" s="16">
        <v>0</v>
      </c>
      <c r="I95" s="13">
        <f t="shared" si="1"/>
        <v>2591828.7907442199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4416977.21</v>
      </c>
      <c r="H96" s="16">
        <v>0</v>
      </c>
      <c r="I96" s="13">
        <f t="shared" si="1"/>
        <v>4416977.21</v>
      </c>
    </row>
    <row r="97" spans="1:9" ht="15.75" x14ac:dyDescent="0.25">
      <c r="A97" s="8"/>
      <c r="B97" s="8"/>
      <c r="C97" s="9"/>
      <c r="D97" s="12" t="s">
        <v>93</v>
      </c>
      <c r="E97" s="16">
        <v>95317.290000000008</v>
      </c>
      <c r="F97" s="16">
        <v>1090340.4603666305</v>
      </c>
      <c r="G97" s="16">
        <v>319880.5</v>
      </c>
      <c r="H97" s="16">
        <v>0</v>
      </c>
      <c r="I97" s="13">
        <f t="shared" si="1"/>
        <v>1505538.2503666305</v>
      </c>
    </row>
    <row r="98" spans="1:9" ht="15.75" x14ac:dyDescent="0.25">
      <c r="A98" s="8"/>
      <c r="B98" s="8"/>
      <c r="C98" s="9"/>
      <c r="D98" s="12" t="s">
        <v>94</v>
      </c>
      <c r="E98" s="16">
        <v>248184.54999999996</v>
      </c>
      <c r="F98" s="16">
        <v>1434217.5055541405</v>
      </c>
      <c r="G98" s="16">
        <v>2384413.1199999996</v>
      </c>
      <c r="H98" s="16">
        <v>0</v>
      </c>
      <c r="I98" s="13">
        <f t="shared" si="1"/>
        <v>4066815.1755541405</v>
      </c>
    </row>
    <row r="99" spans="1:9" ht="15.75" x14ac:dyDescent="0.25">
      <c r="A99" s="8"/>
      <c r="B99" s="8"/>
      <c r="C99" s="9"/>
      <c r="D99" s="12" t="s">
        <v>95</v>
      </c>
      <c r="E99" s="16">
        <v>903217.80999999994</v>
      </c>
      <c r="F99" s="16">
        <v>2732913.369696409</v>
      </c>
      <c r="G99" s="16">
        <v>1260189.7500000002</v>
      </c>
      <c r="H99" s="16">
        <v>0</v>
      </c>
      <c r="I99" s="13">
        <f t="shared" si="1"/>
        <v>4896320.929696409</v>
      </c>
    </row>
    <row r="100" spans="1:9" ht="15.75" x14ac:dyDescent="0.25">
      <c r="A100" s="8"/>
      <c r="B100" s="8"/>
      <c r="C100" s="9"/>
      <c r="D100" s="12" t="s">
        <v>96</v>
      </c>
      <c r="E100" s="16">
        <v>688475.88</v>
      </c>
      <c r="F100" s="16">
        <v>2734235.7544881133</v>
      </c>
      <c r="G100" s="16">
        <v>2148659.4300000002</v>
      </c>
      <c r="H100" s="16">
        <v>0</v>
      </c>
      <c r="I100" s="13">
        <f t="shared" si="1"/>
        <v>5571371.0644881129</v>
      </c>
    </row>
    <row r="101" spans="1:9" ht="15.75" x14ac:dyDescent="0.25">
      <c r="A101" s="8"/>
      <c r="B101" s="8"/>
      <c r="C101" s="9"/>
      <c r="D101" s="12" t="s">
        <v>97</v>
      </c>
      <c r="E101" s="16">
        <v>34552.569999999992</v>
      </c>
      <c r="F101" s="16">
        <v>3669161.8022228414</v>
      </c>
      <c r="G101" s="16">
        <v>26183.309999999998</v>
      </c>
      <c r="H101" s="16">
        <v>0</v>
      </c>
      <c r="I101" s="13">
        <f t="shared" si="1"/>
        <v>3729897.6822228413</v>
      </c>
    </row>
    <row r="102" spans="1:9" ht="15.75" x14ac:dyDescent="0.25">
      <c r="A102" s="8"/>
      <c r="B102" s="8"/>
      <c r="C102" s="9"/>
      <c r="D102" s="12" t="s">
        <v>98</v>
      </c>
      <c r="E102" s="16">
        <v>813331.8600000001</v>
      </c>
      <c r="F102" s="16">
        <v>1577684.8555851306</v>
      </c>
      <c r="G102" s="16">
        <v>1062639.99</v>
      </c>
      <c r="H102" s="16">
        <v>0</v>
      </c>
      <c r="I102" s="13">
        <f t="shared" si="1"/>
        <v>3453656.7055851305</v>
      </c>
    </row>
    <row r="103" spans="1:9" ht="15.75" x14ac:dyDescent="0.25">
      <c r="A103" s="8"/>
      <c r="B103" s="8"/>
      <c r="C103" s="9"/>
      <c r="D103" s="12" t="s">
        <v>99</v>
      </c>
      <c r="E103" s="16">
        <v>130350.56999999998</v>
      </c>
      <c r="F103" s="16">
        <v>501024.23789130017</v>
      </c>
      <c r="G103" s="16">
        <v>251882.46999999997</v>
      </c>
      <c r="H103" s="16">
        <v>0</v>
      </c>
      <c r="I103" s="13">
        <f t="shared" si="1"/>
        <v>883257.27789130015</v>
      </c>
    </row>
    <row r="104" spans="1:9" ht="15.75" x14ac:dyDescent="0.25">
      <c r="A104" s="8"/>
      <c r="B104" s="8"/>
      <c r="C104" s="9"/>
      <c r="D104" s="12" t="s">
        <v>100</v>
      </c>
      <c r="E104" s="16">
        <v>1488943.9200000002</v>
      </c>
      <c r="F104" s="16">
        <v>915534.87074603431</v>
      </c>
      <c r="G104" s="16">
        <v>2639805.7900000005</v>
      </c>
      <c r="H104" s="16">
        <v>0</v>
      </c>
      <c r="I104" s="13">
        <f t="shared" si="1"/>
        <v>5044284.5807460351</v>
      </c>
    </row>
    <row r="105" spans="1:9" ht="15.75" x14ac:dyDescent="0.25">
      <c r="A105" s="8"/>
      <c r="B105" s="8"/>
      <c r="C105" s="9"/>
      <c r="D105" s="12" t="s">
        <v>101</v>
      </c>
      <c r="E105" s="16">
        <v>161826.95000000001</v>
      </c>
      <c r="F105" s="16">
        <v>1359616.7635118044</v>
      </c>
      <c r="G105" s="16">
        <v>28244</v>
      </c>
      <c r="H105" s="16">
        <v>0</v>
      </c>
      <c r="I105" s="13">
        <f t="shared" si="1"/>
        <v>1549687.7135118044</v>
      </c>
    </row>
    <row r="106" spans="1:9" ht="15.75" x14ac:dyDescent="0.25">
      <c r="A106" s="8"/>
      <c r="B106" s="8"/>
      <c r="C106" s="9"/>
      <c r="D106" s="12" t="s">
        <v>102</v>
      </c>
      <c r="E106" s="16">
        <v>753229.86999999988</v>
      </c>
      <c r="F106" s="16">
        <v>83868.835453158026</v>
      </c>
      <c r="G106" s="16">
        <v>3162750.7800000003</v>
      </c>
      <c r="H106" s="16">
        <v>0</v>
      </c>
      <c r="I106" s="13">
        <f t="shared" si="1"/>
        <v>3999849.4854531582</v>
      </c>
    </row>
    <row r="107" spans="1:9" ht="15.75" x14ac:dyDescent="0.25">
      <c r="A107" s="8"/>
      <c r="B107" s="8"/>
      <c r="C107" s="9"/>
      <c r="D107" s="12" t="s">
        <v>103</v>
      </c>
      <c r="E107" s="16">
        <v>8975.32</v>
      </c>
      <c r="F107" s="16">
        <v>0</v>
      </c>
      <c r="G107" s="16">
        <v>666874.23</v>
      </c>
      <c r="H107" s="16">
        <v>0</v>
      </c>
      <c r="I107" s="13">
        <f t="shared" si="1"/>
        <v>675849.54999999993</v>
      </c>
    </row>
    <row r="108" spans="1:9" ht="15.75" x14ac:dyDescent="0.25">
      <c r="A108" s="8"/>
      <c r="B108" s="8"/>
      <c r="C108" s="9"/>
      <c r="D108" s="12" t="s">
        <v>104</v>
      </c>
      <c r="E108" s="16">
        <v>390769.66</v>
      </c>
      <c r="F108" s="16">
        <v>0</v>
      </c>
      <c r="G108" s="16">
        <v>356841.44</v>
      </c>
      <c r="H108" s="16">
        <v>0</v>
      </c>
      <c r="I108" s="13">
        <f t="shared" si="1"/>
        <v>747611.1</v>
      </c>
    </row>
    <row r="109" spans="1:9" ht="15.75" x14ac:dyDescent="0.25">
      <c r="A109" s="8"/>
      <c r="B109" s="8"/>
      <c r="C109" s="9"/>
      <c r="D109" s="12" t="s">
        <v>105</v>
      </c>
      <c r="E109" s="16">
        <v>62948.76999999999</v>
      </c>
      <c r="F109" s="16">
        <v>2186859.6496738088</v>
      </c>
      <c r="G109" s="16">
        <v>202412.01</v>
      </c>
      <c r="H109" s="16">
        <v>0</v>
      </c>
      <c r="I109" s="13">
        <f t="shared" si="1"/>
        <v>2452220.4296738086</v>
      </c>
    </row>
    <row r="110" spans="1:9" ht="15.75" x14ac:dyDescent="0.25">
      <c r="A110" s="8"/>
      <c r="B110" s="8"/>
      <c r="C110" s="9"/>
      <c r="D110" s="12" t="s">
        <v>106</v>
      </c>
      <c r="E110" s="16">
        <v>458745.27</v>
      </c>
      <c r="F110" s="16">
        <v>537218.82162975019</v>
      </c>
      <c r="G110" s="16">
        <v>220285.62</v>
      </c>
      <c r="H110" s="16">
        <v>0</v>
      </c>
      <c r="I110" s="13">
        <f t="shared" si="1"/>
        <v>1216249.7116297502</v>
      </c>
    </row>
    <row r="111" spans="1:9" ht="15.75" x14ac:dyDescent="0.25">
      <c r="A111" s="8"/>
      <c r="B111" s="8"/>
      <c r="C111" s="9"/>
      <c r="D111" s="12" t="s">
        <v>107</v>
      </c>
      <c r="E111" s="16">
        <v>8197.3700000000008</v>
      </c>
      <c r="F111" s="16">
        <v>8390.303505984004</v>
      </c>
      <c r="G111" s="16">
        <v>6120770.2400000002</v>
      </c>
      <c r="H111" s="16">
        <v>0</v>
      </c>
      <c r="I111" s="13">
        <f t="shared" si="1"/>
        <v>6137357.9135059845</v>
      </c>
    </row>
    <row r="112" spans="1:9" ht="15.75" x14ac:dyDescent="0.25">
      <c r="A112" s="8"/>
      <c r="B112" s="8"/>
      <c r="C112" s="9"/>
      <c r="D112" s="12" t="s">
        <v>108</v>
      </c>
      <c r="E112" s="16">
        <v>329937.15000000002</v>
      </c>
      <c r="F112" s="16">
        <v>573858.0002550662</v>
      </c>
      <c r="G112" s="16">
        <v>498346.89</v>
      </c>
      <c r="H112" s="16">
        <v>0</v>
      </c>
      <c r="I112" s="13">
        <f t="shared" si="1"/>
        <v>1402142.0402550662</v>
      </c>
    </row>
    <row r="113" spans="1:9" ht="15.75" x14ac:dyDescent="0.25">
      <c r="A113" s="8"/>
      <c r="B113" s="8"/>
      <c r="C113" s="9"/>
      <c r="D113" s="12" t="s">
        <v>109</v>
      </c>
      <c r="E113" s="16">
        <v>132728.85</v>
      </c>
      <c r="F113" s="16">
        <v>1381686.9096905887</v>
      </c>
      <c r="G113" s="16">
        <v>508593.31000000006</v>
      </c>
      <c r="H113" s="16">
        <v>0</v>
      </c>
      <c r="I113" s="13">
        <f t="shared" si="1"/>
        <v>2023009.0696905889</v>
      </c>
    </row>
    <row r="114" spans="1:9" ht="15.75" x14ac:dyDescent="0.25">
      <c r="A114" s="8"/>
      <c r="B114" s="8"/>
      <c r="C114" s="9"/>
      <c r="D114" s="12" t="s">
        <v>110</v>
      </c>
      <c r="E114" s="16">
        <v>180032.25999999998</v>
      </c>
      <c r="F114" s="16">
        <v>1584741.3744305163</v>
      </c>
      <c r="G114" s="16">
        <v>689874.44000000006</v>
      </c>
      <c r="H114" s="16">
        <v>0</v>
      </c>
      <c r="I114" s="13">
        <f t="shared" si="1"/>
        <v>2454648.0744305165</v>
      </c>
    </row>
    <row r="115" spans="1:9" ht="15.75" x14ac:dyDescent="0.25">
      <c r="A115" s="8"/>
      <c r="B115" s="8"/>
      <c r="C115" s="9"/>
      <c r="D115" s="12" t="s">
        <v>111</v>
      </c>
      <c r="E115" s="16">
        <v>860131.16999999981</v>
      </c>
      <c r="F115" s="16">
        <v>783547.1886913022</v>
      </c>
      <c r="G115" s="16">
        <v>979960.31999999995</v>
      </c>
      <c r="H115" s="16">
        <v>0</v>
      </c>
      <c r="I115" s="13">
        <f t="shared" si="1"/>
        <v>2623638.678691302</v>
      </c>
    </row>
    <row r="116" spans="1:9" ht="15.75" x14ac:dyDescent="0.25">
      <c r="A116" s="8"/>
      <c r="B116" s="8"/>
      <c r="C116" s="9"/>
      <c r="D116" s="12" t="s">
        <v>112</v>
      </c>
      <c r="E116" s="16">
        <v>319679.78999999992</v>
      </c>
      <c r="F116" s="16">
        <v>1017506.6980028645</v>
      </c>
      <c r="G116" s="16">
        <v>222513.89</v>
      </c>
      <c r="H116" s="16">
        <v>0</v>
      </c>
      <c r="I116" s="13">
        <f t="shared" si="1"/>
        <v>1559700.3780028643</v>
      </c>
    </row>
    <row r="117" spans="1:9" ht="15.75" x14ac:dyDescent="0.25">
      <c r="A117" s="8"/>
      <c r="B117" s="8"/>
      <c r="C117" s="9"/>
      <c r="D117" s="12" t="s">
        <v>113</v>
      </c>
      <c r="E117" s="16">
        <v>146335.05000000002</v>
      </c>
      <c r="F117" s="16">
        <v>785747.36338784429</v>
      </c>
      <c r="G117" s="16">
        <v>610894.72999999986</v>
      </c>
      <c r="H117" s="16">
        <v>0</v>
      </c>
      <c r="I117" s="13">
        <f t="shared" si="1"/>
        <v>1542977.1433878443</v>
      </c>
    </row>
    <row r="118" spans="1:9" ht="15.75" x14ac:dyDescent="0.25">
      <c r="A118" s="8"/>
      <c r="B118" s="8"/>
      <c r="C118" s="9"/>
      <c r="D118" s="12" t="s">
        <v>114</v>
      </c>
      <c r="E118" s="16">
        <v>482919.15</v>
      </c>
      <c r="F118" s="16">
        <v>1227184.4865702062</v>
      </c>
      <c r="G118" s="16">
        <v>675590.00999999989</v>
      </c>
      <c r="H118" s="16">
        <v>0</v>
      </c>
      <c r="I118" s="13">
        <f t="shared" si="1"/>
        <v>2385693.6465702062</v>
      </c>
    </row>
    <row r="119" spans="1:9" ht="15.75" x14ac:dyDescent="0.25">
      <c r="A119" s="8"/>
      <c r="B119" s="8"/>
      <c r="C119" s="9"/>
      <c r="D119" s="12" t="s">
        <v>115</v>
      </c>
      <c r="E119" s="16">
        <v>42881.35</v>
      </c>
      <c r="F119" s="16">
        <v>119185.62928677005</v>
      </c>
      <c r="G119" s="16">
        <v>470748.11000000004</v>
      </c>
      <c r="H119" s="16">
        <v>0</v>
      </c>
      <c r="I119" s="13">
        <f t="shared" si="1"/>
        <v>632815.08928677009</v>
      </c>
    </row>
    <row r="120" spans="1:9" ht="15.75" x14ac:dyDescent="0.25">
      <c r="A120" s="8"/>
      <c r="B120" s="8"/>
      <c r="C120" s="9"/>
      <c r="D120" s="12" t="s">
        <v>116</v>
      </c>
      <c r="E120" s="16">
        <v>465991.27000000008</v>
      </c>
      <c r="F120" s="16">
        <v>520894.20937354222</v>
      </c>
      <c r="G120" s="16">
        <v>778227.27</v>
      </c>
      <c r="H120" s="16">
        <v>0</v>
      </c>
      <c r="I120" s="13">
        <f t="shared" si="1"/>
        <v>1765112.7493735424</v>
      </c>
    </row>
    <row r="121" spans="1:9" ht="15.75" x14ac:dyDescent="0.25">
      <c r="A121" s="8"/>
      <c r="B121" s="8"/>
      <c r="C121" s="9"/>
      <c r="D121" s="12" t="s">
        <v>117</v>
      </c>
      <c r="E121" s="16">
        <v>285944.07999999996</v>
      </c>
      <c r="F121" s="16">
        <v>772945.31061988231</v>
      </c>
      <c r="G121" s="16">
        <v>457164.12000000005</v>
      </c>
      <c r="H121" s="16">
        <v>0</v>
      </c>
      <c r="I121" s="13">
        <f t="shared" si="1"/>
        <v>1516053.5106198825</v>
      </c>
    </row>
    <row r="122" spans="1:9" ht="15.75" x14ac:dyDescent="0.25">
      <c r="A122" s="8"/>
      <c r="B122" s="8"/>
      <c r="C122" s="9"/>
      <c r="D122" s="12" t="s">
        <v>118</v>
      </c>
      <c r="E122" s="16">
        <v>358293.57</v>
      </c>
      <c r="F122" s="16">
        <v>569890.84587995417</v>
      </c>
      <c r="G122" s="16">
        <v>813239.77</v>
      </c>
      <c r="H122" s="16">
        <v>0</v>
      </c>
      <c r="I122" s="13">
        <f t="shared" si="1"/>
        <v>1741424.1858799541</v>
      </c>
    </row>
    <row r="123" spans="1:9" ht="15.75" x14ac:dyDescent="0.25">
      <c r="A123" s="8"/>
      <c r="B123" s="8"/>
      <c r="C123" s="9"/>
      <c r="D123" s="12" t="s">
        <v>119</v>
      </c>
      <c r="E123" s="16">
        <v>201047.18</v>
      </c>
      <c r="F123" s="16">
        <v>1047077.9579139004</v>
      </c>
      <c r="G123" s="16">
        <v>276028.59999999998</v>
      </c>
      <c r="H123" s="16">
        <v>0</v>
      </c>
      <c r="I123" s="13">
        <f t="shared" si="1"/>
        <v>1524153.7379139005</v>
      </c>
    </row>
    <row r="124" spans="1:9" ht="15.75" x14ac:dyDescent="0.25">
      <c r="A124" s="8"/>
      <c r="B124" s="8"/>
      <c r="C124" s="9"/>
      <c r="D124" s="12" t="s">
        <v>120</v>
      </c>
      <c r="E124" s="16">
        <v>10481.83</v>
      </c>
      <c r="F124" s="16">
        <v>0</v>
      </c>
      <c r="G124" s="16">
        <v>1827840.18</v>
      </c>
      <c r="H124" s="16">
        <v>761326.99999999988</v>
      </c>
      <c r="I124" s="13">
        <f t="shared" si="1"/>
        <v>2599649.0099999998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5716523.7699999996</v>
      </c>
      <c r="H125" s="16">
        <v>85841.94</v>
      </c>
      <c r="I125" s="13">
        <f t="shared" si="1"/>
        <v>5802365.71</v>
      </c>
    </row>
    <row r="126" spans="1:9" ht="15.75" x14ac:dyDescent="0.25">
      <c r="A126" s="8"/>
      <c r="B126" s="8"/>
      <c r="C126" s="9"/>
      <c r="D126" s="12" t="s">
        <v>122</v>
      </c>
      <c r="E126" s="16">
        <v>5808.52</v>
      </c>
      <c r="F126" s="16">
        <v>0</v>
      </c>
      <c r="G126" s="16">
        <v>2417526.2600000002</v>
      </c>
      <c r="H126" s="16">
        <v>0</v>
      </c>
      <c r="I126" s="13">
        <f t="shared" si="1"/>
        <v>2423334.7800000003</v>
      </c>
    </row>
    <row r="127" spans="1:9" ht="15.75" x14ac:dyDescent="0.25">
      <c r="A127" s="8"/>
      <c r="B127" s="8"/>
      <c r="C127" s="9"/>
      <c r="D127" s="12" t="s">
        <v>123</v>
      </c>
      <c r="E127" s="16">
        <v>207310.92999999996</v>
      </c>
      <c r="F127" s="16">
        <v>220712.86165673411</v>
      </c>
      <c r="G127" s="16">
        <v>9719165.1400000025</v>
      </c>
      <c r="H127" s="16">
        <v>0</v>
      </c>
      <c r="I127" s="13">
        <f t="shared" si="1"/>
        <v>10147188.931656737</v>
      </c>
    </row>
    <row r="128" spans="1:9" ht="15.75" x14ac:dyDescent="0.25">
      <c r="A128" s="8"/>
      <c r="B128" s="8"/>
      <c r="C128" s="9"/>
      <c r="D128" s="12" t="s">
        <v>124</v>
      </c>
      <c r="E128" s="16">
        <v>545520.17999999993</v>
      </c>
      <c r="F128" s="16">
        <v>688631.88027985836</v>
      </c>
      <c r="G128" s="16">
        <v>984487.00000000012</v>
      </c>
      <c r="H128" s="16">
        <v>0</v>
      </c>
      <c r="I128" s="13">
        <f t="shared" si="1"/>
        <v>2218639.0602798583</v>
      </c>
    </row>
    <row r="129" spans="1:9" ht="15.75" x14ac:dyDescent="0.25">
      <c r="A129" s="8"/>
      <c r="B129" s="8"/>
      <c r="C129" s="9"/>
      <c r="D129" s="12" t="s">
        <v>125</v>
      </c>
      <c r="E129" s="16">
        <v>393299.01000000007</v>
      </c>
      <c r="F129" s="16">
        <v>333286.56698498415</v>
      </c>
      <c r="G129" s="16">
        <v>555477.07999999996</v>
      </c>
      <c r="H129" s="16">
        <v>0</v>
      </c>
      <c r="I129" s="13">
        <f t="shared" si="1"/>
        <v>1282062.6569849842</v>
      </c>
    </row>
    <row r="130" spans="1:9" ht="15.75" x14ac:dyDescent="0.25">
      <c r="A130" s="8"/>
      <c r="B130" s="8"/>
      <c r="C130" s="9"/>
      <c r="D130" s="12" t="s">
        <v>126</v>
      </c>
      <c r="E130" s="16">
        <v>65861.539999999994</v>
      </c>
      <c r="F130" s="16">
        <v>587104.64790989424</v>
      </c>
      <c r="G130" s="16">
        <v>236675.13999999996</v>
      </c>
      <c r="H130" s="16">
        <v>0</v>
      </c>
      <c r="I130" s="13">
        <f t="shared" si="1"/>
        <v>889641.32790989429</v>
      </c>
    </row>
    <row r="131" spans="1:9" ht="15.75" x14ac:dyDescent="0.25">
      <c r="A131" s="8"/>
      <c r="B131" s="8"/>
      <c r="C131" s="9"/>
      <c r="D131" s="12" t="s">
        <v>127</v>
      </c>
      <c r="E131" s="16">
        <v>776940.07</v>
      </c>
      <c r="F131" s="16">
        <v>3208778.0969386515</v>
      </c>
      <c r="G131" s="16">
        <v>4556460.6400000006</v>
      </c>
      <c r="H131" s="16">
        <v>0</v>
      </c>
      <c r="I131" s="13">
        <f t="shared" si="1"/>
        <v>8542178.8069386519</v>
      </c>
    </row>
    <row r="132" spans="1:9" ht="15.75" x14ac:dyDescent="0.25">
      <c r="A132" s="8"/>
      <c r="B132" s="8"/>
      <c r="C132" s="9"/>
      <c r="D132" s="12" t="s">
        <v>128</v>
      </c>
      <c r="E132" s="16">
        <v>266190.95</v>
      </c>
      <c r="F132" s="16">
        <v>1968791.5576004828</v>
      </c>
      <c r="G132" s="16">
        <v>169626.27</v>
      </c>
      <c r="H132" s="16">
        <v>0</v>
      </c>
      <c r="I132" s="13">
        <f t="shared" si="1"/>
        <v>2404608.777600483</v>
      </c>
    </row>
    <row r="133" spans="1:9" ht="15.75" x14ac:dyDescent="0.25">
      <c r="A133" s="8"/>
      <c r="B133" s="8"/>
      <c r="C133" s="9"/>
      <c r="D133" s="12" t="s">
        <v>129</v>
      </c>
      <c r="E133" s="16">
        <v>135490.28</v>
      </c>
      <c r="F133" s="16">
        <v>0</v>
      </c>
      <c r="G133" s="16">
        <v>4995899.290000001</v>
      </c>
      <c r="H133" s="16">
        <v>553439.30999999994</v>
      </c>
      <c r="I133" s="13">
        <f t="shared" si="1"/>
        <v>5684828.8800000008</v>
      </c>
    </row>
    <row r="134" spans="1:9" ht="15.75" x14ac:dyDescent="0.25">
      <c r="A134" s="8"/>
      <c r="B134" s="8"/>
      <c r="C134" s="9"/>
      <c r="D134" s="12" t="s">
        <v>130</v>
      </c>
      <c r="E134" s="16">
        <v>43023.73</v>
      </c>
      <c r="F134" s="16">
        <v>97115.483107986045</v>
      </c>
      <c r="G134" s="16">
        <v>17156.73</v>
      </c>
      <c r="H134" s="16">
        <v>0</v>
      </c>
      <c r="I134" s="13">
        <f t="shared" si="1"/>
        <v>157295.94310798607</v>
      </c>
    </row>
    <row r="135" spans="1:9" ht="15.75" x14ac:dyDescent="0.25">
      <c r="A135" s="8"/>
      <c r="B135" s="8"/>
      <c r="C135" s="9"/>
      <c r="D135" s="12" t="s">
        <v>131</v>
      </c>
      <c r="E135" s="16">
        <v>302483.25000000006</v>
      </c>
      <c r="F135" s="16">
        <v>1227184.4865702062</v>
      </c>
      <c r="G135" s="16">
        <v>220641.56</v>
      </c>
      <c r="H135" s="16">
        <v>0</v>
      </c>
      <c r="I135" s="13">
        <f t="shared" si="1"/>
        <v>1750309.2965702063</v>
      </c>
    </row>
    <row r="136" spans="1:9" ht="15.75" x14ac:dyDescent="0.25">
      <c r="A136" s="8"/>
      <c r="B136" s="8"/>
      <c r="C136" s="9"/>
      <c r="D136" s="12" t="s">
        <v>132</v>
      </c>
      <c r="E136" s="16">
        <v>624592.75000000012</v>
      </c>
      <c r="F136" s="16">
        <v>1483214.1420605527</v>
      </c>
      <c r="G136" s="16">
        <v>1645578.87</v>
      </c>
      <c r="H136" s="16">
        <v>0</v>
      </c>
      <c r="I136" s="13">
        <f t="shared" si="1"/>
        <v>3753385.7620605528</v>
      </c>
    </row>
    <row r="137" spans="1:9" ht="15.75" x14ac:dyDescent="0.25">
      <c r="A137" s="8"/>
      <c r="B137" s="8"/>
      <c r="C137" s="9"/>
      <c r="D137" s="12" t="s">
        <v>133</v>
      </c>
      <c r="E137" s="16">
        <v>710181.86</v>
      </c>
      <c r="F137" s="16">
        <v>2332093.9793833694</v>
      </c>
      <c r="G137" s="16">
        <v>2427708.1199999992</v>
      </c>
      <c r="H137" s="16">
        <v>0</v>
      </c>
      <c r="I137" s="13">
        <f t="shared" si="1"/>
        <v>5469983.9593833685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3670081.8299999996</v>
      </c>
      <c r="H138" s="16">
        <v>0</v>
      </c>
      <c r="I138" s="13">
        <f t="shared" ref="I138:I144" si="2">SUM(E138:H138)</f>
        <v>3670081.8299999996</v>
      </c>
    </row>
    <row r="139" spans="1:9" ht="15.75" x14ac:dyDescent="0.25">
      <c r="A139" s="8"/>
      <c r="B139" s="8"/>
      <c r="C139" s="9"/>
      <c r="D139" s="12" t="s">
        <v>135</v>
      </c>
      <c r="E139" s="16">
        <v>160956.48000000001</v>
      </c>
      <c r="F139" s="16">
        <v>349177.98422322015</v>
      </c>
      <c r="G139" s="16">
        <v>520623.91</v>
      </c>
      <c r="H139" s="16">
        <v>0</v>
      </c>
      <c r="I139" s="13">
        <f t="shared" si="2"/>
        <v>1030758.3742232202</v>
      </c>
    </row>
    <row r="140" spans="1:9" ht="15.75" x14ac:dyDescent="0.25">
      <c r="A140" s="8"/>
      <c r="B140" s="8"/>
      <c r="C140" s="9"/>
      <c r="D140" s="12" t="s">
        <v>136</v>
      </c>
      <c r="E140" s="16">
        <v>391882.22000000009</v>
      </c>
      <c r="F140" s="16">
        <v>2476439.1193191973</v>
      </c>
      <c r="G140" s="16">
        <v>1006498.9000000001</v>
      </c>
      <c r="H140" s="16">
        <v>0</v>
      </c>
      <c r="I140" s="13">
        <f t="shared" si="2"/>
        <v>3874820.2393191978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4610058.42</v>
      </c>
      <c r="H141" s="16">
        <v>45533.125</v>
      </c>
      <c r="I141" s="13">
        <f t="shared" si="2"/>
        <v>4655591.5449999999</v>
      </c>
    </row>
    <row r="142" spans="1:9" ht="15.75" x14ac:dyDescent="0.25">
      <c r="A142" s="8"/>
      <c r="B142" s="8"/>
      <c r="C142" s="9"/>
      <c r="D142" s="12" t="s">
        <v>138</v>
      </c>
      <c r="E142" s="16">
        <v>8292.85</v>
      </c>
      <c r="F142" s="16">
        <v>0</v>
      </c>
      <c r="G142" s="16">
        <v>711046.02999999991</v>
      </c>
      <c r="H142" s="16">
        <v>0</v>
      </c>
      <c r="I142" s="13">
        <f t="shared" si="2"/>
        <v>719338.87999999989</v>
      </c>
    </row>
    <row r="143" spans="1:9" ht="15.75" x14ac:dyDescent="0.25">
      <c r="A143" s="8"/>
      <c r="B143" s="8"/>
      <c r="C143" s="9"/>
      <c r="D143" s="12" t="s">
        <v>139</v>
      </c>
      <c r="E143" s="16">
        <v>69199.520000000004</v>
      </c>
      <c r="F143" s="16">
        <v>2288831.4769306388</v>
      </c>
      <c r="G143" s="16">
        <v>110519.87</v>
      </c>
      <c r="H143" s="16">
        <v>0</v>
      </c>
      <c r="I143" s="13">
        <f t="shared" si="2"/>
        <v>2468550.8669306389</v>
      </c>
    </row>
    <row r="144" spans="1:9" ht="15.75" x14ac:dyDescent="0.25">
      <c r="A144" s="8"/>
      <c r="B144" s="8"/>
      <c r="C144" s="9"/>
      <c r="D144" s="12" t="s">
        <v>140</v>
      </c>
      <c r="E144" s="16">
        <v>339043.69</v>
      </c>
      <c r="F144" s="16">
        <v>278099.8016691301</v>
      </c>
      <c r="G144" s="16">
        <v>1413003.9100000001</v>
      </c>
      <c r="H144" s="16">
        <v>0</v>
      </c>
      <c r="I144" s="13">
        <f t="shared" si="2"/>
        <v>2030147.4016691302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41026048.060000002</v>
      </c>
      <c r="F145" s="22">
        <f>SUM(F10:F144)</f>
        <v>113993399.40083325</v>
      </c>
      <c r="G145" s="22">
        <f>SUM(G10:G144)</f>
        <v>208836120.98999998</v>
      </c>
      <c r="H145" s="22">
        <f>SUM(H10:H144)</f>
        <v>1446141.375</v>
      </c>
      <c r="I145" s="22">
        <f>SUM(I10:I144)</f>
        <v>365301709.82583326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148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6707452.0900000017</v>
      </c>
      <c r="F10" s="16">
        <v>8989683.3481050897</v>
      </c>
      <c r="G10" s="16">
        <v>506787.17000000004</v>
      </c>
      <c r="H10" s="16">
        <v>0</v>
      </c>
      <c r="I10" s="13">
        <f t="shared" ref="I10:I73" si="0">SUM(E10:H10)</f>
        <v>16203922.608105091</v>
      </c>
    </row>
    <row r="11" spans="1:9" ht="15.75" x14ac:dyDescent="0.25">
      <c r="A11" s="8"/>
      <c r="B11" s="8"/>
      <c r="C11" s="9"/>
      <c r="D11" s="12" t="s">
        <v>7</v>
      </c>
      <c r="E11" s="16">
        <v>8864214.1400000006</v>
      </c>
      <c r="F11" s="16">
        <v>5045696.7569931606</v>
      </c>
      <c r="G11" s="16">
        <v>356040.66</v>
      </c>
      <c r="H11" s="16">
        <v>0</v>
      </c>
      <c r="I11" s="13">
        <f t="shared" si="0"/>
        <v>14265951.55699316</v>
      </c>
    </row>
    <row r="12" spans="1:9" ht="15.75" x14ac:dyDescent="0.25">
      <c r="A12" s="8"/>
      <c r="B12" s="8"/>
      <c r="C12" s="9"/>
      <c r="D12" s="12" t="s">
        <v>8</v>
      </c>
      <c r="E12" s="16">
        <v>9767015.8100000005</v>
      </c>
      <c r="F12" s="16">
        <v>1829212.9577649902</v>
      </c>
      <c r="G12" s="16">
        <v>327434.32999999996</v>
      </c>
      <c r="H12" s="16">
        <v>0</v>
      </c>
      <c r="I12" s="13">
        <f t="shared" si="0"/>
        <v>11923663.097764991</v>
      </c>
    </row>
    <row r="13" spans="1:9" ht="15.75" x14ac:dyDescent="0.25">
      <c r="A13" s="8"/>
      <c r="B13" s="8"/>
      <c r="C13" s="9"/>
      <c r="D13" s="12" t="s">
        <v>9</v>
      </c>
      <c r="E13" s="16">
        <v>1616468.0399999998</v>
      </c>
      <c r="F13" s="16">
        <v>48405.76295058</v>
      </c>
      <c r="G13" s="16">
        <v>3821945.3099999996</v>
      </c>
      <c r="H13" s="16">
        <v>0</v>
      </c>
      <c r="I13" s="13">
        <f t="shared" si="0"/>
        <v>5486819.1129505793</v>
      </c>
    </row>
    <row r="14" spans="1:9" ht="15.75" x14ac:dyDescent="0.25">
      <c r="A14" s="8"/>
      <c r="B14" s="8"/>
      <c r="C14" s="9"/>
      <c r="D14" s="12" t="s">
        <v>10</v>
      </c>
      <c r="E14" s="16">
        <v>12276967.43</v>
      </c>
      <c r="F14" s="16">
        <v>2032458.8419610998</v>
      </c>
      <c r="G14" s="16">
        <v>679151.77</v>
      </c>
      <c r="H14" s="16">
        <v>0</v>
      </c>
      <c r="I14" s="13">
        <f t="shared" si="0"/>
        <v>14988578.0419611</v>
      </c>
    </row>
    <row r="15" spans="1:9" ht="15.75" x14ac:dyDescent="0.25">
      <c r="A15" s="8"/>
      <c r="B15" s="8"/>
      <c r="C15" s="9"/>
      <c r="D15" s="12" t="s">
        <v>11</v>
      </c>
      <c r="E15" s="16">
        <v>261629.48</v>
      </c>
      <c r="F15" s="16">
        <v>11289.123717390001</v>
      </c>
      <c r="G15" s="16">
        <v>3740666.98</v>
      </c>
      <c r="H15" s="16">
        <v>0</v>
      </c>
      <c r="I15" s="13">
        <f t="shared" si="0"/>
        <v>4013585.58371739</v>
      </c>
    </row>
    <row r="16" spans="1:9" ht="15.75" x14ac:dyDescent="0.25">
      <c r="A16" s="8"/>
      <c r="B16" s="8"/>
      <c r="C16" s="9"/>
      <c r="D16" s="12" t="s">
        <v>12</v>
      </c>
      <c r="E16" s="16">
        <v>13250713.430000002</v>
      </c>
      <c r="F16" s="16">
        <v>9691358.6244730502</v>
      </c>
      <c r="G16" s="16">
        <v>793945.74</v>
      </c>
      <c r="H16" s="16">
        <v>0</v>
      </c>
      <c r="I16" s="13">
        <f t="shared" si="0"/>
        <v>23736017.794473048</v>
      </c>
    </row>
    <row r="17" spans="1:9" ht="15.75" x14ac:dyDescent="0.25">
      <c r="A17" s="8"/>
      <c r="B17" s="8"/>
      <c r="C17" s="9"/>
      <c r="D17" s="12" t="s">
        <v>13</v>
      </c>
      <c r="E17" s="16">
        <v>27940363.199999999</v>
      </c>
      <c r="F17" s="16">
        <v>8904202.6032044105</v>
      </c>
      <c r="G17" s="16">
        <v>1529840.1500000001</v>
      </c>
      <c r="H17" s="16">
        <v>0</v>
      </c>
      <c r="I17" s="13">
        <f t="shared" si="0"/>
        <v>38374405.953204408</v>
      </c>
    </row>
    <row r="18" spans="1:9" ht="15.75" x14ac:dyDescent="0.25">
      <c r="A18" s="8"/>
      <c r="B18" s="8"/>
      <c r="C18" s="9"/>
      <c r="D18" s="12" t="s">
        <v>14</v>
      </c>
      <c r="E18" s="16">
        <v>3471973.4600000004</v>
      </c>
      <c r="F18" s="16">
        <v>725878.15784324985</v>
      </c>
      <c r="G18" s="16">
        <v>7597089.9500000002</v>
      </c>
      <c r="H18" s="16">
        <v>0</v>
      </c>
      <c r="I18" s="13">
        <f t="shared" si="0"/>
        <v>11794941.567843251</v>
      </c>
    </row>
    <row r="19" spans="1:9" ht="15.75" x14ac:dyDescent="0.25">
      <c r="A19" s="8"/>
      <c r="B19" s="8"/>
      <c r="C19" s="9"/>
      <c r="D19" s="12" t="s">
        <v>15</v>
      </c>
      <c r="E19" s="16">
        <v>26635593.140000004</v>
      </c>
      <c r="F19" s="16">
        <v>6928189.3798302598</v>
      </c>
      <c r="G19" s="16">
        <v>1420398.3099999998</v>
      </c>
      <c r="H19" s="16">
        <v>0</v>
      </c>
      <c r="I19" s="13">
        <f t="shared" si="0"/>
        <v>34984180.829830267</v>
      </c>
    </row>
    <row r="20" spans="1:9" ht="15.75" x14ac:dyDescent="0.25">
      <c r="A20" s="8"/>
      <c r="B20" s="8"/>
      <c r="C20" s="9"/>
      <c r="D20" s="12" t="s">
        <v>16</v>
      </c>
      <c r="E20" s="16">
        <v>9622138.5</v>
      </c>
      <c r="F20" s="16">
        <v>1903446.2362313704</v>
      </c>
      <c r="G20" s="16">
        <v>655380.73</v>
      </c>
      <c r="H20" s="16">
        <v>0</v>
      </c>
      <c r="I20" s="13">
        <f t="shared" si="0"/>
        <v>12180965.46623137</v>
      </c>
    </row>
    <row r="21" spans="1:9" ht="15.75" x14ac:dyDescent="0.25">
      <c r="A21" s="8"/>
      <c r="B21" s="8"/>
      <c r="C21" s="9"/>
      <c r="D21" s="12" t="s">
        <v>17</v>
      </c>
      <c r="E21" s="16">
        <v>13888223.139999997</v>
      </c>
      <c r="F21" s="16">
        <v>8288008.0717371302</v>
      </c>
      <c r="G21" s="16">
        <v>352448.73</v>
      </c>
      <c r="H21" s="16">
        <v>0</v>
      </c>
      <c r="I21" s="13">
        <f t="shared" si="0"/>
        <v>22528679.941737127</v>
      </c>
    </row>
    <row r="22" spans="1:9" ht="15.75" x14ac:dyDescent="0.25">
      <c r="A22" s="8"/>
      <c r="B22" s="8"/>
      <c r="C22" s="9"/>
      <c r="D22" s="12" t="s">
        <v>18</v>
      </c>
      <c r="E22" s="16">
        <v>403098.52</v>
      </c>
      <c r="F22" s="16">
        <v>354878.39464370999</v>
      </c>
      <c r="G22" s="16">
        <v>2771839.46</v>
      </c>
      <c r="H22" s="16">
        <v>0</v>
      </c>
      <c r="I22" s="13">
        <f t="shared" si="0"/>
        <v>3529816.37464371</v>
      </c>
    </row>
    <row r="23" spans="1:9" ht="15.75" x14ac:dyDescent="0.25">
      <c r="A23" s="8"/>
      <c r="B23" s="8"/>
      <c r="C23" s="9"/>
      <c r="D23" s="12" t="s">
        <v>19</v>
      </c>
      <c r="E23" s="16">
        <v>273637.18</v>
      </c>
      <c r="F23" s="16">
        <v>132261.87381075</v>
      </c>
      <c r="G23" s="16">
        <v>2985972.16</v>
      </c>
      <c r="H23" s="16">
        <v>0</v>
      </c>
      <c r="I23" s="13">
        <f t="shared" si="0"/>
        <v>3391871.2138107503</v>
      </c>
    </row>
    <row r="24" spans="1:9" ht="15.75" x14ac:dyDescent="0.25">
      <c r="A24" s="8"/>
      <c r="B24" s="8"/>
      <c r="C24" s="9"/>
      <c r="D24" s="12" t="s">
        <v>20</v>
      </c>
      <c r="E24" s="16">
        <v>13124332.5</v>
      </c>
      <c r="F24" s="16">
        <v>5082813.3962263502</v>
      </c>
      <c r="G24" s="16">
        <v>1102661.0299999998</v>
      </c>
      <c r="H24" s="16">
        <v>0</v>
      </c>
      <c r="I24" s="13">
        <f t="shared" si="0"/>
        <v>19309806.926226351</v>
      </c>
    </row>
    <row r="25" spans="1:9" ht="15.75" x14ac:dyDescent="0.25">
      <c r="A25" s="8"/>
      <c r="B25" s="8"/>
      <c r="C25" s="9"/>
      <c r="D25" s="12" t="s">
        <v>21</v>
      </c>
      <c r="E25" s="16">
        <v>10630198.270000003</v>
      </c>
      <c r="F25" s="16">
        <v>3774608.0780679905</v>
      </c>
      <c r="G25" s="16">
        <v>1222135.0900000001</v>
      </c>
      <c r="H25" s="16">
        <v>0</v>
      </c>
      <c r="I25" s="13">
        <f t="shared" si="0"/>
        <v>15626941.438067993</v>
      </c>
    </row>
    <row r="26" spans="1:9" ht="15.75" x14ac:dyDescent="0.25">
      <c r="A26" s="8"/>
      <c r="B26" s="8"/>
      <c r="C26" s="9"/>
      <c r="D26" s="12" t="s">
        <v>22</v>
      </c>
      <c r="E26" s="16">
        <v>6525460.9100000001</v>
      </c>
      <c r="F26" s="16">
        <v>2161513.1049739202</v>
      </c>
      <c r="G26" s="16">
        <v>486198.44999999995</v>
      </c>
      <c r="H26" s="16">
        <v>0</v>
      </c>
      <c r="I26" s="13">
        <f t="shared" si="0"/>
        <v>9173172.4649739191</v>
      </c>
    </row>
    <row r="27" spans="1:9" ht="15.75" x14ac:dyDescent="0.25">
      <c r="A27" s="8"/>
      <c r="B27" s="8"/>
      <c r="C27" s="9"/>
      <c r="D27" s="12" t="s">
        <v>23</v>
      </c>
      <c r="E27" s="16">
        <v>3219743.4199999995</v>
      </c>
      <c r="F27" s="16">
        <v>370999.76319954009</v>
      </c>
      <c r="G27" s="16">
        <v>1256854.08</v>
      </c>
      <c r="H27" s="16">
        <v>0</v>
      </c>
      <c r="I27" s="13">
        <f t="shared" si="0"/>
        <v>4847597.2631995399</v>
      </c>
    </row>
    <row r="28" spans="1:9" ht="15.75" x14ac:dyDescent="0.25">
      <c r="A28" s="8"/>
      <c r="B28" s="8"/>
      <c r="C28" s="9"/>
      <c r="D28" s="12" t="s">
        <v>24</v>
      </c>
      <c r="E28" s="16">
        <v>4083610.0700000003</v>
      </c>
      <c r="F28" s="16">
        <v>1758270.6046627201</v>
      </c>
      <c r="G28" s="16">
        <v>819217.52000000014</v>
      </c>
      <c r="H28" s="16">
        <v>0</v>
      </c>
      <c r="I28" s="13">
        <f t="shared" si="0"/>
        <v>6661098.1946627209</v>
      </c>
    </row>
    <row r="29" spans="1:9" ht="15.75" x14ac:dyDescent="0.25">
      <c r="A29" s="8"/>
      <c r="B29" s="8"/>
      <c r="C29" s="9"/>
      <c r="D29" s="12" t="s">
        <v>25</v>
      </c>
      <c r="E29" s="16">
        <v>5074974.78</v>
      </c>
      <c r="F29" s="16">
        <v>983986.68386889005</v>
      </c>
      <c r="G29" s="16">
        <v>276926.99999999994</v>
      </c>
      <c r="H29" s="16">
        <v>0</v>
      </c>
      <c r="I29" s="13">
        <f t="shared" si="0"/>
        <v>6335888.46386889</v>
      </c>
    </row>
    <row r="30" spans="1:9" ht="15.75" x14ac:dyDescent="0.25">
      <c r="A30" s="8"/>
      <c r="B30" s="8"/>
      <c r="C30" s="9"/>
      <c r="D30" s="12" t="s">
        <v>26</v>
      </c>
      <c r="E30" s="16">
        <v>10382217.299999997</v>
      </c>
      <c r="F30" s="16">
        <v>5307012.8938167309</v>
      </c>
      <c r="G30" s="16">
        <v>606599.42999999993</v>
      </c>
      <c r="H30" s="16">
        <v>0</v>
      </c>
      <c r="I30" s="13">
        <f t="shared" si="0"/>
        <v>16295829.623816729</v>
      </c>
    </row>
    <row r="31" spans="1:9" ht="15.75" x14ac:dyDescent="0.25">
      <c r="A31" s="8"/>
      <c r="B31" s="8"/>
      <c r="C31" s="9"/>
      <c r="D31" s="12" t="s">
        <v>27</v>
      </c>
      <c r="E31" s="16">
        <v>9884062.4800000004</v>
      </c>
      <c r="F31" s="16">
        <v>5500594.2883359604</v>
      </c>
      <c r="G31" s="16">
        <v>406613.28999999992</v>
      </c>
      <c r="H31" s="16">
        <v>0</v>
      </c>
      <c r="I31" s="13">
        <f t="shared" si="0"/>
        <v>15791270.05833596</v>
      </c>
    </row>
    <row r="32" spans="1:9" ht="15.75" x14ac:dyDescent="0.25">
      <c r="A32" s="8"/>
      <c r="B32" s="8"/>
      <c r="C32" s="9"/>
      <c r="D32" s="12" t="s">
        <v>28</v>
      </c>
      <c r="E32" s="16">
        <v>8614536.6900000013</v>
      </c>
      <c r="F32" s="16">
        <v>1856665.1073213001</v>
      </c>
      <c r="G32" s="16">
        <v>291391.14</v>
      </c>
      <c r="H32" s="16">
        <v>0</v>
      </c>
      <c r="I32" s="13">
        <f t="shared" si="0"/>
        <v>10762592.937321302</v>
      </c>
    </row>
    <row r="33" spans="1:9" ht="15.75" x14ac:dyDescent="0.25">
      <c r="A33" s="8"/>
      <c r="B33" s="8"/>
      <c r="C33" s="9"/>
      <c r="D33" s="12" t="s">
        <v>29</v>
      </c>
      <c r="E33" s="16">
        <v>2254798.0100000002</v>
      </c>
      <c r="F33" s="16">
        <v>2806742.7627549297</v>
      </c>
      <c r="G33" s="16">
        <v>205105.05000000005</v>
      </c>
      <c r="H33" s="16">
        <v>0</v>
      </c>
      <c r="I33" s="13">
        <f t="shared" si="0"/>
        <v>5266645.8227549298</v>
      </c>
    </row>
    <row r="34" spans="1:9" ht="15.75" x14ac:dyDescent="0.25">
      <c r="A34" s="8"/>
      <c r="B34" s="8"/>
      <c r="C34" s="9"/>
      <c r="D34" s="12" t="s">
        <v>30</v>
      </c>
      <c r="E34" s="16">
        <v>24367701.830000006</v>
      </c>
      <c r="F34" s="16">
        <v>4027842.7019720995</v>
      </c>
      <c r="G34" s="16">
        <v>1336880.6399999999</v>
      </c>
      <c r="H34" s="16">
        <v>0</v>
      </c>
      <c r="I34" s="13">
        <f t="shared" si="0"/>
        <v>29732425.171972107</v>
      </c>
    </row>
    <row r="35" spans="1:9" ht="15.75" x14ac:dyDescent="0.25">
      <c r="A35" s="8"/>
      <c r="B35" s="8"/>
      <c r="C35" s="9"/>
      <c r="D35" s="12" t="s">
        <v>31</v>
      </c>
      <c r="E35" s="16">
        <v>9617128.4700000007</v>
      </c>
      <c r="F35" s="16">
        <v>5921624.4485265911</v>
      </c>
      <c r="G35" s="16">
        <v>935211.34999999986</v>
      </c>
      <c r="H35" s="16">
        <v>0</v>
      </c>
      <c r="I35" s="13">
        <f t="shared" si="0"/>
        <v>16473964.268526591</v>
      </c>
    </row>
    <row r="36" spans="1:9" ht="15.75" x14ac:dyDescent="0.25">
      <c r="A36" s="8"/>
      <c r="B36" s="8"/>
      <c r="C36" s="9"/>
      <c r="D36" s="12" t="s">
        <v>32</v>
      </c>
      <c r="E36" s="16">
        <v>11915943.060000002</v>
      </c>
      <c r="F36" s="16">
        <v>3674588.9413689002</v>
      </c>
      <c r="G36" s="16">
        <v>1848691.75</v>
      </c>
      <c r="H36" s="16">
        <v>0</v>
      </c>
      <c r="I36" s="13">
        <f t="shared" si="0"/>
        <v>17439223.751368903</v>
      </c>
    </row>
    <row r="37" spans="1:9" ht="15.75" x14ac:dyDescent="0.25">
      <c r="A37" s="8"/>
      <c r="B37" s="8"/>
      <c r="C37" s="9"/>
      <c r="D37" s="12" t="s">
        <v>33</v>
      </c>
      <c r="E37" s="16">
        <v>10819064.620000001</v>
      </c>
      <c r="F37" s="16">
        <v>2032458.8419610998</v>
      </c>
      <c r="G37" s="16">
        <v>580443.04999999993</v>
      </c>
      <c r="H37" s="16">
        <v>0</v>
      </c>
      <c r="I37" s="13">
        <f t="shared" si="0"/>
        <v>13431966.511961102</v>
      </c>
    </row>
    <row r="38" spans="1:9" ht="15.75" x14ac:dyDescent="0.25">
      <c r="A38" s="8"/>
      <c r="B38" s="8"/>
      <c r="C38" s="9"/>
      <c r="D38" s="12" t="s">
        <v>34</v>
      </c>
      <c r="E38" s="16">
        <v>8561800.700000003</v>
      </c>
      <c r="F38" s="16">
        <v>4416630.12505107</v>
      </c>
      <c r="G38" s="16">
        <v>571462.05000000005</v>
      </c>
      <c r="H38" s="16">
        <v>0</v>
      </c>
      <c r="I38" s="13">
        <f t="shared" si="0"/>
        <v>13549892.875051074</v>
      </c>
    </row>
    <row r="39" spans="1:9" ht="15.75" x14ac:dyDescent="0.25">
      <c r="A39" s="8"/>
      <c r="B39" s="8"/>
      <c r="C39" s="9"/>
      <c r="D39" s="12" t="s">
        <v>35</v>
      </c>
      <c r="E39" s="16">
        <v>7321745.0000000028</v>
      </c>
      <c r="F39" s="16">
        <v>6915275.6220723605</v>
      </c>
      <c r="G39" s="16">
        <v>561907.59</v>
      </c>
      <c r="H39" s="16">
        <v>0</v>
      </c>
      <c r="I39" s="13">
        <f t="shared" si="0"/>
        <v>14798928.212072363</v>
      </c>
    </row>
    <row r="40" spans="1:9" ht="15.75" x14ac:dyDescent="0.25">
      <c r="A40" s="8"/>
      <c r="B40" s="8"/>
      <c r="C40" s="9"/>
      <c r="D40" s="12" t="s">
        <v>36</v>
      </c>
      <c r="E40" s="16">
        <v>630827.49999999988</v>
      </c>
      <c r="F40" s="16">
        <v>362959.90756316995</v>
      </c>
      <c r="G40" s="16">
        <v>631235.01</v>
      </c>
      <c r="H40" s="16">
        <v>0</v>
      </c>
      <c r="I40" s="13">
        <f t="shared" si="0"/>
        <v>1625022.4175631697</v>
      </c>
    </row>
    <row r="41" spans="1:9" ht="15.75" x14ac:dyDescent="0.25">
      <c r="A41" s="8"/>
      <c r="B41" s="8"/>
      <c r="C41" s="9"/>
      <c r="D41" s="12" t="s">
        <v>37</v>
      </c>
      <c r="E41" s="16">
        <v>15161468.039999997</v>
      </c>
      <c r="F41" s="16">
        <v>6065175.4460547296</v>
      </c>
      <c r="G41" s="16">
        <v>1233979.05</v>
      </c>
      <c r="H41" s="16">
        <v>0</v>
      </c>
      <c r="I41" s="13">
        <f t="shared" si="0"/>
        <v>22460622.536054727</v>
      </c>
    </row>
    <row r="42" spans="1:9" ht="15.75" x14ac:dyDescent="0.25">
      <c r="A42" s="8"/>
      <c r="B42" s="8"/>
      <c r="C42" s="9"/>
      <c r="D42" s="12" t="s">
        <v>38</v>
      </c>
      <c r="E42" s="16">
        <v>11123247.690000001</v>
      </c>
      <c r="F42" s="16">
        <v>6568478.74034811</v>
      </c>
      <c r="G42" s="16">
        <v>493940.54999999993</v>
      </c>
      <c r="H42" s="16">
        <v>0</v>
      </c>
      <c r="I42" s="13">
        <f t="shared" si="0"/>
        <v>18185666.980348114</v>
      </c>
    </row>
    <row r="43" spans="1:9" ht="15.75" x14ac:dyDescent="0.25">
      <c r="A43" s="8"/>
      <c r="B43" s="8"/>
      <c r="C43" s="9"/>
      <c r="D43" s="12" t="s">
        <v>39</v>
      </c>
      <c r="E43" s="16">
        <v>2445509.14</v>
      </c>
      <c r="F43" s="16">
        <v>2388961.87064532</v>
      </c>
      <c r="G43" s="16">
        <v>506267.72999999986</v>
      </c>
      <c r="H43" s="16">
        <v>0</v>
      </c>
      <c r="I43" s="13">
        <f t="shared" si="0"/>
        <v>5340738.7406453202</v>
      </c>
    </row>
    <row r="44" spans="1:9" ht="15.75" x14ac:dyDescent="0.25">
      <c r="A44" s="8"/>
      <c r="B44" s="8"/>
      <c r="C44" s="9"/>
      <c r="D44" s="12" t="s">
        <v>40</v>
      </c>
      <c r="E44" s="16">
        <v>6861.47</v>
      </c>
      <c r="F44" s="16">
        <v>183875.24755926002</v>
      </c>
      <c r="G44" s="16">
        <v>702733.21</v>
      </c>
      <c r="H44" s="16">
        <v>0</v>
      </c>
      <c r="I44" s="13">
        <f t="shared" si="0"/>
        <v>893469.92755926005</v>
      </c>
    </row>
    <row r="45" spans="1:9" ht="15.75" x14ac:dyDescent="0.25">
      <c r="A45" s="8"/>
      <c r="B45" s="8"/>
      <c r="C45" s="9"/>
      <c r="D45" s="12" t="s">
        <v>41</v>
      </c>
      <c r="E45" s="16">
        <v>4674582.8099999996</v>
      </c>
      <c r="F45" s="16">
        <v>53238.007789020005</v>
      </c>
      <c r="G45" s="16">
        <v>2346310.5500000003</v>
      </c>
      <c r="H45" s="16">
        <v>0</v>
      </c>
      <c r="I45" s="13">
        <f t="shared" si="0"/>
        <v>7074131.3677890208</v>
      </c>
    </row>
    <row r="46" spans="1:9" ht="15.75" x14ac:dyDescent="0.25">
      <c r="A46" s="8"/>
      <c r="B46" s="8"/>
      <c r="C46" s="9"/>
      <c r="D46" s="12" t="s">
        <v>42</v>
      </c>
      <c r="E46" s="16">
        <v>926960.98</v>
      </c>
      <c r="F46" s="16">
        <v>177418.36868031</v>
      </c>
      <c r="G46" s="16">
        <v>2504312.1100000003</v>
      </c>
      <c r="H46" s="16">
        <v>0</v>
      </c>
      <c r="I46" s="13">
        <f t="shared" si="0"/>
        <v>3608691.4586803103</v>
      </c>
    </row>
    <row r="47" spans="1:9" ht="15.75" x14ac:dyDescent="0.25">
      <c r="A47" s="8"/>
      <c r="B47" s="8"/>
      <c r="C47" s="9"/>
      <c r="D47" s="12" t="s">
        <v>43</v>
      </c>
      <c r="E47" s="16">
        <v>6067614.7399999993</v>
      </c>
      <c r="F47" s="16">
        <v>1125913.0473565203</v>
      </c>
      <c r="G47" s="16">
        <v>608524.43999999983</v>
      </c>
      <c r="H47" s="16">
        <v>0</v>
      </c>
      <c r="I47" s="13">
        <f t="shared" si="0"/>
        <v>7802052.2273565196</v>
      </c>
    </row>
    <row r="48" spans="1:9" ht="15.75" x14ac:dyDescent="0.25">
      <c r="A48" s="8"/>
      <c r="B48" s="8"/>
      <c r="C48" s="9"/>
      <c r="D48" s="12" t="s">
        <v>44</v>
      </c>
      <c r="E48" s="16">
        <v>3078427.3000000003</v>
      </c>
      <c r="F48" s="16">
        <v>177418.36868031</v>
      </c>
      <c r="G48" s="16">
        <v>1017423.2300000001</v>
      </c>
      <c r="H48" s="16">
        <v>0</v>
      </c>
      <c r="I48" s="13">
        <f t="shared" si="0"/>
        <v>4273268.8986803107</v>
      </c>
    </row>
    <row r="49" spans="1:9" ht="15.75" x14ac:dyDescent="0.25">
      <c r="A49" s="8"/>
      <c r="B49" s="8"/>
      <c r="C49" s="9"/>
      <c r="D49" s="12" t="s">
        <v>45</v>
      </c>
      <c r="E49" s="16">
        <v>1115166.4699999997</v>
      </c>
      <c r="F49" s="16">
        <v>211327.39711557</v>
      </c>
      <c r="G49" s="16">
        <v>1935599.1899999997</v>
      </c>
      <c r="H49" s="16">
        <v>0</v>
      </c>
      <c r="I49" s="13">
        <f t="shared" si="0"/>
        <v>3262093.0571155697</v>
      </c>
    </row>
    <row r="50" spans="1:9" ht="15.75" x14ac:dyDescent="0.25">
      <c r="A50" s="8"/>
      <c r="B50" s="8"/>
      <c r="C50" s="9"/>
      <c r="D50" s="12" t="s">
        <v>46</v>
      </c>
      <c r="E50" s="16">
        <v>6464685.9699999997</v>
      </c>
      <c r="F50" s="16">
        <v>2042164.98892107</v>
      </c>
      <c r="G50" s="16">
        <v>227173.87000000002</v>
      </c>
      <c r="H50" s="16">
        <v>0</v>
      </c>
      <c r="I50" s="13">
        <f t="shared" si="0"/>
        <v>8734024.8289210685</v>
      </c>
    </row>
    <row r="51" spans="1:9" ht="15.75" x14ac:dyDescent="0.25">
      <c r="A51" s="8"/>
      <c r="B51" s="8"/>
      <c r="C51" s="9"/>
      <c r="D51" s="12" t="s">
        <v>47</v>
      </c>
      <c r="E51" s="16">
        <v>8851669.879999999</v>
      </c>
      <c r="F51" s="16">
        <v>3713288.5573595101</v>
      </c>
      <c r="G51" s="16">
        <v>713469.46000000008</v>
      </c>
      <c r="H51" s="16">
        <v>0</v>
      </c>
      <c r="I51" s="13">
        <f t="shared" si="0"/>
        <v>13278427.897359509</v>
      </c>
    </row>
    <row r="52" spans="1:9" ht="15.75" x14ac:dyDescent="0.25">
      <c r="A52" s="8"/>
      <c r="B52" s="8"/>
      <c r="C52" s="9"/>
      <c r="D52" s="12" t="s">
        <v>48</v>
      </c>
      <c r="E52" s="16">
        <v>6773325.2699999996</v>
      </c>
      <c r="F52" s="16">
        <v>3742323.6836732402</v>
      </c>
      <c r="G52" s="16">
        <v>205054.56000000003</v>
      </c>
      <c r="H52" s="16">
        <v>0</v>
      </c>
      <c r="I52" s="13">
        <f t="shared" si="0"/>
        <v>10720703.51367324</v>
      </c>
    </row>
    <row r="53" spans="1:9" ht="15.75" x14ac:dyDescent="0.25">
      <c r="A53" s="8"/>
      <c r="B53" s="8"/>
      <c r="C53" s="9"/>
      <c r="D53" s="12" t="s">
        <v>49</v>
      </c>
      <c r="E53" s="16">
        <v>9799508.6899999976</v>
      </c>
      <c r="F53" s="16">
        <v>2564797.2625682098</v>
      </c>
      <c r="G53" s="16">
        <v>1111413.29</v>
      </c>
      <c r="H53" s="16">
        <v>0</v>
      </c>
      <c r="I53" s="13">
        <f t="shared" si="0"/>
        <v>13475719.242568206</v>
      </c>
    </row>
    <row r="54" spans="1:9" ht="15.75" x14ac:dyDescent="0.25">
      <c r="A54" s="8"/>
      <c r="B54" s="8"/>
      <c r="C54" s="9"/>
      <c r="D54" s="12" t="s">
        <v>50</v>
      </c>
      <c r="E54" s="16">
        <v>7533872.1600000001</v>
      </c>
      <c r="F54" s="16">
        <v>2355094.49949315</v>
      </c>
      <c r="G54" s="16">
        <v>480907.80000000005</v>
      </c>
      <c r="H54" s="16">
        <v>0</v>
      </c>
      <c r="I54" s="13">
        <f t="shared" si="0"/>
        <v>10369874.459493151</v>
      </c>
    </row>
    <row r="55" spans="1:9" ht="15.75" x14ac:dyDescent="0.25">
      <c r="A55" s="8"/>
      <c r="B55" s="8"/>
      <c r="C55" s="9"/>
      <c r="D55" s="12" t="s">
        <v>51</v>
      </c>
      <c r="E55" s="16">
        <v>3313742.2299999995</v>
      </c>
      <c r="F55" s="16">
        <v>4823121.8934432901</v>
      </c>
      <c r="G55" s="16">
        <v>43973.989999999991</v>
      </c>
      <c r="H55" s="16">
        <v>0</v>
      </c>
      <c r="I55" s="13">
        <f t="shared" si="0"/>
        <v>8180838.1134432899</v>
      </c>
    </row>
    <row r="56" spans="1:9" ht="15.75" x14ac:dyDescent="0.25">
      <c r="A56" s="8"/>
      <c r="B56" s="8"/>
      <c r="C56" s="9"/>
      <c r="D56" s="12" t="s">
        <v>52</v>
      </c>
      <c r="E56" s="16">
        <v>7982821.3099999996</v>
      </c>
      <c r="F56" s="16">
        <v>5368332.4145252099</v>
      </c>
      <c r="G56" s="16">
        <v>320061.31</v>
      </c>
      <c r="H56" s="16">
        <v>0</v>
      </c>
      <c r="I56" s="13">
        <f t="shared" si="0"/>
        <v>13671215.03452521</v>
      </c>
    </row>
    <row r="57" spans="1:9" ht="15.75" x14ac:dyDescent="0.25">
      <c r="A57" s="8"/>
      <c r="B57" s="8"/>
      <c r="C57" s="9"/>
      <c r="D57" s="12" t="s">
        <v>53</v>
      </c>
      <c r="E57" s="16">
        <v>1935339.8200000003</v>
      </c>
      <c r="F57" s="16">
        <v>1774391.9732185502</v>
      </c>
      <c r="G57" s="16">
        <v>307872.49</v>
      </c>
      <c r="H57" s="16">
        <v>0</v>
      </c>
      <c r="I57" s="13">
        <f t="shared" si="0"/>
        <v>4017604.2832185505</v>
      </c>
    </row>
    <row r="58" spans="1:9" ht="15.75" x14ac:dyDescent="0.25">
      <c r="A58" s="8"/>
      <c r="B58" s="8"/>
      <c r="C58" s="9"/>
      <c r="D58" s="12" t="s">
        <v>54</v>
      </c>
      <c r="E58" s="16">
        <v>2487316.6</v>
      </c>
      <c r="F58" s="16">
        <v>1909903.1151103198</v>
      </c>
      <c r="G58" s="16">
        <v>36015.049999999996</v>
      </c>
      <c r="H58" s="16">
        <v>0</v>
      </c>
      <c r="I58" s="13">
        <f t="shared" si="0"/>
        <v>4433234.7651103195</v>
      </c>
    </row>
    <row r="59" spans="1:9" ht="15.75" x14ac:dyDescent="0.25">
      <c r="A59" s="8"/>
      <c r="B59" s="8"/>
      <c r="C59" s="9"/>
      <c r="D59" s="12" t="s">
        <v>55</v>
      </c>
      <c r="E59" s="16">
        <v>4974859.209999999</v>
      </c>
      <c r="F59" s="16">
        <v>3226148.2889050501</v>
      </c>
      <c r="G59" s="16">
        <v>372893.05000000005</v>
      </c>
      <c r="H59" s="16">
        <v>0</v>
      </c>
      <c r="I59" s="13">
        <f t="shared" si="0"/>
        <v>8573900.5489050504</v>
      </c>
    </row>
    <row r="60" spans="1:9" ht="15.75" x14ac:dyDescent="0.25">
      <c r="A60" s="8"/>
      <c r="B60" s="8"/>
      <c r="C60" s="9"/>
      <c r="D60" s="12" t="s">
        <v>56</v>
      </c>
      <c r="E60" s="16">
        <v>3928639.8</v>
      </c>
      <c r="F60" s="16">
        <v>1951810.3418988599</v>
      </c>
      <c r="G60" s="16">
        <v>210307.14999999997</v>
      </c>
      <c r="H60" s="16">
        <v>0</v>
      </c>
      <c r="I60" s="13">
        <f t="shared" si="0"/>
        <v>6090757.2918988597</v>
      </c>
    </row>
    <row r="61" spans="1:9" ht="15.75" x14ac:dyDescent="0.25">
      <c r="A61" s="8"/>
      <c r="B61" s="8"/>
      <c r="C61" s="9"/>
      <c r="D61" s="12" t="s">
        <v>57</v>
      </c>
      <c r="E61" s="16">
        <v>10865031.26</v>
      </c>
      <c r="F61" s="16">
        <v>3274554.0518556298</v>
      </c>
      <c r="G61" s="16">
        <v>293918.29000000004</v>
      </c>
      <c r="H61" s="16">
        <v>0</v>
      </c>
      <c r="I61" s="13">
        <f t="shared" si="0"/>
        <v>14433503.601855628</v>
      </c>
    </row>
    <row r="62" spans="1:9" ht="15.75" x14ac:dyDescent="0.25">
      <c r="A62" s="8"/>
      <c r="B62" s="8"/>
      <c r="C62" s="9"/>
      <c r="D62" s="12" t="s">
        <v>58</v>
      </c>
      <c r="E62" s="16">
        <v>9816186.8400000017</v>
      </c>
      <c r="F62" s="16">
        <v>3653635.3279746301</v>
      </c>
      <c r="G62" s="16">
        <v>17099505.800000001</v>
      </c>
      <c r="H62" s="16">
        <v>0</v>
      </c>
      <c r="I62" s="13">
        <f t="shared" si="0"/>
        <v>30569327.967974633</v>
      </c>
    </row>
    <row r="63" spans="1:9" ht="15.75" x14ac:dyDescent="0.25">
      <c r="A63" s="8"/>
      <c r="B63" s="8"/>
      <c r="C63" s="9"/>
      <c r="D63" s="12" t="s">
        <v>59</v>
      </c>
      <c r="E63" s="16">
        <v>2624569.5800000005</v>
      </c>
      <c r="F63" s="16">
        <v>403284.15759428998</v>
      </c>
      <c r="G63" s="16">
        <v>710884.41</v>
      </c>
      <c r="H63" s="16">
        <v>0</v>
      </c>
      <c r="I63" s="13">
        <f t="shared" si="0"/>
        <v>3738738.1475942908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5116368.13</v>
      </c>
      <c r="H64" s="16">
        <v>0</v>
      </c>
      <c r="I64" s="13">
        <f t="shared" si="0"/>
        <v>5116368.13</v>
      </c>
    </row>
    <row r="65" spans="1:9" ht="15.75" x14ac:dyDescent="0.25">
      <c r="A65" s="8"/>
      <c r="B65" s="8"/>
      <c r="C65" s="9"/>
      <c r="D65" s="12" t="s">
        <v>61</v>
      </c>
      <c r="E65" s="16">
        <v>8589910.3399999999</v>
      </c>
      <c r="F65" s="16">
        <v>4774716.1304927105</v>
      </c>
      <c r="G65" s="16">
        <v>315003.46000000002</v>
      </c>
      <c r="H65" s="16">
        <v>0</v>
      </c>
      <c r="I65" s="13">
        <f t="shared" si="0"/>
        <v>13679629.93049271</v>
      </c>
    </row>
    <row r="66" spans="1:9" ht="15.75" x14ac:dyDescent="0.25">
      <c r="A66" s="8"/>
      <c r="B66" s="8"/>
      <c r="C66" s="9"/>
      <c r="D66" s="12" t="s">
        <v>62</v>
      </c>
      <c r="E66" s="16">
        <v>34288741.759999998</v>
      </c>
      <c r="F66" s="16">
        <v>9492986.6423984729</v>
      </c>
      <c r="G66" s="16">
        <v>964263.57</v>
      </c>
      <c r="H66" s="16">
        <v>0</v>
      </c>
      <c r="I66" s="13">
        <f t="shared" si="0"/>
        <v>44745991.972398467</v>
      </c>
    </row>
    <row r="67" spans="1:9" ht="15.75" x14ac:dyDescent="0.25">
      <c r="A67" s="8"/>
      <c r="B67" s="8"/>
      <c r="C67" s="9"/>
      <c r="D67" s="12" t="s">
        <v>63</v>
      </c>
      <c r="E67" s="16">
        <v>6992494.6600000001</v>
      </c>
      <c r="F67" s="16">
        <v>4387594.9987373399</v>
      </c>
      <c r="G67" s="16">
        <v>413936.66999999993</v>
      </c>
      <c r="H67" s="16">
        <v>0</v>
      </c>
      <c r="I67" s="13">
        <f t="shared" si="0"/>
        <v>11794026.328737339</v>
      </c>
    </row>
    <row r="68" spans="1:9" ht="15.75" x14ac:dyDescent="0.25">
      <c r="A68" s="8"/>
      <c r="B68" s="8"/>
      <c r="C68" s="9"/>
      <c r="D68" s="12" t="s">
        <v>64</v>
      </c>
      <c r="E68" s="16">
        <v>7732873.4799999995</v>
      </c>
      <c r="F68" s="16">
        <v>1855040.4732807903</v>
      </c>
      <c r="G68" s="16">
        <v>305231.3</v>
      </c>
      <c r="H68" s="16">
        <v>0</v>
      </c>
      <c r="I68" s="13">
        <f t="shared" si="0"/>
        <v>9893145.2532807905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1684121.68</v>
      </c>
      <c r="H69" s="16">
        <v>0</v>
      </c>
      <c r="I69" s="13">
        <f t="shared" si="0"/>
        <v>1684121.68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1968656.23</v>
      </c>
      <c r="H70" s="16">
        <v>0</v>
      </c>
      <c r="I70" s="13">
        <f t="shared" si="0"/>
        <v>1968656.23</v>
      </c>
    </row>
    <row r="71" spans="1:9" ht="15.75" x14ac:dyDescent="0.25">
      <c r="A71" s="8"/>
      <c r="B71" s="8"/>
      <c r="C71" s="9"/>
      <c r="D71" s="12" t="s">
        <v>67</v>
      </c>
      <c r="E71" s="16">
        <v>5361.0999999999995</v>
      </c>
      <c r="F71" s="16">
        <v>48405.76295058</v>
      </c>
      <c r="G71" s="16">
        <v>1333580.1200000001</v>
      </c>
      <c r="H71" s="16">
        <v>0</v>
      </c>
      <c r="I71" s="13">
        <f t="shared" si="0"/>
        <v>1387346.9829505801</v>
      </c>
    </row>
    <row r="72" spans="1:9" ht="15.75" x14ac:dyDescent="0.25">
      <c r="A72" s="8"/>
      <c r="B72" s="8"/>
      <c r="C72" s="9"/>
      <c r="D72" s="12" t="s">
        <v>68</v>
      </c>
      <c r="E72" s="16">
        <v>13682195.93</v>
      </c>
      <c r="F72" s="16">
        <v>3013237.9150320599</v>
      </c>
      <c r="G72" s="16">
        <v>3053893.07</v>
      </c>
      <c r="H72" s="16">
        <v>0</v>
      </c>
      <c r="I72" s="13">
        <f t="shared" si="0"/>
        <v>19749326.915032059</v>
      </c>
    </row>
    <row r="73" spans="1:9" ht="15.75" x14ac:dyDescent="0.25">
      <c r="A73" s="8"/>
      <c r="B73" s="8"/>
      <c r="C73" s="9"/>
      <c r="D73" s="12" t="s">
        <v>69</v>
      </c>
      <c r="E73" s="16">
        <v>25149.040000000001</v>
      </c>
      <c r="F73" s="16">
        <v>0</v>
      </c>
      <c r="G73" s="16">
        <v>1062771.51</v>
      </c>
      <c r="H73" s="16">
        <v>0</v>
      </c>
      <c r="I73" s="13">
        <f t="shared" si="0"/>
        <v>1087920.55</v>
      </c>
    </row>
    <row r="74" spans="1:9" ht="15.75" x14ac:dyDescent="0.25">
      <c r="A74" s="8"/>
      <c r="B74" s="8"/>
      <c r="C74" s="9"/>
      <c r="D74" s="12" t="s">
        <v>70</v>
      </c>
      <c r="E74" s="16">
        <v>1608526.8499999999</v>
      </c>
      <c r="F74" s="16">
        <v>254859.25794462001</v>
      </c>
      <c r="G74" s="16">
        <v>8242562.3499999996</v>
      </c>
      <c r="H74" s="16">
        <v>0</v>
      </c>
      <c r="I74" s="13">
        <f t="shared" ref="I74:I137" si="1">SUM(E74:H74)</f>
        <v>10105948.45794462</v>
      </c>
    </row>
    <row r="75" spans="1:9" ht="15.75" x14ac:dyDescent="0.25">
      <c r="A75" s="8"/>
      <c r="B75" s="8"/>
      <c r="C75" s="9"/>
      <c r="D75" s="12" t="s">
        <v>71</v>
      </c>
      <c r="E75" s="16">
        <v>3612836.0500000003</v>
      </c>
      <c r="F75" s="16">
        <v>990443.56274784007</v>
      </c>
      <c r="G75" s="16">
        <v>17928687.189999998</v>
      </c>
      <c r="H75" s="16">
        <v>0</v>
      </c>
      <c r="I75" s="13">
        <f t="shared" si="1"/>
        <v>22531966.802747838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4710037.0999999987</v>
      </c>
      <c r="H76" s="16">
        <v>0</v>
      </c>
      <c r="I76" s="13">
        <f t="shared" si="1"/>
        <v>4710037.0999999987</v>
      </c>
    </row>
    <row r="77" spans="1:9" ht="15.75" x14ac:dyDescent="0.25">
      <c r="A77" s="8"/>
      <c r="B77" s="8"/>
      <c r="C77" s="9"/>
      <c r="D77" s="12" t="s">
        <v>73</v>
      </c>
      <c r="E77" s="16">
        <v>4083441.13</v>
      </c>
      <c r="F77" s="16">
        <v>4911810.2491418999</v>
      </c>
      <c r="G77" s="16">
        <v>272174.59000000003</v>
      </c>
      <c r="H77" s="16">
        <v>0</v>
      </c>
      <c r="I77" s="13">
        <f t="shared" si="1"/>
        <v>9267425.9691419005</v>
      </c>
    </row>
    <row r="78" spans="1:9" ht="15.75" x14ac:dyDescent="0.25">
      <c r="A78" s="8"/>
      <c r="B78" s="8"/>
      <c r="C78" s="9"/>
      <c r="D78" s="12" t="s">
        <v>74</v>
      </c>
      <c r="E78" s="16">
        <v>8205789.8700000001</v>
      </c>
      <c r="F78" s="16">
        <v>4984418.8935677707</v>
      </c>
      <c r="G78" s="16">
        <v>499719.98999999993</v>
      </c>
      <c r="H78" s="16">
        <v>0</v>
      </c>
      <c r="I78" s="13">
        <f t="shared" si="1"/>
        <v>13689928.753567772</v>
      </c>
    </row>
    <row r="79" spans="1:9" ht="15.75" x14ac:dyDescent="0.25">
      <c r="A79" s="8"/>
      <c r="B79" s="8"/>
      <c r="C79" s="9"/>
      <c r="D79" s="12" t="s">
        <v>75</v>
      </c>
      <c r="E79" s="16">
        <v>9167169.1799999997</v>
      </c>
      <c r="F79" s="16">
        <v>2798702.9071185603</v>
      </c>
      <c r="G79" s="16">
        <v>590294.21</v>
      </c>
      <c r="H79" s="16">
        <v>0</v>
      </c>
      <c r="I79" s="13">
        <f t="shared" si="1"/>
        <v>12556166.297118559</v>
      </c>
    </row>
    <row r="80" spans="1:9" ht="15.75" x14ac:dyDescent="0.25">
      <c r="A80" s="8"/>
      <c r="B80" s="8"/>
      <c r="C80" s="9"/>
      <c r="D80" s="12" t="s">
        <v>76</v>
      </c>
      <c r="E80" s="16">
        <v>2873484.9800000009</v>
      </c>
      <c r="F80" s="16">
        <v>1479208.4652428103</v>
      </c>
      <c r="G80" s="16">
        <v>71069.030000000013</v>
      </c>
      <c r="H80" s="16">
        <v>0</v>
      </c>
      <c r="I80" s="13">
        <f t="shared" si="1"/>
        <v>4423762.4752428113</v>
      </c>
    </row>
    <row r="81" spans="1:9" ht="15.75" x14ac:dyDescent="0.25">
      <c r="A81" s="8"/>
      <c r="B81" s="8"/>
      <c r="C81" s="9"/>
      <c r="D81" s="12" t="s">
        <v>77</v>
      </c>
      <c r="E81" s="16">
        <v>22906435.790000007</v>
      </c>
      <c r="F81" s="16">
        <v>8925156.2165986802</v>
      </c>
      <c r="G81" s="16">
        <v>1152827.6999999997</v>
      </c>
      <c r="H81" s="16">
        <v>0</v>
      </c>
      <c r="I81" s="13">
        <f t="shared" si="1"/>
        <v>32984419.706598688</v>
      </c>
    </row>
    <row r="82" spans="1:9" ht="15.75" x14ac:dyDescent="0.25">
      <c r="A82" s="8"/>
      <c r="B82" s="8"/>
      <c r="C82" s="9"/>
      <c r="D82" s="12" t="s">
        <v>78</v>
      </c>
      <c r="E82" s="16">
        <v>28508879.220000003</v>
      </c>
      <c r="F82" s="16">
        <v>6186148.1961480901</v>
      </c>
      <c r="G82" s="16">
        <v>450841.56999999995</v>
      </c>
      <c r="H82" s="16">
        <v>0</v>
      </c>
      <c r="I82" s="13">
        <f t="shared" si="1"/>
        <v>35145868.986148097</v>
      </c>
    </row>
    <row r="83" spans="1:9" ht="15.75" x14ac:dyDescent="0.25">
      <c r="A83" s="8"/>
      <c r="B83" s="8"/>
      <c r="C83" s="9"/>
      <c r="D83" s="12" t="s">
        <v>79</v>
      </c>
      <c r="E83" s="16">
        <v>6144318.3100000005</v>
      </c>
      <c r="F83" s="16">
        <v>2540594.38109292</v>
      </c>
      <c r="G83" s="16">
        <v>734276.11999999988</v>
      </c>
      <c r="H83" s="16">
        <v>0</v>
      </c>
      <c r="I83" s="13">
        <f t="shared" si="1"/>
        <v>9419188.8110929187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6241528.3299999991</v>
      </c>
      <c r="H84" s="16">
        <v>0</v>
      </c>
      <c r="I84" s="13">
        <f t="shared" si="1"/>
        <v>6241528.3299999991</v>
      </c>
    </row>
    <row r="85" spans="1:9" ht="15.75" x14ac:dyDescent="0.25">
      <c r="A85" s="8"/>
      <c r="B85" s="8"/>
      <c r="C85" s="9"/>
      <c r="D85" s="12" t="s">
        <v>81</v>
      </c>
      <c r="E85" s="16">
        <v>6932313.0800000001</v>
      </c>
      <c r="F85" s="16">
        <v>790405.28934965993</v>
      </c>
      <c r="G85" s="16">
        <v>2585082.9099999997</v>
      </c>
      <c r="H85" s="16">
        <v>0</v>
      </c>
      <c r="I85" s="13">
        <f t="shared" si="1"/>
        <v>10307801.279349661</v>
      </c>
    </row>
    <row r="86" spans="1:9" ht="15.75" x14ac:dyDescent="0.25">
      <c r="A86" s="8"/>
      <c r="B86" s="8"/>
      <c r="C86" s="9"/>
      <c r="D86" s="12" t="s">
        <v>82</v>
      </c>
      <c r="E86" s="16">
        <v>4586461.79</v>
      </c>
      <c r="F86" s="16">
        <v>3282635.5647750897</v>
      </c>
      <c r="G86" s="16">
        <v>267608.20999999996</v>
      </c>
      <c r="H86" s="16">
        <v>0</v>
      </c>
      <c r="I86" s="13">
        <f t="shared" si="1"/>
        <v>8136705.5647750897</v>
      </c>
    </row>
    <row r="87" spans="1:9" ht="15.75" x14ac:dyDescent="0.25">
      <c r="A87" s="8"/>
      <c r="B87" s="8"/>
      <c r="C87" s="9"/>
      <c r="D87" s="12" t="s">
        <v>83</v>
      </c>
      <c r="E87" s="16">
        <v>3118132.25</v>
      </c>
      <c r="F87" s="16">
        <v>4323067.8672309304</v>
      </c>
      <c r="G87" s="16">
        <v>190022.16</v>
      </c>
      <c r="H87" s="16">
        <v>0</v>
      </c>
      <c r="I87" s="13">
        <f t="shared" si="1"/>
        <v>7631222.2772309305</v>
      </c>
    </row>
    <row r="88" spans="1:9" ht="15.75" x14ac:dyDescent="0.25">
      <c r="A88" s="8"/>
      <c r="B88" s="8"/>
      <c r="C88" s="9"/>
      <c r="D88" s="12" t="s">
        <v>84</v>
      </c>
      <c r="E88" s="16">
        <v>1872661.23</v>
      </c>
      <c r="F88" s="16">
        <v>0</v>
      </c>
      <c r="G88" s="16">
        <v>2182104.0099999998</v>
      </c>
      <c r="H88" s="16">
        <v>0</v>
      </c>
      <c r="I88" s="13">
        <f t="shared" si="1"/>
        <v>4054765.2399999998</v>
      </c>
    </row>
    <row r="89" spans="1:9" ht="15.75" x14ac:dyDescent="0.25">
      <c r="A89" s="8"/>
      <c r="B89" s="8"/>
      <c r="C89" s="9"/>
      <c r="D89" s="12" t="s">
        <v>85</v>
      </c>
      <c r="E89" s="16">
        <v>4672096.93</v>
      </c>
      <c r="F89" s="16">
        <v>4239170.0990876704</v>
      </c>
      <c r="G89" s="16">
        <v>420089.29</v>
      </c>
      <c r="H89" s="16">
        <v>0</v>
      </c>
      <c r="I89" s="13">
        <f t="shared" si="1"/>
        <v>9331356.3190876693</v>
      </c>
    </row>
    <row r="90" spans="1:9" ht="15.75" x14ac:dyDescent="0.25">
      <c r="A90" s="8"/>
      <c r="B90" s="8"/>
      <c r="C90" s="9"/>
      <c r="D90" s="12" t="s">
        <v>86</v>
      </c>
      <c r="E90" s="16">
        <v>1695293.1200000006</v>
      </c>
      <c r="F90" s="16">
        <v>1096877.9210427899</v>
      </c>
      <c r="G90" s="16">
        <v>473790.74</v>
      </c>
      <c r="H90" s="16">
        <v>0</v>
      </c>
      <c r="I90" s="13">
        <f t="shared" si="1"/>
        <v>3265961.781042791</v>
      </c>
    </row>
    <row r="91" spans="1:9" ht="15.75" x14ac:dyDescent="0.25">
      <c r="A91" s="8"/>
      <c r="B91" s="8"/>
      <c r="C91" s="9"/>
      <c r="D91" s="12" t="s">
        <v>87</v>
      </c>
      <c r="E91" s="16">
        <v>4852272.4899999993</v>
      </c>
      <c r="F91" s="16">
        <v>2501894.7651023101</v>
      </c>
      <c r="G91" s="16">
        <v>1199572.6399999999</v>
      </c>
      <c r="H91" s="16">
        <v>0</v>
      </c>
      <c r="I91" s="13">
        <f t="shared" si="1"/>
        <v>8553739.8951023091</v>
      </c>
    </row>
    <row r="92" spans="1:9" ht="15.75" x14ac:dyDescent="0.25">
      <c r="A92" s="8"/>
      <c r="B92" s="8"/>
      <c r="C92" s="9"/>
      <c r="D92" s="12" t="s">
        <v>88</v>
      </c>
      <c r="E92" s="16">
        <v>611906.56000000017</v>
      </c>
      <c r="F92" s="16">
        <v>345213.90496682998</v>
      </c>
      <c r="G92" s="16">
        <v>2621560.7200000002</v>
      </c>
      <c r="H92" s="16">
        <v>0</v>
      </c>
      <c r="I92" s="13">
        <f t="shared" si="1"/>
        <v>3578681.1849668305</v>
      </c>
    </row>
    <row r="93" spans="1:9" ht="15.75" x14ac:dyDescent="0.25">
      <c r="A93" s="8"/>
      <c r="B93" s="8"/>
      <c r="C93" s="9"/>
      <c r="D93" s="12" t="s">
        <v>89</v>
      </c>
      <c r="E93" s="16">
        <v>8664021.3600000013</v>
      </c>
      <c r="F93" s="16">
        <v>2797078.27307805</v>
      </c>
      <c r="G93" s="16">
        <v>289240.01</v>
      </c>
      <c r="H93" s="16">
        <v>0</v>
      </c>
      <c r="I93" s="13">
        <f t="shared" si="1"/>
        <v>11750339.643078052</v>
      </c>
    </row>
    <row r="94" spans="1:9" ht="15.75" x14ac:dyDescent="0.25">
      <c r="A94" s="8"/>
      <c r="B94" s="8"/>
      <c r="C94" s="9"/>
      <c r="D94" s="12" t="s">
        <v>90</v>
      </c>
      <c r="E94" s="16">
        <v>83068.649999999994</v>
      </c>
      <c r="F94" s="16">
        <v>0</v>
      </c>
      <c r="G94" s="16">
        <v>174714.66000000003</v>
      </c>
      <c r="H94" s="16">
        <v>0</v>
      </c>
      <c r="I94" s="13">
        <f t="shared" si="1"/>
        <v>257783.31000000003</v>
      </c>
    </row>
    <row r="95" spans="1:9" ht="15.75" x14ac:dyDescent="0.25">
      <c r="A95" s="8"/>
      <c r="B95" s="8"/>
      <c r="C95" s="9"/>
      <c r="D95" s="12" t="s">
        <v>91</v>
      </c>
      <c r="E95" s="16">
        <v>693891.17999999993</v>
      </c>
      <c r="F95" s="16">
        <v>88730.012981699998</v>
      </c>
      <c r="G95" s="16">
        <v>2358923.21</v>
      </c>
      <c r="H95" s="16">
        <v>0</v>
      </c>
      <c r="I95" s="13">
        <f t="shared" si="1"/>
        <v>3141544.4029816999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5656741.6500000004</v>
      </c>
      <c r="H96" s="16">
        <v>0</v>
      </c>
      <c r="I96" s="13">
        <f t="shared" si="1"/>
        <v>5656741.6500000004</v>
      </c>
    </row>
    <row r="97" spans="1:9" ht="15.75" x14ac:dyDescent="0.25">
      <c r="A97" s="8"/>
      <c r="B97" s="8"/>
      <c r="C97" s="9"/>
      <c r="D97" s="12" t="s">
        <v>93</v>
      </c>
      <c r="E97" s="16">
        <v>3028145.4799999995</v>
      </c>
      <c r="F97" s="16">
        <v>3984310.8411430502</v>
      </c>
      <c r="G97" s="16">
        <v>363692.49000000005</v>
      </c>
      <c r="H97" s="16">
        <v>0</v>
      </c>
      <c r="I97" s="13">
        <f t="shared" si="1"/>
        <v>7376148.81114305</v>
      </c>
    </row>
    <row r="98" spans="1:9" ht="15.75" x14ac:dyDescent="0.25">
      <c r="A98" s="8"/>
      <c r="B98" s="8"/>
      <c r="C98" s="9"/>
      <c r="D98" s="12" t="s">
        <v>94</v>
      </c>
      <c r="E98" s="16">
        <v>11927958.130000001</v>
      </c>
      <c r="F98" s="16">
        <v>5240902.7855529003</v>
      </c>
      <c r="G98" s="16">
        <v>2628926.4299999992</v>
      </c>
      <c r="H98" s="16">
        <v>0</v>
      </c>
      <c r="I98" s="13">
        <f t="shared" si="1"/>
        <v>19797787.345552899</v>
      </c>
    </row>
    <row r="99" spans="1:9" ht="15.75" x14ac:dyDescent="0.25">
      <c r="A99" s="8"/>
      <c r="B99" s="8"/>
      <c r="C99" s="9"/>
      <c r="D99" s="12" t="s">
        <v>95</v>
      </c>
      <c r="E99" s="16">
        <v>16647305.810000001</v>
      </c>
      <c r="F99" s="16">
        <v>9986583.7897318806</v>
      </c>
      <c r="G99" s="16">
        <v>1216166.03</v>
      </c>
      <c r="H99" s="16">
        <v>0</v>
      </c>
      <c r="I99" s="13">
        <f t="shared" si="1"/>
        <v>27850055.629731882</v>
      </c>
    </row>
    <row r="100" spans="1:9" ht="15.75" x14ac:dyDescent="0.25">
      <c r="A100" s="8"/>
      <c r="B100" s="8"/>
      <c r="C100" s="9"/>
      <c r="D100" s="12" t="s">
        <v>96</v>
      </c>
      <c r="E100" s="16">
        <v>16124802.42</v>
      </c>
      <c r="F100" s="16">
        <v>9991416.0345703214</v>
      </c>
      <c r="G100" s="16">
        <v>2204061.54</v>
      </c>
      <c r="H100" s="16">
        <v>0</v>
      </c>
      <c r="I100" s="13">
        <f t="shared" si="1"/>
        <v>28320279.994570322</v>
      </c>
    </row>
    <row r="101" spans="1:9" ht="15.75" x14ac:dyDescent="0.25">
      <c r="A101" s="8"/>
      <c r="B101" s="8"/>
      <c r="C101" s="9"/>
      <c r="D101" s="12" t="s">
        <v>97</v>
      </c>
      <c r="E101" s="16">
        <v>516828.87999999989</v>
      </c>
      <c r="F101" s="16">
        <v>13407813.135347402</v>
      </c>
      <c r="G101" s="16">
        <v>26938.230000000003</v>
      </c>
      <c r="H101" s="16">
        <v>0</v>
      </c>
      <c r="I101" s="13">
        <f t="shared" si="1"/>
        <v>13951580.245347403</v>
      </c>
    </row>
    <row r="102" spans="1:9" ht="15.75" x14ac:dyDescent="0.25">
      <c r="A102" s="8"/>
      <c r="B102" s="8"/>
      <c r="C102" s="9"/>
      <c r="D102" s="12" t="s">
        <v>98</v>
      </c>
      <c r="E102" s="16">
        <v>18540027.750000007</v>
      </c>
      <c r="F102" s="16">
        <v>5765159.6932405513</v>
      </c>
      <c r="G102" s="16">
        <v>1012663.8500000001</v>
      </c>
      <c r="H102" s="16">
        <v>0</v>
      </c>
      <c r="I102" s="13">
        <f t="shared" si="1"/>
        <v>25317851.293240562</v>
      </c>
    </row>
    <row r="103" spans="1:9" ht="15.75" x14ac:dyDescent="0.25">
      <c r="A103" s="8"/>
      <c r="B103" s="8"/>
      <c r="C103" s="9"/>
      <c r="D103" s="12" t="s">
        <v>99</v>
      </c>
      <c r="E103" s="16">
        <v>5892272.9799999995</v>
      </c>
      <c r="F103" s="16">
        <v>1830837.5918055</v>
      </c>
      <c r="G103" s="16">
        <v>274598.81999999995</v>
      </c>
      <c r="H103" s="16">
        <v>0</v>
      </c>
      <c r="I103" s="13">
        <f t="shared" si="1"/>
        <v>7997709.3918054998</v>
      </c>
    </row>
    <row r="104" spans="1:9" ht="15.75" x14ac:dyDescent="0.25">
      <c r="A104" s="8"/>
      <c r="B104" s="8"/>
      <c r="C104" s="9"/>
      <c r="D104" s="12" t="s">
        <v>100</v>
      </c>
      <c r="E104" s="16">
        <v>30064419.619999997</v>
      </c>
      <c r="F104" s="16">
        <v>3345538.0622409903</v>
      </c>
      <c r="G104" s="16">
        <v>2734581.31</v>
      </c>
      <c r="H104" s="16">
        <v>0</v>
      </c>
      <c r="I104" s="13">
        <f t="shared" si="1"/>
        <v>36144538.992240988</v>
      </c>
    </row>
    <row r="105" spans="1:9" ht="15.75" x14ac:dyDescent="0.25">
      <c r="A105" s="8"/>
      <c r="B105" s="8"/>
      <c r="C105" s="9"/>
      <c r="D105" s="12" t="s">
        <v>101</v>
      </c>
      <c r="E105" s="16">
        <v>3762355.8199999994</v>
      </c>
      <c r="F105" s="16">
        <v>4968297.5250119409</v>
      </c>
      <c r="G105" s="16">
        <v>27514.84</v>
      </c>
      <c r="H105" s="16">
        <v>0</v>
      </c>
      <c r="I105" s="13">
        <f t="shared" si="1"/>
        <v>8758168.1850119401</v>
      </c>
    </row>
    <row r="106" spans="1:9" ht="15.75" x14ac:dyDescent="0.25">
      <c r="A106" s="8"/>
      <c r="B106" s="8"/>
      <c r="C106" s="9"/>
      <c r="D106" s="12" t="s">
        <v>102</v>
      </c>
      <c r="E106" s="16">
        <v>6660992.8600000003</v>
      </c>
      <c r="F106" s="16">
        <v>306472.63169312995</v>
      </c>
      <c r="G106" s="16">
        <v>3633992.4400000004</v>
      </c>
      <c r="H106" s="16">
        <v>0</v>
      </c>
      <c r="I106" s="13">
        <f t="shared" si="1"/>
        <v>10601457.931693131</v>
      </c>
    </row>
    <row r="107" spans="1:9" ht="15.75" x14ac:dyDescent="0.25">
      <c r="A107" s="8"/>
      <c r="B107" s="8"/>
      <c r="C107" s="9"/>
      <c r="D107" s="12" t="s">
        <v>103</v>
      </c>
      <c r="E107" s="16">
        <v>2788.6099999999997</v>
      </c>
      <c r="F107" s="16">
        <v>0</v>
      </c>
      <c r="G107" s="16">
        <v>820487.6</v>
      </c>
      <c r="H107" s="16">
        <v>0</v>
      </c>
      <c r="I107" s="13">
        <f t="shared" si="1"/>
        <v>823276.21</v>
      </c>
    </row>
    <row r="108" spans="1:9" ht="15.75" x14ac:dyDescent="0.25">
      <c r="A108" s="8"/>
      <c r="B108" s="8"/>
      <c r="C108" s="9"/>
      <c r="D108" s="12" t="s">
        <v>104</v>
      </c>
      <c r="E108" s="16">
        <v>838833.17999999993</v>
      </c>
      <c r="F108" s="16">
        <v>0</v>
      </c>
      <c r="G108" s="16">
        <v>381314.14999999997</v>
      </c>
      <c r="H108" s="16">
        <v>0</v>
      </c>
      <c r="I108" s="13">
        <f t="shared" si="1"/>
        <v>1220147.3299999998</v>
      </c>
    </row>
    <row r="109" spans="1:9" ht="15.75" x14ac:dyDescent="0.25">
      <c r="A109" s="8"/>
      <c r="B109" s="8"/>
      <c r="C109" s="9"/>
      <c r="D109" s="12" t="s">
        <v>105</v>
      </c>
      <c r="E109" s="16">
        <v>2116761.88</v>
      </c>
      <c r="F109" s="16">
        <v>7991199.9297208805</v>
      </c>
      <c r="G109" s="16">
        <v>246510.63999999996</v>
      </c>
      <c r="H109" s="16">
        <v>0</v>
      </c>
      <c r="I109" s="13">
        <f t="shared" si="1"/>
        <v>10354472.449720882</v>
      </c>
    </row>
    <row r="110" spans="1:9" ht="15.75" x14ac:dyDescent="0.25">
      <c r="A110" s="8"/>
      <c r="B110" s="8"/>
      <c r="C110" s="9"/>
      <c r="D110" s="12" t="s">
        <v>106</v>
      </c>
      <c r="E110" s="16">
        <v>2454699.7999999998</v>
      </c>
      <c r="F110" s="16">
        <v>1963099.4656162502</v>
      </c>
      <c r="G110" s="16">
        <v>287375.12</v>
      </c>
      <c r="H110" s="16">
        <v>0</v>
      </c>
      <c r="I110" s="13">
        <f t="shared" si="1"/>
        <v>4705174.3856162503</v>
      </c>
    </row>
    <row r="111" spans="1:9" ht="15.75" x14ac:dyDescent="0.25">
      <c r="A111" s="8"/>
      <c r="B111" s="8"/>
      <c r="C111" s="9"/>
      <c r="D111" s="12" t="s">
        <v>107</v>
      </c>
      <c r="E111" s="16">
        <v>56176.770000000004</v>
      </c>
      <c r="F111" s="16">
        <v>30659.760354239999</v>
      </c>
      <c r="G111" s="16">
        <v>7249888.9000000004</v>
      </c>
      <c r="H111" s="16">
        <v>0</v>
      </c>
      <c r="I111" s="13">
        <f t="shared" si="1"/>
        <v>7336725.4303542404</v>
      </c>
    </row>
    <row r="112" spans="1:9" ht="15.75" x14ac:dyDescent="0.25">
      <c r="A112" s="8"/>
      <c r="B112" s="8"/>
      <c r="C112" s="9"/>
      <c r="D112" s="12" t="s">
        <v>108</v>
      </c>
      <c r="E112" s="16">
        <v>9364747.3900000006</v>
      </c>
      <c r="F112" s="16">
        <v>2096985.9734675102</v>
      </c>
      <c r="G112" s="16">
        <v>528679.55999999994</v>
      </c>
      <c r="H112" s="16">
        <v>0</v>
      </c>
      <c r="I112" s="13">
        <f t="shared" si="1"/>
        <v>11990412.923467511</v>
      </c>
    </row>
    <row r="113" spans="1:9" ht="15.75" x14ac:dyDescent="0.25">
      <c r="A113" s="8"/>
      <c r="B113" s="8"/>
      <c r="C113" s="9"/>
      <c r="D113" s="12" t="s">
        <v>109</v>
      </c>
      <c r="E113" s="16">
        <v>6240889.6299999999</v>
      </c>
      <c r="F113" s="16">
        <v>5048946.0250741811</v>
      </c>
      <c r="G113" s="16">
        <v>380993.00000000006</v>
      </c>
      <c r="H113" s="16">
        <v>0</v>
      </c>
      <c r="I113" s="13">
        <f t="shared" si="1"/>
        <v>11670828.655074181</v>
      </c>
    </row>
    <row r="114" spans="1:9" ht="15.75" x14ac:dyDescent="0.25">
      <c r="A114" s="8"/>
      <c r="B114" s="8"/>
      <c r="C114" s="9"/>
      <c r="D114" s="12" t="s">
        <v>110</v>
      </c>
      <c r="E114" s="16">
        <v>15208748.250000004</v>
      </c>
      <c r="F114" s="16">
        <v>5790945.5514732609</v>
      </c>
      <c r="G114" s="16">
        <v>727883.94000000006</v>
      </c>
      <c r="H114" s="16">
        <v>0</v>
      </c>
      <c r="I114" s="13">
        <f t="shared" si="1"/>
        <v>21727577.741473265</v>
      </c>
    </row>
    <row r="115" spans="1:9" ht="15.75" x14ac:dyDescent="0.25">
      <c r="A115" s="8"/>
      <c r="B115" s="8"/>
      <c r="C115" s="9"/>
      <c r="D115" s="12" t="s">
        <v>111</v>
      </c>
      <c r="E115" s="16">
        <v>24377619.459999997</v>
      </c>
      <c r="F115" s="16">
        <v>2863230.0386249702</v>
      </c>
      <c r="G115" s="16">
        <v>1182965.3499999999</v>
      </c>
      <c r="H115" s="16">
        <v>0</v>
      </c>
      <c r="I115" s="13">
        <f t="shared" si="1"/>
        <v>28423814.848624967</v>
      </c>
    </row>
    <row r="116" spans="1:9" ht="15.75" x14ac:dyDescent="0.25">
      <c r="A116" s="8"/>
      <c r="B116" s="8"/>
      <c r="C116" s="9"/>
      <c r="D116" s="12" t="s">
        <v>112</v>
      </c>
      <c r="E116" s="16">
        <v>4710212.3800000008</v>
      </c>
      <c r="F116" s="16">
        <v>3718162.4594810405</v>
      </c>
      <c r="G116" s="16">
        <v>304236.79999999993</v>
      </c>
      <c r="H116" s="16">
        <v>0</v>
      </c>
      <c r="I116" s="13">
        <f t="shared" si="1"/>
        <v>8732611.6394810416</v>
      </c>
    </row>
    <row r="117" spans="1:9" ht="15.75" x14ac:dyDescent="0.25">
      <c r="A117" s="8"/>
      <c r="B117" s="8"/>
      <c r="C117" s="9"/>
      <c r="D117" s="12" t="s">
        <v>113</v>
      </c>
      <c r="E117" s="16">
        <v>4500858.2699999996</v>
      </c>
      <c r="F117" s="16">
        <v>2871269.8942613401</v>
      </c>
      <c r="G117" s="16">
        <v>682336.13</v>
      </c>
      <c r="H117" s="16">
        <v>0</v>
      </c>
      <c r="I117" s="13">
        <f t="shared" si="1"/>
        <v>8054464.2942613391</v>
      </c>
    </row>
    <row r="118" spans="1:9" ht="15.75" x14ac:dyDescent="0.25">
      <c r="A118" s="8"/>
      <c r="B118" s="8"/>
      <c r="C118" s="9"/>
      <c r="D118" s="12" t="s">
        <v>114</v>
      </c>
      <c r="E118" s="16">
        <v>7008083.2999999989</v>
      </c>
      <c r="F118" s="16">
        <v>4484364.86735541</v>
      </c>
      <c r="G118" s="16">
        <v>732633.11999999988</v>
      </c>
      <c r="H118" s="16">
        <v>0</v>
      </c>
      <c r="I118" s="13">
        <f t="shared" si="1"/>
        <v>12225081.287355408</v>
      </c>
    </row>
    <row r="119" spans="1:9" ht="15.75" x14ac:dyDescent="0.25">
      <c r="A119" s="8"/>
      <c r="B119" s="8"/>
      <c r="C119" s="9"/>
      <c r="D119" s="12" t="s">
        <v>115</v>
      </c>
      <c r="E119" s="16">
        <v>1654982.18</v>
      </c>
      <c r="F119" s="16">
        <v>435526.89470594999</v>
      </c>
      <c r="G119" s="16">
        <v>436626.83999999997</v>
      </c>
      <c r="H119" s="16">
        <v>0</v>
      </c>
      <c r="I119" s="13">
        <f t="shared" si="1"/>
        <v>2527135.9147059498</v>
      </c>
    </row>
    <row r="120" spans="1:9" ht="15.75" x14ac:dyDescent="0.25">
      <c r="A120" s="8"/>
      <c r="B120" s="8"/>
      <c r="C120" s="9"/>
      <c r="D120" s="12" t="s">
        <v>116</v>
      </c>
      <c r="E120" s="16">
        <v>20003280.709999997</v>
      </c>
      <c r="F120" s="16">
        <v>1903446.2362313704</v>
      </c>
      <c r="G120" s="16">
        <v>832080.45</v>
      </c>
      <c r="H120" s="16">
        <v>0</v>
      </c>
      <c r="I120" s="13">
        <f t="shared" si="1"/>
        <v>22738807.396231368</v>
      </c>
    </row>
    <row r="121" spans="1:9" ht="15.75" x14ac:dyDescent="0.25">
      <c r="A121" s="8"/>
      <c r="B121" s="8"/>
      <c r="C121" s="9"/>
      <c r="D121" s="12" t="s">
        <v>117</v>
      </c>
      <c r="E121" s="16">
        <v>7429041.2899999991</v>
      </c>
      <c r="F121" s="16">
        <v>2824488.7653512699</v>
      </c>
      <c r="G121" s="16">
        <v>569481.97999999986</v>
      </c>
      <c r="H121" s="16">
        <v>0</v>
      </c>
      <c r="I121" s="13">
        <f t="shared" si="1"/>
        <v>10823012.035351269</v>
      </c>
    </row>
    <row r="122" spans="1:9" ht="15.75" x14ac:dyDescent="0.25">
      <c r="A122" s="8"/>
      <c r="B122" s="8"/>
      <c r="C122" s="9"/>
      <c r="D122" s="12" t="s">
        <v>118</v>
      </c>
      <c r="E122" s="16">
        <v>8223416.8499999987</v>
      </c>
      <c r="F122" s="16">
        <v>2082489.2389521901</v>
      </c>
      <c r="G122" s="16">
        <v>719369.48999999987</v>
      </c>
      <c r="H122" s="16">
        <v>0</v>
      </c>
      <c r="I122" s="13">
        <f t="shared" si="1"/>
        <v>11025275.57895219</v>
      </c>
    </row>
    <row r="123" spans="1:9" ht="15.75" x14ac:dyDescent="0.25">
      <c r="A123" s="8"/>
      <c r="B123" s="8"/>
      <c r="C123" s="9"/>
      <c r="D123" s="12" t="s">
        <v>119</v>
      </c>
      <c r="E123" s="16">
        <v>8647007.0799999982</v>
      </c>
      <c r="F123" s="16">
        <v>3826221.4518165002</v>
      </c>
      <c r="G123" s="16">
        <v>277370.74</v>
      </c>
      <c r="H123" s="16">
        <v>0</v>
      </c>
      <c r="I123" s="13">
        <f t="shared" si="1"/>
        <v>12750599.271816498</v>
      </c>
    </row>
    <row r="124" spans="1:9" ht="15.75" x14ac:dyDescent="0.25">
      <c r="A124" s="8"/>
      <c r="B124" s="8"/>
      <c r="C124" s="9"/>
      <c r="D124" s="12" t="s">
        <v>120</v>
      </c>
      <c r="E124" s="16">
        <v>208751.84</v>
      </c>
      <c r="F124" s="16">
        <v>0</v>
      </c>
      <c r="G124" s="16">
        <v>2045850.0199999998</v>
      </c>
      <c r="H124" s="16">
        <v>656055.68999999994</v>
      </c>
      <c r="I124" s="13">
        <f t="shared" si="1"/>
        <v>2910657.55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6348631.75</v>
      </c>
      <c r="H125" s="16">
        <v>83284.98000000001</v>
      </c>
      <c r="I125" s="13">
        <f t="shared" si="1"/>
        <v>6431916.7300000004</v>
      </c>
    </row>
    <row r="126" spans="1:9" ht="15.75" x14ac:dyDescent="0.25">
      <c r="A126" s="8"/>
      <c r="B126" s="8"/>
      <c r="C126" s="9"/>
      <c r="D126" s="12" t="s">
        <v>122</v>
      </c>
      <c r="E126" s="16">
        <v>84340.120000000024</v>
      </c>
      <c r="F126" s="16">
        <v>0</v>
      </c>
      <c r="G126" s="16">
        <v>2731909.14</v>
      </c>
      <c r="H126" s="16">
        <v>0</v>
      </c>
      <c r="I126" s="13">
        <f t="shared" si="1"/>
        <v>2816249.2600000002</v>
      </c>
    </row>
    <row r="127" spans="1:9" ht="15.75" x14ac:dyDescent="0.25">
      <c r="A127" s="8"/>
      <c r="B127" s="8"/>
      <c r="C127" s="9"/>
      <c r="D127" s="12" t="s">
        <v>123</v>
      </c>
      <c r="E127" s="16">
        <v>4764165.5600000005</v>
      </c>
      <c r="F127" s="16">
        <v>806526.65790549002</v>
      </c>
      <c r="G127" s="16">
        <v>12581610.720000001</v>
      </c>
      <c r="H127" s="16">
        <v>0</v>
      </c>
      <c r="I127" s="13">
        <f t="shared" si="1"/>
        <v>18152302.93790549</v>
      </c>
    </row>
    <row r="128" spans="1:9" ht="15.75" x14ac:dyDescent="0.25">
      <c r="A128" s="8"/>
      <c r="B128" s="8"/>
      <c r="C128" s="9"/>
      <c r="D128" s="12" t="s">
        <v>124</v>
      </c>
      <c r="E128" s="16">
        <v>9538048.1400000025</v>
      </c>
      <c r="F128" s="16">
        <v>2516391.4996176302</v>
      </c>
      <c r="G128" s="16">
        <v>999678.7</v>
      </c>
      <c r="H128" s="16">
        <v>0</v>
      </c>
      <c r="I128" s="13">
        <f t="shared" si="1"/>
        <v>13054118.339617632</v>
      </c>
    </row>
    <row r="129" spans="1:9" ht="15.75" x14ac:dyDescent="0.25">
      <c r="A129" s="8"/>
      <c r="B129" s="8"/>
      <c r="C129" s="9"/>
      <c r="D129" s="12" t="s">
        <v>125</v>
      </c>
      <c r="E129" s="16">
        <v>2999508.0599999996</v>
      </c>
      <c r="F129" s="16">
        <v>1217892.3284192402</v>
      </c>
      <c r="G129" s="16">
        <v>595358.99000000011</v>
      </c>
      <c r="H129" s="16">
        <v>0</v>
      </c>
      <c r="I129" s="13">
        <f t="shared" si="1"/>
        <v>4812759.37841924</v>
      </c>
    </row>
    <row r="130" spans="1:9" ht="15.75" x14ac:dyDescent="0.25">
      <c r="A130" s="8"/>
      <c r="B130" s="8"/>
      <c r="C130" s="9"/>
      <c r="D130" s="12" t="s">
        <v>126</v>
      </c>
      <c r="E130" s="16">
        <v>2705807.1399999997</v>
      </c>
      <c r="F130" s="16">
        <v>2145391.7364180898</v>
      </c>
      <c r="G130" s="16">
        <v>283359.18000000005</v>
      </c>
      <c r="H130" s="16">
        <v>0</v>
      </c>
      <c r="I130" s="13">
        <f t="shared" si="1"/>
        <v>5134558.0564180892</v>
      </c>
    </row>
    <row r="131" spans="1:9" ht="15.75" x14ac:dyDescent="0.25">
      <c r="A131" s="8"/>
      <c r="B131" s="8"/>
      <c r="C131" s="9"/>
      <c r="D131" s="12" t="s">
        <v>127</v>
      </c>
      <c r="E131" s="16">
        <v>26303246.359999999</v>
      </c>
      <c r="F131" s="16">
        <v>11725483.757757751</v>
      </c>
      <c r="G131" s="16">
        <v>4785968.8699999992</v>
      </c>
      <c r="H131" s="16">
        <v>0</v>
      </c>
      <c r="I131" s="13">
        <f t="shared" si="1"/>
        <v>42814698.98775775</v>
      </c>
    </row>
    <row r="132" spans="1:9" ht="15.75" x14ac:dyDescent="0.25">
      <c r="A132" s="8"/>
      <c r="B132" s="8"/>
      <c r="C132" s="9"/>
      <c r="D132" s="12" t="s">
        <v>128</v>
      </c>
      <c r="E132" s="16">
        <v>5110209.0500000007</v>
      </c>
      <c r="F132" s="16">
        <v>7194337.761492271</v>
      </c>
      <c r="G132" s="16">
        <v>156536.11000000002</v>
      </c>
      <c r="H132" s="16">
        <v>0</v>
      </c>
      <c r="I132" s="13">
        <f t="shared" si="1"/>
        <v>12461082.921492271</v>
      </c>
    </row>
    <row r="133" spans="1:9" ht="15.75" x14ac:dyDescent="0.25">
      <c r="A133" s="8"/>
      <c r="B133" s="8"/>
      <c r="C133" s="9"/>
      <c r="D133" s="12" t="s">
        <v>129</v>
      </c>
      <c r="E133" s="16">
        <v>3809259.14</v>
      </c>
      <c r="F133" s="16">
        <v>0</v>
      </c>
      <c r="G133" s="16">
        <v>5456091.9500000002</v>
      </c>
      <c r="H133" s="16">
        <v>551060.53500000003</v>
      </c>
      <c r="I133" s="13">
        <f t="shared" si="1"/>
        <v>9816411.625</v>
      </c>
    </row>
    <row r="134" spans="1:9" ht="15.75" x14ac:dyDescent="0.25">
      <c r="A134" s="8"/>
      <c r="B134" s="8"/>
      <c r="C134" s="9"/>
      <c r="D134" s="12" t="s">
        <v>130</v>
      </c>
      <c r="E134" s="16">
        <v>1048342.6400000001</v>
      </c>
      <c r="F134" s="16">
        <v>354878.39464370999</v>
      </c>
      <c r="G134" s="16">
        <v>20465.590000000004</v>
      </c>
      <c r="H134" s="16">
        <v>0</v>
      </c>
      <c r="I134" s="13">
        <f t="shared" si="1"/>
        <v>1423686.6246437102</v>
      </c>
    </row>
    <row r="135" spans="1:9" ht="15.75" x14ac:dyDescent="0.25">
      <c r="A135" s="8"/>
      <c r="B135" s="8"/>
      <c r="C135" s="9"/>
      <c r="D135" s="12" t="s">
        <v>131</v>
      </c>
      <c r="E135" s="16">
        <v>3137919.0399999996</v>
      </c>
      <c r="F135" s="16">
        <v>4484364.86735541</v>
      </c>
      <c r="G135" s="16">
        <v>180830.21999999997</v>
      </c>
      <c r="H135" s="16">
        <v>0</v>
      </c>
      <c r="I135" s="13">
        <f t="shared" si="1"/>
        <v>7803114.1273554089</v>
      </c>
    </row>
    <row r="136" spans="1:9" ht="15.75" x14ac:dyDescent="0.25">
      <c r="A136" s="8"/>
      <c r="B136" s="8"/>
      <c r="C136" s="9"/>
      <c r="D136" s="12" t="s">
        <v>132</v>
      </c>
      <c r="E136" s="16">
        <v>20511400.700000007</v>
      </c>
      <c r="F136" s="16">
        <v>5419945.7882737201</v>
      </c>
      <c r="G136" s="16">
        <v>2275042.46</v>
      </c>
      <c r="H136" s="16">
        <v>0</v>
      </c>
      <c r="I136" s="13">
        <f t="shared" si="1"/>
        <v>28206388.948273726</v>
      </c>
    </row>
    <row r="137" spans="1:9" ht="15.75" x14ac:dyDescent="0.25">
      <c r="A137" s="8"/>
      <c r="B137" s="8"/>
      <c r="C137" s="9"/>
      <c r="D137" s="12" t="s">
        <v>133</v>
      </c>
      <c r="E137" s="16">
        <v>23554370.41</v>
      </c>
      <c r="F137" s="16">
        <v>8521913.7162874807</v>
      </c>
      <c r="G137" s="16">
        <v>2232498.6999999997</v>
      </c>
      <c r="H137" s="16">
        <v>0</v>
      </c>
      <c r="I137" s="13">
        <f t="shared" si="1"/>
        <v>34308782.826287486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4102065.0700000008</v>
      </c>
      <c r="H138" s="16">
        <v>0</v>
      </c>
      <c r="I138" s="13">
        <f t="shared" ref="I138:I144" si="2">SUM(E138:H138)</f>
        <v>4102065.0700000008</v>
      </c>
    </row>
    <row r="139" spans="1:9" ht="15.75" x14ac:dyDescent="0.25">
      <c r="A139" s="8"/>
      <c r="B139" s="8"/>
      <c r="C139" s="9"/>
      <c r="D139" s="12" t="s">
        <v>135</v>
      </c>
      <c r="E139" s="16">
        <v>3041642.8</v>
      </c>
      <c r="F139" s="16">
        <v>1275962.5810467</v>
      </c>
      <c r="G139" s="16">
        <v>416960.93000000005</v>
      </c>
      <c r="H139" s="16">
        <v>0</v>
      </c>
      <c r="I139" s="13">
        <f t="shared" si="2"/>
        <v>4734566.3110466991</v>
      </c>
    </row>
    <row r="140" spans="1:9" ht="15.75" x14ac:dyDescent="0.25">
      <c r="A140" s="8"/>
      <c r="B140" s="8"/>
      <c r="C140" s="9"/>
      <c r="D140" s="12" t="s">
        <v>136</v>
      </c>
      <c r="E140" s="16">
        <v>12654824.929999998</v>
      </c>
      <c r="F140" s="16">
        <v>9049378.2347730622</v>
      </c>
      <c r="G140" s="16">
        <v>1398737.65</v>
      </c>
      <c r="H140" s="16">
        <v>0</v>
      </c>
      <c r="I140" s="13">
        <f t="shared" si="2"/>
        <v>23102940.81477306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4954120.8099999996</v>
      </c>
      <c r="H141" s="16">
        <v>32418.22</v>
      </c>
      <c r="I141" s="13">
        <f t="shared" si="2"/>
        <v>4986539.0299999993</v>
      </c>
    </row>
    <row r="142" spans="1:9" ht="15.75" x14ac:dyDescent="0.25">
      <c r="A142" s="8"/>
      <c r="B142" s="8"/>
      <c r="C142" s="9"/>
      <c r="D142" s="12" t="s">
        <v>138</v>
      </c>
      <c r="E142" s="16">
        <v>67117.64</v>
      </c>
      <c r="F142" s="16">
        <v>0</v>
      </c>
      <c r="G142" s="16">
        <v>526994.49999999988</v>
      </c>
      <c r="H142" s="16">
        <v>0</v>
      </c>
      <c r="I142" s="13">
        <f t="shared" si="2"/>
        <v>594112.1399999999</v>
      </c>
    </row>
    <row r="143" spans="1:9" ht="15.75" x14ac:dyDescent="0.25">
      <c r="A143" s="8"/>
      <c r="B143" s="8"/>
      <c r="C143" s="9"/>
      <c r="D143" s="12" t="s">
        <v>139</v>
      </c>
      <c r="E143" s="16">
        <v>1186212.71</v>
      </c>
      <c r="F143" s="16">
        <v>8363824.3269609297</v>
      </c>
      <c r="G143" s="16">
        <v>149895.16999999998</v>
      </c>
      <c r="H143" s="16">
        <v>0</v>
      </c>
      <c r="I143" s="13">
        <f t="shared" si="2"/>
        <v>9699932.2069609296</v>
      </c>
    </row>
    <row r="144" spans="1:9" ht="15.75" x14ac:dyDescent="0.25">
      <c r="A144" s="8"/>
      <c r="B144" s="8"/>
      <c r="C144" s="9"/>
      <c r="D144" s="12" t="s">
        <v>140</v>
      </c>
      <c r="E144" s="16">
        <v>7944229.5300000012</v>
      </c>
      <c r="F144" s="16">
        <v>1016229.4209805499</v>
      </c>
      <c r="G144" s="16">
        <v>1677653.6599999997</v>
      </c>
      <c r="H144" s="16">
        <v>0</v>
      </c>
      <c r="I144" s="13">
        <f t="shared" si="2"/>
        <v>10638112.610980552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974841419.34999967</v>
      </c>
      <c r="F145" s="22">
        <f>SUM(F10:F144)</f>
        <v>416553501.92064625</v>
      </c>
      <c r="G145" s="22">
        <f>SUM(G10:G144)</f>
        <v>234095939.65999991</v>
      </c>
      <c r="H145" s="22">
        <f>SUM(H10:H144)</f>
        <v>1322819.425</v>
      </c>
      <c r="I145" s="22">
        <f>SUM(I10:I144)</f>
        <v>1626813680.3556461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zoomScale="80" zoomScaleNormal="80" workbookViewId="0">
      <selection activeCell="D6" sqref="D6"/>
    </sheetView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0" width="15.83203125" style="2" bestFit="1" customWidth="1"/>
    <col min="11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146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147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265708.7</v>
      </c>
      <c r="F10" s="16">
        <v>1916270.1710398905</v>
      </c>
      <c r="G10" s="16">
        <v>439751.56000000006</v>
      </c>
      <c r="H10" s="16">
        <v>0</v>
      </c>
      <c r="I10" s="13">
        <f t="shared" ref="I10:I73" si="0">SUM(E10:H10)</f>
        <v>2621730.4310398907</v>
      </c>
    </row>
    <row r="11" spans="1:9" ht="15.75" x14ac:dyDescent="0.25">
      <c r="A11" s="8"/>
      <c r="B11" s="8"/>
      <c r="C11" s="9"/>
      <c r="D11" s="12" t="s">
        <v>7</v>
      </c>
      <c r="E11" s="16">
        <v>309603.41000000003</v>
      </c>
      <c r="F11" s="16">
        <v>1075557.148470284</v>
      </c>
      <c r="G11" s="16">
        <v>417833.16000000003</v>
      </c>
      <c r="H11" s="16">
        <v>0</v>
      </c>
      <c r="I11" s="13">
        <f t="shared" si="0"/>
        <v>1802993.7184702842</v>
      </c>
    </row>
    <row r="12" spans="1:9" ht="15.75" x14ac:dyDescent="0.25">
      <c r="A12" s="8"/>
      <c r="B12" s="8"/>
      <c r="C12" s="9"/>
      <c r="D12" s="12" t="s">
        <v>8</v>
      </c>
      <c r="E12" s="16">
        <v>311484.96000000002</v>
      </c>
      <c r="F12" s="16">
        <v>389920.98961790092</v>
      </c>
      <c r="G12" s="16">
        <v>315824.21000000002</v>
      </c>
      <c r="H12" s="16">
        <v>0</v>
      </c>
      <c r="I12" s="13">
        <f t="shared" si="0"/>
        <v>1017230.1596179008</v>
      </c>
    </row>
    <row r="13" spans="1:9" ht="15.75" x14ac:dyDescent="0.25">
      <c r="A13" s="8"/>
      <c r="B13" s="8"/>
      <c r="C13" s="9"/>
      <c r="D13" s="12" t="s">
        <v>9</v>
      </c>
      <c r="E13" s="16">
        <v>385159.85</v>
      </c>
      <c r="F13" s="16">
        <v>10318.330029741997</v>
      </c>
      <c r="G13" s="16">
        <v>3537049.62</v>
      </c>
      <c r="H13" s="16">
        <v>0</v>
      </c>
      <c r="I13" s="13">
        <f t="shared" si="0"/>
        <v>3932527.8000297421</v>
      </c>
    </row>
    <row r="14" spans="1:9" ht="15.75" x14ac:dyDescent="0.25">
      <c r="A14" s="8"/>
      <c r="B14" s="8"/>
      <c r="C14" s="9"/>
      <c r="D14" s="12" t="s">
        <v>10</v>
      </c>
      <c r="E14" s="16">
        <v>629536.34999999986</v>
      </c>
      <c r="F14" s="16">
        <v>433245.5440198899</v>
      </c>
      <c r="G14" s="16">
        <v>683847.95</v>
      </c>
      <c r="H14" s="16">
        <v>0</v>
      </c>
      <c r="I14" s="13">
        <f t="shared" si="0"/>
        <v>1746629.8440198896</v>
      </c>
    </row>
    <row r="15" spans="1:9" ht="15.75" x14ac:dyDescent="0.25">
      <c r="A15" s="8"/>
      <c r="B15" s="8"/>
      <c r="C15" s="9"/>
      <c r="D15" s="12" t="s">
        <v>11</v>
      </c>
      <c r="E15" s="16">
        <v>0</v>
      </c>
      <c r="F15" s="16">
        <v>2406.4263666609995</v>
      </c>
      <c r="G15" s="16">
        <v>3374026.74</v>
      </c>
      <c r="H15" s="16">
        <v>0</v>
      </c>
      <c r="I15" s="13">
        <f t="shared" si="0"/>
        <v>3376433.1663666614</v>
      </c>
    </row>
    <row r="16" spans="1:9" ht="15.75" x14ac:dyDescent="0.25">
      <c r="A16" s="8"/>
      <c r="B16" s="8"/>
      <c r="C16" s="9"/>
      <c r="D16" s="12" t="s">
        <v>12</v>
      </c>
      <c r="E16" s="16">
        <v>334029.92000000004</v>
      </c>
      <c r="F16" s="16">
        <v>2065841.5574606943</v>
      </c>
      <c r="G16" s="16">
        <v>724341.71999999986</v>
      </c>
      <c r="H16" s="16">
        <v>0</v>
      </c>
      <c r="I16" s="13">
        <f t="shared" si="0"/>
        <v>3124213.1974606942</v>
      </c>
    </row>
    <row r="17" spans="1:9" ht="15.75" x14ac:dyDescent="0.25">
      <c r="A17" s="8"/>
      <c r="B17" s="8"/>
      <c r="C17" s="9"/>
      <c r="D17" s="12" t="s">
        <v>13</v>
      </c>
      <c r="E17" s="16">
        <v>801648.86000000022</v>
      </c>
      <c r="F17" s="16">
        <v>1898048.8171491588</v>
      </c>
      <c r="G17" s="16">
        <v>1540550.82</v>
      </c>
      <c r="H17" s="16">
        <v>0</v>
      </c>
      <c r="I17" s="13">
        <f t="shared" si="0"/>
        <v>4240248.4971491592</v>
      </c>
    </row>
    <row r="18" spans="1:9" ht="15.75" x14ac:dyDescent="0.25">
      <c r="A18" s="8"/>
      <c r="B18" s="8"/>
      <c r="C18" s="9"/>
      <c r="D18" s="12" t="s">
        <v>14</v>
      </c>
      <c r="E18" s="16">
        <v>129906.31999999999</v>
      </c>
      <c r="F18" s="16">
        <v>154730.55143567498</v>
      </c>
      <c r="G18" s="16">
        <v>7593056.5899999999</v>
      </c>
      <c r="H18" s="16">
        <v>0</v>
      </c>
      <c r="I18" s="13">
        <f t="shared" si="0"/>
        <v>7877693.4614356747</v>
      </c>
    </row>
    <row r="19" spans="1:9" ht="15.75" x14ac:dyDescent="0.25">
      <c r="A19" s="8"/>
      <c r="B19" s="8"/>
      <c r="C19" s="9"/>
      <c r="D19" s="12" t="s">
        <v>15</v>
      </c>
      <c r="E19" s="16">
        <v>1329745.1299999997</v>
      </c>
      <c r="F19" s="16">
        <v>1476835.4049625737</v>
      </c>
      <c r="G19" s="16">
        <v>1211399.0200000003</v>
      </c>
      <c r="H19" s="16">
        <v>0</v>
      </c>
      <c r="I19" s="13">
        <f t="shared" si="0"/>
        <v>4017979.5549625736</v>
      </c>
    </row>
    <row r="20" spans="1:9" ht="15.75" x14ac:dyDescent="0.25">
      <c r="A20" s="8"/>
      <c r="B20" s="8"/>
      <c r="C20" s="9"/>
      <c r="D20" s="12" t="s">
        <v>16</v>
      </c>
      <c r="E20" s="16">
        <v>776036</v>
      </c>
      <c r="F20" s="16">
        <v>405744.79694406292</v>
      </c>
      <c r="G20" s="16">
        <v>562615.16999999993</v>
      </c>
      <c r="H20" s="16">
        <v>0</v>
      </c>
      <c r="I20" s="13">
        <f t="shared" si="0"/>
        <v>1744395.9669440628</v>
      </c>
    </row>
    <row r="21" spans="1:9" ht="15.75" x14ac:dyDescent="0.25">
      <c r="A21" s="8"/>
      <c r="B21" s="8"/>
      <c r="C21" s="9"/>
      <c r="D21" s="12" t="s">
        <v>17</v>
      </c>
      <c r="E21" s="16">
        <v>495553.61000000004</v>
      </c>
      <c r="F21" s="16">
        <v>1766698.7846190869</v>
      </c>
      <c r="G21" s="16">
        <v>399779.94</v>
      </c>
      <c r="H21" s="16">
        <v>0</v>
      </c>
      <c r="I21" s="13">
        <f t="shared" si="0"/>
        <v>2662032.3346190867</v>
      </c>
    </row>
    <row r="22" spans="1:9" ht="15.75" x14ac:dyDescent="0.25">
      <c r="A22" s="8"/>
      <c r="B22" s="8"/>
      <c r="C22" s="9"/>
      <c r="D22" s="12" t="s">
        <v>18</v>
      </c>
      <c r="E22" s="16">
        <v>80940.25</v>
      </c>
      <c r="F22" s="16">
        <v>75647.034013228986</v>
      </c>
      <c r="G22" s="16">
        <v>2662703.6300000004</v>
      </c>
      <c r="H22" s="16">
        <v>0</v>
      </c>
      <c r="I22" s="13">
        <f t="shared" si="0"/>
        <v>2819290.9140132293</v>
      </c>
    </row>
    <row r="23" spans="1:9" ht="15.75" x14ac:dyDescent="0.25">
      <c r="A23" s="8"/>
      <c r="B23" s="8"/>
      <c r="C23" s="9"/>
      <c r="D23" s="12" t="s">
        <v>19</v>
      </c>
      <c r="E23" s="16">
        <v>4231.7</v>
      </c>
      <c r="F23" s="16">
        <v>28193.371638924997</v>
      </c>
      <c r="G23" s="16">
        <v>2653260.33</v>
      </c>
      <c r="H23" s="16">
        <v>0</v>
      </c>
      <c r="I23" s="13">
        <f t="shared" si="0"/>
        <v>2685685.4016389251</v>
      </c>
    </row>
    <row r="24" spans="1:9" ht="15.75" x14ac:dyDescent="0.25">
      <c r="A24" s="8"/>
      <c r="B24" s="8"/>
      <c r="C24" s="9"/>
      <c r="D24" s="12" t="s">
        <v>20</v>
      </c>
      <c r="E24" s="16">
        <v>810734.27999999991</v>
      </c>
      <c r="F24" s="16">
        <v>1083469.0521333648</v>
      </c>
      <c r="G24" s="16">
        <v>841220.35</v>
      </c>
      <c r="H24" s="16">
        <v>0</v>
      </c>
      <c r="I24" s="13">
        <f t="shared" si="0"/>
        <v>2735423.682133365</v>
      </c>
    </row>
    <row r="25" spans="1:9" ht="15.75" x14ac:dyDescent="0.25">
      <c r="A25" s="8"/>
      <c r="B25" s="8"/>
      <c r="C25" s="9"/>
      <c r="D25" s="12" t="s">
        <v>21</v>
      </c>
      <c r="E25" s="16">
        <v>806431.68000000017</v>
      </c>
      <c r="F25" s="16">
        <v>804607.74726760085</v>
      </c>
      <c r="G25" s="16">
        <v>1085405.24</v>
      </c>
      <c r="H25" s="16">
        <v>0</v>
      </c>
      <c r="I25" s="13">
        <f t="shared" si="0"/>
        <v>2696444.667267601</v>
      </c>
    </row>
    <row r="26" spans="1:9" ht="15.75" x14ac:dyDescent="0.25">
      <c r="A26" s="8"/>
      <c r="B26" s="8"/>
      <c r="C26" s="9"/>
      <c r="D26" s="12" t="s">
        <v>22</v>
      </c>
      <c r="E26" s="16">
        <v>417047.67</v>
      </c>
      <c r="F26" s="16">
        <v>460755.17089780793</v>
      </c>
      <c r="G26" s="16">
        <v>433869.00000000006</v>
      </c>
      <c r="H26" s="16">
        <v>0</v>
      </c>
      <c r="I26" s="13">
        <f t="shared" si="0"/>
        <v>1311671.8408978079</v>
      </c>
    </row>
    <row r="27" spans="1:9" ht="15.75" x14ac:dyDescent="0.25">
      <c r="A27" s="8"/>
      <c r="B27" s="8"/>
      <c r="C27" s="9"/>
      <c r="D27" s="12" t="s">
        <v>23</v>
      </c>
      <c r="E27" s="16">
        <v>42967.619999999995</v>
      </c>
      <c r="F27" s="16">
        <v>79083.517422445977</v>
      </c>
      <c r="G27" s="16">
        <v>1284011.0599999998</v>
      </c>
      <c r="H27" s="16">
        <v>0</v>
      </c>
      <c r="I27" s="13">
        <f t="shared" si="0"/>
        <v>1406062.1974224458</v>
      </c>
    </row>
    <row r="28" spans="1:9" ht="15.75" x14ac:dyDescent="0.25">
      <c r="A28" s="8"/>
      <c r="B28" s="8"/>
      <c r="C28" s="9"/>
      <c r="D28" s="12" t="s">
        <v>24</v>
      </c>
      <c r="E28" s="16">
        <v>166586.36000000002</v>
      </c>
      <c r="F28" s="16">
        <v>374798.68665692792</v>
      </c>
      <c r="G28" s="16">
        <v>686621.64999999991</v>
      </c>
      <c r="H28" s="16">
        <v>0</v>
      </c>
      <c r="I28" s="13">
        <f t="shared" si="0"/>
        <v>1228006.6966569279</v>
      </c>
    </row>
    <row r="29" spans="1:9" ht="15.75" x14ac:dyDescent="0.25">
      <c r="A29" s="8"/>
      <c r="B29" s="8"/>
      <c r="C29" s="9"/>
      <c r="D29" s="12" t="s">
        <v>25</v>
      </c>
      <c r="E29" s="16">
        <v>82226.84</v>
      </c>
      <c r="F29" s="16">
        <v>209749.80519151097</v>
      </c>
      <c r="G29" s="16">
        <v>344561.37</v>
      </c>
      <c r="H29" s="16">
        <v>0</v>
      </c>
      <c r="I29" s="13">
        <f t="shared" si="0"/>
        <v>636538.01519151102</v>
      </c>
    </row>
    <row r="30" spans="1:9" ht="15.75" x14ac:dyDescent="0.25">
      <c r="A30" s="8"/>
      <c r="B30" s="8"/>
      <c r="C30" s="9"/>
      <c r="D30" s="12" t="s">
        <v>26</v>
      </c>
      <c r="E30" s="16">
        <v>370808.00000000006</v>
      </c>
      <c r="F30" s="16">
        <v>1131260.1469871269</v>
      </c>
      <c r="G30" s="16">
        <v>611561.91</v>
      </c>
      <c r="H30" s="16">
        <v>0</v>
      </c>
      <c r="I30" s="13">
        <f t="shared" si="0"/>
        <v>2113630.0569871268</v>
      </c>
    </row>
    <row r="31" spans="1:9" ht="15.75" x14ac:dyDescent="0.25">
      <c r="A31" s="8"/>
      <c r="B31" s="8"/>
      <c r="C31" s="9"/>
      <c r="D31" s="12" t="s">
        <v>27</v>
      </c>
      <c r="E31" s="16">
        <v>557956.49</v>
      </c>
      <c r="F31" s="16">
        <v>1172524.587304004</v>
      </c>
      <c r="G31" s="16">
        <v>311992.42</v>
      </c>
      <c r="H31" s="16">
        <v>0</v>
      </c>
      <c r="I31" s="13">
        <f t="shared" si="0"/>
        <v>2042473.4973040039</v>
      </c>
    </row>
    <row r="32" spans="1:9" ht="15.75" x14ac:dyDescent="0.25">
      <c r="A32" s="8"/>
      <c r="B32" s="8"/>
      <c r="C32" s="9"/>
      <c r="D32" s="12" t="s">
        <v>28</v>
      </c>
      <c r="E32" s="16">
        <v>152991.53</v>
      </c>
      <c r="F32" s="16">
        <v>395772.77919586987</v>
      </c>
      <c r="G32" s="16">
        <v>407564.96</v>
      </c>
      <c r="H32" s="16">
        <v>0</v>
      </c>
      <c r="I32" s="13">
        <f t="shared" si="0"/>
        <v>956329.2691958698</v>
      </c>
    </row>
    <row r="33" spans="1:9" ht="15.75" x14ac:dyDescent="0.25">
      <c r="A33" s="8"/>
      <c r="B33" s="8"/>
      <c r="C33" s="9"/>
      <c r="D33" s="12" t="s">
        <v>29</v>
      </c>
      <c r="E33" s="16">
        <v>106475.83000000002</v>
      </c>
      <c r="F33" s="16">
        <v>598294.42548530689</v>
      </c>
      <c r="G33" s="16">
        <v>176327.33000000002</v>
      </c>
      <c r="H33" s="16">
        <v>0</v>
      </c>
      <c r="I33" s="13">
        <f t="shared" si="0"/>
        <v>881097.58548530703</v>
      </c>
    </row>
    <row r="34" spans="1:9" ht="15.75" x14ac:dyDescent="0.25">
      <c r="A34" s="8"/>
      <c r="B34" s="8"/>
      <c r="C34" s="9"/>
      <c r="D34" s="12" t="s">
        <v>30</v>
      </c>
      <c r="E34" s="16">
        <v>1453216.4800000007</v>
      </c>
      <c r="F34" s="16">
        <v>858588.06417878985</v>
      </c>
      <c r="G34" s="16">
        <v>1324920.73</v>
      </c>
      <c r="H34" s="16">
        <v>0</v>
      </c>
      <c r="I34" s="13">
        <f t="shared" si="0"/>
        <v>3636725.2741787904</v>
      </c>
    </row>
    <row r="35" spans="1:9" ht="15.75" x14ac:dyDescent="0.25">
      <c r="A35" s="8"/>
      <c r="B35" s="8"/>
      <c r="C35" s="9"/>
      <c r="D35" s="12" t="s">
        <v>31</v>
      </c>
      <c r="E35" s="16">
        <v>363090.61000000004</v>
      </c>
      <c r="F35" s="16">
        <v>1262272.7470377409</v>
      </c>
      <c r="G35" s="16">
        <v>942836.61</v>
      </c>
      <c r="H35" s="16">
        <v>0</v>
      </c>
      <c r="I35" s="13">
        <f t="shared" si="0"/>
        <v>2568199.9670377411</v>
      </c>
    </row>
    <row r="36" spans="1:9" ht="15.75" x14ac:dyDescent="0.25">
      <c r="A36" s="8"/>
      <c r="B36" s="8"/>
      <c r="C36" s="9"/>
      <c r="D36" s="12" t="s">
        <v>32</v>
      </c>
      <c r="E36" s="16">
        <v>310041.19</v>
      </c>
      <c r="F36" s="16">
        <v>783287.34244710987</v>
      </c>
      <c r="G36" s="16">
        <v>1721224.03</v>
      </c>
      <c r="H36" s="16">
        <v>0</v>
      </c>
      <c r="I36" s="13">
        <f t="shared" si="0"/>
        <v>2814552.5624471102</v>
      </c>
    </row>
    <row r="37" spans="1:9" ht="15.75" x14ac:dyDescent="0.25">
      <c r="A37" s="8"/>
      <c r="B37" s="8"/>
      <c r="C37" s="9"/>
      <c r="D37" s="12" t="s">
        <v>33</v>
      </c>
      <c r="E37" s="16">
        <v>185391.48999999996</v>
      </c>
      <c r="F37" s="16">
        <v>433245.5440198899</v>
      </c>
      <c r="G37" s="16">
        <v>549800.53999999992</v>
      </c>
      <c r="H37" s="16">
        <v>0</v>
      </c>
      <c r="I37" s="13">
        <f t="shared" si="0"/>
        <v>1168437.5740198898</v>
      </c>
    </row>
    <row r="38" spans="1:9" ht="15.75" x14ac:dyDescent="0.25">
      <c r="A38" s="8"/>
      <c r="B38" s="8"/>
      <c r="C38" s="9"/>
      <c r="D38" s="12" t="s">
        <v>34</v>
      </c>
      <c r="E38" s="16">
        <v>223990.05000000002</v>
      </c>
      <c r="F38" s="16">
        <v>941463.2570940929</v>
      </c>
      <c r="G38" s="16">
        <v>483175.58999999997</v>
      </c>
      <c r="H38" s="16">
        <v>0</v>
      </c>
      <c r="I38" s="13">
        <f t="shared" si="0"/>
        <v>1648628.8970940928</v>
      </c>
    </row>
    <row r="39" spans="1:9" ht="15.75" x14ac:dyDescent="0.25">
      <c r="A39" s="8"/>
      <c r="B39" s="8"/>
      <c r="C39" s="9"/>
      <c r="D39" s="12" t="s">
        <v>35</v>
      </c>
      <c r="E39" s="16">
        <v>90935.81</v>
      </c>
      <c r="F39" s="16">
        <v>1474082.6663143637</v>
      </c>
      <c r="G39" s="16">
        <v>752631.77000000014</v>
      </c>
      <c r="H39" s="16">
        <v>0</v>
      </c>
      <c r="I39" s="13">
        <f t="shared" si="0"/>
        <v>2317650.246314364</v>
      </c>
    </row>
    <row r="40" spans="1:9" ht="15.75" x14ac:dyDescent="0.25">
      <c r="A40" s="8"/>
      <c r="B40" s="8"/>
      <c r="C40" s="9"/>
      <c r="D40" s="12" t="s">
        <v>36</v>
      </c>
      <c r="E40" s="16">
        <v>6586.11</v>
      </c>
      <c r="F40" s="16">
        <v>77369.715618882983</v>
      </c>
      <c r="G40" s="16">
        <v>652532.35999999987</v>
      </c>
      <c r="H40" s="16">
        <v>0</v>
      </c>
      <c r="I40" s="13">
        <f t="shared" si="0"/>
        <v>736488.18561888288</v>
      </c>
    </row>
    <row r="41" spans="1:9" ht="15.75" x14ac:dyDescent="0.25">
      <c r="A41" s="8"/>
      <c r="B41" s="8"/>
      <c r="C41" s="9"/>
      <c r="D41" s="12" t="s">
        <v>37</v>
      </c>
      <c r="E41" s="16">
        <v>653252.71000000008</v>
      </c>
      <c r="F41" s="16">
        <v>1292872.5450433267</v>
      </c>
      <c r="G41" s="16">
        <v>1182549.99</v>
      </c>
      <c r="H41" s="16">
        <v>0</v>
      </c>
      <c r="I41" s="13">
        <f t="shared" si="0"/>
        <v>3128675.2450433271</v>
      </c>
    </row>
    <row r="42" spans="1:9" ht="15.75" x14ac:dyDescent="0.25">
      <c r="A42" s="8"/>
      <c r="B42" s="8"/>
      <c r="C42" s="9"/>
      <c r="D42" s="12" t="s">
        <v>38</v>
      </c>
      <c r="E42" s="16">
        <v>439949.06</v>
      </c>
      <c r="F42" s="16">
        <v>1400158.3139067886</v>
      </c>
      <c r="G42" s="16">
        <v>508086.67</v>
      </c>
      <c r="H42" s="16">
        <v>0</v>
      </c>
      <c r="I42" s="13">
        <f t="shared" si="0"/>
        <v>2348194.0439067888</v>
      </c>
    </row>
    <row r="43" spans="1:9" ht="15.75" x14ac:dyDescent="0.25">
      <c r="A43" s="8"/>
      <c r="B43" s="8"/>
      <c r="C43" s="9"/>
      <c r="D43" s="12" t="s">
        <v>39</v>
      </c>
      <c r="E43" s="16">
        <v>219463.36</v>
      </c>
      <c r="F43" s="16">
        <v>509238.89031466795</v>
      </c>
      <c r="G43" s="16">
        <v>487474.68</v>
      </c>
      <c r="H43" s="16">
        <v>0</v>
      </c>
      <c r="I43" s="13">
        <f t="shared" si="0"/>
        <v>1216176.930314668</v>
      </c>
    </row>
    <row r="44" spans="1:9" ht="15.75" x14ac:dyDescent="0.25">
      <c r="A44" s="8"/>
      <c r="B44" s="8"/>
      <c r="C44" s="9"/>
      <c r="D44" s="12" t="s">
        <v>40</v>
      </c>
      <c r="E44" s="16">
        <v>5524.42</v>
      </c>
      <c r="F44" s="16">
        <v>39195.44642967399</v>
      </c>
      <c r="G44" s="16">
        <v>584297.28999999992</v>
      </c>
      <c r="H44" s="16">
        <v>0</v>
      </c>
      <c r="I44" s="13">
        <f t="shared" si="0"/>
        <v>629017.15642967389</v>
      </c>
    </row>
    <row r="45" spans="1:9" ht="15.75" x14ac:dyDescent="0.25">
      <c r="A45" s="8"/>
      <c r="B45" s="8"/>
      <c r="C45" s="9"/>
      <c r="D45" s="12" t="s">
        <v>41</v>
      </c>
      <c r="E45" s="16">
        <v>122115.24999999999</v>
      </c>
      <c r="F45" s="16">
        <v>11348.387072297997</v>
      </c>
      <c r="G45" s="16">
        <v>2343106.79</v>
      </c>
      <c r="H45" s="16">
        <v>0</v>
      </c>
      <c r="I45" s="13">
        <f t="shared" si="0"/>
        <v>2476570.4270722978</v>
      </c>
    </row>
    <row r="46" spans="1:9" ht="15.75" x14ac:dyDescent="0.25">
      <c r="A46" s="8"/>
      <c r="B46" s="8"/>
      <c r="C46" s="9"/>
      <c r="D46" s="12" t="s">
        <v>42</v>
      </c>
      <c r="E46" s="16">
        <v>36414.479999999996</v>
      </c>
      <c r="F46" s="16">
        <v>37819.077105568998</v>
      </c>
      <c r="G46" s="16">
        <v>2310792.7599999998</v>
      </c>
      <c r="H46" s="16">
        <v>0</v>
      </c>
      <c r="I46" s="13">
        <f t="shared" si="0"/>
        <v>2385026.3171055689</v>
      </c>
    </row>
    <row r="47" spans="1:9" ht="15.75" x14ac:dyDescent="0.25">
      <c r="A47" s="8"/>
      <c r="B47" s="8"/>
      <c r="C47" s="9"/>
      <c r="D47" s="12" t="s">
        <v>43</v>
      </c>
      <c r="E47" s="16">
        <v>1068072.42</v>
      </c>
      <c r="F47" s="16">
        <v>240003.29091554799</v>
      </c>
      <c r="G47" s="16">
        <v>467628.46000000008</v>
      </c>
      <c r="H47" s="16">
        <v>0</v>
      </c>
      <c r="I47" s="13">
        <f t="shared" si="0"/>
        <v>1775704.1709155478</v>
      </c>
    </row>
    <row r="48" spans="1:9" ht="15.75" x14ac:dyDescent="0.25">
      <c r="A48" s="8"/>
      <c r="B48" s="8"/>
      <c r="C48" s="9"/>
      <c r="D48" s="12" t="s">
        <v>44</v>
      </c>
      <c r="E48" s="16">
        <v>237250.07999999996</v>
      </c>
      <c r="F48" s="16">
        <v>37819.077105568998</v>
      </c>
      <c r="G48" s="16">
        <v>977730.50999999989</v>
      </c>
      <c r="H48" s="16">
        <v>0</v>
      </c>
      <c r="I48" s="13">
        <f t="shared" si="0"/>
        <v>1252799.6671055688</v>
      </c>
    </row>
    <row r="49" spans="1:9" ht="15.75" x14ac:dyDescent="0.25">
      <c r="A49" s="8"/>
      <c r="B49" s="8"/>
      <c r="C49" s="9"/>
      <c r="D49" s="12" t="s">
        <v>45</v>
      </c>
      <c r="E49" s="16">
        <v>68037.19</v>
      </c>
      <c r="F49" s="16">
        <v>45047.23600764299</v>
      </c>
      <c r="G49" s="16">
        <v>1992893.6800000002</v>
      </c>
      <c r="H49" s="16">
        <v>0</v>
      </c>
      <c r="I49" s="13">
        <f t="shared" si="0"/>
        <v>2105978.106007643</v>
      </c>
    </row>
    <row r="50" spans="1:9" ht="15.75" x14ac:dyDescent="0.25">
      <c r="A50" s="8"/>
      <c r="B50" s="8"/>
      <c r="C50" s="9"/>
      <c r="D50" s="12" t="s">
        <v>46</v>
      </c>
      <c r="E50" s="16">
        <v>169496.68999999997</v>
      </c>
      <c r="F50" s="16">
        <v>435314.53790709289</v>
      </c>
      <c r="G50" s="16">
        <v>229920.52999999997</v>
      </c>
      <c r="H50" s="16">
        <v>0</v>
      </c>
      <c r="I50" s="13">
        <f t="shared" si="0"/>
        <v>834731.7579070928</v>
      </c>
    </row>
    <row r="51" spans="1:9" ht="15.75" x14ac:dyDescent="0.25">
      <c r="A51" s="8"/>
      <c r="B51" s="8"/>
      <c r="C51" s="9"/>
      <c r="D51" s="12" t="s">
        <v>47</v>
      </c>
      <c r="E51" s="16">
        <v>300372.3</v>
      </c>
      <c r="F51" s="16">
        <v>791536.6785896488</v>
      </c>
      <c r="G51" s="16">
        <v>590372.81000000006</v>
      </c>
      <c r="H51" s="16">
        <v>0</v>
      </c>
      <c r="I51" s="13">
        <f t="shared" si="0"/>
        <v>1682281.7885896489</v>
      </c>
    </row>
    <row r="52" spans="1:9" ht="15.75" x14ac:dyDescent="0.25">
      <c r="A52" s="8"/>
      <c r="B52" s="8"/>
      <c r="C52" s="9"/>
      <c r="D52" s="12" t="s">
        <v>48</v>
      </c>
      <c r="E52" s="16">
        <v>310212.13</v>
      </c>
      <c r="F52" s="16">
        <v>797725.90064707585</v>
      </c>
      <c r="G52" s="16">
        <v>233239.69</v>
      </c>
      <c r="H52" s="16">
        <v>0</v>
      </c>
      <c r="I52" s="13">
        <f t="shared" si="0"/>
        <v>1341177.7206470757</v>
      </c>
    </row>
    <row r="53" spans="1:9" ht="15.75" x14ac:dyDescent="0.25">
      <c r="A53" s="8"/>
      <c r="B53" s="8"/>
      <c r="C53" s="9"/>
      <c r="D53" s="12" t="s">
        <v>49</v>
      </c>
      <c r="E53" s="16">
        <v>344654.43999999994</v>
      </c>
      <c r="F53" s="16">
        <v>546720.53494077886</v>
      </c>
      <c r="G53" s="16">
        <v>940054.4</v>
      </c>
      <c r="H53" s="16">
        <v>0</v>
      </c>
      <c r="I53" s="13">
        <f t="shared" si="0"/>
        <v>1831429.3749407788</v>
      </c>
    </row>
    <row r="54" spans="1:9" ht="15.75" x14ac:dyDescent="0.25">
      <c r="A54" s="8"/>
      <c r="B54" s="8"/>
      <c r="C54" s="9"/>
      <c r="D54" s="12" t="s">
        <v>50</v>
      </c>
      <c r="E54" s="16">
        <v>408505.00999999989</v>
      </c>
      <c r="F54" s="16">
        <v>502019.6112146849</v>
      </c>
      <c r="G54" s="16">
        <v>500360.14</v>
      </c>
      <c r="H54" s="16">
        <v>0</v>
      </c>
      <c r="I54" s="13">
        <f t="shared" si="0"/>
        <v>1410884.7612146847</v>
      </c>
    </row>
    <row r="55" spans="1:9" ht="15.75" x14ac:dyDescent="0.25">
      <c r="A55" s="8"/>
      <c r="B55" s="8"/>
      <c r="C55" s="9"/>
      <c r="D55" s="12" t="s">
        <v>51</v>
      </c>
      <c r="E55" s="16">
        <v>134988.98000000001</v>
      </c>
      <c r="F55" s="16">
        <v>1028112.3658980709</v>
      </c>
      <c r="G55" s="16">
        <v>34798.060000000005</v>
      </c>
      <c r="H55" s="16">
        <v>0</v>
      </c>
      <c r="I55" s="13">
        <f t="shared" si="0"/>
        <v>1197899.4058980709</v>
      </c>
    </row>
    <row r="56" spans="1:9" ht="15.75" x14ac:dyDescent="0.25">
      <c r="A56" s="8"/>
      <c r="B56" s="8"/>
      <c r="C56" s="9"/>
      <c r="D56" s="12" t="s">
        <v>52</v>
      </c>
      <c r="E56" s="16">
        <v>269751.43</v>
      </c>
      <c r="F56" s="16">
        <v>1144331.2156650787</v>
      </c>
      <c r="G56" s="16">
        <v>258867.81999999998</v>
      </c>
      <c r="H56" s="16">
        <v>0</v>
      </c>
      <c r="I56" s="13">
        <f t="shared" si="0"/>
        <v>1672950.4656650787</v>
      </c>
    </row>
    <row r="57" spans="1:9" ht="15.75" x14ac:dyDescent="0.25">
      <c r="A57" s="8"/>
      <c r="B57" s="8"/>
      <c r="C57" s="9"/>
      <c r="D57" s="12" t="s">
        <v>53</v>
      </c>
      <c r="E57" s="16">
        <v>97440.709999999992</v>
      </c>
      <c r="F57" s="16">
        <v>378235.1700661449</v>
      </c>
      <c r="G57" s="16">
        <v>256458.26000000004</v>
      </c>
      <c r="H57" s="16">
        <v>0</v>
      </c>
      <c r="I57" s="13">
        <f t="shared" si="0"/>
        <v>732134.14006614487</v>
      </c>
    </row>
    <row r="58" spans="1:9" ht="15.75" x14ac:dyDescent="0.25">
      <c r="A58" s="8"/>
      <c r="B58" s="8"/>
      <c r="C58" s="9"/>
      <c r="D58" s="12" t="s">
        <v>54</v>
      </c>
      <c r="E58" s="16">
        <v>144246.43</v>
      </c>
      <c r="F58" s="16">
        <v>407121.1662681679</v>
      </c>
      <c r="G58" s="16">
        <v>58903.799999999996</v>
      </c>
      <c r="H58" s="16">
        <v>0</v>
      </c>
      <c r="I58" s="13">
        <f t="shared" si="0"/>
        <v>610271.396268168</v>
      </c>
    </row>
    <row r="59" spans="1:9" ht="15.75" x14ac:dyDescent="0.25">
      <c r="A59" s="8"/>
      <c r="B59" s="8"/>
      <c r="C59" s="9"/>
      <c r="D59" s="12" t="s">
        <v>55</v>
      </c>
      <c r="E59" s="16">
        <v>508836.48</v>
      </c>
      <c r="F59" s="16">
        <v>687696.2729374948</v>
      </c>
      <c r="G59" s="16">
        <v>402985.27999999997</v>
      </c>
      <c r="H59" s="16">
        <v>0</v>
      </c>
      <c r="I59" s="13">
        <f t="shared" si="0"/>
        <v>1599518.0329374948</v>
      </c>
    </row>
    <row r="60" spans="1:9" ht="15.75" x14ac:dyDescent="0.25">
      <c r="A60" s="8"/>
      <c r="B60" s="8"/>
      <c r="C60" s="9"/>
      <c r="D60" s="12" t="s">
        <v>56</v>
      </c>
      <c r="E60" s="16">
        <v>84263.679999999993</v>
      </c>
      <c r="F60" s="16">
        <v>416054.24717171391</v>
      </c>
      <c r="G60" s="16">
        <v>226744.63</v>
      </c>
      <c r="H60" s="16">
        <v>0</v>
      </c>
      <c r="I60" s="13">
        <f t="shared" si="0"/>
        <v>727062.55717171391</v>
      </c>
    </row>
    <row r="61" spans="1:9" ht="15.75" x14ac:dyDescent="0.25">
      <c r="A61" s="8"/>
      <c r="B61" s="8"/>
      <c r="C61" s="9"/>
      <c r="D61" s="12" t="s">
        <v>57</v>
      </c>
      <c r="E61" s="16">
        <v>379470.21</v>
      </c>
      <c r="F61" s="16">
        <v>698014.60296723689</v>
      </c>
      <c r="G61" s="16">
        <v>349161.56000000006</v>
      </c>
      <c r="H61" s="16">
        <v>0</v>
      </c>
      <c r="I61" s="13">
        <f t="shared" si="0"/>
        <v>1426646.3729672369</v>
      </c>
    </row>
    <row r="62" spans="1:9" ht="15.75" x14ac:dyDescent="0.25">
      <c r="A62" s="8"/>
      <c r="B62" s="8"/>
      <c r="C62" s="9"/>
      <c r="D62" s="12" t="s">
        <v>58</v>
      </c>
      <c r="E62" s="16">
        <v>390903.44000000006</v>
      </c>
      <c r="F62" s="16">
        <v>778820.80199533701</v>
      </c>
      <c r="G62" s="16">
        <v>16031338.450000001</v>
      </c>
      <c r="H62" s="16">
        <v>0</v>
      </c>
      <c r="I62" s="13">
        <f t="shared" si="0"/>
        <v>17201062.691995338</v>
      </c>
    </row>
    <row r="63" spans="1:9" ht="15.75" x14ac:dyDescent="0.25">
      <c r="A63" s="8"/>
      <c r="B63" s="8"/>
      <c r="C63" s="9"/>
      <c r="D63" s="12" t="s">
        <v>59</v>
      </c>
      <c r="E63" s="16">
        <v>298472.55</v>
      </c>
      <c r="F63" s="16">
        <v>85965.364042970978</v>
      </c>
      <c r="G63" s="16">
        <v>793193.58000000007</v>
      </c>
      <c r="H63" s="16">
        <v>0</v>
      </c>
      <c r="I63" s="13">
        <f t="shared" si="0"/>
        <v>1177631.4940429712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4434171.6499999994</v>
      </c>
      <c r="H64" s="16">
        <v>0</v>
      </c>
      <c r="I64" s="13">
        <f t="shared" si="0"/>
        <v>4434171.6499999994</v>
      </c>
    </row>
    <row r="65" spans="1:9" ht="15.75" x14ac:dyDescent="0.25">
      <c r="A65" s="8"/>
      <c r="B65" s="8"/>
      <c r="C65" s="9"/>
      <c r="D65" s="12" t="s">
        <v>61</v>
      </c>
      <c r="E65" s="16">
        <v>312693.78999999998</v>
      </c>
      <c r="F65" s="16">
        <v>1017794.0358683288</v>
      </c>
      <c r="G65" s="16">
        <v>336083.86</v>
      </c>
      <c r="H65" s="16">
        <v>0</v>
      </c>
      <c r="I65" s="13">
        <f t="shared" si="0"/>
        <v>1666571.6858683289</v>
      </c>
    </row>
    <row r="66" spans="1:9" ht="15.75" x14ac:dyDescent="0.25">
      <c r="A66" s="8"/>
      <c r="B66" s="8"/>
      <c r="C66" s="9"/>
      <c r="D66" s="12" t="s">
        <v>62</v>
      </c>
      <c r="E66" s="16">
        <v>1639747.29</v>
      </c>
      <c r="F66" s="16">
        <v>2023555.9399033529</v>
      </c>
      <c r="G66" s="16">
        <v>723471.15</v>
      </c>
      <c r="H66" s="16">
        <v>0</v>
      </c>
      <c r="I66" s="13">
        <f t="shared" si="0"/>
        <v>4386774.3799033528</v>
      </c>
    </row>
    <row r="67" spans="1:9" ht="15.75" x14ac:dyDescent="0.25">
      <c r="A67" s="8"/>
      <c r="B67" s="8"/>
      <c r="C67" s="9"/>
      <c r="D67" s="12" t="s">
        <v>63</v>
      </c>
      <c r="E67" s="16">
        <v>414019.56</v>
      </c>
      <c r="F67" s="16">
        <v>935274.03503666585</v>
      </c>
      <c r="G67" s="16">
        <v>387308.27999999997</v>
      </c>
      <c r="H67" s="16">
        <v>0</v>
      </c>
      <c r="I67" s="13">
        <f t="shared" si="0"/>
        <v>1736601.8750366659</v>
      </c>
    </row>
    <row r="68" spans="1:9" ht="15.75" x14ac:dyDescent="0.25">
      <c r="A68" s="8"/>
      <c r="B68" s="8"/>
      <c r="C68" s="9"/>
      <c r="D68" s="12" t="s">
        <v>64</v>
      </c>
      <c r="E68" s="16">
        <v>747184.76</v>
      </c>
      <c r="F68" s="16">
        <v>395426.46691432089</v>
      </c>
      <c r="G68" s="16">
        <v>279530.86000000004</v>
      </c>
      <c r="H68" s="16">
        <v>0</v>
      </c>
      <c r="I68" s="13">
        <f t="shared" si="0"/>
        <v>1422142.0869143209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1562000.58</v>
      </c>
      <c r="H69" s="16">
        <v>0</v>
      </c>
      <c r="I69" s="13">
        <f t="shared" si="0"/>
        <v>1562000.58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1894138.7100000002</v>
      </c>
      <c r="H70" s="16">
        <v>0</v>
      </c>
      <c r="I70" s="13">
        <f t="shared" si="0"/>
        <v>1894138.7100000002</v>
      </c>
    </row>
    <row r="71" spans="1:9" ht="15.75" x14ac:dyDescent="0.25">
      <c r="A71" s="8"/>
      <c r="B71" s="8"/>
      <c r="C71" s="9"/>
      <c r="D71" s="12" t="s">
        <v>67</v>
      </c>
      <c r="E71" s="16">
        <v>0</v>
      </c>
      <c r="F71" s="16">
        <v>10318.330029741997</v>
      </c>
      <c r="G71" s="16">
        <v>1355078.7</v>
      </c>
      <c r="H71" s="16">
        <v>0</v>
      </c>
      <c r="I71" s="13">
        <f t="shared" si="0"/>
        <v>1365397.030029742</v>
      </c>
    </row>
    <row r="72" spans="1:9" ht="15.75" x14ac:dyDescent="0.25">
      <c r="A72" s="8"/>
      <c r="B72" s="8"/>
      <c r="C72" s="9"/>
      <c r="D72" s="12" t="s">
        <v>68</v>
      </c>
      <c r="E72" s="16">
        <v>473147.41999999993</v>
      </c>
      <c r="F72" s="16">
        <v>642311.60445039393</v>
      </c>
      <c r="G72" s="16">
        <v>2961172.75</v>
      </c>
      <c r="H72" s="16">
        <v>0</v>
      </c>
      <c r="I72" s="13">
        <f t="shared" si="0"/>
        <v>4076631.7744503939</v>
      </c>
    </row>
    <row r="73" spans="1:9" ht="15.75" x14ac:dyDescent="0.25">
      <c r="A73" s="8"/>
      <c r="B73" s="8"/>
      <c r="C73" s="9"/>
      <c r="D73" s="12" t="s">
        <v>69</v>
      </c>
      <c r="E73" s="16">
        <v>2001.78</v>
      </c>
      <c r="F73" s="16">
        <v>0</v>
      </c>
      <c r="G73" s="16">
        <v>1210745.02</v>
      </c>
      <c r="H73" s="16">
        <v>0</v>
      </c>
      <c r="I73" s="13">
        <f t="shared" si="0"/>
        <v>1212746.8</v>
      </c>
    </row>
    <row r="74" spans="1:9" ht="15.75" x14ac:dyDescent="0.25">
      <c r="A74" s="8"/>
      <c r="B74" s="8"/>
      <c r="C74" s="9"/>
      <c r="D74" s="12" t="s">
        <v>70</v>
      </c>
      <c r="E74" s="16">
        <v>42750.69</v>
      </c>
      <c r="F74" s="16">
        <v>54326.629192737986</v>
      </c>
      <c r="G74" s="16">
        <v>8216339.9000000022</v>
      </c>
      <c r="H74" s="16">
        <v>0</v>
      </c>
      <c r="I74" s="13">
        <f t="shared" ref="I74:I137" si="1">SUM(E74:H74)</f>
        <v>8313417.2191927405</v>
      </c>
    </row>
    <row r="75" spans="1:9" ht="15.75" x14ac:dyDescent="0.25">
      <c r="A75" s="8"/>
      <c r="B75" s="8"/>
      <c r="C75" s="9"/>
      <c r="D75" s="12" t="s">
        <v>71</v>
      </c>
      <c r="E75" s="16">
        <v>308578.3</v>
      </c>
      <c r="F75" s="16">
        <v>211126.17451561597</v>
      </c>
      <c r="G75" s="16">
        <v>16990565.489999998</v>
      </c>
      <c r="H75" s="16">
        <v>0</v>
      </c>
      <c r="I75" s="13">
        <f t="shared" si="1"/>
        <v>17510269.964515615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4387550.6500000004</v>
      </c>
      <c r="H76" s="16">
        <v>0</v>
      </c>
      <c r="I76" s="13">
        <f t="shared" si="1"/>
        <v>4387550.6500000004</v>
      </c>
    </row>
    <row r="77" spans="1:9" ht="15.75" x14ac:dyDescent="0.25">
      <c r="A77" s="8"/>
      <c r="B77" s="8"/>
      <c r="C77" s="9"/>
      <c r="D77" s="12" t="s">
        <v>73</v>
      </c>
      <c r="E77" s="16">
        <v>64631.45</v>
      </c>
      <c r="F77" s="16">
        <v>1047017.4645498099</v>
      </c>
      <c r="G77" s="16">
        <v>321246.75</v>
      </c>
      <c r="H77" s="16">
        <v>0</v>
      </c>
      <c r="I77" s="13">
        <f t="shared" si="1"/>
        <v>1432895.6645498099</v>
      </c>
    </row>
    <row r="78" spans="1:9" ht="15.75" x14ac:dyDescent="0.25">
      <c r="A78" s="8"/>
      <c r="B78" s="8"/>
      <c r="C78" s="9"/>
      <c r="D78" s="12" t="s">
        <v>74</v>
      </c>
      <c r="E78" s="16">
        <v>314216.02</v>
      </c>
      <c r="F78" s="16">
        <v>1062494.959594423</v>
      </c>
      <c r="G78" s="16">
        <v>494860.38</v>
      </c>
      <c r="H78" s="16">
        <v>0</v>
      </c>
      <c r="I78" s="13">
        <f t="shared" si="1"/>
        <v>1871571.3595944229</v>
      </c>
    </row>
    <row r="79" spans="1:9" ht="15.75" x14ac:dyDescent="0.25">
      <c r="A79" s="8"/>
      <c r="B79" s="8"/>
      <c r="C79" s="9"/>
      <c r="D79" s="12" t="s">
        <v>75</v>
      </c>
      <c r="E79" s="16">
        <v>259683.26</v>
      </c>
      <c r="F79" s="16">
        <v>596580.62368174386</v>
      </c>
      <c r="G79" s="16">
        <v>720338.52</v>
      </c>
      <c r="H79" s="16">
        <v>0</v>
      </c>
      <c r="I79" s="13">
        <f t="shared" si="1"/>
        <v>1576602.4036817439</v>
      </c>
    </row>
    <row r="80" spans="1:9" ht="15.75" x14ac:dyDescent="0.25">
      <c r="A80" s="8"/>
      <c r="B80" s="8"/>
      <c r="C80" s="9"/>
      <c r="D80" s="12" t="s">
        <v>76</v>
      </c>
      <c r="E80" s="16">
        <v>63308.639999999992</v>
      </c>
      <c r="F80" s="16">
        <v>315312.89244931896</v>
      </c>
      <c r="G80" s="16">
        <v>94746.87</v>
      </c>
      <c r="H80" s="16">
        <v>0</v>
      </c>
      <c r="I80" s="13">
        <f t="shared" si="1"/>
        <v>473368.40244931896</v>
      </c>
    </row>
    <row r="81" spans="1:9" ht="15.75" x14ac:dyDescent="0.25">
      <c r="A81" s="8"/>
      <c r="B81" s="8"/>
      <c r="C81" s="9"/>
      <c r="D81" s="12" t="s">
        <v>77</v>
      </c>
      <c r="E81" s="16">
        <v>947899.7799999998</v>
      </c>
      <c r="F81" s="16">
        <v>1902515.3576009318</v>
      </c>
      <c r="G81" s="16">
        <v>1189972.03</v>
      </c>
      <c r="H81" s="16">
        <v>0</v>
      </c>
      <c r="I81" s="13">
        <f t="shared" si="1"/>
        <v>4040387.1676009316</v>
      </c>
    </row>
    <row r="82" spans="1:9" ht="15.75" x14ac:dyDescent="0.25">
      <c r="A82" s="8"/>
      <c r="B82" s="8"/>
      <c r="C82" s="9"/>
      <c r="D82" s="12" t="s">
        <v>78</v>
      </c>
      <c r="E82" s="16">
        <v>691592.05999999982</v>
      </c>
      <c r="F82" s="16">
        <v>1318659.4903155908</v>
      </c>
      <c r="G82" s="16">
        <v>369751.17</v>
      </c>
      <c r="H82" s="16">
        <v>0</v>
      </c>
      <c r="I82" s="13">
        <f t="shared" si="1"/>
        <v>2380002.7203155905</v>
      </c>
    </row>
    <row r="83" spans="1:9" ht="15.75" x14ac:dyDescent="0.25">
      <c r="A83" s="8"/>
      <c r="B83" s="8"/>
      <c r="C83" s="9"/>
      <c r="D83" s="12" t="s">
        <v>79</v>
      </c>
      <c r="E83" s="16">
        <v>417388.35999999993</v>
      </c>
      <c r="F83" s="16">
        <v>541561.36992590793</v>
      </c>
      <c r="G83" s="16">
        <v>756450.63</v>
      </c>
      <c r="H83" s="16">
        <v>0</v>
      </c>
      <c r="I83" s="13">
        <f t="shared" si="1"/>
        <v>1715400.359925908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5910501.2000000011</v>
      </c>
      <c r="H84" s="16">
        <v>0</v>
      </c>
      <c r="I84" s="13">
        <f t="shared" si="1"/>
        <v>5910501.2000000011</v>
      </c>
    </row>
    <row r="85" spans="1:9" ht="15.75" x14ac:dyDescent="0.25">
      <c r="A85" s="8"/>
      <c r="B85" s="8"/>
      <c r="C85" s="9"/>
      <c r="D85" s="12" t="s">
        <v>81</v>
      </c>
      <c r="E85" s="16">
        <v>343677.63</v>
      </c>
      <c r="F85" s="16">
        <v>168485.36487463396</v>
      </c>
      <c r="G85" s="16">
        <v>2471892.31</v>
      </c>
      <c r="H85" s="16">
        <v>0</v>
      </c>
      <c r="I85" s="13">
        <f t="shared" si="1"/>
        <v>2984055.3048746339</v>
      </c>
    </row>
    <row r="86" spans="1:9" ht="15.75" x14ac:dyDescent="0.25">
      <c r="A86" s="8"/>
      <c r="B86" s="8"/>
      <c r="C86" s="9"/>
      <c r="D86" s="12" t="s">
        <v>82</v>
      </c>
      <c r="E86" s="16">
        <v>223279.61999999997</v>
      </c>
      <c r="F86" s="16">
        <v>699737.28457289084</v>
      </c>
      <c r="G86" s="16">
        <v>228968.72</v>
      </c>
      <c r="H86" s="16">
        <v>0</v>
      </c>
      <c r="I86" s="13">
        <f t="shared" si="1"/>
        <v>1151985.6245728908</v>
      </c>
    </row>
    <row r="87" spans="1:9" ht="15.75" x14ac:dyDescent="0.25">
      <c r="A87" s="8"/>
      <c r="B87" s="8"/>
      <c r="C87" s="9"/>
      <c r="D87" s="12" t="s">
        <v>83</v>
      </c>
      <c r="E87" s="16">
        <v>110099.43</v>
      </c>
      <c r="F87" s="16">
        <v>921519.2215977069</v>
      </c>
      <c r="G87" s="16">
        <v>195992.94999999998</v>
      </c>
      <c r="H87" s="16">
        <v>0</v>
      </c>
      <c r="I87" s="13">
        <f t="shared" si="1"/>
        <v>1227611.6015977068</v>
      </c>
    </row>
    <row r="88" spans="1:9" ht="15.75" x14ac:dyDescent="0.25">
      <c r="A88" s="8"/>
      <c r="B88" s="8"/>
      <c r="C88" s="9"/>
      <c r="D88" s="12" t="s">
        <v>84</v>
      </c>
      <c r="E88" s="16">
        <v>770370.92999999993</v>
      </c>
      <c r="F88" s="16">
        <v>0</v>
      </c>
      <c r="G88" s="16">
        <v>2203185.4900000002</v>
      </c>
      <c r="H88" s="16">
        <v>0</v>
      </c>
      <c r="I88" s="13">
        <f t="shared" si="1"/>
        <v>2973556.42</v>
      </c>
    </row>
    <row r="89" spans="1:9" ht="15.75" x14ac:dyDescent="0.25">
      <c r="A89" s="8"/>
      <c r="B89" s="8"/>
      <c r="C89" s="9"/>
      <c r="D89" s="12" t="s">
        <v>85</v>
      </c>
      <c r="E89" s="16">
        <v>258996.02999999997</v>
      </c>
      <c r="F89" s="16">
        <v>903635.30018643278</v>
      </c>
      <c r="G89" s="16">
        <v>489896.11000000004</v>
      </c>
      <c r="H89" s="16">
        <v>0</v>
      </c>
      <c r="I89" s="13">
        <f t="shared" si="1"/>
        <v>1652527.4401864328</v>
      </c>
    </row>
    <row r="90" spans="1:9" ht="15.75" x14ac:dyDescent="0.25">
      <c r="A90" s="8"/>
      <c r="B90" s="8"/>
      <c r="C90" s="9"/>
      <c r="D90" s="12" t="s">
        <v>86</v>
      </c>
      <c r="E90" s="16">
        <v>66412.25</v>
      </c>
      <c r="F90" s="16">
        <v>233814.06885812091</v>
      </c>
      <c r="G90" s="16">
        <v>393609.88</v>
      </c>
      <c r="H90" s="16">
        <v>0</v>
      </c>
      <c r="I90" s="13">
        <f t="shared" si="1"/>
        <v>693836.19885812094</v>
      </c>
    </row>
    <row r="91" spans="1:9" ht="15.75" x14ac:dyDescent="0.25">
      <c r="A91" s="8"/>
      <c r="B91" s="8"/>
      <c r="C91" s="9"/>
      <c r="D91" s="12" t="s">
        <v>87</v>
      </c>
      <c r="E91" s="16">
        <v>204992.8</v>
      </c>
      <c r="F91" s="16">
        <v>533312.03378336877</v>
      </c>
      <c r="G91" s="16">
        <v>1132034.5799999998</v>
      </c>
      <c r="H91" s="16">
        <v>0</v>
      </c>
      <c r="I91" s="13">
        <f t="shared" si="1"/>
        <v>1870339.4137833687</v>
      </c>
    </row>
    <row r="92" spans="1:9" ht="15.75" x14ac:dyDescent="0.25">
      <c r="A92" s="8"/>
      <c r="B92" s="8"/>
      <c r="C92" s="9"/>
      <c r="D92" s="12" t="s">
        <v>88</v>
      </c>
      <c r="E92" s="16">
        <v>29958.020000000004</v>
      </c>
      <c r="F92" s="16">
        <v>73586.919928116986</v>
      </c>
      <c r="G92" s="16">
        <v>2416200.33</v>
      </c>
      <c r="H92" s="16">
        <v>0</v>
      </c>
      <c r="I92" s="13">
        <f t="shared" si="1"/>
        <v>2519745.2699281173</v>
      </c>
    </row>
    <row r="93" spans="1:9" ht="15.75" x14ac:dyDescent="0.25">
      <c r="A93" s="8"/>
      <c r="B93" s="8"/>
      <c r="C93" s="9"/>
      <c r="D93" s="12" t="s">
        <v>89</v>
      </c>
      <c r="E93" s="16">
        <v>203644.15</v>
      </c>
      <c r="F93" s="16">
        <v>596234.31140019489</v>
      </c>
      <c r="G93" s="16">
        <v>322359.08999999997</v>
      </c>
      <c r="H93" s="16">
        <v>0</v>
      </c>
      <c r="I93" s="13">
        <f t="shared" si="1"/>
        <v>1122237.5514001949</v>
      </c>
    </row>
    <row r="94" spans="1:9" ht="15.75" x14ac:dyDescent="0.25">
      <c r="A94" s="8"/>
      <c r="B94" s="8"/>
      <c r="C94" s="9"/>
      <c r="D94" s="12" t="s">
        <v>90</v>
      </c>
      <c r="E94" s="16">
        <v>4221.84</v>
      </c>
      <c r="F94" s="16">
        <v>0</v>
      </c>
      <c r="G94" s="16">
        <v>135865.24</v>
      </c>
      <c r="H94" s="16">
        <v>0</v>
      </c>
      <c r="I94" s="13">
        <f t="shared" si="1"/>
        <v>140087.07999999999</v>
      </c>
    </row>
    <row r="95" spans="1:9" ht="15.75" x14ac:dyDescent="0.25">
      <c r="A95" s="8"/>
      <c r="B95" s="8"/>
      <c r="C95" s="9"/>
      <c r="D95" s="12" t="s">
        <v>91</v>
      </c>
      <c r="E95" s="16">
        <v>63527.670000000006</v>
      </c>
      <c r="F95" s="16">
        <v>18913.978453829994</v>
      </c>
      <c r="G95" s="16">
        <v>2429664.4600000004</v>
      </c>
      <c r="H95" s="16">
        <v>0</v>
      </c>
      <c r="I95" s="13">
        <f t="shared" si="1"/>
        <v>2512106.1084538302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5043154.1399999997</v>
      </c>
      <c r="H96" s="16">
        <v>0</v>
      </c>
      <c r="I96" s="13">
        <f t="shared" si="1"/>
        <v>5043154.1399999997</v>
      </c>
    </row>
    <row r="97" spans="1:9" ht="15.75" x14ac:dyDescent="0.25">
      <c r="A97" s="8"/>
      <c r="B97" s="8"/>
      <c r="C97" s="9"/>
      <c r="D97" s="12" t="s">
        <v>93</v>
      </c>
      <c r="E97" s="16">
        <v>71817.33</v>
      </c>
      <c r="F97" s="16">
        <v>849308.67099369492</v>
      </c>
      <c r="G97" s="16">
        <v>354872.66</v>
      </c>
      <c r="H97" s="16">
        <v>0</v>
      </c>
      <c r="I97" s="13">
        <f t="shared" si="1"/>
        <v>1275998.6609936948</v>
      </c>
    </row>
    <row r="98" spans="1:9" ht="15.75" x14ac:dyDescent="0.25">
      <c r="A98" s="8"/>
      <c r="B98" s="8"/>
      <c r="C98" s="9"/>
      <c r="D98" s="12" t="s">
        <v>94</v>
      </c>
      <c r="E98" s="16">
        <v>263916.18000000005</v>
      </c>
      <c r="F98" s="16">
        <v>1117167.9010687098</v>
      </c>
      <c r="G98" s="16">
        <v>2775570.32</v>
      </c>
      <c r="H98" s="16">
        <v>0</v>
      </c>
      <c r="I98" s="13">
        <f t="shared" si="1"/>
        <v>4156654.4010687098</v>
      </c>
    </row>
    <row r="99" spans="1:9" ht="15.75" x14ac:dyDescent="0.25">
      <c r="A99" s="8"/>
      <c r="B99" s="8"/>
      <c r="C99" s="9"/>
      <c r="D99" s="12" t="s">
        <v>95</v>
      </c>
      <c r="E99" s="16">
        <v>401890.81999999995</v>
      </c>
      <c r="F99" s="16">
        <v>2128772.7148796115</v>
      </c>
      <c r="G99" s="16">
        <v>1216203.04</v>
      </c>
      <c r="H99" s="16">
        <v>0</v>
      </c>
      <c r="I99" s="13">
        <f t="shared" si="1"/>
        <v>3746866.5748796114</v>
      </c>
    </row>
    <row r="100" spans="1:9" ht="15.75" x14ac:dyDescent="0.25">
      <c r="A100" s="8"/>
      <c r="B100" s="8"/>
      <c r="C100" s="9"/>
      <c r="D100" s="12" t="s">
        <v>96</v>
      </c>
      <c r="E100" s="16">
        <v>520698.94000000006</v>
      </c>
      <c r="F100" s="16">
        <v>2129802.7719221679</v>
      </c>
      <c r="G100" s="16">
        <v>2374623.6800000002</v>
      </c>
      <c r="H100" s="16">
        <v>0</v>
      </c>
      <c r="I100" s="13">
        <f t="shared" si="1"/>
        <v>5025125.3919221684</v>
      </c>
    </row>
    <row r="101" spans="1:9" ht="15.75" x14ac:dyDescent="0.25">
      <c r="A101" s="8"/>
      <c r="B101" s="8"/>
      <c r="C101" s="9"/>
      <c r="D101" s="12" t="s">
        <v>97</v>
      </c>
      <c r="E101" s="16">
        <v>14319.66</v>
      </c>
      <c r="F101" s="16">
        <v>2858053.101009259</v>
      </c>
      <c r="G101" s="16">
        <v>29262.239999999998</v>
      </c>
      <c r="H101" s="16">
        <v>0</v>
      </c>
      <c r="I101" s="13">
        <f t="shared" si="1"/>
        <v>2901635.0010092594</v>
      </c>
    </row>
    <row r="102" spans="1:9" ht="15.75" x14ac:dyDescent="0.25">
      <c r="A102" s="8"/>
      <c r="B102" s="8"/>
      <c r="C102" s="9"/>
      <c r="D102" s="12" t="s">
        <v>98</v>
      </c>
      <c r="E102" s="16">
        <v>640389.62</v>
      </c>
      <c r="F102" s="16">
        <v>1228920.2103839447</v>
      </c>
      <c r="G102" s="16">
        <v>1044443.1600000001</v>
      </c>
      <c r="H102" s="16">
        <v>0</v>
      </c>
      <c r="I102" s="13">
        <f t="shared" si="1"/>
        <v>2913752.9903839449</v>
      </c>
    </row>
    <row r="103" spans="1:9" ht="15.75" x14ac:dyDescent="0.25">
      <c r="A103" s="8"/>
      <c r="B103" s="8"/>
      <c r="C103" s="9"/>
      <c r="D103" s="12" t="s">
        <v>99</v>
      </c>
      <c r="E103" s="16">
        <v>101282.66999999998</v>
      </c>
      <c r="F103" s="16">
        <v>390267.3018994499</v>
      </c>
      <c r="G103" s="16">
        <v>243535.93</v>
      </c>
      <c r="H103" s="16">
        <v>0</v>
      </c>
      <c r="I103" s="13">
        <f t="shared" si="1"/>
        <v>735085.90189944988</v>
      </c>
    </row>
    <row r="104" spans="1:9" ht="15.75" x14ac:dyDescent="0.25">
      <c r="A104" s="8"/>
      <c r="B104" s="8"/>
      <c r="C104" s="9"/>
      <c r="D104" s="12" t="s">
        <v>100</v>
      </c>
      <c r="E104" s="16">
        <v>936405.66999999993</v>
      </c>
      <c r="F104" s="16">
        <v>713145.78573030082</v>
      </c>
      <c r="G104" s="16">
        <v>2784299.79</v>
      </c>
      <c r="H104" s="16">
        <v>0</v>
      </c>
      <c r="I104" s="13">
        <f t="shared" si="1"/>
        <v>4433851.2457303014</v>
      </c>
    </row>
    <row r="105" spans="1:9" ht="15.75" x14ac:dyDescent="0.25">
      <c r="A105" s="8"/>
      <c r="B105" s="8"/>
      <c r="C105" s="9"/>
      <c r="D105" s="12" t="s">
        <v>101</v>
      </c>
      <c r="E105" s="16">
        <v>136034.58000000002</v>
      </c>
      <c r="F105" s="16">
        <v>1059058.4761852059</v>
      </c>
      <c r="G105" s="16">
        <v>53058.220000000008</v>
      </c>
      <c r="H105" s="16">
        <v>0</v>
      </c>
      <c r="I105" s="13">
        <f t="shared" si="1"/>
        <v>1248151.2761852059</v>
      </c>
    </row>
    <row r="106" spans="1:9" ht="15.75" x14ac:dyDescent="0.25">
      <c r="A106" s="8"/>
      <c r="B106" s="8"/>
      <c r="C106" s="9"/>
      <c r="D106" s="12" t="s">
        <v>102</v>
      </c>
      <c r="E106" s="16">
        <v>551276.82999999996</v>
      </c>
      <c r="F106" s="16">
        <v>65328.703983486979</v>
      </c>
      <c r="G106" s="16">
        <v>3669196.7800000003</v>
      </c>
      <c r="H106" s="16">
        <v>0</v>
      </c>
      <c r="I106" s="13">
        <f t="shared" si="1"/>
        <v>4285802.313983487</v>
      </c>
    </row>
    <row r="107" spans="1:9" ht="15.75" x14ac:dyDescent="0.25">
      <c r="A107" s="8"/>
      <c r="B107" s="8"/>
      <c r="C107" s="9"/>
      <c r="D107" s="12" t="s">
        <v>103</v>
      </c>
      <c r="E107" s="16">
        <v>0</v>
      </c>
      <c r="F107" s="16">
        <v>0</v>
      </c>
      <c r="G107" s="16">
        <v>1019572.5400000002</v>
      </c>
      <c r="H107" s="16">
        <v>0</v>
      </c>
      <c r="I107" s="13">
        <f t="shared" si="1"/>
        <v>1019572.5400000002</v>
      </c>
    </row>
    <row r="108" spans="1:9" ht="15.75" x14ac:dyDescent="0.25">
      <c r="A108" s="8"/>
      <c r="B108" s="8"/>
      <c r="C108" s="9"/>
      <c r="D108" s="12" t="s">
        <v>104</v>
      </c>
      <c r="E108" s="16">
        <v>73432.26999999999</v>
      </c>
      <c r="F108" s="16">
        <v>0</v>
      </c>
      <c r="G108" s="16">
        <v>375560.97</v>
      </c>
      <c r="H108" s="16">
        <v>0</v>
      </c>
      <c r="I108" s="13">
        <f t="shared" si="1"/>
        <v>448993.24</v>
      </c>
    </row>
    <row r="109" spans="1:9" ht="15.75" x14ac:dyDescent="0.25">
      <c r="A109" s="8"/>
      <c r="B109" s="8"/>
      <c r="C109" s="9"/>
      <c r="D109" s="12" t="s">
        <v>105</v>
      </c>
      <c r="E109" s="16">
        <v>36880.47</v>
      </c>
      <c r="F109" s="16">
        <v>1703430.1947207116</v>
      </c>
      <c r="G109" s="16">
        <v>260282.78999999998</v>
      </c>
      <c r="H109" s="16">
        <v>0</v>
      </c>
      <c r="I109" s="13">
        <f t="shared" si="1"/>
        <v>2000593.4547207116</v>
      </c>
    </row>
    <row r="110" spans="1:9" ht="15.75" x14ac:dyDescent="0.25">
      <c r="A110" s="8"/>
      <c r="B110" s="8"/>
      <c r="C110" s="9"/>
      <c r="D110" s="12" t="s">
        <v>106</v>
      </c>
      <c r="E110" s="16">
        <v>182153.44000000003</v>
      </c>
      <c r="F110" s="16">
        <v>418460.67353837495</v>
      </c>
      <c r="G110" s="16">
        <v>273334.66000000003</v>
      </c>
      <c r="H110" s="16">
        <v>0</v>
      </c>
      <c r="I110" s="13">
        <f t="shared" si="1"/>
        <v>873948.77353837504</v>
      </c>
    </row>
    <row r="111" spans="1:9" ht="15.75" x14ac:dyDescent="0.25">
      <c r="A111" s="8"/>
      <c r="B111" s="8"/>
      <c r="C111" s="9"/>
      <c r="D111" s="12" t="s">
        <v>107</v>
      </c>
      <c r="E111" s="16">
        <v>7438.1</v>
      </c>
      <c r="F111" s="16">
        <v>6535.5343389759992</v>
      </c>
      <c r="G111" s="16">
        <v>7890748.1100000003</v>
      </c>
      <c r="H111" s="16">
        <v>0</v>
      </c>
      <c r="I111" s="13">
        <f t="shared" si="1"/>
        <v>7904721.7443389762</v>
      </c>
    </row>
    <row r="112" spans="1:9" ht="15.75" x14ac:dyDescent="0.25">
      <c r="A112" s="8"/>
      <c r="B112" s="8"/>
      <c r="C112" s="9"/>
      <c r="D112" s="12" t="s">
        <v>108</v>
      </c>
      <c r="E112" s="16">
        <v>438297.01</v>
      </c>
      <c r="F112" s="16">
        <v>447000.35745884886</v>
      </c>
      <c r="G112" s="16">
        <v>524151.10000000003</v>
      </c>
      <c r="H112" s="16">
        <v>0</v>
      </c>
      <c r="I112" s="13">
        <f t="shared" si="1"/>
        <v>1409448.4674588488</v>
      </c>
    </row>
    <row r="113" spans="1:9" ht="15.75" x14ac:dyDescent="0.25">
      <c r="A113" s="8"/>
      <c r="B113" s="8"/>
      <c r="C113" s="9"/>
      <c r="D113" s="12" t="s">
        <v>109</v>
      </c>
      <c r="E113" s="16">
        <v>136957.24</v>
      </c>
      <c r="F113" s="16">
        <v>1076249.7730333819</v>
      </c>
      <c r="G113" s="16">
        <v>381873.68</v>
      </c>
      <c r="H113" s="16">
        <v>0</v>
      </c>
      <c r="I113" s="13">
        <f t="shared" si="1"/>
        <v>1595080.6930333818</v>
      </c>
    </row>
    <row r="114" spans="1:9" ht="15.75" x14ac:dyDescent="0.25">
      <c r="A114" s="8"/>
      <c r="B114" s="8"/>
      <c r="C114" s="9"/>
      <c r="D114" s="12" t="s">
        <v>110</v>
      </c>
      <c r="E114" s="16">
        <v>194157.92</v>
      </c>
      <c r="F114" s="16">
        <v>1234416.8078782738</v>
      </c>
      <c r="G114" s="16">
        <v>649791.21</v>
      </c>
      <c r="H114" s="16">
        <v>0</v>
      </c>
      <c r="I114" s="13">
        <f t="shared" si="1"/>
        <v>2078365.9378782737</v>
      </c>
    </row>
    <row r="115" spans="1:9" ht="15.75" x14ac:dyDescent="0.25">
      <c r="A115" s="8"/>
      <c r="B115" s="8"/>
      <c r="C115" s="9"/>
      <c r="D115" s="12" t="s">
        <v>111</v>
      </c>
      <c r="E115" s="16">
        <v>1043956.7899999999</v>
      </c>
      <c r="F115" s="16">
        <v>610335.43712070282</v>
      </c>
      <c r="G115" s="16">
        <v>1266187.8700000001</v>
      </c>
      <c r="H115" s="16">
        <v>0</v>
      </c>
      <c r="I115" s="13">
        <f t="shared" si="1"/>
        <v>2920480.0971207027</v>
      </c>
    </row>
    <row r="116" spans="1:9" ht="15.75" x14ac:dyDescent="0.25">
      <c r="A116" s="8"/>
      <c r="B116" s="8"/>
      <c r="C116" s="9"/>
      <c r="D116" s="12" t="s">
        <v>112</v>
      </c>
      <c r="E116" s="16">
        <v>204143.80000000002</v>
      </c>
      <c r="F116" s="16">
        <v>792575.61543429573</v>
      </c>
      <c r="G116" s="16">
        <v>277519.07999999996</v>
      </c>
      <c r="H116" s="16">
        <v>0</v>
      </c>
      <c r="I116" s="13">
        <f t="shared" si="1"/>
        <v>1274238.4954342959</v>
      </c>
    </row>
    <row r="117" spans="1:9" ht="15.75" x14ac:dyDescent="0.25">
      <c r="A117" s="8"/>
      <c r="B117" s="8"/>
      <c r="C117" s="9"/>
      <c r="D117" s="12" t="s">
        <v>113</v>
      </c>
      <c r="E117" s="16">
        <v>178947.84000000003</v>
      </c>
      <c r="F117" s="16">
        <v>612049.23892426584</v>
      </c>
      <c r="G117" s="16">
        <v>837725.06999999983</v>
      </c>
      <c r="H117" s="16">
        <v>0</v>
      </c>
      <c r="I117" s="13">
        <f t="shared" si="1"/>
        <v>1628722.1489242658</v>
      </c>
    </row>
    <row r="118" spans="1:9" ht="15.75" x14ac:dyDescent="0.25">
      <c r="A118" s="8"/>
      <c r="B118" s="8"/>
      <c r="C118" s="9"/>
      <c r="D118" s="12" t="s">
        <v>114</v>
      </c>
      <c r="E118" s="16">
        <v>220002.77000000005</v>
      </c>
      <c r="F118" s="16">
        <v>955901.81529405876</v>
      </c>
      <c r="G118" s="16">
        <v>795967.99</v>
      </c>
      <c r="H118" s="16">
        <v>0</v>
      </c>
      <c r="I118" s="13">
        <f t="shared" si="1"/>
        <v>1971872.5752940588</v>
      </c>
    </row>
    <row r="119" spans="1:9" ht="15.75" x14ac:dyDescent="0.25">
      <c r="A119" s="8"/>
      <c r="B119" s="8"/>
      <c r="C119" s="9"/>
      <c r="D119" s="12" t="s">
        <v>115</v>
      </c>
      <c r="E119" s="16">
        <v>15377.01</v>
      </c>
      <c r="F119" s="16">
        <v>92838.330861404989</v>
      </c>
      <c r="G119" s="16">
        <v>451456.30000000005</v>
      </c>
      <c r="H119" s="16">
        <v>0</v>
      </c>
      <c r="I119" s="13">
        <f t="shared" si="1"/>
        <v>559671.64086140506</v>
      </c>
    </row>
    <row r="120" spans="1:9" ht="15.75" x14ac:dyDescent="0.25">
      <c r="A120" s="8"/>
      <c r="B120" s="8"/>
      <c r="C120" s="9"/>
      <c r="D120" s="12" t="s">
        <v>116</v>
      </c>
      <c r="E120" s="16">
        <v>405946.37999999995</v>
      </c>
      <c r="F120" s="16">
        <v>405744.79694406292</v>
      </c>
      <c r="G120" s="16">
        <v>684167.99</v>
      </c>
      <c r="H120" s="16">
        <v>0</v>
      </c>
      <c r="I120" s="13">
        <f t="shared" si="1"/>
        <v>1495859.1669440628</v>
      </c>
    </row>
    <row r="121" spans="1:9" ht="15.75" x14ac:dyDescent="0.25">
      <c r="A121" s="8"/>
      <c r="B121" s="8"/>
      <c r="C121" s="9"/>
      <c r="D121" s="12" t="s">
        <v>117</v>
      </c>
      <c r="E121" s="16">
        <v>218586.17000000004</v>
      </c>
      <c r="F121" s="16">
        <v>602077.22117607284</v>
      </c>
      <c r="G121" s="16">
        <v>429351.34</v>
      </c>
      <c r="H121" s="16">
        <v>0</v>
      </c>
      <c r="I121" s="13">
        <f t="shared" si="1"/>
        <v>1250014.731176073</v>
      </c>
    </row>
    <row r="122" spans="1:9" ht="15.75" x14ac:dyDescent="0.25">
      <c r="A122" s="8"/>
      <c r="B122" s="8"/>
      <c r="C122" s="9"/>
      <c r="D122" s="12" t="s">
        <v>118</v>
      </c>
      <c r="E122" s="16">
        <v>324274.82999999996</v>
      </c>
      <c r="F122" s="16">
        <v>443910.18633118091</v>
      </c>
      <c r="G122" s="16">
        <v>1108551.6100000001</v>
      </c>
      <c r="H122" s="16">
        <v>0</v>
      </c>
      <c r="I122" s="13">
        <f t="shared" si="1"/>
        <v>1876736.626331181</v>
      </c>
    </row>
    <row r="123" spans="1:9" ht="15.75" x14ac:dyDescent="0.25">
      <c r="A123" s="8"/>
      <c r="B123" s="8"/>
      <c r="C123" s="9"/>
      <c r="D123" s="12" t="s">
        <v>119</v>
      </c>
      <c r="E123" s="16">
        <v>338836.25000000006</v>
      </c>
      <c r="F123" s="16">
        <v>815609.82205834985</v>
      </c>
      <c r="G123" s="16">
        <v>234227.95</v>
      </c>
      <c r="H123" s="16">
        <v>0</v>
      </c>
      <c r="I123" s="13">
        <f t="shared" si="1"/>
        <v>1388674.0220583498</v>
      </c>
    </row>
    <row r="124" spans="1:9" ht="15.75" x14ac:dyDescent="0.25">
      <c r="A124" s="8"/>
      <c r="B124" s="8"/>
      <c r="C124" s="9"/>
      <c r="D124" s="12" t="s">
        <v>120</v>
      </c>
      <c r="E124" s="16">
        <v>10960.44</v>
      </c>
      <c r="F124" s="16">
        <v>0</v>
      </c>
      <c r="G124" s="16">
        <v>1969796.11</v>
      </c>
      <c r="H124" s="16">
        <v>1196127.4649999999</v>
      </c>
      <c r="I124" s="13">
        <f t="shared" si="1"/>
        <v>3176884.0149999997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6439023.4400000004</v>
      </c>
      <c r="H125" s="16">
        <v>210467.05499999996</v>
      </c>
      <c r="I125" s="13">
        <f t="shared" si="1"/>
        <v>6649490.4950000001</v>
      </c>
    </row>
    <row r="126" spans="1:9" ht="15.75" x14ac:dyDescent="0.25">
      <c r="A126" s="8"/>
      <c r="B126" s="8"/>
      <c r="C126" s="9"/>
      <c r="D126" s="12" t="s">
        <v>122</v>
      </c>
      <c r="E126" s="16">
        <v>73517.649999999994</v>
      </c>
      <c r="F126" s="16">
        <v>0</v>
      </c>
      <c r="G126" s="16">
        <v>2557337.2200000002</v>
      </c>
      <c r="H126" s="16">
        <v>0</v>
      </c>
      <c r="I126" s="13">
        <f t="shared" si="1"/>
        <v>2630854.87</v>
      </c>
    </row>
    <row r="127" spans="1:9" ht="15.75" x14ac:dyDescent="0.25">
      <c r="A127" s="8"/>
      <c r="B127" s="8"/>
      <c r="C127" s="9"/>
      <c r="D127" s="12" t="s">
        <v>123</v>
      </c>
      <c r="E127" s="16">
        <v>149468.39999999997</v>
      </c>
      <c r="F127" s="16">
        <v>171921.84828385097</v>
      </c>
      <c r="G127" s="16">
        <v>9139439.5099999998</v>
      </c>
      <c r="H127" s="16">
        <v>0</v>
      </c>
      <c r="I127" s="13">
        <f t="shared" si="1"/>
        <v>9460829.7582838498</v>
      </c>
    </row>
    <row r="128" spans="1:9" ht="15.75" x14ac:dyDescent="0.25">
      <c r="A128" s="8"/>
      <c r="B128" s="8"/>
      <c r="C128" s="9"/>
      <c r="D128" s="12" t="s">
        <v>124</v>
      </c>
      <c r="E128" s="16">
        <v>381579.66000000003</v>
      </c>
      <c r="F128" s="16">
        <v>536402.20491103688</v>
      </c>
      <c r="G128" s="16">
        <v>1042139.4799999999</v>
      </c>
      <c r="H128" s="16">
        <v>0</v>
      </c>
      <c r="I128" s="13">
        <f t="shared" si="1"/>
        <v>1960121.3449110368</v>
      </c>
    </row>
    <row r="129" spans="1:9" ht="15.75" x14ac:dyDescent="0.25">
      <c r="A129" s="8"/>
      <c r="B129" s="8"/>
      <c r="C129" s="9"/>
      <c r="D129" s="12" t="s">
        <v>125</v>
      </c>
      <c r="E129" s="16">
        <v>175308.64000000004</v>
      </c>
      <c r="F129" s="16">
        <v>259609.89393247597</v>
      </c>
      <c r="G129" s="16">
        <v>655153.87</v>
      </c>
      <c r="H129" s="16">
        <v>0</v>
      </c>
      <c r="I129" s="13">
        <f t="shared" si="1"/>
        <v>1090072.403932476</v>
      </c>
    </row>
    <row r="130" spans="1:9" ht="15.75" x14ac:dyDescent="0.25">
      <c r="A130" s="8"/>
      <c r="B130" s="8"/>
      <c r="C130" s="9"/>
      <c r="D130" s="12" t="s">
        <v>126</v>
      </c>
      <c r="E130" s="16">
        <v>117542.19000000002</v>
      </c>
      <c r="F130" s="16">
        <v>457318.68748859089</v>
      </c>
      <c r="G130" s="16">
        <v>225195.67</v>
      </c>
      <c r="H130" s="16">
        <v>0</v>
      </c>
      <c r="I130" s="13">
        <f t="shared" si="1"/>
        <v>800056.54748859094</v>
      </c>
    </row>
    <row r="131" spans="1:9" ht="15.75" x14ac:dyDescent="0.25">
      <c r="A131" s="8"/>
      <c r="B131" s="8"/>
      <c r="C131" s="9"/>
      <c r="D131" s="12" t="s">
        <v>127</v>
      </c>
      <c r="E131" s="16">
        <v>783022.94</v>
      </c>
      <c r="F131" s="16">
        <v>2499442.2935642246</v>
      </c>
      <c r="G131" s="16">
        <v>4261713.7399999993</v>
      </c>
      <c r="H131" s="16">
        <v>0</v>
      </c>
      <c r="I131" s="13">
        <f t="shared" si="1"/>
        <v>7544178.9735642243</v>
      </c>
    </row>
    <row r="132" spans="1:9" ht="15.75" x14ac:dyDescent="0.25">
      <c r="A132" s="8"/>
      <c r="B132" s="8"/>
      <c r="C132" s="9"/>
      <c r="D132" s="12" t="s">
        <v>128</v>
      </c>
      <c r="E132" s="16">
        <v>262294.85000000003</v>
      </c>
      <c r="F132" s="16">
        <v>1533568.4605219727</v>
      </c>
      <c r="G132" s="16">
        <v>146374.44</v>
      </c>
      <c r="H132" s="16">
        <v>0</v>
      </c>
      <c r="I132" s="13">
        <f t="shared" si="1"/>
        <v>1942237.7505219728</v>
      </c>
    </row>
    <row r="133" spans="1:9" ht="15.75" x14ac:dyDescent="0.25">
      <c r="A133" s="8"/>
      <c r="B133" s="8"/>
      <c r="C133" s="9"/>
      <c r="D133" s="12" t="s">
        <v>129</v>
      </c>
      <c r="E133" s="16">
        <v>130608.04000000001</v>
      </c>
      <c r="F133" s="16">
        <v>0</v>
      </c>
      <c r="G133" s="16">
        <v>6485940.2899999991</v>
      </c>
      <c r="H133" s="16">
        <v>922198.85499999998</v>
      </c>
      <c r="I133" s="13">
        <f t="shared" si="1"/>
        <v>7538747.1849999987</v>
      </c>
    </row>
    <row r="134" spans="1:9" ht="15.75" x14ac:dyDescent="0.25">
      <c r="A134" s="8"/>
      <c r="B134" s="8"/>
      <c r="C134" s="9"/>
      <c r="D134" s="12" t="s">
        <v>130</v>
      </c>
      <c r="E134" s="16">
        <v>7761.63</v>
      </c>
      <c r="F134" s="16">
        <v>75647.034013228986</v>
      </c>
      <c r="G134" s="16">
        <v>16782.149999999998</v>
      </c>
      <c r="H134" s="16">
        <v>0</v>
      </c>
      <c r="I134" s="13">
        <f t="shared" si="1"/>
        <v>100190.81401322898</v>
      </c>
    </row>
    <row r="135" spans="1:9" ht="15.75" x14ac:dyDescent="0.25">
      <c r="A135" s="8"/>
      <c r="B135" s="8"/>
      <c r="C135" s="9"/>
      <c r="D135" s="12" t="s">
        <v>131</v>
      </c>
      <c r="E135" s="16">
        <v>195420.84999999998</v>
      </c>
      <c r="F135" s="16">
        <v>955901.81529405876</v>
      </c>
      <c r="G135" s="16">
        <v>223571.77</v>
      </c>
      <c r="H135" s="16">
        <v>0</v>
      </c>
      <c r="I135" s="13">
        <f t="shared" si="1"/>
        <v>1374894.4352940586</v>
      </c>
    </row>
    <row r="136" spans="1:9" ht="15.75" x14ac:dyDescent="0.25">
      <c r="A136" s="8"/>
      <c r="B136" s="8"/>
      <c r="C136" s="9"/>
      <c r="D136" s="12" t="s">
        <v>132</v>
      </c>
      <c r="E136" s="16">
        <v>730928.41999999993</v>
      </c>
      <c r="F136" s="16">
        <v>1155333.290455828</v>
      </c>
      <c r="G136" s="16">
        <v>1958676.5799999998</v>
      </c>
      <c r="H136" s="16">
        <v>0</v>
      </c>
      <c r="I136" s="13">
        <f t="shared" si="1"/>
        <v>3844938.2904558275</v>
      </c>
    </row>
    <row r="137" spans="1:9" ht="15.75" x14ac:dyDescent="0.25">
      <c r="A137" s="8"/>
      <c r="B137" s="8"/>
      <c r="C137" s="9"/>
      <c r="D137" s="12" t="s">
        <v>133</v>
      </c>
      <c r="E137" s="16">
        <v>960983.44000000006</v>
      </c>
      <c r="F137" s="16">
        <v>1816558.8733600518</v>
      </c>
      <c r="G137" s="16">
        <v>2729200.23</v>
      </c>
      <c r="H137" s="16">
        <v>0</v>
      </c>
      <c r="I137" s="13">
        <f t="shared" si="1"/>
        <v>5506742.5433600517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4342960.57</v>
      </c>
      <c r="H138" s="16">
        <v>0</v>
      </c>
      <c r="I138" s="13">
        <f t="shared" ref="I138:I144" si="2">SUM(E138:H138)</f>
        <v>4342960.57</v>
      </c>
    </row>
    <row r="139" spans="1:9" ht="15.75" x14ac:dyDescent="0.25">
      <c r="A139" s="8"/>
      <c r="B139" s="8"/>
      <c r="C139" s="9"/>
      <c r="D139" s="12" t="s">
        <v>135</v>
      </c>
      <c r="E139" s="16">
        <v>118044.21</v>
      </c>
      <c r="F139" s="16">
        <v>271988.33804732998</v>
      </c>
      <c r="G139" s="16">
        <v>312363.11</v>
      </c>
      <c r="H139" s="16">
        <v>0</v>
      </c>
      <c r="I139" s="13">
        <f t="shared" si="2"/>
        <v>702395.65804732998</v>
      </c>
    </row>
    <row r="140" spans="1:9" ht="15.75" x14ac:dyDescent="0.25">
      <c r="A140" s="8"/>
      <c r="B140" s="8"/>
      <c r="C140" s="9"/>
      <c r="D140" s="12" t="s">
        <v>136</v>
      </c>
      <c r="E140" s="16">
        <v>510283.03</v>
      </c>
      <c r="F140" s="16">
        <v>1928994.9274362936</v>
      </c>
      <c r="G140" s="16">
        <v>990158.99</v>
      </c>
      <c r="H140" s="16">
        <v>0</v>
      </c>
      <c r="I140" s="13">
        <f t="shared" si="2"/>
        <v>3429436.9474362936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4909222.0799999991</v>
      </c>
      <c r="H141" s="16">
        <v>58638.100000000006</v>
      </c>
      <c r="I141" s="13">
        <f t="shared" si="2"/>
        <v>4967860.1799999988</v>
      </c>
    </row>
    <row r="142" spans="1:9" ht="15.75" x14ac:dyDescent="0.25">
      <c r="A142" s="8"/>
      <c r="B142" s="8"/>
      <c r="C142" s="9"/>
      <c r="D142" s="12" t="s">
        <v>138</v>
      </c>
      <c r="E142" s="16">
        <v>7355.74</v>
      </c>
      <c r="F142" s="16">
        <v>0</v>
      </c>
      <c r="G142" s="16">
        <v>1177231.8400000001</v>
      </c>
      <c r="H142" s="16">
        <v>0</v>
      </c>
      <c r="I142" s="13">
        <f t="shared" si="2"/>
        <v>1184587.58</v>
      </c>
    </row>
    <row r="143" spans="1:9" ht="15.75" x14ac:dyDescent="0.25">
      <c r="A143" s="8"/>
      <c r="B143" s="8"/>
      <c r="C143" s="9"/>
      <c r="D143" s="12" t="s">
        <v>139</v>
      </c>
      <c r="E143" s="16">
        <v>194834.91</v>
      </c>
      <c r="F143" s="16">
        <v>1782860.0244247064</v>
      </c>
      <c r="G143" s="16">
        <v>139692.27000000002</v>
      </c>
      <c r="H143" s="16">
        <v>0</v>
      </c>
      <c r="I143" s="13">
        <f t="shared" si="2"/>
        <v>2117387.2044247063</v>
      </c>
    </row>
    <row r="144" spans="1:9" ht="15.75" x14ac:dyDescent="0.25">
      <c r="A144" s="8"/>
      <c r="B144" s="8"/>
      <c r="C144" s="9"/>
      <c r="D144" s="12" t="s">
        <v>140</v>
      </c>
      <c r="E144" s="16">
        <v>385355.61999999994</v>
      </c>
      <c r="F144" s="16">
        <v>216622.77200994495</v>
      </c>
      <c r="G144" s="16">
        <v>1185128.0499999998</v>
      </c>
      <c r="H144" s="16">
        <v>0</v>
      </c>
      <c r="I144" s="13">
        <f t="shared" si="2"/>
        <v>1787106.4420099447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40523471.330000006</v>
      </c>
      <c r="F145" s="22">
        <f>SUM(F10:F144)</f>
        <v>88793900.681829751</v>
      </c>
      <c r="G145" s="22">
        <f>SUM(G10:G144)</f>
        <v>225458743.16000012</v>
      </c>
      <c r="H145" s="22">
        <f>SUM(H10:H144)</f>
        <v>2387431.4750000001</v>
      </c>
      <c r="I145" s="22">
        <f>SUM(I10:I144)</f>
        <v>357163546.64682978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AEAC"/>
    <pageSetUpPr fitToPage="1"/>
  </sheetPr>
  <dimension ref="A1:I145"/>
  <sheetViews>
    <sheetView showGridLines="0" tabSelected="1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9" width="20.1640625" style="2" customWidth="1"/>
    <col min="10" max="16384" width="12" style="2"/>
  </cols>
  <sheetData>
    <row r="1" spans="1:9" ht="18.75" customHeight="1" x14ac:dyDescent="0.2"/>
    <row r="2" spans="1:9" ht="44.25" customHeight="1" x14ac:dyDescent="0.2">
      <c r="D2" s="15"/>
      <c r="E2" s="15"/>
      <c r="F2" s="15"/>
      <c r="G2" s="15"/>
      <c r="H2" s="15"/>
      <c r="I2" s="15"/>
    </row>
    <row r="3" spans="1:9" ht="11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17.25" customHeight="1" x14ac:dyDescent="0.3">
      <c r="D5" s="18" t="s">
        <v>143</v>
      </c>
      <c r="E5" s="19"/>
      <c r="F5" s="19"/>
      <c r="G5" s="19"/>
      <c r="H5" s="19"/>
      <c r="I5" s="19"/>
    </row>
    <row r="6" spans="1:9" ht="17.25" customHeight="1" x14ac:dyDescent="0.3">
      <c r="D6" s="18" t="s">
        <v>144</v>
      </c>
      <c r="E6" s="19"/>
      <c r="F6" s="19"/>
      <c r="G6" s="19"/>
      <c r="H6" s="19"/>
      <c r="I6" s="19"/>
    </row>
    <row r="7" spans="1:9" ht="12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145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6">
        <v>5930741.0500000017</v>
      </c>
      <c r="F10" s="16">
        <v>10530796.77420238</v>
      </c>
      <c r="G10" s="16">
        <v>353838.24</v>
      </c>
      <c r="H10" s="16">
        <v>0</v>
      </c>
      <c r="I10" s="13">
        <f t="shared" ref="I10:I73" si="0">SUM(E10:H10)</f>
        <v>16815376.064202379</v>
      </c>
    </row>
    <row r="11" spans="1:9" ht="15.75" x14ac:dyDescent="0.25">
      <c r="A11" s="8"/>
      <c r="B11" s="8"/>
      <c r="C11" s="9"/>
      <c r="D11" s="12" t="s">
        <v>7</v>
      </c>
      <c r="E11" s="16">
        <v>8249581.330000001</v>
      </c>
      <c r="F11" s="16">
        <v>5910687.2928229682</v>
      </c>
      <c r="G11" s="16">
        <v>332760</v>
      </c>
      <c r="H11" s="16">
        <v>0</v>
      </c>
      <c r="I11" s="13">
        <f t="shared" si="0"/>
        <v>14493028.62282297</v>
      </c>
    </row>
    <row r="12" spans="1:9" ht="15.75" x14ac:dyDescent="0.25">
      <c r="A12" s="8"/>
      <c r="B12" s="8"/>
      <c r="C12" s="9"/>
      <c r="D12" s="12" t="s">
        <v>8</v>
      </c>
      <c r="E12" s="16">
        <v>9457700.9499999993</v>
      </c>
      <c r="F12" s="16">
        <v>2142797.3788444018</v>
      </c>
      <c r="G12" s="16">
        <v>267600.25999999995</v>
      </c>
      <c r="H12" s="16">
        <v>0</v>
      </c>
      <c r="I12" s="13">
        <f t="shared" si="0"/>
        <v>11868098.588844402</v>
      </c>
    </row>
    <row r="13" spans="1:9" ht="15.75" x14ac:dyDescent="0.25">
      <c r="A13" s="8"/>
      <c r="B13" s="8"/>
      <c r="C13" s="9"/>
      <c r="D13" s="12" t="s">
        <v>9</v>
      </c>
      <c r="E13" s="16">
        <v>1944629.1300000001</v>
      </c>
      <c r="F13" s="16">
        <v>56704.027560684</v>
      </c>
      <c r="G13" s="16">
        <v>3370614.05</v>
      </c>
      <c r="H13" s="16">
        <v>0</v>
      </c>
      <c r="I13" s="13">
        <f t="shared" si="0"/>
        <v>5371947.2075606836</v>
      </c>
    </row>
    <row r="14" spans="1:9" ht="15.75" x14ac:dyDescent="0.25">
      <c r="A14" s="8"/>
      <c r="B14" s="8"/>
      <c r="C14" s="9"/>
      <c r="D14" s="12" t="s">
        <v>10</v>
      </c>
      <c r="E14" s="16">
        <v>12088673.100000001</v>
      </c>
      <c r="F14" s="16">
        <v>2380885.97649378</v>
      </c>
      <c r="G14" s="16">
        <v>606405.69000000006</v>
      </c>
      <c r="H14" s="16">
        <v>0</v>
      </c>
      <c r="I14" s="13">
        <f t="shared" si="0"/>
        <v>15075964.766493781</v>
      </c>
    </row>
    <row r="15" spans="1:9" ht="15.75" x14ac:dyDescent="0.25">
      <c r="A15" s="8"/>
      <c r="B15" s="8"/>
      <c r="C15" s="9"/>
      <c r="D15" s="12" t="s">
        <v>11</v>
      </c>
      <c r="E15" s="16">
        <v>237765.90000000002</v>
      </c>
      <c r="F15" s="16">
        <v>13224.433277921999</v>
      </c>
      <c r="G15" s="16">
        <v>3534337.73</v>
      </c>
      <c r="H15" s="16">
        <v>0</v>
      </c>
      <c r="I15" s="13">
        <f t="shared" si="0"/>
        <v>3785328.0632779221</v>
      </c>
    </row>
    <row r="16" spans="1:9" ht="15.75" x14ac:dyDescent="0.25">
      <c r="A16" s="8"/>
      <c r="B16" s="8"/>
      <c r="C16" s="9"/>
      <c r="D16" s="12" t="s">
        <v>12</v>
      </c>
      <c r="E16" s="16">
        <v>12918123.27</v>
      </c>
      <c r="F16" s="16">
        <v>11352761.180598389</v>
      </c>
      <c r="G16" s="16">
        <v>526166.22000000009</v>
      </c>
      <c r="H16" s="16">
        <v>0</v>
      </c>
      <c r="I16" s="13">
        <f t="shared" si="0"/>
        <v>24797050.670598388</v>
      </c>
    </row>
    <row r="17" spans="1:9" ht="15.75" x14ac:dyDescent="0.25">
      <c r="A17" s="8"/>
      <c r="B17" s="8"/>
      <c r="C17" s="9"/>
      <c r="D17" s="12" t="s">
        <v>13</v>
      </c>
      <c r="E17" s="16">
        <v>26815941.990000002</v>
      </c>
      <c r="F17" s="16">
        <v>10430661.951005718</v>
      </c>
      <c r="G17" s="16">
        <v>1492975.1900000002</v>
      </c>
      <c r="H17" s="16">
        <v>0</v>
      </c>
      <c r="I17" s="13">
        <f t="shared" si="0"/>
        <v>38739579.131005719</v>
      </c>
    </row>
    <row r="18" spans="1:9" ht="15.75" x14ac:dyDescent="0.25">
      <c r="A18" s="8"/>
      <c r="B18" s="8"/>
      <c r="C18" s="9"/>
      <c r="D18" s="12" t="s">
        <v>14</v>
      </c>
      <c r="E18" s="16">
        <v>3638431.17</v>
      </c>
      <c r="F18" s="16">
        <v>850316.42017634993</v>
      </c>
      <c r="G18" s="16">
        <v>6403406.6700000009</v>
      </c>
      <c r="H18" s="16">
        <v>0</v>
      </c>
      <c r="I18" s="13">
        <f t="shared" si="0"/>
        <v>10892154.260176349</v>
      </c>
    </row>
    <row r="19" spans="1:9" ht="15.75" x14ac:dyDescent="0.25">
      <c r="A19" s="8"/>
      <c r="B19" s="8"/>
      <c r="C19" s="9"/>
      <c r="D19" s="12" t="s">
        <v>15</v>
      </c>
      <c r="E19" s="16">
        <v>25064322.549999993</v>
      </c>
      <c r="F19" s="16">
        <v>8115898.1409015488</v>
      </c>
      <c r="G19" s="16">
        <v>983240.32</v>
      </c>
      <c r="H19" s="16">
        <v>0</v>
      </c>
      <c r="I19" s="13">
        <f t="shared" si="0"/>
        <v>34163461.010901541</v>
      </c>
    </row>
    <row r="20" spans="1:9" ht="15.75" x14ac:dyDescent="0.25">
      <c r="A20" s="8"/>
      <c r="B20" s="8"/>
      <c r="C20" s="9"/>
      <c r="D20" s="12" t="s">
        <v>16</v>
      </c>
      <c r="E20" s="16">
        <v>10967647.869999999</v>
      </c>
      <c r="F20" s="16">
        <v>2229756.5674099261</v>
      </c>
      <c r="G20" s="16">
        <v>655267.66</v>
      </c>
      <c r="H20" s="16">
        <v>0</v>
      </c>
      <c r="I20" s="13">
        <f t="shared" si="0"/>
        <v>13852672.097409926</v>
      </c>
    </row>
    <row r="21" spans="1:9" ht="15.75" x14ac:dyDescent="0.25">
      <c r="A21" s="8"/>
      <c r="B21" s="8"/>
      <c r="C21" s="9"/>
      <c r="D21" s="12" t="s">
        <v>17</v>
      </c>
      <c r="E21" s="16">
        <v>13152873.349999998</v>
      </c>
      <c r="F21" s="16">
        <v>9708832.367806375</v>
      </c>
      <c r="G21" s="16">
        <v>452474.02</v>
      </c>
      <c r="H21" s="16">
        <v>0</v>
      </c>
      <c r="I21" s="13">
        <f t="shared" si="0"/>
        <v>23314179.737806372</v>
      </c>
    </row>
    <row r="22" spans="1:9" ht="15.75" x14ac:dyDescent="0.25">
      <c r="A22" s="8"/>
      <c r="B22" s="8"/>
      <c r="C22" s="9"/>
      <c r="D22" s="12" t="s">
        <v>18</v>
      </c>
      <c r="E22" s="16">
        <v>337605.98</v>
      </c>
      <c r="F22" s="16">
        <v>415715.67193585797</v>
      </c>
      <c r="G22" s="16">
        <v>2550802.4200000004</v>
      </c>
      <c r="H22" s="16">
        <v>0</v>
      </c>
      <c r="I22" s="13">
        <f t="shared" si="0"/>
        <v>3304124.0719358586</v>
      </c>
    </row>
    <row r="23" spans="1:9" ht="15.75" x14ac:dyDescent="0.25">
      <c r="A23" s="8"/>
      <c r="B23" s="8"/>
      <c r="C23" s="9"/>
      <c r="D23" s="12" t="s">
        <v>19</v>
      </c>
      <c r="E23" s="16">
        <v>322843.53000000003</v>
      </c>
      <c r="F23" s="16">
        <v>154935.70353284999</v>
      </c>
      <c r="G23" s="16">
        <v>2359875.83</v>
      </c>
      <c r="H23" s="16">
        <v>0</v>
      </c>
      <c r="I23" s="13">
        <f t="shared" si="0"/>
        <v>2837655.0635328502</v>
      </c>
    </row>
    <row r="24" spans="1:9" ht="15.75" x14ac:dyDescent="0.25">
      <c r="A24" s="8"/>
      <c r="B24" s="8"/>
      <c r="C24" s="9"/>
      <c r="D24" s="12" t="s">
        <v>20</v>
      </c>
      <c r="E24" s="16">
        <v>11737143.59</v>
      </c>
      <c r="F24" s="16">
        <v>5954166.8871057304</v>
      </c>
      <c r="G24" s="16">
        <v>874324.94</v>
      </c>
      <c r="H24" s="16">
        <v>0</v>
      </c>
      <c r="I24" s="13">
        <f t="shared" si="0"/>
        <v>18565635.417105731</v>
      </c>
    </row>
    <row r="25" spans="1:9" ht="15.75" x14ac:dyDescent="0.25">
      <c r="A25" s="8"/>
      <c r="B25" s="8"/>
      <c r="C25" s="9"/>
      <c r="D25" s="12" t="s">
        <v>21</v>
      </c>
      <c r="E25" s="16">
        <v>10104098.499999996</v>
      </c>
      <c r="F25" s="16">
        <v>4421694.1835638015</v>
      </c>
      <c r="G25" s="16">
        <v>934022.9099999998</v>
      </c>
      <c r="H25" s="16">
        <v>0</v>
      </c>
      <c r="I25" s="13">
        <f t="shared" si="0"/>
        <v>15459815.593563799</v>
      </c>
    </row>
    <row r="26" spans="1:9" ht="15.75" x14ac:dyDescent="0.25">
      <c r="A26" s="8"/>
      <c r="B26" s="8"/>
      <c r="C26" s="9"/>
      <c r="D26" s="12" t="s">
        <v>22</v>
      </c>
      <c r="E26" s="16">
        <v>5483361.2100000009</v>
      </c>
      <c r="F26" s="16">
        <v>2532064.1842244156</v>
      </c>
      <c r="G26" s="16">
        <v>464735.82999999996</v>
      </c>
      <c r="H26" s="16">
        <v>0</v>
      </c>
      <c r="I26" s="13">
        <f t="shared" si="0"/>
        <v>8480161.2242244165</v>
      </c>
    </row>
    <row r="27" spans="1:9" ht="15.75" x14ac:dyDescent="0.25">
      <c r="A27" s="8"/>
      <c r="B27" s="8"/>
      <c r="C27" s="9"/>
      <c r="D27" s="12" t="s">
        <v>23</v>
      </c>
      <c r="E27" s="16">
        <v>3241567.68</v>
      </c>
      <c r="F27" s="16">
        <v>434600.74824049207</v>
      </c>
      <c r="G27" s="16">
        <v>1272193.2099999997</v>
      </c>
      <c r="H27" s="16">
        <v>0</v>
      </c>
      <c r="I27" s="13">
        <f t="shared" si="0"/>
        <v>4948361.638240492</v>
      </c>
    </row>
    <row r="28" spans="1:9" ht="15.75" x14ac:dyDescent="0.25">
      <c r="A28" s="8"/>
      <c r="B28" s="8"/>
      <c r="C28" s="9"/>
      <c r="D28" s="12" t="s">
        <v>24</v>
      </c>
      <c r="E28" s="16">
        <v>4101810.8400000008</v>
      </c>
      <c r="F28" s="16">
        <v>2059693.2833746562</v>
      </c>
      <c r="G28" s="16">
        <v>677085.7</v>
      </c>
      <c r="H28" s="16">
        <v>0</v>
      </c>
      <c r="I28" s="13">
        <f t="shared" si="0"/>
        <v>6838589.823374657</v>
      </c>
    </row>
    <row r="29" spans="1:9" ht="15.75" x14ac:dyDescent="0.25">
      <c r="A29" s="8"/>
      <c r="B29" s="8"/>
      <c r="C29" s="9"/>
      <c r="D29" s="12" t="s">
        <v>25</v>
      </c>
      <c r="E29" s="16">
        <v>5234990.4099999992</v>
      </c>
      <c r="F29" s="16">
        <v>1152672.835637622</v>
      </c>
      <c r="G29" s="16">
        <v>281266.73</v>
      </c>
      <c r="H29" s="16">
        <v>0</v>
      </c>
      <c r="I29" s="13">
        <f t="shared" si="0"/>
        <v>6668929.9756376222</v>
      </c>
    </row>
    <row r="30" spans="1:9" ht="15.75" x14ac:dyDescent="0.25">
      <c r="A30" s="8"/>
      <c r="B30" s="8"/>
      <c r="C30" s="9"/>
      <c r="D30" s="12" t="s">
        <v>26</v>
      </c>
      <c r="E30" s="16">
        <v>10138752.929999998</v>
      </c>
      <c r="F30" s="16">
        <v>6216801.2040864537</v>
      </c>
      <c r="G30" s="16">
        <v>554251.77</v>
      </c>
      <c r="H30" s="16">
        <v>0</v>
      </c>
      <c r="I30" s="13">
        <f t="shared" si="0"/>
        <v>16909805.904086452</v>
      </c>
    </row>
    <row r="31" spans="1:9" ht="15.75" x14ac:dyDescent="0.25">
      <c r="A31" s="8"/>
      <c r="B31" s="8"/>
      <c r="C31" s="9"/>
      <c r="D31" s="12" t="s">
        <v>27</v>
      </c>
      <c r="E31" s="16">
        <v>9994101.8899999987</v>
      </c>
      <c r="F31" s="16">
        <v>6443568.5156824086</v>
      </c>
      <c r="G31" s="16">
        <v>366634.52</v>
      </c>
      <c r="H31" s="16">
        <v>0</v>
      </c>
      <c r="I31" s="13">
        <f t="shared" si="0"/>
        <v>16804304.925682407</v>
      </c>
    </row>
    <row r="32" spans="1:9" ht="15.75" x14ac:dyDescent="0.25">
      <c r="A32" s="8"/>
      <c r="B32" s="8"/>
      <c r="C32" s="9"/>
      <c r="D32" s="12" t="s">
        <v>28</v>
      </c>
      <c r="E32" s="16">
        <v>7609260.6799999997</v>
      </c>
      <c r="F32" s="16">
        <v>2174955.6870737397</v>
      </c>
      <c r="G32" s="16">
        <v>352287.85</v>
      </c>
      <c r="H32" s="16">
        <v>0</v>
      </c>
      <c r="I32" s="13">
        <f t="shared" si="0"/>
        <v>10136504.217073739</v>
      </c>
    </row>
    <row r="33" spans="1:9" ht="15.75" x14ac:dyDescent="0.25">
      <c r="A33" s="8"/>
      <c r="B33" s="8"/>
      <c r="C33" s="9"/>
      <c r="D33" s="12" t="s">
        <v>29</v>
      </c>
      <c r="E33" s="16">
        <v>2158997.35</v>
      </c>
      <c r="F33" s="16">
        <v>3287906.424230814</v>
      </c>
      <c r="G33" s="16">
        <v>192829.93000000002</v>
      </c>
      <c r="H33" s="16">
        <v>0</v>
      </c>
      <c r="I33" s="13">
        <f t="shared" si="0"/>
        <v>5639733.7042308133</v>
      </c>
    </row>
    <row r="34" spans="1:9" ht="15.75" x14ac:dyDescent="0.25">
      <c r="A34" s="8"/>
      <c r="B34" s="8"/>
      <c r="C34" s="9"/>
      <c r="D34" s="12" t="s">
        <v>30</v>
      </c>
      <c r="E34" s="16">
        <v>23009701.440000001</v>
      </c>
      <c r="F34" s="16">
        <v>4718341.1573515795</v>
      </c>
      <c r="G34" s="16">
        <v>973292.66</v>
      </c>
      <c r="H34" s="16">
        <v>0</v>
      </c>
      <c r="I34" s="13">
        <f t="shared" si="0"/>
        <v>28701335.257351581</v>
      </c>
    </row>
    <row r="35" spans="1:9" ht="15.75" x14ac:dyDescent="0.25">
      <c r="A35" s="8"/>
      <c r="B35" s="8"/>
      <c r="C35" s="9"/>
      <c r="D35" s="12" t="s">
        <v>31</v>
      </c>
      <c r="E35" s="16">
        <v>7650831.7400000012</v>
      </c>
      <c r="F35" s="16">
        <v>6936776.4387080818</v>
      </c>
      <c r="G35" s="16">
        <v>807368.04000000015</v>
      </c>
      <c r="H35" s="16">
        <v>0</v>
      </c>
      <c r="I35" s="13">
        <f t="shared" si="0"/>
        <v>15394976.218708085</v>
      </c>
    </row>
    <row r="36" spans="1:9" ht="15.75" x14ac:dyDescent="0.25">
      <c r="A36" s="8"/>
      <c r="B36" s="8"/>
      <c r="C36" s="9"/>
      <c r="D36" s="12" t="s">
        <v>32</v>
      </c>
      <c r="E36" s="16">
        <v>11949377.040000003</v>
      </c>
      <c r="F36" s="16">
        <v>4304528.6326402202</v>
      </c>
      <c r="G36" s="16">
        <v>1498954.92</v>
      </c>
      <c r="H36" s="16">
        <v>0</v>
      </c>
      <c r="I36" s="13">
        <f t="shared" si="0"/>
        <v>17752860.592640221</v>
      </c>
    </row>
    <row r="37" spans="1:9" ht="15.75" x14ac:dyDescent="0.25">
      <c r="A37" s="8"/>
      <c r="B37" s="8"/>
      <c r="C37" s="9"/>
      <c r="D37" s="12" t="s">
        <v>33</v>
      </c>
      <c r="E37" s="16">
        <v>11796221.179999998</v>
      </c>
      <c r="F37" s="16">
        <v>2380885.97649378</v>
      </c>
      <c r="G37" s="16">
        <v>468616.89</v>
      </c>
      <c r="H37" s="16">
        <v>0</v>
      </c>
      <c r="I37" s="13">
        <f t="shared" si="0"/>
        <v>14645724.046493778</v>
      </c>
    </row>
    <row r="38" spans="1:9" ht="15.75" x14ac:dyDescent="0.25">
      <c r="A38" s="8"/>
      <c r="B38" s="8"/>
      <c r="C38" s="9"/>
      <c r="D38" s="12" t="s">
        <v>34</v>
      </c>
      <c r="E38" s="16">
        <v>8353604.75</v>
      </c>
      <c r="F38" s="16">
        <v>5173778.9277679855</v>
      </c>
      <c r="G38" s="16">
        <v>409073.34</v>
      </c>
      <c r="H38" s="16">
        <v>0</v>
      </c>
      <c r="I38" s="13">
        <f t="shared" si="0"/>
        <v>13936457.017767984</v>
      </c>
    </row>
    <row r="39" spans="1:9" ht="15.75" x14ac:dyDescent="0.25">
      <c r="A39" s="8"/>
      <c r="B39" s="8"/>
      <c r="C39" s="9"/>
      <c r="D39" s="12" t="s">
        <v>35</v>
      </c>
      <c r="E39" s="16">
        <v>6941377.2300000004</v>
      </c>
      <c r="F39" s="16">
        <v>8100770.5603991272</v>
      </c>
      <c r="G39" s="16">
        <v>522097.4</v>
      </c>
      <c r="H39" s="16">
        <v>0</v>
      </c>
      <c r="I39" s="13">
        <f t="shared" si="0"/>
        <v>15564245.190399127</v>
      </c>
    </row>
    <row r="40" spans="1:9" ht="15.75" x14ac:dyDescent="0.25">
      <c r="A40" s="8"/>
      <c r="B40" s="8"/>
      <c r="C40" s="9"/>
      <c r="D40" s="12" t="s">
        <v>36</v>
      </c>
      <c r="E40" s="16">
        <v>632247.94999999995</v>
      </c>
      <c r="F40" s="16">
        <v>425182.60941156594</v>
      </c>
      <c r="G40" s="16">
        <v>627920.08000000007</v>
      </c>
      <c r="H40" s="16">
        <v>0</v>
      </c>
      <c r="I40" s="13">
        <f t="shared" si="0"/>
        <v>1685350.6394115658</v>
      </c>
    </row>
    <row r="41" spans="1:9" ht="15.75" x14ac:dyDescent="0.25">
      <c r="A41" s="8"/>
      <c r="B41" s="8"/>
      <c r="C41" s="9"/>
      <c r="D41" s="12" t="s">
        <v>37</v>
      </c>
      <c r="E41" s="16">
        <v>14686101.76</v>
      </c>
      <c r="F41" s="16">
        <v>7104936.575518854</v>
      </c>
      <c r="G41" s="16">
        <v>1021310.8000000002</v>
      </c>
      <c r="H41" s="16">
        <v>0</v>
      </c>
      <c r="I41" s="13">
        <f t="shared" si="0"/>
        <v>22812349.135518853</v>
      </c>
    </row>
    <row r="42" spans="1:9" ht="15.75" x14ac:dyDescent="0.25">
      <c r="A42" s="8"/>
      <c r="B42" s="8"/>
      <c r="C42" s="9"/>
      <c r="D42" s="12" t="s">
        <v>38</v>
      </c>
      <c r="E42" s="16">
        <v>10401896.720000004</v>
      </c>
      <c r="F42" s="16">
        <v>7694521.8259389764</v>
      </c>
      <c r="G42" s="16">
        <v>464592.13999999996</v>
      </c>
      <c r="H42" s="16">
        <v>0</v>
      </c>
      <c r="I42" s="13">
        <f t="shared" si="0"/>
        <v>18561010.68593898</v>
      </c>
    </row>
    <row r="43" spans="1:9" ht="15.75" x14ac:dyDescent="0.25">
      <c r="A43" s="8"/>
      <c r="B43" s="8"/>
      <c r="C43" s="9"/>
      <c r="D43" s="12" t="s">
        <v>39</v>
      </c>
      <c r="E43" s="16">
        <v>2124989.3500000006</v>
      </c>
      <c r="F43" s="16">
        <v>2798504.7956541358</v>
      </c>
      <c r="G43" s="16">
        <v>435503.35000000003</v>
      </c>
      <c r="H43" s="16">
        <v>0</v>
      </c>
      <c r="I43" s="13">
        <f t="shared" si="0"/>
        <v>5358997.4956541359</v>
      </c>
    </row>
    <row r="44" spans="1:9" ht="15.75" x14ac:dyDescent="0.25">
      <c r="A44" s="8"/>
      <c r="B44" s="8"/>
      <c r="C44" s="9"/>
      <c r="D44" s="12" t="s">
        <v>40</v>
      </c>
      <c r="E44" s="16">
        <v>2901.13</v>
      </c>
      <c r="F44" s="16">
        <v>215397.226895748</v>
      </c>
      <c r="G44" s="16">
        <v>517406.77</v>
      </c>
      <c r="H44" s="16">
        <v>0</v>
      </c>
      <c r="I44" s="13">
        <f t="shared" si="0"/>
        <v>735705.12689574808</v>
      </c>
    </row>
    <row r="45" spans="1:9" ht="15.75" x14ac:dyDescent="0.25">
      <c r="A45" s="8"/>
      <c r="B45" s="8"/>
      <c r="C45" s="9"/>
      <c r="D45" s="12" t="s">
        <v>41</v>
      </c>
      <c r="E45" s="16">
        <v>3026411.1199999996</v>
      </c>
      <c r="F45" s="16">
        <v>62364.670587395987</v>
      </c>
      <c r="G45" s="16">
        <v>2374724.5300000003</v>
      </c>
      <c r="H45" s="16">
        <v>0</v>
      </c>
      <c r="I45" s="13">
        <f t="shared" si="0"/>
        <v>5463500.3205873957</v>
      </c>
    </row>
    <row r="46" spans="1:9" ht="15.75" x14ac:dyDescent="0.25">
      <c r="A46" s="8"/>
      <c r="B46" s="8"/>
      <c r="C46" s="9"/>
      <c r="D46" s="12" t="s">
        <v>42</v>
      </c>
      <c r="E46" s="16">
        <v>972488.31000000017</v>
      </c>
      <c r="F46" s="16">
        <v>207833.43664453799</v>
      </c>
      <c r="G46" s="16">
        <v>3071200.87</v>
      </c>
      <c r="H46" s="16">
        <v>0</v>
      </c>
      <c r="I46" s="13">
        <f t="shared" si="0"/>
        <v>4251522.616644538</v>
      </c>
    </row>
    <row r="47" spans="1:9" ht="15.75" x14ac:dyDescent="0.25">
      <c r="A47" s="8"/>
      <c r="B47" s="8"/>
      <c r="C47" s="9"/>
      <c r="D47" s="12" t="s">
        <v>43</v>
      </c>
      <c r="E47" s="16">
        <v>5722301.8100000015</v>
      </c>
      <c r="F47" s="16">
        <v>1318929.8252238962</v>
      </c>
      <c r="G47" s="16">
        <v>792535.86</v>
      </c>
      <c r="H47" s="16">
        <v>0</v>
      </c>
      <c r="I47" s="13">
        <f t="shared" si="0"/>
        <v>7833767.4952238975</v>
      </c>
    </row>
    <row r="48" spans="1:9" ht="15.75" x14ac:dyDescent="0.25">
      <c r="A48" s="8"/>
      <c r="B48" s="8"/>
      <c r="C48" s="9"/>
      <c r="D48" s="12" t="s">
        <v>44</v>
      </c>
      <c r="E48" s="16">
        <v>2772416.58</v>
      </c>
      <c r="F48" s="16">
        <v>207833.43664453799</v>
      </c>
      <c r="G48" s="16">
        <v>1017588.9700000001</v>
      </c>
      <c r="H48" s="16">
        <v>0</v>
      </c>
      <c r="I48" s="13">
        <f t="shared" si="0"/>
        <v>3997838.9866445381</v>
      </c>
    </row>
    <row r="49" spans="1:9" ht="15.75" x14ac:dyDescent="0.25">
      <c r="A49" s="8"/>
      <c r="B49" s="8"/>
      <c r="C49" s="9"/>
      <c r="D49" s="12" t="s">
        <v>45</v>
      </c>
      <c r="E49" s="16">
        <v>791227.09000000008</v>
      </c>
      <c r="F49" s="16">
        <v>247555.535125086</v>
      </c>
      <c r="G49" s="16">
        <v>2116668.88</v>
      </c>
      <c r="H49" s="16">
        <v>0</v>
      </c>
      <c r="I49" s="13">
        <f t="shared" si="0"/>
        <v>3155451.5051250858</v>
      </c>
    </row>
    <row r="50" spans="1:9" ht="15.75" x14ac:dyDescent="0.25">
      <c r="A50" s="8"/>
      <c r="B50" s="8"/>
      <c r="C50" s="9"/>
      <c r="D50" s="12" t="s">
        <v>46</v>
      </c>
      <c r="E50" s="16">
        <v>6119268.3999999994</v>
      </c>
      <c r="F50" s="16">
        <v>2392256.0611939863</v>
      </c>
      <c r="G50" s="16">
        <v>191532.29</v>
      </c>
      <c r="H50" s="16">
        <v>0</v>
      </c>
      <c r="I50" s="13">
        <f t="shared" si="0"/>
        <v>8703056.7511939853</v>
      </c>
    </row>
    <row r="51" spans="1:9" ht="15.75" x14ac:dyDescent="0.25">
      <c r="A51" s="8"/>
      <c r="B51" s="8"/>
      <c r="C51" s="9"/>
      <c r="D51" s="12" t="s">
        <v>47</v>
      </c>
      <c r="E51" s="16">
        <v>8093629.2399999993</v>
      </c>
      <c r="F51" s="16">
        <v>4349862.5755006978</v>
      </c>
      <c r="G51" s="16">
        <v>597688.16</v>
      </c>
      <c r="H51" s="16">
        <v>0</v>
      </c>
      <c r="I51" s="13">
        <f t="shared" si="0"/>
        <v>13041179.975500697</v>
      </c>
    </row>
    <row r="52" spans="1:9" ht="15.75" x14ac:dyDescent="0.25">
      <c r="A52" s="8"/>
      <c r="B52" s="8"/>
      <c r="C52" s="9"/>
      <c r="D52" s="12" t="s">
        <v>48</v>
      </c>
      <c r="E52" s="16">
        <v>5456834.8099999987</v>
      </c>
      <c r="F52" s="16">
        <v>4383875.2323077517</v>
      </c>
      <c r="G52" s="16">
        <v>241758.8</v>
      </c>
      <c r="H52" s="16">
        <v>0</v>
      </c>
      <c r="I52" s="13">
        <f t="shared" si="0"/>
        <v>10082468.84230775</v>
      </c>
    </row>
    <row r="53" spans="1:9" ht="15.75" x14ac:dyDescent="0.25">
      <c r="A53" s="8"/>
      <c r="B53" s="8"/>
      <c r="C53" s="9"/>
      <c r="D53" s="12" t="s">
        <v>49</v>
      </c>
      <c r="E53" s="16">
        <v>9661652.0299999993</v>
      </c>
      <c r="F53" s="16">
        <v>3004483.8837209572</v>
      </c>
      <c r="G53" s="16">
        <v>789653.09</v>
      </c>
      <c r="H53" s="16">
        <v>0</v>
      </c>
      <c r="I53" s="13">
        <f t="shared" si="0"/>
        <v>13455789.003720956</v>
      </c>
    </row>
    <row r="54" spans="1:9" ht="15.75" x14ac:dyDescent="0.25">
      <c r="A54" s="8"/>
      <c r="B54" s="8"/>
      <c r="C54" s="9"/>
      <c r="D54" s="12" t="s">
        <v>50</v>
      </c>
      <c r="E54" s="16">
        <v>7053276.5900000008</v>
      </c>
      <c r="F54" s="16">
        <v>2758831.4958203705</v>
      </c>
      <c r="G54" s="16">
        <v>462115.23</v>
      </c>
      <c r="H54" s="16">
        <v>0</v>
      </c>
      <c r="I54" s="13">
        <f t="shared" si="0"/>
        <v>10274223.315820372</v>
      </c>
    </row>
    <row r="55" spans="1:9" ht="15.75" x14ac:dyDescent="0.25">
      <c r="A55" s="8"/>
      <c r="B55" s="8"/>
      <c r="C55" s="9"/>
      <c r="D55" s="12" t="s">
        <v>51</v>
      </c>
      <c r="E55" s="16">
        <v>2608099.9099999997</v>
      </c>
      <c r="F55" s="16">
        <v>5649956.123066742</v>
      </c>
      <c r="G55" s="16">
        <v>34332.700000000004</v>
      </c>
      <c r="H55" s="16">
        <v>0</v>
      </c>
      <c r="I55" s="13">
        <f t="shared" si="0"/>
        <v>8292388.7330667423</v>
      </c>
    </row>
    <row r="56" spans="1:9" ht="15.75" x14ac:dyDescent="0.25">
      <c r="A56" s="8"/>
      <c r="B56" s="8"/>
      <c r="C56" s="9"/>
      <c r="D56" s="12" t="s">
        <v>52</v>
      </c>
      <c r="E56" s="16">
        <v>7016016.2399999993</v>
      </c>
      <c r="F56" s="16">
        <v>6288632.8121495573</v>
      </c>
      <c r="G56" s="16">
        <v>250428.34</v>
      </c>
      <c r="H56" s="16">
        <v>0</v>
      </c>
      <c r="I56" s="13">
        <f t="shared" si="0"/>
        <v>13555077.392149556</v>
      </c>
    </row>
    <row r="57" spans="1:9" ht="15.75" x14ac:dyDescent="0.25">
      <c r="A57" s="8"/>
      <c r="B57" s="8"/>
      <c r="C57" s="9"/>
      <c r="D57" s="12" t="s">
        <v>53</v>
      </c>
      <c r="E57" s="16">
        <v>1775490.0999999996</v>
      </c>
      <c r="F57" s="16">
        <v>2078578.3596792899</v>
      </c>
      <c r="G57" s="16">
        <v>213539.91999999998</v>
      </c>
      <c r="H57" s="16">
        <v>0</v>
      </c>
      <c r="I57" s="13">
        <f t="shared" si="0"/>
        <v>4067608.3796792896</v>
      </c>
    </row>
    <row r="58" spans="1:9" ht="15.75" x14ac:dyDescent="0.25">
      <c r="A58" s="8"/>
      <c r="B58" s="8"/>
      <c r="C58" s="9"/>
      <c r="D58" s="12" t="s">
        <v>54</v>
      </c>
      <c r="E58" s="16">
        <v>2621867.5699999994</v>
      </c>
      <c r="F58" s="16">
        <v>2237320.357661136</v>
      </c>
      <c r="G58" s="16">
        <v>25147.45</v>
      </c>
      <c r="H58" s="16">
        <v>0</v>
      </c>
      <c r="I58" s="13">
        <f t="shared" si="0"/>
        <v>4884335.377661136</v>
      </c>
    </row>
    <row r="59" spans="1:9" ht="15.75" x14ac:dyDescent="0.25">
      <c r="A59" s="8"/>
      <c r="B59" s="8"/>
      <c r="C59" s="9"/>
      <c r="D59" s="12" t="s">
        <v>55</v>
      </c>
      <c r="E59" s="16">
        <v>5009577.1100000003</v>
      </c>
      <c r="F59" s="16">
        <v>3779211.2000319897</v>
      </c>
      <c r="G59" s="16">
        <v>380357.17000000004</v>
      </c>
      <c r="H59" s="16">
        <v>0</v>
      </c>
      <c r="I59" s="13">
        <f t="shared" si="0"/>
        <v>9169145.4800319895</v>
      </c>
    </row>
    <row r="60" spans="1:9" ht="15.75" x14ac:dyDescent="0.25">
      <c r="A60" s="8"/>
      <c r="B60" s="8"/>
      <c r="C60" s="9"/>
      <c r="D60" s="12" t="s">
        <v>56</v>
      </c>
      <c r="E60" s="16">
        <v>2969468.26</v>
      </c>
      <c r="F60" s="16">
        <v>2286411.7963238279</v>
      </c>
      <c r="G60" s="16">
        <v>138121.07</v>
      </c>
      <c r="H60" s="16">
        <v>0</v>
      </c>
      <c r="I60" s="13">
        <f t="shared" si="0"/>
        <v>5394001.1263238285</v>
      </c>
    </row>
    <row r="61" spans="1:9" ht="15.75" x14ac:dyDescent="0.25">
      <c r="A61" s="8"/>
      <c r="B61" s="8"/>
      <c r="C61" s="9"/>
      <c r="D61" s="12" t="s">
        <v>57</v>
      </c>
      <c r="E61" s="16">
        <v>9723204.1999999974</v>
      </c>
      <c r="F61" s="16">
        <v>3835915.2275926745</v>
      </c>
      <c r="G61" s="16">
        <v>316546.48000000004</v>
      </c>
      <c r="H61" s="16">
        <v>0</v>
      </c>
      <c r="I61" s="13">
        <f t="shared" si="0"/>
        <v>13875665.907592673</v>
      </c>
    </row>
    <row r="62" spans="1:9" ht="15.75" x14ac:dyDescent="0.25">
      <c r="A62" s="8"/>
      <c r="B62" s="8"/>
      <c r="C62" s="9"/>
      <c r="D62" s="12" t="s">
        <v>58</v>
      </c>
      <c r="E62" s="16">
        <v>8910573.5599999987</v>
      </c>
      <c r="F62" s="16">
        <v>4279982.9133088738</v>
      </c>
      <c r="G62" s="16">
        <v>14571243.210000001</v>
      </c>
      <c r="H62" s="16">
        <v>0</v>
      </c>
      <c r="I62" s="13">
        <f t="shared" si="0"/>
        <v>27761799.683308873</v>
      </c>
    </row>
    <row r="63" spans="1:9" ht="15.75" x14ac:dyDescent="0.25">
      <c r="A63" s="8"/>
      <c r="B63" s="8"/>
      <c r="C63" s="9"/>
      <c r="D63" s="12" t="s">
        <v>59</v>
      </c>
      <c r="E63" s="16">
        <v>2568626.9500000002</v>
      </c>
      <c r="F63" s="16">
        <v>472419.69949654193</v>
      </c>
      <c r="G63" s="16">
        <v>742712.54</v>
      </c>
      <c r="H63" s="16">
        <v>0</v>
      </c>
      <c r="I63" s="13">
        <f t="shared" si="0"/>
        <v>3783759.1894965423</v>
      </c>
    </row>
    <row r="64" spans="1:9" ht="15.75" x14ac:dyDescent="0.25">
      <c r="A64" s="8"/>
      <c r="B64" s="8"/>
      <c r="C64" s="9"/>
      <c r="D64" s="12" t="s">
        <v>60</v>
      </c>
      <c r="E64" s="16">
        <v>0</v>
      </c>
      <c r="F64" s="16">
        <v>0</v>
      </c>
      <c r="G64" s="16">
        <v>4835499.6999999993</v>
      </c>
      <c r="H64" s="16">
        <v>0</v>
      </c>
      <c r="I64" s="13">
        <f t="shared" si="0"/>
        <v>4835499.6999999993</v>
      </c>
    </row>
    <row r="65" spans="1:9" ht="15.75" x14ac:dyDescent="0.25">
      <c r="A65" s="8"/>
      <c r="B65" s="8"/>
      <c r="C65" s="9"/>
      <c r="D65" s="12" t="s">
        <v>61</v>
      </c>
      <c r="E65" s="16">
        <v>8538014.1699999981</v>
      </c>
      <c r="F65" s="16">
        <v>5593252.0955060581</v>
      </c>
      <c r="G65" s="16">
        <v>346703.06999999995</v>
      </c>
      <c r="H65" s="16">
        <v>0</v>
      </c>
      <c r="I65" s="13">
        <f t="shared" si="0"/>
        <v>14477969.335506056</v>
      </c>
    </row>
    <row r="66" spans="1:9" ht="15.75" x14ac:dyDescent="0.25">
      <c r="A66" s="8"/>
      <c r="B66" s="8"/>
      <c r="C66" s="9"/>
      <c r="D66" s="12" t="s">
        <v>62</v>
      </c>
      <c r="E66" s="16">
        <v>34345621.829999998</v>
      </c>
      <c r="F66" s="16">
        <v>11120382.024622506</v>
      </c>
      <c r="G66" s="16">
        <v>742303.63</v>
      </c>
      <c r="H66" s="16">
        <v>0</v>
      </c>
      <c r="I66" s="13">
        <f t="shared" si="0"/>
        <v>46208307.484622508</v>
      </c>
    </row>
    <row r="67" spans="1:9" ht="15.75" x14ac:dyDescent="0.25">
      <c r="A67" s="8"/>
      <c r="B67" s="8"/>
      <c r="C67" s="9"/>
      <c r="D67" s="12" t="s">
        <v>63</v>
      </c>
      <c r="E67" s="16">
        <v>6129110.1900000004</v>
      </c>
      <c r="F67" s="16">
        <v>5139766.2709609317</v>
      </c>
      <c r="G67" s="16">
        <v>328281.84999999998</v>
      </c>
      <c r="H67" s="16">
        <v>0</v>
      </c>
      <c r="I67" s="13">
        <f t="shared" si="0"/>
        <v>11597158.310960932</v>
      </c>
    </row>
    <row r="68" spans="1:9" ht="15.75" x14ac:dyDescent="0.25">
      <c r="A68" s="8"/>
      <c r="B68" s="8"/>
      <c r="C68" s="9"/>
      <c r="D68" s="12" t="s">
        <v>64</v>
      </c>
      <c r="E68" s="16">
        <v>7879433.5899999999</v>
      </c>
      <c r="F68" s="16">
        <v>2173052.5398492417</v>
      </c>
      <c r="G68" s="16">
        <v>265285.05</v>
      </c>
      <c r="H68" s="16">
        <v>0</v>
      </c>
      <c r="I68" s="13">
        <f t="shared" si="0"/>
        <v>10317771.179849243</v>
      </c>
    </row>
    <row r="69" spans="1:9" ht="15.75" x14ac:dyDescent="0.25">
      <c r="A69" s="8"/>
      <c r="B69" s="8"/>
      <c r="C69" s="9"/>
      <c r="D69" s="12" t="s">
        <v>65</v>
      </c>
      <c r="E69" s="16">
        <v>0</v>
      </c>
      <c r="F69" s="16">
        <v>0</v>
      </c>
      <c r="G69" s="16">
        <v>1524334.3800000001</v>
      </c>
      <c r="H69" s="16">
        <v>0</v>
      </c>
      <c r="I69" s="13">
        <f t="shared" si="0"/>
        <v>1524334.3800000001</v>
      </c>
    </row>
    <row r="70" spans="1:9" ht="15.75" x14ac:dyDescent="0.25">
      <c r="A70" s="8"/>
      <c r="B70" s="8"/>
      <c r="C70" s="9"/>
      <c r="D70" s="12" t="s">
        <v>66</v>
      </c>
      <c r="E70" s="16">
        <v>0</v>
      </c>
      <c r="F70" s="16">
        <v>0</v>
      </c>
      <c r="G70" s="16">
        <v>1941337.6899999995</v>
      </c>
      <c r="H70" s="16">
        <v>0</v>
      </c>
      <c r="I70" s="13">
        <f t="shared" si="0"/>
        <v>1941337.6899999995</v>
      </c>
    </row>
    <row r="71" spans="1:9" ht="15.75" x14ac:dyDescent="0.25">
      <c r="A71" s="8"/>
      <c r="B71" s="8"/>
      <c r="C71" s="9"/>
      <c r="D71" s="12" t="s">
        <v>67</v>
      </c>
      <c r="E71" s="16">
        <v>48912</v>
      </c>
      <c r="F71" s="16">
        <v>56704.027560684</v>
      </c>
      <c r="G71" s="16">
        <v>1235839.0899999999</v>
      </c>
      <c r="H71" s="16">
        <v>0</v>
      </c>
      <c r="I71" s="13">
        <f t="shared" si="0"/>
        <v>1341455.1175606837</v>
      </c>
    </row>
    <row r="72" spans="1:9" ht="15.75" x14ac:dyDescent="0.25">
      <c r="A72" s="8"/>
      <c r="B72" s="8"/>
      <c r="C72" s="9"/>
      <c r="D72" s="12" t="s">
        <v>68</v>
      </c>
      <c r="E72" s="16">
        <v>11624121.390000001</v>
      </c>
      <c r="F72" s="16">
        <v>3529801.3163291877</v>
      </c>
      <c r="G72" s="16">
        <v>2445714.9200000004</v>
      </c>
      <c r="H72" s="16">
        <v>0</v>
      </c>
      <c r="I72" s="13">
        <f t="shared" si="0"/>
        <v>17599637.626329191</v>
      </c>
    </row>
    <row r="73" spans="1:9" ht="15.75" x14ac:dyDescent="0.25">
      <c r="A73" s="8"/>
      <c r="B73" s="8"/>
      <c r="C73" s="9"/>
      <c r="D73" s="12" t="s">
        <v>69</v>
      </c>
      <c r="E73" s="16">
        <v>7483.2900000000009</v>
      </c>
      <c r="F73" s="16">
        <v>0</v>
      </c>
      <c r="G73" s="16">
        <v>1334058.58</v>
      </c>
      <c r="H73" s="16">
        <v>0</v>
      </c>
      <c r="I73" s="13">
        <f t="shared" si="0"/>
        <v>1341541.8700000001</v>
      </c>
    </row>
    <row r="74" spans="1:9" ht="15.75" x14ac:dyDescent="0.25">
      <c r="A74" s="8"/>
      <c r="B74" s="8"/>
      <c r="C74" s="9"/>
      <c r="D74" s="12" t="s">
        <v>70</v>
      </c>
      <c r="E74" s="16">
        <v>1298854.1599999999</v>
      </c>
      <c r="F74" s="16">
        <v>298550.12101227598</v>
      </c>
      <c r="G74" s="16">
        <v>7798436.2000000011</v>
      </c>
      <c r="H74" s="16">
        <v>0</v>
      </c>
      <c r="I74" s="13">
        <f t="shared" ref="I74:I137" si="1">SUM(E74:H74)</f>
        <v>9395840.4810122773</v>
      </c>
    </row>
    <row r="75" spans="1:9" ht="15.75" x14ac:dyDescent="0.25">
      <c r="A75" s="8"/>
      <c r="B75" s="8"/>
      <c r="C75" s="9"/>
      <c r="D75" s="12" t="s">
        <v>71</v>
      </c>
      <c r="E75" s="16">
        <v>3025179.37</v>
      </c>
      <c r="F75" s="16">
        <v>1160236.6258888319</v>
      </c>
      <c r="G75" s="16">
        <v>15102806.890000001</v>
      </c>
      <c r="H75" s="16">
        <v>0</v>
      </c>
      <c r="I75" s="13">
        <f t="shared" si="1"/>
        <v>19288222.885888834</v>
      </c>
    </row>
    <row r="76" spans="1:9" ht="15.75" x14ac:dyDescent="0.25">
      <c r="A76" s="8"/>
      <c r="B76" s="8"/>
      <c r="C76" s="9"/>
      <c r="D76" s="12" t="s">
        <v>72</v>
      </c>
      <c r="E76" s="16">
        <v>0</v>
      </c>
      <c r="F76" s="16">
        <v>0</v>
      </c>
      <c r="G76" s="16">
        <v>4301709.3900000006</v>
      </c>
      <c r="H76" s="16">
        <v>0</v>
      </c>
      <c r="I76" s="13">
        <f t="shared" si="1"/>
        <v>4301709.3900000006</v>
      </c>
    </row>
    <row r="77" spans="1:9" ht="15.75" x14ac:dyDescent="0.25">
      <c r="A77" s="8"/>
      <c r="B77" s="8"/>
      <c r="C77" s="9"/>
      <c r="D77" s="12" t="s">
        <v>73</v>
      </c>
      <c r="E77" s="16">
        <v>4210426.5399999991</v>
      </c>
      <c r="F77" s="16">
        <v>5753848.4420656199</v>
      </c>
      <c r="G77" s="16">
        <v>259180.98</v>
      </c>
      <c r="H77" s="16">
        <v>0</v>
      </c>
      <c r="I77" s="13">
        <f t="shared" si="1"/>
        <v>10223455.962065618</v>
      </c>
    </row>
    <row r="78" spans="1:9" ht="15.75" x14ac:dyDescent="0.25">
      <c r="A78" s="8"/>
      <c r="B78" s="8"/>
      <c r="C78" s="9"/>
      <c r="D78" s="12" t="s">
        <v>74</v>
      </c>
      <c r="E78" s="16">
        <v>8138000.1100000003</v>
      </c>
      <c r="F78" s="16">
        <v>5838904.4834066462</v>
      </c>
      <c r="G78" s="16">
        <v>477284.27</v>
      </c>
      <c r="H78" s="16">
        <v>0</v>
      </c>
      <c r="I78" s="13">
        <f t="shared" si="1"/>
        <v>14454188.863406647</v>
      </c>
    </row>
    <row r="79" spans="1:9" ht="15.75" x14ac:dyDescent="0.25">
      <c r="A79" s="8"/>
      <c r="B79" s="8"/>
      <c r="C79" s="9"/>
      <c r="D79" s="12" t="s">
        <v>75</v>
      </c>
      <c r="E79" s="16">
        <v>8410749.8599999994</v>
      </c>
      <c r="F79" s="16">
        <v>3278488.2854018877</v>
      </c>
      <c r="G79" s="16">
        <v>559716.82999999996</v>
      </c>
      <c r="H79" s="16">
        <v>0</v>
      </c>
      <c r="I79" s="13">
        <f t="shared" si="1"/>
        <v>12248954.975401888</v>
      </c>
    </row>
    <row r="80" spans="1:9" ht="15.75" x14ac:dyDescent="0.25">
      <c r="A80" s="8"/>
      <c r="B80" s="8"/>
      <c r="C80" s="9"/>
      <c r="D80" s="12" t="s">
        <v>76</v>
      </c>
      <c r="E80" s="16">
        <v>2627968.3800000008</v>
      </c>
      <c r="F80" s="16">
        <v>1732791.148582038</v>
      </c>
      <c r="G80" s="16">
        <v>74639.579999999987</v>
      </c>
      <c r="H80" s="16">
        <v>0</v>
      </c>
      <c r="I80" s="13">
        <f t="shared" si="1"/>
        <v>4435399.1085820384</v>
      </c>
    </row>
    <row r="81" spans="1:9" ht="15.75" x14ac:dyDescent="0.25">
      <c r="A81" s="8"/>
      <c r="B81" s="8"/>
      <c r="C81" s="9"/>
      <c r="D81" s="12" t="s">
        <v>77</v>
      </c>
      <c r="E81" s="16">
        <v>20298613.520000003</v>
      </c>
      <c r="F81" s="16">
        <v>10455207.670337066</v>
      </c>
      <c r="G81" s="16">
        <v>1106101.57</v>
      </c>
      <c r="H81" s="16">
        <v>0</v>
      </c>
      <c r="I81" s="13">
        <f t="shared" si="1"/>
        <v>31859922.76033707</v>
      </c>
    </row>
    <row r="82" spans="1:9" ht="15.75" x14ac:dyDescent="0.25">
      <c r="A82" s="8"/>
      <c r="B82" s="8"/>
      <c r="C82" s="9"/>
      <c r="D82" s="12" t="s">
        <v>78</v>
      </c>
      <c r="E82" s="16">
        <v>27922777.699999999</v>
      </c>
      <c r="F82" s="16">
        <v>7246647.8457737807</v>
      </c>
      <c r="G82" s="16">
        <v>342356.91</v>
      </c>
      <c r="H82" s="16">
        <v>0</v>
      </c>
      <c r="I82" s="13">
        <f t="shared" si="1"/>
        <v>35511782.455773778</v>
      </c>
    </row>
    <row r="83" spans="1:9" ht="15.75" x14ac:dyDescent="0.25">
      <c r="A83" s="8"/>
      <c r="B83" s="8"/>
      <c r="C83" s="9"/>
      <c r="D83" s="12" t="s">
        <v>79</v>
      </c>
      <c r="E83" s="16">
        <v>5556163.7999999998</v>
      </c>
      <c r="F83" s="16">
        <v>2976131.8699406162</v>
      </c>
      <c r="G83" s="16">
        <v>650366.5199999999</v>
      </c>
      <c r="H83" s="16">
        <v>0</v>
      </c>
      <c r="I83" s="13">
        <f t="shared" si="1"/>
        <v>9182662.1899406165</v>
      </c>
    </row>
    <row r="84" spans="1:9" ht="15.75" x14ac:dyDescent="0.25">
      <c r="A84" s="8"/>
      <c r="B84" s="8"/>
      <c r="C84" s="9"/>
      <c r="D84" s="12" t="s">
        <v>80</v>
      </c>
      <c r="E84" s="16">
        <v>0</v>
      </c>
      <c r="F84" s="16">
        <v>0</v>
      </c>
      <c r="G84" s="16">
        <v>5903368.5599999996</v>
      </c>
      <c r="H84" s="16">
        <v>0</v>
      </c>
      <c r="I84" s="13">
        <f t="shared" si="1"/>
        <v>5903368.5599999996</v>
      </c>
    </row>
    <row r="85" spans="1:9" ht="15.75" x14ac:dyDescent="0.25">
      <c r="A85" s="8"/>
      <c r="B85" s="8"/>
      <c r="C85" s="9"/>
      <c r="D85" s="12" t="s">
        <v>81</v>
      </c>
      <c r="E85" s="16">
        <v>6381739.9400000013</v>
      </c>
      <c r="F85" s="16">
        <v>925905.52404166793</v>
      </c>
      <c r="G85" s="16">
        <v>2265697.5700000003</v>
      </c>
      <c r="H85" s="16">
        <v>0</v>
      </c>
      <c r="I85" s="13">
        <f t="shared" si="1"/>
        <v>9573343.0340416692</v>
      </c>
    </row>
    <row r="86" spans="1:9" ht="15.75" x14ac:dyDescent="0.25">
      <c r="A86" s="8"/>
      <c r="B86" s="8"/>
      <c r="C86" s="9"/>
      <c r="D86" s="12" t="s">
        <v>82</v>
      </c>
      <c r="E86" s="16">
        <v>4348101.1899999985</v>
      </c>
      <c r="F86" s="16">
        <v>3845382.1650683819</v>
      </c>
      <c r="G86" s="16">
        <v>258562.83999999997</v>
      </c>
      <c r="H86" s="16">
        <v>0</v>
      </c>
      <c r="I86" s="13">
        <f t="shared" si="1"/>
        <v>8452046.1950683799</v>
      </c>
    </row>
    <row r="87" spans="1:9" ht="15.75" x14ac:dyDescent="0.25">
      <c r="A87" s="8"/>
      <c r="B87" s="8"/>
      <c r="C87" s="9"/>
      <c r="D87" s="12" t="s">
        <v>83</v>
      </c>
      <c r="E87" s="16">
        <v>2420300.4099999997</v>
      </c>
      <c r="F87" s="16">
        <v>5064177.1670956146</v>
      </c>
      <c r="G87" s="16">
        <v>196933.83999999997</v>
      </c>
      <c r="H87" s="16">
        <v>0</v>
      </c>
      <c r="I87" s="13">
        <f t="shared" si="1"/>
        <v>7681411.4170956146</v>
      </c>
    </row>
    <row r="88" spans="1:9" ht="15.75" x14ac:dyDescent="0.25">
      <c r="A88" s="8"/>
      <c r="B88" s="8"/>
      <c r="C88" s="9"/>
      <c r="D88" s="12" t="s">
        <v>84</v>
      </c>
      <c r="E88" s="16">
        <v>1736162.17</v>
      </c>
      <c r="F88" s="16">
        <v>0</v>
      </c>
      <c r="G88" s="16">
        <v>2091029.1999999997</v>
      </c>
      <c r="H88" s="16">
        <v>0</v>
      </c>
      <c r="I88" s="13">
        <f t="shared" si="1"/>
        <v>3827191.3699999996</v>
      </c>
    </row>
    <row r="89" spans="1:9" ht="15.75" x14ac:dyDescent="0.25">
      <c r="A89" s="8"/>
      <c r="B89" s="8"/>
      <c r="C89" s="9"/>
      <c r="D89" s="12" t="s">
        <v>85</v>
      </c>
      <c r="E89" s="16">
        <v>4135130.0599999996</v>
      </c>
      <c r="F89" s="16">
        <v>4965896.6924766665</v>
      </c>
      <c r="G89" s="16">
        <v>405490.60000000003</v>
      </c>
      <c r="H89" s="16">
        <v>0</v>
      </c>
      <c r="I89" s="13">
        <f t="shared" si="1"/>
        <v>9506517.3524766658</v>
      </c>
    </row>
    <row r="90" spans="1:9" ht="15.75" x14ac:dyDescent="0.25">
      <c r="A90" s="8"/>
      <c r="B90" s="8"/>
      <c r="C90" s="9"/>
      <c r="D90" s="12" t="s">
        <v>86</v>
      </c>
      <c r="E90" s="16">
        <v>1502037.1099999999</v>
      </c>
      <c r="F90" s="16">
        <v>1284917.1684168417</v>
      </c>
      <c r="G90" s="16">
        <v>375925.68999999994</v>
      </c>
      <c r="H90" s="16">
        <v>0</v>
      </c>
      <c r="I90" s="13">
        <f t="shared" si="1"/>
        <v>3162879.9684168412</v>
      </c>
    </row>
    <row r="91" spans="1:9" ht="15.75" x14ac:dyDescent="0.25">
      <c r="A91" s="8"/>
      <c r="B91" s="8"/>
      <c r="C91" s="9"/>
      <c r="D91" s="12" t="s">
        <v>87</v>
      </c>
      <c r="E91" s="16">
        <v>4321247.9000000013</v>
      </c>
      <c r="F91" s="16">
        <v>2930797.9270801381</v>
      </c>
      <c r="G91" s="16">
        <v>904695.6399999999</v>
      </c>
      <c r="H91" s="16">
        <v>0</v>
      </c>
      <c r="I91" s="13">
        <f t="shared" si="1"/>
        <v>8156741.4670801396</v>
      </c>
    </row>
    <row r="92" spans="1:9" ht="15.75" x14ac:dyDescent="0.25">
      <c r="A92" s="8"/>
      <c r="B92" s="8"/>
      <c r="C92" s="9"/>
      <c r="D92" s="12" t="s">
        <v>88</v>
      </c>
      <c r="E92" s="16">
        <v>537921.65999999992</v>
      </c>
      <c r="F92" s="16">
        <v>404394.38588243397</v>
      </c>
      <c r="G92" s="16">
        <v>2377026.6100000008</v>
      </c>
      <c r="H92" s="16">
        <v>0</v>
      </c>
      <c r="I92" s="13">
        <f t="shared" si="1"/>
        <v>3319342.6558824349</v>
      </c>
    </row>
    <row r="93" spans="1:9" ht="15.75" x14ac:dyDescent="0.25">
      <c r="A93" s="8"/>
      <c r="B93" s="8"/>
      <c r="C93" s="9"/>
      <c r="D93" s="12" t="s">
        <v>89</v>
      </c>
      <c r="E93" s="16">
        <v>7391405.1500000004</v>
      </c>
      <c r="F93" s="16">
        <v>3276585.1381773897</v>
      </c>
      <c r="G93" s="16">
        <v>374074.68000000005</v>
      </c>
      <c r="H93" s="16">
        <v>0</v>
      </c>
      <c r="I93" s="13">
        <f t="shared" si="1"/>
        <v>11042064.968177389</v>
      </c>
    </row>
    <row r="94" spans="1:9" ht="15.75" x14ac:dyDescent="0.25">
      <c r="A94" s="8"/>
      <c r="B94" s="8"/>
      <c r="C94" s="9"/>
      <c r="D94" s="12" t="s">
        <v>90</v>
      </c>
      <c r="E94" s="16">
        <v>4221.84</v>
      </c>
      <c r="F94" s="16">
        <v>0</v>
      </c>
      <c r="G94" s="16">
        <v>113286.73999999999</v>
      </c>
      <c r="H94" s="16">
        <v>0</v>
      </c>
      <c r="I94" s="13">
        <f t="shared" si="1"/>
        <v>117508.57999999999</v>
      </c>
    </row>
    <row r="95" spans="1:9" ht="15.75" x14ac:dyDescent="0.25">
      <c r="A95" s="8"/>
      <c r="B95" s="8"/>
      <c r="C95" s="9"/>
      <c r="D95" s="12" t="s">
        <v>91</v>
      </c>
      <c r="E95" s="16">
        <v>714452.26</v>
      </c>
      <c r="F95" s="16">
        <v>103941.11764565998</v>
      </c>
      <c r="G95" s="16">
        <v>2464193.2799999998</v>
      </c>
      <c r="H95" s="16">
        <v>0</v>
      </c>
      <c r="I95" s="13">
        <f t="shared" si="1"/>
        <v>3282586.6576456595</v>
      </c>
    </row>
    <row r="96" spans="1:9" ht="15.75" x14ac:dyDescent="0.25">
      <c r="A96" s="8"/>
      <c r="B96" s="8"/>
      <c r="C96" s="9"/>
      <c r="D96" s="12" t="s">
        <v>92</v>
      </c>
      <c r="E96" s="16">
        <v>0</v>
      </c>
      <c r="F96" s="16">
        <v>0</v>
      </c>
      <c r="G96" s="16">
        <v>4654841.3499999996</v>
      </c>
      <c r="H96" s="16">
        <v>0</v>
      </c>
      <c r="I96" s="13">
        <f t="shared" si="1"/>
        <v>4654841.3499999996</v>
      </c>
    </row>
    <row r="97" spans="1:9" ht="15.75" x14ac:dyDescent="0.25">
      <c r="A97" s="8"/>
      <c r="B97" s="8"/>
      <c r="C97" s="9"/>
      <c r="D97" s="12" t="s">
        <v>93</v>
      </c>
      <c r="E97" s="16">
        <v>2997077.3999999994</v>
      </c>
      <c r="F97" s="16">
        <v>4667346.5714643896</v>
      </c>
      <c r="G97" s="16">
        <v>312999.77</v>
      </c>
      <c r="H97" s="16">
        <v>0</v>
      </c>
      <c r="I97" s="13">
        <f t="shared" si="1"/>
        <v>7977423.7414643895</v>
      </c>
    </row>
    <row r="98" spans="1:9" ht="15.75" x14ac:dyDescent="0.25">
      <c r="A98" s="8"/>
      <c r="B98" s="8"/>
      <c r="C98" s="9"/>
      <c r="D98" s="12" t="s">
        <v>94</v>
      </c>
      <c r="E98" s="16">
        <v>11070247.93</v>
      </c>
      <c r="F98" s="16">
        <v>6139357.7516434202</v>
      </c>
      <c r="G98" s="16">
        <v>2300462.2200000002</v>
      </c>
      <c r="H98" s="16">
        <v>0</v>
      </c>
      <c r="I98" s="13">
        <f t="shared" si="1"/>
        <v>19510067.901643418</v>
      </c>
    </row>
    <row r="99" spans="1:9" ht="15.75" x14ac:dyDescent="0.25">
      <c r="A99" s="8"/>
      <c r="B99" s="8"/>
      <c r="C99" s="9"/>
      <c r="D99" s="12" t="s">
        <v>95</v>
      </c>
      <c r="E99" s="16">
        <v>15526697.369999999</v>
      </c>
      <c r="F99" s="16">
        <v>11698597.190342423</v>
      </c>
      <c r="G99" s="16">
        <v>1092417.0900000001</v>
      </c>
      <c r="H99" s="16">
        <v>0</v>
      </c>
      <c r="I99" s="13">
        <f t="shared" si="1"/>
        <v>28317711.650342423</v>
      </c>
    </row>
    <row r="100" spans="1:9" ht="15.75" x14ac:dyDescent="0.25">
      <c r="A100" s="8"/>
      <c r="B100" s="8"/>
      <c r="C100" s="9"/>
      <c r="D100" s="12" t="s">
        <v>96</v>
      </c>
      <c r="E100" s="16">
        <v>15235944.200000001</v>
      </c>
      <c r="F100" s="16">
        <v>11704257.833369136</v>
      </c>
      <c r="G100" s="16">
        <v>2053756.78</v>
      </c>
      <c r="H100" s="16">
        <v>0</v>
      </c>
      <c r="I100" s="13">
        <f t="shared" si="1"/>
        <v>28993958.81336914</v>
      </c>
    </row>
    <row r="101" spans="1:9" ht="15.75" x14ac:dyDescent="0.25">
      <c r="A101" s="8"/>
      <c r="B101" s="8"/>
      <c r="C101" s="9"/>
      <c r="D101" s="12" t="s">
        <v>97</v>
      </c>
      <c r="E101" s="16">
        <v>224420.43000000002</v>
      </c>
      <c r="F101" s="16">
        <v>15706332.453254519</v>
      </c>
      <c r="G101" s="16">
        <v>22083.05</v>
      </c>
      <c r="H101" s="16">
        <v>0</v>
      </c>
      <c r="I101" s="13">
        <f t="shared" si="1"/>
        <v>15952835.933254519</v>
      </c>
    </row>
    <row r="102" spans="1:9" ht="15.75" x14ac:dyDescent="0.25">
      <c r="A102" s="8"/>
      <c r="B102" s="8"/>
      <c r="C102" s="9"/>
      <c r="D102" s="12" t="s">
        <v>98</v>
      </c>
      <c r="E102" s="16">
        <v>17579389.850000005</v>
      </c>
      <c r="F102" s="16">
        <v>6753488.7213948909</v>
      </c>
      <c r="G102" s="16">
        <v>1034920.85</v>
      </c>
      <c r="H102" s="16">
        <v>0</v>
      </c>
      <c r="I102" s="13">
        <f t="shared" si="1"/>
        <v>25367799.421394899</v>
      </c>
    </row>
    <row r="103" spans="1:9" ht="15.75" x14ac:dyDescent="0.25">
      <c r="A103" s="8"/>
      <c r="B103" s="8"/>
      <c r="C103" s="9"/>
      <c r="D103" s="12" t="s">
        <v>99</v>
      </c>
      <c r="E103" s="16">
        <v>5268525.13</v>
      </c>
      <c r="F103" s="16">
        <v>2144700.5260688998</v>
      </c>
      <c r="G103" s="16">
        <v>216012.36</v>
      </c>
      <c r="H103" s="16">
        <v>0</v>
      </c>
      <c r="I103" s="13">
        <f t="shared" si="1"/>
        <v>7629238.0160689</v>
      </c>
    </row>
    <row r="104" spans="1:9" ht="15.75" x14ac:dyDescent="0.25">
      <c r="A104" s="8"/>
      <c r="B104" s="8"/>
      <c r="C104" s="9"/>
      <c r="D104" s="12" t="s">
        <v>100</v>
      </c>
      <c r="E104" s="16">
        <v>29252555.460000001</v>
      </c>
      <c r="F104" s="16">
        <v>3919068.121709202</v>
      </c>
      <c r="G104" s="16">
        <v>2046772.15</v>
      </c>
      <c r="H104" s="16">
        <v>0</v>
      </c>
      <c r="I104" s="13">
        <f t="shared" si="1"/>
        <v>35218395.731709205</v>
      </c>
    </row>
    <row r="105" spans="1:9" ht="15.75" x14ac:dyDescent="0.25">
      <c r="A105" s="8"/>
      <c r="B105" s="8"/>
      <c r="C105" s="9"/>
      <c r="D105" s="12" t="s">
        <v>101</v>
      </c>
      <c r="E105" s="16">
        <v>3465038.6600000006</v>
      </c>
      <c r="F105" s="16">
        <v>5820019.4071020111</v>
      </c>
      <c r="G105" s="16">
        <v>37167.24</v>
      </c>
      <c r="H105" s="16">
        <v>0</v>
      </c>
      <c r="I105" s="13">
        <f t="shared" si="1"/>
        <v>9322225.3071020115</v>
      </c>
    </row>
    <row r="106" spans="1:9" ht="15.75" x14ac:dyDescent="0.25">
      <c r="A106" s="8"/>
      <c r="B106" s="8"/>
      <c r="C106" s="9"/>
      <c r="D106" s="12" t="s">
        <v>102</v>
      </c>
      <c r="E106" s="16">
        <v>5718527.0799999982</v>
      </c>
      <c r="F106" s="16">
        <v>359011.64437517396</v>
      </c>
      <c r="G106" s="16">
        <v>3958666.8600000003</v>
      </c>
      <c r="H106" s="16">
        <v>0</v>
      </c>
      <c r="I106" s="13">
        <f t="shared" si="1"/>
        <v>10036205.584375173</v>
      </c>
    </row>
    <row r="107" spans="1:9" ht="15.75" x14ac:dyDescent="0.25">
      <c r="A107" s="8"/>
      <c r="B107" s="8"/>
      <c r="C107" s="9"/>
      <c r="D107" s="12" t="s">
        <v>103</v>
      </c>
      <c r="E107" s="16">
        <v>11763.94</v>
      </c>
      <c r="F107" s="16">
        <v>0</v>
      </c>
      <c r="G107" s="16">
        <v>1307722.8499999999</v>
      </c>
      <c r="H107" s="16">
        <v>0</v>
      </c>
      <c r="I107" s="13">
        <f t="shared" si="1"/>
        <v>1319486.7899999998</v>
      </c>
    </row>
    <row r="108" spans="1:9" ht="15.75" x14ac:dyDescent="0.25">
      <c r="A108" s="8"/>
      <c r="B108" s="8"/>
      <c r="C108" s="9"/>
      <c r="D108" s="12" t="s">
        <v>104</v>
      </c>
      <c r="E108" s="16">
        <v>1190940.3400000003</v>
      </c>
      <c r="F108" s="16">
        <v>0</v>
      </c>
      <c r="G108" s="16">
        <v>411625.29999999993</v>
      </c>
      <c r="H108" s="16">
        <v>0</v>
      </c>
      <c r="I108" s="13">
        <f t="shared" si="1"/>
        <v>1602565.6400000001</v>
      </c>
    </row>
    <row r="109" spans="1:9" ht="15.75" x14ac:dyDescent="0.25">
      <c r="A109" s="8"/>
      <c r="B109" s="8"/>
      <c r="C109" s="9"/>
      <c r="D109" s="12" t="s">
        <v>105</v>
      </c>
      <c r="E109" s="16">
        <v>1817085.7199999997</v>
      </c>
      <c r="F109" s="16">
        <v>9361142.0094846245</v>
      </c>
      <c r="G109" s="16">
        <v>345086.53</v>
      </c>
      <c r="H109" s="16">
        <v>0</v>
      </c>
      <c r="I109" s="13">
        <f t="shared" si="1"/>
        <v>11523314.259484624</v>
      </c>
    </row>
    <row r="110" spans="1:9" ht="15.75" x14ac:dyDescent="0.25">
      <c r="A110" s="8"/>
      <c r="B110" s="8"/>
      <c r="C110" s="9"/>
      <c r="D110" s="12" t="s">
        <v>106</v>
      </c>
      <c r="E110" s="16">
        <v>2034882.92</v>
      </c>
      <c r="F110" s="16">
        <v>2299636.2296017497</v>
      </c>
      <c r="G110" s="16">
        <v>235842.75</v>
      </c>
      <c r="H110" s="16">
        <v>0</v>
      </c>
      <c r="I110" s="13">
        <f t="shared" si="1"/>
        <v>4570361.8996017501</v>
      </c>
    </row>
    <row r="111" spans="1:9" ht="15.75" x14ac:dyDescent="0.25">
      <c r="A111" s="8"/>
      <c r="B111" s="8"/>
      <c r="C111" s="9"/>
      <c r="D111" s="12" t="s">
        <v>107</v>
      </c>
      <c r="E111" s="16">
        <v>49503.75</v>
      </c>
      <c r="F111" s="16">
        <v>35915.804031552005</v>
      </c>
      <c r="G111" s="16">
        <v>7781986.2000000011</v>
      </c>
      <c r="H111" s="16">
        <v>0</v>
      </c>
      <c r="I111" s="13">
        <f t="shared" si="1"/>
        <v>7867405.7540315529</v>
      </c>
    </row>
    <row r="112" spans="1:9" ht="15.75" x14ac:dyDescent="0.25">
      <c r="A112" s="8"/>
      <c r="B112" s="8"/>
      <c r="C112" s="9"/>
      <c r="D112" s="12" t="s">
        <v>108</v>
      </c>
      <c r="E112" s="16">
        <v>7790235.5100000016</v>
      </c>
      <c r="F112" s="16">
        <v>2456475.080359098</v>
      </c>
      <c r="G112" s="16">
        <v>525715.18000000005</v>
      </c>
      <c r="H112" s="16">
        <v>0</v>
      </c>
      <c r="I112" s="13">
        <f t="shared" si="1"/>
        <v>10772425.770359099</v>
      </c>
    </row>
    <row r="113" spans="1:9" ht="15.75" x14ac:dyDescent="0.25">
      <c r="A113" s="8"/>
      <c r="B113" s="8"/>
      <c r="C113" s="9"/>
      <c r="D113" s="12" t="s">
        <v>109</v>
      </c>
      <c r="E113" s="16">
        <v>5506873.2900000019</v>
      </c>
      <c r="F113" s="16">
        <v>5914493.5872719642</v>
      </c>
      <c r="G113" s="16">
        <v>356806.87</v>
      </c>
      <c r="H113" s="16">
        <v>0</v>
      </c>
      <c r="I113" s="13">
        <f t="shared" si="1"/>
        <v>11778173.747271964</v>
      </c>
    </row>
    <row r="114" spans="1:9" ht="15.75" x14ac:dyDescent="0.25">
      <c r="A114" s="8"/>
      <c r="B114" s="8"/>
      <c r="C114" s="9"/>
      <c r="D114" s="12" t="s">
        <v>110</v>
      </c>
      <c r="E114" s="16">
        <v>14667956.899999999</v>
      </c>
      <c r="F114" s="16">
        <v>6783695.0837529469</v>
      </c>
      <c r="G114" s="16">
        <v>722245.2</v>
      </c>
      <c r="H114" s="16">
        <v>0</v>
      </c>
      <c r="I114" s="13">
        <f t="shared" si="1"/>
        <v>22173897.183752943</v>
      </c>
    </row>
    <row r="115" spans="1:9" ht="15.75" x14ac:dyDescent="0.25">
      <c r="A115" s="8"/>
      <c r="B115" s="8"/>
      <c r="C115" s="9"/>
      <c r="D115" s="12" t="s">
        <v>111</v>
      </c>
      <c r="E115" s="16">
        <v>24681715.219999999</v>
      </c>
      <c r="F115" s="16">
        <v>3354077.3892672062</v>
      </c>
      <c r="G115" s="16">
        <v>999187.22000000009</v>
      </c>
      <c r="H115" s="16">
        <v>0</v>
      </c>
      <c r="I115" s="13">
        <f t="shared" si="1"/>
        <v>29034979.829267204</v>
      </c>
    </row>
    <row r="116" spans="1:9" ht="15.75" x14ac:dyDescent="0.25">
      <c r="A116" s="8"/>
      <c r="B116" s="8"/>
      <c r="C116" s="9"/>
      <c r="D116" s="12" t="s">
        <v>112</v>
      </c>
      <c r="E116" s="16">
        <v>4143954.0799999991</v>
      </c>
      <c r="F116" s="16">
        <v>4355572.0171741918</v>
      </c>
      <c r="G116" s="16">
        <v>247588.22999999998</v>
      </c>
      <c r="H116" s="16">
        <v>0</v>
      </c>
      <c r="I116" s="13">
        <f t="shared" si="1"/>
        <v>8747114.3271741904</v>
      </c>
    </row>
    <row r="117" spans="1:9" ht="15.75" x14ac:dyDescent="0.25">
      <c r="A117" s="8"/>
      <c r="B117" s="8"/>
      <c r="C117" s="9"/>
      <c r="D117" s="12" t="s">
        <v>113</v>
      </c>
      <c r="E117" s="16">
        <v>3861673.46</v>
      </c>
      <c r="F117" s="16">
        <v>3363495.528096132</v>
      </c>
      <c r="G117" s="16">
        <v>635102.04</v>
      </c>
      <c r="H117" s="16">
        <v>0</v>
      </c>
      <c r="I117" s="13">
        <f t="shared" si="1"/>
        <v>7860271.028096132</v>
      </c>
    </row>
    <row r="118" spans="1:9" ht="15.75" x14ac:dyDescent="0.25">
      <c r="A118" s="8"/>
      <c r="B118" s="8"/>
      <c r="C118" s="9"/>
      <c r="D118" s="12" t="s">
        <v>114</v>
      </c>
      <c r="E118" s="16">
        <v>6577291.75</v>
      </c>
      <c r="F118" s="16">
        <v>5253125.5274355179</v>
      </c>
      <c r="G118" s="16">
        <v>656724.64</v>
      </c>
      <c r="H118" s="16">
        <v>0</v>
      </c>
      <c r="I118" s="13">
        <f t="shared" si="1"/>
        <v>12487141.917435519</v>
      </c>
    </row>
    <row r="119" spans="1:9" ht="15.75" x14ac:dyDescent="0.25">
      <c r="A119" s="8"/>
      <c r="B119" s="8"/>
      <c r="C119" s="9"/>
      <c r="D119" s="12" t="s">
        <v>115</v>
      </c>
      <c r="E119" s="16">
        <v>1568205.3599999996</v>
      </c>
      <c r="F119" s="16">
        <v>510189.85210581002</v>
      </c>
      <c r="G119" s="16">
        <v>406712.75</v>
      </c>
      <c r="H119" s="16">
        <v>0</v>
      </c>
      <c r="I119" s="13">
        <f t="shared" si="1"/>
        <v>2485107.9621058097</v>
      </c>
    </row>
    <row r="120" spans="1:9" ht="15.75" x14ac:dyDescent="0.25">
      <c r="A120" s="8"/>
      <c r="B120" s="8"/>
      <c r="C120" s="9"/>
      <c r="D120" s="12" t="s">
        <v>116</v>
      </c>
      <c r="E120" s="16">
        <v>20401144.569999993</v>
      </c>
      <c r="F120" s="16">
        <v>2229756.5674099261</v>
      </c>
      <c r="G120" s="16">
        <v>627706.23</v>
      </c>
      <c r="H120" s="16">
        <v>0</v>
      </c>
      <c r="I120" s="13">
        <f t="shared" si="1"/>
        <v>23258607.367409918</v>
      </c>
    </row>
    <row r="121" spans="1:9" ht="15.75" x14ac:dyDescent="0.25">
      <c r="A121" s="8"/>
      <c r="B121" s="8"/>
      <c r="C121" s="9"/>
      <c r="D121" s="12" t="s">
        <v>117</v>
      </c>
      <c r="E121" s="16">
        <v>7334416.8700000001</v>
      </c>
      <c r="F121" s="16">
        <v>3308694.6477599461</v>
      </c>
      <c r="G121" s="16">
        <v>393339.11</v>
      </c>
      <c r="H121" s="16">
        <v>0</v>
      </c>
      <c r="I121" s="13">
        <f t="shared" si="1"/>
        <v>11036450.627759945</v>
      </c>
    </row>
    <row r="122" spans="1:9" ht="15.75" x14ac:dyDescent="0.25">
      <c r="A122" s="8"/>
      <c r="B122" s="8"/>
      <c r="C122" s="9"/>
      <c r="D122" s="12" t="s">
        <v>118</v>
      </c>
      <c r="E122" s="16">
        <v>7591623.370000002</v>
      </c>
      <c r="F122" s="16">
        <v>2439493.1512789624</v>
      </c>
      <c r="G122" s="16">
        <v>583262.04</v>
      </c>
      <c r="H122" s="16">
        <v>0</v>
      </c>
      <c r="I122" s="13">
        <f t="shared" si="1"/>
        <v>10614378.561278965</v>
      </c>
    </row>
    <row r="123" spans="1:9" ht="15.75" x14ac:dyDescent="0.25">
      <c r="A123" s="8"/>
      <c r="B123" s="8"/>
      <c r="C123" s="9"/>
      <c r="D123" s="12" t="s">
        <v>119</v>
      </c>
      <c r="E123" s="16">
        <v>8218890.0499999989</v>
      </c>
      <c r="F123" s="16">
        <v>4482155.7069266997</v>
      </c>
      <c r="G123" s="16">
        <v>212417.25000000003</v>
      </c>
      <c r="H123" s="16">
        <v>0</v>
      </c>
      <c r="I123" s="13">
        <f t="shared" si="1"/>
        <v>12913463.006926699</v>
      </c>
    </row>
    <row r="124" spans="1:9" ht="15.75" x14ac:dyDescent="0.25">
      <c r="A124" s="8"/>
      <c r="B124" s="8"/>
      <c r="C124" s="9"/>
      <c r="D124" s="12" t="s">
        <v>120</v>
      </c>
      <c r="E124" s="16">
        <v>135824.85</v>
      </c>
      <c r="F124" s="16">
        <v>0</v>
      </c>
      <c r="G124" s="16">
        <v>2164334.39</v>
      </c>
      <c r="H124" s="16">
        <v>14105946.07</v>
      </c>
      <c r="I124" s="13">
        <f t="shared" si="1"/>
        <v>16406105.310000001</v>
      </c>
    </row>
    <row r="125" spans="1:9" ht="15.75" x14ac:dyDescent="0.25">
      <c r="A125" s="8"/>
      <c r="B125" s="8"/>
      <c r="C125" s="9"/>
      <c r="D125" s="12" t="s">
        <v>121</v>
      </c>
      <c r="E125" s="16">
        <v>0</v>
      </c>
      <c r="F125" s="16">
        <v>0</v>
      </c>
      <c r="G125" s="16">
        <v>5680667.1600000001</v>
      </c>
      <c r="H125" s="16">
        <v>2689715.5249999994</v>
      </c>
      <c r="I125" s="13">
        <f t="shared" si="1"/>
        <v>8370382.6849999996</v>
      </c>
    </row>
    <row r="126" spans="1:9" ht="15.75" x14ac:dyDescent="0.25">
      <c r="A126" s="8"/>
      <c r="B126" s="8"/>
      <c r="C126" s="9"/>
      <c r="D126" s="12" t="s">
        <v>122</v>
      </c>
      <c r="E126" s="16">
        <v>87716.76</v>
      </c>
      <c r="F126" s="16">
        <v>0</v>
      </c>
      <c r="G126" s="16">
        <v>2664133.5199999996</v>
      </c>
      <c r="H126" s="16">
        <v>0</v>
      </c>
      <c r="I126" s="13">
        <f t="shared" si="1"/>
        <v>2751850.2799999993</v>
      </c>
    </row>
    <row r="127" spans="1:9" ht="15.75" x14ac:dyDescent="0.25">
      <c r="A127" s="8"/>
      <c r="B127" s="8"/>
      <c r="C127" s="9"/>
      <c r="D127" s="12" t="s">
        <v>123</v>
      </c>
      <c r="E127" s="16">
        <v>4206204.33</v>
      </c>
      <c r="F127" s="16">
        <v>944790.60034630192</v>
      </c>
      <c r="G127" s="16">
        <v>1707827.7300000002</v>
      </c>
      <c r="H127" s="16">
        <v>0</v>
      </c>
      <c r="I127" s="13">
        <f t="shared" si="1"/>
        <v>6858822.6603463022</v>
      </c>
    </row>
    <row r="128" spans="1:9" ht="15.75" x14ac:dyDescent="0.25">
      <c r="A128" s="8"/>
      <c r="B128" s="8"/>
      <c r="C128" s="9"/>
      <c r="D128" s="12" t="s">
        <v>124</v>
      </c>
      <c r="E128" s="16">
        <v>9532492.4199999999</v>
      </c>
      <c r="F128" s="16">
        <v>2947779.8561602738</v>
      </c>
      <c r="G128" s="16">
        <v>866467.44</v>
      </c>
      <c r="H128" s="16">
        <v>0</v>
      </c>
      <c r="I128" s="13">
        <f t="shared" si="1"/>
        <v>13346739.716160273</v>
      </c>
    </row>
    <row r="129" spans="1:9" ht="15.75" x14ac:dyDescent="0.25">
      <c r="A129" s="8"/>
      <c r="B129" s="8"/>
      <c r="C129" s="9"/>
      <c r="D129" s="12" t="s">
        <v>125</v>
      </c>
      <c r="E129" s="16">
        <v>3006152.58</v>
      </c>
      <c r="F129" s="16">
        <v>1426677.2373185521</v>
      </c>
      <c r="G129" s="16">
        <v>555985.04999999993</v>
      </c>
      <c r="H129" s="16">
        <v>0</v>
      </c>
      <c r="I129" s="13">
        <f t="shared" si="1"/>
        <v>4988814.867318552</v>
      </c>
    </row>
    <row r="130" spans="1:9" ht="15.75" x14ac:dyDescent="0.25">
      <c r="A130" s="8"/>
      <c r="B130" s="8"/>
      <c r="C130" s="9"/>
      <c r="D130" s="12" t="s">
        <v>126</v>
      </c>
      <c r="E130" s="16">
        <v>2371507.92</v>
      </c>
      <c r="F130" s="16">
        <v>2513179.1079197815</v>
      </c>
      <c r="G130" s="16">
        <v>188861.22</v>
      </c>
      <c r="H130" s="16">
        <v>0</v>
      </c>
      <c r="I130" s="13">
        <f t="shared" si="1"/>
        <v>5073548.2479197811</v>
      </c>
    </row>
    <row r="131" spans="1:9" ht="15.75" x14ac:dyDescent="0.25">
      <c r="A131" s="8"/>
      <c r="B131" s="8"/>
      <c r="C131" s="9"/>
      <c r="D131" s="12" t="s">
        <v>127</v>
      </c>
      <c r="E131" s="16">
        <v>24717618.329999998</v>
      </c>
      <c r="F131" s="16">
        <v>13735599.102963451</v>
      </c>
      <c r="G131" s="16">
        <v>4140872.5700000003</v>
      </c>
      <c r="H131" s="16">
        <v>0</v>
      </c>
      <c r="I131" s="13">
        <f t="shared" si="1"/>
        <v>42594090.002963446</v>
      </c>
    </row>
    <row r="132" spans="1:9" ht="15.75" x14ac:dyDescent="0.25">
      <c r="A132" s="8"/>
      <c r="B132" s="8"/>
      <c r="C132" s="9"/>
      <c r="D132" s="12" t="s">
        <v>128</v>
      </c>
      <c r="E132" s="16">
        <v>4723443.9800000004</v>
      </c>
      <c r="F132" s="16">
        <v>8427672.6951917466</v>
      </c>
      <c r="G132" s="16">
        <v>140179.20999999996</v>
      </c>
      <c r="H132" s="16">
        <v>0</v>
      </c>
      <c r="I132" s="13">
        <f t="shared" si="1"/>
        <v>13291295.885191746</v>
      </c>
    </row>
    <row r="133" spans="1:9" ht="15.75" x14ac:dyDescent="0.25">
      <c r="A133" s="8"/>
      <c r="B133" s="8"/>
      <c r="C133" s="9"/>
      <c r="D133" s="12" t="s">
        <v>129</v>
      </c>
      <c r="E133" s="16">
        <v>3518220.46</v>
      </c>
      <c r="F133" s="16">
        <v>0</v>
      </c>
      <c r="G133" s="16">
        <v>5545361.7400000002</v>
      </c>
      <c r="H133" s="16">
        <v>9056933.7200000007</v>
      </c>
      <c r="I133" s="13">
        <f t="shared" si="1"/>
        <v>18120515.920000002</v>
      </c>
    </row>
    <row r="134" spans="1:9" ht="15.75" x14ac:dyDescent="0.25">
      <c r="A134" s="8"/>
      <c r="B134" s="8"/>
      <c r="C134" s="9"/>
      <c r="D134" s="12" t="s">
        <v>130</v>
      </c>
      <c r="E134" s="16">
        <v>869392.34</v>
      </c>
      <c r="F134" s="16">
        <v>415715.67193585797</v>
      </c>
      <c r="G134" s="16">
        <v>25108</v>
      </c>
      <c r="H134" s="16">
        <v>0</v>
      </c>
      <c r="I134" s="13">
        <f t="shared" si="1"/>
        <v>1310216.0119358581</v>
      </c>
    </row>
    <row r="135" spans="1:9" ht="15.75" x14ac:dyDescent="0.25">
      <c r="A135" s="8"/>
      <c r="B135" s="8"/>
      <c r="C135" s="9"/>
      <c r="D135" s="12" t="s">
        <v>131</v>
      </c>
      <c r="E135" s="16">
        <v>2801804.6199999996</v>
      </c>
      <c r="F135" s="16">
        <v>5253125.5274355179</v>
      </c>
      <c r="G135" s="16">
        <v>235137.86000000002</v>
      </c>
      <c r="H135" s="16">
        <v>0</v>
      </c>
      <c r="I135" s="13">
        <f t="shared" si="1"/>
        <v>8290068.0074355183</v>
      </c>
    </row>
    <row r="136" spans="1:9" ht="15.75" x14ac:dyDescent="0.25">
      <c r="A136" s="8"/>
      <c r="B136" s="8"/>
      <c r="C136" s="9"/>
      <c r="D136" s="12" t="s">
        <v>132</v>
      </c>
      <c r="E136" s="16">
        <v>18657847.470000003</v>
      </c>
      <c r="F136" s="16">
        <v>6349094.3355124556</v>
      </c>
      <c r="G136" s="16">
        <v>1471164.4999999998</v>
      </c>
      <c r="H136" s="16">
        <v>0</v>
      </c>
      <c r="I136" s="13">
        <f t="shared" si="1"/>
        <v>26478106.305512458</v>
      </c>
    </row>
    <row r="137" spans="1:9" ht="15.75" x14ac:dyDescent="0.25">
      <c r="A137" s="8"/>
      <c r="B137" s="8"/>
      <c r="C137" s="9"/>
      <c r="D137" s="12" t="s">
        <v>133</v>
      </c>
      <c r="E137" s="16">
        <v>21737825.09</v>
      </c>
      <c r="F137" s="16">
        <v>9982836.7694873028</v>
      </c>
      <c r="G137" s="16">
        <v>1876756.9099999997</v>
      </c>
      <c r="H137" s="16">
        <v>0</v>
      </c>
      <c r="I137" s="13">
        <f t="shared" si="1"/>
        <v>33597418.769487299</v>
      </c>
    </row>
    <row r="138" spans="1:9" ht="15.75" x14ac:dyDescent="0.25">
      <c r="A138" s="8"/>
      <c r="B138" s="8"/>
      <c r="C138" s="9"/>
      <c r="D138" s="12" t="s">
        <v>134</v>
      </c>
      <c r="E138" s="16">
        <v>0</v>
      </c>
      <c r="F138" s="16">
        <v>0</v>
      </c>
      <c r="G138" s="16">
        <v>3580863.04</v>
      </c>
      <c r="H138" s="16">
        <v>0</v>
      </c>
      <c r="I138" s="13">
        <f t="shared" ref="I138:I144" si="2">SUM(E138:H138)</f>
        <v>3580863.04</v>
      </c>
    </row>
    <row r="139" spans="1:9" ht="15.75" x14ac:dyDescent="0.25">
      <c r="A139" s="8"/>
      <c r="B139" s="8"/>
      <c r="C139" s="9"/>
      <c r="D139" s="12" t="s">
        <v>135</v>
      </c>
      <c r="E139" s="16">
        <v>2554058.7599999998</v>
      </c>
      <c r="F139" s="16">
        <v>1494702.5509326602</v>
      </c>
      <c r="G139" s="16">
        <v>303455.82999999996</v>
      </c>
      <c r="H139" s="16">
        <v>0</v>
      </c>
      <c r="I139" s="13">
        <f t="shared" si="2"/>
        <v>4352217.1409326596</v>
      </c>
    </row>
    <row r="140" spans="1:9" ht="15.75" x14ac:dyDescent="0.25">
      <c r="A140" s="8"/>
      <c r="B140" s="8"/>
      <c r="C140" s="9"/>
      <c r="D140" s="12" t="s">
        <v>136</v>
      </c>
      <c r="E140" s="16">
        <v>11993101.790000001</v>
      </c>
      <c r="F140" s="16">
        <v>10600725.235040989</v>
      </c>
      <c r="G140" s="16">
        <v>827006.92</v>
      </c>
      <c r="H140" s="16">
        <v>0</v>
      </c>
      <c r="I140" s="13">
        <f t="shared" si="2"/>
        <v>23420833.945040993</v>
      </c>
    </row>
    <row r="141" spans="1:9" ht="15.75" x14ac:dyDescent="0.25">
      <c r="A141" s="8"/>
      <c r="B141" s="8"/>
      <c r="C141" s="9"/>
      <c r="D141" s="12" t="s">
        <v>137</v>
      </c>
      <c r="E141" s="16">
        <v>0</v>
      </c>
      <c r="F141" s="16">
        <v>0</v>
      </c>
      <c r="G141" s="16">
        <v>4344279.38</v>
      </c>
      <c r="H141" s="16">
        <v>1012341.8150000001</v>
      </c>
      <c r="I141" s="13">
        <f t="shared" si="2"/>
        <v>5356621.1950000003</v>
      </c>
    </row>
    <row r="142" spans="1:9" ht="15.75" x14ac:dyDescent="0.25">
      <c r="A142" s="8"/>
      <c r="B142" s="8"/>
      <c r="C142" s="9"/>
      <c r="D142" s="12" t="s">
        <v>138</v>
      </c>
      <c r="E142" s="16">
        <v>7327.2899999999991</v>
      </c>
      <c r="F142" s="16">
        <v>0</v>
      </c>
      <c r="G142" s="16">
        <v>1171178.5699999998</v>
      </c>
      <c r="H142" s="16">
        <v>0</v>
      </c>
      <c r="I142" s="13">
        <f t="shared" si="2"/>
        <v>1178505.8599999999</v>
      </c>
    </row>
    <row r="143" spans="1:9" ht="15.75" x14ac:dyDescent="0.25">
      <c r="A143" s="8"/>
      <c r="B143" s="8"/>
      <c r="C143" s="9"/>
      <c r="D143" s="12" t="s">
        <v>139</v>
      </c>
      <c r="E143" s="16">
        <v>672417.11</v>
      </c>
      <c r="F143" s="16">
        <v>9797645.9049496129</v>
      </c>
      <c r="G143" s="16">
        <v>140373.07</v>
      </c>
      <c r="H143" s="16">
        <v>0</v>
      </c>
      <c r="I143" s="13">
        <f t="shared" si="2"/>
        <v>10610436.084949613</v>
      </c>
    </row>
    <row r="144" spans="1:9" ht="15.75" x14ac:dyDescent="0.25">
      <c r="A144" s="8"/>
      <c r="B144" s="8"/>
      <c r="C144" s="9"/>
      <c r="D144" s="12" t="s">
        <v>140</v>
      </c>
      <c r="E144" s="16">
        <v>8504215.4100000001</v>
      </c>
      <c r="F144" s="16">
        <v>1190442.98824689</v>
      </c>
      <c r="G144" s="16">
        <v>1056147.06</v>
      </c>
      <c r="H144" s="16">
        <v>0</v>
      </c>
      <c r="I144" s="13">
        <f t="shared" si="2"/>
        <v>10750805.45824689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918790548.13</v>
      </c>
      <c r="F145" s="22">
        <f>SUM(F10:F144)</f>
        <v>487963825.24789327</v>
      </c>
      <c r="G145" s="22">
        <f>SUM(G10:G144)</f>
        <v>202201003.26999998</v>
      </c>
      <c r="H145" s="22">
        <f>SUM(H10:H144)</f>
        <v>26864937.129999999</v>
      </c>
      <c r="I145" s="22">
        <f>SUM(I10:I144)</f>
        <v>1635820313.7778933</v>
      </c>
    </row>
  </sheetData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5" fitToHeight="7" orientation="portrait" r:id="rId1"/>
  <headerFooter alignWithMargins="0">
    <oddFooter>&amp;C&amp;"Arial,Normal"&amp;9Subsecretaría de Coordinación Económica y Estadística
MINISTERIO DE HACIENDA Y FINANZAS&amp;R&amp;P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rgb="FF44AEAC"/>
    <pageSetUpPr fitToPage="1"/>
  </sheetPr>
  <dimension ref="A1:I145"/>
  <sheetViews>
    <sheetView showGridLines="0" zoomScale="80" zoomScaleNormal="80" workbookViewId="0"/>
  </sheetViews>
  <sheetFormatPr baseColWidth="10" defaultRowHeight="14.25" x14ac:dyDescent="0.2"/>
  <cols>
    <col min="1" max="1" width="6.33203125" style="1" customWidth="1"/>
    <col min="2" max="2" width="5.83203125" style="1" customWidth="1"/>
    <col min="3" max="3" width="5.33203125" style="1" customWidth="1"/>
    <col min="4" max="4" width="52.1640625" style="2" customWidth="1"/>
    <col min="5" max="8" width="20.1640625" style="2" customWidth="1"/>
    <col min="9" max="9" width="22.83203125" style="2" customWidth="1"/>
    <col min="10" max="10" width="17" style="2" bestFit="1" customWidth="1"/>
    <col min="11" max="16384" width="12" style="2"/>
  </cols>
  <sheetData>
    <row r="1" spans="1:9" ht="18.75" customHeight="1" x14ac:dyDescent="0.2"/>
    <row r="2" spans="1:9" ht="43.5" customHeight="1" x14ac:dyDescent="0.2">
      <c r="D2" s="15"/>
      <c r="E2" s="15"/>
      <c r="F2" s="15"/>
      <c r="G2" s="15"/>
      <c r="H2" s="15"/>
      <c r="I2" s="15"/>
    </row>
    <row r="3" spans="1:9" ht="8.25" customHeight="1" x14ac:dyDescent="0.2">
      <c r="D3" s="3"/>
      <c r="E3" s="3"/>
      <c r="F3" s="3"/>
      <c r="G3" s="3"/>
      <c r="H3" s="3"/>
      <c r="I3" s="3"/>
    </row>
    <row r="4" spans="1:9" x14ac:dyDescent="0.2">
      <c r="D4" s="3"/>
      <c r="E4" s="3"/>
      <c r="F4" s="3"/>
      <c r="G4" s="3"/>
      <c r="H4" s="3"/>
      <c r="I4" s="3"/>
    </row>
    <row r="5" spans="1:9" ht="21.75" customHeight="1" x14ac:dyDescent="0.3">
      <c r="D5" s="18" t="s">
        <v>143</v>
      </c>
      <c r="E5" s="19"/>
      <c r="F5" s="19"/>
      <c r="G5" s="19"/>
      <c r="H5" s="19"/>
      <c r="I5" s="19"/>
    </row>
    <row r="6" spans="1:9" ht="21.75" customHeight="1" x14ac:dyDescent="0.3">
      <c r="D6" s="18" t="s">
        <v>168</v>
      </c>
      <c r="E6" s="19"/>
      <c r="F6" s="19"/>
      <c r="G6" s="19"/>
      <c r="H6" s="19"/>
      <c r="I6" s="19"/>
    </row>
    <row r="7" spans="1:9" ht="21.75" customHeight="1" x14ac:dyDescent="0.25">
      <c r="D7" s="4"/>
      <c r="E7" s="5"/>
      <c r="F7" s="5"/>
      <c r="G7" s="5"/>
      <c r="H7" s="5"/>
      <c r="I7" s="6" t="s">
        <v>0</v>
      </c>
    </row>
    <row r="8" spans="1:9" ht="18.75" customHeight="1" x14ac:dyDescent="0.2">
      <c r="D8" s="23" t="s">
        <v>1</v>
      </c>
      <c r="E8" s="25" t="s">
        <v>169</v>
      </c>
      <c r="F8" s="26"/>
      <c r="G8" s="26"/>
      <c r="H8" s="26"/>
      <c r="I8" s="27"/>
    </row>
    <row r="9" spans="1:9" ht="60" customHeight="1" x14ac:dyDescent="0.2">
      <c r="A9" s="7"/>
      <c r="B9" s="7"/>
      <c r="C9" s="7"/>
      <c r="D9" s="24"/>
      <c r="E9" s="20" t="s">
        <v>2</v>
      </c>
      <c r="F9" s="20" t="s">
        <v>3</v>
      </c>
      <c r="G9" s="20" t="s">
        <v>4</v>
      </c>
      <c r="H9" s="20" t="s">
        <v>5</v>
      </c>
      <c r="I9" s="20" t="s">
        <v>142</v>
      </c>
    </row>
    <row r="10" spans="1:9" ht="15.75" x14ac:dyDescent="0.25">
      <c r="A10" s="8"/>
      <c r="B10" s="8"/>
      <c r="C10" s="9"/>
      <c r="D10" s="12" t="s">
        <v>6</v>
      </c>
      <c r="E10" s="14">
        <f>+Enero!E10+Febrero!E10+Marzo!E10+Abril!E10+Mayo!E10+Junio!E10+Julio!E10+Agosto!E10+Septiembre!E10+Octubre!E10+Noviembre!E10+Diciembre!E10</f>
        <v>26809883.390000001</v>
      </c>
      <c r="F10" s="14">
        <f>+Enero!F10+Febrero!F10+Marzo!F10+Abril!F10+Mayo!F10+Junio!F10+Julio!F10+Agosto!F10+Septiembre!F10+Octubre!F10+Noviembre!F10+Diciembre!F10</f>
        <v>54569274.736682191</v>
      </c>
      <c r="G10" s="14">
        <f>+Enero!G10+Febrero!G10+Marzo!G10+Abril!G10+Mayo!G10+Junio!G10+Julio!G10+Agosto!G10+Septiembre!G10+Octubre!G10+Noviembre!G10+Diciembre!G10</f>
        <v>4386928.93</v>
      </c>
      <c r="H10" s="14">
        <f>+Enero!H10+Febrero!H10+Marzo!H10+Abril!H10+Mayo!H10+Junio!H10+Julio!H10+Agosto!H10+Septiembre!H10+Octubre!H10+Noviembre!H10+Diciembre!H10</f>
        <v>0</v>
      </c>
      <c r="I10" s="13">
        <f t="shared" ref="I10:I41" si="0">SUM(E10:H10)</f>
        <v>85766087.056682199</v>
      </c>
    </row>
    <row r="11" spans="1:9" ht="15.75" x14ac:dyDescent="0.25">
      <c r="A11" s="8"/>
      <c r="B11" s="8"/>
      <c r="C11" s="9"/>
      <c r="D11" s="12" t="s">
        <v>7</v>
      </c>
      <c r="E11" s="14">
        <f>+Enero!E11+Febrero!E11+Marzo!E11+Abril!E11+Mayo!E11+Junio!E11+Julio!E11+Agosto!E11+Septiembre!E11+Octubre!E11+Noviembre!E11+Diciembre!E11</f>
        <v>37655417.649999999</v>
      </c>
      <c r="F11" s="14">
        <f>+Enero!F11+Febrero!F11+Marzo!F11+Abril!F11+Mayo!F11+Junio!F11+Julio!F11+Agosto!F11+Septiembre!F11+Octubre!F11+Noviembre!F11+Diciembre!F11</f>
        <v>30628443.951630879</v>
      </c>
      <c r="G11" s="14">
        <f>+Enero!G11+Febrero!G11+Marzo!G11+Abril!G11+Mayo!G11+Junio!G11+Julio!G11+Agosto!G11+Septiembre!G11+Octubre!G11+Noviembre!G11+Diciembre!G11</f>
        <v>3805271.7199999997</v>
      </c>
      <c r="H11" s="14">
        <f>+Enero!H11+Febrero!H11+Marzo!H11+Abril!H11+Mayo!H11+Junio!H11+Julio!H11+Agosto!H11+Septiembre!H11+Octubre!H11+Noviembre!H11+Diciembre!H11</f>
        <v>0</v>
      </c>
      <c r="I11" s="13">
        <f t="shared" si="0"/>
        <v>72089133.32163088</v>
      </c>
    </row>
    <row r="12" spans="1:9" ht="15.75" x14ac:dyDescent="0.25">
      <c r="A12" s="8"/>
      <c r="B12" s="8"/>
      <c r="C12" s="9"/>
      <c r="D12" s="12" t="s">
        <v>8</v>
      </c>
      <c r="E12" s="14">
        <f>+Enero!E12+Febrero!E12+Marzo!E12+Abril!E12+Mayo!E12+Junio!E12+Julio!E12+Agosto!E12+Septiembre!E12+Octubre!E12+Noviembre!E12+Diciembre!E12</f>
        <v>40459288.170000002</v>
      </c>
      <c r="F12" s="14">
        <f>+Enero!F12+Febrero!F12+Marzo!F12+Abril!F12+Mayo!F12+Junio!F12+Julio!F12+Agosto!F12+Septiembre!F12+Octubre!F12+Noviembre!F12+Diciembre!F12</f>
        <v>11103708.615634091</v>
      </c>
      <c r="G12" s="14">
        <f>+Enero!G12+Febrero!G12+Marzo!G12+Abril!G12+Mayo!G12+Junio!G12+Julio!G12+Agosto!G12+Septiembre!G12+Octubre!G12+Noviembre!G12+Diciembre!G12</f>
        <v>3116792.56</v>
      </c>
      <c r="H12" s="14">
        <f>+Enero!H12+Febrero!H12+Marzo!H12+Abril!H12+Mayo!H12+Junio!H12+Julio!H12+Agosto!H12+Septiembre!H12+Octubre!H12+Noviembre!H12+Diciembre!H12</f>
        <v>0</v>
      </c>
      <c r="I12" s="13">
        <f t="shared" si="0"/>
        <v>54679789.345634095</v>
      </c>
    </row>
    <row r="13" spans="1:9" ht="15.75" x14ac:dyDescent="0.25">
      <c r="A13" s="8"/>
      <c r="B13" s="8"/>
      <c r="C13" s="9"/>
      <c r="D13" s="12" t="s">
        <v>9</v>
      </c>
      <c r="E13" s="14">
        <f>+Enero!E13+Febrero!E13+Marzo!E13+Abril!E13+Mayo!E13+Junio!E13+Julio!E13+Agosto!E13+Septiembre!E13+Octubre!E13+Noviembre!E13+Diciembre!E13</f>
        <v>10122246.219999999</v>
      </c>
      <c r="F13" s="14">
        <f>+Enero!F13+Febrero!F13+Marzo!F13+Abril!F13+Mayo!F13+Junio!F13+Julio!F13+Agosto!F13+Septiembre!F13+Octubre!F13+Noviembre!F13+Diciembre!F13</f>
        <v>293833.19467483804</v>
      </c>
      <c r="G13" s="14">
        <f>+Enero!G13+Febrero!G13+Marzo!G13+Abril!G13+Mayo!G13+Junio!G13+Julio!G13+Agosto!G13+Septiembre!G13+Octubre!G13+Noviembre!G13+Diciembre!G13</f>
        <v>33130496.149999999</v>
      </c>
      <c r="H13" s="14">
        <f>+Enero!H13+Febrero!H13+Marzo!H13+Abril!H13+Mayo!H13+Junio!H13+Julio!H13+Agosto!H13+Septiembre!H13+Octubre!H13+Noviembre!H13+Diciembre!H13</f>
        <v>0</v>
      </c>
      <c r="I13" s="13">
        <f t="shared" si="0"/>
        <v>43546575.564674839</v>
      </c>
    </row>
    <row r="14" spans="1:9" ht="15.75" x14ac:dyDescent="0.25">
      <c r="A14" s="8"/>
      <c r="B14" s="8"/>
      <c r="C14" s="9"/>
      <c r="D14" s="12" t="s">
        <v>10</v>
      </c>
      <c r="E14" s="14">
        <f>+Enero!E14+Febrero!E14+Marzo!E14+Abril!E14+Mayo!E14+Junio!E14+Julio!E14+Agosto!E14+Septiembre!E14+Octubre!E14+Noviembre!E14+Diciembre!E14</f>
        <v>53159713.800000012</v>
      </c>
      <c r="F14" s="14">
        <f>+Enero!F14+Febrero!F14+Marzo!F14+Abril!F14+Mayo!F14+Junio!F14+Julio!F14+Agosto!F14+Septiembre!F14+Octubre!F14+Noviembre!F14+Diciembre!F14</f>
        <v>12337454.017371209</v>
      </c>
      <c r="G14" s="14">
        <f>+Enero!G14+Febrero!G14+Marzo!G14+Abril!G14+Mayo!G14+Junio!G14+Julio!G14+Agosto!G14+Septiembre!G14+Octubre!G14+Noviembre!G14+Diciembre!G14</f>
        <v>6213796.9500000011</v>
      </c>
      <c r="H14" s="14">
        <f>+Enero!H14+Febrero!H14+Marzo!H14+Abril!H14+Mayo!H14+Junio!H14+Julio!H14+Agosto!H14+Septiembre!H14+Octubre!H14+Noviembre!H14+Diciembre!H14</f>
        <v>0</v>
      </c>
      <c r="I14" s="13">
        <f t="shared" si="0"/>
        <v>71710964.767371222</v>
      </c>
    </row>
    <row r="15" spans="1:9" ht="15.75" x14ac:dyDescent="0.25">
      <c r="A15" s="8"/>
      <c r="B15" s="8"/>
      <c r="C15" s="9"/>
      <c r="D15" s="12" t="s">
        <v>11</v>
      </c>
      <c r="E15" s="14">
        <f>+Enero!E15+Febrero!E15+Marzo!E15+Abril!E15+Mayo!E15+Junio!E15+Julio!E15+Agosto!E15+Septiembre!E15+Octubre!E15+Noviembre!E15+Diciembre!E15</f>
        <v>1026058.43</v>
      </c>
      <c r="F15" s="14">
        <f>+Enero!F15+Febrero!F15+Marzo!F15+Abril!F15+Mayo!F15+Junio!F15+Julio!F15+Agosto!F15+Septiembre!F15+Octubre!F15+Noviembre!F15+Diciembre!F15</f>
        <v>68527.362957728998</v>
      </c>
      <c r="G15" s="14">
        <f>+Enero!G15+Febrero!G15+Marzo!G15+Abril!G15+Mayo!G15+Junio!G15+Julio!G15+Agosto!G15+Septiembre!G15+Octubre!G15+Noviembre!G15+Diciembre!G15</f>
        <v>34567100.459999993</v>
      </c>
      <c r="H15" s="14">
        <f>+Enero!H15+Febrero!H15+Marzo!H15+Abril!H15+Mayo!H15+Junio!H15+Julio!H15+Agosto!H15+Septiembre!H15+Octubre!H15+Noviembre!H15+Diciembre!H15</f>
        <v>0</v>
      </c>
      <c r="I15" s="13">
        <f t="shared" si="0"/>
        <v>35661686.252957724</v>
      </c>
    </row>
    <row r="16" spans="1:9" ht="15.75" x14ac:dyDescent="0.25">
      <c r="A16" s="8"/>
      <c r="B16" s="8"/>
      <c r="C16" s="9"/>
      <c r="D16" s="12" t="s">
        <v>12</v>
      </c>
      <c r="E16" s="14">
        <f>+Enero!E16+Febrero!E16+Marzo!E16+Abril!E16+Mayo!E16+Junio!E16+Julio!E16+Agosto!E16+Septiembre!E16+Octubre!E16+Noviembre!E16+Diciembre!E16</f>
        <v>59223520.63000001</v>
      </c>
      <c r="F16" s="14">
        <f>+Enero!F16+Febrero!F16+Marzo!F16+Abril!F16+Mayo!F16+Junio!F16+Julio!F16+Agosto!F16+Septiembre!F16+Octubre!F16+Noviembre!F16+Diciembre!F16</f>
        <v>58828591.716977358</v>
      </c>
      <c r="G16" s="14">
        <f>+Enero!G16+Febrero!G16+Marzo!G16+Abril!G16+Mayo!G16+Junio!G16+Julio!G16+Agosto!G16+Septiembre!G16+Octubre!G16+Noviembre!G16+Diciembre!G16</f>
        <v>6680663.6999999993</v>
      </c>
      <c r="H16" s="14">
        <f>+Enero!H16+Febrero!H16+Marzo!H16+Abril!H16+Mayo!H16+Junio!H16+Julio!H16+Agosto!H16+Septiembre!H16+Octubre!H16+Noviembre!H16+Diciembre!H16</f>
        <v>0</v>
      </c>
      <c r="I16" s="13">
        <f t="shared" si="0"/>
        <v>124732776.04697737</v>
      </c>
    </row>
    <row r="17" spans="1:9" ht="15.75" x14ac:dyDescent="0.25">
      <c r="A17" s="8"/>
      <c r="B17" s="8"/>
      <c r="C17" s="9"/>
      <c r="D17" s="12" t="s">
        <v>13</v>
      </c>
      <c r="E17" s="14">
        <f>+Enero!E17+Febrero!E17+Marzo!E17+Abril!E17+Mayo!E17+Junio!E17+Julio!E17+Agosto!E17+Septiembre!E17+Octubre!E17+Noviembre!E17+Diciembre!E17</f>
        <v>116622290.18000001</v>
      </c>
      <c r="F17" s="14">
        <f>+Enero!F17+Febrero!F17+Marzo!F17+Abril!F17+Mayo!F17+Junio!F17+Julio!F17+Agosto!F17+Septiembre!F17+Octubre!F17+Noviembre!F17+Diciembre!F17</f>
        <v>54050388.578788266</v>
      </c>
      <c r="G17" s="14">
        <f>+Enero!G17+Febrero!G17+Marzo!G17+Abril!G17+Mayo!G17+Junio!G17+Julio!G17+Agosto!G17+Septiembre!G17+Octubre!G17+Noviembre!G17+Diciembre!G17</f>
        <v>14207256.720000001</v>
      </c>
      <c r="H17" s="14">
        <f>+Enero!H17+Febrero!H17+Marzo!H17+Abril!H17+Mayo!H17+Junio!H17+Julio!H17+Agosto!H17+Septiembre!H17+Octubre!H17+Noviembre!H17+Diciembre!H17</f>
        <v>0</v>
      </c>
      <c r="I17" s="13">
        <f t="shared" si="0"/>
        <v>184879935.47878829</v>
      </c>
    </row>
    <row r="18" spans="1:9" ht="15.75" x14ac:dyDescent="0.25">
      <c r="A18" s="8"/>
      <c r="B18" s="8"/>
      <c r="C18" s="9"/>
      <c r="D18" s="12" t="s">
        <v>14</v>
      </c>
      <c r="E18" s="14">
        <f>+Enero!E18+Febrero!E18+Marzo!E18+Abril!E18+Mayo!E18+Junio!E18+Julio!E18+Agosto!E18+Septiembre!E18+Octubre!E18+Noviembre!E18+Diciembre!E18</f>
        <v>17376857.109999999</v>
      </c>
      <c r="F18" s="14">
        <f>+Enero!F18+Febrero!F18+Marzo!F18+Abril!F18+Mayo!F18+Junio!F18+Julio!F18+Agosto!F18+Septiembre!F18+Octubre!F18+Noviembre!F18+Diciembre!F18</f>
        <v>4406233.5776325744</v>
      </c>
      <c r="G18" s="14">
        <f>+Enero!G18+Febrero!G18+Marzo!G18+Abril!G18+Mayo!G18+Junio!G18+Julio!G18+Agosto!G18+Septiembre!G18+Octubre!G18+Noviembre!G18+Diciembre!G18</f>
        <v>65216279.070000008</v>
      </c>
      <c r="H18" s="14">
        <f>+Enero!H18+Febrero!H18+Marzo!H18+Abril!H18+Mayo!H18+Junio!H18+Julio!H18+Agosto!H18+Septiembre!H18+Octubre!H18+Noviembre!H18+Diciembre!H18</f>
        <v>0</v>
      </c>
      <c r="I18" s="13">
        <f t="shared" si="0"/>
        <v>86999369.757632583</v>
      </c>
    </row>
    <row r="19" spans="1:9" ht="15.75" x14ac:dyDescent="0.25">
      <c r="A19" s="8"/>
      <c r="B19" s="8"/>
      <c r="C19" s="9"/>
      <c r="D19" s="12" t="s">
        <v>15</v>
      </c>
      <c r="E19" s="14">
        <f>+Enero!E19+Febrero!E19+Marzo!E19+Abril!E19+Mayo!E19+Junio!E19+Julio!E19+Agosto!E19+Septiembre!E19+Octubre!E19+Noviembre!E19+Diciembre!E19</f>
        <v>114930107.05</v>
      </c>
      <c r="F19" s="14">
        <f>+Enero!F19+Febrero!F19+Marzo!F19+Abril!F19+Mayo!F19+Junio!F19+Julio!F19+Agosto!F19+Septiembre!F19+Octubre!F19+Noviembre!F19+Diciembre!F19</f>
        <v>42055571.37620569</v>
      </c>
      <c r="G19" s="14">
        <f>+Enero!G19+Febrero!G19+Marzo!G19+Abril!G19+Mayo!G19+Junio!G19+Julio!G19+Agosto!G19+Septiembre!G19+Octubre!G19+Noviembre!G19+Diciembre!G19</f>
        <v>11426518.84</v>
      </c>
      <c r="H19" s="14">
        <f>+Enero!H19+Febrero!H19+Marzo!H19+Abril!H19+Mayo!H19+Junio!H19+Julio!H19+Agosto!H19+Septiembre!H19+Octubre!H19+Noviembre!H19+Diciembre!H19</f>
        <v>0</v>
      </c>
      <c r="I19" s="13">
        <f t="shared" si="0"/>
        <v>168412197.2662057</v>
      </c>
    </row>
    <row r="20" spans="1:9" ht="15.75" x14ac:dyDescent="0.25">
      <c r="A20" s="8"/>
      <c r="B20" s="8"/>
      <c r="C20" s="9"/>
      <c r="D20" s="12" t="s">
        <v>16</v>
      </c>
      <c r="E20" s="14">
        <f>+Enero!E20+Febrero!E20+Marzo!E20+Abril!E20+Mayo!E20+Junio!E20+Julio!E20+Agosto!E20+Septiembre!E20+Octubre!E20+Noviembre!E20+Diciembre!E20</f>
        <v>43812844.579999998</v>
      </c>
      <c r="F20" s="14">
        <f>+Enero!F20+Febrero!F20+Marzo!F20+Abril!F20+Mayo!F20+Junio!F20+Julio!F20+Agosto!F20+Septiembre!F20+Octubre!F20+Noviembre!F20+Diciembre!F20</f>
        <v>11554320.279068306</v>
      </c>
      <c r="G20" s="14">
        <f>+Enero!G20+Febrero!G20+Marzo!G20+Abril!G20+Mayo!G20+Junio!G20+Julio!G20+Agosto!G20+Septiembre!G20+Octubre!G20+Noviembre!G20+Diciembre!G20</f>
        <v>5467427.1099999994</v>
      </c>
      <c r="H20" s="14">
        <f>+Enero!H20+Febrero!H20+Marzo!H20+Abril!H20+Mayo!H20+Junio!H20+Julio!H20+Agosto!H20+Septiembre!H20+Octubre!H20+Noviembre!H20+Diciembre!H20</f>
        <v>0</v>
      </c>
      <c r="I20" s="13">
        <f t="shared" si="0"/>
        <v>60834591.969068304</v>
      </c>
    </row>
    <row r="21" spans="1:9" ht="15.75" x14ac:dyDescent="0.25">
      <c r="A21" s="8"/>
      <c r="B21" s="8"/>
      <c r="C21" s="9"/>
      <c r="D21" s="12" t="s">
        <v>17</v>
      </c>
      <c r="E21" s="14">
        <f>+Enero!E21+Febrero!E21+Marzo!E21+Abril!E21+Mayo!E21+Junio!E21+Julio!E21+Agosto!E21+Septiembre!E21+Octubre!E21+Noviembre!E21+Diciembre!E21</f>
        <v>56626805.639999986</v>
      </c>
      <c r="F21" s="14">
        <f>+Enero!F21+Febrero!F21+Marzo!F21+Abril!F21+Mayo!F21+Junio!F21+Julio!F21+Agosto!F21+Septiembre!F21+Octubre!F21+Noviembre!F21+Diciembre!F21</f>
        <v>50309957.756387047</v>
      </c>
      <c r="G21" s="14">
        <f>+Enero!G21+Febrero!G21+Marzo!G21+Abril!G21+Mayo!G21+Junio!G21+Julio!G21+Agosto!G21+Septiembre!G21+Octubre!G21+Noviembre!G21+Diciembre!G21</f>
        <v>3964093.34</v>
      </c>
      <c r="H21" s="14">
        <f>+Enero!H21+Febrero!H21+Marzo!H21+Abril!H21+Mayo!H21+Junio!H21+Julio!H21+Agosto!H21+Septiembre!H21+Octubre!H21+Noviembre!H21+Diciembre!H21</f>
        <v>0</v>
      </c>
      <c r="I21" s="13">
        <f t="shared" si="0"/>
        <v>110900856.73638704</v>
      </c>
    </row>
    <row r="22" spans="1:9" ht="15.75" x14ac:dyDescent="0.25">
      <c r="A22" s="8"/>
      <c r="B22" s="8"/>
      <c r="C22" s="9"/>
      <c r="D22" s="12" t="s">
        <v>18</v>
      </c>
      <c r="E22" s="14">
        <f>+Enero!E22+Febrero!E22+Marzo!E22+Abril!E22+Mayo!E22+Junio!E22+Julio!E22+Agosto!E22+Septiembre!E22+Octubre!E22+Noviembre!E22+Diciembre!E22</f>
        <v>2191905.46</v>
      </c>
      <c r="F22" s="14">
        <f>+Enero!F22+Febrero!F22+Marzo!F22+Abril!F22+Mayo!F22+Junio!F22+Julio!F22+Agosto!F22+Septiembre!F22+Octubre!F22+Noviembre!F22+Diciembre!F22</f>
        <v>2154186.7344534807</v>
      </c>
      <c r="G22" s="14">
        <f>+Enero!G22+Febrero!G22+Marzo!G22+Abril!G22+Mayo!G22+Junio!G22+Julio!G22+Agosto!G22+Septiembre!G22+Octubre!G22+Noviembre!G22+Diciembre!G22</f>
        <v>23300954.389999997</v>
      </c>
      <c r="H22" s="14">
        <f>+Enero!H22+Febrero!H22+Marzo!H22+Abril!H22+Mayo!H22+Junio!H22+Julio!H22+Agosto!H22+Septiembre!H22+Octubre!H22+Noviembre!H22+Diciembre!H22</f>
        <v>0</v>
      </c>
      <c r="I22" s="13">
        <f t="shared" si="0"/>
        <v>27647046.584453478</v>
      </c>
    </row>
    <row r="23" spans="1:9" ht="15.75" x14ac:dyDescent="0.25">
      <c r="A23" s="8"/>
      <c r="B23" s="8"/>
      <c r="C23" s="9"/>
      <c r="D23" s="12" t="s">
        <v>19</v>
      </c>
      <c r="E23" s="14">
        <f>+Enero!E23+Febrero!E23+Marzo!E23+Abril!E23+Mayo!E23+Junio!E23+Julio!E23+Agosto!E23+Septiembre!E23+Octubre!E23+Noviembre!E23+Diciembre!E23</f>
        <v>1710424.97</v>
      </c>
      <c r="F23" s="14">
        <f>+Enero!F23+Febrero!F23+Marzo!F23+Abril!F23+Mayo!F23+Junio!F23+Julio!F23+Agosto!F23+Septiembre!F23+Octubre!F23+Noviembre!F23+Diciembre!F23</f>
        <v>802857.48114682513</v>
      </c>
      <c r="G23" s="14">
        <f>+Enero!G23+Febrero!G23+Marzo!G23+Abril!G23+Mayo!G23+Junio!G23+Julio!G23+Agosto!G23+Septiembre!G23+Octubre!G23+Noviembre!G23+Diciembre!G23</f>
        <v>20931702.419999994</v>
      </c>
      <c r="H23" s="14">
        <f>+Enero!H23+Febrero!H23+Marzo!H23+Abril!H23+Mayo!H23+Junio!H23+Julio!H23+Agosto!H23+Septiembre!H23+Octubre!H23+Noviembre!H23+Diciembre!H23</f>
        <v>0</v>
      </c>
      <c r="I23" s="13">
        <f t="shared" si="0"/>
        <v>23444984.87114682</v>
      </c>
    </row>
    <row r="24" spans="1:9" ht="15.75" x14ac:dyDescent="0.25">
      <c r="A24" s="8"/>
      <c r="B24" s="8"/>
      <c r="C24" s="9"/>
      <c r="D24" s="12" t="s">
        <v>20</v>
      </c>
      <c r="E24" s="14">
        <f>+Enero!E24+Febrero!E24+Marzo!E24+Abril!E24+Mayo!E24+Junio!E24+Julio!E24+Agosto!E24+Septiembre!E24+Octubre!E24+Noviembre!E24+Diciembre!E24</f>
        <v>56028333.920000002</v>
      </c>
      <c r="F24" s="14">
        <f>+Enero!F24+Febrero!F24+Marzo!F24+Abril!F24+Mayo!F24+Junio!F24+Julio!F24+Agosto!F24+Septiembre!F24+Octubre!F24+Noviembre!F24+Diciembre!F24</f>
        <v>30853749.78334799</v>
      </c>
      <c r="G24" s="14">
        <f>+Enero!G24+Febrero!G24+Marzo!G24+Abril!G24+Mayo!G24+Junio!G24+Julio!G24+Agosto!G24+Septiembre!G24+Octubre!G24+Noviembre!G24+Diciembre!G24</f>
        <v>9871321.0999999996</v>
      </c>
      <c r="H24" s="14">
        <f>+Enero!H24+Febrero!H24+Marzo!H24+Abril!H24+Mayo!H24+Junio!H24+Julio!H24+Agosto!H24+Septiembre!H24+Octubre!H24+Noviembre!H24+Diciembre!H24</f>
        <v>0</v>
      </c>
      <c r="I24" s="13">
        <f t="shared" si="0"/>
        <v>96753404.80334799</v>
      </c>
    </row>
    <row r="25" spans="1:9" ht="15.75" x14ac:dyDescent="0.25">
      <c r="A25" s="8"/>
      <c r="B25" s="8"/>
      <c r="C25" s="9"/>
      <c r="D25" s="12" t="s">
        <v>21</v>
      </c>
      <c r="E25" s="14">
        <f>+Enero!E25+Febrero!E25+Marzo!E25+Abril!E25+Mayo!E25+Junio!E25+Julio!E25+Agosto!E25+Septiembre!E25+Octubre!E25+Noviembre!E25+Diciembre!E25</f>
        <v>47019077.709999993</v>
      </c>
      <c r="F25" s="14">
        <f>+Enero!F25+Febrero!F25+Marzo!F25+Abril!F25+Mayo!F25+Junio!F25+Julio!F25+Agosto!F25+Septiembre!F25+Octubre!F25+Noviembre!F25+Diciembre!F25</f>
        <v>22912667.472187392</v>
      </c>
      <c r="G25" s="14">
        <f>+Enero!G25+Febrero!G25+Marzo!G25+Abril!G25+Mayo!G25+Junio!G25+Julio!G25+Agosto!G25+Septiembre!G25+Octubre!G25+Noviembre!G25+Diciembre!G25</f>
        <v>11129250.370000001</v>
      </c>
      <c r="H25" s="14">
        <f>+Enero!H25+Febrero!H25+Marzo!H25+Abril!H25+Mayo!H25+Junio!H25+Julio!H25+Agosto!H25+Septiembre!H25+Octubre!H25+Noviembre!H25+Diciembre!H25</f>
        <v>0</v>
      </c>
      <c r="I25" s="13">
        <f t="shared" si="0"/>
        <v>81060995.552187383</v>
      </c>
    </row>
    <row r="26" spans="1:9" ht="15.75" x14ac:dyDescent="0.25">
      <c r="A26" s="8"/>
      <c r="B26" s="8"/>
      <c r="C26" s="9"/>
      <c r="D26" s="12" t="s">
        <v>22</v>
      </c>
      <c r="E26" s="14">
        <f>+Enero!E26+Febrero!E26+Marzo!E26+Abril!E26+Mayo!E26+Junio!E26+Julio!E26+Agosto!E26+Septiembre!E26+Octubre!E26+Noviembre!E26+Diciembre!E26</f>
        <v>25840596.520000003</v>
      </c>
      <c r="F26" s="14">
        <f>+Enero!F26+Febrero!F26+Marzo!F26+Abril!F26+Mayo!F26+Junio!F26+Julio!F26+Agosto!F26+Septiembre!F26+Octubre!F26+Noviembre!F26+Diciembre!F26</f>
        <v>13120840.624172114</v>
      </c>
      <c r="G26" s="14">
        <f>+Enero!G26+Febrero!G26+Marzo!G26+Abril!G26+Mayo!G26+Junio!G26+Julio!G26+Agosto!G26+Septiembre!G26+Octubre!G26+Noviembre!G26+Diciembre!G26</f>
        <v>4065304.33</v>
      </c>
      <c r="H26" s="14">
        <f>+Enero!H26+Febrero!H26+Marzo!H26+Abril!H26+Mayo!H26+Junio!H26+Julio!H26+Agosto!H26+Septiembre!H26+Octubre!H26+Noviembre!H26+Diciembre!H26</f>
        <v>0</v>
      </c>
      <c r="I26" s="13">
        <f t="shared" si="0"/>
        <v>43026741.474172115</v>
      </c>
    </row>
    <row r="27" spans="1:9" ht="15.75" x14ac:dyDescent="0.25">
      <c r="A27" s="8"/>
      <c r="B27" s="8"/>
      <c r="C27" s="9"/>
      <c r="D27" s="12" t="s">
        <v>23</v>
      </c>
      <c r="E27" s="14">
        <f>+Enero!E27+Febrero!E27+Marzo!E27+Abril!E27+Mayo!E27+Junio!E27+Julio!E27+Agosto!E27+Septiembre!E27+Octubre!E27+Noviembre!E27+Diciembre!E27</f>
        <v>14866094.75</v>
      </c>
      <c r="F27" s="14">
        <f>+Enero!F27+Febrero!F27+Marzo!F27+Abril!F27+Mayo!F27+Junio!F27+Julio!F27+Agosto!F27+Septiembre!F27+Octubre!F27+Noviembre!F27+Diciembre!F27</f>
        <v>2252046.8431790946</v>
      </c>
      <c r="G27" s="14">
        <f>+Enero!G27+Febrero!G27+Marzo!G27+Abril!G27+Mayo!G27+Junio!G27+Julio!G27+Agosto!G27+Septiembre!G27+Octubre!G27+Noviembre!G27+Diciembre!G27</f>
        <v>11336074.039999999</v>
      </c>
      <c r="H27" s="14">
        <f>+Enero!H27+Febrero!H27+Marzo!H27+Abril!H27+Mayo!H27+Junio!H27+Julio!H27+Agosto!H27+Septiembre!H27+Octubre!H27+Noviembre!H27+Diciembre!H27</f>
        <v>0</v>
      </c>
      <c r="I27" s="13">
        <f t="shared" si="0"/>
        <v>28454215.633179095</v>
      </c>
    </row>
    <row r="28" spans="1:9" ht="15.75" x14ac:dyDescent="0.25">
      <c r="A28" s="8"/>
      <c r="B28" s="8"/>
      <c r="C28" s="9"/>
      <c r="D28" s="12" t="s">
        <v>24</v>
      </c>
      <c r="E28" s="14">
        <f>+Enero!E28+Febrero!E28+Marzo!E28+Abril!E28+Mayo!E28+Junio!E28+Julio!E28+Agosto!E28+Septiembre!E28+Octubre!E28+Noviembre!E28+Diciembre!E28</f>
        <v>20641149.120000001</v>
      </c>
      <c r="F28" s="14">
        <f>+Enero!F28+Febrero!F28+Marzo!F28+Abril!F28+Mayo!F28+Junio!F28+Julio!F28+Agosto!F28+Septiembre!F28+Octubre!F28+Noviembre!F28+Diciembre!F28</f>
        <v>10673073.563541792</v>
      </c>
      <c r="G28" s="14">
        <f>+Enero!G28+Febrero!G28+Marzo!G28+Abril!G28+Mayo!G28+Junio!G28+Julio!G28+Agosto!G28+Septiembre!G28+Octubre!G28+Noviembre!G28+Diciembre!G28</f>
        <v>7528555.5499999998</v>
      </c>
      <c r="H28" s="14">
        <f>+Enero!H28+Febrero!H28+Marzo!H28+Abril!H28+Mayo!H28+Junio!H28+Julio!H28+Agosto!H28+Septiembre!H28+Octubre!H28+Noviembre!H28+Diciembre!H28</f>
        <v>0</v>
      </c>
      <c r="I28" s="13">
        <f t="shared" si="0"/>
        <v>38842778.233541794</v>
      </c>
    </row>
    <row r="29" spans="1:9" ht="15.75" x14ac:dyDescent="0.25">
      <c r="A29" s="8"/>
      <c r="B29" s="8"/>
      <c r="C29" s="9"/>
      <c r="D29" s="12" t="s">
        <v>25</v>
      </c>
      <c r="E29" s="14">
        <f>+Enero!E29+Febrero!E29+Marzo!E29+Abril!E29+Mayo!E29+Junio!E29+Julio!E29+Agosto!E29+Septiembre!E29+Octubre!E29+Noviembre!E29+Diciembre!E29</f>
        <v>22280184.859999999</v>
      </c>
      <c r="F29" s="14">
        <f>+Enero!F29+Febrero!F29+Marzo!F29+Abril!F29+Mayo!F29+Junio!F29+Julio!F29+Agosto!F29+Septiembre!F29+Octubre!F29+Noviembre!F29+Diciembre!F29</f>
        <v>5973006.7912343796</v>
      </c>
      <c r="G29" s="14">
        <f>+Enero!G29+Febrero!G29+Marzo!G29+Abril!G29+Mayo!G29+Junio!G29+Julio!G29+Agosto!G29+Septiembre!G29+Octubre!G29+Noviembre!G29+Diciembre!G29</f>
        <v>2950892.7</v>
      </c>
      <c r="H29" s="14">
        <f>+Enero!H29+Febrero!H29+Marzo!H29+Abril!H29+Mayo!H29+Junio!H29+Julio!H29+Agosto!H29+Septiembre!H29+Octubre!H29+Noviembre!H29+Diciembre!H29</f>
        <v>0</v>
      </c>
      <c r="I29" s="13">
        <f t="shared" si="0"/>
        <v>31204084.35123438</v>
      </c>
    </row>
    <row r="30" spans="1:9" ht="15.75" x14ac:dyDescent="0.25">
      <c r="A30" s="8"/>
      <c r="B30" s="8"/>
      <c r="C30" s="9"/>
      <c r="D30" s="12" t="s">
        <v>26</v>
      </c>
      <c r="E30" s="14">
        <f>+Enero!E30+Febrero!E30+Marzo!E30+Abril!E30+Mayo!E30+Junio!E30+Julio!E30+Agosto!E30+Septiembre!E30+Octubre!E30+Noviembre!E30+Diciembre!E30</f>
        <v>45370009.829999991</v>
      </c>
      <c r="F30" s="14">
        <f>+Enero!F30+Febrero!F30+Marzo!F30+Abril!F30+Mayo!F30+Junio!F30+Julio!F30+Agosto!F30+Septiembre!F30+Octubre!F30+Noviembre!F30+Diciembre!F30</f>
        <v>32214688.039578602</v>
      </c>
      <c r="G30" s="14">
        <f>+Enero!G30+Febrero!G30+Marzo!G30+Abril!G30+Mayo!G30+Junio!G30+Julio!G30+Agosto!G30+Septiembre!G30+Octubre!G30+Noviembre!G30+Diciembre!G30</f>
        <v>5648229.9700000007</v>
      </c>
      <c r="H30" s="14">
        <f>+Enero!H30+Febrero!H30+Marzo!H30+Abril!H30+Mayo!H30+Junio!H30+Julio!H30+Agosto!H30+Septiembre!H30+Octubre!H30+Noviembre!H30+Diciembre!H30</f>
        <v>0</v>
      </c>
      <c r="I30" s="13">
        <f t="shared" si="0"/>
        <v>83232927.839578599</v>
      </c>
    </row>
    <row r="31" spans="1:9" ht="15.75" x14ac:dyDescent="0.25">
      <c r="A31" s="8"/>
      <c r="B31" s="8"/>
      <c r="C31" s="9"/>
      <c r="D31" s="12" t="s">
        <v>27</v>
      </c>
      <c r="E31" s="14">
        <f>+Enero!E31+Febrero!E31+Marzo!E31+Abril!E31+Mayo!E31+Junio!E31+Julio!E31+Agosto!E31+Septiembre!E31+Octubre!E31+Noviembre!E31+Diciembre!E31</f>
        <v>43583314.540000007</v>
      </c>
      <c r="F31" s="14">
        <f>+Enero!F31+Febrero!F31+Marzo!F31+Abril!F31+Mayo!F31+Junio!F31+Julio!F31+Agosto!F31+Septiembre!F31+Octubre!F31+Noviembre!F31+Diciembre!F31</f>
        <v>33389767.949779965</v>
      </c>
      <c r="G31" s="14">
        <f>+Enero!G31+Febrero!G31+Marzo!G31+Abril!G31+Mayo!G31+Junio!G31+Julio!G31+Agosto!G31+Septiembre!G31+Octubre!G31+Noviembre!G31+Diciembre!G31</f>
        <v>3677596.8999999994</v>
      </c>
      <c r="H31" s="14">
        <f>+Enero!H31+Febrero!H31+Marzo!H31+Abril!H31+Mayo!H31+Junio!H31+Julio!H31+Agosto!H31+Septiembre!H31+Octubre!H31+Noviembre!H31+Diciembre!H31</f>
        <v>0</v>
      </c>
      <c r="I31" s="13">
        <f t="shared" si="0"/>
        <v>80650679.389779985</v>
      </c>
    </row>
    <row r="32" spans="1:9" ht="15.75" x14ac:dyDescent="0.25">
      <c r="A32" s="8"/>
      <c r="B32" s="8"/>
      <c r="C32" s="9"/>
      <c r="D32" s="12" t="s">
        <v>28</v>
      </c>
      <c r="E32" s="14">
        <f>+Enero!E32+Febrero!E32+Marzo!E32+Abril!E32+Mayo!E32+Junio!E32+Julio!E32+Agosto!E32+Septiembre!E32+Octubre!E32+Noviembre!E32+Diciembre!E32</f>
        <v>34682039.269999996</v>
      </c>
      <c r="F32" s="14">
        <f>+Enero!F32+Febrero!F32+Marzo!F32+Abril!F32+Mayo!F32+Junio!F32+Julio!F32+Agosto!F32+Septiembre!F32+Octubre!F32+Noviembre!F32+Diciembre!F32</f>
        <v>11270348.955815429</v>
      </c>
      <c r="G32" s="14">
        <f>+Enero!G32+Febrero!G32+Marzo!G32+Abril!G32+Mayo!G32+Junio!G32+Julio!G32+Agosto!G32+Septiembre!G32+Octubre!G32+Noviembre!G32+Diciembre!G32</f>
        <v>3017554.7300000004</v>
      </c>
      <c r="H32" s="14">
        <f>+Enero!H32+Febrero!H32+Marzo!H32+Abril!H32+Mayo!H32+Junio!H32+Julio!H32+Agosto!H32+Septiembre!H32+Octubre!H32+Noviembre!H32+Diciembre!H32</f>
        <v>0</v>
      </c>
      <c r="I32" s="13">
        <f t="shared" si="0"/>
        <v>48969942.95581542</v>
      </c>
    </row>
    <row r="33" spans="1:9" ht="15.75" x14ac:dyDescent="0.25">
      <c r="A33" s="8"/>
      <c r="B33" s="8"/>
      <c r="C33" s="9"/>
      <c r="D33" s="12" t="s">
        <v>29</v>
      </c>
      <c r="E33" s="14">
        <f>+Enero!E33+Febrero!E33+Marzo!E33+Abril!E33+Mayo!E33+Junio!E33+Julio!E33+Agosto!E33+Septiembre!E33+Octubre!E33+Noviembre!E33+Diciembre!E33</f>
        <v>9999736.6600000001</v>
      </c>
      <c r="F33" s="14">
        <f>+Enero!F33+Febrero!F33+Marzo!F33+Abril!F33+Mayo!F33+Junio!F33+Julio!F33+Agosto!F33+Septiembre!F33+Octubre!F33+Noviembre!F33+Diciembre!F33</f>
        <v>17037520.789678626</v>
      </c>
      <c r="G33" s="14">
        <f>+Enero!G33+Febrero!G33+Marzo!G33+Abril!G33+Mayo!G33+Junio!G33+Julio!G33+Agosto!G33+Septiembre!G33+Octubre!G33+Noviembre!G33+Diciembre!G33</f>
        <v>1784299.84</v>
      </c>
      <c r="H33" s="14">
        <f>+Enero!H33+Febrero!H33+Marzo!H33+Abril!H33+Mayo!H33+Junio!H33+Julio!H33+Agosto!H33+Septiembre!H33+Octubre!H33+Noviembre!H33+Diciembre!H33</f>
        <v>0</v>
      </c>
      <c r="I33" s="13">
        <f t="shared" si="0"/>
        <v>28821557.289678626</v>
      </c>
    </row>
    <row r="34" spans="1:9" ht="15.75" x14ac:dyDescent="0.25">
      <c r="A34" s="8"/>
      <c r="B34" s="8"/>
      <c r="C34" s="9"/>
      <c r="D34" s="12" t="s">
        <v>30</v>
      </c>
      <c r="E34" s="14">
        <f>+Enero!E34+Febrero!E34+Marzo!E34+Abril!E34+Mayo!E34+Junio!E34+Julio!E34+Agosto!E34+Septiembre!E34+Octubre!E34+Noviembre!E34+Diciembre!E34</f>
        <v>98855998.190000013</v>
      </c>
      <c r="F34" s="14">
        <f>+Enero!F34+Febrero!F34+Marzo!F34+Abril!F34+Mayo!F34+Junio!F34+Julio!F34+Agosto!F34+Septiembre!F34+Octubre!F34+Noviembre!F34+Diciembre!F34</f>
        <v>24449855.071523309</v>
      </c>
      <c r="G34" s="14">
        <f>+Enero!G34+Febrero!G34+Marzo!G34+Abril!G34+Mayo!G34+Junio!G34+Julio!G34+Agosto!G34+Septiembre!G34+Octubre!G34+Noviembre!G34+Diciembre!G34</f>
        <v>12069785.620000001</v>
      </c>
      <c r="H34" s="14">
        <f>+Enero!H34+Febrero!H34+Marzo!H34+Abril!H34+Mayo!H34+Junio!H34+Julio!H34+Agosto!H34+Septiembre!H34+Octubre!H34+Noviembre!H34+Diciembre!H34</f>
        <v>0</v>
      </c>
      <c r="I34" s="13">
        <f t="shared" si="0"/>
        <v>135375638.88152331</v>
      </c>
    </row>
    <row r="35" spans="1:9" ht="15.75" x14ac:dyDescent="0.25">
      <c r="A35" s="8"/>
      <c r="B35" s="8"/>
      <c r="C35" s="9"/>
      <c r="D35" s="12" t="s">
        <v>31</v>
      </c>
      <c r="E35" s="14">
        <f>+Enero!E35+Febrero!E35+Marzo!E35+Abril!E35+Mayo!E35+Junio!E35+Julio!E35+Agosto!E35+Septiembre!E35+Octubre!E35+Noviembre!E35+Diciembre!E35</f>
        <v>39198227.82</v>
      </c>
      <c r="F35" s="14">
        <f>+Enero!F35+Febrero!F35+Marzo!F35+Abril!F35+Mayo!F35+Junio!F35+Julio!F35+Agosto!F35+Septiembre!F35+Octubre!F35+Noviembre!F35+Diciembre!F35</f>
        <v>35945509.859055854</v>
      </c>
      <c r="G35" s="14">
        <f>+Enero!G35+Febrero!G35+Marzo!G35+Abril!G35+Mayo!G35+Junio!G35+Julio!G35+Agosto!G35+Septiembre!G35+Octubre!G35+Noviembre!G35+Diciembre!G35</f>
        <v>8177515.4399999995</v>
      </c>
      <c r="H35" s="14">
        <f>+Enero!H35+Febrero!H35+Marzo!H35+Abril!H35+Mayo!H35+Junio!H35+Julio!H35+Agosto!H35+Septiembre!H35+Octubre!H35+Noviembre!H35+Diciembre!H35</f>
        <v>0</v>
      </c>
      <c r="I35" s="13">
        <f t="shared" si="0"/>
        <v>83321253.119055852</v>
      </c>
    </row>
    <row r="36" spans="1:9" ht="15.75" x14ac:dyDescent="0.25">
      <c r="A36" s="8"/>
      <c r="B36" s="8"/>
      <c r="C36" s="9"/>
      <c r="D36" s="12" t="s">
        <v>32</v>
      </c>
      <c r="E36" s="14">
        <f>+Enero!E36+Febrero!E36+Marzo!E36+Abril!E36+Mayo!E36+Junio!E36+Julio!E36+Agosto!E36+Septiembre!E36+Octubre!E36+Noviembre!E36+Diciembre!E36</f>
        <v>52272781.510000005</v>
      </c>
      <c r="F36" s="14">
        <f>+Enero!F36+Febrero!F36+Marzo!F36+Abril!F36+Mayo!F36+Junio!F36+Julio!F36+Agosto!F36+Septiembre!F36+Octubre!F36+Noviembre!F36+Diciembre!F36</f>
        <v>22305530.208491791</v>
      </c>
      <c r="G36" s="14">
        <f>+Enero!G36+Febrero!G36+Marzo!G36+Abril!G36+Mayo!G36+Junio!G36+Julio!G36+Agosto!G36+Septiembre!G36+Octubre!G36+Noviembre!G36+Diciembre!G36</f>
        <v>16199367.66</v>
      </c>
      <c r="H36" s="14">
        <f>+Enero!H36+Febrero!H36+Marzo!H36+Abril!H36+Mayo!H36+Junio!H36+Julio!H36+Agosto!H36+Septiembre!H36+Octubre!H36+Noviembre!H36+Diciembre!H36</f>
        <v>0</v>
      </c>
      <c r="I36" s="13">
        <f t="shared" si="0"/>
        <v>90777679.378491789</v>
      </c>
    </row>
    <row r="37" spans="1:9" ht="15.75" x14ac:dyDescent="0.25">
      <c r="A37" s="8"/>
      <c r="B37" s="8"/>
      <c r="C37" s="9"/>
      <c r="D37" s="12" t="s">
        <v>33</v>
      </c>
      <c r="E37" s="14">
        <f>+Enero!E37+Febrero!E37+Marzo!E37+Abril!E37+Mayo!E37+Junio!E37+Julio!E37+Agosto!E37+Septiembre!E37+Octubre!E37+Noviembre!E37+Diciembre!E37</f>
        <v>46379437.970000006</v>
      </c>
      <c r="F37" s="14">
        <f>+Enero!F37+Febrero!F37+Marzo!F37+Abril!F37+Mayo!F37+Junio!F37+Julio!F37+Agosto!F37+Septiembre!F37+Octubre!F37+Noviembre!F37+Diciembre!F37</f>
        <v>12337454.017371209</v>
      </c>
      <c r="G37" s="14">
        <f>+Enero!G37+Febrero!G37+Marzo!G37+Abril!G37+Mayo!G37+Junio!G37+Julio!G37+Agosto!G37+Septiembre!G37+Octubre!G37+Noviembre!G37+Diciembre!G37</f>
        <v>5437857.0200000005</v>
      </c>
      <c r="H37" s="14">
        <f>+Enero!H37+Febrero!H37+Marzo!H37+Abril!H37+Mayo!H37+Junio!H37+Julio!H37+Agosto!H37+Septiembre!H37+Octubre!H37+Noviembre!H37+Diciembre!H37</f>
        <v>0</v>
      </c>
      <c r="I37" s="13">
        <f t="shared" si="0"/>
        <v>64154749.007371217</v>
      </c>
    </row>
    <row r="38" spans="1:9" ht="15.75" x14ac:dyDescent="0.25">
      <c r="A38" s="8"/>
      <c r="B38" s="8"/>
      <c r="C38" s="9"/>
      <c r="D38" s="12" t="s">
        <v>34</v>
      </c>
      <c r="E38" s="14">
        <f>+Enero!E38+Febrero!E38+Marzo!E38+Abril!E38+Mayo!E38+Junio!E38+Julio!E38+Agosto!E38+Septiembre!E38+Octubre!E38+Noviembre!E38+Diciembre!E38</f>
        <v>37247673.450000003</v>
      </c>
      <c r="F38" s="14">
        <f>+Enero!F38+Febrero!F38+Marzo!F38+Abril!F38+Mayo!F38+Junio!F38+Julio!F38+Agosto!F38+Septiembre!F38+Octubre!F38+Noviembre!F38+Diciembre!F38</f>
        <v>26809876.763347976</v>
      </c>
      <c r="G38" s="14">
        <f>+Enero!G38+Febrero!G38+Marzo!G38+Abril!G38+Mayo!G38+Junio!G38+Julio!G38+Agosto!G38+Septiembre!G38+Octubre!G38+Noviembre!G38+Diciembre!G38</f>
        <v>4276636.879999999</v>
      </c>
      <c r="H38" s="14">
        <f>+Enero!H38+Febrero!H38+Marzo!H38+Abril!H38+Mayo!H38+Junio!H38+Julio!H38+Agosto!H38+Septiembre!H38+Octubre!H38+Noviembre!H38+Diciembre!H38</f>
        <v>0</v>
      </c>
      <c r="I38" s="13">
        <f t="shared" si="0"/>
        <v>68334187.093347982</v>
      </c>
    </row>
    <row r="39" spans="1:9" ht="15.75" x14ac:dyDescent="0.25">
      <c r="A39" s="8"/>
      <c r="B39" s="8"/>
      <c r="C39" s="9"/>
      <c r="D39" s="12" t="s">
        <v>35</v>
      </c>
      <c r="E39" s="14">
        <f>+Enero!E39+Febrero!E39+Marzo!E39+Abril!E39+Mayo!E39+Junio!E39+Julio!E39+Agosto!E39+Septiembre!E39+Octubre!E39+Noviembre!E39+Diciembre!E39</f>
        <v>30150813.84</v>
      </c>
      <c r="F39" s="14">
        <f>+Enero!F39+Febrero!F39+Marzo!F39+Abril!F39+Mayo!F39+Junio!F39+Julio!F39+Agosto!F39+Septiembre!F39+Octubre!F39+Noviembre!F39+Diciembre!F39</f>
        <v>41977182.141825996</v>
      </c>
      <c r="G39" s="14">
        <f>+Enero!G39+Febrero!G39+Marzo!G39+Abril!G39+Mayo!G39+Junio!G39+Julio!G39+Agosto!G39+Septiembre!G39+Octubre!G39+Noviembre!G39+Diciembre!G39</f>
        <v>6234212.2400000012</v>
      </c>
      <c r="H39" s="14">
        <f>+Enero!H39+Febrero!H39+Marzo!H39+Abril!H39+Mayo!H39+Junio!H39+Julio!H39+Agosto!H39+Septiembre!H39+Octubre!H39+Noviembre!H39+Diciembre!H39</f>
        <v>0</v>
      </c>
      <c r="I39" s="13">
        <f t="shared" si="0"/>
        <v>78362208.221825987</v>
      </c>
    </row>
    <row r="40" spans="1:9" ht="15.75" x14ac:dyDescent="0.25">
      <c r="A40" s="8"/>
      <c r="B40" s="8"/>
      <c r="C40" s="9"/>
      <c r="D40" s="12" t="s">
        <v>36</v>
      </c>
      <c r="E40" s="14">
        <f>+Enero!E40+Febrero!E40+Marzo!E40+Abril!E40+Mayo!E40+Junio!E40+Julio!E40+Agosto!E40+Septiembre!E40+Octubre!E40+Noviembre!E40+Diciembre!E40</f>
        <v>3354430.74</v>
      </c>
      <c r="F40" s="14">
        <f>+Enero!F40+Febrero!F40+Marzo!F40+Abril!F40+Mayo!F40+Junio!F40+Julio!F40+Agosto!F40+Septiembre!F40+Octubre!F40+Noviembre!F40+Diciembre!F40</f>
        <v>2203243.2230652873</v>
      </c>
      <c r="G40" s="14">
        <f>+Enero!G40+Febrero!G40+Marzo!G40+Abril!G40+Mayo!G40+Junio!G40+Julio!G40+Agosto!G40+Septiembre!G40+Octubre!G40+Noviembre!G40+Diciembre!G40</f>
        <v>5690586.1699999999</v>
      </c>
      <c r="H40" s="14">
        <f>+Enero!H40+Febrero!H40+Marzo!H40+Abril!H40+Mayo!H40+Junio!H40+Julio!H40+Agosto!H40+Septiembre!H40+Octubre!H40+Noviembre!H40+Diciembre!H40</f>
        <v>0</v>
      </c>
      <c r="I40" s="13">
        <f t="shared" si="0"/>
        <v>11248260.133065287</v>
      </c>
    </row>
    <row r="41" spans="1:9" ht="15.75" x14ac:dyDescent="0.25">
      <c r="A41" s="8"/>
      <c r="B41" s="8"/>
      <c r="C41" s="9"/>
      <c r="D41" s="12" t="s">
        <v>37</v>
      </c>
      <c r="E41" s="14">
        <f>+Enero!E41+Febrero!E41+Marzo!E41+Abril!E41+Mayo!E41+Junio!E41+Julio!E41+Agosto!E41+Septiembre!E41+Octubre!E41+Noviembre!E41+Diciembre!E41</f>
        <v>66061426.730000004</v>
      </c>
      <c r="F41" s="14">
        <f>+Enero!F41+Febrero!F41+Marzo!F41+Abril!F41+Mayo!F41+Junio!F41+Julio!F41+Agosto!F41+Septiembre!F41+Octubre!F41+Noviembre!F41+Diciembre!F41</f>
        <v>36816894.703160405</v>
      </c>
      <c r="G41" s="14">
        <f>+Enero!G41+Febrero!G41+Marzo!G41+Abril!G41+Mayo!G41+Junio!G41+Julio!G41+Agosto!G41+Septiembre!G41+Octubre!G41+Noviembre!G41+Diciembre!G41</f>
        <v>11108693.450000001</v>
      </c>
      <c r="H41" s="14">
        <f>+Enero!H41+Febrero!H41+Marzo!H41+Abril!H41+Mayo!H41+Junio!H41+Julio!H41+Agosto!H41+Septiembre!H41+Octubre!H41+Noviembre!H41+Diciembre!H41</f>
        <v>0</v>
      </c>
      <c r="I41" s="13">
        <f t="shared" si="0"/>
        <v>113987014.88316041</v>
      </c>
    </row>
    <row r="42" spans="1:9" ht="15.75" x14ac:dyDescent="0.25">
      <c r="A42" s="8"/>
      <c r="B42" s="8"/>
      <c r="C42" s="9"/>
      <c r="D42" s="12" t="s">
        <v>38</v>
      </c>
      <c r="E42" s="14">
        <f>+Enero!E42+Febrero!E42+Marzo!E42+Abril!E42+Mayo!E42+Junio!E42+Julio!E42+Agosto!E42+Septiembre!E42+Octubre!E42+Noviembre!E42+Diciembre!E42</f>
        <v>48292348.770000018</v>
      </c>
      <c r="F42" s="14">
        <f>+Enero!F42+Febrero!F42+Marzo!F42+Abril!F42+Mayo!F42+Junio!F42+Julio!F42+Agosto!F42+Septiembre!F42+Octubre!F42+Noviembre!F42+Diciembre!F42</f>
        <v>39872051.895984322</v>
      </c>
      <c r="G42" s="14">
        <f>+Enero!G42+Febrero!G42+Marzo!G42+Abril!G42+Mayo!G42+Junio!G42+Julio!G42+Agosto!G42+Septiembre!G42+Octubre!G42+Noviembre!G42+Diciembre!G42</f>
        <v>4529925.76</v>
      </c>
      <c r="H42" s="14">
        <f>+Enero!H42+Febrero!H42+Marzo!H42+Abril!H42+Mayo!H42+Junio!H42+Julio!H42+Agosto!H42+Septiembre!H42+Octubre!H42+Noviembre!H42+Diciembre!H42</f>
        <v>0</v>
      </c>
      <c r="I42" s="13">
        <f t="shared" ref="I42:I73" si="1">SUM(E42:H42)</f>
        <v>92694326.425984338</v>
      </c>
    </row>
    <row r="43" spans="1:9" ht="15.75" x14ac:dyDescent="0.25">
      <c r="A43" s="8"/>
      <c r="B43" s="8"/>
      <c r="C43" s="9"/>
      <c r="D43" s="12" t="s">
        <v>39</v>
      </c>
      <c r="E43" s="14">
        <f>+Enero!E43+Febrero!E43+Marzo!E43+Abril!E43+Mayo!E43+Junio!E43+Julio!E43+Agosto!E43+Septiembre!E43+Octubre!E43+Noviembre!E43+Diciembre!E43</f>
        <v>11237969.649999999</v>
      </c>
      <c r="F43" s="14">
        <f>+Enero!F43+Febrero!F43+Marzo!F43+Abril!F43+Mayo!F43+Junio!F43+Julio!F43+Agosto!F43+Septiembre!F43+Octubre!F43+Noviembre!F43+Diciembre!F43</f>
        <v>14501502.623246651</v>
      </c>
      <c r="G43" s="14">
        <f>+Enero!G43+Febrero!G43+Marzo!G43+Abril!G43+Mayo!G43+Junio!G43+Julio!G43+Agosto!G43+Septiembre!G43+Octubre!G43+Noviembre!G43+Diciembre!G43</f>
        <v>4469660.2</v>
      </c>
      <c r="H43" s="14">
        <f>+Enero!H43+Febrero!H43+Marzo!H43+Abril!H43+Mayo!H43+Junio!H43+Julio!H43+Agosto!H43+Septiembre!H43+Octubre!H43+Noviembre!H43+Diciembre!H43</f>
        <v>0</v>
      </c>
      <c r="I43" s="13">
        <f t="shared" si="1"/>
        <v>30209132.473246649</v>
      </c>
    </row>
    <row r="44" spans="1:9" ht="15.75" x14ac:dyDescent="0.25">
      <c r="A44" s="8"/>
      <c r="B44" s="8"/>
      <c r="C44" s="9"/>
      <c r="D44" s="12" t="s">
        <v>40</v>
      </c>
      <c r="E44" s="14">
        <f>+Enero!E44+Febrero!E44+Marzo!E44+Abril!E44+Mayo!E44+Junio!E44+Julio!E44+Agosto!E44+Septiembre!E44+Octubre!E44+Noviembre!E44+Diciembre!E44</f>
        <v>78201.03</v>
      </c>
      <c r="F44" s="14">
        <f>+Enero!F44+Febrero!F44+Marzo!F44+Abril!F44+Mayo!F44+Junio!F44+Julio!F44+Agosto!F44+Septiembre!F44+Octubre!F44+Noviembre!F44+Diciembre!F44</f>
        <v>1116161.5501675857</v>
      </c>
      <c r="G44" s="14">
        <f>+Enero!G44+Febrero!G44+Marzo!G44+Abril!G44+Mayo!G44+Junio!G44+Julio!G44+Agosto!G44+Septiembre!G44+Octubre!G44+Noviembre!G44+Diciembre!G44</f>
        <v>5303212.58</v>
      </c>
      <c r="H44" s="14">
        <f>+Enero!H44+Febrero!H44+Marzo!H44+Abril!H44+Mayo!H44+Junio!H44+Julio!H44+Agosto!H44+Septiembre!H44+Octubre!H44+Noviembre!H44+Diciembre!H44</f>
        <v>0</v>
      </c>
      <c r="I44" s="13">
        <f t="shared" si="1"/>
        <v>6497575.1601675861</v>
      </c>
    </row>
    <row r="45" spans="1:9" ht="15.75" x14ac:dyDescent="0.25">
      <c r="A45" s="8"/>
      <c r="B45" s="8"/>
      <c r="C45" s="9"/>
      <c r="D45" s="12" t="s">
        <v>41</v>
      </c>
      <c r="E45" s="14">
        <f>+Enero!E45+Febrero!E45+Marzo!E45+Abril!E45+Mayo!E45+Junio!E45+Julio!E45+Agosto!E45+Septiembre!E45+Octubre!E45+Noviembre!E45+Diciembre!E45</f>
        <v>19616224.260000002</v>
      </c>
      <c r="F45" s="14">
        <f>+Enero!F45+Febrero!F45+Marzo!F45+Abril!F45+Mayo!F45+Junio!F45+Julio!F45+Agosto!F45+Septiembre!F45+Octubre!F45+Noviembre!F45+Diciembre!F45</f>
        <v>323165.940442722</v>
      </c>
      <c r="G45" s="14">
        <f>+Enero!G45+Febrero!G45+Marzo!G45+Abril!G45+Mayo!G45+Junio!G45+Julio!G45+Agosto!G45+Septiembre!G45+Octubre!G45+Noviembre!G45+Diciembre!G45</f>
        <v>21576300.440000001</v>
      </c>
      <c r="H45" s="14">
        <f>+Enero!H45+Febrero!H45+Marzo!H45+Abril!H45+Mayo!H45+Junio!H45+Julio!H45+Agosto!H45+Septiembre!H45+Octubre!H45+Noviembre!H45+Diciembre!H45</f>
        <v>0</v>
      </c>
      <c r="I45" s="13">
        <f t="shared" si="1"/>
        <v>41515690.640442729</v>
      </c>
    </row>
    <row r="46" spans="1:9" ht="15.75" x14ac:dyDescent="0.25">
      <c r="A46" s="8"/>
      <c r="B46" s="8"/>
      <c r="C46" s="9"/>
      <c r="D46" s="12" t="s">
        <v>42</v>
      </c>
      <c r="E46" s="14">
        <f>+Enero!E46+Febrero!E46+Marzo!E46+Abril!E46+Mayo!E46+Junio!E46+Julio!E46+Agosto!E46+Septiembre!E46+Octubre!E46+Noviembre!E46+Diciembre!E46</f>
        <v>4182424.11</v>
      </c>
      <c r="F46" s="14">
        <f>+Enero!F46+Febrero!F46+Marzo!F46+Abril!F46+Mayo!F46+Junio!F46+Julio!F46+Agosto!F46+Septiembre!F46+Octubre!F46+Noviembre!F46+Diciembre!F46</f>
        <v>1076966.9329777411</v>
      </c>
      <c r="G46" s="14">
        <f>+Enero!G46+Febrero!G46+Marzo!G46+Abril!G46+Mayo!G46+Junio!G46+Julio!G46+Agosto!G46+Septiembre!G46+Octubre!G46+Noviembre!G46+Diciembre!G46</f>
        <v>21147215.09</v>
      </c>
      <c r="H46" s="14">
        <f>+Enero!H46+Febrero!H46+Marzo!H46+Abril!H46+Mayo!H46+Junio!H46+Julio!H46+Agosto!H46+Septiembre!H46+Octubre!H46+Noviembre!H46+Diciembre!H46</f>
        <v>0</v>
      </c>
      <c r="I46" s="13">
        <f t="shared" si="1"/>
        <v>26406606.132977739</v>
      </c>
    </row>
    <row r="47" spans="1:9" ht="15.75" x14ac:dyDescent="0.25">
      <c r="A47" s="8"/>
      <c r="B47" s="8"/>
      <c r="C47" s="9"/>
      <c r="D47" s="12" t="s">
        <v>43</v>
      </c>
      <c r="E47" s="14">
        <f>+Enero!E47+Febrero!E47+Marzo!E47+Abril!E47+Mayo!E47+Junio!E47+Julio!E47+Agosto!E47+Septiembre!E47+Octubre!E47+Noviembre!E47+Diciembre!E47</f>
        <v>26761336.75</v>
      </c>
      <c r="F47" s="14">
        <f>+Enero!F47+Febrero!F47+Marzo!F47+Abril!F47+Mayo!F47+Junio!F47+Julio!F47+Agosto!F47+Septiembre!F47+Octubre!F47+Noviembre!F47+Diciembre!F47</f>
        <v>6834529.763916973</v>
      </c>
      <c r="G47" s="14">
        <f>+Enero!G47+Febrero!G47+Marzo!G47+Abril!G47+Mayo!G47+Junio!G47+Julio!G47+Agosto!G47+Septiembre!G47+Octubre!G47+Noviembre!G47+Diciembre!G47</f>
        <v>5519958.6399999997</v>
      </c>
      <c r="H47" s="14">
        <f>+Enero!H47+Febrero!H47+Marzo!H47+Abril!H47+Mayo!H47+Junio!H47+Julio!H47+Agosto!H47+Septiembre!H47+Octubre!H47+Noviembre!H47+Diciembre!H47</f>
        <v>0</v>
      </c>
      <c r="I47" s="13">
        <f t="shared" si="1"/>
        <v>39115825.15391697</v>
      </c>
    </row>
    <row r="48" spans="1:9" ht="15.75" x14ac:dyDescent="0.25">
      <c r="A48" s="8"/>
      <c r="B48" s="8"/>
      <c r="C48" s="9"/>
      <c r="D48" s="12" t="s">
        <v>44</v>
      </c>
      <c r="E48" s="14">
        <f>+Enero!E48+Febrero!E48+Marzo!E48+Abril!E48+Mayo!E48+Junio!E48+Julio!E48+Agosto!E48+Septiembre!E48+Octubre!E48+Noviembre!E48+Diciembre!E48</f>
        <v>14585987.220000001</v>
      </c>
      <c r="F48" s="14">
        <f>+Enero!F48+Febrero!F48+Marzo!F48+Abril!F48+Mayo!F48+Junio!F48+Julio!F48+Agosto!F48+Septiembre!F48+Octubre!F48+Noviembre!F48+Diciembre!F48</f>
        <v>1076966.9329777411</v>
      </c>
      <c r="G48" s="14">
        <f>+Enero!G48+Febrero!G48+Marzo!G48+Abril!G48+Mayo!G48+Junio!G48+Julio!G48+Agosto!G48+Septiembre!G48+Octubre!G48+Noviembre!G48+Diciembre!G48</f>
        <v>8716709.2800000012</v>
      </c>
      <c r="H48" s="14">
        <f>+Enero!H48+Febrero!H48+Marzo!H48+Abril!H48+Mayo!H48+Junio!H48+Julio!H48+Agosto!H48+Septiembre!H48+Octubre!H48+Noviembre!H48+Diciembre!H48</f>
        <v>0</v>
      </c>
      <c r="I48" s="13">
        <f t="shared" si="1"/>
        <v>24379663.432977743</v>
      </c>
    </row>
    <row r="49" spans="1:9" ht="15.75" x14ac:dyDescent="0.25">
      <c r="A49" s="8"/>
      <c r="B49" s="8"/>
      <c r="C49" s="9"/>
      <c r="D49" s="12" t="s">
        <v>45</v>
      </c>
      <c r="E49" s="14">
        <f>+Enero!E49+Febrero!E49+Marzo!E49+Abril!E49+Mayo!E49+Junio!E49+Julio!E49+Agosto!E49+Septiembre!E49+Octubre!E49+Noviembre!E49+Diciembre!E49</f>
        <v>5422320.8200000003</v>
      </c>
      <c r="F49" s="14">
        <f>+Enero!F49+Febrero!F49+Marzo!F49+Abril!F49+Mayo!F49+Junio!F49+Julio!F49+Agosto!F49+Septiembre!F49+Octubre!F49+Noviembre!F49+Diciembre!F49</f>
        <v>1282801.8903489271</v>
      </c>
      <c r="G49" s="14">
        <f>+Enero!G49+Febrero!G49+Marzo!G49+Abril!G49+Mayo!G49+Junio!G49+Julio!G49+Agosto!G49+Septiembre!G49+Octubre!G49+Noviembre!G49+Diciembre!G49</f>
        <v>17230240.48</v>
      </c>
      <c r="H49" s="14">
        <f>+Enero!H49+Febrero!H49+Marzo!H49+Abril!H49+Mayo!H49+Junio!H49+Julio!H49+Agosto!H49+Septiembre!H49+Octubre!H49+Noviembre!H49+Diciembre!H49</f>
        <v>0</v>
      </c>
      <c r="I49" s="13">
        <f t="shared" si="1"/>
        <v>23935363.190348927</v>
      </c>
    </row>
    <row r="50" spans="1:9" ht="15.75" x14ac:dyDescent="0.25">
      <c r="A50" s="8"/>
      <c r="B50" s="8"/>
      <c r="C50" s="9"/>
      <c r="D50" s="12" t="s">
        <v>46</v>
      </c>
      <c r="E50" s="14">
        <f>+Enero!E50+Febrero!E50+Marzo!E50+Abril!E50+Mayo!E50+Junio!E50+Julio!E50+Agosto!E50+Septiembre!E50+Octubre!E50+Noviembre!E50+Diciembre!E50</f>
        <v>26080270.77</v>
      </c>
      <c r="F50" s="14">
        <f>+Enero!F50+Febrero!F50+Marzo!F50+Abril!F50+Mayo!F50+Junio!F50+Julio!F50+Agosto!F50+Septiembre!F50+Octubre!F50+Noviembre!F50+Diciembre!F50</f>
        <v>12396372.377404977</v>
      </c>
      <c r="G50" s="14">
        <f>+Enero!G50+Febrero!G50+Marzo!G50+Abril!G50+Mayo!G50+Junio!G50+Julio!G50+Agosto!G50+Septiembre!G50+Octubre!G50+Noviembre!G50+Diciembre!G50</f>
        <v>2128829.89</v>
      </c>
      <c r="H50" s="14">
        <f>+Enero!H50+Febrero!H50+Marzo!H50+Abril!H50+Mayo!H50+Junio!H50+Julio!H50+Agosto!H50+Septiembre!H50+Octubre!H50+Noviembre!H50+Diciembre!H50</f>
        <v>0</v>
      </c>
      <c r="I50" s="13">
        <f t="shared" si="1"/>
        <v>40605473.037404977</v>
      </c>
    </row>
    <row r="51" spans="1:9" ht="15.75" x14ac:dyDescent="0.25">
      <c r="A51" s="8"/>
      <c r="B51" s="8"/>
      <c r="C51" s="9"/>
      <c r="D51" s="12" t="s">
        <v>47</v>
      </c>
      <c r="E51" s="14">
        <f>+Enero!E51+Febrero!E51+Marzo!E51+Abril!E51+Mayo!E51+Junio!E51+Julio!E51+Agosto!E51+Septiembre!E51+Octubre!E51+Noviembre!E51+Diciembre!E51</f>
        <v>35653414.25</v>
      </c>
      <c r="F51" s="14">
        <f>+Enero!F51+Febrero!F51+Marzo!F51+Abril!F51+Mayo!F51+Junio!F51+Julio!F51+Agosto!F51+Septiembre!F51+Octubre!F51+Noviembre!F51+Diciembre!F51</f>
        <v>22540445.04313286</v>
      </c>
      <c r="G51" s="14">
        <f>+Enero!G51+Febrero!G51+Marzo!G51+Abril!G51+Mayo!G51+Junio!G51+Julio!G51+Agosto!G51+Septiembre!G51+Octubre!G51+Noviembre!G51+Diciembre!G51</f>
        <v>6113338.6400000006</v>
      </c>
      <c r="H51" s="14">
        <f>+Enero!H51+Febrero!H51+Marzo!H51+Abril!H51+Mayo!H51+Junio!H51+Julio!H51+Agosto!H51+Septiembre!H51+Octubre!H51+Noviembre!H51+Diciembre!H51</f>
        <v>0</v>
      </c>
      <c r="I51" s="13">
        <f t="shared" si="1"/>
        <v>64307197.933132857</v>
      </c>
    </row>
    <row r="52" spans="1:9" ht="15.75" x14ac:dyDescent="0.25">
      <c r="A52" s="8"/>
      <c r="B52" s="8"/>
      <c r="C52" s="9"/>
      <c r="D52" s="12" t="s">
        <v>48</v>
      </c>
      <c r="E52" s="14">
        <f>+Enero!E52+Febrero!E52+Marzo!E52+Abril!E52+Mayo!E52+Junio!E52+Julio!E52+Agosto!E52+Septiembre!E52+Octubre!E52+Noviembre!E52+Diciembre!E52</f>
        <v>26357746.199999999</v>
      </c>
      <c r="F52" s="14">
        <f>+Enero!F52+Febrero!F52+Marzo!F52+Abril!F52+Mayo!F52+Junio!F52+Julio!F52+Agosto!F52+Septiembre!F52+Octubre!F52+Noviembre!F52+Diciembre!F52</f>
        <v>22716694.386238169</v>
      </c>
      <c r="G52" s="14">
        <f>+Enero!G52+Febrero!G52+Marzo!G52+Abril!G52+Mayo!G52+Junio!G52+Julio!G52+Agosto!G52+Septiembre!G52+Octubre!G52+Noviembre!G52+Diciembre!G52</f>
        <v>1955227.34</v>
      </c>
      <c r="H52" s="14">
        <f>+Enero!H52+Febrero!H52+Marzo!H52+Abril!H52+Mayo!H52+Junio!H52+Julio!H52+Agosto!H52+Septiembre!H52+Octubre!H52+Noviembre!H52+Diciembre!H52</f>
        <v>0</v>
      </c>
      <c r="I52" s="13">
        <f t="shared" si="1"/>
        <v>51029667.926238172</v>
      </c>
    </row>
    <row r="53" spans="1:9" ht="15.75" x14ac:dyDescent="0.25">
      <c r="A53" s="8"/>
      <c r="B53" s="8"/>
      <c r="C53" s="9"/>
      <c r="D53" s="12" t="s">
        <v>49</v>
      </c>
      <c r="E53" s="14">
        <f>+Enero!E53+Febrero!E53+Marzo!E53+Abril!E53+Mayo!E53+Junio!E53+Julio!E53+Agosto!E53+Septiembre!E53+Octubre!E53+Noviembre!E53+Diciembre!E53</f>
        <v>41943985.640000001</v>
      </c>
      <c r="F53" s="14">
        <f>+Enero!F53+Febrero!F53+Marzo!F53+Abril!F53+Mayo!F53+Junio!F53+Julio!F53+Agosto!F53+Septiembre!F53+Octubre!F53+Noviembre!F53+Diciembre!F53</f>
        <v>15568860.553300429</v>
      </c>
      <c r="G53" s="14">
        <f>+Enero!G53+Febrero!G53+Marzo!G53+Abril!G53+Mayo!G53+Junio!G53+Julio!G53+Agosto!G53+Septiembre!G53+Octubre!G53+Noviembre!G53+Diciembre!G53</f>
        <v>9424496.0600000005</v>
      </c>
      <c r="H53" s="14">
        <f>+Enero!H53+Febrero!H53+Marzo!H53+Abril!H53+Mayo!H53+Junio!H53+Julio!H53+Agosto!H53+Septiembre!H53+Octubre!H53+Noviembre!H53+Diciembre!H53</f>
        <v>0</v>
      </c>
      <c r="I53" s="13">
        <f t="shared" si="1"/>
        <v>66937342.253300428</v>
      </c>
    </row>
    <row r="54" spans="1:9" ht="15.75" x14ac:dyDescent="0.25">
      <c r="A54" s="8"/>
      <c r="B54" s="8"/>
      <c r="C54" s="9"/>
      <c r="D54" s="12" t="s">
        <v>50</v>
      </c>
      <c r="E54" s="14">
        <f>+Enero!E54+Febrero!E54+Marzo!E54+Abril!E54+Mayo!E54+Junio!E54+Julio!E54+Agosto!E54+Septiembre!E54+Octubre!E54+Noviembre!E54+Diciembre!E54</f>
        <v>31976166.950000003</v>
      </c>
      <c r="F54" s="14">
        <f>+Enero!F54+Febrero!F54+Marzo!F54+Abril!F54+Mayo!F54+Junio!F54+Julio!F54+Agosto!F54+Septiembre!F54+Octubre!F54+Noviembre!F54+Diciembre!F54</f>
        <v>14295920.534373466</v>
      </c>
      <c r="G54" s="14">
        <f>+Enero!G54+Febrero!G54+Marzo!G54+Abril!G54+Mayo!G54+Junio!G54+Julio!G54+Agosto!G54+Septiembre!G54+Octubre!G54+Noviembre!G54+Diciembre!G54</f>
        <v>4386035.74</v>
      </c>
      <c r="H54" s="14">
        <f>+Enero!H54+Febrero!H54+Marzo!H54+Abril!H54+Mayo!H54+Junio!H54+Julio!H54+Agosto!H54+Septiembre!H54+Octubre!H54+Noviembre!H54+Diciembre!H54</f>
        <v>0</v>
      </c>
      <c r="I54" s="13">
        <f t="shared" si="1"/>
        <v>50658123.224373467</v>
      </c>
    </row>
    <row r="55" spans="1:9" ht="15.75" x14ac:dyDescent="0.25">
      <c r="A55" s="8"/>
      <c r="B55" s="8"/>
      <c r="C55" s="9"/>
      <c r="D55" s="12" t="s">
        <v>51</v>
      </c>
      <c r="E55" s="14">
        <f>+Enero!E55+Febrero!E55+Marzo!E55+Abril!E55+Mayo!E55+Junio!E55+Julio!E55+Agosto!E55+Septiembre!E55+Octubre!E55+Noviembre!E55+Diciembre!E55</f>
        <v>12559288.24</v>
      </c>
      <c r="F55" s="14">
        <f>+Enero!F55+Febrero!F55+Marzo!F55+Abril!F55+Mayo!F55+Junio!F55+Julio!F55+Agosto!F55+Septiembre!F55+Octubre!F55+Noviembre!F55+Diciembre!F55</f>
        <v>29277367.56682222</v>
      </c>
      <c r="G55" s="14">
        <f>+Enero!G55+Febrero!G55+Marzo!G55+Abril!G55+Mayo!G55+Junio!G55+Julio!G55+Agosto!G55+Septiembre!G55+Octubre!G55+Noviembre!G55+Diciembre!G55</f>
        <v>326080.60000000003</v>
      </c>
      <c r="H55" s="14">
        <f>+Enero!H55+Febrero!H55+Marzo!H55+Abril!H55+Mayo!H55+Junio!H55+Julio!H55+Agosto!H55+Septiembre!H55+Octubre!H55+Noviembre!H55+Diciembre!H55</f>
        <v>0</v>
      </c>
      <c r="I55" s="13">
        <f t="shared" si="1"/>
        <v>42162736.406822219</v>
      </c>
    </row>
    <row r="56" spans="1:9" ht="15.75" x14ac:dyDescent="0.25">
      <c r="A56" s="8"/>
      <c r="B56" s="8"/>
      <c r="C56" s="9"/>
      <c r="D56" s="12" t="s">
        <v>52</v>
      </c>
      <c r="E56" s="14">
        <f>+Enero!E56+Febrero!E56+Marzo!E56+Abril!E56+Mayo!E56+Junio!E56+Julio!E56+Agosto!E56+Septiembre!E56+Octubre!E56+Noviembre!E56+Diciembre!E56</f>
        <v>31322470.729999997</v>
      </c>
      <c r="F56" s="14">
        <f>+Enero!F56+Febrero!F56+Marzo!F56+Abril!F56+Mayo!F56+Junio!F56+Julio!F56+Agosto!F56+Septiembre!F56+Octubre!F56+Noviembre!F56+Diciembre!F56</f>
        <v>32586910.468633134</v>
      </c>
      <c r="G56" s="14">
        <f>+Enero!G56+Febrero!G56+Marzo!G56+Abril!G56+Mayo!G56+Junio!G56+Julio!G56+Agosto!G56+Septiembre!G56+Octubre!G56+Noviembre!G56+Diciembre!G56</f>
        <v>3258870.5999999996</v>
      </c>
      <c r="H56" s="14">
        <f>+Enero!H56+Febrero!H56+Marzo!H56+Abril!H56+Mayo!H56+Junio!H56+Julio!H56+Agosto!H56+Septiembre!H56+Octubre!H56+Noviembre!H56+Diciembre!H56</f>
        <v>0</v>
      </c>
      <c r="I56" s="13">
        <f t="shared" si="1"/>
        <v>67168251.798633128</v>
      </c>
    </row>
    <row r="57" spans="1:9" ht="15.75" x14ac:dyDescent="0.25">
      <c r="A57" s="8"/>
      <c r="B57" s="8"/>
      <c r="C57" s="9"/>
      <c r="D57" s="12" t="s">
        <v>53</v>
      </c>
      <c r="E57" s="14">
        <f>+Enero!E57+Febrero!E57+Marzo!E57+Abril!E57+Mayo!E57+Junio!E57+Julio!E57+Agosto!E57+Septiembre!E57+Octubre!E57+Noviembre!E57+Diciembre!E57</f>
        <v>8694590.8800000008</v>
      </c>
      <c r="F57" s="14">
        <f>+Enero!F57+Febrero!F57+Marzo!F57+Abril!F57+Mayo!F57+Junio!F57+Julio!F57+Agosto!F57+Septiembre!F57+Octubre!F57+Noviembre!F57+Diciembre!F57</f>
        <v>10770933.672267405</v>
      </c>
      <c r="G57" s="14">
        <f>+Enero!G57+Febrero!G57+Marzo!G57+Abril!G57+Mayo!G57+Junio!G57+Julio!G57+Agosto!G57+Septiembre!G57+Octubre!G57+Noviembre!G57+Diciembre!G57</f>
        <v>2571000.02</v>
      </c>
      <c r="H57" s="14">
        <f>+Enero!H57+Febrero!H57+Marzo!H57+Abril!H57+Mayo!H57+Junio!H57+Julio!H57+Agosto!H57+Septiembre!H57+Octubre!H57+Noviembre!H57+Diciembre!H57</f>
        <v>0</v>
      </c>
      <c r="I57" s="13">
        <f t="shared" si="1"/>
        <v>22036524.572267406</v>
      </c>
    </row>
    <row r="58" spans="1:9" ht="15.75" x14ac:dyDescent="0.25">
      <c r="A58" s="8"/>
      <c r="B58" s="8"/>
      <c r="C58" s="9"/>
      <c r="D58" s="12" t="s">
        <v>54</v>
      </c>
      <c r="E58" s="14">
        <f>+Enero!E58+Febrero!E58+Marzo!E58+Abril!E58+Mayo!E58+Junio!E58+Julio!E58+Agosto!E58+Septiembre!E58+Octubre!E58+Noviembre!E58+Diciembre!E58</f>
        <v>11763228.869999997</v>
      </c>
      <c r="F58" s="14">
        <f>+Enero!F58+Febrero!F58+Marzo!F58+Abril!F58+Mayo!F58+Junio!F58+Julio!F58+Agosto!F58+Septiembre!F58+Octubre!F58+Noviembre!F58+Diciembre!F58</f>
        <v>11593514.896258151</v>
      </c>
      <c r="G58" s="14">
        <f>+Enero!G58+Febrero!G58+Marzo!G58+Abril!G58+Mayo!G58+Junio!G58+Julio!G58+Agosto!G58+Septiembre!G58+Octubre!G58+Noviembre!G58+Diciembre!G58</f>
        <v>372460.26999999996</v>
      </c>
      <c r="H58" s="14">
        <f>+Enero!H58+Febrero!H58+Marzo!H58+Abril!H58+Mayo!H58+Junio!H58+Julio!H58+Agosto!H58+Septiembre!H58+Octubre!H58+Noviembre!H58+Diciembre!H58</f>
        <v>0</v>
      </c>
      <c r="I58" s="13">
        <f t="shared" si="1"/>
        <v>23729204.03625815</v>
      </c>
    </row>
    <row r="59" spans="1:9" ht="15.75" x14ac:dyDescent="0.25">
      <c r="A59" s="8"/>
      <c r="B59" s="8"/>
      <c r="C59" s="9"/>
      <c r="D59" s="12" t="s">
        <v>55</v>
      </c>
      <c r="E59" s="14">
        <f>+Enero!E59+Febrero!E59+Marzo!E59+Abril!E59+Mayo!E59+Junio!E59+Julio!E59+Agosto!E59+Septiembre!E59+Octubre!E59+Noviembre!E59+Diciembre!E59</f>
        <v>23026032.16</v>
      </c>
      <c r="F59" s="14">
        <f>+Enero!F59+Febrero!F59+Marzo!F59+Abril!F59+Mayo!F59+Junio!F59+Julio!F59+Agosto!F59+Septiembre!F59+Octubre!F59+Noviembre!F59+Diciembre!F59</f>
        <v>19583400.827532556</v>
      </c>
      <c r="G59" s="14">
        <f>+Enero!G59+Febrero!G59+Marzo!G59+Abril!G59+Mayo!G59+Junio!G59+Julio!G59+Agosto!G59+Septiembre!G59+Octubre!G59+Noviembre!G59+Diciembre!G59</f>
        <v>3950955.8699999996</v>
      </c>
      <c r="H59" s="14">
        <f>+Enero!H59+Febrero!H59+Marzo!H59+Abril!H59+Mayo!H59+Junio!H59+Julio!H59+Agosto!H59+Septiembre!H59+Octubre!H59+Noviembre!H59+Diciembre!H59</f>
        <v>0</v>
      </c>
      <c r="I59" s="13">
        <f t="shared" si="1"/>
        <v>46560388.857532553</v>
      </c>
    </row>
    <row r="60" spans="1:9" ht="15.75" x14ac:dyDescent="0.25">
      <c r="A60" s="8"/>
      <c r="B60" s="8"/>
      <c r="C60" s="9"/>
      <c r="D60" s="12" t="s">
        <v>56</v>
      </c>
      <c r="E60" s="14">
        <f>+Enero!E60+Febrero!E60+Marzo!E60+Abril!E60+Mayo!E60+Junio!E60+Julio!E60+Agosto!E60+Septiembre!E60+Octubre!E60+Noviembre!E60+Diciembre!E60</f>
        <v>15094225.74</v>
      </c>
      <c r="F60" s="14">
        <f>+Enero!F60+Febrero!F60+Marzo!F60+Abril!F60+Mayo!F60+Junio!F60+Julio!F60+Agosto!F60+Septiembre!F60+Octubre!F60+Noviembre!F60+Diciembre!F60</f>
        <v>11847900.605245147</v>
      </c>
      <c r="G60" s="14">
        <f>+Enero!G60+Febrero!G60+Marzo!G60+Abril!G60+Mayo!G60+Junio!G60+Julio!G60+Agosto!G60+Septiembre!G60+Octubre!G60+Noviembre!G60+Diciembre!G60</f>
        <v>1792082.14</v>
      </c>
      <c r="H60" s="14">
        <f>+Enero!H60+Febrero!H60+Marzo!H60+Abril!H60+Mayo!H60+Junio!H60+Julio!H60+Agosto!H60+Septiembre!H60+Octubre!H60+Noviembre!H60+Diciembre!H60</f>
        <v>0</v>
      </c>
      <c r="I60" s="13">
        <f t="shared" si="1"/>
        <v>28734208.485245146</v>
      </c>
    </row>
    <row r="61" spans="1:9" ht="15.75" x14ac:dyDescent="0.25">
      <c r="A61" s="8"/>
      <c r="B61" s="8"/>
      <c r="C61" s="9"/>
      <c r="D61" s="12" t="s">
        <v>57</v>
      </c>
      <c r="E61" s="14">
        <f>+Enero!E61+Febrero!E61+Marzo!E61+Abril!E61+Mayo!E61+Junio!E61+Julio!E61+Agosto!E61+Septiembre!E61+Octubre!E61+Noviembre!E61+Diciembre!E61</f>
        <v>45275843.099999994</v>
      </c>
      <c r="F61" s="14">
        <f>+Enero!F61+Febrero!F61+Marzo!F61+Abril!F61+Mayo!F61+Junio!F61+Julio!F61+Agosto!F61+Septiembre!F61+Octubre!F61+Noviembre!F61+Diciembre!F61</f>
        <v>19877234.022207394</v>
      </c>
      <c r="G61" s="14">
        <f>+Enero!G61+Febrero!G61+Marzo!G61+Abril!G61+Mayo!G61+Junio!G61+Julio!G61+Agosto!G61+Septiembre!G61+Octubre!G61+Noviembre!G61+Diciembre!G61</f>
        <v>3354414.9400000004</v>
      </c>
      <c r="H61" s="14">
        <f>+Enero!H61+Febrero!H61+Marzo!H61+Abril!H61+Mayo!H61+Junio!H61+Julio!H61+Agosto!H61+Septiembre!H61+Octubre!H61+Noviembre!H61+Diciembre!H61</f>
        <v>0</v>
      </c>
      <c r="I61" s="13">
        <f t="shared" si="1"/>
        <v>68507492.062207386</v>
      </c>
    </row>
    <row r="62" spans="1:9" ht="15.75" x14ac:dyDescent="0.25">
      <c r="A62" s="8"/>
      <c r="B62" s="8"/>
      <c r="C62" s="9"/>
      <c r="D62" s="12" t="s">
        <v>58</v>
      </c>
      <c r="E62" s="14">
        <f>+Enero!E62+Febrero!E62+Marzo!E62+Abril!E62+Mayo!E62+Junio!E62+Julio!E62+Agosto!E62+Septiembre!E62+Octubre!E62+Noviembre!E62+Diciembre!E62</f>
        <v>44837636.429999992</v>
      </c>
      <c r="F62" s="14">
        <f>+Enero!F62+Febrero!F62+Marzo!F62+Abril!F62+Mayo!F62+Junio!F62+Julio!F62+Agosto!F62+Septiembre!F62+Octubre!F62+Noviembre!F62+Diciembre!F62</f>
        <v>22178337.353998296</v>
      </c>
      <c r="G62" s="14">
        <f>+Enero!G62+Febrero!G62+Marzo!G62+Abril!G62+Mayo!G62+Junio!G62+Julio!G62+Agosto!G62+Septiembre!G62+Octubre!G62+Noviembre!G62+Diciembre!G62</f>
        <v>143038778.16</v>
      </c>
      <c r="H62" s="14">
        <f>+Enero!H62+Febrero!H62+Marzo!H62+Abril!H62+Mayo!H62+Junio!H62+Julio!H62+Agosto!H62+Septiembre!H62+Octubre!H62+Noviembre!H62+Diciembre!H62</f>
        <v>0</v>
      </c>
      <c r="I62" s="13">
        <f t="shared" si="1"/>
        <v>210054751.94399828</v>
      </c>
    </row>
    <row r="63" spans="1:9" ht="15.75" x14ac:dyDescent="0.25">
      <c r="A63" s="8"/>
      <c r="B63" s="8"/>
      <c r="C63" s="9"/>
      <c r="D63" s="12" t="s">
        <v>59</v>
      </c>
      <c r="E63" s="14">
        <f>+Enero!E63+Febrero!E63+Marzo!E63+Abril!E63+Mayo!E63+Junio!E63+Julio!E63+Agosto!E63+Septiembre!E63+Octubre!E63+Noviembre!E63+Diciembre!E63</f>
        <v>13724232.830000002</v>
      </c>
      <c r="F63" s="14">
        <f>+Enero!F63+Febrero!F63+Marzo!F63+Abril!F63+Mayo!F63+Junio!F63+Julio!F63+Agosto!F63+Septiembre!F63+Octubre!F63+Noviembre!F63+Diciembre!F63</f>
        <v>2448019.929128319</v>
      </c>
      <c r="G63" s="14">
        <f>+Enero!G63+Febrero!G63+Marzo!G63+Abril!G63+Mayo!G63+Junio!G63+Julio!G63+Agosto!G63+Septiembre!G63+Octubre!G63+Noviembre!G63+Diciembre!G63</f>
        <v>6638539.5699999994</v>
      </c>
      <c r="H63" s="14">
        <f>+Enero!H63+Febrero!H63+Marzo!H63+Abril!H63+Mayo!H63+Junio!H63+Julio!H63+Agosto!H63+Septiembre!H63+Octubre!H63+Noviembre!H63+Diciembre!H63</f>
        <v>0</v>
      </c>
      <c r="I63" s="13">
        <f t="shared" si="1"/>
        <v>22810792.329128321</v>
      </c>
    </row>
    <row r="64" spans="1:9" ht="15.75" x14ac:dyDescent="0.25">
      <c r="A64" s="8"/>
      <c r="B64" s="8"/>
      <c r="C64" s="9"/>
      <c r="D64" s="12" t="s">
        <v>60</v>
      </c>
      <c r="E64" s="14">
        <f>+Enero!E64+Febrero!E64+Marzo!E64+Abril!E64+Mayo!E64+Junio!E64+Julio!E64+Agosto!E64+Septiembre!E64+Octubre!E64+Noviembre!E64+Diciembre!E64</f>
        <v>0</v>
      </c>
      <c r="F64" s="14">
        <f>+Enero!F64+Febrero!F64+Marzo!F64+Abril!F64+Mayo!F64+Junio!F64+Julio!F64+Agosto!F64+Septiembre!F64+Octubre!F64+Noviembre!F64+Diciembre!F64</f>
        <v>0</v>
      </c>
      <c r="G64" s="14">
        <f>+Enero!G64+Febrero!G64+Marzo!G64+Abril!G64+Mayo!G64+Junio!G64+Julio!G64+Agosto!G64+Septiembre!G64+Octubre!G64+Noviembre!G64+Diciembre!G64</f>
        <v>43659486.039999992</v>
      </c>
      <c r="H64" s="14">
        <f>+Enero!H64+Febrero!H64+Marzo!H64+Abril!H64+Mayo!H64+Junio!H64+Julio!H64+Agosto!H64+Septiembre!H64+Octubre!H64+Noviembre!H64+Diciembre!H64</f>
        <v>0</v>
      </c>
      <c r="I64" s="13">
        <f t="shared" si="1"/>
        <v>43659486.039999992</v>
      </c>
    </row>
    <row r="65" spans="1:9" ht="15.75" x14ac:dyDescent="0.25">
      <c r="A65" s="8"/>
      <c r="B65" s="8"/>
      <c r="C65" s="9"/>
      <c r="D65" s="12" t="s">
        <v>61</v>
      </c>
      <c r="E65" s="14">
        <f>+Enero!E65+Febrero!E65+Marzo!E65+Abril!E65+Mayo!E65+Junio!E65+Julio!E65+Agosto!E65+Septiembre!E65+Octubre!E65+Noviembre!E65+Diciembre!E65</f>
        <v>38167844.030000001</v>
      </c>
      <c r="F65" s="14">
        <f>+Enero!F65+Febrero!F65+Marzo!F65+Abril!F65+Mayo!F65+Junio!F65+Julio!F65+Agosto!F65+Septiembre!F65+Octubre!F65+Noviembre!F65+Diciembre!F65</f>
        <v>28983534.372147381</v>
      </c>
      <c r="G65" s="14">
        <f>+Enero!G65+Febrero!G65+Marzo!G65+Abril!G65+Mayo!G65+Junio!G65+Julio!G65+Agosto!G65+Septiembre!G65+Octubre!G65+Noviembre!G65+Diciembre!G65</f>
        <v>3240191.5100000002</v>
      </c>
      <c r="H65" s="14">
        <f>+Enero!H65+Febrero!H65+Marzo!H65+Abril!H65+Mayo!H65+Junio!H65+Julio!H65+Agosto!H65+Septiembre!H65+Octubre!H65+Noviembre!H65+Diciembre!H65</f>
        <v>0</v>
      </c>
      <c r="I65" s="13">
        <f t="shared" si="1"/>
        <v>70391569.912147388</v>
      </c>
    </row>
    <row r="66" spans="1:9" ht="15.75" x14ac:dyDescent="0.25">
      <c r="A66" s="8"/>
      <c r="B66" s="8"/>
      <c r="C66" s="9"/>
      <c r="D66" s="12" t="s">
        <v>62</v>
      </c>
      <c r="E66" s="14">
        <f>+Enero!E66+Febrero!E66+Marzo!E66+Abril!E66+Mayo!E66+Junio!E66+Julio!E66+Agosto!E66+Septiembre!E66+Octubre!E66+Noviembre!E66+Diciembre!E66</f>
        <v>156886343.41</v>
      </c>
      <c r="F66" s="14">
        <f>+Enero!F66+Febrero!F66+Marzo!F66+Abril!F66+Mayo!F66+Junio!F66+Julio!F66+Agosto!F66+Septiembre!F66+Octubre!F66+Noviembre!F66+Diciembre!F66</f>
        <v>57624431.929506138</v>
      </c>
      <c r="G66" s="14">
        <f>+Enero!G66+Febrero!G66+Marzo!G66+Abril!G66+Mayo!G66+Junio!G66+Julio!G66+Agosto!G66+Septiembre!G66+Octubre!G66+Noviembre!G66+Diciembre!G66</f>
        <v>7564322.5600000005</v>
      </c>
      <c r="H66" s="14">
        <f>+Enero!H66+Febrero!H66+Marzo!H66+Abril!H66+Mayo!H66+Junio!H66+Julio!H66+Agosto!H66+Septiembre!H66+Octubre!H66+Noviembre!H66+Diciembre!H66</f>
        <v>0</v>
      </c>
      <c r="I66" s="13">
        <f t="shared" si="1"/>
        <v>222075097.89950615</v>
      </c>
    </row>
    <row r="67" spans="1:9" ht="15.75" x14ac:dyDescent="0.25">
      <c r="A67" s="8"/>
      <c r="B67" s="8"/>
      <c r="C67" s="9"/>
      <c r="D67" s="12" t="s">
        <v>63</v>
      </c>
      <c r="E67" s="14">
        <f>+Enero!E67+Febrero!E67+Marzo!E67+Abril!E67+Mayo!E67+Junio!E67+Julio!E67+Agosto!E67+Septiembre!E67+Octubre!E67+Noviembre!E67+Diciembre!E67</f>
        <v>29674750.16</v>
      </c>
      <c r="F67" s="14">
        <f>+Enero!F67+Febrero!F67+Marzo!F67+Abril!F67+Mayo!F67+Junio!F67+Julio!F67+Agosto!F67+Septiembre!F67+Octubre!F67+Noviembre!F67+Diciembre!F67</f>
        <v>26633627.420242675</v>
      </c>
      <c r="G67" s="14">
        <f>+Enero!G67+Febrero!G67+Marzo!G67+Abril!G67+Mayo!G67+Junio!G67+Julio!G67+Agosto!G67+Septiembre!G67+Octubre!G67+Noviembre!G67+Diciembre!G67</f>
        <v>3745202.04</v>
      </c>
      <c r="H67" s="14">
        <f>+Enero!H67+Febrero!H67+Marzo!H67+Abril!H67+Mayo!H67+Junio!H67+Julio!H67+Agosto!H67+Septiembre!H67+Octubre!H67+Noviembre!H67+Diciembre!H67</f>
        <v>0</v>
      </c>
      <c r="I67" s="13">
        <f t="shared" si="1"/>
        <v>60053579.620242678</v>
      </c>
    </row>
    <row r="68" spans="1:9" ht="15.75" x14ac:dyDescent="0.25">
      <c r="A68" s="8"/>
      <c r="B68" s="8"/>
      <c r="C68" s="9"/>
      <c r="D68" s="12" t="s">
        <v>64</v>
      </c>
      <c r="E68" s="14">
        <f>+Enero!E68+Febrero!E68+Marzo!E68+Abril!E68+Mayo!E68+Junio!E68+Julio!E68+Agosto!E68+Septiembre!E68+Octubre!E68+Noviembre!E68+Diciembre!E68</f>
        <v>32722635.630000006</v>
      </c>
      <c r="F68" s="14">
        <f>+Enero!F68+Febrero!F68+Marzo!F68+Abril!F68+Mayo!F68+Junio!F68+Julio!F68+Agosto!F68+Septiembre!F68+Octubre!F68+Noviembre!F68+Diciembre!F68</f>
        <v>11260487.08439347</v>
      </c>
      <c r="G68" s="14">
        <f>+Enero!G68+Febrero!G68+Marzo!G68+Abril!G68+Mayo!G68+Junio!G68+Julio!G68+Agosto!G68+Septiembre!G68+Octubre!G68+Noviembre!G68+Diciembre!G68</f>
        <v>3017117.8399999994</v>
      </c>
      <c r="H68" s="14">
        <f>+Enero!H68+Febrero!H68+Marzo!H68+Abril!H68+Mayo!H68+Junio!H68+Julio!H68+Agosto!H68+Septiembre!H68+Octubre!H68+Noviembre!H68+Diciembre!H68</f>
        <v>0</v>
      </c>
      <c r="I68" s="13">
        <f t="shared" si="1"/>
        <v>47000240.55439347</v>
      </c>
    </row>
    <row r="69" spans="1:9" ht="15.75" x14ac:dyDescent="0.25">
      <c r="A69" s="8"/>
      <c r="B69" s="8"/>
      <c r="C69" s="9"/>
      <c r="D69" s="12" t="s">
        <v>65</v>
      </c>
      <c r="E69" s="14">
        <f>+Enero!E69+Febrero!E69+Marzo!E69+Abril!E69+Mayo!E69+Junio!E69+Julio!E69+Agosto!E69+Septiembre!E69+Octubre!E69+Noviembre!E69+Diciembre!E69</f>
        <v>0</v>
      </c>
      <c r="F69" s="14">
        <f>+Enero!F69+Febrero!F69+Marzo!F69+Abril!F69+Mayo!F69+Junio!F69+Julio!F69+Agosto!F69+Septiembre!F69+Octubre!F69+Noviembre!F69+Diciembre!F69</f>
        <v>0</v>
      </c>
      <c r="G69" s="14">
        <f>+Enero!G69+Febrero!G69+Marzo!G69+Abril!G69+Mayo!G69+Junio!G69+Julio!G69+Agosto!G69+Septiembre!G69+Octubre!G69+Noviembre!G69+Diciembre!G69</f>
        <v>14581945.450000001</v>
      </c>
      <c r="H69" s="14">
        <f>+Enero!H69+Febrero!H69+Marzo!H69+Abril!H69+Mayo!H69+Junio!H69+Julio!H69+Agosto!H69+Septiembre!H69+Octubre!H69+Noviembre!H69+Diciembre!H69</f>
        <v>0</v>
      </c>
      <c r="I69" s="13">
        <f t="shared" si="1"/>
        <v>14581945.450000001</v>
      </c>
    </row>
    <row r="70" spans="1:9" ht="15.75" x14ac:dyDescent="0.25">
      <c r="A70" s="8"/>
      <c r="B70" s="8"/>
      <c r="C70" s="9"/>
      <c r="D70" s="12" t="s">
        <v>66</v>
      </c>
      <c r="E70" s="14">
        <f>+Enero!E70+Febrero!E70+Marzo!E70+Abril!E70+Mayo!E70+Junio!E70+Julio!E70+Agosto!E70+Septiembre!E70+Octubre!E70+Noviembre!E70+Diciembre!E70</f>
        <v>0</v>
      </c>
      <c r="F70" s="14">
        <f>+Enero!F70+Febrero!F70+Marzo!F70+Abril!F70+Mayo!F70+Junio!F70+Julio!F70+Agosto!F70+Septiembre!F70+Octubre!F70+Noviembre!F70+Diciembre!F70</f>
        <v>0</v>
      </c>
      <c r="G70" s="14">
        <f>+Enero!G70+Febrero!G70+Marzo!G70+Abril!G70+Mayo!G70+Junio!G70+Julio!G70+Agosto!G70+Septiembre!G70+Octubre!G70+Noviembre!G70+Diciembre!G70</f>
        <v>17671818.82</v>
      </c>
      <c r="H70" s="14">
        <f>+Enero!H70+Febrero!H70+Marzo!H70+Abril!H70+Mayo!H70+Junio!H70+Julio!H70+Agosto!H70+Septiembre!H70+Octubre!H70+Noviembre!H70+Diciembre!H70</f>
        <v>0</v>
      </c>
      <c r="I70" s="13">
        <f t="shared" si="1"/>
        <v>17671818.82</v>
      </c>
    </row>
    <row r="71" spans="1:9" ht="15.75" x14ac:dyDescent="0.25">
      <c r="A71" s="8"/>
      <c r="B71" s="8"/>
      <c r="C71" s="9"/>
      <c r="D71" s="12" t="s">
        <v>67</v>
      </c>
      <c r="E71" s="14">
        <f>+Enero!E71+Febrero!E71+Marzo!E71+Abril!E71+Mayo!E71+Junio!E71+Julio!E71+Agosto!E71+Septiembre!E71+Octubre!E71+Noviembre!E71+Diciembre!E71</f>
        <v>274871.84999999998</v>
      </c>
      <c r="F71" s="14">
        <f>+Enero!F71+Febrero!F71+Marzo!F71+Abril!F71+Mayo!F71+Junio!F71+Julio!F71+Agosto!F71+Septiembre!F71+Octubre!F71+Noviembre!F71+Diciembre!F71</f>
        <v>293833.19467483804</v>
      </c>
      <c r="G71" s="14">
        <f>+Enero!G71+Febrero!G71+Marzo!G71+Abril!G71+Mayo!G71+Junio!G71+Julio!G71+Agosto!G71+Septiembre!G71+Octubre!G71+Noviembre!G71+Diciembre!G71</f>
        <v>11387185.899999999</v>
      </c>
      <c r="H71" s="14">
        <f>+Enero!H71+Febrero!H71+Marzo!H71+Abril!H71+Mayo!H71+Junio!H71+Julio!H71+Agosto!H71+Septiembre!H71+Octubre!H71+Noviembre!H71+Diciembre!H71</f>
        <v>0</v>
      </c>
      <c r="I71" s="13">
        <f t="shared" si="1"/>
        <v>11955890.944674836</v>
      </c>
    </row>
    <row r="72" spans="1:9" ht="15.75" x14ac:dyDescent="0.25">
      <c r="A72" s="8"/>
      <c r="B72" s="8"/>
      <c r="C72" s="9"/>
      <c r="D72" s="12" t="s">
        <v>68</v>
      </c>
      <c r="E72" s="14">
        <f>+Enero!E72+Febrero!E72+Marzo!E72+Abril!E72+Mayo!E72+Junio!E72+Julio!E72+Agosto!E72+Septiembre!E72+Octubre!E72+Noviembre!E72+Diciembre!E72</f>
        <v>56026533.18</v>
      </c>
      <c r="F72" s="14">
        <f>+Enero!F72+Febrero!F72+Marzo!F72+Abril!F72+Mayo!F72+Junio!F72+Julio!F72+Agosto!F72+Septiembre!F72+Octubre!F72+Noviembre!F72+Diciembre!F72</f>
        <v>18290989.934259664</v>
      </c>
      <c r="G72" s="14">
        <f>+Enero!G72+Febrero!G72+Marzo!G72+Abril!G72+Mayo!G72+Junio!G72+Julio!G72+Agosto!G72+Septiembre!G72+Octubre!G72+Noviembre!G72+Diciembre!G72</f>
        <v>27256840.430000003</v>
      </c>
      <c r="H72" s="14">
        <f>+Enero!H72+Febrero!H72+Marzo!H72+Abril!H72+Mayo!H72+Junio!H72+Julio!H72+Agosto!H72+Septiembre!H72+Octubre!H72+Noviembre!H72+Diciembre!H72</f>
        <v>0</v>
      </c>
      <c r="I72" s="13">
        <f t="shared" si="1"/>
        <v>101574363.54425967</v>
      </c>
    </row>
    <row r="73" spans="1:9" ht="15.75" x14ac:dyDescent="0.25">
      <c r="A73" s="8"/>
      <c r="B73" s="8"/>
      <c r="C73" s="9"/>
      <c r="D73" s="12" t="s">
        <v>69</v>
      </c>
      <c r="E73" s="14">
        <f>+Enero!E73+Febrero!E73+Marzo!E73+Abril!E73+Mayo!E73+Junio!E73+Julio!E73+Agosto!E73+Septiembre!E73+Octubre!E73+Noviembre!E73+Diciembre!E73</f>
        <v>271569.27</v>
      </c>
      <c r="F73" s="14">
        <f>+Enero!F73+Febrero!F73+Marzo!F73+Abril!F73+Mayo!F73+Junio!F73+Julio!F73+Agosto!F73+Septiembre!F73+Octubre!F73+Noviembre!F73+Diciembre!F73</f>
        <v>0</v>
      </c>
      <c r="G73" s="14">
        <f>+Enero!G73+Febrero!G73+Marzo!G73+Abril!G73+Mayo!G73+Junio!G73+Julio!G73+Agosto!G73+Septiembre!G73+Octubre!G73+Noviembre!G73+Diciembre!G73</f>
        <v>12330128.869999999</v>
      </c>
      <c r="H73" s="14">
        <f>+Enero!H73+Febrero!H73+Marzo!H73+Abril!H73+Mayo!H73+Junio!H73+Julio!H73+Agosto!H73+Septiembre!H73+Octubre!H73+Noviembre!H73+Diciembre!H73</f>
        <v>0</v>
      </c>
      <c r="I73" s="13">
        <f t="shared" si="1"/>
        <v>12601698.139999999</v>
      </c>
    </row>
    <row r="74" spans="1:9" ht="15.75" x14ac:dyDescent="0.25">
      <c r="A74" s="8"/>
      <c r="B74" s="8"/>
      <c r="C74" s="9"/>
      <c r="D74" s="12" t="s">
        <v>70</v>
      </c>
      <c r="E74" s="14">
        <f>+Enero!E74+Febrero!E74+Marzo!E74+Abril!E74+Mayo!E74+Junio!E74+Julio!E74+Agosto!E74+Septiembre!E74+Octubre!E74+Noviembre!E74+Diciembre!E74</f>
        <v>6288815.3900000006</v>
      </c>
      <c r="F74" s="14">
        <f>+Enero!F74+Febrero!F74+Marzo!F74+Abril!F74+Mayo!F74+Junio!F74+Julio!F74+Agosto!F74+Septiembre!F74+Octubre!F74+Noviembre!F74+Diciembre!F74</f>
        <v>1547049.4707578821</v>
      </c>
      <c r="G74" s="14">
        <f>+Enero!G74+Febrero!G74+Marzo!G74+Abril!G74+Mayo!G74+Junio!G74+Julio!G74+Agosto!G74+Septiembre!G74+Octubre!G74+Noviembre!G74+Diciembre!G74</f>
        <v>75404314.190000013</v>
      </c>
      <c r="H74" s="14">
        <f>+Enero!H74+Febrero!H74+Marzo!H74+Abril!H74+Mayo!H74+Junio!H74+Julio!H74+Agosto!H74+Septiembre!H74+Octubre!H74+Noviembre!H74+Diciembre!H74</f>
        <v>0</v>
      </c>
      <c r="I74" s="13">
        <f t="shared" ref="I74:I105" si="2">SUM(E74:H74)</f>
        <v>83240179.0507579</v>
      </c>
    </row>
    <row r="75" spans="1:9" ht="15.75" x14ac:dyDescent="0.25">
      <c r="A75" s="8"/>
      <c r="B75" s="8"/>
      <c r="C75" s="9"/>
      <c r="D75" s="12" t="s">
        <v>71</v>
      </c>
      <c r="E75" s="14">
        <f>+Enero!E75+Febrero!E75+Marzo!E75+Abril!E75+Mayo!E75+Junio!E75+Julio!E75+Agosto!E75+Septiembre!E75+Octubre!E75+Noviembre!E75+Diciembre!E75</f>
        <v>18157056.910000004</v>
      </c>
      <c r="F75" s="14">
        <f>+Enero!F75+Febrero!F75+Marzo!F75+Abril!F75+Mayo!F75+Junio!F75+Julio!F75+Agosto!F75+Septiembre!F75+Octubre!F75+Noviembre!F75+Diciembre!F75</f>
        <v>6012201.4084242247</v>
      </c>
      <c r="G75" s="14">
        <f>+Enero!G75+Febrero!G75+Marzo!G75+Abril!G75+Mayo!G75+Junio!G75+Julio!G75+Agosto!G75+Septiembre!G75+Octubre!G75+Noviembre!G75+Diciembre!G75</f>
        <v>150301368.12</v>
      </c>
      <c r="H75" s="14">
        <f>+Enero!H75+Febrero!H75+Marzo!H75+Abril!H75+Mayo!H75+Junio!H75+Julio!H75+Agosto!H75+Septiembre!H75+Octubre!H75+Noviembre!H75+Diciembre!H75</f>
        <v>0</v>
      </c>
      <c r="I75" s="13">
        <f t="shared" si="2"/>
        <v>174470626.43842423</v>
      </c>
    </row>
    <row r="76" spans="1:9" ht="15.75" x14ac:dyDescent="0.25">
      <c r="A76" s="8"/>
      <c r="B76" s="8"/>
      <c r="C76" s="9"/>
      <c r="D76" s="12" t="s">
        <v>72</v>
      </c>
      <c r="E76" s="14">
        <f>+Enero!E76+Febrero!E76+Marzo!E76+Abril!E76+Mayo!E76+Junio!E76+Julio!E76+Agosto!E76+Septiembre!E76+Octubre!E76+Noviembre!E76+Diciembre!E76</f>
        <v>0</v>
      </c>
      <c r="F76" s="14">
        <f>+Enero!F76+Febrero!F76+Marzo!F76+Abril!F76+Mayo!F76+Junio!F76+Julio!F76+Agosto!F76+Septiembre!F76+Octubre!F76+Noviembre!F76+Diciembre!F76</f>
        <v>0</v>
      </c>
      <c r="G76" s="14">
        <f>+Enero!G76+Febrero!G76+Marzo!G76+Abril!G76+Mayo!G76+Junio!G76+Julio!G76+Agosto!G76+Septiembre!G76+Octubre!G76+Noviembre!G76+Diciembre!G76</f>
        <v>41993498.970000006</v>
      </c>
      <c r="H76" s="14">
        <f>+Enero!H76+Febrero!H76+Marzo!H76+Abril!H76+Mayo!H76+Junio!H76+Julio!H76+Agosto!H76+Septiembre!H76+Octubre!H76+Noviembre!H76+Diciembre!H76</f>
        <v>0</v>
      </c>
      <c r="I76" s="13">
        <f t="shared" si="2"/>
        <v>41993498.970000006</v>
      </c>
    </row>
    <row r="77" spans="1:9" ht="15.75" x14ac:dyDescent="0.25">
      <c r="A77" s="8"/>
      <c r="B77" s="8"/>
      <c r="C77" s="9"/>
      <c r="D77" s="12" t="s">
        <v>73</v>
      </c>
      <c r="E77" s="14">
        <f>+Enero!E77+Febrero!E77+Marzo!E77+Abril!E77+Mayo!E77+Junio!E77+Julio!E77+Agosto!E77+Septiembre!E77+Octubre!E77+Noviembre!E77+Diciembre!E77</f>
        <v>18464043.629999999</v>
      </c>
      <c r="F77" s="14">
        <f>+Enero!F77+Febrero!F77+Marzo!F77+Abril!F77+Mayo!F77+Junio!F77+Julio!F77+Agosto!F77+Septiembre!F77+Octubre!F77+Noviembre!F77+Diciembre!F77</f>
        <v>29815724.599062093</v>
      </c>
      <c r="G77" s="14">
        <f>+Enero!G77+Febrero!G77+Marzo!G77+Abril!G77+Mayo!G77+Junio!G77+Julio!G77+Agosto!G77+Septiembre!G77+Octubre!G77+Noviembre!G77+Diciembre!G77</f>
        <v>2768714.01</v>
      </c>
      <c r="H77" s="14">
        <f>+Enero!H77+Febrero!H77+Marzo!H77+Abril!H77+Mayo!H77+Junio!H77+Julio!H77+Agosto!H77+Septiembre!H77+Octubre!H77+Noviembre!H77+Diciembre!H77</f>
        <v>0</v>
      </c>
      <c r="I77" s="13">
        <f t="shared" si="2"/>
        <v>51048482.239062093</v>
      </c>
    </row>
    <row r="78" spans="1:9" ht="15.75" x14ac:dyDescent="0.25">
      <c r="A78" s="8"/>
      <c r="B78" s="8"/>
      <c r="C78" s="9"/>
      <c r="D78" s="12" t="s">
        <v>74</v>
      </c>
      <c r="E78" s="14">
        <f>+Enero!E78+Febrero!E78+Marzo!E78+Abril!E78+Mayo!E78+Junio!E78+Julio!E78+Agosto!E78+Septiembre!E78+Octubre!E78+Noviembre!E78+Diciembre!E78</f>
        <v>35812287.039999999</v>
      </c>
      <c r="F78" s="14">
        <f>+Enero!F78+Febrero!F78+Marzo!F78+Abril!F78+Mayo!F78+Junio!F78+Julio!F78+Agosto!F78+Septiembre!F78+Octubre!F78+Noviembre!F78+Diciembre!F78</f>
        <v>30256474.391074352</v>
      </c>
      <c r="G78" s="14">
        <f>+Enero!G78+Febrero!G78+Marzo!G78+Abril!G78+Mayo!G78+Junio!G78+Julio!G78+Agosto!G78+Septiembre!G78+Octubre!G78+Noviembre!G78+Diciembre!G78</f>
        <v>4719590.99</v>
      </c>
      <c r="H78" s="14">
        <f>+Enero!H78+Febrero!H78+Marzo!H78+Abril!H78+Mayo!H78+Junio!H78+Julio!H78+Agosto!H78+Septiembre!H78+Octubre!H78+Noviembre!H78+Diciembre!H78</f>
        <v>0</v>
      </c>
      <c r="I78" s="13">
        <f t="shared" si="2"/>
        <v>70788352.421074346</v>
      </c>
    </row>
    <row r="79" spans="1:9" ht="15.75" x14ac:dyDescent="0.25">
      <c r="A79" s="8"/>
      <c r="B79" s="8"/>
      <c r="C79" s="9"/>
      <c r="D79" s="12" t="s">
        <v>75</v>
      </c>
      <c r="E79" s="14">
        <f>+Enero!E79+Febrero!E79+Marzo!E79+Abril!E79+Mayo!E79+Junio!E79+Julio!E79+Agosto!E79+Septiembre!E79+Octubre!E79+Noviembre!E79+Diciembre!E79</f>
        <v>38597763.329999998</v>
      </c>
      <c r="F79" s="14">
        <f>+Enero!F79+Febrero!F79+Marzo!F79+Abril!F79+Mayo!F79+Junio!F79+Julio!F79+Agosto!F79+Septiembre!F79+Octubre!F79+Noviembre!F79+Diciembre!F79</f>
        <v>16988717.169564817</v>
      </c>
      <c r="G79" s="14">
        <f>+Enero!G79+Febrero!G79+Marzo!G79+Abril!G79+Mayo!G79+Junio!G79+Julio!G79+Agosto!G79+Septiembre!G79+Octubre!G79+Noviembre!G79+Diciembre!G79</f>
        <v>5758913.9199999999</v>
      </c>
      <c r="H79" s="14">
        <f>+Enero!H79+Febrero!H79+Marzo!H79+Abril!H79+Mayo!H79+Junio!H79+Julio!H79+Agosto!H79+Septiembre!H79+Octubre!H79+Noviembre!H79+Diciembre!H79</f>
        <v>0</v>
      </c>
      <c r="I79" s="13">
        <f t="shared" si="2"/>
        <v>61345394.419564813</v>
      </c>
    </row>
    <row r="80" spans="1:9" ht="15.75" x14ac:dyDescent="0.25">
      <c r="A80" s="8"/>
      <c r="B80" s="8"/>
      <c r="C80" s="9"/>
      <c r="D80" s="12" t="s">
        <v>76</v>
      </c>
      <c r="E80" s="14">
        <f>+Enero!E80+Febrero!E80+Marzo!E80+Abril!E80+Mayo!E80+Junio!E80+Julio!E80+Agosto!E80+Septiembre!E80+Octubre!E80+Noviembre!E80+Diciembre!E80</f>
        <v>13255221.860000003</v>
      </c>
      <c r="F80" s="14">
        <f>+Enero!F80+Febrero!F80+Marzo!F80+Abril!F80+Mayo!F80+Junio!F80+Julio!F80+Agosto!F80+Septiembre!F80+Octubre!F80+Noviembre!F80+Diciembre!F80</f>
        <v>8979107.495446492</v>
      </c>
      <c r="G80" s="14">
        <f>+Enero!G80+Febrero!G80+Marzo!G80+Abril!G80+Mayo!G80+Junio!G80+Julio!G80+Agosto!G80+Septiembre!G80+Octubre!G80+Noviembre!G80+Diciembre!G80</f>
        <v>748347.80999999994</v>
      </c>
      <c r="H80" s="14">
        <f>+Enero!H80+Febrero!H80+Marzo!H80+Abril!H80+Mayo!H80+Junio!H80+Julio!H80+Agosto!H80+Septiembre!H80+Octubre!H80+Noviembre!H80+Diciembre!H80</f>
        <v>0</v>
      </c>
      <c r="I80" s="13">
        <f t="shared" si="2"/>
        <v>22982677.165446494</v>
      </c>
    </row>
    <row r="81" spans="1:9" ht="15.75" x14ac:dyDescent="0.25">
      <c r="A81" s="8"/>
      <c r="B81" s="8"/>
      <c r="C81" s="9"/>
      <c r="D81" s="12" t="s">
        <v>77</v>
      </c>
      <c r="E81" s="14">
        <f>+Enero!E81+Febrero!E81+Marzo!E81+Abril!E81+Mayo!E81+Junio!E81+Julio!E81+Agosto!E81+Septiembre!E81+Octubre!E81+Noviembre!E81+Diciembre!E81</f>
        <v>96772430.220000029</v>
      </c>
      <c r="F81" s="14">
        <f>+Enero!F81+Febrero!F81+Marzo!F81+Abril!F81+Mayo!F81+Junio!F81+Julio!F81+Agosto!F81+Septiembre!F81+Octubre!F81+Noviembre!F81+Diciembre!F81</f>
        <v>54177581.433281757</v>
      </c>
      <c r="G81" s="14">
        <f>+Enero!G81+Febrero!G81+Marzo!G81+Abril!G81+Mayo!G81+Junio!G81+Julio!G81+Agosto!G81+Septiembre!G81+Octubre!G81+Noviembre!G81+Diciembre!G81</f>
        <v>11430442.829999998</v>
      </c>
      <c r="H81" s="14">
        <f>+Enero!H81+Febrero!H81+Marzo!H81+Abril!H81+Mayo!H81+Junio!H81+Julio!H81+Agosto!H81+Septiembre!H81+Octubre!H81+Noviembre!H81+Diciembre!H81</f>
        <v>0</v>
      </c>
      <c r="I81" s="13">
        <f t="shared" si="2"/>
        <v>162380454.48328179</v>
      </c>
    </row>
    <row r="82" spans="1:9" ht="15.75" x14ac:dyDescent="0.25">
      <c r="A82" s="8"/>
      <c r="B82" s="8"/>
      <c r="C82" s="9"/>
      <c r="D82" s="12" t="s">
        <v>78</v>
      </c>
      <c r="E82" s="14">
        <f>+Enero!E82+Febrero!E82+Marzo!E82+Abril!E82+Mayo!E82+Junio!E82+Julio!E82+Agosto!E82+Septiembre!E82+Octubre!E82+Noviembre!E82+Diciembre!E82</f>
        <v>119007363.26000002</v>
      </c>
      <c r="F82" s="14">
        <f>+Enero!F82+Febrero!F82+Marzo!F82+Abril!F82+Mayo!F82+Junio!F82+Julio!F82+Agosto!F82+Septiembre!F82+Octubre!F82+Noviembre!F82+Diciembre!F82</f>
        <v>37551224.821349494</v>
      </c>
      <c r="G82" s="14">
        <f>+Enero!G82+Febrero!G82+Marzo!G82+Abril!G82+Mayo!G82+Junio!G82+Julio!G82+Agosto!G82+Septiembre!G82+Octubre!G82+Noviembre!G82+Diciembre!G82</f>
        <v>3989634.7299999995</v>
      </c>
      <c r="H82" s="14">
        <f>+Enero!H82+Febrero!H82+Marzo!H82+Abril!H82+Mayo!H82+Junio!H82+Julio!H82+Agosto!H82+Septiembre!H82+Octubre!H82+Noviembre!H82+Diciembre!H82</f>
        <v>0</v>
      </c>
      <c r="I82" s="13">
        <f t="shared" si="2"/>
        <v>160548222.81134951</v>
      </c>
    </row>
    <row r="83" spans="1:9" ht="15.75" x14ac:dyDescent="0.25">
      <c r="A83" s="8"/>
      <c r="B83" s="8"/>
      <c r="C83" s="9"/>
      <c r="D83" s="12" t="s">
        <v>79</v>
      </c>
      <c r="E83" s="14">
        <f>+Enero!E83+Febrero!E83+Marzo!E83+Abril!E83+Mayo!E83+Junio!E83+Julio!E83+Agosto!E83+Septiembre!E83+Octubre!E83+Noviembre!E83+Diciembre!E83</f>
        <v>28748031.580000002</v>
      </c>
      <c r="F83" s="14">
        <f>+Enero!F83+Febrero!F83+Marzo!F83+Abril!F83+Mayo!F83+Junio!F83+Julio!F83+Agosto!F83+Septiembre!F83+Octubre!F83+Noviembre!F83+Diciembre!F83</f>
        <v>15421943.955963012</v>
      </c>
      <c r="G83" s="14">
        <f>+Enero!G83+Febrero!G83+Marzo!G83+Abril!G83+Mayo!G83+Junio!G83+Julio!G83+Agosto!G83+Septiembre!G83+Octubre!G83+Noviembre!G83+Diciembre!G83</f>
        <v>6436342.7499999991</v>
      </c>
      <c r="H83" s="14">
        <f>+Enero!H83+Febrero!H83+Marzo!H83+Abril!H83+Mayo!H83+Junio!H83+Julio!H83+Agosto!H83+Septiembre!H83+Octubre!H83+Noviembre!H83+Diciembre!H83</f>
        <v>0</v>
      </c>
      <c r="I83" s="13">
        <f t="shared" si="2"/>
        <v>50606318.285963014</v>
      </c>
    </row>
    <row r="84" spans="1:9" ht="15.75" x14ac:dyDescent="0.25">
      <c r="A84" s="8"/>
      <c r="B84" s="8"/>
      <c r="C84" s="9"/>
      <c r="D84" s="12" t="s">
        <v>80</v>
      </c>
      <c r="E84" s="14">
        <f>+Enero!E84+Febrero!E84+Marzo!E84+Abril!E84+Mayo!E84+Junio!E84+Julio!E84+Agosto!E84+Septiembre!E84+Octubre!E84+Noviembre!E84+Diciembre!E84</f>
        <v>0</v>
      </c>
      <c r="F84" s="14">
        <f>+Enero!F84+Febrero!F84+Marzo!F84+Abril!F84+Mayo!F84+Junio!F84+Julio!F84+Agosto!F84+Septiembre!F84+Octubre!F84+Noviembre!F84+Diciembre!F84</f>
        <v>0</v>
      </c>
      <c r="G84" s="14">
        <f>+Enero!G84+Febrero!G84+Marzo!G84+Abril!G84+Mayo!G84+Junio!G84+Julio!G84+Agosto!G84+Septiembre!G84+Octubre!G84+Noviembre!G84+Diciembre!G84</f>
        <v>55378144.75</v>
      </c>
      <c r="H84" s="14">
        <f>+Enero!H84+Febrero!H84+Marzo!H84+Abril!H84+Mayo!H84+Junio!H84+Julio!H84+Agosto!H84+Septiembre!H84+Octubre!H84+Noviembre!H84+Diciembre!H84</f>
        <v>0</v>
      </c>
      <c r="I84" s="13">
        <f t="shared" si="2"/>
        <v>55378144.75</v>
      </c>
    </row>
    <row r="85" spans="1:9" ht="15.75" x14ac:dyDescent="0.25">
      <c r="A85" s="8"/>
      <c r="B85" s="8"/>
      <c r="C85" s="9"/>
      <c r="D85" s="12" t="s">
        <v>81</v>
      </c>
      <c r="E85" s="14">
        <f>+Enero!E85+Febrero!E85+Marzo!E85+Abril!E85+Mayo!E85+Junio!E85+Julio!E85+Agosto!E85+Septiembre!E85+Octubre!E85+Noviembre!E85+Diciembre!E85</f>
        <v>32758529.089999996</v>
      </c>
      <c r="F85" s="14">
        <f>+Enero!F85+Febrero!F85+Marzo!F85+Abril!F85+Mayo!F85+Junio!F85+Julio!F85+Agosto!F85+Septiembre!F85+Octubre!F85+Noviembre!F85+Diciembre!F85</f>
        <v>4797926.8810330257</v>
      </c>
      <c r="G85" s="14">
        <f>+Enero!G85+Febrero!G85+Marzo!G85+Abril!G85+Mayo!G85+Junio!G85+Julio!G85+Agosto!G85+Septiembre!G85+Octubre!G85+Noviembre!G85+Diciembre!G85</f>
        <v>21591108.869999997</v>
      </c>
      <c r="H85" s="14">
        <f>+Enero!H85+Febrero!H85+Marzo!H85+Abril!H85+Mayo!H85+Junio!H85+Julio!H85+Agosto!H85+Septiembre!H85+Octubre!H85+Noviembre!H85+Diciembre!H85</f>
        <v>0</v>
      </c>
      <c r="I85" s="13">
        <f t="shared" si="2"/>
        <v>59147564.841033019</v>
      </c>
    </row>
    <row r="86" spans="1:9" ht="15.75" x14ac:dyDescent="0.25">
      <c r="A86" s="8"/>
      <c r="B86" s="8"/>
      <c r="C86" s="9"/>
      <c r="D86" s="12" t="s">
        <v>82</v>
      </c>
      <c r="E86" s="14">
        <f>+Enero!E86+Febrero!E86+Marzo!E86+Abril!E86+Mayo!E86+Junio!E86+Julio!E86+Agosto!E86+Septiembre!E86+Octubre!E86+Noviembre!E86+Diciembre!E86</f>
        <v>20574068.669999998</v>
      </c>
      <c r="F86" s="14">
        <f>+Enero!F86+Febrero!F86+Marzo!F86+Abril!F86+Mayo!F86+Junio!F86+Julio!F86+Agosto!F86+Septiembre!F86+Octubre!F86+Noviembre!F86+Diciembre!F86</f>
        <v>19926290.510819197</v>
      </c>
      <c r="G86" s="14">
        <f>+Enero!G86+Febrero!G86+Marzo!G86+Abril!G86+Mayo!G86+Junio!G86+Julio!G86+Agosto!G86+Septiembre!G86+Octubre!G86+Noviembre!G86+Diciembre!G86</f>
        <v>2098392.48</v>
      </c>
      <c r="H86" s="14">
        <f>+Enero!H86+Febrero!H86+Marzo!H86+Abril!H86+Mayo!H86+Junio!H86+Julio!H86+Agosto!H86+Septiembre!H86+Octubre!H86+Noviembre!H86+Diciembre!H86</f>
        <v>0</v>
      </c>
      <c r="I86" s="13">
        <f t="shared" si="2"/>
        <v>42598751.660819195</v>
      </c>
    </row>
    <row r="87" spans="1:9" ht="15.75" x14ac:dyDescent="0.25">
      <c r="A87" s="8"/>
      <c r="B87" s="8"/>
      <c r="C87" s="9"/>
      <c r="D87" s="12" t="s">
        <v>83</v>
      </c>
      <c r="E87" s="14">
        <f>+Enero!E87+Febrero!E87+Marzo!E87+Abril!E87+Mayo!E87+Junio!E87+Julio!E87+Agosto!E87+Septiembre!E87+Octubre!E87+Noviembre!E87+Diciembre!E87</f>
        <v>12921683.690000001</v>
      </c>
      <c r="F87" s="14">
        <f>+Enero!F87+Febrero!F87+Marzo!F87+Abril!F87+Mayo!F87+Junio!F87+Julio!F87+Agosto!F87+Septiembre!F87+Octubre!F87+Noviembre!F87+Diciembre!F87</f>
        <v>26241934.116842225</v>
      </c>
      <c r="G87" s="14">
        <f>+Enero!G87+Febrero!G87+Marzo!G87+Abril!G87+Mayo!G87+Junio!G87+Julio!G87+Agosto!G87+Septiembre!G87+Octubre!G87+Noviembre!G87+Diciembre!G87</f>
        <v>1824865.3599999999</v>
      </c>
      <c r="H87" s="14">
        <f>+Enero!H87+Febrero!H87+Marzo!H87+Abril!H87+Mayo!H87+Junio!H87+Julio!H87+Agosto!H87+Septiembre!H87+Octubre!H87+Noviembre!H87+Diciembre!H87</f>
        <v>0</v>
      </c>
      <c r="I87" s="13">
        <f t="shared" si="2"/>
        <v>40988483.166842222</v>
      </c>
    </row>
    <row r="88" spans="1:9" ht="15.75" x14ac:dyDescent="0.25">
      <c r="A88" s="8"/>
      <c r="B88" s="8"/>
      <c r="C88" s="9"/>
      <c r="D88" s="12" t="s">
        <v>84</v>
      </c>
      <c r="E88" s="14">
        <f>+Enero!E88+Febrero!E88+Marzo!E88+Abril!E88+Mayo!E88+Junio!E88+Julio!E88+Agosto!E88+Septiembre!E88+Octubre!E88+Noviembre!E88+Diciembre!E88</f>
        <v>9670272.790000001</v>
      </c>
      <c r="F88" s="14">
        <f>+Enero!F88+Febrero!F88+Marzo!F88+Abril!F88+Mayo!F88+Junio!F88+Julio!F88+Agosto!F88+Septiembre!F88+Octubre!F88+Noviembre!F88+Diciembre!F88</f>
        <v>0</v>
      </c>
      <c r="G88" s="14">
        <f>+Enero!G88+Febrero!G88+Marzo!G88+Abril!G88+Mayo!G88+Junio!G88+Julio!G88+Agosto!G88+Septiembre!G88+Octubre!G88+Noviembre!G88+Diciembre!G88</f>
        <v>19965644.760000002</v>
      </c>
      <c r="H88" s="14">
        <f>+Enero!H88+Febrero!H88+Marzo!H88+Abril!H88+Mayo!H88+Junio!H88+Julio!H88+Agosto!H88+Septiembre!H88+Octubre!H88+Noviembre!H88+Diciembre!H88</f>
        <v>0</v>
      </c>
      <c r="I88" s="13">
        <f t="shared" si="2"/>
        <v>29635917.550000004</v>
      </c>
    </row>
    <row r="89" spans="1:9" ht="15.75" x14ac:dyDescent="0.25">
      <c r="A89" s="8"/>
      <c r="B89" s="8"/>
      <c r="C89" s="9"/>
      <c r="D89" s="12" t="s">
        <v>85</v>
      </c>
      <c r="E89" s="14">
        <f>+Enero!E89+Febrero!E89+Marzo!E89+Abril!E89+Mayo!E89+Junio!E89+Julio!E89+Agosto!E89+Septiembre!E89+Octubre!E89+Noviembre!E89+Diciembre!E89</f>
        <v>20505899.07</v>
      </c>
      <c r="F89" s="14">
        <f>+Enero!F89+Febrero!F89+Marzo!F89+Abril!F89+Mayo!F89+Junio!F89+Julio!F89+Agosto!F89+Septiembre!F89+Octubre!F89+Noviembre!F89+Diciembre!F89</f>
        <v>25732656.961872242</v>
      </c>
      <c r="G89" s="14">
        <f>+Enero!G89+Febrero!G89+Marzo!G89+Abril!G89+Mayo!G89+Junio!G89+Julio!G89+Agosto!G89+Septiembre!G89+Octubre!G89+Noviembre!G89+Diciembre!G89</f>
        <v>4362060.13</v>
      </c>
      <c r="H89" s="14">
        <f>+Enero!H89+Febrero!H89+Marzo!H89+Abril!H89+Mayo!H89+Junio!H89+Julio!H89+Agosto!H89+Septiembre!H89+Octubre!H89+Noviembre!H89+Diciembre!H89</f>
        <v>0</v>
      </c>
      <c r="I89" s="13">
        <f t="shared" si="2"/>
        <v>50600616.161872245</v>
      </c>
    </row>
    <row r="90" spans="1:9" ht="15.75" x14ac:dyDescent="0.25">
      <c r="A90" s="8"/>
      <c r="B90" s="8"/>
      <c r="C90" s="9"/>
      <c r="D90" s="12" t="s">
        <v>86</v>
      </c>
      <c r="E90" s="14">
        <f>+Enero!E90+Febrero!E90+Marzo!E90+Abril!E90+Mayo!E90+Junio!E90+Julio!E90+Agosto!E90+Septiembre!E90+Octubre!E90+Noviembre!E90+Diciembre!E90</f>
        <v>7859471.4199999999</v>
      </c>
      <c r="F90" s="14">
        <f>+Enero!F90+Febrero!F90+Marzo!F90+Abril!F90+Mayo!F90+Junio!F90+Julio!F90+Agosto!F90+Septiembre!F90+Octubre!F90+Noviembre!F90+Diciembre!F90</f>
        <v>6658280.420811668</v>
      </c>
      <c r="G90" s="14">
        <f>+Enero!G90+Febrero!G90+Marzo!G90+Abril!G90+Mayo!G90+Junio!G90+Julio!G90+Agosto!G90+Septiembre!G90+Octubre!G90+Noviembre!G90+Diciembre!G90</f>
        <v>3738707.4199999995</v>
      </c>
      <c r="H90" s="14">
        <f>+Enero!H90+Febrero!H90+Marzo!H90+Abril!H90+Mayo!H90+Junio!H90+Julio!H90+Agosto!H90+Septiembre!H90+Octubre!H90+Noviembre!H90+Diciembre!H90</f>
        <v>0</v>
      </c>
      <c r="I90" s="13">
        <f t="shared" si="2"/>
        <v>18256459.260811668</v>
      </c>
    </row>
    <row r="91" spans="1:9" ht="15.75" x14ac:dyDescent="0.25">
      <c r="A91" s="8"/>
      <c r="B91" s="8"/>
      <c r="C91" s="9"/>
      <c r="D91" s="12" t="s">
        <v>87</v>
      </c>
      <c r="E91" s="14">
        <f>+Enero!E91+Febrero!E91+Marzo!E91+Abril!E91+Mayo!E91+Junio!E91+Julio!E91+Agosto!E91+Septiembre!E91+Octubre!E91+Noviembre!E91+Diciembre!E91</f>
        <v>21835961.470000003</v>
      </c>
      <c r="F91" s="14">
        <f>+Enero!F91+Febrero!F91+Marzo!F91+Abril!F91+Mayo!F91+Junio!F91+Julio!F91+Agosto!F91+Septiembre!F91+Octubre!F91+Noviembre!F91+Diciembre!F91</f>
        <v>15187029.121321941</v>
      </c>
      <c r="G91" s="14">
        <f>+Enero!G91+Febrero!G91+Marzo!G91+Abril!G91+Mayo!G91+Junio!G91+Julio!G91+Agosto!G91+Septiembre!G91+Octubre!G91+Noviembre!G91+Diciembre!G91</f>
        <v>10084610.76</v>
      </c>
      <c r="H91" s="14">
        <f>+Enero!H91+Febrero!H91+Marzo!H91+Abril!H91+Mayo!H91+Junio!H91+Julio!H91+Agosto!H91+Septiembre!H91+Octubre!H91+Noviembre!H91+Diciembre!H91</f>
        <v>0</v>
      </c>
      <c r="I91" s="13">
        <f t="shared" si="2"/>
        <v>47107601.351321943</v>
      </c>
    </row>
    <row r="92" spans="1:9" ht="15.75" x14ac:dyDescent="0.25">
      <c r="A92" s="8"/>
      <c r="B92" s="8"/>
      <c r="C92" s="9"/>
      <c r="D92" s="12" t="s">
        <v>88</v>
      </c>
      <c r="E92" s="14">
        <f>+Enero!E92+Febrero!E92+Marzo!E92+Abril!E92+Mayo!E92+Junio!E92+Julio!E92+Agosto!E92+Septiembre!E92+Octubre!E92+Noviembre!E92+Diciembre!E92</f>
        <v>2520383.6899999995</v>
      </c>
      <c r="F92" s="14">
        <f>+Enero!F92+Febrero!F92+Marzo!F92+Abril!F92+Mayo!F92+Junio!F92+Julio!F92+Agosto!F92+Septiembre!F92+Octubre!F92+Noviembre!F92+Diciembre!F92</f>
        <v>2095521.2429177132</v>
      </c>
      <c r="G92" s="14">
        <f>+Enero!G92+Febrero!G92+Marzo!G92+Abril!G92+Mayo!G92+Junio!G92+Julio!G92+Agosto!G92+Septiembre!G92+Octubre!G92+Noviembre!G92+Diciembre!G92</f>
        <v>22159221.119999997</v>
      </c>
      <c r="H92" s="14">
        <f>+Enero!H92+Febrero!H92+Marzo!H92+Abril!H92+Mayo!H92+Junio!H92+Julio!H92+Agosto!H92+Septiembre!H92+Octubre!H92+Noviembre!H92+Diciembre!H92</f>
        <v>0</v>
      </c>
      <c r="I92" s="13">
        <f t="shared" si="2"/>
        <v>26775126.052917711</v>
      </c>
    </row>
    <row r="93" spans="1:9" ht="15.75" x14ac:dyDescent="0.25">
      <c r="A93" s="8"/>
      <c r="B93" s="8"/>
      <c r="C93" s="9"/>
      <c r="D93" s="12" t="s">
        <v>89</v>
      </c>
      <c r="E93" s="14">
        <f>+Enero!E93+Febrero!E93+Marzo!E93+Abril!E93+Mayo!E93+Junio!E93+Julio!E93+Agosto!E93+Septiembre!E93+Octubre!E93+Noviembre!E93+Diciembre!E93</f>
        <v>34576920.18</v>
      </c>
      <c r="F93" s="14">
        <f>+Enero!F93+Febrero!F93+Marzo!F93+Abril!F93+Mayo!F93+Junio!F93+Julio!F93+Agosto!F93+Septiembre!F93+Octubre!F93+Noviembre!F93+Diciembre!F93</f>
        <v>16978855.298142858</v>
      </c>
      <c r="G93" s="14">
        <f>+Enero!G93+Febrero!G93+Marzo!G93+Abril!G93+Mayo!G93+Junio!G93+Julio!G93+Agosto!G93+Septiembre!G93+Octubre!G93+Noviembre!G93+Diciembre!G93</f>
        <v>2992547.0400000005</v>
      </c>
      <c r="H93" s="14">
        <f>+Enero!H93+Febrero!H93+Marzo!H93+Abril!H93+Mayo!H93+Junio!H93+Julio!H93+Agosto!H93+Septiembre!H93+Octubre!H93+Noviembre!H93+Diciembre!H93</f>
        <v>0</v>
      </c>
      <c r="I93" s="13">
        <f t="shared" si="2"/>
        <v>54548322.518142857</v>
      </c>
    </row>
    <row r="94" spans="1:9" ht="15.75" x14ac:dyDescent="0.25">
      <c r="A94" s="8"/>
      <c r="B94" s="8"/>
      <c r="C94" s="9"/>
      <c r="D94" s="12" t="s">
        <v>90</v>
      </c>
      <c r="E94" s="14">
        <f>+Enero!E94+Febrero!E94+Marzo!E94+Abril!E94+Mayo!E94+Junio!E94+Julio!E94+Agosto!E94+Septiembre!E94+Octubre!E94+Noviembre!E94+Diciembre!E94</f>
        <v>262491.31</v>
      </c>
      <c r="F94" s="14">
        <f>+Enero!F94+Febrero!F94+Marzo!F94+Abril!F94+Mayo!F94+Junio!F94+Julio!F94+Agosto!F94+Septiembre!F94+Octubre!F94+Noviembre!F94+Diciembre!F94</f>
        <v>0</v>
      </c>
      <c r="G94" s="14">
        <f>+Enero!G94+Febrero!G94+Marzo!G94+Abril!G94+Mayo!G94+Junio!G94+Julio!G94+Agosto!G94+Septiembre!G94+Octubre!G94+Noviembre!G94+Diciembre!G94</f>
        <v>1296564.97</v>
      </c>
      <c r="H94" s="14">
        <f>+Enero!H94+Febrero!H94+Marzo!H94+Abril!H94+Mayo!H94+Junio!H94+Julio!H94+Agosto!H94+Septiembre!H94+Octubre!H94+Noviembre!H94+Diciembre!H94</f>
        <v>0</v>
      </c>
      <c r="I94" s="13">
        <f t="shared" si="2"/>
        <v>1559056.28</v>
      </c>
    </row>
    <row r="95" spans="1:9" ht="15.75" x14ac:dyDescent="0.25">
      <c r="A95" s="8"/>
      <c r="B95" s="8"/>
      <c r="C95" s="9"/>
      <c r="D95" s="12" t="s">
        <v>91</v>
      </c>
      <c r="E95" s="14">
        <f>+Enero!E95+Febrero!E95+Marzo!E95+Abril!E95+Mayo!E95+Junio!E95+Julio!E95+Agosto!E95+Septiembre!E95+Octubre!E95+Noviembre!E95+Diciembre!E95</f>
        <v>3925595.129999999</v>
      </c>
      <c r="F95" s="14">
        <f>+Enero!F95+Febrero!F95+Marzo!F95+Abril!F95+Mayo!F95+Junio!F95+Julio!F95+Agosto!F95+Septiembre!F95+Octubre!F95+Noviembre!F95+Diciembre!F95</f>
        <v>538609.90073787002</v>
      </c>
      <c r="G95" s="14">
        <f>+Enero!G95+Febrero!G95+Marzo!G95+Abril!G95+Mayo!G95+Junio!G95+Julio!G95+Agosto!G95+Septiembre!G95+Octubre!G95+Noviembre!G95+Diciembre!G95</f>
        <v>21759096.140000004</v>
      </c>
      <c r="H95" s="14">
        <f>+Enero!H95+Febrero!H95+Marzo!H95+Abril!H95+Mayo!H95+Junio!H95+Julio!H95+Agosto!H95+Septiembre!H95+Octubre!H95+Noviembre!H95+Diciembre!H95</f>
        <v>0</v>
      </c>
      <c r="I95" s="13">
        <f t="shared" si="2"/>
        <v>26223301.170737874</v>
      </c>
    </row>
    <row r="96" spans="1:9" ht="15.75" x14ac:dyDescent="0.25">
      <c r="A96" s="8"/>
      <c r="B96" s="8"/>
      <c r="C96" s="9"/>
      <c r="D96" s="12" t="s">
        <v>92</v>
      </c>
      <c r="E96" s="14">
        <f>+Enero!E96+Febrero!E96+Marzo!E96+Abril!E96+Mayo!E96+Junio!E96+Julio!E96+Agosto!E96+Septiembre!E96+Octubre!E96+Noviembre!E96+Diciembre!E96</f>
        <v>0</v>
      </c>
      <c r="F96" s="14">
        <f>+Enero!F96+Febrero!F96+Marzo!F96+Abril!F96+Mayo!F96+Junio!F96+Julio!F96+Agosto!F96+Septiembre!F96+Octubre!F96+Noviembre!F96+Diciembre!F96</f>
        <v>0</v>
      </c>
      <c r="G96" s="14">
        <f>+Enero!G96+Febrero!G96+Marzo!G96+Abril!G96+Mayo!G96+Junio!G96+Julio!G96+Agosto!G96+Septiembre!G96+Octubre!G96+Noviembre!G96+Diciembre!G96</f>
        <v>45771095.070000008</v>
      </c>
      <c r="H96" s="14">
        <f>+Enero!H96+Febrero!H96+Marzo!H96+Abril!H96+Mayo!H96+Junio!H96+Julio!H96+Agosto!H96+Septiembre!H96+Octubre!H96+Noviembre!H96+Diciembre!H96</f>
        <v>0</v>
      </c>
      <c r="I96" s="13">
        <f t="shared" si="2"/>
        <v>45771095.070000008</v>
      </c>
    </row>
    <row r="97" spans="1:9" ht="15.75" x14ac:dyDescent="0.25">
      <c r="A97" s="8"/>
      <c r="B97" s="8"/>
      <c r="C97" s="9"/>
      <c r="D97" s="12" t="s">
        <v>93</v>
      </c>
      <c r="E97" s="14">
        <f>+Enero!E97+Febrero!E97+Marzo!E97+Abril!E97+Mayo!E97+Junio!E97+Julio!E97+Agosto!E97+Septiembre!E97+Octubre!E97+Noviembre!E97+Diciembre!E97</f>
        <v>14043893.34</v>
      </c>
      <c r="F97" s="14">
        <f>+Enero!F97+Febrero!F97+Marzo!F97+Abril!F97+Mayo!F97+Junio!F97+Julio!F97+Agosto!F97+Septiembre!F97+Octubre!F97+Noviembre!F97+Diciembre!F97</f>
        <v>24185607.491114356</v>
      </c>
      <c r="G97" s="14">
        <f>+Enero!G97+Febrero!G97+Marzo!G97+Abril!G97+Mayo!G97+Junio!G97+Julio!G97+Agosto!G97+Septiembre!G97+Octubre!G97+Noviembre!G97+Diciembre!G97</f>
        <v>3290737.2500000005</v>
      </c>
      <c r="H97" s="14">
        <f>+Enero!H97+Febrero!H97+Marzo!H97+Abril!H97+Mayo!H97+Junio!H97+Julio!H97+Agosto!H97+Septiembre!H97+Octubre!H97+Noviembre!H97+Diciembre!H97</f>
        <v>0</v>
      </c>
      <c r="I97" s="13">
        <f t="shared" si="2"/>
        <v>41520238.081114352</v>
      </c>
    </row>
    <row r="98" spans="1:9" ht="15.75" x14ac:dyDescent="0.25">
      <c r="A98" s="8"/>
      <c r="B98" s="8"/>
      <c r="C98" s="9"/>
      <c r="D98" s="12" t="s">
        <v>94</v>
      </c>
      <c r="E98" s="14">
        <f>+Enero!E98+Febrero!E98+Marzo!E98+Abril!E98+Mayo!E98+Junio!E98+Julio!E98+Agosto!E98+Septiembre!E98+Octubre!E98+Noviembre!E98+Diciembre!E98</f>
        <v>53179498.269999996</v>
      </c>
      <c r="F98" s="14">
        <f>+Enero!F98+Febrero!F98+Marzo!F98+Abril!F98+Mayo!F98+Junio!F98+Julio!F98+Agosto!F98+Septiembre!F98+Octubre!F98+Noviembre!F98+Diciembre!F98</f>
        <v>31813385.733254191</v>
      </c>
      <c r="G98" s="14">
        <f>+Enero!G98+Febrero!G98+Marzo!G98+Abril!G98+Mayo!G98+Junio!G98+Julio!G98+Agosto!G98+Septiembre!G98+Octubre!G98+Noviembre!G98+Diciembre!G98</f>
        <v>24177074.199999996</v>
      </c>
      <c r="H98" s="14">
        <f>+Enero!H98+Febrero!H98+Marzo!H98+Abril!H98+Mayo!H98+Junio!H98+Julio!H98+Agosto!H98+Septiembre!H98+Octubre!H98+Noviembre!H98+Diciembre!H98</f>
        <v>0</v>
      </c>
      <c r="I98" s="13">
        <f t="shared" si="2"/>
        <v>109169958.20325419</v>
      </c>
    </row>
    <row r="99" spans="1:9" ht="15.75" x14ac:dyDescent="0.25">
      <c r="A99" s="8"/>
      <c r="B99" s="8"/>
      <c r="C99" s="9"/>
      <c r="D99" s="12" t="s">
        <v>95</v>
      </c>
      <c r="E99" s="14">
        <f>+Enero!E99+Febrero!E99+Marzo!E99+Abril!E99+Mayo!E99+Junio!E99+Julio!E99+Agosto!E99+Septiembre!E99+Octubre!E99+Noviembre!E99+Diciembre!E99</f>
        <v>72790876.88000001</v>
      </c>
      <c r="F99" s="14">
        <f>+Enero!F99+Febrero!F99+Marzo!F99+Abril!F99+Mayo!F99+Junio!F99+Julio!F99+Agosto!F99+Septiembre!F99+Octubre!F99+Noviembre!F99+Diciembre!F99</f>
        <v>60620670.762296274</v>
      </c>
      <c r="G99" s="14">
        <f>+Enero!G99+Febrero!G99+Marzo!G99+Abril!G99+Mayo!G99+Junio!G99+Julio!G99+Agosto!G99+Septiembre!G99+Octubre!G99+Noviembre!G99+Diciembre!G99</f>
        <v>11376232.98</v>
      </c>
      <c r="H99" s="14">
        <f>+Enero!H99+Febrero!H99+Marzo!H99+Abril!H99+Mayo!H99+Junio!H99+Julio!H99+Agosto!H99+Septiembre!H99+Octubre!H99+Noviembre!H99+Diciembre!H99</f>
        <v>0</v>
      </c>
      <c r="I99" s="13">
        <f t="shared" si="2"/>
        <v>144787780.62229627</v>
      </c>
    </row>
    <row r="100" spans="1:9" ht="15.75" x14ac:dyDescent="0.25">
      <c r="A100" s="8"/>
      <c r="B100" s="8"/>
      <c r="C100" s="9"/>
      <c r="D100" s="12" t="s">
        <v>96</v>
      </c>
      <c r="E100" s="14">
        <f>+Enero!E100+Febrero!E100+Marzo!E100+Abril!E100+Mayo!E100+Junio!E100+Julio!E100+Agosto!E100+Septiembre!E100+Octubre!E100+Noviembre!E100+Diciembre!E100</f>
        <v>69298535.180000007</v>
      </c>
      <c r="F100" s="14">
        <f>+Enero!F100+Febrero!F100+Marzo!F100+Abril!F100+Mayo!F100+Junio!F100+Julio!F100+Agosto!F100+Septiembre!F100+Octubre!F100+Noviembre!F100+Diciembre!F100</f>
        <v>60650003.508064166</v>
      </c>
      <c r="G100" s="14">
        <f>+Enero!G100+Febrero!G100+Marzo!G100+Abril!G100+Mayo!G100+Junio!G100+Julio!G100+Agosto!G100+Septiembre!G100+Octubre!G100+Noviembre!G100+Diciembre!G100</f>
        <v>19515743.859999999</v>
      </c>
      <c r="H100" s="14">
        <f>+Enero!H100+Febrero!H100+Marzo!H100+Abril!H100+Mayo!H100+Junio!H100+Julio!H100+Agosto!H100+Septiembre!H100+Octubre!H100+Noviembre!H100+Diciembre!H100</f>
        <v>0</v>
      </c>
      <c r="I100" s="13">
        <f t="shared" si="2"/>
        <v>149464282.54806417</v>
      </c>
    </row>
    <row r="101" spans="1:9" ht="15.75" x14ac:dyDescent="0.25">
      <c r="A101" s="8"/>
      <c r="B101" s="8"/>
      <c r="C101" s="9"/>
      <c r="D101" s="12" t="s">
        <v>97</v>
      </c>
      <c r="E101" s="14">
        <f>+Enero!E101+Febrero!E101+Marzo!E101+Abril!E101+Mayo!E101+Junio!E101+Julio!E101+Agosto!E101+Septiembre!E101+Octubre!E101+Noviembre!E101+Diciembre!E101</f>
        <v>2480807.48</v>
      </c>
      <c r="F101" s="14">
        <f>+Enero!F101+Febrero!F101+Marzo!F101+Abril!F101+Mayo!F101+Junio!F101+Julio!F101+Agosto!F101+Septiembre!F101+Octubre!F101+Noviembre!F101+Diciembre!F101</f>
        <v>81388254.765958145</v>
      </c>
      <c r="G101" s="14">
        <f>+Enero!G101+Febrero!G101+Marzo!G101+Abril!G101+Mayo!G101+Junio!G101+Julio!G101+Agosto!G101+Septiembre!G101+Octubre!G101+Noviembre!G101+Diciembre!G101</f>
        <v>284727.33999999997</v>
      </c>
      <c r="H101" s="14">
        <f>+Enero!H101+Febrero!H101+Marzo!H101+Abril!H101+Mayo!H101+Junio!H101+Julio!H101+Agosto!H101+Septiembre!H101+Octubre!H101+Noviembre!H101+Diciembre!H101</f>
        <v>0</v>
      </c>
      <c r="I101" s="13">
        <f t="shared" si="2"/>
        <v>84153789.585958153</v>
      </c>
    </row>
    <row r="102" spans="1:9" ht="15.75" x14ac:dyDescent="0.25">
      <c r="A102" s="8"/>
      <c r="B102" s="8"/>
      <c r="C102" s="9"/>
      <c r="D102" s="12" t="s">
        <v>98</v>
      </c>
      <c r="E102" s="14">
        <f>+Enero!E102+Febrero!E102+Marzo!E102+Abril!E102+Mayo!E102+Junio!E102+Julio!E102+Agosto!E102+Septiembre!E102+Octubre!E102+Noviembre!E102+Diciembre!E102</f>
        <v>79475764.960000008</v>
      </c>
      <c r="F102" s="14">
        <f>+Enero!F102+Febrero!F102+Marzo!F102+Abril!F102+Mayo!F102+Junio!F102+Julio!F102+Agosto!F102+Septiembre!F102+Octubre!F102+Noviembre!F102+Diciembre!F102</f>
        <v>34995735.78057161</v>
      </c>
      <c r="G102" s="14">
        <f>+Enero!G102+Febrero!G102+Marzo!G102+Abril!G102+Mayo!G102+Junio!G102+Julio!G102+Agosto!G102+Septiembre!G102+Octubre!G102+Noviembre!G102+Diciembre!G102</f>
        <v>10076947.170000002</v>
      </c>
      <c r="H102" s="14">
        <f>+Enero!H102+Febrero!H102+Marzo!H102+Abril!H102+Mayo!H102+Junio!H102+Julio!H102+Agosto!H102+Septiembre!H102+Octubre!H102+Noviembre!H102+Diciembre!H102</f>
        <v>0</v>
      </c>
      <c r="I102" s="13">
        <f t="shared" si="2"/>
        <v>124548447.91057162</v>
      </c>
    </row>
    <row r="103" spans="1:9" ht="15.75" x14ac:dyDescent="0.25">
      <c r="A103" s="8"/>
      <c r="B103" s="8"/>
      <c r="C103" s="9"/>
      <c r="D103" s="12" t="s">
        <v>99</v>
      </c>
      <c r="E103" s="14">
        <f>+Enero!E103+Febrero!E103+Marzo!E103+Abril!E103+Mayo!E103+Junio!E103+Julio!E103+Agosto!E103+Septiembre!E103+Octubre!E103+Noviembre!E103+Diciembre!E103</f>
        <v>25541264.149999999</v>
      </c>
      <c r="F103" s="14">
        <f>+Enero!F103+Febrero!F103+Marzo!F103+Abril!F103+Mayo!F103+Junio!F103+Julio!F103+Agosto!F103+Septiembre!F103+Octubre!F103+Noviembre!F103+Diciembre!F103</f>
        <v>11113570.487056049</v>
      </c>
      <c r="G103" s="14">
        <f>+Enero!G103+Febrero!G103+Marzo!G103+Abril!G103+Mayo!G103+Junio!G103+Julio!G103+Agosto!G103+Septiembre!G103+Octubre!G103+Noviembre!G103+Diciembre!G103</f>
        <v>2035378.63</v>
      </c>
      <c r="H103" s="14">
        <f>+Enero!H103+Febrero!H103+Marzo!H103+Abril!H103+Mayo!H103+Junio!H103+Julio!H103+Agosto!H103+Septiembre!H103+Octubre!H103+Noviembre!H103+Diciembre!H103</f>
        <v>0</v>
      </c>
      <c r="I103" s="13">
        <f t="shared" si="2"/>
        <v>38690213.267056048</v>
      </c>
    </row>
    <row r="104" spans="1:9" ht="15.75" x14ac:dyDescent="0.25">
      <c r="A104" s="8"/>
      <c r="B104" s="8"/>
      <c r="C104" s="9"/>
      <c r="D104" s="12" t="s">
        <v>100</v>
      </c>
      <c r="E104" s="14">
        <f>+Enero!E104+Febrero!E104+Marzo!E104+Abril!E104+Mayo!E104+Junio!E104+Julio!E104+Agosto!E104+Septiembre!E104+Octubre!E104+Noviembre!E104+Diciembre!E104</f>
        <v>133661620.15000001</v>
      </c>
      <c r="F104" s="14">
        <f>+Enero!F104+Febrero!F104+Marzo!F104+Abril!F104+Mayo!F104+Junio!F104+Julio!F104+Agosto!F104+Septiembre!F104+Octubre!F104+Noviembre!F104+Diciembre!F104</f>
        <v>20308121.942797691</v>
      </c>
      <c r="G104" s="14">
        <f>+Enero!G104+Febrero!G104+Marzo!G104+Abril!G104+Mayo!G104+Junio!G104+Julio!G104+Agosto!G104+Septiembre!G104+Octubre!G104+Noviembre!G104+Diciembre!G104</f>
        <v>24567531.399999995</v>
      </c>
      <c r="H104" s="14">
        <f>+Enero!H104+Febrero!H104+Marzo!H104+Abril!H104+Mayo!H104+Junio!H104+Julio!H104+Agosto!H104+Septiembre!H104+Octubre!H104+Noviembre!H104+Diciembre!H104</f>
        <v>0</v>
      </c>
      <c r="I104" s="13">
        <f t="shared" si="2"/>
        <v>178537273.4927977</v>
      </c>
    </row>
    <row r="105" spans="1:9" ht="15.75" x14ac:dyDescent="0.25">
      <c r="A105" s="8"/>
      <c r="B105" s="8"/>
      <c r="C105" s="9"/>
      <c r="D105" s="12" t="s">
        <v>101</v>
      </c>
      <c r="E105" s="14">
        <f>+Enero!E105+Febrero!E105+Marzo!E105+Abril!E105+Mayo!E105+Junio!E105+Julio!E105+Agosto!E105+Septiembre!E105+Octubre!E105+Noviembre!E105+Diciembre!E105</f>
        <v>16187560.799999999</v>
      </c>
      <c r="F105" s="14">
        <f>+Enero!F105+Febrero!F105+Marzo!F105+Abril!F105+Mayo!F105+Junio!F105+Julio!F105+Agosto!F105+Septiembre!F105+Octubre!F105+Noviembre!F105+Diciembre!F105</f>
        <v>30158614.282348733</v>
      </c>
      <c r="G105" s="14">
        <f>+Enero!G105+Febrero!G105+Marzo!G105+Abril!G105+Mayo!G105+Junio!G105+Julio!G105+Agosto!G105+Septiembre!G105+Octubre!G105+Noviembre!G105+Diciembre!G105</f>
        <v>266472.33999999997</v>
      </c>
      <c r="H105" s="14">
        <f>+Enero!H105+Febrero!H105+Marzo!H105+Abril!H105+Mayo!H105+Junio!H105+Julio!H105+Agosto!H105+Septiembre!H105+Octubre!H105+Noviembre!H105+Diciembre!H105</f>
        <v>0</v>
      </c>
      <c r="I105" s="13">
        <f t="shared" si="2"/>
        <v>46612647.422348738</v>
      </c>
    </row>
    <row r="106" spans="1:9" ht="15.75" x14ac:dyDescent="0.25">
      <c r="A106" s="8"/>
      <c r="B106" s="8"/>
      <c r="C106" s="9"/>
      <c r="D106" s="12" t="s">
        <v>102</v>
      </c>
      <c r="E106" s="14">
        <f>+Enero!E106+Febrero!E106+Marzo!E106+Abril!E106+Mayo!E106+Junio!E106+Julio!E106+Agosto!E106+Septiembre!E106+Octubre!E106+Noviembre!E106+Diciembre!E106</f>
        <v>28295448.669999994</v>
      </c>
      <c r="F106" s="14">
        <f>+Enero!F106+Febrero!F106+Marzo!F106+Abril!F106+Mayo!F106+Junio!F106+Julio!F106+Agosto!F106+Septiembre!F106+Octubre!F106+Noviembre!F106+Diciembre!F106</f>
        <v>1860353.5397786428</v>
      </c>
      <c r="G106" s="14">
        <f>+Enero!G106+Febrero!G106+Marzo!G106+Abril!G106+Mayo!G106+Junio!G106+Julio!G106+Agosto!G106+Septiembre!G106+Octubre!G106+Noviembre!G106+Diciembre!G106</f>
        <v>33175657.350000005</v>
      </c>
      <c r="H106" s="14">
        <f>+Enero!H106+Febrero!H106+Marzo!H106+Abril!H106+Mayo!H106+Junio!H106+Julio!H106+Agosto!H106+Septiembre!H106+Octubre!H106+Noviembre!H106+Diciembre!H106</f>
        <v>0</v>
      </c>
      <c r="I106" s="13">
        <f t="shared" ref="I106:I137" si="3">SUM(E106:H106)</f>
        <v>63331459.559778646</v>
      </c>
    </row>
    <row r="107" spans="1:9" ht="15.75" x14ac:dyDescent="0.25">
      <c r="A107" s="8"/>
      <c r="B107" s="8"/>
      <c r="C107" s="9"/>
      <c r="D107" s="12" t="s">
        <v>103</v>
      </c>
      <c r="E107" s="14">
        <f>+Enero!E107+Febrero!E107+Marzo!E107+Abril!E107+Mayo!E107+Junio!E107+Julio!E107+Agosto!E107+Septiembre!E107+Octubre!E107+Noviembre!E107+Diciembre!E107</f>
        <v>89888.960000000006</v>
      </c>
      <c r="F107" s="14">
        <f>+Enero!F107+Febrero!F107+Marzo!F107+Abril!F107+Mayo!F107+Junio!F107+Julio!F107+Agosto!F107+Septiembre!F107+Octubre!F107+Noviembre!F107+Diciembre!F107</f>
        <v>0</v>
      </c>
      <c r="G107" s="14">
        <f>+Enero!G107+Febrero!G107+Marzo!G107+Abril!G107+Mayo!G107+Junio!G107+Julio!G107+Agosto!G107+Septiembre!G107+Octubre!G107+Noviembre!G107+Diciembre!G107</f>
        <v>10452249.210000001</v>
      </c>
      <c r="H107" s="14">
        <f>+Enero!H107+Febrero!H107+Marzo!H107+Abril!H107+Mayo!H107+Junio!H107+Julio!H107+Agosto!H107+Septiembre!H107+Octubre!H107+Noviembre!H107+Diciembre!H107</f>
        <v>0</v>
      </c>
      <c r="I107" s="13">
        <f t="shared" si="3"/>
        <v>10542138.170000002</v>
      </c>
    </row>
    <row r="108" spans="1:9" ht="15.75" x14ac:dyDescent="0.25">
      <c r="A108" s="8"/>
      <c r="B108" s="8"/>
      <c r="C108" s="9"/>
      <c r="D108" s="12" t="s">
        <v>104</v>
      </c>
      <c r="E108" s="14">
        <f>+Enero!E108+Febrero!E108+Marzo!E108+Abril!E108+Mayo!E108+Junio!E108+Julio!E108+Agosto!E108+Septiembre!E108+Octubre!E108+Noviembre!E108+Diciembre!E108</f>
        <v>3636102.5600000005</v>
      </c>
      <c r="F108" s="14">
        <f>+Enero!F108+Febrero!F108+Marzo!F108+Abril!F108+Mayo!F108+Junio!F108+Julio!F108+Agosto!F108+Septiembre!F108+Octubre!F108+Noviembre!F108+Diciembre!F108</f>
        <v>0</v>
      </c>
      <c r="G108" s="14">
        <f>+Enero!G108+Febrero!G108+Marzo!G108+Abril!G108+Mayo!G108+Junio!G108+Julio!G108+Agosto!G108+Septiembre!G108+Octubre!G108+Noviembre!G108+Diciembre!G108</f>
        <v>3315845.3899999997</v>
      </c>
      <c r="H108" s="14">
        <f>+Enero!H108+Febrero!H108+Marzo!H108+Abril!H108+Mayo!H108+Junio!H108+Julio!H108+Agosto!H108+Septiembre!H108+Octubre!H108+Noviembre!H108+Diciembre!H108</f>
        <v>0</v>
      </c>
      <c r="I108" s="13">
        <f t="shared" si="3"/>
        <v>6951947.9500000002</v>
      </c>
    </row>
    <row r="109" spans="1:9" ht="15.75" x14ac:dyDescent="0.25">
      <c r="A109" s="8"/>
      <c r="B109" s="8"/>
      <c r="C109" s="9"/>
      <c r="D109" s="12" t="s">
        <v>105</v>
      </c>
      <c r="E109" s="14">
        <f>+Enero!E109+Febrero!E109+Marzo!E109+Abril!E109+Mayo!E109+Junio!E109+Julio!E109+Agosto!E109+Septiembre!E109+Octubre!E109+Noviembre!E109+Diciembre!E109</f>
        <v>9330484.6999999993</v>
      </c>
      <c r="F109" s="14">
        <f>+Enero!F109+Febrero!F109+Marzo!F109+Abril!F109+Mayo!F109+Junio!F109+Julio!F109+Agosto!F109+Septiembre!F109+Octubre!F109+Noviembre!F109+Diciembre!F109</f>
        <v>48508269.70814418</v>
      </c>
      <c r="G109" s="14">
        <f>+Enero!G109+Febrero!G109+Marzo!G109+Abril!G109+Mayo!G109+Junio!G109+Julio!G109+Agosto!G109+Septiembre!G109+Octubre!G109+Noviembre!G109+Diciembre!G109</f>
        <v>2436525.38</v>
      </c>
      <c r="H109" s="14">
        <f>+Enero!H109+Febrero!H109+Marzo!H109+Abril!H109+Mayo!H109+Junio!H109+Julio!H109+Agosto!H109+Septiembre!H109+Octubre!H109+Noviembre!H109+Diciembre!H109</f>
        <v>0</v>
      </c>
      <c r="I109" s="13">
        <f t="shared" si="3"/>
        <v>60275279.788144179</v>
      </c>
    </row>
    <row r="110" spans="1:9" ht="15.75" x14ac:dyDescent="0.25">
      <c r="A110" s="8"/>
      <c r="B110" s="8"/>
      <c r="C110" s="9"/>
      <c r="D110" s="12" t="s">
        <v>106</v>
      </c>
      <c r="E110" s="14">
        <f>+Enero!E110+Febrero!E110+Marzo!E110+Abril!E110+Mayo!E110+Junio!E110+Julio!E110+Agosto!E110+Septiembre!E110+Octubre!E110+Noviembre!E110+Diciembre!E110</f>
        <v>11616039.370000001</v>
      </c>
      <c r="F110" s="14">
        <f>+Enero!F110+Febrero!F110+Marzo!F110+Abril!F110+Mayo!F110+Junio!F110+Julio!F110+Agosto!F110+Septiembre!F110+Octubre!F110+Noviembre!F110+Diciembre!F110</f>
        <v>11916427.968202876</v>
      </c>
      <c r="G110" s="14">
        <f>+Enero!G110+Febrero!G110+Marzo!G110+Abril!G110+Mayo!G110+Junio!G110+Julio!G110+Agosto!G110+Septiembre!G110+Octubre!G110+Noviembre!G110+Diciembre!G110</f>
        <v>2269286.6700000004</v>
      </c>
      <c r="H110" s="14">
        <f>+Enero!H110+Febrero!H110+Marzo!H110+Abril!H110+Mayo!H110+Junio!H110+Julio!H110+Agosto!H110+Septiembre!H110+Octubre!H110+Noviembre!H110+Diciembre!H110</f>
        <v>0</v>
      </c>
      <c r="I110" s="13">
        <f t="shared" si="3"/>
        <v>25801754.008202881</v>
      </c>
    </row>
    <row r="111" spans="1:9" ht="15.75" x14ac:dyDescent="0.25">
      <c r="A111" s="8"/>
      <c r="B111" s="8"/>
      <c r="C111" s="9"/>
      <c r="D111" s="12" t="s">
        <v>107</v>
      </c>
      <c r="E111" s="14">
        <f>+Enero!E111+Febrero!E111+Marzo!E111+Abril!E111+Mayo!E111+Junio!E111+Julio!E111+Agosto!E111+Septiembre!E111+Octubre!E111+Noviembre!E111+Diciembre!E111</f>
        <v>286623.71999999997</v>
      </c>
      <c r="F111" s="14">
        <f>+Enero!F111+Febrero!F111+Marzo!F111+Abril!F111+Mayo!F111+Junio!F111+Julio!F111+Agosto!F111+Septiembre!F111+Octubre!F111+Noviembre!F111+Diciembre!F111</f>
        <v>186111.214527264</v>
      </c>
      <c r="G111" s="14">
        <f>+Enero!G111+Febrero!G111+Marzo!G111+Abril!G111+Mayo!G111+Junio!G111+Julio!G111+Agosto!G111+Septiembre!G111+Octubre!G111+Noviembre!G111+Diciembre!G111</f>
        <v>60572005.640000001</v>
      </c>
      <c r="H111" s="14">
        <f>+Enero!H111+Febrero!H111+Marzo!H111+Abril!H111+Mayo!H111+Junio!H111+Julio!H111+Agosto!H111+Septiembre!H111+Octubre!H111+Noviembre!H111+Diciembre!H111</f>
        <v>0</v>
      </c>
      <c r="I111" s="13">
        <f t="shared" si="3"/>
        <v>61044740.574527264</v>
      </c>
    </row>
    <row r="112" spans="1:9" ht="15.75" x14ac:dyDescent="0.25">
      <c r="A112" s="8"/>
      <c r="B112" s="8"/>
      <c r="C112" s="9"/>
      <c r="D112" s="12" t="s">
        <v>108</v>
      </c>
      <c r="E112" s="14">
        <f>+Enero!E112+Febrero!E112+Marzo!E112+Abril!E112+Mayo!E112+Junio!E112+Julio!E112+Agosto!E112+Septiembre!E112+Octubre!E112+Noviembre!E112+Diciembre!E112</f>
        <v>38885066.300000012</v>
      </c>
      <c r="F112" s="14">
        <f>+Enero!F112+Febrero!F112+Marzo!F112+Abril!F112+Mayo!F112+Junio!F112+Julio!F112+Agosto!F112+Septiembre!F112+Octubre!F112+Noviembre!F112+Diciembre!F112</f>
        <v>12729147.320771661</v>
      </c>
      <c r="G112" s="14">
        <f>+Enero!G112+Febrero!G112+Marzo!G112+Abril!G112+Mayo!G112+Junio!G112+Julio!G112+Agosto!G112+Septiembre!G112+Octubre!G112+Noviembre!G112+Diciembre!G112</f>
        <v>5059334.6499999994</v>
      </c>
      <c r="H112" s="14">
        <f>+Enero!H112+Febrero!H112+Marzo!H112+Abril!H112+Mayo!H112+Junio!H112+Julio!H112+Agosto!H112+Septiembre!H112+Octubre!H112+Noviembre!H112+Diciembre!H112</f>
        <v>0</v>
      </c>
      <c r="I112" s="13">
        <f t="shared" si="3"/>
        <v>56673548.270771675</v>
      </c>
    </row>
    <row r="113" spans="1:9" ht="15.75" x14ac:dyDescent="0.25">
      <c r="A113" s="8"/>
      <c r="B113" s="8"/>
      <c r="C113" s="9"/>
      <c r="D113" s="12" t="s">
        <v>109</v>
      </c>
      <c r="E113" s="14">
        <f>+Enero!E113+Febrero!E113+Marzo!E113+Abril!E113+Mayo!E113+Junio!E113+Julio!E113+Agosto!E113+Septiembre!E113+Octubre!E113+Noviembre!E113+Diciembre!E113</f>
        <v>26122207.720000003</v>
      </c>
      <c r="F113" s="14">
        <f>+Enero!F113+Febrero!F113+Marzo!F113+Abril!F113+Mayo!F113+Junio!F113+Julio!F113+Agosto!F113+Septiembre!F113+Octubre!F113+Noviembre!F113+Diciembre!F113</f>
        <v>30648167.694474801</v>
      </c>
      <c r="G113" s="14">
        <f>+Enero!G113+Febrero!G113+Marzo!G113+Abril!G113+Mayo!G113+Junio!G113+Julio!G113+Agosto!G113+Septiembre!G113+Octubre!G113+Noviembre!G113+Diciembre!G113</f>
        <v>3967741.79</v>
      </c>
      <c r="H113" s="14">
        <f>+Enero!H113+Febrero!H113+Marzo!H113+Abril!H113+Mayo!H113+Junio!H113+Julio!H113+Agosto!H113+Septiembre!H113+Octubre!H113+Noviembre!H113+Diciembre!H113</f>
        <v>0</v>
      </c>
      <c r="I113" s="13">
        <f t="shared" si="3"/>
        <v>60738117.204474799</v>
      </c>
    </row>
    <row r="114" spans="1:9" ht="15.75" x14ac:dyDescent="0.25">
      <c r="A114" s="8"/>
      <c r="B114" s="8"/>
      <c r="C114" s="9"/>
      <c r="D114" s="12" t="s">
        <v>110</v>
      </c>
      <c r="E114" s="14">
        <f>+Enero!E114+Febrero!E114+Marzo!E114+Abril!E114+Mayo!E114+Junio!E114+Julio!E114+Agosto!E114+Septiembre!E114+Octubre!E114+Noviembre!E114+Diciembre!E114</f>
        <v>64387124.139999993</v>
      </c>
      <c r="F114" s="14">
        <f>+Enero!F114+Febrero!F114+Marzo!F114+Abril!F114+Mayo!F114+Junio!F114+Julio!F114+Agosto!F114+Septiembre!F114+Octubre!F114+Noviembre!F114+Diciembre!F114</f>
        <v>35152261.380832978</v>
      </c>
      <c r="G114" s="14">
        <f>+Enero!G114+Febrero!G114+Marzo!G114+Abril!G114+Mayo!G114+Junio!G114+Julio!G114+Agosto!G114+Septiembre!G114+Octubre!G114+Noviembre!G114+Diciembre!G114</f>
        <v>6840578.2200000007</v>
      </c>
      <c r="H114" s="14">
        <f>+Enero!H114+Febrero!H114+Marzo!H114+Abril!H114+Mayo!H114+Junio!H114+Julio!H114+Agosto!H114+Septiembre!H114+Octubre!H114+Noviembre!H114+Diciembre!H114</f>
        <v>0</v>
      </c>
      <c r="I114" s="13">
        <f t="shared" si="3"/>
        <v>106379963.74083297</v>
      </c>
    </row>
    <row r="115" spans="1:9" ht="15.75" x14ac:dyDescent="0.25">
      <c r="A115" s="8"/>
      <c r="B115" s="8"/>
      <c r="C115" s="9"/>
      <c r="D115" s="12" t="s">
        <v>111</v>
      </c>
      <c r="E115" s="14">
        <f>+Enero!E115+Febrero!E115+Marzo!E115+Abril!E115+Mayo!E115+Junio!E115+Julio!E115+Agosto!E115+Septiembre!E115+Octubre!E115+Noviembre!E115+Diciembre!E115</f>
        <v>107428391.67</v>
      </c>
      <c r="F115" s="14">
        <f>+Enero!F115+Febrero!F115+Marzo!F115+Abril!F115+Mayo!F115+Junio!F115+Julio!F115+Agosto!F115+Septiembre!F115+Octubre!F115+Noviembre!F115+Diciembre!F115</f>
        <v>17380410.47296527</v>
      </c>
      <c r="G115" s="14">
        <f>+Enero!G115+Febrero!G115+Marzo!G115+Abril!G115+Mayo!G115+Junio!G115+Julio!G115+Agosto!G115+Septiembre!G115+Octubre!G115+Noviembre!G115+Diciembre!G115</f>
        <v>11187400.790000001</v>
      </c>
      <c r="H115" s="14">
        <f>+Enero!H115+Febrero!H115+Marzo!H115+Abril!H115+Mayo!H115+Junio!H115+Julio!H115+Agosto!H115+Septiembre!H115+Octubre!H115+Noviembre!H115+Diciembre!H115</f>
        <v>0</v>
      </c>
      <c r="I115" s="13">
        <f t="shared" si="3"/>
        <v>135996202.93296528</v>
      </c>
    </row>
    <row r="116" spans="1:9" ht="15.75" x14ac:dyDescent="0.25">
      <c r="A116" s="8"/>
      <c r="B116" s="8"/>
      <c r="C116" s="9"/>
      <c r="D116" s="12" t="s">
        <v>112</v>
      </c>
      <c r="E116" s="14">
        <f>+Enero!E116+Febrero!E116+Marzo!E116+Abril!E116+Mayo!E116+Junio!E116+Julio!E116+Agosto!E116+Septiembre!E116+Octubre!E116+Noviembre!E116+Diciembre!E116</f>
        <v>19921079.710000001</v>
      </c>
      <c r="F116" s="14">
        <f>+Enero!F116+Febrero!F116+Marzo!F116+Abril!F116+Mayo!F116+Junio!F116+Julio!F116+Agosto!F116+Septiembre!F116+Octubre!F116+Noviembre!F116+Diciembre!F116</f>
        <v>22570030.657398745</v>
      </c>
      <c r="G116" s="14">
        <f>+Enero!G116+Febrero!G116+Marzo!G116+Abril!G116+Mayo!G116+Junio!G116+Julio!G116+Agosto!G116+Septiembre!G116+Octubre!G116+Noviembre!G116+Diciembre!G116</f>
        <v>2894657.54</v>
      </c>
      <c r="H116" s="14">
        <f>+Enero!H116+Febrero!H116+Marzo!H116+Abril!H116+Mayo!H116+Junio!H116+Julio!H116+Agosto!H116+Septiembre!H116+Octubre!H116+Noviembre!H116+Diciembre!H116</f>
        <v>0</v>
      </c>
      <c r="I116" s="13">
        <f t="shared" si="3"/>
        <v>45385767.907398745</v>
      </c>
    </row>
    <row r="117" spans="1:9" ht="15.75" x14ac:dyDescent="0.25">
      <c r="A117" s="8"/>
      <c r="B117" s="8"/>
      <c r="C117" s="9"/>
      <c r="D117" s="12" t="s">
        <v>113</v>
      </c>
      <c r="E117" s="14">
        <f>+Enero!E117+Febrero!E117+Marzo!E117+Abril!E117+Mayo!E117+Junio!E117+Julio!E117+Agosto!E117+Septiembre!E117+Octubre!E117+Noviembre!E117+Diciembre!E117</f>
        <v>18185601.670000002</v>
      </c>
      <c r="F117" s="14">
        <f>+Enero!F117+Febrero!F117+Marzo!F117+Abril!F117+Mayo!F117+Junio!F117+Julio!F117+Agosto!F117+Septiembre!F117+Octubre!F117+Noviembre!F117+Diciembre!F117</f>
        <v>17429214.093079075</v>
      </c>
      <c r="G117" s="14">
        <f>+Enero!G117+Febrero!G117+Marzo!G117+Abril!G117+Mayo!G117+Junio!G117+Julio!G117+Agosto!G117+Septiembre!G117+Octubre!G117+Noviembre!G117+Diciembre!G117</f>
        <v>6521082.7000000002</v>
      </c>
      <c r="H117" s="14">
        <f>+Enero!H117+Febrero!H117+Marzo!H117+Abril!H117+Mayo!H117+Junio!H117+Julio!H117+Agosto!H117+Septiembre!H117+Octubre!H117+Noviembre!H117+Diciembre!H117</f>
        <v>0</v>
      </c>
      <c r="I117" s="13">
        <f t="shared" si="3"/>
        <v>42135898.46307908</v>
      </c>
    </row>
    <row r="118" spans="1:9" ht="15.75" x14ac:dyDescent="0.25">
      <c r="A118" s="8"/>
      <c r="B118" s="8"/>
      <c r="C118" s="9"/>
      <c r="D118" s="12" t="s">
        <v>114</v>
      </c>
      <c r="E118" s="14">
        <f>+Enero!E118+Febrero!E118+Marzo!E118+Abril!E118+Mayo!E118+Junio!E118+Julio!E118+Agosto!E118+Septiembre!E118+Octubre!E118+Noviembre!E118+Diciembre!E118</f>
        <v>31089937.419999998</v>
      </c>
      <c r="F118" s="14">
        <f>+Enero!F118+Febrero!F118+Marzo!F118+Abril!F118+Mayo!F118+Junio!F118+Julio!F118+Agosto!F118+Septiembre!F118+Octubre!F118+Noviembre!F118+Diciembre!F118</f>
        <v>27221040.94109435</v>
      </c>
      <c r="G118" s="14">
        <f>+Enero!G118+Febrero!G118+Marzo!G118+Abril!G118+Mayo!G118+Junio!G118+Julio!G118+Agosto!G118+Septiembre!G118+Octubre!G118+Noviembre!G118+Diciembre!G118</f>
        <v>6809564.4699999997</v>
      </c>
      <c r="H118" s="14">
        <f>+Enero!H118+Febrero!H118+Marzo!H118+Abril!H118+Mayo!H118+Junio!H118+Julio!H118+Agosto!H118+Septiembre!H118+Octubre!H118+Noviembre!H118+Diciembre!H118</f>
        <v>0</v>
      </c>
      <c r="I118" s="13">
        <f t="shared" si="3"/>
        <v>65120542.831094347</v>
      </c>
    </row>
    <row r="119" spans="1:9" ht="15.75" x14ac:dyDescent="0.25">
      <c r="A119" s="8"/>
      <c r="B119" s="8"/>
      <c r="C119" s="9"/>
      <c r="D119" s="12" t="s">
        <v>115</v>
      </c>
      <c r="E119" s="14">
        <f>+Enero!E119+Febrero!E119+Marzo!E119+Abril!E119+Mayo!E119+Junio!E119+Julio!E119+Agosto!E119+Septiembre!E119+Octubre!E119+Noviembre!E119+Diciembre!E119</f>
        <v>6923497.4799999995</v>
      </c>
      <c r="F119" s="14">
        <f>+Enero!F119+Febrero!F119+Marzo!F119+Abril!F119+Mayo!F119+Junio!F119+Julio!F119+Agosto!F119+Septiembre!F119+Octubre!F119+Noviembre!F119+Diciembre!F119</f>
        <v>2643740.146579545</v>
      </c>
      <c r="G119" s="14">
        <f>+Enero!G119+Febrero!G119+Marzo!G119+Abril!G119+Mayo!G119+Junio!G119+Julio!G119+Agosto!G119+Septiembre!G119+Octubre!G119+Noviembre!G119+Diciembre!G119</f>
        <v>3951446.9299999997</v>
      </c>
      <c r="H119" s="14">
        <f>+Enero!H119+Febrero!H119+Marzo!H119+Abril!H119+Mayo!H119+Junio!H119+Julio!H119+Agosto!H119+Septiembre!H119+Octubre!H119+Noviembre!H119+Diciembre!H119</f>
        <v>0</v>
      </c>
      <c r="I119" s="13">
        <f t="shared" si="3"/>
        <v>13518684.556579545</v>
      </c>
    </row>
    <row r="120" spans="1:9" ht="15.75" x14ac:dyDescent="0.25">
      <c r="A120" s="8"/>
      <c r="B120" s="8"/>
      <c r="C120" s="9"/>
      <c r="D120" s="12" t="s">
        <v>116</v>
      </c>
      <c r="E120" s="14">
        <f>+Enero!E120+Febrero!E120+Marzo!E120+Abril!E120+Mayo!E120+Junio!E120+Julio!E120+Agosto!E120+Septiembre!E120+Octubre!E120+Noviembre!E120+Diciembre!E120</f>
        <v>86395387.819999993</v>
      </c>
      <c r="F120" s="14">
        <f>+Enero!F120+Febrero!F120+Marzo!F120+Abril!F120+Mayo!F120+Junio!F120+Julio!F120+Agosto!F120+Septiembre!F120+Octubre!F120+Noviembre!F120+Diciembre!F120</f>
        <v>11554320.279068306</v>
      </c>
      <c r="G120" s="14">
        <f>+Enero!G120+Febrero!G120+Marzo!G120+Abril!G120+Mayo!G120+Junio!G120+Julio!G120+Agosto!G120+Septiembre!G120+Octubre!G120+Noviembre!G120+Diciembre!G120</f>
        <v>7265871.5600000005</v>
      </c>
      <c r="H120" s="14">
        <f>+Enero!H120+Febrero!H120+Marzo!H120+Abril!H120+Mayo!H120+Junio!H120+Julio!H120+Agosto!H120+Septiembre!H120+Octubre!H120+Noviembre!H120+Diciembre!H120</f>
        <v>0</v>
      </c>
      <c r="I120" s="13">
        <f t="shared" si="3"/>
        <v>105215579.6590683</v>
      </c>
    </row>
    <row r="121" spans="1:9" ht="15.75" x14ac:dyDescent="0.25">
      <c r="A121" s="8"/>
      <c r="B121" s="8"/>
      <c r="C121" s="9"/>
      <c r="D121" s="12" t="s">
        <v>117</v>
      </c>
      <c r="E121" s="14">
        <f>+Enero!E121+Febrero!E121+Marzo!E121+Abril!E121+Mayo!E121+Junio!E121+Julio!E121+Agosto!E121+Septiembre!E121+Octubre!E121+Noviembre!E121+Diciembre!E121</f>
        <v>32560357.840000004</v>
      </c>
      <c r="F121" s="14">
        <f>+Enero!F121+Febrero!F121+Marzo!F121+Abril!F121+Mayo!F121+Junio!F121+Julio!F121+Agosto!F121+Septiembre!F121+Octubre!F121+Noviembre!F121+Diciembre!F121</f>
        <v>17145242.769826196</v>
      </c>
      <c r="G121" s="14">
        <f>+Enero!G121+Febrero!G121+Marzo!G121+Abril!G121+Mayo!G121+Junio!G121+Julio!G121+Agosto!G121+Septiembre!G121+Octubre!G121+Noviembre!G121+Diciembre!G121</f>
        <v>4387334.51</v>
      </c>
      <c r="H121" s="14">
        <f>+Enero!H121+Febrero!H121+Marzo!H121+Abril!H121+Mayo!H121+Junio!H121+Julio!H121+Agosto!H121+Septiembre!H121+Octubre!H121+Noviembre!H121+Diciembre!H121</f>
        <v>0</v>
      </c>
      <c r="I121" s="13">
        <f t="shared" si="3"/>
        <v>54092935.119826198</v>
      </c>
    </row>
    <row r="122" spans="1:9" ht="15.75" x14ac:dyDescent="0.25">
      <c r="A122" s="8"/>
      <c r="B122" s="8"/>
      <c r="C122" s="9"/>
      <c r="D122" s="12" t="s">
        <v>118</v>
      </c>
      <c r="E122" s="14">
        <f>+Enero!E122+Febrero!E122+Marzo!E122+Abril!E122+Mayo!E122+Junio!E122+Julio!E122+Agosto!E122+Septiembre!E122+Octubre!E122+Noviembre!E122+Diciembre!E122</f>
        <v>34760237.270000003</v>
      </c>
      <c r="F122" s="14">
        <f>+Enero!F122+Febrero!F122+Marzo!F122+Abril!F122+Mayo!F122+Junio!F122+Julio!F122+Agosto!F122+Septiembre!F122+Octubre!F122+Noviembre!F122+Diciembre!F122</f>
        <v>12641149.083468013</v>
      </c>
      <c r="G122" s="14">
        <f>+Enero!G122+Febrero!G122+Marzo!G122+Abril!G122+Mayo!G122+Junio!G122+Julio!G122+Agosto!G122+Septiembre!G122+Octubre!G122+Noviembre!G122+Diciembre!G122</f>
        <v>7992349.7200000007</v>
      </c>
      <c r="H122" s="14">
        <f>+Enero!H122+Febrero!H122+Marzo!H122+Abril!H122+Mayo!H122+Junio!H122+Julio!H122+Agosto!H122+Septiembre!H122+Octubre!H122+Noviembre!H122+Diciembre!H122</f>
        <v>0</v>
      </c>
      <c r="I122" s="13">
        <f t="shared" si="3"/>
        <v>55393736.073468015</v>
      </c>
    </row>
    <row r="123" spans="1:9" ht="15.75" x14ac:dyDescent="0.25">
      <c r="A123" s="8"/>
      <c r="B123" s="8"/>
      <c r="C123" s="9"/>
      <c r="D123" s="12" t="s">
        <v>119</v>
      </c>
      <c r="E123" s="14">
        <f>+Enero!E123+Febrero!E123+Marzo!E123+Abril!E123+Mayo!E123+Junio!E123+Julio!E123+Agosto!E123+Septiembre!E123+Octubre!E123+Noviembre!E123+Diciembre!E123</f>
        <v>37554669.449999996</v>
      </c>
      <c r="F123" s="14">
        <f>+Enero!F123+Febrero!F123+Marzo!F123+Abril!F123+Mayo!F123+Junio!F123+Julio!F123+Agosto!F123+Septiembre!F123+Octubre!F123+Noviembre!F123+Diciembre!F123</f>
        <v>23225971.541208148</v>
      </c>
      <c r="G123" s="14">
        <f>+Enero!G123+Febrero!G123+Marzo!G123+Abril!G123+Mayo!G123+Junio!G123+Julio!G123+Agosto!G123+Septiembre!G123+Octubre!G123+Noviembre!G123+Diciembre!G123</f>
        <v>2803735.29</v>
      </c>
      <c r="H123" s="14">
        <f>+Enero!H123+Febrero!H123+Marzo!H123+Abril!H123+Mayo!H123+Junio!H123+Julio!H123+Agosto!H123+Septiembre!H123+Octubre!H123+Noviembre!H123+Diciembre!H123</f>
        <v>0</v>
      </c>
      <c r="I123" s="13">
        <f t="shared" si="3"/>
        <v>63584376.281208143</v>
      </c>
    </row>
    <row r="124" spans="1:9" ht="15.75" x14ac:dyDescent="0.25">
      <c r="A124" s="8"/>
      <c r="B124" s="8"/>
      <c r="C124" s="9"/>
      <c r="D124" s="12" t="s">
        <v>120</v>
      </c>
      <c r="E124" s="14">
        <f>+Enero!E124+Febrero!E124+Marzo!E124+Abril!E124+Mayo!E124+Junio!E124+Julio!E124+Agosto!E124+Septiembre!E124+Octubre!E124+Noviembre!E124+Diciembre!E124</f>
        <v>1167792.19</v>
      </c>
      <c r="F124" s="14">
        <f>+Enero!F124+Febrero!F124+Marzo!F124+Abril!F124+Mayo!F124+Junio!F124+Julio!F124+Agosto!F124+Septiembre!F124+Octubre!F124+Noviembre!F124+Diciembre!F124</f>
        <v>0</v>
      </c>
      <c r="G124" s="14">
        <f>+Enero!G124+Febrero!G124+Marzo!G124+Abril!G124+Mayo!G124+Junio!G124+Julio!G124+Agosto!G124+Septiembre!G124+Octubre!G124+Noviembre!G124+Diciembre!G124</f>
        <v>19040122.449999999</v>
      </c>
      <c r="H124" s="14">
        <f>+Enero!H124+Febrero!H124+Marzo!H124+Abril!H124+Mayo!H124+Junio!H124+Julio!H124+Agosto!H124+Septiembre!H124+Octubre!H124+Noviembre!H124+Diciembre!H124</f>
        <v>49634846.964999996</v>
      </c>
      <c r="I124" s="13">
        <f t="shared" si="3"/>
        <v>69842761.604999989</v>
      </c>
    </row>
    <row r="125" spans="1:9" ht="15.75" x14ac:dyDescent="0.25">
      <c r="A125" s="8"/>
      <c r="B125" s="8"/>
      <c r="C125" s="9"/>
      <c r="D125" s="12" t="s">
        <v>121</v>
      </c>
      <c r="E125" s="14">
        <f>+Enero!E125+Febrero!E125+Marzo!E125+Abril!E125+Mayo!E125+Junio!E125+Julio!E125+Agosto!E125+Septiembre!E125+Octubre!E125+Noviembre!E125+Diciembre!E125</f>
        <v>0</v>
      </c>
      <c r="F125" s="14">
        <f>+Enero!F125+Febrero!F125+Marzo!F125+Abril!F125+Mayo!F125+Junio!F125+Julio!F125+Agosto!F125+Septiembre!F125+Octubre!F125+Noviembre!F125+Diciembre!F125</f>
        <v>0</v>
      </c>
      <c r="G125" s="14">
        <f>+Enero!G125+Febrero!G125+Marzo!G125+Abril!G125+Mayo!G125+Junio!G125+Julio!G125+Agosto!G125+Septiembre!G125+Octubre!G125+Noviembre!G125+Diciembre!G125</f>
        <v>57781841.459999993</v>
      </c>
      <c r="H125" s="14">
        <f>+Enero!H125+Febrero!H125+Marzo!H125+Abril!H125+Mayo!H125+Junio!H125+Julio!H125+Agosto!H125+Septiembre!H125+Octubre!H125+Noviembre!H125+Diciembre!H125</f>
        <v>9574002.7800000012</v>
      </c>
      <c r="I125" s="13">
        <f t="shared" si="3"/>
        <v>67355844.239999995</v>
      </c>
    </row>
    <row r="126" spans="1:9" ht="15.75" x14ac:dyDescent="0.25">
      <c r="A126" s="8"/>
      <c r="B126" s="8"/>
      <c r="C126" s="9"/>
      <c r="D126" s="12" t="s">
        <v>122</v>
      </c>
      <c r="E126" s="14">
        <f>+Enero!E126+Febrero!E126+Marzo!E126+Abril!E126+Mayo!E126+Junio!E126+Julio!E126+Agosto!E126+Septiembre!E126+Octubre!E126+Noviembre!E126+Diciembre!E126</f>
        <v>386032.43000000005</v>
      </c>
      <c r="F126" s="14">
        <f>+Enero!F126+Febrero!F126+Marzo!F126+Abril!F126+Mayo!F126+Junio!F126+Julio!F126+Agosto!F126+Septiembre!F126+Octubre!F126+Noviembre!F126+Diciembre!F126</f>
        <v>0</v>
      </c>
      <c r="G126" s="14">
        <f>+Enero!G126+Febrero!G126+Marzo!G126+Abril!G126+Mayo!G126+Junio!G126+Julio!G126+Agosto!G126+Septiembre!G126+Octubre!G126+Noviembre!G126+Diciembre!G126</f>
        <v>23878609.099999998</v>
      </c>
      <c r="H126" s="14">
        <f>+Enero!H126+Febrero!H126+Marzo!H126+Abril!H126+Mayo!H126+Junio!H126+Julio!H126+Agosto!H126+Septiembre!H126+Octubre!H126+Noviembre!H126+Diciembre!H126</f>
        <v>0</v>
      </c>
      <c r="I126" s="13">
        <f t="shared" si="3"/>
        <v>24264641.529999997</v>
      </c>
    </row>
    <row r="127" spans="1:9" ht="15.75" x14ac:dyDescent="0.25">
      <c r="A127" s="8"/>
      <c r="B127" s="8"/>
      <c r="C127" s="9"/>
      <c r="D127" s="12" t="s">
        <v>123</v>
      </c>
      <c r="E127" s="14">
        <f>+Enero!E127+Febrero!E127+Marzo!E127+Abril!E127+Mayo!E127+Junio!E127+Julio!E127+Agosto!E127+Septiembre!E127+Octubre!E127+Noviembre!E127+Diciembre!E127</f>
        <v>21235337.640000001</v>
      </c>
      <c r="F127" s="14">
        <f>+Enero!F127+Febrero!F127+Marzo!F127+Abril!F127+Mayo!F127+Junio!F127+Julio!F127+Agosto!F127+Septiembre!F127+Octubre!F127+Noviembre!F127+Diciembre!F127</f>
        <v>4895786.9897586396</v>
      </c>
      <c r="G127" s="14">
        <f>+Enero!G127+Febrero!G127+Marzo!G127+Abril!G127+Mayo!G127+Junio!G127+Julio!G127+Agosto!G127+Septiembre!G127+Octubre!G127+Noviembre!G127+Diciembre!G127</f>
        <v>84114336.850000009</v>
      </c>
      <c r="H127" s="14">
        <f>+Enero!H127+Febrero!H127+Marzo!H127+Abril!H127+Mayo!H127+Junio!H127+Julio!H127+Agosto!H127+Septiembre!H127+Octubre!H127+Noviembre!H127+Diciembre!H127</f>
        <v>0</v>
      </c>
      <c r="I127" s="13">
        <f t="shared" si="3"/>
        <v>110245461.47975865</v>
      </c>
    </row>
    <row r="128" spans="1:9" ht="15.75" x14ac:dyDescent="0.25">
      <c r="A128" s="8"/>
      <c r="B128" s="8"/>
      <c r="C128" s="9"/>
      <c r="D128" s="12" t="s">
        <v>124</v>
      </c>
      <c r="E128" s="14">
        <f>+Enero!E128+Febrero!E128+Marzo!E128+Abril!E128+Mayo!E128+Junio!E128+Julio!E128+Agosto!E128+Septiembre!E128+Octubre!E128+Noviembre!E128+Diciembre!E128</f>
        <v>44006482.180000007</v>
      </c>
      <c r="F128" s="14">
        <f>+Enero!F128+Febrero!F128+Marzo!F128+Abril!F128+Mayo!F128+Junio!F128+Julio!F128+Agosto!F128+Septiembre!F128+Octubre!F128+Noviembre!F128+Diciembre!F128</f>
        <v>15275027.358625595</v>
      </c>
      <c r="G128" s="14">
        <f>+Enero!G128+Febrero!G128+Marzo!G128+Abril!G128+Mayo!G128+Junio!G128+Julio!G128+Agosto!G128+Septiembre!G128+Octubre!G128+Noviembre!G128+Diciembre!G128</f>
        <v>9337424.1399999987</v>
      </c>
      <c r="H128" s="14">
        <f>+Enero!H128+Febrero!H128+Marzo!H128+Abril!H128+Mayo!H128+Junio!H128+Julio!H128+Agosto!H128+Septiembre!H128+Octubre!H128+Noviembre!H128+Diciembre!H128</f>
        <v>0</v>
      </c>
      <c r="I128" s="13">
        <f t="shared" si="3"/>
        <v>68618933.678625599</v>
      </c>
    </row>
    <row r="129" spans="1:9" ht="15.75" x14ac:dyDescent="0.25">
      <c r="A129" s="8"/>
      <c r="B129" s="8"/>
      <c r="C129" s="9"/>
      <c r="D129" s="12" t="s">
        <v>125</v>
      </c>
      <c r="E129" s="14">
        <f>+Enero!E129+Febrero!E129+Marzo!E129+Abril!E129+Mayo!E129+Junio!E129+Julio!E129+Agosto!E129+Septiembre!E129+Octubre!E129+Noviembre!E129+Diciembre!E129</f>
        <v>14699877.520000001</v>
      </c>
      <c r="F129" s="14">
        <f>+Enero!F129+Febrero!F129+Marzo!F129+Abril!F129+Mayo!F129+Junio!F129+Julio!F129+Agosto!F129+Septiembre!F129+Octubre!F129+Noviembre!F129+Diciembre!F129</f>
        <v>7392863.4074987648</v>
      </c>
      <c r="G129" s="14">
        <f>+Enero!G129+Febrero!G129+Marzo!G129+Abril!G129+Mayo!G129+Junio!G129+Julio!G129+Agosto!G129+Septiembre!G129+Octubre!G129+Noviembre!G129+Diciembre!G129</f>
        <v>5141243.87</v>
      </c>
      <c r="H129" s="14">
        <f>+Enero!H129+Febrero!H129+Marzo!H129+Abril!H129+Mayo!H129+Junio!H129+Julio!H129+Agosto!H129+Septiembre!H129+Octubre!H129+Noviembre!H129+Diciembre!H129</f>
        <v>0</v>
      </c>
      <c r="I129" s="13">
        <f t="shared" si="3"/>
        <v>27233984.797498766</v>
      </c>
    </row>
    <row r="130" spans="1:9" ht="15.75" x14ac:dyDescent="0.25">
      <c r="A130" s="8"/>
      <c r="B130" s="8"/>
      <c r="C130" s="9"/>
      <c r="D130" s="12" t="s">
        <v>126</v>
      </c>
      <c r="E130" s="14">
        <f>+Enero!E130+Febrero!E130+Marzo!E130+Abril!E130+Mayo!E130+Junio!E130+Julio!E130+Agosto!E130+Septiembre!E130+Octubre!E130+Noviembre!E130+Diciembre!E130</f>
        <v>10902999.640000001</v>
      </c>
      <c r="F130" s="14">
        <f>+Enero!F130+Febrero!F130+Marzo!F130+Abril!F130+Mayo!F130+Junio!F130+Julio!F130+Agosto!F130+Septiembre!F130+Octubre!F130+Noviembre!F130+Diciembre!F130</f>
        <v>13022980.515446499</v>
      </c>
      <c r="G130" s="14">
        <f>+Enero!G130+Febrero!G130+Marzo!G130+Abril!G130+Mayo!G130+Junio!G130+Julio!G130+Agosto!G130+Septiembre!G130+Octubre!G130+Noviembre!G130+Diciembre!G130</f>
        <v>2170368.42</v>
      </c>
      <c r="H130" s="14">
        <f>+Enero!H130+Febrero!H130+Marzo!H130+Abril!H130+Mayo!H130+Junio!H130+Julio!H130+Agosto!H130+Septiembre!H130+Octubre!H130+Noviembre!H130+Diciembre!H130</f>
        <v>0</v>
      </c>
      <c r="I130" s="13">
        <f t="shared" si="3"/>
        <v>26096348.575446501</v>
      </c>
    </row>
    <row r="131" spans="1:9" ht="15.75" x14ac:dyDescent="0.25">
      <c r="A131" s="8"/>
      <c r="B131" s="8"/>
      <c r="C131" s="9"/>
      <c r="D131" s="12" t="s">
        <v>127</v>
      </c>
      <c r="E131" s="14">
        <f>+Enero!E131+Febrero!E131+Marzo!E131+Abril!E131+Mayo!E131+Junio!E131+Julio!E131+Agosto!E131+Septiembre!E131+Octubre!E131+Noviembre!E131+Diciembre!E131</f>
        <v>111617230.33999999</v>
      </c>
      <c r="F131" s="14">
        <f>+Enero!F131+Febrero!F131+Marzo!F131+Abril!F131+Mayo!F131+Junio!F131+Julio!F131+Agosto!F131+Septiembre!F131+Octubre!F131+Noviembre!F131+Diciembre!F131</f>
        <v>71176160.474268541</v>
      </c>
      <c r="G131" s="14">
        <f>+Enero!G131+Febrero!G131+Marzo!G131+Abril!G131+Mayo!G131+Junio!G131+Julio!G131+Agosto!G131+Septiembre!G131+Octubre!G131+Noviembre!G131+Diciembre!G131</f>
        <v>42598885.619999997</v>
      </c>
      <c r="H131" s="14">
        <f>+Enero!H131+Febrero!H131+Marzo!H131+Abril!H131+Mayo!H131+Junio!H131+Julio!H131+Agosto!H131+Septiembre!H131+Octubre!H131+Noviembre!H131+Diciembre!H131</f>
        <v>0</v>
      </c>
      <c r="I131" s="13">
        <f t="shared" si="3"/>
        <v>225392276.43426853</v>
      </c>
    </row>
    <row r="132" spans="1:9" ht="15.75" x14ac:dyDescent="0.25">
      <c r="A132" s="8"/>
      <c r="B132" s="8"/>
      <c r="C132" s="9"/>
      <c r="D132" s="12" t="s">
        <v>128</v>
      </c>
      <c r="E132" s="14">
        <f>+Enero!E132+Febrero!E132+Marzo!E132+Abril!E132+Mayo!E132+Junio!E132+Julio!E132+Agosto!E132+Septiembre!E132+Octubre!E132+Noviembre!E132+Diciembre!E132</f>
        <v>21799135.140000001</v>
      </c>
      <c r="F132" s="14">
        <f>+Enero!F132+Febrero!F132+Marzo!F132+Abril!F132+Mayo!F132+Junio!F132+Julio!F132+Agosto!F132+Septiembre!F132+Octubre!F132+Noviembre!F132+Diciembre!F132</f>
        <v>43671148.2099213</v>
      </c>
      <c r="G132" s="14">
        <f>+Enero!G132+Febrero!G132+Marzo!G132+Abril!G132+Mayo!G132+Junio!G132+Julio!G132+Agosto!G132+Septiembre!G132+Octubre!G132+Noviembre!G132+Diciembre!G132</f>
        <v>1461016.55</v>
      </c>
      <c r="H132" s="14">
        <f>+Enero!H132+Febrero!H132+Marzo!H132+Abril!H132+Mayo!H132+Junio!H132+Julio!H132+Agosto!H132+Septiembre!H132+Octubre!H132+Noviembre!H132+Diciembre!H132</f>
        <v>0</v>
      </c>
      <c r="I132" s="13">
        <f t="shared" si="3"/>
        <v>66931299.899921298</v>
      </c>
    </row>
    <row r="133" spans="1:9" ht="15.75" x14ac:dyDescent="0.25">
      <c r="A133" s="8"/>
      <c r="B133" s="8"/>
      <c r="C133" s="9"/>
      <c r="D133" s="12" t="s">
        <v>129</v>
      </c>
      <c r="E133" s="14">
        <f>+Enero!E133+Febrero!E133+Marzo!E133+Abril!E133+Mayo!E133+Junio!E133+Julio!E133+Agosto!E133+Septiembre!E133+Octubre!E133+Noviembre!E133+Diciembre!E133</f>
        <v>15278546.559999999</v>
      </c>
      <c r="F133" s="14">
        <f>+Enero!F133+Febrero!F133+Marzo!F133+Abril!F133+Mayo!F133+Junio!F133+Julio!F133+Agosto!F133+Septiembre!F133+Octubre!F133+Noviembre!F133+Diciembre!F133</f>
        <v>0</v>
      </c>
      <c r="G133" s="14">
        <f>+Enero!G133+Febrero!G133+Marzo!G133+Abril!G133+Mayo!G133+Junio!G133+Julio!G133+Agosto!G133+Septiembre!G133+Octubre!G133+Noviembre!G133+Diciembre!G133</f>
        <v>52075770.250000007</v>
      </c>
      <c r="H133" s="14">
        <f>+Enero!H133+Febrero!H133+Marzo!H133+Abril!H133+Mayo!H133+Junio!H133+Julio!H133+Agosto!H133+Septiembre!H133+Octubre!H133+Noviembre!H133+Diciembre!H133</f>
        <v>33148551.500000007</v>
      </c>
      <c r="I133" s="13">
        <f t="shared" si="3"/>
        <v>100502868.31</v>
      </c>
    </row>
    <row r="134" spans="1:9" ht="15.75" x14ac:dyDescent="0.25">
      <c r="A134" s="8"/>
      <c r="B134" s="8"/>
      <c r="C134" s="9"/>
      <c r="D134" s="12" t="s">
        <v>130</v>
      </c>
      <c r="E134" s="14">
        <f>+Enero!E134+Febrero!E134+Marzo!E134+Abril!E134+Mayo!E134+Junio!E134+Julio!E134+Agosto!E134+Septiembre!E134+Octubre!E134+Noviembre!E134+Diciembre!E134</f>
        <v>4526887.9800000004</v>
      </c>
      <c r="F134" s="14">
        <f>+Enero!F134+Febrero!F134+Marzo!F134+Abril!F134+Mayo!F134+Junio!F134+Julio!F134+Agosto!F134+Septiembre!F134+Octubre!F134+Noviembre!F134+Diciembre!F134</f>
        <v>2154186.7344534807</v>
      </c>
      <c r="G134" s="14">
        <f>+Enero!G134+Febrero!G134+Marzo!G134+Abril!G134+Mayo!G134+Junio!G134+Julio!G134+Agosto!G134+Septiembre!G134+Octubre!G134+Noviembre!G134+Diciembre!G134</f>
        <v>170045.84</v>
      </c>
      <c r="H134" s="14">
        <f>+Enero!H134+Febrero!H134+Marzo!H134+Abril!H134+Mayo!H134+Junio!H134+Julio!H134+Agosto!H134+Septiembre!H134+Octubre!H134+Noviembre!H134+Diciembre!H134</f>
        <v>0</v>
      </c>
      <c r="I134" s="13">
        <f t="shared" si="3"/>
        <v>6851120.554453481</v>
      </c>
    </row>
    <row r="135" spans="1:9" ht="15.75" x14ac:dyDescent="0.25">
      <c r="A135" s="8"/>
      <c r="B135" s="8"/>
      <c r="C135" s="9"/>
      <c r="D135" s="12" t="s">
        <v>131</v>
      </c>
      <c r="E135" s="14">
        <f>+Enero!E135+Febrero!E135+Marzo!E135+Abril!E135+Mayo!E135+Junio!E135+Julio!E135+Agosto!E135+Septiembre!E135+Octubre!E135+Noviembre!E135+Diciembre!E135</f>
        <v>13654883.739999998</v>
      </c>
      <c r="F135" s="14">
        <f>+Enero!F135+Febrero!F135+Marzo!F135+Abril!F135+Mayo!F135+Junio!F135+Julio!F135+Agosto!F135+Septiembre!F135+Octubre!F135+Noviembre!F135+Diciembre!F135</f>
        <v>27221040.94109435</v>
      </c>
      <c r="G135" s="14">
        <f>+Enero!G135+Febrero!G135+Marzo!G135+Abril!G135+Mayo!G135+Junio!G135+Julio!G135+Agosto!G135+Septiembre!G135+Octubre!G135+Noviembre!G135+Diciembre!G135</f>
        <v>1869130.79</v>
      </c>
      <c r="H135" s="14">
        <f>+Enero!H135+Febrero!H135+Marzo!H135+Abril!H135+Mayo!H135+Junio!H135+Julio!H135+Agosto!H135+Septiembre!H135+Octubre!H135+Noviembre!H135+Diciembre!H135</f>
        <v>0</v>
      </c>
      <c r="I135" s="13">
        <f t="shared" si="3"/>
        <v>42745055.471094348</v>
      </c>
    </row>
    <row r="136" spans="1:9" ht="15.75" x14ac:dyDescent="0.25">
      <c r="A136" s="8"/>
      <c r="B136" s="8"/>
      <c r="C136" s="9"/>
      <c r="D136" s="12" t="s">
        <v>132</v>
      </c>
      <c r="E136" s="14">
        <f>+Enero!E136+Febrero!E136+Marzo!E136+Abril!E136+Mayo!E136+Junio!E136+Julio!E136+Agosto!E136+Septiembre!E136+Octubre!E136+Noviembre!E136+Diciembre!E136</f>
        <v>83724647.730000004</v>
      </c>
      <c r="F136" s="14">
        <f>+Enero!F136+Febrero!F136+Marzo!F136+Abril!F136+Mayo!F136+Junio!F136+Julio!F136+Agosto!F136+Septiembre!F136+Octubre!F136+Noviembre!F136+Diciembre!F136</f>
        <v>32900214.537653893</v>
      </c>
      <c r="G136" s="14">
        <f>+Enero!G136+Febrero!G136+Marzo!G136+Abril!G136+Mayo!G136+Junio!G136+Julio!G136+Agosto!G136+Septiembre!G136+Octubre!G136+Noviembre!G136+Diciembre!G136</f>
        <v>15991772.550000003</v>
      </c>
      <c r="H136" s="14">
        <f>+Enero!H136+Febrero!H136+Marzo!H136+Abril!H136+Mayo!H136+Junio!H136+Julio!H136+Agosto!H136+Septiembre!H136+Octubre!H136+Noviembre!H136+Diciembre!H136</f>
        <v>0</v>
      </c>
      <c r="I136" s="13">
        <f t="shared" si="3"/>
        <v>132616634.81765389</v>
      </c>
    </row>
    <row r="137" spans="1:9" ht="15.75" x14ac:dyDescent="0.25">
      <c r="A137" s="8"/>
      <c r="B137" s="8"/>
      <c r="C137" s="9"/>
      <c r="D137" s="12" t="s">
        <v>133</v>
      </c>
      <c r="E137" s="14">
        <f>+Enero!E137+Febrero!E137+Marzo!E137+Abril!E137+Mayo!E137+Junio!E137+Julio!E137+Agosto!E137+Septiembre!E137+Octubre!E137+Noviembre!E137+Diciembre!E137</f>
        <v>99190243.090000004</v>
      </c>
      <c r="F137" s="14">
        <f>+Enero!F137+Febrero!F137+Marzo!F137+Abril!F137+Mayo!F137+Junio!F137+Julio!F137+Agosto!F137+Septiembre!F137+Octubre!F137+Noviembre!F137+Diciembre!F137</f>
        <v>51729814.372651443</v>
      </c>
      <c r="G137" s="14">
        <f>+Enero!G137+Febrero!G137+Marzo!G137+Abril!G137+Mayo!G137+Junio!G137+Julio!G137+Agosto!G137+Septiembre!G137+Octubre!G137+Noviembre!G137+Diciembre!G137</f>
        <v>22901695.190000001</v>
      </c>
      <c r="H137" s="14">
        <f>+Enero!H137+Febrero!H137+Marzo!H137+Abril!H137+Mayo!H137+Junio!H137+Julio!H137+Agosto!H137+Septiembre!H137+Octubre!H137+Noviembre!H137+Diciembre!H137</f>
        <v>0</v>
      </c>
      <c r="I137" s="13">
        <f t="shared" si="3"/>
        <v>173821752.65265143</v>
      </c>
    </row>
    <row r="138" spans="1:9" ht="15.75" x14ac:dyDescent="0.25">
      <c r="A138" s="8"/>
      <c r="B138" s="8"/>
      <c r="C138" s="9"/>
      <c r="D138" s="12" t="s">
        <v>134</v>
      </c>
      <c r="E138" s="14">
        <f>+Enero!E138+Febrero!E138+Marzo!E138+Abril!E138+Mayo!E138+Junio!E138+Julio!E138+Agosto!E138+Septiembre!E138+Octubre!E138+Noviembre!E138+Diciembre!E138</f>
        <v>0</v>
      </c>
      <c r="F138" s="14">
        <f>+Enero!F138+Febrero!F138+Marzo!F138+Abril!F138+Mayo!F138+Junio!F138+Julio!F138+Agosto!F138+Septiembre!F138+Octubre!F138+Noviembre!F138+Diciembre!F138</f>
        <v>0</v>
      </c>
      <c r="G138" s="14">
        <f>+Enero!G138+Febrero!G138+Marzo!G138+Abril!G138+Mayo!G138+Junio!G138+Julio!G138+Agosto!G138+Septiembre!G138+Octubre!G138+Noviembre!G138+Diciembre!G138</f>
        <v>36911670.859999992</v>
      </c>
      <c r="H138" s="14">
        <f>+Enero!H138+Febrero!H138+Marzo!H138+Abril!H138+Mayo!H138+Junio!H138+Julio!H138+Agosto!H138+Septiembre!H138+Octubre!H138+Noviembre!H138+Diciembre!H138</f>
        <v>0</v>
      </c>
      <c r="I138" s="13">
        <f t="shared" ref="I138:I144" si="4">SUM(E138:H138)</f>
        <v>36911670.859999992</v>
      </c>
    </row>
    <row r="139" spans="1:9" ht="15.75" x14ac:dyDescent="0.25">
      <c r="A139" s="8"/>
      <c r="B139" s="8"/>
      <c r="C139" s="9"/>
      <c r="D139" s="12" t="s">
        <v>135</v>
      </c>
      <c r="E139" s="14">
        <f>+Enero!E139+Febrero!E139+Marzo!E139+Abril!E139+Mayo!E139+Junio!E139+Julio!E139+Agosto!E139+Septiembre!E139+Octubre!E139+Noviembre!E139+Diciembre!E139</f>
        <v>11988424.540000001</v>
      </c>
      <c r="F139" s="14">
        <f>+Enero!F139+Febrero!F139+Marzo!F139+Abril!F139+Mayo!F139+Junio!F139+Julio!F139+Agosto!F139+Septiembre!F139+Octubre!F139+Noviembre!F139+Diciembre!F139</f>
        <v>7745362.0937093701</v>
      </c>
      <c r="G139" s="14">
        <f>+Enero!G139+Febrero!G139+Marzo!G139+Abril!G139+Mayo!G139+Junio!G139+Julio!G139+Agosto!G139+Septiembre!G139+Octubre!G139+Noviembre!G139+Diciembre!G139</f>
        <v>3623031.04</v>
      </c>
      <c r="H139" s="14">
        <f>+Enero!H139+Febrero!H139+Marzo!H139+Abril!H139+Mayo!H139+Junio!H139+Julio!H139+Agosto!H139+Septiembre!H139+Octubre!H139+Noviembre!H139+Diciembre!H139</f>
        <v>0</v>
      </c>
      <c r="I139" s="13">
        <f t="shared" si="4"/>
        <v>23356817.67370937</v>
      </c>
    </row>
    <row r="140" spans="1:9" ht="15.75" x14ac:dyDescent="0.25">
      <c r="A140" s="8"/>
      <c r="B140" s="8"/>
      <c r="C140" s="9"/>
      <c r="D140" s="12" t="s">
        <v>136</v>
      </c>
      <c r="E140" s="14">
        <f>+Enero!E140+Febrero!E140+Marzo!E140+Abril!E140+Mayo!E140+Junio!E140+Julio!E140+Agosto!E140+Septiembre!E140+Octubre!E140+Noviembre!E140+Diciembre!E140</f>
        <v>55957276.93</v>
      </c>
      <c r="F140" s="14">
        <f>+Enero!F140+Febrero!F140+Marzo!F140+Abril!F140+Mayo!F140+Junio!F140+Julio!F140+Agosto!F140+Septiembre!F140+Octubre!F140+Noviembre!F140+Diciembre!F140</f>
        <v>54931635.294314772</v>
      </c>
      <c r="G140" s="14">
        <f>+Enero!G140+Febrero!G140+Marzo!G140+Abril!G140+Mayo!G140+Junio!G140+Julio!G140+Agosto!G140+Septiembre!G140+Octubre!G140+Noviembre!G140+Diciembre!G140</f>
        <v>9886981.5399999991</v>
      </c>
      <c r="H140" s="14">
        <f>+Enero!H140+Febrero!H140+Marzo!H140+Abril!H140+Mayo!H140+Junio!H140+Julio!H140+Agosto!H140+Septiembre!H140+Octubre!H140+Noviembre!H140+Diciembre!H140</f>
        <v>0</v>
      </c>
      <c r="I140" s="13">
        <f t="shared" si="4"/>
        <v>120775893.76431477</v>
      </c>
    </row>
    <row r="141" spans="1:9" ht="15.75" x14ac:dyDescent="0.25">
      <c r="A141" s="8"/>
      <c r="B141" s="8"/>
      <c r="C141" s="9"/>
      <c r="D141" s="12" t="s">
        <v>137</v>
      </c>
      <c r="E141" s="14">
        <f>+Enero!E141+Febrero!E141+Marzo!E141+Abril!E141+Mayo!E141+Junio!E141+Julio!E141+Agosto!E141+Septiembre!E141+Octubre!E141+Noviembre!E141+Diciembre!E141</f>
        <v>0</v>
      </c>
      <c r="F141" s="14">
        <f>+Enero!F141+Febrero!F141+Marzo!F141+Abril!F141+Mayo!F141+Junio!F141+Julio!F141+Agosto!F141+Septiembre!F141+Octubre!F141+Noviembre!F141+Diciembre!F141</f>
        <v>0</v>
      </c>
      <c r="G141" s="14">
        <f>+Enero!G141+Febrero!G141+Marzo!G141+Abril!G141+Mayo!G141+Junio!G141+Julio!G141+Agosto!G141+Septiembre!G141+Octubre!G141+Noviembre!G141+Diciembre!G141</f>
        <v>46129754.140000001</v>
      </c>
      <c r="H141" s="14">
        <f>+Enero!H141+Febrero!H141+Marzo!H141+Abril!H141+Mayo!H141+Junio!H141+Julio!H141+Agosto!H141+Septiembre!H141+Octubre!H141+Noviembre!H141+Diciembre!H141</f>
        <v>3577723.3350000009</v>
      </c>
      <c r="I141" s="13">
        <f t="shared" si="4"/>
        <v>49707477.475000001</v>
      </c>
    </row>
    <row r="142" spans="1:9" ht="15.75" x14ac:dyDescent="0.25">
      <c r="A142" s="8"/>
      <c r="B142" s="8"/>
      <c r="C142" s="9"/>
      <c r="D142" s="12" t="s">
        <v>138</v>
      </c>
      <c r="E142" s="14">
        <f>+Enero!E142+Febrero!E142+Marzo!E142+Abril!E142+Mayo!E142+Junio!E142+Julio!E142+Agosto!E142+Septiembre!E142+Octubre!E142+Noviembre!E142+Diciembre!E142</f>
        <v>180626.44</v>
      </c>
      <c r="F142" s="14">
        <f>+Enero!F142+Febrero!F142+Marzo!F142+Abril!F142+Mayo!F142+Junio!F142+Julio!F142+Agosto!F142+Septiembre!F142+Octubre!F142+Noviembre!F142+Diciembre!F142</f>
        <v>0</v>
      </c>
      <c r="G142" s="14">
        <f>+Enero!G142+Febrero!G142+Marzo!G142+Abril!G142+Mayo!G142+Junio!G142+Julio!G142+Agosto!G142+Septiembre!G142+Octubre!G142+Noviembre!G142+Diciembre!G142</f>
        <v>7226605.2599999998</v>
      </c>
      <c r="H142" s="14">
        <f>+Enero!H142+Febrero!H142+Marzo!H142+Abril!H142+Mayo!H142+Junio!H142+Julio!H142+Agosto!H142+Septiembre!H142+Octubre!H142+Noviembre!H142+Diciembre!H142</f>
        <v>0</v>
      </c>
      <c r="I142" s="13">
        <f t="shared" si="4"/>
        <v>7407231.7000000002</v>
      </c>
    </row>
    <row r="143" spans="1:9" ht="15.75" x14ac:dyDescent="0.25">
      <c r="A143" s="8"/>
      <c r="B143" s="8"/>
      <c r="C143" s="9"/>
      <c r="D143" s="12" t="s">
        <v>139</v>
      </c>
      <c r="E143" s="14">
        <f>+Enero!E143+Febrero!E143+Marzo!E143+Abril!E143+Mayo!E143+Junio!E143+Julio!E143+Agosto!E143+Septiembre!E143+Octubre!E143+Noviembre!E143+Diciembre!E143</f>
        <v>4944584.82</v>
      </c>
      <c r="F143" s="14">
        <f>+Enero!F143+Febrero!F143+Marzo!F143+Abril!F143+Mayo!F143+Junio!F143+Julio!F143+Agosto!F143+Septiembre!F143+Octubre!F143+Noviembre!F143+Diciembre!F143</f>
        <v>50770178.42274522</v>
      </c>
      <c r="G143" s="14">
        <f>+Enero!G143+Febrero!G143+Marzo!G143+Abril!G143+Mayo!G143+Junio!G143+Julio!G143+Agosto!G143+Septiembre!G143+Octubre!G143+Noviembre!G143+Diciembre!G143</f>
        <v>1351579.0999999999</v>
      </c>
      <c r="H143" s="14">
        <f>+Enero!H143+Febrero!H143+Marzo!H143+Abril!H143+Mayo!H143+Junio!H143+Julio!H143+Agosto!H143+Septiembre!H143+Octubre!H143+Noviembre!H143+Diciembre!H143</f>
        <v>0</v>
      </c>
      <c r="I143" s="13">
        <f t="shared" si="4"/>
        <v>57066342.342745222</v>
      </c>
    </row>
    <row r="144" spans="1:9" ht="15.75" x14ac:dyDescent="0.25">
      <c r="A144" s="8"/>
      <c r="B144" s="8"/>
      <c r="C144" s="9"/>
      <c r="D144" s="12" t="s">
        <v>140</v>
      </c>
      <c r="E144" s="14">
        <f>+Enero!E144+Febrero!E144+Marzo!E144+Abril!E144+Mayo!E144+Junio!E144+Julio!E144+Agosto!E144+Septiembre!E144+Octubre!E144+Noviembre!E144+Diciembre!E144</f>
        <v>41012105.530000001</v>
      </c>
      <c r="F144" s="14">
        <f>+Enero!F144+Febrero!F144+Marzo!F144+Abril!F144+Mayo!F144+Junio!F144+Julio!F144+Agosto!F144+Septiembre!F144+Octubre!F144+Noviembre!F144+Diciembre!F144</f>
        <v>6168727.0086856047</v>
      </c>
      <c r="G144" s="14">
        <f>+Enero!G144+Febrero!G144+Marzo!G144+Abril!G144+Mayo!G144+Junio!G144+Julio!G144+Agosto!G144+Septiembre!G144+Octubre!G144+Noviembre!G144+Diciembre!G144</f>
        <v>10977641.659999998</v>
      </c>
      <c r="H144" s="14">
        <f>+Enero!H144+Febrero!H144+Marzo!H144+Abril!H144+Mayo!H144+Junio!H144+Julio!H144+Agosto!H144+Septiembre!H144+Octubre!H144+Noviembre!H144+Diciembre!H144</f>
        <v>0</v>
      </c>
      <c r="I144" s="13">
        <f t="shared" si="4"/>
        <v>58158474.198685601</v>
      </c>
    </row>
    <row r="145" spans="1:9" ht="24.75" customHeight="1" x14ac:dyDescent="0.2">
      <c r="A145" s="2"/>
      <c r="B145" s="2"/>
      <c r="C145" s="10"/>
      <c r="D145" s="21" t="s">
        <v>141</v>
      </c>
      <c r="E145" s="22">
        <f>SUM(E10:E144)</f>
        <v>4210984555.4900017</v>
      </c>
      <c r="F145" s="22">
        <f>SUM(F10:F144)</f>
        <v>2528567649.0069289</v>
      </c>
      <c r="G145" s="22">
        <f>SUM(G10:G144)</f>
        <v>2037583854.9899998</v>
      </c>
      <c r="H145" s="22">
        <f>SUM(H10:H144)</f>
        <v>95935124.580000013</v>
      </c>
      <c r="I145" s="22">
        <f>SUM(I10:I144)</f>
        <v>8873071184.0669308</v>
      </c>
    </row>
  </sheetData>
  <customSheetViews>
    <customSheetView guid="{F1F511AB-5865-40AB-8DB4-DDEDE7CBB603}" scale="80" showGridLines="0" fitToPage="1">
      <selection activeCell="I20" sqref="I20"/>
      <pageMargins left="0" right="0" top="0.19685039370078741" bottom="0.43307086614173229" header="0.15748031496062992" footer="0"/>
      <printOptions horizontalCentered="1"/>
      <pageSetup paperSize="9" scale="86" fitToHeight="7" orientation="landscape" horizontalDpi="300" verticalDpi="300" r:id="rId1"/>
      <headerFooter alignWithMargins="0">
        <oddFooter>&amp;C&amp;"Arial,Negrita"&amp;K09-024Ministerio de Economía &amp;"Arial,Normal"&amp;K000000| Subsecretaría de Coordinación Económica | Dirección Provincial de Coordinación Municipal&amp;R&amp;P</oddFooter>
      </headerFooter>
    </customSheetView>
    <customSheetView guid="{1154F945-E781-4016-ADEC-250E9B61A614}" scale="80" showGridLines="0" fitToPage="1">
      <pane xSplit="4" ySplit="9" topLeftCell="E10" activePane="bottomRight" state="frozen"/>
      <selection pane="bottomRight" activeCell="M10" sqref="M10"/>
      <pageMargins left="0" right="0" top="0.19685039370078741" bottom="0.43307086614173229" header="0.15748031496062992" footer="0"/>
      <printOptions horizontalCentered="1"/>
      <pageSetup paperSize="9" scale="85" fitToHeight="7" orientation="landscape" horizontalDpi="300" verticalDpi="300" r:id="rId2"/>
      <headerFooter alignWithMargins="0">
        <oddFooter>&amp;C&amp;"Arial,Negrita"&amp;K09-023MINISTERIO DE ECONOMÍA - SUBSECRETARÍA DE COORDINACIÓN ECONÓMICA
Dirección Provincial de Coordinación Municipal &amp;R&amp;P</oddFooter>
      </headerFooter>
    </customSheetView>
  </customSheetViews>
  <mergeCells count="2">
    <mergeCell ref="D8:D9"/>
    <mergeCell ref="E8:I8"/>
  </mergeCells>
  <printOptions horizontalCentered="1"/>
  <pageMargins left="0" right="0" top="0.19685039370078741" bottom="0.55118110236220474" header="0.15748031496062992" footer="0"/>
  <pageSetup paperSize="9" scale="54" fitToHeight="7" orientation="portrait" r:id="rId3"/>
  <headerFooter alignWithMargins="0">
    <oddFooter>&amp;C&amp;"Arial,Normal"&amp;9Subsecretaría de Coordinación Económica y Estadística
MINISTERIO DE HACIENDA Y FINANZAS&amp;R&amp;P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26</vt:i4>
      </vt:variant>
    </vt:vector>
  </HeadingPairs>
  <TitlesOfParts>
    <vt:vector size="3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Acumulado</vt:lpstr>
      <vt:lpstr>Abril!Área_de_impresión</vt:lpstr>
      <vt:lpstr>Acumulado!Área_de_impresión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Acumulado!Títulos_a_imprimir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Mariela Tuerde</cp:lastModifiedBy>
  <cp:lastPrinted>2021-02-02T11:49:13Z</cp:lastPrinted>
  <dcterms:created xsi:type="dcterms:W3CDTF">2012-05-08T13:32:03Z</dcterms:created>
  <dcterms:modified xsi:type="dcterms:W3CDTF">2022-01-05T12:37:11Z</dcterms:modified>
</cp:coreProperties>
</file>