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2\12 - Diciembre\"/>
    </mc:Choice>
  </mc:AlternateContent>
  <bookViews>
    <workbookView xWindow="-165" yWindow="-495" windowWidth="19725" windowHeight="6435" firstSheet="4" activeTab="11"/>
  </bookViews>
  <sheets>
    <sheet name="Enero" sheetId="1" r:id="rId1"/>
    <sheet name="Febrero" sheetId="21" r:id="rId2"/>
    <sheet name="Marzo" sheetId="22" r:id="rId3"/>
    <sheet name="Abril" sheetId="23" r:id="rId4"/>
    <sheet name="Mayo" sheetId="24" r:id="rId5"/>
    <sheet name="Junio" sheetId="35" r:id="rId6"/>
    <sheet name="Julio" sheetId="36" r:id="rId7"/>
    <sheet name="Agosto" sheetId="37" r:id="rId8"/>
    <sheet name="Septiembre" sheetId="38" r:id="rId9"/>
    <sheet name="Octubre" sheetId="39" r:id="rId10"/>
    <sheet name="Noviembre" sheetId="40" r:id="rId11"/>
    <sheet name="Diciembre" sheetId="41" r:id="rId12"/>
    <sheet name="Acumulado" sheetId="18" r:id="rId13"/>
  </sheets>
  <externalReferences>
    <externalReference r:id="rId14"/>
    <externalReference r:id="rId15"/>
    <externalReference r:id="rId16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0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Abril!$B$9:$G$145</definedName>
    <definedName name="_xlnm._FilterDatabase" localSheetId="12" hidden="1">Acumulado!$B$9:$G$145</definedName>
    <definedName name="_xlnm._FilterDatabase" localSheetId="7" hidden="1">Agosto!$B$9:$G$145</definedName>
    <definedName name="_xlnm._FilterDatabase" localSheetId="11" hidden="1">Diciembre!$B$9:$G$145</definedName>
    <definedName name="_xlnm._FilterDatabase" localSheetId="0" hidden="1">Enero!$B$9:$G$145</definedName>
    <definedName name="_xlnm._FilterDatabase" localSheetId="1" hidden="1">Febrero!$B$9:$G$145</definedName>
    <definedName name="_xlnm._FilterDatabase" localSheetId="6" hidden="1">Julio!$B$9:$G$145</definedName>
    <definedName name="_xlnm._FilterDatabase" localSheetId="5" hidden="1">Junio!$B$9:$G$145</definedName>
    <definedName name="_xlnm._FilterDatabase" localSheetId="2" hidden="1">Marzo!$B$9:$G$145</definedName>
    <definedName name="_xlnm._FilterDatabase" localSheetId="4" hidden="1">Mayo!$B$9:$G$145</definedName>
    <definedName name="_xlnm._FilterDatabase" localSheetId="10" hidden="1">Noviembre!$B$9:$G$145</definedName>
    <definedName name="_xlnm._FilterDatabase" localSheetId="9" hidden="1">Octubre!$B$9:$G$145</definedName>
    <definedName name="_xlnm._FilterDatabase" localSheetId="8" hidden="1">Septiembre!$B$9:$G$145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0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0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Abril!$D$1:$I$145</definedName>
    <definedName name="_xlnm.Print_Area" localSheetId="12">Acumulado!$D$1:$I$145</definedName>
    <definedName name="_xlnm.Print_Area" localSheetId="7">Agosto!$D$1:$I$145</definedName>
    <definedName name="_xlnm.Print_Area" localSheetId="11">Diciembre!$D$1:$I$145</definedName>
    <definedName name="_xlnm.Print_Area" localSheetId="0">Enero!$D$1:$I$145</definedName>
    <definedName name="_xlnm.Print_Area" localSheetId="1">Febrero!$D$1:$I$145</definedName>
    <definedName name="_xlnm.Print_Area" localSheetId="6">Julio!$D$1:$I$145</definedName>
    <definedName name="_xlnm.Print_Area" localSheetId="5">Junio!$D$1:$I$145</definedName>
    <definedName name="_xlnm.Print_Area" localSheetId="2">Marzo!$D$1:$I$145</definedName>
    <definedName name="_xlnm.Print_Area" localSheetId="4">Mayo!$D$1:$I$145</definedName>
    <definedName name="_xlnm.Print_Area" localSheetId="10">Noviembre!$D$1:$I$145</definedName>
    <definedName name="_xlnm.Print_Area" localSheetId="9">Octubre!$D$1:$I$145</definedName>
    <definedName name="_xlnm.Print_Area" localSheetId="8">Septiembre!$D$1:$I$145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0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0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h" localSheetId="3">#REF!</definedName>
    <definedName name="h" localSheetId="7">#REF!</definedName>
    <definedName name="h" localSheetId="11">#REF!</definedName>
    <definedName name="h" localSheetId="1">#REF!</definedName>
    <definedName name="h" localSheetId="6">#REF!</definedName>
    <definedName name="h" localSheetId="5">#REF!</definedName>
    <definedName name="h" localSheetId="2">#REF!</definedName>
    <definedName name="h" localSheetId="4">#REF!</definedName>
    <definedName name="h" localSheetId="10">#REF!</definedName>
    <definedName name="h" localSheetId="9">#REF!</definedName>
    <definedName name="h" localSheetId="8">#REF!</definedName>
    <definedName name="h">#REF!</definedName>
    <definedName name="Junio" localSheetId="3" hidden="1">#REF!</definedName>
    <definedName name="Junio" localSheetId="7" hidden="1">#REF!</definedName>
    <definedName name="Junio" localSheetId="11" hidden="1">#REF!</definedName>
    <definedName name="Junio" localSheetId="1" hidden="1">#REF!</definedName>
    <definedName name="Junio" localSheetId="6" hidden="1">#REF!</definedName>
    <definedName name="Junio" localSheetId="5" hidden="1">#REF!</definedName>
    <definedName name="Junio" localSheetId="2" hidden="1">#REF!</definedName>
    <definedName name="Junio" localSheetId="4" hidden="1">#REF!</definedName>
    <definedName name="Junio" localSheetId="10" hidden="1">#REF!</definedName>
    <definedName name="Junio" localSheetId="9" hidden="1">#REF!</definedName>
    <definedName name="Junio" localSheetId="8" hidden="1">#REF!</definedName>
    <definedName name="Junio" hidden="1">#REF!</definedName>
    <definedName name="_xlnm.Print_Titles" localSheetId="3">Abril!$D:$D,Abril!$1:$9</definedName>
    <definedName name="_xlnm.Print_Titles" localSheetId="12">Acumulado!$D:$D,Acumulado!$1:$9</definedName>
    <definedName name="_xlnm.Print_Titles" localSheetId="7">Agosto!$D:$D,Agosto!$1:$9</definedName>
    <definedName name="_xlnm.Print_Titles" localSheetId="11">Diciembre!$D:$D,Diciembre!$1:$9</definedName>
    <definedName name="_xlnm.Print_Titles" localSheetId="0">Enero!$D:$D,Enero!$1:$9</definedName>
    <definedName name="_xlnm.Print_Titles" localSheetId="1">Febrero!$D:$D,Febrero!$1:$9</definedName>
    <definedName name="_xlnm.Print_Titles" localSheetId="6">Julio!$D:$D,Julio!$1:$9</definedName>
    <definedName name="_xlnm.Print_Titles" localSheetId="5">Junio!$D:$D,Junio!$1:$9</definedName>
    <definedName name="_xlnm.Print_Titles" localSheetId="2">Marzo!$D:$D,Marzo!$1:$9</definedName>
    <definedName name="_xlnm.Print_Titles" localSheetId="4">Mayo!$D:$D,Mayo!$1:$9</definedName>
    <definedName name="_xlnm.Print_Titles" localSheetId="10">Noviembre!$D:$D,Noviembre!$1:$9</definedName>
    <definedName name="_xlnm.Print_Titles" localSheetId="9">Octubre!$D:$D,Octubre!$1:$9</definedName>
    <definedName name="_xlnm.Print_Titles" localSheetId="8">Septiembre!$D:$D,Septiembre!$1:$9</definedName>
    <definedName name="Z_1154F945_E781_4016_ADEC_250E9B61A614_.wvu.FilterData" localSheetId="3" hidden="1">Abril!$B$9:$G$145</definedName>
    <definedName name="Z_1154F945_E781_4016_ADEC_250E9B61A614_.wvu.FilterData" localSheetId="12" hidden="1">Acumulado!$B$9:$G$145</definedName>
    <definedName name="Z_1154F945_E781_4016_ADEC_250E9B61A614_.wvu.FilterData" localSheetId="7" hidden="1">Agosto!$B$9:$G$145</definedName>
    <definedName name="Z_1154F945_E781_4016_ADEC_250E9B61A614_.wvu.FilterData" localSheetId="11" hidden="1">Diciembre!$B$9:$G$145</definedName>
    <definedName name="Z_1154F945_E781_4016_ADEC_250E9B61A614_.wvu.FilterData" localSheetId="0" hidden="1">Enero!$B$9:$G$145</definedName>
    <definedName name="Z_1154F945_E781_4016_ADEC_250E9B61A614_.wvu.FilterData" localSheetId="1" hidden="1">Febrero!$B$9:$G$145</definedName>
    <definedName name="Z_1154F945_E781_4016_ADEC_250E9B61A614_.wvu.FilterData" localSheetId="6" hidden="1">Julio!$B$9:$G$145</definedName>
    <definedName name="Z_1154F945_E781_4016_ADEC_250E9B61A614_.wvu.FilterData" localSheetId="5" hidden="1">Junio!$B$9:$G$145</definedName>
    <definedName name="Z_1154F945_E781_4016_ADEC_250E9B61A614_.wvu.FilterData" localSheetId="2" hidden="1">Marzo!$B$9:$G$145</definedName>
    <definedName name="Z_1154F945_E781_4016_ADEC_250E9B61A614_.wvu.FilterData" localSheetId="4" hidden="1">Mayo!$B$9:$G$145</definedName>
    <definedName name="Z_1154F945_E781_4016_ADEC_250E9B61A614_.wvu.FilterData" localSheetId="10" hidden="1">Noviembre!$B$9:$G$145</definedName>
    <definedName name="Z_1154F945_E781_4016_ADEC_250E9B61A614_.wvu.FilterData" localSheetId="9" hidden="1">Octubre!$B$9:$G$145</definedName>
    <definedName name="Z_1154F945_E781_4016_ADEC_250E9B61A614_.wvu.FilterData" localSheetId="8" hidden="1">Septiembre!$B$9:$G$145</definedName>
    <definedName name="Z_1154F945_E781_4016_ADEC_250E9B61A614_.wvu.PrintArea" localSheetId="3" hidden="1">Abril!$D$1:$I$145</definedName>
    <definedName name="Z_1154F945_E781_4016_ADEC_250E9B61A614_.wvu.PrintArea" localSheetId="12" hidden="1">Acumulado!$D$1:$I$145</definedName>
    <definedName name="Z_1154F945_E781_4016_ADEC_250E9B61A614_.wvu.PrintArea" localSheetId="7" hidden="1">Agosto!$D$1:$I$145</definedName>
    <definedName name="Z_1154F945_E781_4016_ADEC_250E9B61A614_.wvu.PrintArea" localSheetId="11" hidden="1">Diciembre!$D$1:$I$145</definedName>
    <definedName name="Z_1154F945_E781_4016_ADEC_250E9B61A614_.wvu.PrintArea" localSheetId="0" hidden="1">Enero!$D$1:$I$145</definedName>
    <definedName name="Z_1154F945_E781_4016_ADEC_250E9B61A614_.wvu.PrintArea" localSheetId="1" hidden="1">Febrero!$D$1:$I$145</definedName>
    <definedName name="Z_1154F945_E781_4016_ADEC_250E9B61A614_.wvu.PrintArea" localSheetId="6" hidden="1">Julio!$D$1:$I$145</definedName>
    <definedName name="Z_1154F945_E781_4016_ADEC_250E9B61A614_.wvu.PrintArea" localSheetId="5" hidden="1">Junio!$D$1:$I$145</definedName>
    <definedName name="Z_1154F945_E781_4016_ADEC_250E9B61A614_.wvu.PrintArea" localSheetId="2" hidden="1">Marzo!$D$1:$I$145</definedName>
    <definedName name="Z_1154F945_E781_4016_ADEC_250E9B61A614_.wvu.PrintArea" localSheetId="4" hidden="1">Mayo!$D$1:$I$145</definedName>
    <definedName name="Z_1154F945_E781_4016_ADEC_250E9B61A614_.wvu.PrintArea" localSheetId="10" hidden="1">Noviembre!$D$1:$I$145</definedName>
    <definedName name="Z_1154F945_E781_4016_ADEC_250E9B61A614_.wvu.PrintArea" localSheetId="9" hidden="1">Octubre!$D$1:$I$145</definedName>
    <definedName name="Z_1154F945_E781_4016_ADEC_250E9B61A614_.wvu.PrintArea" localSheetId="8" hidden="1">Septiembre!$D$1:$I$145</definedName>
    <definedName name="Z_1154F945_E781_4016_ADEC_250E9B61A614_.wvu.PrintTitles" localSheetId="3" hidden="1">Abril!$D:$D,Abril!$1:$9</definedName>
    <definedName name="Z_1154F945_E781_4016_ADEC_250E9B61A614_.wvu.PrintTitles" localSheetId="12" hidden="1">Acumulado!$D:$D,Acumulado!$1:$9</definedName>
    <definedName name="Z_1154F945_E781_4016_ADEC_250E9B61A614_.wvu.PrintTitles" localSheetId="7" hidden="1">Agosto!$D:$D,Agosto!$1:$9</definedName>
    <definedName name="Z_1154F945_E781_4016_ADEC_250E9B61A614_.wvu.PrintTitles" localSheetId="11" hidden="1">Diciembre!$D:$D,Diciembre!$1:$9</definedName>
    <definedName name="Z_1154F945_E781_4016_ADEC_250E9B61A614_.wvu.PrintTitles" localSheetId="0" hidden="1">Enero!$D:$D,Enero!$1:$9</definedName>
    <definedName name="Z_1154F945_E781_4016_ADEC_250E9B61A614_.wvu.PrintTitles" localSheetId="1" hidden="1">Febrero!$D:$D,Febrero!$1:$9</definedName>
    <definedName name="Z_1154F945_E781_4016_ADEC_250E9B61A614_.wvu.PrintTitles" localSheetId="6" hidden="1">Julio!$D:$D,Julio!$1:$9</definedName>
    <definedName name="Z_1154F945_E781_4016_ADEC_250E9B61A614_.wvu.PrintTitles" localSheetId="5" hidden="1">Junio!$D:$D,Junio!$1:$9</definedName>
    <definedName name="Z_1154F945_E781_4016_ADEC_250E9B61A614_.wvu.PrintTitles" localSheetId="2" hidden="1">Marzo!$D:$D,Marzo!$1:$9</definedName>
    <definedName name="Z_1154F945_E781_4016_ADEC_250E9B61A614_.wvu.PrintTitles" localSheetId="4" hidden="1">Mayo!$D:$D,Mayo!$1:$9</definedName>
    <definedName name="Z_1154F945_E781_4016_ADEC_250E9B61A614_.wvu.PrintTitles" localSheetId="10" hidden="1">Noviembre!$D:$D,Noviembre!$1:$9</definedName>
    <definedName name="Z_1154F945_E781_4016_ADEC_250E9B61A614_.wvu.PrintTitles" localSheetId="9" hidden="1">Octubre!$D:$D,Octubre!$1:$9</definedName>
    <definedName name="Z_1154F945_E781_4016_ADEC_250E9B61A614_.wvu.PrintTitles" localSheetId="8" hidden="1">Septiembre!$D:$D,Septiembre!$1:$9</definedName>
    <definedName name="Z_F1F511AB_5865_40AB_8DB4_DDEDE7CBB603_.wvu.FilterData" localSheetId="3" hidden="1">Abril!$B$9:$G$145</definedName>
    <definedName name="Z_F1F511AB_5865_40AB_8DB4_DDEDE7CBB603_.wvu.FilterData" localSheetId="12" hidden="1">Acumulado!$B$9:$G$145</definedName>
    <definedName name="Z_F1F511AB_5865_40AB_8DB4_DDEDE7CBB603_.wvu.FilterData" localSheetId="7" hidden="1">Agosto!$B$9:$G$145</definedName>
    <definedName name="Z_F1F511AB_5865_40AB_8DB4_DDEDE7CBB603_.wvu.FilterData" localSheetId="11" hidden="1">Diciembre!$B$9:$G$145</definedName>
    <definedName name="Z_F1F511AB_5865_40AB_8DB4_DDEDE7CBB603_.wvu.FilterData" localSheetId="0" hidden="1">Enero!$B$9:$G$145</definedName>
    <definedName name="Z_F1F511AB_5865_40AB_8DB4_DDEDE7CBB603_.wvu.FilterData" localSheetId="1" hidden="1">Febrero!$B$9:$G$145</definedName>
    <definedName name="Z_F1F511AB_5865_40AB_8DB4_DDEDE7CBB603_.wvu.FilterData" localSheetId="6" hidden="1">Julio!$B$9:$G$145</definedName>
    <definedName name="Z_F1F511AB_5865_40AB_8DB4_DDEDE7CBB603_.wvu.FilterData" localSheetId="5" hidden="1">Junio!$B$9:$G$145</definedName>
    <definedName name="Z_F1F511AB_5865_40AB_8DB4_DDEDE7CBB603_.wvu.FilterData" localSheetId="2" hidden="1">Marzo!$B$9:$G$145</definedName>
    <definedName name="Z_F1F511AB_5865_40AB_8DB4_DDEDE7CBB603_.wvu.FilterData" localSheetId="4" hidden="1">Mayo!$B$9:$G$145</definedName>
    <definedName name="Z_F1F511AB_5865_40AB_8DB4_DDEDE7CBB603_.wvu.FilterData" localSheetId="10" hidden="1">Noviembre!$B$9:$G$145</definedName>
    <definedName name="Z_F1F511AB_5865_40AB_8DB4_DDEDE7CBB603_.wvu.FilterData" localSheetId="9" hidden="1">Octubre!$B$9:$G$145</definedName>
    <definedName name="Z_F1F511AB_5865_40AB_8DB4_DDEDE7CBB603_.wvu.FilterData" localSheetId="8" hidden="1">Septiembre!$B$9:$G$145</definedName>
    <definedName name="Z_F1F511AB_5865_40AB_8DB4_DDEDE7CBB603_.wvu.PrintArea" localSheetId="3" hidden="1">Abril!$D$1:$I$145</definedName>
    <definedName name="Z_F1F511AB_5865_40AB_8DB4_DDEDE7CBB603_.wvu.PrintArea" localSheetId="12" hidden="1">Acumulado!$D$1:$I$145</definedName>
    <definedName name="Z_F1F511AB_5865_40AB_8DB4_DDEDE7CBB603_.wvu.PrintArea" localSheetId="7" hidden="1">Agosto!$D$1:$I$145</definedName>
    <definedName name="Z_F1F511AB_5865_40AB_8DB4_DDEDE7CBB603_.wvu.PrintArea" localSheetId="11" hidden="1">Diciembre!$D$1:$I$145</definedName>
    <definedName name="Z_F1F511AB_5865_40AB_8DB4_DDEDE7CBB603_.wvu.PrintArea" localSheetId="0" hidden="1">Enero!$D$1:$I$145</definedName>
    <definedName name="Z_F1F511AB_5865_40AB_8DB4_DDEDE7CBB603_.wvu.PrintArea" localSheetId="1" hidden="1">Febrero!$D$1:$I$145</definedName>
    <definedName name="Z_F1F511AB_5865_40AB_8DB4_DDEDE7CBB603_.wvu.PrintArea" localSheetId="6" hidden="1">Julio!$D$1:$I$145</definedName>
    <definedName name="Z_F1F511AB_5865_40AB_8DB4_DDEDE7CBB603_.wvu.PrintArea" localSheetId="5" hidden="1">Junio!$D$1:$I$145</definedName>
    <definedName name="Z_F1F511AB_5865_40AB_8DB4_DDEDE7CBB603_.wvu.PrintArea" localSheetId="2" hidden="1">Marzo!$D$1:$I$145</definedName>
    <definedName name="Z_F1F511AB_5865_40AB_8DB4_DDEDE7CBB603_.wvu.PrintArea" localSheetId="4" hidden="1">Mayo!$D$1:$I$145</definedName>
    <definedName name="Z_F1F511AB_5865_40AB_8DB4_DDEDE7CBB603_.wvu.PrintArea" localSheetId="10" hidden="1">Noviembre!$D$1:$I$145</definedName>
    <definedName name="Z_F1F511AB_5865_40AB_8DB4_DDEDE7CBB603_.wvu.PrintArea" localSheetId="9" hidden="1">Octubre!$D$1:$I$145</definedName>
    <definedName name="Z_F1F511AB_5865_40AB_8DB4_DDEDE7CBB603_.wvu.PrintArea" localSheetId="8" hidden="1">Septiembre!$D$1:$I$145</definedName>
    <definedName name="Z_F1F511AB_5865_40AB_8DB4_DDEDE7CBB603_.wvu.PrintTitles" localSheetId="3" hidden="1">Abril!$D:$D,Abril!$1:$9</definedName>
    <definedName name="Z_F1F511AB_5865_40AB_8DB4_DDEDE7CBB603_.wvu.PrintTitles" localSheetId="12" hidden="1">Acumulado!$D:$D,Acumulado!$1:$9</definedName>
    <definedName name="Z_F1F511AB_5865_40AB_8DB4_DDEDE7CBB603_.wvu.PrintTitles" localSheetId="7" hidden="1">Agosto!$D:$D,Agosto!$1:$9</definedName>
    <definedName name="Z_F1F511AB_5865_40AB_8DB4_DDEDE7CBB603_.wvu.PrintTitles" localSheetId="11" hidden="1">Diciembre!$D:$D,Diciembre!$1:$9</definedName>
    <definedName name="Z_F1F511AB_5865_40AB_8DB4_DDEDE7CBB603_.wvu.PrintTitles" localSheetId="0" hidden="1">Enero!$D:$D,Enero!$1:$9</definedName>
    <definedName name="Z_F1F511AB_5865_40AB_8DB4_DDEDE7CBB603_.wvu.PrintTitles" localSheetId="1" hidden="1">Febrero!$D:$D,Febrero!$1:$9</definedName>
    <definedName name="Z_F1F511AB_5865_40AB_8DB4_DDEDE7CBB603_.wvu.PrintTitles" localSheetId="6" hidden="1">Julio!$D:$D,Julio!$1:$9</definedName>
    <definedName name="Z_F1F511AB_5865_40AB_8DB4_DDEDE7CBB603_.wvu.PrintTitles" localSheetId="5" hidden="1">Junio!$D:$D,Junio!$1:$9</definedName>
    <definedName name="Z_F1F511AB_5865_40AB_8DB4_DDEDE7CBB603_.wvu.PrintTitles" localSheetId="2" hidden="1">Marzo!$D:$D,Marzo!$1:$9</definedName>
    <definedName name="Z_F1F511AB_5865_40AB_8DB4_DDEDE7CBB603_.wvu.PrintTitles" localSheetId="4" hidden="1">Mayo!$D:$D,Mayo!$1:$9</definedName>
    <definedName name="Z_F1F511AB_5865_40AB_8DB4_DDEDE7CBB603_.wvu.PrintTitles" localSheetId="10" hidden="1">Noviembre!$D:$D,Noviembre!$1:$9</definedName>
    <definedName name="Z_F1F511AB_5865_40AB_8DB4_DDEDE7CBB603_.wvu.PrintTitles" localSheetId="9" hidden="1">Octubre!$D:$D,Octubre!$1:$9</definedName>
    <definedName name="Z_F1F511AB_5865_40AB_8DB4_DDEDE7CBB603_.wvu.PrintTitles" localSheetId="8" hidden="1">Septiembre!$D:$D,Septiembre!$1:$9</definedName>
  </definedNames>
  <calcPr calcId="162913"/>
  <customWorkbookViews>
    <customWorkbookView name="paola - Vista personalizada" guid="{F1F511AB-5865-40AB-8DB4-DDEDE7CBB603}" mergeInterval="0" personalView="1" maximized="1" windowWidth="1436" windowHeight="635" activeSheetId="18"/>
    <customWorkbookView name="Eliana Beatriz Koladynski - Vista personalizada" guid="{1154F945-E781-4016-ADEC-250E9B61A614}" mergeInterval="0" personalView="1" maximized="1" windowWidth="1362" windowHeight="462" activeSheetId="18"/>
  </customWorkbookViews>
</workbook>
</file>

<file path=xl/calcChain.xml><?xml version="1.0" encoding="utf-8"?>
<calcChain xmlns="http://schemas.openxmlformats.org/spreadsheetml/2006/main">
  <c r="I10" i="41" l="1"/>
  <c r="I144" i="41" l="1"/>
  <c r="I143" i="41"/>
  <c r="I142" i="41"/>
  <c r="I141" i="41"/>
  <c r="I140" i="41"/>
  <c r="I139" i="41"/>
  <c r="I138" i="41"/>
  <c r="I137" i="41"/>
  <c r="I136" i="41"/>
  <c r="I135" i="41"/>
  <c r="I134" i="41"/>
  <c r="I133" i="41"/>
  <c r="I132" i="41"/>
  <c r="I131" i="41"/>
  <c r="I130" i="41"/>
  <c r="I129" i="41"/>
  <c r="I128" i="41"/>
  <c r="I127" i="41"/>
  <c r="I126" i="41"/>
  <c r="I125" i="41"/>
  <c r="I124" i="41"/>
  <c r="I123" i="41"/>
  <c r="I122" i="41"/>
  <c r="I121" i="41"/>
  <c r="I120" i="41"/>
  <c r="I119" i="41"/>
  <c r="I118" i="41"/>
  <c r="I117" i="41"/>
  <c r="I116" i="41"/>
  <c r="I115" i="41"/>
  <c r="I114" i="41"/>
  <c r="I113" i="41"/>
  <c r="I112" i="41"/>
  <c r="I111" i="41"/>
  <c r="I110" i="41"/>
  <c r="I109" i="41"/>
  <c r="I108" i="41"/>
  <c r="I107" i="41"/>
  <c r="I106" i="41"/>
  <c r="I105" i="41"/>
  <c r="I104" i="41"/>
  <c r="I103" i="41"/>
  <c r="I102" i="41"/>
  <c r="I101" i="41"/>
  <c r="I100" i="41"/>
  <c r="I99" i="41"/>
  <c r="I98" i="41"/>
  <c r="I97" i="41"/>
  <c r="I96" i="41"/>
  <c r="I95" i="41"/>
  <c r="I94" i="41"/>
  <c r="I93" i="41"/>
  <c r="I92" i="41"/>
  <c r="I91" i="41"/>
  <c r="I90" i="41"/>
  <c r="I89" i="41"/>
  <c r="I88" i="41"/>
  <c r="I87" i="41"/>
  <c r="I86" i="41"/>
  <c r="I85" i="41"/>
  <c r="I84" i="41"/>
  <c r="I83" i="41"/>
  <c r="I82" i="41"/>
  <c r="I81" i="41"/>
  <c r="I80" i="41"/>
  <c r="I79" i="41"/>
  <c r="I78" i="41"/>
  <c r="I77" i="41"/>
  <c r="I76" i="41"/>
  <c r="I75" i="41"/>
  <c r="I74" i="41"/>
  <c r="I73" i="41"/>
  <c r="I72" i="41"/>
  <c r="I71" i="41"/>
  <c r="I70" i="41"/>
  <c r="I69" i="41"/>
  <c r="I68" i="41"/>
  <c r="I67" i="41"/>
  <c r="I66" i="41"/>
  <c r="I65" i="41"/>
  <c r="I64" i="41"/>
  <c r="I63" i="41"/>
  <c r="I62" i="41"/>
  <c r="I61" i="41"/>
  <c r="I60" i="41"/>
  <c r="I59" i="41"/>
  <c r="I58" i="41"/>
  <c r="I57" i="41"/>
  <c r="I56" i="41"/>
  <c r="I55" i="41"/>
  <c r="I54" i="41"/>
  <c r="I53" i="41"/>
  <c r="I52" i="41"/>
  <c r="I51" i="41"/>
  <c r="I50" i="41"/>
  <c r="I49" i="41"/>
  <c r="I48" i="41"/>
  <c r="I47" i="41"/>
  <c r="I46" i="41"/>
  <c r="I45" i="41"/>
  <c r="I44" i="41"/>
  <c r="I43" i="41"/>
  <c r="I42" i="41"/>
  <c r="I41" i="41"/>
  <c r="I40" i="41"/>
  <c r="I39" i="41"/>
  <c r="I38" i="41"/>
  <c r="I37" i="41"/>
  <c r="I36" i="41"/>
  <c r="I35" i="41"/>
  <c r="I34" i="41"/>
  <c r="I33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I20" i="41"/>
  <c r="H145" i="41"/>
  <c r="G145" i="41"/>
  <c r="I19" i="41"/>
  <c r="F145" i="41" l="1"/>
  <c r="H10" i="18" l="1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0" i="18"/>
  <c r="E145" i="41" l="1"/>
  <c r="I18" i="41"/>
  <c r="I17" i="41"/>
  <c r="I16" i="41"/>
  <c r="I15" i="41"/>
  <c r="I14" i="41"/>
  <c r="I13" i="41"/>
  <c r="I12" i="41"/>
  <c r="I11" i="41"/>
  <c r="I145" i="41" l="1"/>
  <c r="H145" i="18"/>
  <c r="H145" i="40" l="1"/>
  <c r="G145" i="40"/>
  <c r="F145" i="40"/>
  <c r="E145" i="40"/>
  <c r="I144" i="40"/>
  <c r="I143" i="40"/>
  <c r="I142" i="40"/>
  <c r="I141" i="40"/>
  <c r="I140" i="40"/>
  <c r="I139" i="40"/>
  <c r="I138" i="40"/>
  <c r="I137" i="40"/>
  <c r="I136" i="40"/>
  <c r="I135" i="40"/>
  <c r="I134" i="40"/>
  <c r="I133" i="40"/>
  <c r="I132" i="40"/>
  <c r="I131" i="40"/>
  <c r="I130" i="40"/>
  <c r="I129" i="40"/>
  <c r="I128" i="40"/>
  <c r="I127" i="40"/>
  <c r="I126" i="40"/>
  <c r="I125" i="40"/>
  <c r="I124" i="40"/>
  <c r="I123" i="40"/>
  <c r="I122" i="40"/>
  <c r="I121" i="40"/>
  <c r="I120" i="40"/>
  <c r="I119" i="40"/>
  <c r="I118" i="40"/>
  <c r="I117" i="40"/>
  <c r="I116" i="40"/>
  <c r="I115" i="40"/>
  <c r="I114" i="40"/>
  <c r="I113" i="40"/>
  <c r="I112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2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20" i="40"/>
  <c r="I19" i="40"/>
  <c r="I18" i="40"/>
  <c r="I17" i="40"/>
  <c r="I16" i="40"/>
  <c r="I15" i="40"/>
  <c r="I14" i="40"/>
  <c r="I13" i="40"/>
  <c r="I12" i="40"/>
  <c r="I11" i="40"/>
  <c r="I10" i="40"/>
  <c r="I145" i="40" l="1"/>
  <c r="H145" i="39"/>
  <c r="G145" i="39"/>
  <c r="F145" i="39"/>
  <c r="E145" i="39"/>
  <c r="I144" i="39"/>
  <c r="I143" i="39"/>
  <c r="I142" i="39"/>
  <c r="I141" i="39"/>
  <c r="I140" i="39"/>
  <c r="I139" i="39"/>
  <c r="I138" i="39"/>
  <c r="I137" i="39"/>
  <c r="I136" i="39"/>
  <c r="I135" i="39"/>
  <c r="I134" i="39"/>
  <c r="I133" i="39"/>
  <c r="I132" i="39"/>
  <c r="I131" i="39"/>
  <c r="I130" i="39"/>
  <c r="I129" i="39"/>
  <c r="I128" i="39"/>
  <c r="I127" i="39"/>
  <c r="I126" i="39"/>
  <c r="I125" i="39"/>
  <c r="I124" i="39"/>
  <c r="I123" i="39"/>
  <c r="I122" i="39"/>
  <c r="I121" i="39"/>
  <c r="I120" i="39"/>
  <c r="I119" i="39"/>
  <c r="I118" i="39"/>
  <c r="I117" i="39"/>
  <c r="I116" i="39"/>
  <c r="I115" i="39"/>
  <c r="I114" i="39"/>
  <c r="I113" i="39"/>
  <c r="I112" i="39"/>
  <c r="I111" i="39"/>
  <c r="I110" i="39"/>
  <c r="I109" i="39"/>
  <c r="I108" i="39"/>
  <c r="I107" i="39"/>
  <c r="I106" i="39"/>
  <c r="I105" i="39"/>
  <c r="I104" i="39"/>
  <c r="I103" i="39"/>
  <c r="I102" i="39"/>
  <c r="I101" i="39"/>
  <c r="I100" i="39"/>
  <c r="I99" i="39"/>
  <c r="I98" i="39"/>
  <c r="I97" i="39"/>
  <c r="I96" i="39"/>
  <c r="I95" i="39"/>
  <c r="I94" i="39"/>
  <c r="I93" i="39"/>
  <c r="I92" i="39"/>
  <c r="I91" i="39"/>
  <c r="I90" i="39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145" i="39" l="1"/>
  <c r="H145" i="38" l="1"/>
  <c r="G145" i="38"/>
  <c r="F145" i="38"/>
  <c r="E145" i="38"/>
  <c r="I144" i="38"/>
  <c r="I143" i="38"/>
  <c r="I142" i="38"/>
  <c r="I141" i="38"/>
  <c r="I140" i="38"/>
  <c r="I139" i="38"/>
  <c r="I138" i="38"/>
  <c r="I137" i="38"/>
  <c r="I136" i="38"/>
  <c r="I135" i="38"/>
  <c r="I134" i="38"/>
  <c r="I133" i="38"/>
  <c r="I132" i="38"/>
  <c r="I131" i="38"/>
  <c r="I130" i="38"/>
  <c r="I129" i="38"/>
  <c r="I128" i="38"/>
  <c r="I127" i="38"/>
  <c r="I126" i="38"/>
  <c r="I125" i="38"/>
  <c r="I124" i="38"/>
  <c r="I123" i="38"/>
  <c r="I122" i="38"/>
  <c r="I121" i="38"/>
  <c r="I120" i="38"/>
  <c r="I119" i="38"/>
  <c r="I118" i="38"/>
  <c r="I117" i="38"/>
  <c r="I116" i="38"/>
  <c r="I115" i="38"/>
  <c r="I114" i="38"/>
  <c r="I113" i="38"/>
  <c r="I112" i="38"/>
  <c r="I111" i="38"/>
  <c r="I110" i="38"/>
  <c r="I109" i="38"/>
  <c r="I108" i="38"/>
  <c r="I107" i="38"/>
  <c r="I106" i="38"/>
  <c r="I105" i="38"/>
  <c r="I104" i="38"/>
  <c r="I103" i="38"/>
  <c r="I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145" i="38" l="1"/>
  <c r="H145" i="37" l="1"/>
  <c r="G145" i="37"/>
  <c r="F145" i="37"/>
  <c r="E145" i="37"/>
  <c r="I144" i="37"/>
  <c r="I143" i="37"/>
  <c r="I142" i="37"/>
  <c r="I141" i="37"/>
  <c r="I140" i="37"/>
  <c r="I139" i="37"/>
  <c r="I138" i="37"/>
  <c r="I137" i="37"/>
  <c r="I136" i="37"/>
  <c r="I135" i="37"/>
  <c r="I134" i="37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I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I35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145" i="37" l="1"/>
  <c r="H145" i="36" l="1"/>
  <c r="G145" i="36"/>
  <c r="E145" i="36"/>
  <c r="I144" i="36"/>
  <c r="I143" i="36"/>
  <c r="I142" i="36"/>
  <c r="I141" i="36"/>
  <c r="I140" i="36"/>
  <c r="I139" i="36"/>
  <c r="I138" i="36"/>
  <c r="I137" i="36"/>
  <c r="I136" i="36"/>
  <c r="I135" i="36"/>
  <c r="I134" i="36"/>
  <c r="I133" i="36"/>
  <c r="I132" i="36"/>
  <c r="I131" i="36"/>
  <c r="I130" i="36"/>
  <c r="I129" i="36"/>
  <c r="I128" i="36"/>
  <c r="I127" i="36"/>
  <c r="I126" i="36"/>
  <c r="I125" i="36"/>
  <c r="I124" i="36"/>
  <c r="I123" i="36"/>
  <c r="I122" i="36"/>
  <c r="I121" i="36"/>
  <c r="I120" i="36"/>
  <c r="I119" i="36"/>
  <c r="I118" i="36"/>
  <c r="I117" i="36"/>
  <c r="I116" i="36"/>
  <c r="I115" i="36"/>
  <c r="I114" i="36"/>
  <c r="I113" i="36"/>
  <c r="I112" i="36"/>
  <c r="I111" i="36"/>
  <c r="I110" i="36"/>
  <c r="I109" i="36"/>
  <c r="I108" i="36"/>
  <c r="I107" i="36"/>
  <c r="I106" i="36"/>
  <c r="I105" i="36"/>
  <c r="I104" i="36"/>
  <c r="I103" i="36"/>
  <c r="I102" i="36"/>
  <c r="I101" i="36"/>
  <c r="I100" i="36"/>
  <c r="I99" i="36"/>
  <c r="I98" i="36"/>
  <c r="I97" i="36"/>
  <c r="I96" i="36"/>
  <c r="I95" i="36"/>
  <c r="I94" i="36"/>
  <c r="I93" i="36"/>
  <c r="I92" i="36"/>
  <c r="I91" i="36"/>
  <c r="I90" i="36"/>
  <c r="I89" i="36"/>
  <c r="I88" i="36"/>
  <c r="I87" i="36"/>
  <c r="I86" i="36"/>
  <c r="I85" i="36"/>
  <c r="I84" i="36"/>
  <c r="I83" i="36"/>
  <c r="I82" i="36"/>
  <c r="I81" i="36"/>
  <c r="I80" i="36"/>
  <c r="I79" i="36"/>
  <c r="I78" i="36"/>
  <c r="I77" i="36"/>
  <c r="I76" i="36"/>
  <c r="I75" i="36"/>
  <c r="I74" i="36"/>
  <c r="I73" i="36"/>
  <c r="I72" i="36"/>
  <c r="I71" i="36"/>
  <c r="I70" i="36"/>
  <c r="I69" i="36"/>
  <c r="I68" i="36"/>
  <c r="I67" i="36"/>
  <c r="I66" i="36"/>
  <c r="I65" i="36"/>
  <c r="I64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H145" i="35"/>
  <c r="G145" i="35"/>
  <c r="F145" i="35"/>
  <c r="E145" i="35"/>
  <c r="I144" i="35"/>
  <c r="I143" i="35"/>
  <c r="I142" i="35"/>
  <c r="I141" i="35"/>
  <c r="I140" i="35"/>
  <c r="I139" i="35"/>
  <c r="I138" i="35"/>
  <c r="I137" i="35"/>
  <c r="I136" i="35"/>
  <c r="I135" i="35"/>
  <c r="I134" i="35"/>
  <c r="I133" i="35"/>
  <c r="I132" i="35"/>
  <c r="I131" i="35"/>
  <c r="I130" i="35"/>
  <c r="I129" i="35"/>
  <c r="I128" i="35"/>
  <c r="I127" i="35"/>
  <c r="I126" i="35"/>
  <c r="I125" i="35"/>
  <c r="I124" i="35"/>
  <c r="I123" i="35"/>
  <c r="I122" i="35"/>
  <c r="I121" i="35"/>
  <c r="I120" i="35"/>
  <c r="I119" i="35"/>
  <c r="I118" i="35"/>
  <c r="I117" i="35"/>
  <c r="I116" i="35"/>
  <c r="I115" i="35"/>
  <c r="I114" i="35"/>
  <c r="I113" i="35"/>
  <c r="I112" i="35"/>
  <c r="I111" i="35"/>
  <c r="I110" i="35"/>
  <c r="I109" i="35"/>
  <c r="I108" i="35"/>
  <c r="I107" i="35"/>
  <c r="I106" i="35"/>
  <c r="I105" i="35"/>
  <c r="I104" i="35"/>
  <c r="I103" i="35"/>
  <c r="I102" i="35"/>
  <c r="I101" i="35"/>
  <c r="I100" i="35"/>
  <c r="I99" i="35"/>
  <c r="I98" i="35"/>
  <c r="I97" i="35"/>
  <c r="I96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I79" i="35"/>
  <c r="I78" i="35"/>
  <c r="I77" i="35"/>
  <c r="I76" i="35"/>
  <c r="I75" i="35"/>
  <c r="I74" i="35"/>
  <c r="I73" i="35"/>
  <c r="I72" i="35"/>
  <c r="I71" i="35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I53" i="35"/>
  <c r="I52" i="35"/>
  <c r="I51" i="35"/>
  <c r="I50" i="35"/>
  <c r="I49" i="35"/>
  <c r="I48" i="35"/>
  <c r="I47" i="35"/>
  <c r="I46" i="35"/>
  <c r="I45" i="35"/>
  <c r="I44" i="35"/>
  <c r="I43" i="35"/>
  <c r="I42" i="35"/>
  <c r="I41" i="35"/>
  <c r="I40" i="35"/>
  <c r="I39" i="35"/>
  <c r="I38" i="35"/>
  <c r="I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11" i="35"/>
  <c r="I10" i="35"/>
  <c r="I145" i="35" l="1"/>
  <c r="G145" i="24"/>
  <c r="H145" i="21" l="1"/>
  <c r="G145" i="21"/>
  <c r="F145" i="21"/>
  <c r="H145" i="24" l="1"/>
  <c r="F145" i="24"/>
  <c r="E145" i="24"/>
  <c r="I144" i="24"/>
  <c r="I143" i="24"/>
  <c r="I142" i="24"/>
  <c r="I141" i="24"/>
  <c r="I140" i="24"/>
  <c r="I139" i="24"/>
  <c r="I138" i="24"/>
  <c r="I137" i="24"/>
  <c r="I136" i="24"/>
  <c r="I135" i="24"/>
  <c r="I134" i="24"/>
  <c r="I133" i="24"/>
  <c r="I132" i="24"/>
  <c r="I131" i="24"/>
  <c r="I130" i="24"/>
  <c r="I129" i="24"/>
  <c r="I128" i="24"/>
  <c r="I127" i="24"/>
  <c r="I126" i="24"/>
  <c r="I125" i="24"/>
  <c r="I124" i="24"/>
  <c r="I123" i="24"/>
  <c r="I122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145" i="24" l="1"/>
  <c r="H145" i="23"/>
  <c r="G145" i="23"/>
  <c r="F145" i="23"/>
  <c r="E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145" i="23" l="1"/>
  <c r="H145" i="22"/>
  <c r="G145" i="22"/>
  <c r="F145" i="22"/>
  <c r="E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145" i="22" l="1"/>
  <c r="H145" i="1" l="1"/>
  <c r="G145" i="1"/>
  <c r="F145" i="1"/>
  <c r="E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145" i="18"/>
  <c r="I145" i="1" l="1"/>
  <c r="I11" i="18" l="1"/>
  <c r="I11" i="21"/>
  <c r="I12" i="18"/>
  <c r="I12" i="21"/>
  <c r="I14" i="18"/>
  <c r="I14" i="21"/>
  <c r="I16" i="18"/>
  <c r="I16" i="21"/>
  <c r="I19" i="18"/>
  <c r="I19" i="21"/>
  <c r="I21" i="18"/>
  <c r="I21" i="21"/>
  <c r="I22" i="18"/>
  <c r="I22" i="21"/>
  <c r="I25" i="18"/>
  <c r="I25" i="21"/>
  <c r="I27" i="18"/>
  <c r="I27" i="21"/>
  <c r="I29" i="18"/>
  <c r="I29" i="21"/>
  <c r="I30" i="18"/>
  <c r="I30" i="21"/>
  <c r="I32" i="18"/>
  <c r="I32" i="21"/>
  <c r="I34" i="18"/>
  <c r="I34" i="21"/>
  <c r="I36" i="18"/>
  <c r="I36" i="21"/>
  <c r="I38" i="18"/>
  <c r="I38" i="21"/>
  <c r="I40" i="18"/>
  <c r="I40" i="21"/>
  <c r="I43" i="18"/>
  <c r="I43" i="21"/>
  <c r="I45" i="18"/>
  <c r="I45" i="21"/>
  <c r="I46" i="18"/>
  <c r="I46" i="21"/>
  <c r="I47" i="18"/>
  <c r="I47" i="21"/>
  <c r="I49" i="18"/>
  <c r="I49" i="21"/>
  <c r="I51" i="18"/>
  <c r="I51" i="21"/>
  <c r="I53" i="18"/>
  <c r="I53" i="21"/>
  <c r="I55" i="18"/>
  <c r="I55" i="21"/>
  <c r="I58" i="18"/>
  <c r="I58" i="21"/>
  <c r="I60" i="18"/>
  <c r="I60" i="21"/>
  <c r="I62" i="18"/>
  <c r="I62" i="21"/>
  <c r="I64" i="18"/>
  <c r="I64" i="21"/>
  <c r="I67" i="18"/>
  <c r="I67" i="21"/>
  <c r="I68" i="18"/>
  <c r="I68" i="21"/>
  <c r="I70" i="18"/>
  <c r="I70" i="21"/>
  <c r="I73" i="18"/>
  <c r="I73" i="21"/>
  <c r="I75" i="18"/>
  <c r="I75" i="21"/>
  <c r="I76" i="18"/>
  <c r="I76" i="21"/>
  <c r="I77" i="18"/>
  <c r="I77" i="21"/>
  <c r="I78" i="18"/>
  <c r="I78" i="21"/>
  <c r="I79" i="18"/>
  <c r="I79" i="21"/>
  <c r="I80" i="18"/>
  <c r="I80" i="21"/>
  <c r="I81" i="18"/>
  <c r="I81" i="21"/>
  <c r="I82" i="18"/>
  <c r="I82" i="21"/>
  <c r="I83" i="18"/>
  <c r="I83" i="21"/>
  <c r="I84" i="18"/>
  <c r="I84" i="21"/>
  <c r="I85" i="18"/>
  <c r="I85" i="21"/>
  <c r="I86" i="18"/>
  <c r="I86" i="21"/>
  <c r="I87" i="18"/>
  <c r="I87" i="21"/>
  <c r="I88" i="18"/>
  <c r="I88" i="21"/>
  <c r="I89" i="18"/>
  <c r="I89" i="21"/>
  <c r="I90" i="18"/>
  <c r="I90" i="21"/>
  <c r="I91" i="18"/>
  <c r="I91" i="21"/>
  <c r="I92" i="18"/>
  <c r="I92" i="21"/>
  <c r="I93" i="18"/>
  <c r="I93" i="21"/>
  <c r="I94" i="18"/>
  <c r="I94" i="21"/>
  <c r="I95" i="18"/>
  <c r="I95" i="21"/>
  <c r="I96" i="18"/>
  <c r="I96" i="21"/>
  <c r="I97" i="18"/>
  <c r="I97" i="21"/>
  <c r="I98" i="18"/>
  <c r="I98" i="21"/>
  <c r="I99" i="18"/>
  <c r="I99" i="21"/>
  <c r="I100" i="18"/>
  <c r="I100" i="21"/>
  <c r="I101" i="18"/>
  <c r="I101" i="21"/>
  <c r="I102" i="18"/>
  <c r="I102" i="21"/>
  <c r="I103" i="18"/>
  <c r="I103" i="21"/>
  <c r="I104" i="18"/>
  <c r="I104" i="21"/>
  <c r="I105" i="18"/>
  <c r="I105" i="21"/>
  <c r="I106" i="18"/>
  <c r="I106" i="21"/>
  <c r="I107" i="18"/>
  <c r="I107" i="21"/>
  <c r="I108" i="18"/>
  <c r="I108" i="21"/>
  <c r="I109" i="18"/>
  <c r="I109" i="21"/>
  <c r="I110" i="18"/>
  <c r="I110" i="21"/>
  <c r="I111" i="18"/>
  <c r="I111" i="21"/>
  <c r="I112" i="18"/>
  <c r="I112" i="21"/>
  <c r="I113" i="18"/>
  <c r="I113" i="21"/>
  <c r="I114" i="18"/>
  <c r="I114" i="21"/>
  <c r="I115" i="18"/>
  <c r="I115" i="21"/>
  <c r="I116" i="18"/>
  <c r="I116" i="21"/>
  <c r="I117" i="18"/>
  <c r="I117" i="21"/>
  <c r="I118" i="18"/>
  <c r="I118" i="21"/>
  <c r="I119" i="18"/>
  <c r="I119" i="21"/>
  <c r="I120" i="18"/>
  <c r="I120" i="21"/>
  <c r="I121" i="18"/>
  <c r="I121" i="21"/>
  <c r="I122" i="18"/>
  <c r="I122" i="21"/>
  <c r="I123" i="18"/>
  <c r="I123" i="21"/>
  <c r="I124" i="18"/>
  <c r="I124" i="21"/>
  <c r="I125" i="18"/>
  <c r="I125" i="21"/>
  <c r="I126" i="18"/>
  <c r="I126" i="21"/>
  <c r="I127" i="18"/>
  <c r="I127" i="21"/>
  <c r="I128" i="18"/>
  <c r="I128" i="21"/>
  <c r="I129" i="18"/>
  <c r="I129" i="21"/>
  <c r="I130" i="18"/>
  <c r="I130" i="21"/>
  <c r="I131" i="18"/>
  <c r="I131" i="21"/>
  <c r="I132" i="18"/>
  <c r="I132" i="21"/>
  <c r="I133" i="18"/>
  <c r="I133" i="21"/>
  <c r="I134" i="18"/>
  <c r="I134" i="21"/>
  <c r="I135" i="18"/>
  <c r="I135" i="21"/>
  <c r="I136" i="18"/>
  <c r="I136" i="21"/>
  <c r="I137" i="18"/>
  <c r="I137" i="21"/>
  <c r="I138" i="18"/>
  <c r="I138" i="21"/>
  <c r="I139" i="18"/>
  <c r="I139" i="21"/>
  <c r="I140" i="18"/>
  <c r="I140" i="21"/>
  <c r="I141" i="18"/>
  <c r="I141" i="21"/>
  <c r="I142" i="18"/>
  <c r="I142" i="21"/>
  <c r="I143" i="18"/>
  <c r="I143" i="21"/>
  <c r="I144" i="18"/>
  <c r="I144" i="21"/>
  <c r="E145" i="21"/>
  <c r="I10" i="21"/>
  <c r="I13" i="18"/>
  <c r="I13" i="21"/>
  <c r="I15" i="18"/>
  <c r="I15" i="21"/>
  <c r="I17" i="18"/>
  <c r="I17" i="21"/>
  <c r="I18" i="18"/>
  <c r="I18" i="21"/>
  <c r="I20" i="18"/>
  <c r="I20" i="21"/>
  <c r="I23" i="18"/>
  <c r="I23" i="21"/>
  <c r="I24" i="18"/>
  <c r="I24" i="21"/>
  <c r="I26" i="18"/>
  <c r="I26" i="21"/>
  <c r="I28" i="18"/>
  <c r="I28" i="21"/>
  <c r="I31" i="18"/>
  <c r="I31" i="21"/>
  <c r="I33" i="18"/>
  <c r="I33" i="21"/>
  <c r="I35" i="18"/>
  <c r="I35" i="21"/>
  <c r="I37" i="18"/>
  <c r="I37" i="21"/>
  <c r="I39" i="18"/>
  <c r="I39" i="21"/>
  <c r="I41" i="18"/>
  <c r="I41" i="21"/>
  <c r="I42" i="18"/>
  <c r="I42" i="21"/>
  <c r="I44" i="18"/>
  <c r="I44" i="21"/>
  <c r="I48" i="18"/>
  <c r="I48" i="21"/>
  <c r="I50" i="18"/>
  <c r="I50" i="21"/>
  <c r="I52" i="18"/>
  <c r="I52" i="21"/>
  <c r="I54" i="18"/>
  <c r="I54" i="21"/>
  <c r="I56" i="18"/>
  <c r="I56" i="21"/>
  <c r="I57" i="18"/>
  <c r="I57" i="21"/>
  <c r="I59" i="18"/>
  <c r="I59" i="21"/>
  <c r="I61" i="18"/>
  <c r="I61" i="21"/>
  <c r="I63" i="18"/>
  <c r="I63" i="21"/>
  <c r="I65" i="18"/>
  <c r="I65" i="21"/>
  <c r="I66" i="18"/>
  <c r="I66" i="21"/>
  <c r="I69" i="18"/>
  <c r="I69" i="21"/>
  <c r="I71" i="18"/>
  <c r="I71" i="21"/>
  <c r="I72" i="18"/>
  <c r="I72" i="21"/>
  <c r="I74" i="18"/>
  <c r="I74" i="21"/>
  <c r="F145" i="18"/>
  <c r="I145" i="21" l="1"/>
  <c r="E145" i="18"/>
  <c r="I10" i="18"/>
  <c r="I145" i="18" l="1"/>
  <c r="F145" i="36"/>
  <c r="I10" i="36"/>
  <c r="I145" i="36" s="1"/>
</calcChain>
</file>

<file path=xl/sharedStrings.xml><?xml version="1.0" encoding="utf-8"?>
<sst xmlns="http://schemas.openxmlformats.org/spreadsheetml/2006/main" count="1898" uniqueCount="170">
  <si>
    <t>(En pesos)</t>
  </si>
  <si>
    <t>Municipio</t>
  </si>
  <si>
    <t>Inmobiliario
Rural
Libre
Disponibilidad</t>
  </si>
  <si>
    <t>Inmobiliario
Rural
Fondo
Compensador</t>
  </si>
  <si>
    <t>Ingresos
Brutos
Pequeños
Contribuyentes</t>
  </si>
  <si>
    <t>Otros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</si>
  <si>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</si>
  <si>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</si>
  <si>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</si>
  <si>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</si>
  <si>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</si>
  <si>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</si>
  <si>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</si>
  <si>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</si>
  <si>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</si>
  <si>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</si>
  <si>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</si>
  <si>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</si>
  <si>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</si>
  <si>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</si>
  <si>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</si>
  <si>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</si>
  <si>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</si>
  <si>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</si>
  <si>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</si>
  <si>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</si>
  <si>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</si>
  <si>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</si>
  <si>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</si>
  <si>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</si>
  <si>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</si>
  <si>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</si>
  <si>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</si>
  <si>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</si>
  <si>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</si>
  <si>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</si>
  <si>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</si>
  <si>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</si>
  <si>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</si>
  <si>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</si>
  <si>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</si>
  <si>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</si>
  <si>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</si>
  <si>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</si>
  <si>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</si>
  <si>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</si>
  <si>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</si>
  <si>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</si>
  <si>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</si>
  <si>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</si>
  <si>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</si>
  <si>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</si>
  <si>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</si>
  <si>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</si>
  <si>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</si>
  <si>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</si>
  <si>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</si>
  <si>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</si>
  <si>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</si>
  <si>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</si>
  <si>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</si>
  <si>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</si>
  <si>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</si>
  <si>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</si>
  <si>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</si>
  <si>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</si>
  <si>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</si>
  <si>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</si>
  <si>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</si>
  <si>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</si>
  <si>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</si>
  <si>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</si>
  <si>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</si>
  <si>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</si>
  <si>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</si>
  <si>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</si>
  <si>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</si>
  <si>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</si>
  <si>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</si>
  <si>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</si>
  <si>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</si>
  <si>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</si>
  <si>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</si>
  <si>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</si>
  <si>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</si>
  <si>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</si>
  <si>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</si>
  <si>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</si>
  <si>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</si>
  <si>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</si>
  <si>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</si>
  <si>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</si>
  <si>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</si>
  <si>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</si>
  <si>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</si>
  <si>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</si>
  <si>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</si>
  <si>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</si>
  <si>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</si>
  <si>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</si>
  <si>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</si>
  <si>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</si>
  <si>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</si>
  <si>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</si>
  <si>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</si>
  <si>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</si>
  <si>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</si>
  <si>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</si>
  <si>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</si>
  <si>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</si>
  <si>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</si>
  <si>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</si>
  <si>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</si>
  <si>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</si>
  <si>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</si>
  <si>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</si>
  <si>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</si>
  <si>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</si>
  <si>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</si>
  <si>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</si>
  <si>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</si>
  <si>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</si>
  <si>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</si>
  <si>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</si>
  <si>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</si>
  <si>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</si>
  <si>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</si>
  <si>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</si>
  <si>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</si>
  <si>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</si>
  <si>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</si>
  <si>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</si>
  <si>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</si>
  <si>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</si>
  <si>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</si>
  <si>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</si>
  <si>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</si>
  <si>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</si>
  <si>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</si>
  <si>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</si>
  <si>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</si>
  <si>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</si>
  <si>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 xml:space="preserve">Total      </t>
  </si>
  <si>
    <t>LEY 13.010 Y MODIFICATORIAS. DESCENTRALIZACIÓN ADMINISTRATIVA TRIBUTARIA</t>
  </si>
  <si>
    <t>MES DE ENERO 2022</t>
  </si>
  <si>
    <t>ENERO 2022</t>
  </si>
  <si>
    <t>MES DE FEBRERO 2022</t>
  </si>
  <si>
    <t>FEBRERO 2022</t>
  </si>
  <si>
    <t>MES DE MARZO 2022</t>
  </si>
  <si>
    <t>MARZO 2022</t>
  </si>
  <si>
    <t>MES DE ABRIL 2022</t>
  </si>
  <si>
    <t>ABRIL 2022</t>
  </si>
  <si>
    <t>MES DE MAYO 2022</t>
  </si>
  <si>
    <t>MAYO 2022</t>
  </si>
  <si>
    <t>MES DE JUNIO 2022</t>
  </si>
  <si>
    <t>JUNIO 2022</t>
  </si>
  <si>
    <t>MES DE JULIO 2022</t>
  </si>
  <si>
    <t>JULIO 2022</t>
  </si>
  <si>
    <t>MES DE AGOSTO 2022</t>
  </si>
  <si>
    <t>AGOSTO 2022</t>
  </si>
  <si>
    <t>MES DE SEPTIEMBRE 2022</t>
  </si>
  <si>
    <t>SEPTIEMBRE 2022</t>
  </si>
  <si>
    <t>MES DE OCTUBRE 2022</t>
  </si>
  <si>
    <t>OCTUBRE 2022</t>
  </si>
  <si>
    <t>MES DE NOVIEMBRE 2022</t>
  </si>
  <si>
    <t>NOVIEMBRE 2022</t>
  </si>
  <si>
    <t>MES DE DICIEMBRE 2022</t>
  </si>
  <si>
    <t>DICIEMBRE 2022</t>
  </si>
  <si>
    <t>ACUMULADO ENERO - DICIEMBRE 2022</t>
  </si>
  <si>
    <t>Acumulado ENERO - DICIEMBRE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</si>
</sst>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_ ;_ * \-#,##0_ ;_ * &quot;-&quot;_ ;_ @_ "/>
    <numFmt numFmtId="165" formatCode="_(* #,##0.00_);_(* \(#,##0.00\);_(* &quot;-&quot;??_);_(@_)"/>
    <numFmt numFmtId="166" formatCode="#,"/>
    <numFmt numFmtId="167" formatCode="#,#00"/>
    <numFmt numFmtId="168" formatCode="#.##000"/>
    <numFmt numFmtId="169" formatCode="&quot;$&quot;#,#00"/>
    <numFmt numFmtId="170" formatCode="\$#,##0\ ;\(\$#,##0\)"/>
    <numFmt numFmtId="171" formatCode="#,##0.0"/>
    <numFmt numFmtId="172" formatCode="_(* #,##0_);_(* \(#,##0\);_(* &quot;-&quot;??_);_(@_)"/>
    <numFmt numFmtId="173" formatCode="_ * #,##0.0000000_ ;_ * \-#,##0.0000000_ ;_ * &quot;-&quot;_ ;_ @_ "/>
  </numFmts>
  <fonts count="22" x14ac:knownFonts="1">
    <font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b/>
      <sz val="12"/>
      <color indexed="9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b/>
      <i/>
      <sz val="16"/>
      <color rgb="FF44AEAC"/>
      <name val="Arial"/>
      <family val="2"/>
    </font>
    <font>
      <sz val="11"/>
      <color rgb="FF44AEA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AEAC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2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>
      <protection locked="0"/>
    </xf>
    <xf numFmtId="166" fontId="15" fillId="0" borderId="0">
      <protection locked="0"/>
    </xf>
    <xf numFmtId="166" fontId="15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7" fillId="0" borderId="0" applyFont="0" applyFill="0" applyBorder="0" applyAlignment="0" applyProtection="0"/>
    <xf numFmtId="167" fontId="14" fillId="0" borderId="0">
      <protection locked="0"/>
    </xf>
    <xf numFmtId="168" fontId="14" fillId="0" borderId="0">
      <protection locked="0"/>
    </xf>
    <xf numFmtId="165" fontId="1" fillId="0" borderId="0" applyFont="0" applyFill="0" applyBorder="0" applyAlignment="0" applyProtection="0"/>
    <xf numFmtId="169" fontId="14" fillId="0" borderId="0">
      <protection locked="0"/>
    </xf>
    <xf numFmtId="170" fontId="17" fillId="0" borderId="0" applyFont="0" applyFill="0" applyBorder="0" applyAlignment="0" applyProtection="0"/>
    <xf numFmtId="171" fontId="7" fillId="0" borderId="0" applyFill="0" applyBorder="0" applyAlignment="0" applyProtection="0"/>
    <xf numFmtId="3" fontId="17" fillId="0" borderId="0" applyFont="0" applyFill="0" applyBorder="0" applyAlignment="0" applyProtection="0"/>
    <xf numFmtId="0" fontId="18" fillId="0" borderId="0"/>
  </cellStyleXfs>
  <cellXfs count="28">
    <xf numFmtId="0" fontId="0" fillId="0" borderId="0" xfId="0"/>
    <xf numFmtId="164" fontId="2" fillId="0" borderId="0" xfId="0" applyNumberFormat="1" applyFont="1" applyFill="1" applyBorder="1"/>
    <xf numFmtId="164" fontId="2" fillId="0" borderId="0" xfId="0" applyNumberFormat="1" applyFont="1"/>
    <xf numFmtId="164" fontId="2" fillId="0" borderId="0" xfId="0" applyNumberFormat="1" applyFont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Fill="1" applyBorder="1" applyAlignment="1" applyProtection="1">
      <alignment horizontal="center" vertical="center" textRotation="90" wrapText="1"/>
    </xf>
    <xf numFmtId="164" fontId="7" fillId="0" borderId="0" xfId="0" applyNumberFormat="1" applyFont="1" applyFill="1" applyBorder="1" applyAlignment="1" applyProtection="1">
      <alignment horizontal="center"/>
    </xf>
    <xf numFmtId="164" fontId="7" fillId="0" borderId="0" xfId="0" applyNumberFormat="1" applyFont="1" applyFill="1" applyBorder="1" applyProtection="1"/>
    <xf numFmtId="164" fontId="10" fillId="0" borderId="0" xfId="0" applyNumberFormat="1" applyFont="1" applyFill="1" applyBorder="1" applyProtection="1"/>
    <xf numFmtId="173" fontId="2" fillId="0" borderId="0" xfId="0" applyNumberFormat="1" applyFont="1"/>
    <xf numFmtId="0" fontId="8" fillId="0" borderId="1" xfId="0" applyFont="1" applyFill="1" applyBorder="1" applyAlignment="1" applyProtection="1">
      <alignment horizontal="left" indent="1"/>
    </xf>
    <xf numFmtId="164" fontId="8" fillId="2" borderId="1" xfId="16" applyNumberFormat="1" applyFont="1" applyFill="1" applyBorder="1" applyAlignment="1" applyProtection="1">
      <alignment horizontal="right" indent="2"/>
    </xf>
    <xf numFmtId="172" fontId="9" fillId="2" borderId="1" xfId="16" applyNumberFormat="1" applyFont="1" applyFill="1" applyBorder="1" applyAlignment="1" applyProtection="1">
      <alignment horizontal="right"/>
    </xf>
    <xf numFmtId="0" fontId="19" fillId="2" borderId="0" xfId="21" applyFont="1" applyFill="1" applyAlignment="1">
      <alignment vertical="center"/>
    </xf>
    <xf numFmtId="164" fontId="9" fillId="0" borderId="1" xfId="16" applyNumberFormat="1" applyFont="1" applyFill="1" applyBorder="1" applyAlignment="1" applyProtection="1">
      <alignment horizontal="right" indent="2"/>
    </xf>
    <xf numFmtId="172" fontId="9" fillId="0" borderId="1" xfId="16" applyNumberFormat="1" applyFont="1" applyFill="1" applyBorder="1" applyAlignment="1" applyProtection="1">
      <alignment horizontal="right"/>
    </xf>
    <xf numFmtId="164" fontId="20" fillId="0" borderId="0" xfId="0" applyNumberFormat="1" applyFont="1" applyBorder="1"/>
    <xf numFmtId="164" fontId="21" fillId="0" borderId="0" xfId="0" applyNumberFormat="1" applyFont="1" applyBorder="1"/>
    <xf numFmtId="164" fontId="5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left" vertical="center" wrapText="1" indent="1"/>
    </xf>
    <xf numFmtId="172" fontId="11" fillId="3" borderId="1" xfId="16" applyNumberFormat="1" applyFont="1" applyFill="1" applyBorder="1" applyAlignment="1" applyProtection="1">
      <alignment horizontal="right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2" xfId="0" quotePrefix="1" applyNumberFormat="1" applyFont="1" applyFill="1" applyBorder="1" applyAlignment="1">
      <alignment horizontal="center" vertical="center" wrapText="1"/>
    </xf>
    <xf numFmtId="164" fontId="11" fillId="3" borderId="3" xfId="0" applyNumberFormat="1" applyFont="1" applyFill="1" applyBorder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center" vertical="center" wrapText="1"/>
    </xf>
  </cellXfs>
  <cellStyles count="22">
    <cellStyle name="Cabecera 1" xfId="1"/>
    <cellStyle name="Cabecera 2" xfId="2"/>
    <cellStyle name="Dia" xfId="3"/>
    <cellStyle name="Encabez1" xfId="4"/>
    <cellStyle name="Encabez2" xfId="5"/>
    <cellStyle name="F2" xfId="6"/>
    <cellStyle name="F3" xfId="7"/>
    <cellStyle name="F4" xfId="8"/>
    <cellStyle name="F5" xfId="9"/>
    <cellStyle name="F6" xfId="10"/>
    <cellStyle name="F7" xfId="11"/>
    <cellStyle name="F8" xfId="12"/>
    <cellStyle name="Fecha" xfId="13"/>
    <cellStyle name="Fijo" xfId="14"/>
    <cellStyle name="Financiero" xfId="15"/>
    <cellStyle name="Millares" xfId="16" builtinId="3"/>
    <cellStyle name="Monetario" xfId="17"/>
    <cellStyle name="Monetario0" xfId="18"/>
    <cellStyle name="Normal" xfId="0" builtinId="0"/>
    <cellStyle name="Normal 5" xfId="21"/>
    <cellStyle name="Punto" xfId="19"/>
    <cellStyle name="Punto0" xfId="20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1035844</xdr:colOff>
      <xdr:row>0</xdr:row>
      <xdr:rowOff>178595</xdr:rowOff>
    </xdr:from>
    <xdr:to>
      <xdr:col>8</xdr:col>
      <xdr:colOff>999165</xdr:colOff>
      <xdr:row>1</xdr:row>
      <xdr:rowOff>487910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344" y="17859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11907</xdr:colOff>
      <xdr:row>0</xdr:row>
      <xdr:rowOff>154782</xdr:rowOff>
    </xdr:from>
    <xdr:to>
      <xdr:col>8</xdr:col>
      <xdr:colOff>1130134</xdr:colOff>
      <xdr:row>1</xdr:row>
      <xdr:rowOff>464097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3313" y="154782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144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7">
        <v>430271.81999999995</v>
      </c>
      <c r="F10" s="17">
        <v>1144206.1013859068</v>
      </c>
      <c r="G10" s="17">
        <v>333042.25000000006</v>
      </c>
      <c r="H10" s="17">
        <v>0</v>
      </c>
      <c r="I10" s="13">
        <f t="shared" ref="I10:I73" si="0">SUM(E10:H10)</f>
        <v>1907520.1713859066</v>
      </c>
    </row>
    <row r="11" spans="1:9" ht="15.75" x14ac:dyDescent="0.25">
      <c r="A11" s="8"/>
      <c r="B11" s="8"/>
      <c r="C11" s="9"/>
      <c r="D11" s="12" t="s">
        <v>7</v>
      </c>
      <c r="E11" s="17">
        <v>815262.60999999987</v>
      </c>
      <c r="F11" s="17">
        <v>642215.83692506794</v>
      </c>
      <c r="G11" s="17">
        <v>422036.91000000003</v>
      </c>
      <c r="H11" s="17">
        <v>0</v>
      </c>
      <c r="I11" s="13">
        <f t="shared" si="0"/>
        <v>1879515.356925068</v>
      </c>
    </row>
    <row r="12" spans="1:9" ht="15.75" x14ac:dyDescent="0.25">
      <c r="A12" s="8"/>
      <c r="B12" s="8"/>
      <c r="C12" s="9"/>
      <c r="D12" s="12" t="s">
        <v>8</v>
      </c>
      <c r="E12" s="17">
        <v>551609.8600000001</v>
      </c>
      <c r="F12" s="17">
        <v>232822.06346567694</v>
      </c>
      <c r="G12" s="17">
        <v>233577.24000000002</v>
      </c>
      <c r="H12" s="17">
        <v>0</v>
      </c>
      <c r="I12" s="13">
        <f t="shared" si="0"/>
        <v>1018009.1634656771</v>
      </c>
    </row>
    <row r="13" spans="1:9" ht="15.75" x14ac:dyDescent="0.25">
      <c r="A13" s="8"/>
      <c r="B13" s="8"/>
      <c r="C13" s="9"/>
      <c r="D13" s="12" t="s">
        <v>9</v>
      </c>
      <c r="E13" s="17">
        <v>240211.95</v>
      </c>
      <c r="F13" s="17">
        <v>6161.0812267339988</v>
      </c>
      <c r="G13" s="17">
        <v>3636594.4400000004</v>
      </c>
      <c r="H13" s="17">
        <v>0</v>
      </c>
      <c r="I13" s="13">
        <f t="shared" si="0"/>
        <v>3882967.4712267346</v>
      </c>
    </row>
    <row r="14" spans="1:9" ht="15.75" x14ac:dyDescent="0.25">
      <c r="A14" s="8"/>
      <c r="B14" s="8"/>
      <c r="C14" s="9"/>
      <c r="D14" s="12" t="s">
        <v>10</v>
      </c>
      <c r="E14" s="17">
        <v>1743693.57</v>
      </c>
      <c r="F14" s="17">
        <v>258691.18162852991</v>
      </c>
      <c r="G14" s="17">
        <v>532056.34</v>
      </c>
      <c r="H14" s="17">
        <v>0</v>
      </c>
      <c r="I14" s="13">
        <f t="shared" si="0"/>
        <v>2534441.0916285301</v>
      </c>
    </row>
    <row r="15" spans="1:9" ht="15.75" x14ac:dyDescent="0.25">
      <c r="A15" s="8"/>
      <c r="B15" s="8"/>
      <c r="C15" s="9"/>
      <c r="D15" s="12" t="s">
        <v>11</v>
      </c>
      <c r="E15" s="17">
        <v>20444.23</v>
      </c>
      <c r="F15" s="17">
        <v>1436.8786681969998</v>
      </c>
      <c r="G15" s="17">
        <v>3804873.44</v>
      </c>
      <c r="H15" s="17">
        <v>0</v>
      </c>
      <c r="I15" s="13">
        <f t="shared" si="0"/>
        <v>3826754.5486681969</v>
      </c>
    </row>
    <row r="16" spans="1:9" ht="15.75" x14ac:dyDescent="0.25">
      <c r="A16" s="8"/>
      <c r="B16" s="8"/>
      <c r="C16" s="9"/>
      <c r="D16" s="12" t="s">
        <v>12</v>
      </c>
      <c r="E16" s="17">
        <v>652475.51</v>
      </c>
      <c r="F16" s="17">
        <v>1233515.2684970147</v>
      </c>
      <c r="G16" s="17">
        <v>670627.18000000005</v>
      </c>
      <c r="H16" s="17">
        <v>0</v>
      </c>
      <c r="I16" s="13">
        <f t="shared" si="0"/>
        <v>2556617.9584970148</v>
      </c>
    </row>
    <row r="17" spans="1:9" ht="15.75" x14ac:dyDescent="0.25">
      <c r="A17" s="8"/>
      <c r="B17" s="8"/>
      <c r="C17" s="9"/>
      <c r="D17" s="12" t="s">
        <v>13</v>
      </c>
      <c r="E17" s="17">
        <v>1391653.98</v>
      </c>
      <c r="F17" s="17">
        <v>1133326.1197359427</v>
      </c>
      <c r="G17" s="17">
        <v>1471020.48</v>
      </c>
      <c r="H17" s="17">
        <v>0</v>
      </c>
      <c r="I17" s="13">
        <f t="shared" si="0"/>
        <v>3996000.5797359427</v>
      </c>
    </row>
    <row r="18" spans="1:9" ht="15.75" x14ac:dyDescent="0.25">
      <c r="A18" s="8"/>
      <c r="B18" s="8"/>
      <c r="C18" s="9"/>
      <c r="D18" s="12" t="s">
        <v>14</v>
      </c>
      <c r="E18" s="17">
        <v>1573793.99</v>
      </c>
      <c r="F18" s="17">
        <v>92389.707724474982</v>
      </c>
      <c r="G18" s="17">
        <v>7220173.5000000009</v>
      </c>
      <c r="H18" s="17">
        <v>0</v>
      </c>
      <c r="I18" s="13">
        <f t="shared" si="0"/>
        <v>8886357.1977244765</v>
      </c>
    </row>
    <row r="19" spans="1:9" ht="15.75" x14ac:dyDescent="0.25">
      <c r="A19" s="8"/>
      <c r="B19" s="8"/>
      <c r="C19" s="9"/>
      <c r="D19" s="12" t="s">
        <v>15</v>
      </c>
      <c r="E19" s="17">
        <v>1497219.98</v>
      </c>
      <c r="F19" s="17">
        <v>881819.33144839783</v>
      </c>
      <c r="G19" s="17">
        <v>1051577.8999999999</v>
      </c>
      <c r="H19" s="17">
        <v>0</v>
      </c>
      <c r="I19" s="13">
        <f t="shared" si="0"/>
        <v>3430617.211448398</v>
      </c>
    </row>
    <row r="20" spans="1:9" ht="15.75" x14ac:dyDescent="0.25">
      <c r="A20" s="8"/>
      <c r="B20" s="8"/>
      <c r="C20" s="9"/>
      <c r="D20" s="12" t="s">
        <v>16</v>
      </c>
      <c r="E20" s="17">
        <v>1935716.2700000003</v>
      </c>
      <c r="F20" s="17">
        <v>242270.46858275094</v>
      </c>
      <c r="G20" s="17">
        <v>573280.00000000012</v>
      </c>
      <c r="H20" s="17">
        <v>0</v>
      </c>
      <c r="I20" s="13">
        <f t="shared" si="0"/>
        <v>2751266.7385827512</v>
      </c>
    </row>
    <row r="21" spans="1:9" ht="15.75" x14ac:dyDescent="0.25">
      <c r="A21" s="8"/>
      <c r="B21" s="8"/>
      <c r="C21" s="9"/>
      <c r="D21" s="12" t="s">
        <v>17</v>
      </c>
      <c r="E21" s="17">
        <v>570787.9</v>
      </c>
      <c r="F21" s="17">
        <v>1054896.9342747987</v>
      </c>
      <c r="G21" s="17">
        <v>386369.31999999995</v>
      </c>
      <c r="H21" s="17">
        <v>0</v>
      </c>
      <c r="I21" s="13">
        <f t="shared" si="0"/>
        <v>2012054.1542747985</v>
      </c>
    </row>
    <row r="22" spans="1:9" ht="15.75" x14ac:dyDescent="0.25">
      <c r="A22" s="8"/>
      <c r="B22" s="8"/>
      <c r="C22" s="9"/>
      <c r="D22" s="12" t="s">
        <v>18</v>
      </c>
      <c r="E22" s="17">
        <v>91023.069999999992</v>
      </c>
      <c r="F22" s="17">
        <v>45168.890680332996</v>
      </c>
      <c r="G22" s="17">
        <v>2949137.6799999997</v>
      </c>
      <c r="H22" s="17">
        <v>0</v>
      </c>
      <c r="I22" s="13">
        <f t="shared" si="0"/>
        <v>3085329.6406803327</v>
      </c>
    </row>
    <row r="23" spans="1:9" ht="15.75" x14ac:dyDescent="0.25">
      <c r="A23" s="8"/>
      <c r="B23" s="8"/>
      <c r="C23" s="9"/>
      <c r="D23" s="12" t="s">
        <v>19</v>
      </c>
      <c r="E23" s="17">
        <v>102033.38</v>
      </c>
      <c r="F23" s="17">
        <v>16834.279599725</v>
      </c>
      <c r="G23" s="17">
        <v>3102236.53</v>
      </c>
      <c r="H23" s="17">
        <v>0</v>
      </c>
      <c r="I23" s="13">
        <f t="shared" si="0"/>
        <v>3221104.189599725</v>
      </c>
    </row>
    <row r="24" spans="1:9" ht="15.75" x14ac:dyDescent="0.25">
      <c r="A24" s="8"/>
      <c r="B24" s="8"/>
      <c r="C24" s="9"/>
      <c r="D24" s="12" t="s">
        <v>20</v>
      </c>
      <c r="E24" s="17">
        <v>2464650.5600000005</v>
      </c>
      <c r="F24" s="17">
        <v>646940.03948360495</v>
      </c>
      <c r="G24" s="17">
        <v>921871.47</v>
      </c>
      <c r="H24" s="17">
        <v>0</v>
      </c>
      <c r="I24" s="13">
        <f t="shared" si="0"/>
        <v>4033462.0694836052</v>
      </c>
    </row>
    <row r="25" spans="1:9" ht="15.75" x14ac:dyDescent="0.25">
      <c r="A25" s="8"/>
      <c r="B25" s="8"/>
      <c r="C25" s="9"/>
      <c r="D25" s="12" t="s">
        <v>21</v>
      </c>
      <c r="E25" s="17">
        <v>950104.21</v>
      </c>
      <c r="F25" s="17">
        <v>480431.78230257693</v>
      </c>
      <c r="G25" s="17">
        <v>996194.55000000016</v>
      </c>
      <c r="H25" s="17">
        <v>0</v>
      </c>
      <c r="I25" s="13">
        <f t="shared" si="0"/>
        <v>2426730.5423025773</v>
      </c>
    </row>
    <row r="26" spans="1:9" ht="15.75" x14ac:dyDescent="0.25">
      <c r="A26" s="8"/>
      <c r="B26" s="8"/>
      <c r="C26" s="9"/>
      <c r="D26" s="12" t="s">
        <v>22</v>
      </c>
      <c r="E26" s="17">
        <v>605909.05000000005</v>
      </c>
      <c r="F26" s="17">
        <v>275117.19680961594</v>
      </c>
      <c r="G26" s="17">
        <v>443858.33999999997</v>
      </c>
      <c r="H26" s="17">
        <v>0</v>
      </c>
      <c r="I26" s="13">
        <f t="shared" si="0"/>
        <v>1324884.5868096161</v>
      </c>
    </row>
    <row r="27" spans="1:9" ht="15.75" x14ac:dyDescent="0.25">
      <c r="A27" s="8"/>
      <c r="B27" s="8"/>
      <c r="C27" s="9"/>
      <c r="D27" s="12" t="s">
        <v>23</v>
      </c>
      <c r="E27" s="17">
        <v>201580.17000000004</v>
      </c>
      <c r="F27" s="17">
        <v>47220.817044141993</v>
      </c>
      <c r="G27" s="17">
        <v>1294158.5499999998</v>
      </c>
      <c r="H27" s="17">
        <v>0</v>
      </c>
      <c r="I27" s="13">
        <f t="shared" si="0"/>
        <v>1542959.5370441419</v>
      </c>
    </row>
    <row r="28" spans="1:9" ht="15.75" x14ac:dyDescent="0.25">
      <c r="A28" s="8"/>
      <c r="B28" s="8"/>
      <c r="C28" s="9"/>
      <c r="D28" s="12" t="s">
        <v>24</v>
      </c>
      <c r="E28" s="17">
        <v>732636.13</v>
      </c>
      <c r="F28" s="17">
        <v>223792.52703785594</v>
      </c>
      <c r="G28" s="17">
        <v>882475.16</v>
      </c>
      <c r="H28" s="17">
        <v>0</v>
      </c>
      <c r="I28" s="13">
        <f t="shared" si="0"/>
        <v>1838903.817037856</v>
      </c>
    </row>
    <row r="29" spans="1:9" ht="15.75" x14ac:dyDescent="0.25">
      <c r="A29" s="8"/>
      <c r="B29" s="8"/>
      <c r="C29" s="9"/>
      <c r="D29" s="12" t="s">
        <v>25</v>
      </c>
      <c r="E29" s="17">
        <v>269588.95</v>
      </c>
      <c r="F29" s="17">
        <v>125241.73808664698</v>
      </c>
      <c r="G29" s="17">
        <v>261439.81999999995</v>
      </c>
      <c r="H29" s="17">
        <v>0</v>
      </c>
      <c r="I29" s="13">
        <f t="shared" si="0"/>
        <v>656270.50808664691</v>
      </c>
    </row>
    <row r="30" spans="1:9" ht="15.75" x14ac:dyDescent="0.25">
      <c r="A30" s="8"/>
      <c r="B30" s="8"/>
      <c r="C30" s="9"/>
      <c r="D30" s="12" t="s">
        <v>26</v>
      </c>
      <c r="E30" s="17">
        <v>2554186.9700000002</v>
      </c>
      <c r="F30" s="17">
        <v>675476.13170587888</v>
      </c>
      <c r="G30" s="17">
        <v>783929.65999999992</v>
      </c>
      <c r="H30" s="17">
        <v>0</v>
      </c>
      <c r="I30" s="13">
        <f t="shared" si="0"/>
        <v>4013592.7617058791</v>
      </c>
    </row>
    <row r="31" spans="1:9" ht="15.75" x14ac:dyDescent="0.25">
      <c r="A31" s="8"/>
      <c r="B31" s="8"/>
      <c r="C31" s="9"/>
      <c r="D31" s="12" t="s">
        <v>27</v>
      </c>
      <c r="E31" s="17">
        <v>1014214.88</v>
      </c>
      <c r="F31" s="17">
        <v>700115.15447750781</v>
      </c>
      <c r="G31" s="17">
        <v>298952.24000000005</v>
      </c>
      <c r="H31" s="17">
        <v>0</v>
      </c>
      <c r="I31" s="13">
        <f t="shared" si="0"/>
        <v>2013282.2744775077</v>
      </c>
    </row>
    <row r="32" spans="1:9" ht="15.75" x14ac:dyDescent="0.25">
      <c r="A32" s="8"/>
      <c r="B32" s="8"/>
      <c r="C32" s="9"/>
      <c r="D32" s="12" t="s">
        <v>28</v>
      </c>
      <c r="E32" s="17">
        <v>535245.30000000005</v>
      </c>
      <c r="F32" s="17">
        <v>236316.17063298996</v>
      </c>
      <c r="G32" s="17">
        <v>279702.76</v>
      </c>
      <c r="H32" s="17">
        <v>0</v>
      </c>
      <c r="I32" s="13">
        <f t="shared" si="0"/>
        <v>1051264.2306329901</v>
      </c>
    </row>
    <row r="33" spans="1:9" ht="15.75" x14ac:dyDescent="0.25">
      <c r="A33" s="8"/>
      <c r="B33" s="8"/>
      <c r="C33" s="9"/>
      <c r="D33" s="12" t="s">
        <v>29</v>
      </c>
      <c r="E33" s="17">
        <v>63238.7</v>
      </c>
      <c r="F33" s="17">
        <v>357241.97057973896</v>
      </c>
      <c r="G33" s="17">
        <v>147311.67999999999</v>
      </c>
      <c r="H33" s="17">
        <v>0</v>
      </c>
      <c r="I33" s="13">
        <f t="shared" si="0"/>
        <v>567792.35057973897</v>
      </c>
    </row>
    <row r="34" spans="1:9" ht="15.75" x14ac:dyDescent="0.25">
      <c r="A34" s="8"/>
      <c r="B34" s="8"/>
      <c r="C34" s="9"/>
      <c r="D34" s="12" t="s">
        <v>30</v>
      </c>
      <c r="E34" s="17">
        <v>2383918.33</v>
      </c>
      <c r="F34" s="17">
        <v>512663.46283382986</v>
      </c>
      <c r="G34" s="17">
        <v>1101440.3600000001</v>
      </c>
      <c r="H34" s="17">
        <v>0</v>
      </c>
      <c r="I34" s="13">
        <f t="shared" si="0"/>
        <v>3998022.1528338296</v>
      </c>
    </row>
    <row r="35" spans="1:9" ht="15.75" x14ac:dyDescent="0.25">
      <c r="A35" s="8"/>
      <c r="B35" s="8"/>
      <c r="C35" s="9"/>
      <c r="D35" s="12" t="s">
        <v>31</v>
      </c>
      <c r="E35" s="17">
        <v>1326666.4900000002</v>
      </c>
      <c r="F35" s="17">
        <v>753703.8360253569</v>
      </c>
      <c r="G35" s="17">
        <v>908526.87</v>
      </c>
      <c r="H35" s="17">
        <v>0</v>
      </c>
      <c r="I35" s="13">
        <f t="shared" si="0"/>
        <v>2988897.1960253571</v>
      </c>
    </row>
    <row r="36" spans="1:9" ht="15.75" x14ac:dyDescent="0.25">
      <c r="A36" s="8"/>
      <c r="B36" s="8"/>
      <c r="C36" s="9"/>
      <c r="D36" s="12" t="s">
        <v>32</v>
      </c>
      <c r="E36" s="17">
        <v>849547.14</v>
      </c>
      <c r="F36" s="17">
        <v>467701.35543046996</v>
      </c>
      <c r="G36" s="17">
        <v>1745305.8300000003</v>
      </c>
      <c r="H36" s="17">
        <v>0</v>
      </c>
      <c r="I36" s="13">
        <f t="shared" si="0"/>
        <v>3062554.3254304705</v>
      </c>
    </row>
    <row r="37" spans="1:9" ht="15.75" x14ac:dyDescent="0.25">
      <c r="A37" s="8"/>
      <c r="B37" s="8"/>
      <c r="C37" s="9"/>
      <c r="D37" s="12" t="s">
        <v>33</v>
      </c>
      <c r="E37" s="17">
        <v>673320.12</v>
      </c>
      <c r="F37" s="17">
        <v>258691.18162852991</v>
      </c>
      <c r="G37" s="17">
        <v>506857.56999999995</v>
      </c>
      <c r="H37" s="17">
        <v>0</v>
      </c>
      <c r="I37" s="13">
        <f t="shared" si="0"/>
        <v>1438868.8716285299</v>
      </c>
    </row>
    <row r="38" spans="1:9" ht="15.75" x14ac:dyDescent="0.25">
      <c r="A38" s="8"/>
      <c r="B38" s="8"/>
      <c r="C38" s="9"/>
      <c r="D38" s="12" t="s">
        <v>34</v>
      </c>
      <c r="E38" s="17">
        <v>551918.38000000012</v>
      </c>
      <c r="F38" s="17">
        <v>562148.29165406083</v>
      </c>
      <c r="G38" s="17">
        <v>434648.91</v>
      </c>
      <c r="H38" s="17">
        <v>0</v>
      </c>
      <c r="I38" s="13">
        <f t="shared" si="0"/>
        <v>1548715.5816540609</v>
      </c>
    </row>
    <row r="39" spans="1:9" ht="15.75" x14ac:dyDescent="0.25">
      <c r="A39" s="8"/>
      <c r="B39" s="8"/>
      <c r="C39" s="9"/>
      <c r="D39" s="12" t="s">
        <v>35</v>
      </c>
      <c r="E39" s="17">
        <v>804775.03</v>
      </c>
      <c r="F39" s="17">
        <v>880175.66950322781</v>
      </c>
      <c r="G39" s="17">
        <v>584254.55000000005</v>
      </c>
      <c r="H39" s="17">
        <v>0</v>
      </c>
      <c r="I39" s="13">
        <f t="shared" si="0"/>
        <v>2269205.2495032279</v>
      </c>
    </row>
    <row r="40" spans="1:9" ht="15.75" x14ac:dyDescent="0.25">
      <c r="A40" s="8"/>
      <c r="B40" s="8"/>
      <c r="C40" s="9"/>
      <c r="D40" s="12" t="s">
        <v>36</v>
      </c>
      <c r="E40" s="17">
        <v>72732.39</v>
      </c>
      <c r="F40" s="17">
        <v>46197.504929890987</v>
      </c>
      <c r="G40" s="17">
        <v>635314.88</v>
      </c>
      <c r="H40" s="17">
        <v>0</v>
      </c>
      <c r="I40" s="13">
        <f t="shared" si="0"/>
        <v>754244.77492989099</v>
      </c>
    </row>
    <row r="41" spans="1:9" ht="15.75" x14ac:dyDescent="0.25">
      <c r="A41" s="8"/>
      <c r="B41" s="8"/>
      <c r="C41" s="9"/>
      <c r="D41" s="12" t="s">
        <v>37</v>
      </c>
      <c r="E41" s="17">
        <v>1004468.6799999999</v>
      </c>
      <c r="F41" s="17">
        <v>771974.99429327878</v>
      </c>
      <c r="G41" s="17">
        <v>1049358</v>
      </c>
      <c r="H41" s="17">
        <v>0</v>
      </c>
      <c r="I41" s="13">
        <f t="shared" si="0"/>
        <v>2825801.6742932787</v>
      </c>
    </row>
    <row r="42" spans="1:9" ht="15.75" x14ac:dyDescent="0.25">
      <c r="A42" s="8"/>
      <c r="B42" s="8"/>
      <c r="C42" s="9"/>
      <c r="D42" s="12" t="s">
        <v>38</v>
      </c>
      <c r="E42" s="17">
        <v>739579.11</v>
      </c>
      <c r="F42" s="17">
        <v>836035.39307245275</v>
      </c>
      <c r="G42" s="17">
        <v>342117.96</v>
      </c>
      <c r="H42" s="17">
        <v>0</v>
      </c>
      <c r="I42" s="13">
        <f t="shared" si="0"/>
        <v>1917732.4630724527</v>
      </c>
    </row>
    <row r="43" spans="1:9" ht="15.75" x14ac:dyDescent="0.25">
      <c r="A43" s="8"/>
      <c r="B43" s="8"/>
      <c r="C43" s="9"/>
      <c r="D43" s="12" t="s">
        <v>39</v>
      </c>
      <c r="E43" s="17">
        <v>152448.46</v>
      </c>
      <c r="F43" s="17">
        <v>304066.85558583593</v>
      </c>
      <c r="G43" s="17">
        <v>425439.10000000003</v>
      </c>
      <c r="H43" s="17">
        <v>0</v>
      </c>
      <c r="I43" s="13">
        <f t="shared" si="0"/>
        <v>881954.41558583593</v>
      </c>
    </row>
    <row r="44" spans="1:9" ht="15.75" x14ac:dyDescent="0.25">
      <c r="A44" s="8"/>
      <c r="B44" s="8"/>
      <c r="C44" s="9"/>
      <c r="D44" s="12" t="s">
        <v>40</v>
      </c>
      <c r="E44" s="17">
        <v>13344.509999999998</v>
      </c>
      <c r="F44" s="17">
        <v>23403.625245097996</v>
      </c>
      <c r="G44" s="17">
        <v>512996.43</v>
      </c>
      <c r="H44" s="17">
        <v>0</v>
      </c>
      <c r="I44" s="13">
        <f t="shared" si="0"/>
        <v>549744.56524509797</v>
      </c>
    </row>
    <row r="45" spans="1:9" ht="15.75" x14ac:dyDescent="0.25">
      <c r="A45" s="8"/>
      <c r="B45" s="8"/>
      <c r="C45" s="9"/>
      <c r="D45" s="12" t="s">
        <v>41</v>
      </c>
      <c r="E45" s="17">
        <v>845710.66999999993</v>
      </c>
      <c r="F45" s="17">
        <v>6776.1289223459989</v>
      </c>
      <c r="G45" s="17">
        <v>2724984.4200000004</v>
      </c>
      <c r="H45" s="17">
        <v>0</v>
      </c>
      <c r="I45" s="13">
        <f t="shared" si="0"/>
        <v>3577471.2189223464</v>
      </c>
    </row>
    <row r="46" spans="1:9" ht="15.75" x14ac:dyDescent="0.25">
      <c r="A46" s="8"/>
      <c r="B46" s="8"/>
      <c r="C46" s="9"/>
      <c r="D46" s="12" t="s">
        <v>42</v>
      </c>
      <c r="E46" s="17">
        <v>389983.1</v>
      </c>
      <c r="F46" s="17">
        <v>22581.794272512998</v>
      </c>
      <c r="G46" s="17">
        <v>2431007.4700000002</v>
      </c>
      <c r="H46" s="17">
        <v>0</v>
      </c>
      <c r="I46" s="13">
        <f t="shared" si="0"/>
        <v>2843572.3642725134</v>
      </c>
    </row>
    <row r="47" spans="1:9" ht="15.75" x14ac:dyDescent="0.25">
      <c r="A47" s="8"/>
      <c r="B47" s="8"/>
      <c r="C47" s="9"/>
      <c r="D47" s="12" t="s">
        <v>43</v>
      </c>
      <c r="E47" s="17">
        <v>1316255.51</v>
      </c>
      <c r="F47" s="17">
        <v>143306.11307759598</v>
      </c>
      <c r="G47" s="17">
        <v>600016.89999999991</v>
      </c>
      <c r="H47" s="17">
        <v>0</v>
      </c>
      <c r="I47" s="13">
        <f t="shared" si="0"/>
        <v>2059578.523077596</v>
      </c>
    </row>
    <row r="48" spans="1:9" ht="15.75" x14ac:dyDescent="0.25">
      <c r="A48" s="8"/>
      <c r="B48" s="8"/>
      <c r="C48" s="9"/>
      <c r="D48" s="12" t="s">
        <v>44</v>
      </c>
      <c r="E48" s="17">
        <v>306520.78999999992</v>
      </c>
      <c r="F48" s="17">
        <v>22581.794272512998</v>
      </c>
      <c r="G48" s="17">
        <v>1326907.74</v>
      </c>
      <c r="H48" s="17">
        <v>0</v>
      </c>
      <c r="I48" s="13">
        <f t="shared" si="0"/>
        <v>1656010.3242725129</v>
      </c>
    </row>
    <row r="49" spans="1:9" ht="15.75" x14ac:dyDescent="0.25">
      <c r="A49" s="8"/>
      <c r="B49" s="8"/>
      <c r="C49" s="9"/>
      <c r="D49" s="12" t="s">
        <v>45</v>
      </c>
      <c r="E49" s="17">
        <v>375147.33999999997</v>
      </c>
      <c r="F49" s="17">
        <v>26897.732412410995</v>
      </c>
      <c r="G49" s="17">
        <v>2355827.5299999998</v>
      </c>
      <c r="H49" s="17">
        <v>0</v>
      </c>
      <c r="I49" s="13">
        <f t="shared" si="0"/>
        <v>2757872.602412411</v>
      </c>
    </row>
    <row r="50" spans="1:9" ht="15.75" x14ac:dyDescent="0.25">
      <c r="A50" s="8"/>
      <c r="B50" s="8"/>
      <c r="C50" s="9"/>
      <c r="D50" s="12" t="s">
        <v>46</v>
      </c>
      <c r="E50" s="17">
        <v>184237.31</v>
      </c>
      <c r="F50" s="17">
        <v>259926.57915506093</v>
      </c>
      <c r="G50" s="17">
        <v>262620.53999999998</v>
      </c>
      <c r="H50" s="17">
        <v>0</v>
      </c>
      <c r="I50" s="13">
        <f t="shared" si="0"/>
        <v>706784.42915506091</v>
      </c>
    </row>
    <row r="51" spans="1:9" ht="15.75" x14ac:dyDescent="0.25">
      <c r="A51" s="8"/>
      <c r="B51" s="8"/>
      <c r="C51" s="9"/>
      <c r="D51" s="12" t="s">
        <v>47</v>
      </c>
      <c r="E51" s="17">
        <v>567917.88</v>
      </c>
      <c r="F51" s="17">
        <v>472627.03913067293</v>
      </c>
      <c r="G51" s="17">
        <v>593940.6100000001</v>
      </c>
      <c r="H51" s="17">
        <v>0</v>
      </c>
      <c r="I51" s="13">
        <f t="shared" si="0"/>
        <v>1634485.529130673</v>
      </c>
    </row>
    <row r="52" spans="1:9" ht="15.75" x14ac:dyDescent="0.25">
      <c r="A52" s="8"/>
      <c r="B52" s="8"/>
      <c r="C52" s="9"/>
      <c r="D52" s="12" t="s">
        <v>48</v>
      </c>
      <c r="E52" s="17">
        <v>636786.36999999988</v>
      </c>
      <c r="F52" s="17">
        <v>476322.62743965199</v>
      </c>
      <c r="G52" s="17">
        <v>233181.39000000004</v>
      </c>
      <c r="H52" s="17">
        <v>0</v>
      </c>
      <c r="I52" s="13">
        <f t="shared" si="0"/>
        <v>1346290.3874396519</v>
      </c>
    </row>
    <row r="53" spans="1:9" ht="15.75" x14ac:dyDescent="0.25">
      <c r="A53" s="8"/>
      <c r="B53" s="8"/>
      <c r="C53" s="9"/>
      <c r="D53" s="12" t="s">
        <v>49</v>
      </c>
      <c r="E53" s="17">
        <v>315119.46999999997</v>
      </c>
      <c r="F53" s="17">
        <v>326447.16871668294</v>
      </c>
      <c r="G53" s="17">
        <v>812348.76</v>
      </c>
      <c r="H53" s="17">
        <v>0</v>
      </c>
      <c r="I53" s="13">
        <f t="shared" si="0"/>
        <v>1453915.398716683</v>
      </c>
    </row>
    <row r="54" spans="1:9" ht="15.75" x14ac:dyDescent="0.25">
      <c r="A54" s="8"/>
      <c r="B54" s="8"/>
      <c r="C54" s="9"/>
      <c r="D54" s="12" t="s">
        <v>50</v>
      </c>
      <c r="E54" s="17">
        <v>620745.25</v>
      </c>
      <c r="F54" s="17">
        <v>299756.21958124498</v>
      </c>
      <c r="G54" s="17">
        <v>384613.92</v>
      </c>
      <c r="H54" s="17">
        <v>0</v>
      </c>
      <c r="I54" s="13">
        <f t="shared" si="0"/>
        <v>1305115.3895812449</v>
      </c>
    </row>
    <row r="55" spans="1:9" ht="15.75" x14ac:dyDescent="0.25">
      <c r="A55" s="8"/>
      <c r="B55" s="8"/>
      <c r="C55" s="9"/>
      <c r="D55" s="12" t="s">
        <v>51</v>
      </c>
      <c r="E55" s="17">
        <v>270881.83</v>
      </c>
      <c r="F55" s="17">
        <v>613886.52797976695</v>
      </c>
      <c r="G55" s="17">
        <v>43777.64</v>
      </c>
      <c r="H55" s="17">
        <v>0</v>
      </c>
      <c r="I55" s="13">
        <f t="shared" si="0"/>
        <v>928545.99797976704</v>
      </c>
    </row>
    <row r="56" spans="1:9" ht="15.75" x14ac:dyDescent="0.25">
      <c r="A56" s="8"/>
      <c r="B56" s="8"/>
      <c r="C56" s="9"/>
      <c r="D56" s="12" t="s">
        <v>52</v>
      </c>
      <c r="E56" s="17">
        <v>614924.28999999992</v>
      </c>
      <c r="F56" s="17">
        <v>683280.87487778277</v>
      </c>
      <c r="G56" s="17">
        <v>253065.28999999998</v>
      </c>
      <c r="H56" s="17">
        <v>0</v>
      </c>
      <c r="I56" s="13">
        <f t="shared" si="0"/>
        <v>1551270.4548777826</v>
      </c>
    </row>
    <row r="57" spans="1:9" ht="15.75" x14ac:dyDescent="0.25">
      <c r="A57" s="8"/>
      <c r="B57" s="8"/>
      <c r="C57" s="9"/>
      <c r="D57" s="12" t="s">
        <v>53</v>
      </c>
      <c r="E57" s="17">
        <v>270897.41000000003</v>
      </c>
      <c r="F57" s="17">
        <v>225844.45340166497</v>
      </c>
      <c r="G57" s="17">
        <v>234556.03</v>
      </c>
      <c r="H57" s="17">
        <v>0</v>
      </c>
      <c r="I57" s="13">
        <f t="shared" si="0"/>
        <v>731297.89340166503</v>
      </c>
    </row>
    <row r="58" spans="1:9" ht="15.75" x14ac:dyDescent="0.25">
      <c r="A58" s="8"/>
      <c r="B58" s="8"/>
      <c r="C58" s="9"/>
      <c r="D58" s="12" t="s">
        <v>54</v>
      </c>
      <c r="E58" s="17">
        <v>384190.69999999995</v>
      </c>
      <c r="F58" s="17">
        <v>243092.29955533595</v>
      </c>
      <c r="G58" s="17">
        <v>70388.039999999994</v>
      </c>
      <c r="H58" s="17">
        <v>0</v>
      </c>
      <c r="I58" s="13">
        <f t="shared" si="0"/>
        <v>697671.03955533588</v>
      </c>
    </row>
    <row r="59" spans="1:9" ht="15.75" x14ac:dyDescent="0.25">
      <c r="A59" s="8"/>
      <c r="B59" s="8"/>
      <c r="C59" s="9"/>
      <c r="D59" s="12" t="s">
        <v>55</v>
      </c>
      <c r="E59" s="17">
        <v>452580.18000000005</v>
      </c>
      <c r="F59" s="17">
        <v>410623.86885061493</v>
      </c>
      <c r="G59" s="17">
        <v>567299.96999999986</v>
      </c>
      <c r="H59" s="17">
        <v>0</v>
      </c>
      <c r="I59" s="13">
        <f t="shared" si="0"/>
        <v>1430504.0188506148</v>
      </c>
    </row>
    <row r="60" spans="1:9" ht="15.75" x14ac:dyDescent="0.25">
      <c r="A60" s="8"/>
      <c r="B60" s="8"/>
      <c r="C60" s="9"/>
      <c r="D60" s="12" t="s">
        <v>56</v>
      </c>
      <c r="E60" s="17">
        <v>175751.81</v>
      </c>
      <c r="F60" s="17">
        <v>248426.24767417798</v>
      </c>
      <c r="G60" s="17">
        <v>167917.35</v>
      </c>
      <c r="H60" s="17">
        <v>0</v>
      </c>
      <c r="I60" s="13">
        <f t="shared" si="0"/>
        <v>592095.40767417802</v>
      </c>
    </row>
    <row r="61" spans="1:9" ht="15.75" x14ac:dyDescent="0.25">
      <c r="A61" s="8"/>
      <c r="B61" s="8"/>
      <c r="C61" s="9"/>
      <c r="D61" s="12" t="s">
        <v>57</v>
      </c>
      <c r="E61" s="17">
        <v>759897.46</v>
      </c>
      <c r="F61" s="17">
        <v>416784.95007734897</v>
      </c>
      <c r="G61" s="17">
        <v>289156.12</v>
      </c>
      <c r="H61" s="17">
        <v>0</v>
      </c>
      <c r="I61" s="13">
        <f t="shared" si="0"/>
        <v>1465838.5300773489</v>
      </c>
    </row>
    <row r="62" spans="1:9" ht="15.75" x14ac:dyDescent="0.25">
      <c r="A62" s="8"/>
      <c r="B62" s="8"/>
      <c r="C62" s="9"/>
      <c r="D62" s="12" t="s">
        <v>58</v>
      </c>
      <c r="E62" s="17">
        <v>1282171.0999999999</v>
      </c>
      <c r="F62" s="17">
        <v>465034.38137104892</v>
      </c>
      <c r="G62" s="17">
        <v>15953866.069999998</v>
      </c>
      <c r="H62" s="17">
        <v>0</v>
      </c>
      <c r="I62" s="13">
        <f t="shared" si="0"/>
        <v>17701071.551371045</v>
      </c>
    </row>
    <row r="63" spans="1:9" ht="15.75" x14ac:dyDescent="0.25">
      <c r="A63" s="8"/>
      <c r="B63" s="8"/>
      <c r="C63" s="9"/>
      <c r="D63" s="12" t="s">
        <v>59</v>
      </c>
      <c r="E63" s="17">
        <v>335007.08999999997</v>
      </c>
      <c r="F63" s="17">
        <v>51329.971907066982</v>
      </c>
      <c r="G63" s="17">
        <v>870149.47</v>
      </c>
      <c r="H63" s="17">
        <v>0</v>
      </c>
      <c r="I63" s="13">
        <f t="shared" si="0"/>
        <v>1256486.5319070669</v>
      </c>
    </row>
    <row r="64" spans="1:9" ht="15.75" x14ac:dyDescent="0.25">
      <c r="A64" s="8"/>
      <c r="B64" s="8"/>
      <c r="C64" s="9"/>
      <c r="D64" s="12" t="s">
        <v>60</v>
      </c>
      <c r="E64" s="17">
        <v>0</v>
      </c>
      <c r="F64" s="17">
        <v>0</v>
      </c>
      <c r="G64" s="17">
        <v>5100866.7899999991</v>
      </c>
      <c r="H64" s="17">
        <v>0</v>
      </c>
      <c r="I64" s="13">
        <f t="shared" si="0"/>
        <v>5100866.7899999991</v>
      </c>
    </row>
    <row r="65" spans="1:9" ht="15.75" x14ac:dyDescent="0.25">
      <c r="A65" s="8"/>
      <c r="B65" s="8"/>
      <c r="C65" s="9"/>
      <c r="D65" s="12" t="s">
        <v>61</v>
      </c>
      <c r="E65" s="17">
        <v>976460.19</v>
      </c>
      <c r="F65" s="17">
        <v>607725.44675303297</v>
      </c>
      <c r="G65" s="17">
        <v>332729.25999999995</v>
      </c>
      <c r="H65" s="17">
        <v>0</v>
      </c>
      <c r="I65" s="13">
        <f t="shared" si="0"/>
        <v>1916914.8967530329</v>
      </c>
    </row>
    <row r="66" spans="1:9" ht="15.75" x14ac:dyDescent="0.25">
      <c r="A66" s="8"/>
      <c r="B66" s="8"/>
      <c r="C66" s="9"/>
      <c r="D66" s="12" t="s">
        <v>62</v>
      </c>
      <c r="E66" s="17">
        <v>2905009.7199999997</v>
      </c>
      <c r="F66" s="17">
        <v>1208266.5001650809</v>
      </c>
      <c r="G66" s="17">
        <v>781722.26000000013</v>
      </c>
      <c r="H66" s="17">
        <v>0</v>
      </c>
      <c r="I66" s="13">
        <f t="shared" si="0"/>
        <v>4894998.4801650802</v>
      </c>
    </row>
    <row r="67" spans="1:9" ht="15.75" x14ac:dyDescent="0.25">
      <c r="A67" s="8"/>
      <c r="B67" s="8"/>
      <c r="C67" s="9"/>
      <c r="D67" s="12" t="s">
        <v>63</v>
      </c>
      <c r="E67" s="17">
        <v>575620.86</v>
      </c>
      <c r="F67" s="17">
        <v>558452.70334508189</v>
      </c>
      <c r="G67" s="17">
        <v>379850.68999999994</v>
      </c>
      <c r="H67" s="17">
        <v>0</v>
      </c>
      <c r="I67" s="13">
        <f t="shared" si="0"/>
        <v>1513924.2533450818</v>
      </c>
    </row>
    <row r="68" spans="1:9" ht="15.75" x14ac:dyDescent="0.25">
      <c r="A68" s="8"/>
      <c r="B68" s="8"/>
      <c r="C68" s="9"/>
      <c r="D68" s="12" t="s">
        <v>64</v>
      </c>
      <c r="E68" s="17">
        <v>604412.28</v>
      </c>
      <c r="F68" s="17">
        <v>236109.3873560169</v>
      </c>
      <c r="G68" s="17">
        <v>286208.68</v>
      </c>
      <c r="H68" s="17">
        <v>0</v>
      </c>
      <c r="I68" s="13">
        <f t="shared" si="0"/>
        <v>1126730.347356017</v>
      </c>
    </row>
    <row r="69" spans="1:9" ht="15.75" x14ac:dyDescent="0.25">
      <c r="A69" s="8"/>
      <c r="B69" s="8"/>
      <c r="C69" s="9"/>
      <c r="D69" s="12" t="s">
        <v>65</v>
      </c>
      <c r="E69" s="17">
        <v>0</v>
      </c>
      <c r="F69" s="17">
        <v>0</v>
      </c>
      <c r="G69" s="17">
        <v>1701293.0399999998</v>
      </c>
      <c r="H69" s="17">
        <v>0</v>
      </c>
      <c r="I69" s="13">
        <f t="shared" si="0"/>
        <v>1701293.0399999998</v>
      </c>
    </row>
    <row r="70" spans="1:9" ht="15.75" x14ac:dyDescent="0.25">
      <c r="A70" s="8"/>
      <c r="B70" s="8"/>
      <c r="C70" s="9"/>
      <c r="D70" s="12" t="s">
        <v>66</v>
      </c>
      <c r="E70" s="17">
        <v>0</v>
      </c>
      <c r="F70" s="17">
        <v>0</v>
      </c>
      <c r="G70" s="17">
        <v>2175918.2399999998</v>
      </c>
      <c r="H70" s="17">
        <v>0</v>
      </c>
      <c r="I70" s="13">
        <f t="shared" si="0"/>
        <v>2175918.2399999998</v>
      </c>
    </row>
    <row r="71" spans="1:9" ht="15.75" x14ac:dyDescent="0.25">
      <c r="A71" s="8"/>
      <c r="B71" s="8"/>
      <c r="C71" s="9"/>
      <c r="D71" s="12" t="s">
        <v>67</v>
      </c>
      <c r="E71" s="17">
        <v>54498.879999999997</v>
      </c>
      <c r="F71" s="17">
        <v>6161.0812267339988</v>
      </c>
      <c r="G71" s="17">
        <v>1368720.35</v>
      </c>
      <c r="H71" s="17">
        <v>0</v>
      </c>
      <c r="I71" s="13">
        <f t="shared" si="0"/>
        <v>1429380.3112267342</v>
      </c>
    </row>
    <row r="72" spans="1:9" ht="15.75" x14ac:dyDescent="0.25">
      <c r="A72" s="8"/>
      <c r="B72" s="8"/>
      <c r="C72" s="9"/>
      <c r="D72" s="12" t="s">
        <v>68</v>
      </c>
      <c r="E72" s="17">
        <v>1138832.1499999999</v>
      </c>
      <c r="F72" s="17">
        <v>383524.65529653791</v>
      </c>
      <c r="G72" s="17">
        <v>2632686.39</v>
      </c>
      <c r="H72" s="17">
        <v>0</v>
      </c>
      <c r="I72" s="13">
        <f t="shared" si="0"/>
        <v>4155043.1952965381</v>
      </c>
    </row>
    <row r="73" spans="1:9" ht="15.75" x14ac:dyDescent="0.25">
      <c r="A73" s="8"/>
      <c r="B73" s="8"/>
      <c r="C73" s="9"/>
      <c r="D73" s="12" t="s">
        <v>69</v>
      </c>
      <c r="E73" s="17">
        <v>4996.7300000000014</v>
      </c>
      <c r="F73" s="17">
        <v>0</v>
      </c>
      <c r="G73" s="17">
        <v>1369242.6600000001</v>
      </c>
      <c r="H73" s="17">
        <v>0</v>
      </c>
      <c r="I73" s="13">
        <f t="shared" si="0"/>
        <v>1374239.3900000001</v>
      </c>
    </row>
    <row r="74" spans="1:9" ht="15.75" x14ac:dyDescent="0.25">
      <c r="A74" s="8"/>
      <c r="B74" s="8"/>
      <c r="C74" s="9"/>
      <c r="D74" s="12" t="s">
        <v>70</v>
      </c>
      <c r="E74" s="17">
        <v>62955.61</v>
      </c>
      <c r="F74" s="17">
        <v>32438.463808225995</v>
      </c>
      <c r="G74" s="17">
        <v>8751435.8100000005</v>
      </c>
      <c r="H74" s="17">
        <v>0</v>
      </c>
      <c r="I74" s="13">
        <f t="shared" ref="I74:I137" si="1">SUM(E74:H74)</f>
        <v>8846829.8838082273</v>
      </c>
    </row>
    <row r="75" spans="1:9" ht="15.75" x14ac:dyDescent="0.25">
      <c r="A75" s="8"/>
      <c r="B75" s="8"/>
      <c r="C75" s="9"/>
      <c r="D75" s="12" t="s">
        <v>71</v>
      </c>
      <c r="E75" s="17">
        <v>1093630.9499999997</v>
      </c>
      <c r="F75" s="17">
        <v>126063.56905923196</v>
      </c>
      <c r="G75" s="17">
        <v>16589803.469999999</v>
      </c>
      <c r="H75" s="17">
        <v>0</v>
      </c>
      <c r="I75" s="13">
        <f t="shared" si="1"/>
        <v>17809497.989059232</v>
      </c>
    </row>
    <row r="76" spans="1:9" ht="15.75" x14ac:dyDescent="0.25">
      <c r="A76" s="8"/>
      <c r="B76" s="8"/>
      <c r="C76" s="9"/>
      <c r="D76" s="12" t="s">
        <v>72</v>
      </c>
      <c r="E76" s="17">
        <v>0</v>
      </c>
      <c r="F76" s="17">
        <v>0</v>
      </c>
      <c r="G76" s="17">
        <v>4765181.419999999</v>
      </c>
      <c r="H76" s="17">
        <v>0</v>
      </c>
      <c r="I76" s="13">
        <f t="shared" si="1"/>
        <v>4765181.419999999</v>
      </c>
    </row>
    <row r="77" spans="1:9" ht="15.75" x14ac:dyDescent="0.25">
      <c r="A77" s="8"/>
      <c r="B77" s="8"/>
      <c r="C77" s="9"/>
      <c r="D77" s="12" t="s">
        <v>73</v>
      </c>
      <c r="E77" s="17">
        <v>343961.9</v>
      </c>
      <c r="F77" s="17">
        <v>625174.77404836984</v>
      </c>
      <c r="G77" s="17">
        <v>280358.37</v>
      </c>
      <c r="H77" s="17">
        <v>0</v>
      </c>
      <c r="I77" s="13">
        <f t="shared" si="1"/>
        <v>1249495.0440483699</v>
      </c>
    </row>
    <row r="78" spans="1:9" ht="15.75" x14ac:dyDescent="0.25">
      <c r="A78" s="8"/>
      <c r="B78" s="8"/>
      <c r="C78" s="9"/>
      <c r="D78" s="12" t="s">
        <v>74</v>
      </c>
      <c r="E78" s="17">
        <v>591192.64</v>
      </c>
      <c r="F78" s="17">
        <v>634416.39588847093</v>
      </c>
      <c r="G78" s="17">
        <v>509614.50999999995</v>
      </c>
      <c r="H78" s="17">
        <v>0</v>
      </c>
      <c r="I78" s="13">
        <f t="shared" si="1"/>
        <v>1735223.545888471</v>
      </c>
    </row>
    <row r="79" spans="1:9" ht="15.75" x14ac:dyDescent="0.25">
      <c r="A79" s="8"/>
      <c r="B79" s="8"/>
      <c r="C79" s="9"/>
      <c r="D79" s="12" t="s">
        <v>75</v>
      </c>
      <c r="E79" s="17">
        <v>521250.07</v>
      </c>
      <c r="F79" s="17">
        <v>356218.65846548794</v>
      </c>
      <c r="G79" s="17">
        <v>600546.44999999995</v>
      </c>
      <c r="H79" s="17">
        <v>0</v>
      </c>
      <c r="I79" s="13">
        <f t="shared" si="1"/>
        <v>1478015.1784654879</v>
      </c>
    </row>
    <row r="80" spans="1:9" ht="15.75" x14ac:dyDescent="0.25">
      <c r="A80" s="8"/>
      <c r="B80" s="8"/>
      <c r="C80" s="9"/>
      <c r="D80" s="12" t="s">
        <v>76</v>
      </c>
      <c r="E80" s="17">
        <v>625979.65999999992</v>
      </c>
      <c r="F80" s="17">
        <v>188273.52261626296</v>
      </c>
      <c r="G80" s="17">
        <v>89886.529999999984</v>
      </c>
      <c r="H80" s="17">
        <v>0</v>
      </c>
      <c r="I80" s="13">
        <f t="shared" si="1"/>
        <v>904139.71261626296</v>
      </c>
    </row>
    <row r="81" spans="1:9" ht="15.75" x14ac:dyDescent="0.25">
      <c r="A81" s="8"/>
      <c r="B81" s="8"/>
      <c r="C81" s="9"/>
      <c r="D81" s="12" t="s">
        <v>77</v>
      </c>
      <c r="E81" s="17">
        <v>1473173.53</v>
      </c>
      <c r="F81" s="17">
        <v>1135993.0937953638</v>
      </c>
      <c r="G81" s="17">
        <v>1174474.2700000003</v>
      </c>
      <c r="H81" s="17">
        <v>0</v>
      </c>
      <c r="I81" s="13">
        <f t="shared" si="1"/>
        <v>3783640.8937953645</v>
      </c>
    </row>
    <row r="82" spans="1:9" ht="15.75" x14ac:dyDescent="0.25">
      <c r="A82" s="8"/>
      <c r="B82" s="8"/>
      <c r="C82" s="9"/>
      <c r="D82" s="12" t="s">
        <v>78</v>
      </c>
      <c r="E82" s="17">
        <v>1769329.71</v>
      </c>
      <c r="F82" s="17">
        <v>787372.39522480685</v>
      </c>
      <c r="G82" s="17">
        <v>465755.62000000005</v>
      </c>
      <c r="H82" s="17">
        <v>0</v>
      </c>
      <c r="I82" s="13">
        <f t="shared" si="1"/>
        <v>3022457.7252248069</v>
      </c>
    </row>
    <row r="83" spans="1:9" ht="15.75" x14ac:dyDescent="0.25">
      <c r="A83" s="8"/>
      <c r="B83" s="8"/>
      <c r="C83" s="9"/>
      <c r="D83" s="12" t="s">
        <v>79</v>
      </c>
      <c r="E83" s="17">
        <v>836063.41000000015</v>
      </c>
      <c r="F83" s="17">
        <v>323366.62810331595</v>
      </c>
      <c r="G83" s="17">
        <v>731316.03</v>
      </c>
      <c r="H83" s="17">
        <v>0</v>
      </c>
      <c r="I83" s="13">
        <f t="shared" si="1"/>
        <v>1890746.068103316</v>
      </c>
    </row>
    <row r="84" spans="1:9" ht="15.75" x14ac:dyDescent="0.25">
      <c r="A84" s="8"/>
      <c r="B84" s="8"/>
      <c r="C84" s="9"/>
      <c r="D84" s="12" t="s">
        <v>80</v>
      </c>
      <c r="E84" s="17">
        <v>0</v>
      </c>
      <c r="F84" s="17">
        <v>0</v>
      </c>
      <c r="G84" s="17">
        <v>6440528.9500000002</v>
      </c>
      <c r="H84" s="17">
        <v>0</v>
      </c>
      <c r="I84" s="13">
        <f t="shared" si="1"/>
        <v>6440528.9500000002</v>
      </c>
    </row>
    <row r="85" spans="1:9" ht="15.75" x14ac:dyDescent="0.25">
      <c r="A85" s="8"/>
      <c r="B85" s="8"/>
      <c r="C85" s="9"/>
      <c r="D85" s="12" t="s">
        <v>81</v>
      </c>
      <c r="E85" s="17">
        <v>1696900.48</v>
      </c>
      <c r="F85" s="17">
        <v>100602.71531501797</v>
      </c>
      <c r="G85" s="17">
        <v>2629054.9</v>
      </c>
      <c r="H85" s="17">
        <v>0</v>
      </c>
      <c r="I85" s="13">
        <f t="shared" si="1"/>
        <v>4426558.0953150177</v>
      </c>
    </row>
    <row r="86" spans="1:9" ht="15.75" x14ac:dyDescent="0.25">
      <c r="A86" s="8"/>
      <c r="B86" s="8"/>
      <c r="C86" s="9"/>
      <c r="D86" s="12" t="s">
        <v>82</v>
      </c>
      <c r="E86" s="17">
        <v>520285.38</v>
      </c>
      <c r="F86" s="17">
        <v>417813.56432690693</v>
      </c>
      <c r="G86" s="17">
        <v>227916.84</v>
      </c>
      <c r="H86" s="17">
        <v>0</v>
      </c>
      <c r="I86" s="13">
        <f t="shared" si="1"/>
        <v>1166015.784326907</v>
      </c>
    </row>
    <row r="87" spans="1:9" ht="15.75" x14ac:dyDescent="0.25">
      <c r="A87" s="8"/>
      <c r="B87" s="8"/>
      <c r="C87" s="9"/>
      <c r="D87" s="12" t="s">
        <v>83</v>
      </c>
      <c r="E87" s="17">
        <v>443494.66000000003</v>
      </c>
      <c r="F87" s="17">
        <v>550239.69575453899</v>
      </c>
      <c r="G87" s="17">
        <v>160804.19</v>
      </c>
      <c r="H87" s="17">
        <v>0</v>
      </c>
      <c r="I87" s="13">
        <f t="shared" si="1"/>
        <v>1154538.5457545391</v>
      </c>
    </row>
    <row r="88" spans="1:9" ht="15.75" x14ac:dyDescent="0.25">
      <c r="A88" s="8"/>
      <c r="B88" s="8"/>
      <c r="C88" s="9"/>
      <c r="D88" s="12" t="s">
        <v>84</v>
      </c>
      <c r="E88" s="17">
        <v>1233412.03</v>
      </c>
      <c r="F88" s="17">
        <v>0</v>
      </c>
      <c r="G88" s="17">
        <v>2386590.0399999996</v>
      </c>
      <c r="H88" s="17">
        <v>0</v>
      </c>
      <c r="I88" s="13">
        <f t="shared" si="1"/>
        <v>3620002.0699999994</v>
      </c>
    </row>
    <row r="89" spans="1:9" ht="15.75" x14ac:dyDescent="0.25">
      <c r="A89" s="8"/>
      <c r="B89" s="8"/>
      <c r="C89" s="9"/>
      <c r="D89" s="12" t="s">
        <v>85</v>
      </c>
      <c r="E89" s="17">
        <v>436130.7</v>
      </c>
      <c r="F89" s="17">
        <v>539561.19524624082</v>
      </c>
      <c r="G89" s="17">
        <v>491464.80000000005</v>
      </c>
      <c r="H89" s="17">
        <v>0</v>
      </c>
      <c r="I89" s="13">
        <f t="shared" si="1"/>
        <v>1467156.6952462408</v>
      </c>
    </row>
    <row r="90" spans="1:9" ht="15.75" x14ac:dyDescent="0.25">
      <c r="A90" s="8"/>
      <c r="B90" s="8"/>
      <c r="C90" s="9"/>
      <c r="D90" s="12" t="s">
        <v>86</v>
      </c>
      <c r="E90" s="17">
        <v>566618.44999999995</v>
      </c>
      <c r="F90" s="17">
        <v>139610.52476861698</v>
      </c>
      <c r="G90" s="17">
        <v>418367.16</v>
      </c>
      <c r="H90" s="17">
        <v>0</v>
      </c>
      <c r="I90" s="13">
        <f t="shared" si="1"/>
        <v>1124596.1347686169</v>
      </c>
    </row>
    <row r="91" spans="1:9" ht="15.75" x14ac:dyDescent="0.25">
      <c r="A91" s="8"/>
      <c r="B91" s="8"/>
      <c r="C91" s="9"/>
      <c r="D91" s="12" t="s">
        <v>87</v>
      </c>
      <c r="E91" s="17">
        <v>467003.32</v>
      </c>
      <c r="F91" s="17">
        <v>318440.94440311292</v>
      </c>
      <c r="G91" s="17">
        <v>1086030.6100000001</v>
      </c>
      <c r="H91" s="17">
        <v>0</v>
      </c>
      <c r="I91" s="13">
        <f t="shared" si="1"/>
        <v>1871474.874403113</v>
      </c>
    </row>
    <row r="92" spans="1:9" ht="15.75" x14ac:dyDescent="0.25">
      <c r="A92" s="8"/>
      <c r="B92" s="8"/>
      <c r="C92" s="9"/>
      <c r="D92" s="12" t="s">
        <v>88</v>
      </c>
      <c r="E92" s="17">
        <v>91230.84</v>
      </c>
      <c r="F92" s="17">
        <v>43938.795289108995</v>
      </c>
      <c r="G92" s="17">
        <v>2443161.4600000004</v>
      </c>
      <c r="H92" s="17">
        <v>0</v>
      </c>
      <c r="I92" s="13">
        <f t="shared" si="1"/>
        <v>2578331.0952891093</v>
      </c>
    </row>
    <row r="93" spans="1:9" ht="15.75" x14ac:dyDescent="0.25">
      <c r="A93" s="8"/>
      <c r="B93" s="8"/>
      <c r="C93" s="9"/>
      <c r="D93" s="12" t="s">
        <v>89</v>
      </c>
      <c r="E93" s="17">
        <v>480519.3</v>
      </c>
      <c r="F93" s="17">
        <v>356011.87518851494</v>
      </c>
      <c r="G93" s="17">
        <v>306270.49999999994</v>
      </c>
      <c r="H93" s="17">
        <v>0</v>
      </c>
      <c r="I93" s="13">
        <f t="shared" si="1"/>
        <v>1142801.6751885149</v>
      </c>
    </row>
    <row r="94" spans="1:9" ht="15.75" x14ac:dyDescent="0.25">
      <c r="A94" s="8"/>
      <c r="B94" s="8"/>
      <c r="C94" s="9"/>
      <c r="D94" s="12" t="s">
        <v>90</v>
      </c>
      <c r="E94" s="17">
        <v>53875.16</v>
      </c>
      <c r="F94" s="17">
        <v>0</v>
      </c>
      <c r="G94" s="17">
        <v>154403.68</v>
      </c>
      <c r="H94" s="17">
        <v>0</v>
      </c>
      <c r="I94" s="13">
        <f t="shared" si="1"/>
        <v>208278.84</v>
      </c>
    </row>
    <row r="95" spans="1:9" ht="15.75" x14ac:dyDescent="0.25">
      <c r="A95" s="8"/>
      <c r="B95" s="8"/>
      <c r="C95" s="9"/>
      <c r="D95" s="12" t="s">
        <v>91</v>
      </c>
      <c r="E95" s="17">
        <v>750653.02</v>
      </c>
      <c r="F95" s="17">
        <v>11293.548203909999</v>
      </c>
      <c r="G95" s="17">
        <v>2788288.7300000004</v>
      </c>
      <c r="H95" s="17">
        <v>0</v>
      </c>
      <c r="I95" s="13">
        <f t="shared" si="1"/>
        <v>3550235.2982039107</v>
      </c>
    </row>
    <row r="96" spans="1:9" ht="15.75" x14ac:dyDescent="0.25">
      <c r="A96" s="8"/>
      <c r="B96" s="8"/>
      <c r="C96" s="9"/>
      <c r="D96" s="12" t="s">
        <v>92</v>
      </c>
      <c r="E96" s="17">
        <v>0</v>
      </c>
      <c r="F96" s="17">
        <v>0</v>
      </c>
      <c r="G96" s="17">
        <v>5337669.5899999989</v>
      </c>
      <c r="H96" s="17">
        <v>0</v>
      </c>
      <c r="I96" s="13">
        <f t="shared" si="1"/>
        <v>5337669.5899999989</v>
      </c>
    </row>
    <row r="97" spans="1:9" ht="15.75" x14ac:dyDescent="0.25">
      <c r="A97" s="8"/>
      <c r="B97" s="8"/>
      <c r="C97" s="9"/>
      <c r="D97" s="12" t="s">
        <v>93</v>
      </c>
      <c r="E97" s="17">
        <v>337602.68</v>
      </c>
      <c r="F97" s="17">
        <v>507122.73143801489</v>
      </c>
      <c r="G97" s="17">
        <v>362351.5</v>
      </c>
      <c r="H97" s="17">
        <v>0</v>
      </c>
      <c r="I97" s="13">
        <f t="shared" si="1"/>
        <v>1207076.9114380148</v>
      </c>
    </row>
    <row r="98" spans="1:9" ht="15.75" x14ac:dyDescent="0.25">
      <c r="A98" s="8"/>
      <c r="B98" s="8"/>
      <c r="C98" s="9"/>
      <c r="D98" s="12" t="s">
        <v>94</v>
      </c>
      <c r="E98" s="17">
        <v>884294.1399999999</v>
      </c>
      <c r="F98" s="17">
        <v>667061.6429736698</v>
      </c>
      <c r="G98" s="17">
        <v>2617289.3499999996</v>
      </c>
      <c r="H98" s="17">
        <v>0</v>
      </c>
      <c r="I98" s="13">
        <f t="shared" si="1"/>
        <v>4168645.1329736691</v>
      </c>
    </row>
    <row r="99" spans="1:9" ht="15.75" x14ac:dyDescent="0.25">
      <c r="A99" s="8"/>
      <c r="B99" s="8"/>
      <c r="C99" s="9"/>
      <c r="D99" s="12" t="s">
        <v>95</v>
      </c>
      <c r="E99" s="17">
        <v>1045023.8</v>
      </c>
      <c r="F99" s="17">
        <v>1271091.5014177239</v>
      </c>
      <c r="G99" s="17">
        <v>1329187.2799999998</v>
      </c>
      <c r="H99" s="17">
        <v>0</v>
      </c>
      <c r="I99" s="13">
        <f t="shared" si="1"/>
        <v>3645302.581417724</v>
      </c>
    </row>
    <row r="100" spans="1:9" ht="15.75" x14ac:dyDescent="0.25">
      <c r="A100" s="8"/>
      <c r="B100" s="8"/>
      <c r="C100" s="9"/>
      <c r="D100" s="12" t="s">
        <v>96</v>
      </c>
      <c r="E100" s="17">
        <v>1183654.4500000002</v>
      </c>
      <c r="F100" s="17">
        <v>1271706.549113336</v>
      </c>
      <c r="G100" s="17">
        <v>2846130.2899999996</v>
      </c>
      <c r="H100" s="17">
        <v>0</v>
      </c>
      <c r="I100" s="13">
        <f t="shared" si="1"/>
        <v>5301491.2891133353</v>
      </c>
    </row>
    <row r="101" spans="1:9" ht="15.75" x14ac:dyDescent="0.25">
      <c r="A101" s="8"/>
      <c r="B101" s="8"/>
      <c r="C101" s="9"/>
      <c r="D101" s="12" t="s">
        <v>97</v>
      </c>
      <c r="E101" s="17">
        <v>89481.75</v>
      </c>
      <c r="F101" s="17">
        <v>1706545.2699110196</v>
      </c>
      <c r="G101" s="17">
        <v>34404.990000000005</v>
      </c>
      <c r="H101" s="17">
        <v>0</v>
      </c>
      <c r="I101" s="13">
        <f t="shared" si="1"/>
        <v>1830432.0099110196</v>
      </c>
    </row>
    <row r="102" spans="1:9" ht="15.75" x14ac:dyDescent="0.25">
      <c r="A102" s="8"/>
      <c r="B102" s="8"/>
      <c r="C102" s="9"/>
      <c r="D102" s="12" t="s">
        <v>98</v>
      </c>
      <c r="E102" s="17">
        <v>1795056.08</v>
      </c>
      <c r="F102" s="17">
        <v>733789.01581226499</v>
      </c>
      <c r="G102" s="17">
        <v>1009677.26</v>
      </c>
      <c r="H102" s="17">
        <v>0</v>
      </c>
      <c r="I102" s="13">
        <f t="shared" si="1"/>
        <v>3538522.3558122646</v>
      </c>
    </row>
    <row r="103" spans="1:9" ht="15.75" x14ac:dyDescent="0.25">
      <c r="A103" s="8"/>
      <c r="B103" s="8"/>
      <c r="C103" s="9"/>
      <c r="D103" s="12" t="s">
        <v>99</v>
      </c>
      <c r="E103" s="17">
        <v>467054.84</v>
      </c>
      <c r="F103" s="17">
        <v>233028.84674264997</v>
      </c>
      <c r="G103" s="17">
        <v>172478.03000000003</v>
      </c>
      <c r="H103" s="17">
        <v>0</v>
      </c>
      <c r="I103" s="13">
        <f t="shared" si="1"/>
        <v>872561.71674265002</v>
      </c>
    </row>
    <row r="104" spans="1:9" ht="15.75" x14ac:dyDescent="0.25">
      <c r="A104" s="8"/>
      <c r="B104" s="8"/>
      <c r="C104" s="9"/>
      <c r="D104" s="12" t="s">
        <v>100</v>
      </c>
      <c r="E104" s="17">
        <v>1910025.6099999999</v>
      </c>
      <c r="F104" s="17">
        <v>425819.78864047688</v>
      </c>
      <c r="G104" s="17">
        <v>2246252.2799999998</v>
      </c>
      <c r="H104" s="17">
        <v>0</v>
      </c>
      <c r="I104" s="13">
        <f t="shared" si="1"/>
        <v>4582097.6786404764</v>
      </c>
    </row>
    <row r="105" spans="1:9" ht="15.75" x14ac:dyDescent="0.25">
      <c r="A105" s="8"/>
      <c r="B105" s="8"/>
      <c r="C105" s="9"/>
      <c r="D105" s="12" t="s">
        <v>101</v>
      </c>
      <c r="E105" s="17">
        <v>434139.85</v>
      </c>
      <c r="F105" s="17">
        <v>632364.46952466189</v>
      </c>
      <c r="G105" s="17">
        <v>29849.279999999999</v>
      </c>
      <c r="H105" s="17">
        <v>0</v>
      </c>
      <c r="I105" s="13">
        <f t="shared" si="1"/>
        <v>1096353.5995246619</v>
      </c>
    </row>
    <row r="106" spans="1:9" ht="15.75" x14ac:dyDescent="0.25">
      <c r="A106" s="8"/>
      <c r="B106" s="8"/>
      <c r="C106" s="9"/>
      <c r="D106" s="12" t="s">
        <v>102</v>
      </c>
      <c r="E106" s="17">
        <v>697935.25</v>
      </c>
      <c r="F106" s="17">
        <v>39007.809453598995</v>
      </c>
      <c r="G106" s="17">
        <v>4379984.709999999</v>
      </c>
      <c r="H106" s="17">
        <v>0</v>
      </c>
      <c r="I106" s="13">
        <f t="shared" si="1"/>
        <v>5116927.7694535982</v>
      </c>
    </row>
    <row r="107" spans="1:9" ht="15.75" x14ac:dyDescent="0.25">
      <c r="A107" s="8"/>
      <c r="B107" s="8"/>
      <c r="C107" s="9"/>
      <c r="D107" s="12" t="s">
        <v>103</v>
      </c>
      <c r="E107" s="17">
        <v>0</v>
      </c>
      <c r="F107" s="17">
        <v>0</v>
      </c>
      <c r="G107" s="17">
        <v>1307848.56</v>
      </c>
      <c r="H107" s="17">
        <v>0</v>
      </c>
      <c r="I107" s="13">
        <f t="shared" si="1"/>
        <v>1307848.56</v>
      </c>
    </row>
    <row r="108" spans="1:9" ht="15.75" x14ac:dyDescent="0.25">
      <c r="A108" s="8"/>
      <c r="B108" s="8"/>
      <c r="C108" s="9"/>
      <c r="D108" s="12" t="s">
        <v>104</v>
      </c>
      <c r="E108" s="17">
        <v>70778.350000000006</v>
      </c>
      <c r="F108" s="17">
        <v>0</v>
      </c>
      <c r="G108" s="17">
        <v>470695.28</v>
      </c>
      <c r="H108" s="17">
        <v>0</v>
      </c>
      <c r="I108" s="13">
        <f t="shared" si="1"/>
        <v>541473.63</v>
      </c>
    </row>
    <row r="109" spans="1:9" ht="15.75" x14ac:dyDescent="0.25">
      <c r="A109" s="8"/>
      <c r="B109" s="8"/>
      <c r="C109" s="9"/>
      <c r="D109" s="12" t="s">
        <v>105</v>
      </c>
      <c r="E109" s="17">
        <v>226358.48999999996</v>
      </c>
      <c r="F109" s="17">
        <v>1017119.2202124238</v>
      </c>
      <c r="G109" s="17">
        <v>339641.56999999995</v>
      </c>
      <c r="H109" s="17">
        <v>0</v>
      </c>
      <c r="I109" s="13">
        <f t="shared" si="1"/>
        <v>1583119.2802124238</v>
      </c>
    </row>
    <row r="110" spans="1:9" ht="15.75" x14ac:dyDescent="0.25">
      <c r="A110" s="8"/>
      <c r="B110" s="8"/>
      <c r="C110" s="9"/>
      <c r="D110" s="12" t="s">
        <v>106</v>
      </c>
      <c r="E110" s="17">
        <v>576735.85000000009</v>
      </c>
      <c r="F110" s="17">
        <v>249863.12634237495</v>
      </c>
      <c r="G110" s="17">
        <v>239266.97</v>
      </c>
      <c r="H110" s="17">
        <v>0</v>
      </c>
      <c r="I110" s="13">
        <f t="shared" si="1"/>
        <v>1065865.9463423751</v>
      </c>
    </row>
    <row r="111" spans="1:9" ht="15.75" x14ac:dyDescent="0.25">
      <c r="A111" s="8"/>
      <c r="B111" s="8"/>
      <c r="C111" s="9"/>
      <c r="D111" s="12" t="s">
        <v>107</v>
      </c>
      <c r="E111" s="17">
        <v>8521.27</v>
      </c>
      <c r="F111" s="17">
        <v>3902.3715859519989</v>
      </c>
      <c r="G111" s="17">
        <v>8803398.9900000002</v>
      </c>
      <c r="H111" s="17">
        <v>0</v>
      </c>
      <c r="I111" s="13">
        <f t="shared" si="1"/>
        <v>8815822.6315859519</v>
      </c>
    </row>
    <row r="112" spans="1:9" ht="15.75" x14ac:dyDescent="0.25">
      <c r="A112" s="8"/>
      <c r="B112" s="8"/>
      <c r="C112" s="9"/>
      <c r="D112" s="12" t="s">
        <v>108</v>
      </c>
      <c r="E112" s="17">
        <v>967857.08000000007</v>
      </c>
      <c r="F112" s="17">
        <v>266904.18921907293</v>
      </c>
      <c r="G112" s="17">
        <v>592343.46</v>
      </c>
      <c r="H112" s="17">
        <v>0</v>
      </c>
      <c r="I112" s="13">
        <f t="shared" si="1"/>
        <v>1827104.729219073</v>
      </c>
    </row>
    <row r="113" spans="1:9" ht="15.75" x14ac:dyDescent="0.25">
      <c r="A113" s="8"/>
      <c r="B113" s="8"/>
      <c r="C113" s="9"/>
      <c r="D113" s="12" t="s">
        <v>109</v>
      </c>
      <c r="E113" s="17">
        <v>413965.27</v>
      </c>
      <c r="F113" s="17">
        <v>642629.40347901382</v>
      </c>
      <c r="G113" s="17">
        <v>412147.91000000003</v>
      </c>
      <c r="H113" s="17">
        <v>0</v>
      </c>
      <c r="I113" s="13">
        <f t="shared" si="1"/>
        <v>1468742.5834790138</v>
      </c>
    </row>
    <row r="114" spans="1:9" ht="15.75" x14ac:dyDescent="0.25">
      <c r="A114" s="8"/>
      <c r="B114" s="8"/>
      <c r="C114" s="9"/>
      <c r="D114" s="12" t="s">
        <v>110</v>
      </c>
      <c r="E114" s="17">
        <v>1013426.2899999998</v>
      </c>
      <c r="F114" s="17">
        <v>737071.0375672977</v>
      </c>
      <c r="G114" s="17">
        <v>669337.30999999994</v>
      </c>
      <c r="H114" s="17">
        <v>0</v>
      </c>
      <c r="I114" s="13">
        <f t="shared" si="1"/>
        <v>2419834.6375672976</v>
      </c>
    </row>
    <row r="115" spans="1:9" ht="15.75" x14ac:dyDescent="0.25">
      <c r="A115" s="8"/>
      <c r="B115" s="8"/>
      <c r="C115" s="9"/>
      <c r="D115" s="12" t="s">
        <v>111</v>
      </c>
      <c r="E115" s="17">
        <v>1269896.6000000001</v>
      </c>
      <c r="F115" s="17">
        <v>364431.6660560309</v>
      </c>
      <c r="G115" s="17">
        <v>1046293.75</v>
      </c>
      <c r="H115" s="17">
        <v>0</v>
      </c>
      <c r="I115" s="13">
        <f t="shared" si="1"/>
        <v>2680622.016056031</v>
      </c>
    </row>
    <row r="116" spans="1:9" ht="15.75" x14ac:dyDescent="0.25">
      <c r="A116" s="8"/>
      <c r="B116" s="8"/>
      <c r="C116" s="9"/>
      <c r="D116" s="12" t="s">
        <v>112</v>
      </c>
      <c r="E116" s="17">
        <v>401699.62</v>
      </c>
      <c r="F116" s="17">
        <v>473247.38896159187</v>
      </c>
      <c r="G116" s="17">
        <v>242224.52000000002</v>
      </c>
      <c r="H116" s="17">
        <v>0</v>
      </c>
      <c r="I116" s="13">
        <f t="shared" si="1"/>
        <v>1117171.5289615919</v>
      </c>
    </row>
    <row r="117" spans="1:9" ht="15.75" x14ac:dyDescent="0.25">
      <c r="A117" s="8"/>
      <c r="B117" s="8"/>
      <c r="C117" s="9"/>
      <c r="D117" s="12" t="s">
        <v>113</v>
      </c>
      <c r="E117" s="17">
        <v>407479.91000000003</v>
      </c>
      <c r="F117" s="17">
        <v>365454.97817028192</v>
      </c>
      <c r="G117" s="17">
        <v>721790.39</v>
      </c>
      <c r="H117" s="17">
        <v>0</v>
      </c>
      <c r="I117" s="13">
        <f t="shared" si="1"/>
        <v>1494725.278170282</v>
      </c>
    </row>
    <row r="118" spans="1:9" ht="15.75" x14ac:dyDescent="0.25">
      <c r="A118" s="8"/>
      <c r="B118" s="8"/>
      <c r="C118" s="9"/>
      <c r="D118" s="12" t="s">
        <v>114</v>
      </c>
      <c r="E118" s="17">
        <v>686273.76</v>
      </c>
      <c r="F118" s="17">
        <v>570769.56366324285</v>
      </c>
      <c r="G118" s="17">
        <v>706980.91</v>
      </c>
      <c r="H118" s="17">
        <v>0</v>
      </c>
      <c r="I118" s="13">
        <f t="shared" si="1"/>
        <v>1964024.2336632428</v>
      </c>
    </row>
    <row r="119" spans="1:9" ht="15.75" x14ac:dyDescent="0.25">
      <c r="A119" s="8"/>
      <c r="B119" s="8"/>
      <c r="C119" s="9"/>
      <c r="D119" s="12" t="s">
        <v>115</v>
      </c>
      <c r="E119" s="17">
        <v>131553.44</v>
      </c>
      <c r="F119" s="17">
        <v>55433.824634684992</v>
      </c>
      <c r="G119" s="17">
        <v>320061.74</v>
      </c>
      <c r="H119" s="17">
        <v>0</v>
      </c>
      <c r="I119" s="13">
        <f t="shared" si="1"/>
        <v>507049.004634685</v>
      </c>
    </row>
    <row r="120" spans="1:9" ht="15.75" x14ac:dyDescent="0.25">
      <c r="A120" s="8"/>
      <c r="B120" s="8"/>
      <c r="C120" s="9"/>
      <c r="D120" s="12" t="s">
        <v>116</v>
      </c>
      <c r="E120" s="17">
        <v>1366665.2599999998</v>
      </c>
      <c r="F120" s="17">
        <v>242270.46858275094</v>
      </c>
      <c r="G120" s="17">
        <v>710904.26000000013</v>
      </c>
      <c r="H120" s="17">
        <v>0</v>
      </c>
      <c r="I120" s="13">
        <f t="shared" si="1"/>
        <v>2319839.9885827508</v>
      </c>
    </row>
    <row r="121" spans="1:9" ht="15.75" x14ac:dyDescent="0.25">
      <c r="A121" s="8"/>
      <c r="B121" s="8"/>
      <c r="C121" s="9"/>
      <c r="D121" s="12" t="s">
        <v>117</v>
      </c>
      <c r="E121" s="17">
        <v>915762.69000000006</v>
      </c>
      <c r="F121" s="17">
        <v>359500.68022052094</v>
      </c>
      <c r="G121" s="17">
        <v>462401.63</v>
      </c>
      <c r="H121" s="17">
        <v>0</v>
      </c>
      <c r="I121" s="13">
        <f t="shared" si="1"/>
        <v>1737665.0002205209</v>
      </c>
    </row>
    <row r="122" spans="1:9" ht="15.75" x14ac:dyDescent="0.25">
      <c r="A122" s="8"/>
      <c r="B122" s="8"/>
      <c r="C122" s="9"/>
      <c r="D122" s="12" t="s">
        <v>118</v>
      </c>
      <c r="E122" s="17">
        <v>643060.10000000009</v>
      </c>
      <c r="F122" s="17">
        <v>265059.04613223695</v>
      </c>
      <c r="G122" s="17">
        <v>800517.90000000014</v>
      </c>
      <c r="H122" s="17">
        <v>0</v>
      </c>
      <c r="I122" s="13">
        <f t="shared" si="1"/>
        <v>1708637.0461322372</v>
      </c>
    </row>
    <row r="123" spans="1:9" ht="15.75" x14ac:dyDescent="0.25">
      <c r="A123" s="8"/>
      <c r="B123" s="8"/>
      <c r="C123" s="9"/>
      <c r="D123" s="12" t="s">
        <v>119</v>
      </c>
      <c r="E123" s="17">
        <v>717689.28</v>
      </c>
      <c r="F123" s="17">
        <v>487001.12794794992</v>
      </c>
      <c r="G123" s="17">
        <v>205467.9</v>
      </c>
      <c r="H123" s="17">
        <v>0</v>
      </c>
      <c r="I123" s="13">
        <f t="shared" si="1"/>
        <v>1410158.30794795</v>
      </c>
    </row>
    <row r="124" spans="1:9" ht="15.75" x14ac:dyDescent="0.25">
      <c r="A124" s="8"/>
      <c r="B124" s="8"/>
      <c r="C124" s="9"/>
      <c r="D124" s="12" t="s">
        <v>120</v>
      </c>
      <c r="E124" s="17">
        <v>49204.51</v>
      </c>
      <c r="F124" s="17">
        <v>0</v>
      </c>
      <c r="G124" s="17">
        <v>2064299.82</v>
      </c>
      <c r="H124" s="17">
        <v>2186173.9299999992</v>
      </c>
      <c r="I124" s="13">
        <f t="shared" si="1"/>
        <v>4299678.26</v>
      </c>
    </row>
    <row r="125" spans="1:9" ht="15.75" x14ac:dyDescent="0.25">
      <c r="A125" s="8"/>
      <c r="B125" s="8"/>
      <c r="C125" s="9"/>
      <c r="D125" s="12" t="s">
        <v>121</v>
      </c>
      <c r="E125" s="17">
        <v>0</v>
      </c>
      <c r="F125" s="17">
        <v>0</v>
      </c>
      <c r="G125" s="17">
        <v>6603546.8699999992</v>
      </c>
      <c r="H125" s="17">
        <v>585554.12</v>
      </c>
      <c r="I125" s="13">
        <f t="shared" si="1"/>
        <v>7189100.9899999993</v>
      </c>
    </row>
    <row r="126" spans="1:9" ht="15.75" x14ac:dyDescent="0.25">
      <c r="A126" s="8"/>
      <c r="B126" s="8"/>
      <c r="C126" s="9"/>
      <c r="D126" s="12" t="s">
        <v>122</v>
      </c>
      <c r="E126" s="17">
        <v>74604.19</v>
      </c>
      <c r="F126" s="17">
        <v>0</v>
      </c>
      <c r="G126" s="17">
        <v>2790428.0799999996</v>
      </c>
      <c r="H126" s="17">
        <v>0</v>
      </c>
      <c r="I126" s="13">
        <f t="shared" si="1"/>
        <v>2865032.2699999996</v>
      </c>
    </row>
    <row r="127" spans="1:9" ht="15.75" x14ac:dyDescent="0.25">
      <c r="A127" s="8"/>
      <c r="B127" s="8"/>
      <c r="C127" s="9"/>
      <c r="D127" s="12" t="s">
        <v>123</v>
      </c>
      <c r="E127" s="17">
        <v>240092.83000000002</v>
      </c>
      <c r="F127" s="17">
        <v>102654.64167882699</v>
      </c>
      <c r="G127" s="17">
        <v>24594795.779999997</v>
      </c>
      <c r="H127" s="17">
        <v>0</v>
      </c>
      <c r="I127" s="13">
        <f t="shared" si="1"/>
        <v>24937543.251678824</v>
      </c>
    </row>
    <row r="128" spans="1:9" ht="15.75" x14ac:dyDescent="0.25">
      <c r="A128" s="8"/>
      <c r="B128" s="8"/>
      <c r="C128" s="9"/>
      <c r="D128" s="12" t="s">
        <v>124</v>
      </c>
      <c r="E128" s="17">
        <v>991111</v>
      </c>
      <c r="F128" s="17">
        <v>320286.08748994896</v>
      </c>
      <c r="G128" s="17">
        <v>971192.22999999986</v>
      </c>
      <c r="H128" s="17">
        <v>0</v>
      </c>
      <c r="I128" s="13">
        <f t="shared" si="1"/>
        <v>2282589.3174899491</v>
      </c>
    </row>
    <row r="129" spans="1:9" ht="15.75" x14ac:dyDescent="0.25">
      <c r="A129" s="8"/>
      <c r="B129" s="8"/>
      <c r="C129" s="9"/>
      <c r="D129" s="12" t="s">
        <v>125</v>
      </c>
      <c r="E129" s="17">
        <v>405466.54000000004</v>
      </c>
      <c r="F129" s="17">
        <v>155013.22783545195</v>
      </c>
      <c r="G129" s="17">
        <v>566497.94000000018</v>
      </c>
      <c r="H129" s="17">
        <v>0</v>
      </c>
      <c r="I129" s="13">
        <f t="shared" si="1"/>
        <v>1126977.7078354522</v>
      </c>
    </row>
    <row r="130" spans="1:9" ht="15.75" x14ac:dyDescent="0.25">
      <c r="A130" s="8"/>
      <c r="B130" s="8"/>
      <c r="C130" s="9"/>
      <c r="D130" s="12" t="s">
        <v>126</v>
      </c>
      <c r="E130" s="17">
        <v>136230.12</v>
      </c>
      <c r="F130" s="17">
        <v>273065.27044580691</v>
      </c>
      <c r="G130" s="17">
        <v>198320.05000000002</v>
      </c>
      <c r="H130" s="17">
        <v>0</v>
      </c>
      <c r="I130" s="13">
        <f t="shared" si="1"/>
        <v>607615.44044580695</v>
      </c>
    </row>
    <row r="131" spans="1:9" ht="15.75" x14ac:dyDescent="0.25">
      <c r="A131" s="8"/>
      <c r="B131" s="8"/>
      <c r="C131" s="9"/>
      <c r="D131" s="12" t="s">
        <v>127</v>
      </c>
      <c r="E131" s="17">
        <v>1569733.34</v>
      </c>
      <c r="F131" s="17">
        <v>1492418.5355378245</v>
      </c>
      <c r="G131" s="17">
        <v>4315331.0299999993</v>
      </c>
      <c r="H131" s="17">
        <v>0</v>
      </c>
      <c r="I131" s="13">
        <f t="shared" si="1"/>
        <v>7377482.9055378241</v>
      </c>
    </row>
    <row r="132" spans="1:9" ht="15.75" x14ac:dyDescent="0.25">
      <c r="A132" s="8"/>
      <c r="B132" s="8"/>
      <c r="C132" s="9"/>
      <c r="D132" s="12" t="s">
        <v>128</v>
      </c>
      <c r="E132" s="17">
        <v>575952.15999999992</v>
      </c>
      <c r="F132" s="17">
        <v>915694.67392482085</v>
      </c>
      <c r="G132" s="17">
        <v>127449.18000000001</v>
      </c>
      <c r="H132" s="17">
        <v>0</v>
      </c>
      <c r="I132" s="13">
        <f t="shared" si="1"/>
        <v>1619096.0139248206</v>
      </c>
    </row>
    <row r="133" spans="1:9" ht="15.75" x14ac:dyDescent="0.25">
      <c r="A133" s="8"/>
      <c r="B133" s="8"/>
      <c r="C133" s="9"/>
      <c r="D133" s="12" t="s">
        <v>129</v>
      </c>
      <c r="E133" s="17">
        <v>593666.67999999993</v>
      </c>
      <c r="F133" s="17">
        <v>0</v>
      </c>
      <c r="G133" s="17">
        <v>8395441.129999999</v>
      </c>
      <c r="H133" s="17">
        <v>1703266.03</v>
      </c>
      <c r="I133" s="13">
        <f t="shared" si="1"/>
        <v>10692373.839999998</v>
      </c>
    </row>
    <row r="134" spans="1:9" ht="15.75" x14ac:dyDescent="0.25">
      <c r="A134" s="8"/>
      <c r="B134" s="8"/>
      <c r="C134" s="9"/>
      <c r="D134" s="12" t="s">
        <v>130</v>
      </c>
      <c r="E134" s="17">
        <v>136561.41999999998</v>
      </c>
      <c r="F134" s="17">
        <v>45168.890680332996</v>
      </c>
      <c r="G134" s="17">
        <v>22297.94</v>
      </c>
      <c r="H134" s="17">
        <v>0</v>
      </c>
      <c r="I134" s="13">
        <f t="shared" si="1"/>
        <v>204028.25068033297</v>
      </c>
    </row>
    <row r="135" spans="1:9" ht="15.75" x14ac:dyDescent="0.25">
      <c r="A135" s="8"/>
      <c r="B135" s="8"/>
      <c r="C135" s="9"/>
      <c r="D135" s="12" t="s">
        <v>131</v>
      </c>
      <c r="E135" s="17">
        <v>300782.78000000003</v>
      </c>
      <c r="F135" s="17">
        <v>570769.56366324285</v>
      </c>
      <c r="G135" s="17">
        <v>223272.04999999996</v>
      </c>
      <c r="H135" s="17">
        <v>0</v>
      </c>
      <c r="I135" s="13">
        <f t="shared" si="1"/>
        <v>1094824.3936632429</v>
      </c>
    </row>
    <row r="136" spans="1:9" ht="15.75" x14ac:dyDescent="0.25">
      <c r="A136" s="8"/>
      <c r="B136" s="8"/>
      <c r="C136" s="9"/>
      <c r="D136" s="12" t="s">
        <v>132</v>
      </c>
      <c r="E136" s="17">
        <v>2179174.0099999998</v>
      </c>
      <c r="F136" s="17">
        <v>689850.22052315576</v>
      </c>
      <c r="G136" s="17">
        <v>1714029.6400000001</v>
      </c>
      <c r="H136" s="17">
        <v>0</v>
      </c>
      <c r="I136" s="13">
        <f t="shared" si="1"/>
        <v>4583053.8705231557</v>
      </c>
    </row>
    <row r="137" spans="1:9" ht="15.75" x14ac:dyDescent="0.25">
      <c r="A137" s="8"/>
      <c r="B137" s="8"/>
      <c r="C137" s="9"/>
      <c r="D137" s="12" t="s">
        <v>133</v>
      </c>
      <c r="E137" s="17">
        <v>1528341.1</v>
      </c>
      <c r="F137" s="17">
        <v>1084668.424023604</v>
      </c>
      <c r="G137" s="17">
        <v>2082975.02</v>
      </c>
      <c r="H137" s="17">
        <v>0</v>
      </c>
      <c r="I137" s="13">
        <f t="shared" si="1"/>
        <v>4695984.5440236041</v>
      </c>
    </row>
    <row r="138" spans="1:9" ht="15.75" x14ac:dyDescent="0.25">
      <c r="A138" s="8"/>
      <c r="B138" s="8"/>
      <c r="C138" s="9"/>
      <c r="D138" s="12" t="s">
        <v>134</v>
      </c>
      <c r="E138" s="17">
        <v>0</v>
      </c>
      <c r="F138" s="17">
        <v>0</v>
      </c>
      <c r="G138" s="17">
        <v>4461097.8500000006</v>
      </c>
      <c r="H138" s="17">
        <v>0</v>
      </c>
      <c r="I138" s="13">
        <f t="shared" ref="I138:I144" si="2">SUM(E138:H138)</f>
        <v>4461097.8500000006</v>
      </c>
    </row>
    <row r="139" spans="1:9" ht="15.75" x14ac:dyDescent="0.25">
      <c r="A139" s="8"/>
      <c r="B139" s="8"/>
      <c r="C139" s="9"/>
      <c r="D139" s="12" t="s">
        <v>135</v>
      </c>
      <c r="E139" s="17">
        <v>104343.82999999999</v>
      </c>
      <c r="F139" s="17">
        <v>162404.40445340995</v>
      </c>
      <c r="G139" s="17">
        <v>288264.24000000005</v>
      </c>
      <c r="H139" s="17">
        <v>0</v>
      </c>
      <c r="I139" s="13">
        <f t="shared" si="2"/>
        <v>555012.4744534099</v>
      </c>
    </row>
    <row r="140" spans="1:9" ht="15.75" x14ac:dyDescent="0.25">
      <c r="A140" s="8"/>
      <c r="B140" s="8"/>
      <c r="C140" s="9"/>
      <c r="D140" s="12" t="s">
        <v>136</v>
      </c>
      <c r="E140" s="17">
        <v>819841.1399999999</v>
      </c>
      <c r="F140" s="17">
        <v>1151804.0612808377</v>
      </c>
      <c r="G140" s="17">
        <v>928159.45000000007</v>
      </c>
      <c r="H140" s="17">
        <v>0</v>
      </c>
      <c r="I140" s="13">
        <f t="shared" si="2"/>
        <v>2899804.6512808376</v>
      </c>
    </row>
    <row r="141" spans="1:9" ht="15.75" x14ac:dyDescent="0.25">
      <c r="A141" s="8"/>
      <c r="B141" s="8"/>
      <c r="C141" s="9"/>
      <c r="D141" s="12" t="s">
        <v>137</v>
      </c>
      <c r="E141" s="17">
        <v>0</v>
      </c>
      <c r="F141" s="17">
        <v>0</v>
      </c>
      <c r="G141" s="17">
        <v>4892940.0399999991</v>
      </c>
      <c r="H141" s="17">
        <v>157248.89500000002</v>
      </c>
      <c r="I141" s="13">
        <f t="shared" si="2"/>
        <v>5050188.9349999987</v>
      </c>
    </row>
    <row r="142" spans="1:9" ht="15.75" x14ac:dyDescent="0.25">
      <c r="A142" s="8"/>
      <c r="B142" s="8"/>
      <c r="C142" s="9"/>
      <c r="D142" s="12" t="s">
        <v>138</v>
      </c>
      <c r="E142" s="17">
        <v>8128.34</v>
      </c>
      <c r="F142" s="17">
        <v>0</v>
      </c>
      <c r="G142" s="17">
        <v>1174174.6499999999</v>
      </c>
      <c r="H142" s="17">
        <v>0</v>
      </c>
      <c r="I142" s="13">
        <f t="shared" si="2"/>
        <v>1182302.99</v>
      </c>
    </row>
    <row r="143" spans="1:9" ht="15.75" x14ac:dyDescent="0.25">
      <c r="A143" s="8"/>
      <c r="B143" s="8"/>
      <c r="C143" s="9"/>
      <c r="D143" s="12" t="s">
        <v>139</v>
      </c>
      <c r="E143" s="17">
        <v>218589</v>
      </c>
      <c r="F143" s="17">
        <v>1064546.8205335387</v>
      </c>
      <c r="G143" s="17">
        <v>149314.47999999998</v>
      </c>
      <c r="H143" s="17">
        <v>0</v>
      </c>
      <c r="I143" s="13">
        <f t="shared" si="2"/>
        <v>1432450.3005335387</v>
      </c>
    </row>
    <row r="144" spans="1:9" ht="15.75" x14ac:dyDescent="0.25">
      <c r="A144" s="8"/>
      <c r="B144" s="8"/>
      <c r="C144" s="9"/>
      <c r="D144" s="12" t="s">
        <v>140</v>
      </c>
      <c r="E144" s="17">
        <v>635338.2300000001</v>
      </c>
      <c r="F144" s="17">
        <v>129345.59081426496</v>
      </c>
      <c r="G144" s="17">
        <v>1056619.8099999998</v>
      </c>
      <c r="H144" s="17">
        <v>0</v>
      </c>
      <c r="I144" s="13">
        <f t="shared" si="2"/>
        <v>1821303.630814265</v>
      </c>
    </row>
    <row r="145" spans="3:10" s="2" customFormat="1" ht="24.75" customHeight="1" x14ac:dyDescent="0.2">
      <c r="C145" s="10"/>
      <c r="D145" s="21" t="s">
        <v>141</v>
      </c>
      <c r="E145" s="22">
        <f>SUM(E10:E144)</f>
        <v>89231641.800000012</v>
      </c>
      <c r="F145" s="22">
        <f>SUM(F10:F144)</f>
        <v>53018892.879217543</v>
      </c>
      <c r="G145" s="22">
        <f>SUM(G10:G144)</f>
        <v>246775920.75000006</v>
      </c>
      <c r="H145" s="22">
        <f>SUM(H10:H144)</f>
        <v>4632242.9749999996</v>
      </c>
      <c r="I145" s="22">
        <f>SUM(I10:I144)</f>
        <v>393658698.40421736</v>
      </c>
      <c r="J145" s="11"/>
    </row>
  </sheetData>
  <customSheetViews>
    <customSheetView guid="{F1F511AB-5865-40AB-8DB4-DDEDE7CBB603}" scale="80" showGridLines="0" fitToPage="1">
      <pane xSplit="4" ySplit="9" topLeftCell="E133" activePane="bottomRight" state="frozen"/>
      <selection pane="bottomRight" activeCell="G29" sqref="G29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D10" sqref="D10"/>
      <pageMargins left="0" right="0" top="0.19685039370078741" bottom="0.39370078740157483" header="0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3"/>
  <headerFooter alignWithMargins="0">
    <oddFooter>&amp;C&amp;"Arial,Normal"&amp;9Subsecretaría de Coordinación Económica y Estadística
MINISTERIO DE HACIENDA Y FINANZAS&amp;R&amp;P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/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146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379145.08000000013</v>
      </c>
      <c r="F10" s="14">
        <v>1195828.9294478665</v>
      </c>
      <c r="G10" s="14">
        <v>383459.2</v>
      </c>
      <c r="H10" s="14">
        <v>0</v>
      </c>
      <c r="I10" s="13">
        <f t="shared" ref="I10:I73" si="0">SUM(E10:H10)</f>
        <v>1958433.2094478665</v>
      </c>
    </row>
    <row r="11" spans="1:9" ht="15.75" x14ac:dyDescent="0.25">
      <c r="A11" s="8"/>
      <c r="B11" s="8"/>
      <c r="C11" s="9"/>
      <c r="D11" s="12" t="s">
        <v>7</v>
      </c>
      <c r="E11" s="14">
        <v>545121.05999999994</v>
      </c>
      <c r="F11" s="14">
        <v>671191.30889430374</v>
      </c>
      <c r="G11" s="14">
        <v>485659.21000000008</v>
      </c>
      <c r="H11" s="14">
        <v>0</v>
      </c>
      <c r="I11" s="13">
        <f t="shared" si="0"/>
        <v>1701971.5788943036</v>
      </c>
    </row>
    <row r="12" spans="1:9" ht="15.75" x14ac:dyDescent="0.25">
      <c r="A12" s="8"/>
      <c r="B12" s="8"/>
      <c r="C12" s="9"/>
      <c r="D12" s="12" t="s">
        <v>8</v>
      </c>
      <c r="E12" s="14">
        <v>655302.49000000011</v>
      </c>
      <c r="F12" s="14">
        <v>243328.17780384293</v>
      </c>
      <c r="G12" s="14">
        <v>369972.38999999996</v>
      </c>
      <c r="H12" s="14">
        <v>0</v>
      </c>
      <c r="I12" s="13">
        <f t="shared" si="0"/>
        <v>1268603.0578038429</v>
      </c>
    </row>
    <row r="13" spans="1:9" ht="15.75" x14ac:dyDescent="0.25">
      <c r="A13" s="8"/>
      <c r="B13" s="8"/>
      <c r="C13" s="9"/>
      <c r="D13" s="12" t="s">
        <v>9</v>
      </c>
      <c r="E13" s="14">
        <v>171268.56999999998</v>
      </c>
      <c r="F13" s="14">
        <v>6437.7879256569977</v>
      </c>
      <c r="G13" s="14">
        <v>4184082.02</v>
      </c>
      <c r="H13" s="14">
        <v>0</v>
      </c>
      <c r="I13" s="13">
        <f t="shared" si="0"/>
        <v>4361788.3779256567</v>
      </c>
    </row>
    <row r="14" spans="1:9" ht="15.75" x14ac:dyDescent="0.25">
      <c r="A14" s="8"/>
      <c r="B14" s="8"/>
      <c r="C14" s="9"/>
      <c r="D14" s="12" t="s">
        <v>10</v>
      </c>
      <c r="E14" s="14">
        <v>605690.68999999994</v>
      </c>
      <c r="F14" s="14">
        <v>270364.64200426987</v>
      </c>
      <c r="G14" s="14">
        <v>769947.87000000011</v>
      </c>
      <c r="H14" s="14">
        <v>0</v>
      </c>
      <c r="I14" s="13">
        <f t="shared" si="0"/>
        <v>1646003.2020042699</v>
      </c>
    </row>
    <row r="15" spans="1:9" ht="15.75" x14ac:dyDescent="0.25">
      <c r="A15" s="8"/>
      <c r="B15" s="8"/>
      <c r="C15" s="9"/>
      <c r="D15" s="12" t="s">
        <v>11</v>
      </c>
      <c r="E15" s="14">
        <v>11074.96</v>
      </c>
      <c r="F15" s="14">
        <v>1504.2085127079995</v>
      </c>
      <c r="G15" s="14">
        <v>3962387.65</v>
      </c>
      <c r="H15" s="14">
        <v>0</v>
      </c>
      <c r="I15" s="13">
        <f t="shared" si="0"/>
        <v>3974966.8185127079</v>
      </c>
    </row>
    <row r="16" spans="1:9" ht="15.75" x14ac:dyDescent="0.25">
      <c r="A16" s="8"/>
      <c r="B16" s="8"/>
      <c r="C16" s="9"/>
      <c r="D16" s="12" t="s">
        <v>12</v>
      </c>
      <c r="E16" s="14">
        <v>523453.79</v>
      </c>
      <c r="F16" s="14">
        <v>1289168.4352923967</v>
      </c>
      <c r="G16" s="14">
        <v>848911.04999999993</v>
      </c>
      <c r="H16" s="14">
        <v>0</v>
      </c>
      <c r="I16" s="13">
        <f t="shared" si="0"/>
        <v>2661533.2752923965</v>
      </c>
    </row>
    <row r="17" spans="1:9" ht="15.75" x14ac:dyDescent="0.25">
      <c r="A17" s="8"/>
      <c r="B17" s="8"/>
      <c r="C17" s="9"/>
      <c r="D17" s="12" t="s">
        <v>13</v>
      </c>
      <c r="E17" s="14">
        <v>787357.48000000033</v>
      </c>
      <c r="F17" s="14">
        <v>1229516.4648705283</v>
      </c>
      <c r="G17" s="14">
        <v>1682350.84</v>
      </c>
      <c r="H17" s="14">
        <v>0</v>
      </c>
      <c r="I17" s="13">
        <f t="shared" si="0"/>
        <v>3699224.7848705286</v>
      </c>
    </row>
    <row r="18" spans="1:9" ht="15.75" x14ac:dyDescent="0.25">
      <c r="A18" s="8"/>
      <c r="B18" s="8"/>
      <c r="C18" s="9"/>
      <c r="D18" s="12" t="s">
        <v>14</v>
      </c>
      <c r="E18" s="14">
        <v>151123.9</v>
      </c>
      <c r="F18" s="14">
        <v>96561.206166523974</v>
      </c>
      <c r="G18" s="14">
        <v>7951469.6300000008</v>
      </c>
      <c r="H18" s="14">
        <v>0</v>
      </c>
      <c r="I18" s="13">
        <f t="shared" si="0"/>
        <v>8199154.7361665247</v>
      </c>
    </row>
    <row r="19" spans="1:9" ht="15.75" x14ac:dyDescent="0.25">
      <c r="A19" s="8"/>
      <c r="B19" s="8"/>
      <c r="C19" s="9"/>
      <c r="D19" s="12" t="s">
        <v>15</v>
      </c>
      <c r="E19" s="14">
        <v>1410802.8800000006</v>
      </c>
      <c r="F19" s="14">
        <v>921602.73723186867</v>
      </c>
      <c r="G19" s="14">
        <v>1050225.0799999998</v>
      </c>
      <c r="H19" s="14">
        <v>0</v>
      </c>
      <c r="I19" s="13">
        <f t="shared" si="0"/>
        <v>3382630.6972318692</v>
      </c>
    </row>
    <row r="20" spans="1:9" ht="15.75" x14ac:dyDescent="0.25">
      <c r="A20" s="8"/>
      <c r="B20" s="8"/>
      <c r="C20" s="9"/>
      <c r="D20" s="12" t="s">
        <v>16</v>
      </c>
      <c r="E20" s="14">
        <v>461703.44000000006</v>
      </c>
      <c r="F20" s="14">
        <v>256203.75365515691</v>
      </c>
      <c r="G20" s="14">
        <v>722306.33999999985</v>
      </c>
      <c r="H20" s="14">
        <v>0</v>
      </c>
      <c r="I20" s="13">
        <f t="shared" si="0"/>
        <v>1440213.5336551568</v>
      </c>
    </row>
    <row r="21" spans="1:9" ht="15.75" x14ac:dyDescent="0.25">
      <c r="A21" s="8"/>
      <c r="B21" s="8"/>
      <c r="C21" s="9"/>
      <c r="D21" s="12" t="s">
        <v>17</v>
      </c>
      <c r="E21" s="14">
        <v>648169.90000000026</v>
      </c>
      <c r="F21" s="14">
        <v>1102489.4236033366</v>
      </c>
      <c r="G21" s="14">
        <v>468245.30000000005</v>
      </c>
      <c r="H21" s="14">
        <v>0</v>
      </c>
      <c r="I21" s="13">
        <f t="shared" si="0"/>
        <v>2218904.6236033365</v>
      </c>
    </row>
    <row r="22" spans="1:9" ht="15.75" x14ac:dyDescent="0.25">
      <c r="A22" s="8"/>
      <c r="B22" s="8"/>
      <c r="C22" s="9"/>
      <c r="D22" s="12" t="s">
        <v>18</v>
      </c>
      <c r="E22" s="14">
        <v>93653.349999999991</v>
      </c>
      <c r="F22" s="14">
        <v>47208.57388204099</v>
      </c>
      <c r="G22" s="14">
        <v>3225230.6599999992</v>
      </c>
      <c r="H22" s="14">
        <v>0</v>
      </c>
      <c r="I22" s="13">
        <f t="shared" si="0"/>
        <v>3366092.5838820403</v>
      </c>
    </row>
    <row r="23" spans="1:9" ht="15.75" x14ac:dyDescent="0.25">
      <c r="A23" s="8"/>
      <c r="B23" s="8"/>
      <c r="C23" s="9"/>
      <c r="D23" s="12" t="s">
        <v>19</v>
      </c>
      <c r="E23" s="14">
        <v>74186.290000000008</v>
      </c>
      <c r="F23" s="14">
        <v>17595.871967684994</v>
      </c>
      <c r="G23" s="14">
        <v>2751944.12</v>
      </c>
      <c r="H23" s="14">
        <v>0</v>
      </c>
      <c r="I23" s="13">
        <f t="shared" si="0"/>
        <v>2843726.2819676851</v>
      </c>
    </row>
    <row r="24" spans="1:9" ht="15.75" x14ac:dyDescent="0.25">
      <c r="A24" s="8"/>
      <c r="B24" s="8"/>
      <c r="C24" s="9"/>
      <c r="D24" s="12" t="s">
        <v>20</v>
      </c>
      <c r="E24" s="14">
        <v>1277370.5</v>
      </c>
      <c r="F24" s="14">
        <v>676130.50102558371</v>
      </c>
      <c r="G24" s="14">
        <v>1212926.7599999998</v>
      </c>
      <c r="H24" s="14">
        <v>0</v>
      </c>
      <c r="I24" s="13">
        <f t="shared" si="0"/>
        <v>3166427.7610255834</v>
      </c>
    </row>
    <row r="25" spans="1:9" ht="15.75" x14ac:dyDescent="0.25">
      <c r="A25" s="8"/>
      <c r="B25" s="8"/>
      <c r="C25" s="9"/>
      <c r="D25" s="12" t="s">
        <v>21</v>
      </c>
      <c r="E25" s="14">
        <v>440072.17999999993</v>
      </c>
      <c r="F25" s="14">
        <v>502108.16917292878</v>
      </c>
      <c r="G25" s="14">
        <v>1119219.1399999999</v>
      </c>
      <c r="H25" s="14">
        <v>0</v>
      </c>
      <c r="I25" s="13">
        <f t="shared" si="0"/>
        <v>2061399.4891729285</v>
      </c>
    </row>
    <row r="26" spans="1:9" ht="15.75" x14ac:dyDescent="0.25">
      <c r="A26" s="8"/>
      <c r="B26" s="8"/>
      <c r="C26" s="9"/>
      <c r="D26" s="12" t="s">
        <v>22</v>
      </c>
      <c r="E26" s="14">
        <v>324261.50999999995</v>
      </c>
      <c r="F26" s="14">
        <v>287533.94737879891</v>
      </c>
      <c r="G26" s="14">
        <v>533303.59</v>
      </c>
      <c r="H26" s="14">
        <v>0</v>
      </c>
      <c r="I26" s="13">
        <f t="shared" si="0"/>
        <v>1145099.0473787989</v>
      </c>
    </row>
    <row r="27" spans="1:9" ht="15.75" x14ac:dyDescent="0.25">
      <c r="A27" s="8"/>
      <c r="B27" s="8"/>
      <c r="C27" s="9"/>
      <c r="D27" s="12" t="s">
        <v>23</v>
      </c>
      <c r="E27" s="14">
        <v>187325.47</v>
      </c>
      <c r="F27" s="14">
        <v>49352.632284482985</v>
      </c>
      <c r="G27" s="14">
        <v>1442622.8800000001</v>
      </c>
      <c r="H27" s="14">
        <v>0</v>
      </c>
      <c r="I27" s="13">
        <f t="shared" si="0"/>
        <v>1679300.982284483</v>
      </c>
    </row>
    <row r="28" spans="1:9" ht="15.75" x14ac:dyDescent="0.25">
      <c r="A28" s="8"/>
      <c r="B28" s="8"/>
      <c r="C28" s="9"/>
      <c r="D28" s="12" t="s">
        <v>24</v>
      </c>
      <c r="E28" s="14">
        <v>224871.61000000002</v>
      </c>
      <c r="F28" s="14">
        <v>233887.58557110094</v>
      </c>
      <c r="G28" s="14">
        <v>1187007.75</v>
      </c>
      <c r="H28" s="14">
        <v>0</v>
      </c>
      <c r="I28" s="13">
        <f t="shared" si="0"/>
        <v>1645766.9455711008</v>
      </c>
    </row>
    <row r="29" spans="1:9" ht="15.75" x14ac:dyDescent="0.25">
      <c r="A29" s="8"/>
      <c r="B29" s="8"/>
      <c r="C29" s="9"/>
      <c r="D29" s="12" t="s">
        <v>25</v>
      </c>
      <c r="E29" s="14">
        <v>217547.00000000003</v>
      </c>
      <c r="F29" s="14">
        <v>130888.59147891995</v>
      </c>
      <c r="G29" s="14">
        <v>449011.06</v>
      </c>
      <c r="H29" s="14">
        <v>0</v>
      </c>
      <c r="I29" s="13">
        <f t="shared" si="0"/>
        <v>797446.6514789199</v>
      </c>
    </row>
    <row r="30" spans="1:9" ht="15.75" x14ac:dyDescent="0.25">
      <c r="A30" s="8"/>
      <c r="B30" s="8"/>
      <c r="C30" s="9"/>
      <c r="D30" s="12" t="s">
        <v>26</v>
      </c>
      <c r="E30" s="14">
        <v>526809.39</v>
      </c>
      <c r="F30" s="14">
        <v>705956.48623651767</v>
      </c>
      <c r="G30" s="14">
        <v>967981.65999999992</v>
      </c>
      <c r="H30" s="14">
        <v>0</v>
      </c>
      <c r="I30" s="13">
        <f t="shared" si="0"/>
        <v>2200747.5362365176</v>
      </c>
    </row>
    <row r="31" spans="1:9" ht="15.75" x14ac:dyDescent="0.25">
      <c r="A31" s="8"/>
      <c r="B31" s="8"/>
      <c r="C31" s="9"/>
      <c r="D31" s="12" t="s">
        <v>27</v>
      </c>
      <c r="E31" s="14">
        <v>475204.18999999989</v>
      </c>
      <c r="F31" s="14">
        <v>731702.02522081474</v>
      </c>
      <c r="G31" s="14">
        <v>410773.9</v>
      </c>
      <c r="H31" s="14">
        <v>0</v>
      </c>
      <c r="I31" s="13">
        <f t="shared" si="0"/>
        <v>1617680.1152208145</v>
      </c>
    </row>
    <row r="32" spans="1:9" ht="15.75" x14ac:dyDescent="0.25">
      <c r="A32" s="8"/>
      <c r="B32" s="8"/>
      <c r="C32" s="9"/>
      <c r="D32" s="12" t="s">
        <v>28</v>
      </c>
      <c r="E32" s="14">
        <v>308603.51999999996</v>
      </c>
      <c r="F32" s="14">
        <v>246976.44471899289</v>
      </c>
      <c r="G32" s="14">
        <v>684557.53</v>
      </c>
      <c r="H32" s="14">
        <v>0</v>
      </c>
      <c r="I32" s="13">
        <f t="shared" si="0"/>
        <v>1240137.4947189928</v>
      </c>
    </row>
    <row r="33" spans="1:9" ht="15.75" x14ac:dyDescent="0.25">
      <c r="A33" s="8"/>
      <c r="B33" s="8"/>
      <c r="C33" s="9"/>
      <c r="D33" s="12" t="s">
        <v>29</v>
      </c>
      <c r="E33" s="14">
        <v>51046.09</v>
      </c>
      <c r="F33" s="14">
        <v>373363.63609645085</v>
      </c>
      <c r="G33" s="14">
        <v>220721.38999999998</v>
      </c>
      <c r="H33" s="14">
        <v>0</v>
      </c>
      <c r="I33" s="13">
        <f t="shared" si="0"/>
        <v>645131.11609645083</v>
      </c>
    </row>
    <row r="34" spans="1:9" ht="15.75" x14ac:dyDescent="0.25">
      <c r="A34" s="8"/>
      <c r="B34" s="8"/>
      <c r="C34" s="9"/>
      <c r="D34" s="12" t="s">
        <v>30</v>
      </c>
      <c r="E34" s="14">
        <v>1476828.2599999998</v>
      </c>
      <c r="F34" s="14">
        <v>535795.70459559071</v>
      </c>
      <c r="G34" s="14">
        <v>1522475.8299999998</v>
      </c>
      <c r="H34" s="14">
        <v>0</v>
      </c>
      <c r="I34" s="13">
        <f t="shared" si="0"/>
        <v>3535099.7945955903</v>
      </c>
    </row>
    <row r="35" spans="1:9" ht="15.75" x14ac:dyDescent="0.25">
      <c r="A35" s="8"/>
      <c r="B35" s="8"/>
      <c r="C35" s="9"/>
      <c r="D35" s="12" t="s">
        <v>31</v>
      </c>
      <c r="E35" s="14">
        <v>650415.09000000008</v>
      </c>
      <c r="F35" s="14">
        <v>985329.54116204265</v>
      </c>
      <c r="G35" s="14">
        <v>1088356.29</v>
      </c>
      <c r="H35" s="14">
        <v>0</v>
      </c>
      <c r="I35" s="13">
        <f t="shared" si="0"/>
        <v>2724100.9211620428</v>
      </c>
    </row>
    <row r="36" spans="1:9" ht="15.75" x14ac:dyDescent="0.25">
      <c r="A36" s="8"/>
      <c r="B36" s="8"/>
      <c r="C36" s="9"/>
      <c r="D36" s="12" t="s">
        <v>32</v>
      </c>
      <c r="E36" s="14">
        <v>500233.43</v>
      </c>
      <c r="F36" s="14">
        <v>488800.41401012783</v>
      </c>
      <c r="G36" s="14">
        <v>1884631.94</v>
      </c>
      <c r="H36" s="14">
        <v>0</v>
      </c>
      <c r="I36" s="13">
        <f t="shared" si="0"/>
        <v>2873665.7840101277</v>
      </c>
    </row>
    <row r="37" spans="1:9" ht="15.75" x14ac:dyDescent="0.25">
      <c r="A37" s="8"/>
      <c r="B37" s="8"/>
      <c r="C37" s="9"/>
      <c r="D37" s="12" t="s">
        <v>33</v>
      </c>
      <c r="E37" s="14">
        <v>173722.72999999998</v>
      </c>
      <c r="F37" s="14">
        <v>341820.15907623095</v>
      </c>
      <c r="G37" s="14">
        <v>722933.1399999999</v>
      </c>
      <c r="H37" s="14">
        <v>0</v>
      </c>
      <c r="I37" s="13">
        <f t="shared" si="0"/>
        <v>1238476.0290762307</v>
      </c>
    </row>
    <row r="38" spans="1:9" ht="15.75" x14ac:dyDescent="0.25">
      <c r="A38" s="8"/>
      <c r="B38" s="8"/>
      <c r="C38" s="9"/>
      <c r="D38" s="12" t="s">
        <v>34</v>
      </c>
      <c r="E38" s="14">
        <v>258943.79</v>
      </c>
      <c r="F38" s="14">
        <v>587505.67857909377</v>
      </c>
      <c r="G38" s="14">
        <v>611635.28</v>
      </c>
      <c r="H38" s="14">
        <v>0</v>
      </c>
      <c r="I38" s="13">
        <f t="shared" si="0"/>
        <v>1458084.7485790937</v>
      </c>
    </row>
    <row r="39" spans="1:9" ht="15.75" x14ac:dyDescent="0.25">
      <c r="A39" s="8"/>
      <c r="B39" s="8"/>
      <c r="C39" s="9"/>
      <c r="D39" s="12" t="s">
        <v>35</v>
      </c>
      <c r="E39" s="14">
        <v>637898.35</v>
      </c>
      <c r="F39" s="14">
        <v>919885.24542258261</v>
      </c>
      <c r="G39" s="14">
        <v>768344.80999999994</v>
      </c>
      <c r="H39" s="14">
        <v>0</v>
      </c>
      <c r="I39" s="13">
        <f t="shared" si="0"/>
        <v>2326128.4054225828</v>
      </c>
    </row>
    <row r="40" spans="1:9" ht="15.75" x14ac:dyDescent="0.25">
      <c r="A40" s="8"/>
      <c r="B40" s="8"/>
      <c r="C40" s="9"/>
      <c r="D40" s="12" t="s">
        <v>36</v>
      </c>
      <c r="E40" s="14">
        <v>38157.019999999997</v>
      </c>
      <c r="F40" s="14">
        <v>48280.603083261987</v>
      </c>
      <c r="G40" s="14">
        <v>578982.28</v>
      </c>
      <c r="H40" s="14">
        <v>0</v>
      </c>
      <c r="I40" s="13">
        <f t="shared" si="0"/>
        <v>665419.90308326203</v>
      </c>
    </row>
    <row r="41" spans="1:9" ht="15.75" x14ac:dyDescent="0.25">
      <c r="A41" s="8"/>
      <c r="B41" s="8"/>
      <c r="C41" s="9"/>
      <c r="D41" s="12" t="s">
        <v>37</v>
      </c>
      <c r="E41" s="14">
        <v>944877.19</v>
      </c>
      <c r="F41" s="14">
        <v>864740.28782050777</v>
      </c>
      <c r="G41" s="14">
        <v>1292880.8100000003</v>
      </c>
      <c r="H41" s="14">
        <v>0</v>
      </c>
      <c r="I41" s="13">
        <f t="shared" si="0"/>
        <v>3102498.2878205078</v>
      </c>
    </row>
    <row r="42" spans="1:9" ht="15.75" x14ac:dyDescent="0.25">
      <c r="A42" s="8"/>
      <c r="B42" s="8"/>
      <c r="C42" s="9"/>
      <c r="D42" s="12" t="s">
        <v>38</v>
      </c>
      <c r="E42" s="14">
        <v>429164.74000000005</v>
      </c>
      <c r="F42" s="14">
        <v>854008.77037163568</v>
      </c>
      <c r="G42" s="14">
        <v>462003.00000000006</v>
      </c>
      <c r="H42" s="14">
        <v>0</v>
      </c>
      <c r="I42" s="13">
        <f t="shared" si="0"/>
        <v>1745176.5103716357</v>
      </c>
    </row>
    <row r="43" spans="1:9" ht="15.75" x14ac:dyDescent="0.25">
      <c r="A43" s="8"/>
      <c r="B43" s="8"/>
      <c r="C43" s="9"/>
      <c r="D43" s="12" t="s">
        <v>39</v>
      </c>
      <c r="E43" s="14">
        <v>117234.23999999998</v>
      </c>
      <c r="F43" s="14">
        <v>317786.49918288889</v>
      </c>
      <c r="G43" s="14">
        <v>653807.14</v>
      </c>
      <c r="H43" s="14">
        <v>0</v>
      </c>
      <c r="I43" s="13">
        <f t="shared" si="0"/>
        <v>1088827.8791828889</v>
      </c>
    </row>
    <row r="44" spans="1:9" ht="15.75" x14ac:dyDescent="0.25">
      <c r="A44" s="8"/>
      <c r="B44" s="8"/>
      <c r="C44" s="9"/>
      <c r="D44" s="12" t="s">
        <v>40</v>
      </c>
      <c r="E44" s="14">
        <v>367.94</v>
      </c>
      <c r="F44" s="14">
        <v>24460.226486497992</v>
      </c>
      <c r="G44" s="14">
        <v>600717.58000000007</v>
      </c>
      <c r="H44" s="14">
        <v>0</v>
      </c>
      <c r="I44" s="13">
        <f t="shared" si="0"/>
        <v>625545.74648649804</v>
      </c>
    </row>
    <row r="45" spans="1:9" ht="15.75" x14ac:dyDescent="0.25">
      <c r="A45" s="8"/>
      <c r="B45" s="8"/>
      <c r="C45" s="9"/>
      <c r="D45" s="12" t="s">
        <v>41</v>
      </c>
      <c r="E45" s="14">
        <v>612651.26</v>
      </c>
      <c r="F45" s="14">
        <v>7083.2505337219973</v>
      </c>
      <c r="G45" s="14">
        <v>2983125.53</v>
      </c>
      <c r="H45" s="14">
        <v>0</v>
      </c>
      <c r="I45" s="13">
        <f t="shared" si="0"/>
        <v>3602860.0405337219</v>
      </c>
    </row>
    <row r="46" spans="1:9" ht="15.75" x14ac:dyDescent="0.25">
      <c r="A46" s="8"/>
      <c r="B46" s="8"/>
      <c r="C46" s="9"/>
      <c r="D46" s="12" t="s">
        <v>42</v>
      </c>
      <c r="E46" s="14">
        <v>31367.599999999999</v>
      </c>
      <c r="F46" s="14">
        <v>23601.48058185499</v>
      </c>
      <c r="G46" s="14">
        <v>3706323.1500000004</v>
      </c>
      <c r="H46" s="14">
        <v>0</v>
      </c>
      <c r="I46" s="13">
        <f t="shared" si="0"/>
        <v>3761292.2305818554</v>
      </c>
    </row>
    <row r="47" spans="1:9" ht="15.75" x14ac:dyDescent="0.25">
      <c r="A47" s="8"/>
      <c r="B47" s="8"/>
      <c r="C47" s="9"/>
      <c r="D47" s="12" t="s">
        <v>43</v>
      </c>
      <c r="E47" s="14">
        <v>209088.79</v>
      </c>
      <c r="F47" s="14">
        <v>168656.57312821894</v>
      </c>
      <c r="G47" s="14">
        <v>747632.58000000007</v>
      </c>
      <c r="H47" s="14">
        <v>0</v>
      </c>
      <c r="I47" s="13">
        <f t="shared" si="0"/>
        <v>1125377.9431282189</v>
      </c>
    </row>
    <row r="48" spans="1:9" ht="15.75" x14ac:dyDescent="0.25">
      <c r="A48" s="8"/>
      <c r="B48" s="8"/>
      <c r="C48" s="9"/>
      <c r="D48" s="12" t="s">
        <v>44</v>
      </c>
      <c r="E48" s="14">
        <v>149387.79</v>
      </c>
      <c r="F48" s="14">
        <v>23601.48058185499</v>
      </c>
      <c r="G48" s="14">
        <v>1406467.3999999997</v>
      </c>
      <c r="H48" s="14">
        <v>0</v>
      </c>
      <c r="I48" s="13">
        <f t="shared" si="0"/>
        <v>1579456.6705818546</v>
      </c>
    </row>
    <row r="49" spans="1:9" ht="15.75" x14ac:dyDescent="0.25">
      <c r="A49" s="8"/>
      <c r="B49" s="8"/>
      <c r="C49" s="9"/>
      <c r="D49" s="12" t="s">
        <v>45</v>
      </c>
      <c r="E49" s="14">
        <v>146955.35999999999</v>
      </c>
      <c r="F49" s="14">
        <v>28108.493401647989</v>
      </c>
      <c r="G49" s="14">
        <v>2572371.7800000003</v>
      </c>
      <c r="H49" s="14">
        <v>0</v>
      </c>
      <c r="I49" s="13">
        <f t="shared" si="0"/>
        <v>2747435.6334016481</v>
      </c>
    </row>
    <row r="50" spans="1:9" ht="15.75" x14ac:dyDescent="0.25">
      <c r="A50" s="8"/>
      <c r="B50" s="8"/>
      <c r="C50" s="9"/>
      <c r="D50" s="12" t="s">
        <v>46</v>
      </c>
      <c r="E50" s="14">
        <v>195199.81999999998</v>
      </c>
      <c r="F50" s="14">
        <v>330448.79173762491</v>
      </c>
      <c r="G50" s="14">
        <v>233305.50999999998</v>
      </c>
      <c r="H50" s="14">
        <v>0</v>
      </c>
      <c r="I50" s="13">
        <f t="shared" si="0"/>
        <v>758954.12173762487</v>
      </c>
    </row>
    <row r="51" spans="1:9" ht="15.75" x14ac:dyDescent="0.25">
      <c r="A51" s="8"/>
      <c r="B51" s="8"/>
      <c r="C51" s="9"/>
      <c r="D51" s="12" t="s">
        <v>47</v>
      </c>
      <c r="E51" s="14">
        <v>404993.91</v>
      </c>
      <c r="F51" s="14">
        <v>493952.88943798578</v>
      </c>
      <c r="G51" s="14">
        <v>782755.2300000001</v>
      </c>
      <c r="H51" s="14">
        <v>0</v>
      </c>
      <c r="I51" s="13">
        <f t="shared" si="0"/>
        <v>1681702.0294379857</v>
      </c>
    </row>
    <row r="52" spans="1:9" ht="15.75" x14ac:dyDescent="0.25">
      <c r="A52" s="8"/>
      <c r="B52" s="8"/>
      <c r="C52" s="9"/>
      <c r="D52" s="12" t="s">
        <v>48</v>
      </c>
      <c r="E52" s="14">
        <v>201307.93000000002</v>
      </c>
      <c r="F52" s="14">
        <v>497814.43964971381</v>
      </c>
      <c r="G52" s="14">
        <v>301235.49</v>
      </c>
      <c r="H52" s="14">
        <v>0</v>
      </c>
      <c r="I52" s="13">
        <f t="shared" si="0"/>
        <v>1000357.8596497138</v>
      </c>
    </row>
    <row r="53" spans="1:9" ht="15.75" x14ac:dyDescent="0.25">
      <c r="A53" s="8"/>
      <c r="B53" s="8"/>
      <c r="C53" s="9"/>
      <c r="D53" s="12" t="s">
        <v>49</v>
      </c>
      <c r="E53" s="14">
        <v>2118736.3400000003</v>
      </c>
      <c r="F53" s="14">
        <v>341174.69646816584</v>
      </c>
      <c r="G53" s="14">
        <v>918232.42</v>
      </c>
      <c r="H53" s="14">
        <v>0</v>
      </c>
      <c r="I53" s="13">
        <f t="shared" si="0"/>
        <v>3378143.4564681659</v>
      </c>
    </row>
    <row r="54" spans="1:9" ht="15.75" x14ac:dyDescent="0.25">
      <c r="A54" s="8"/>
      <c r="B54" s="8"/>
      <c r="C54" s="9"/>
      <c r="D54" s="12" t="s">
        <v>50</v>
      </c>
      <c r="E54" s="14">
        <v>393880.0799999999</v>
      </c>
      <c r="F54" s="14">
        <v>313279.48636309593</v>
      </c>
      <c r="G54" s="14">
        <v>548914.18999999994</v>
      </c>
      <c r="H54" s="14">
        <v>0</v>
      </c>
      <c r="I54" s="13">
        <f t="shared" si="0"/>
        <v>1256073.7563630957</v>
      </c>
    </row>
    <row r="55" spans="1:9" ht="15.75" x14ac:dyDescent="0.25">
      <c r="A55" s="8"/>
      <c r="B55" s="8"/>
      <c r="C55" s="9"/>
      <c r="D55" s="12" t="s">
        <v>51</v>
      </c>
      <c r="E55" s="14">
        <v>216974.97000000003</v>
      </c>
      <c r="F55" s="14">
        <v>658747.91235447675</v>
      </c>
      <c r="G55" s="14">
        <v>40200.85</v>
      </c>
      <c r="H55" s="14">
        <v>0</v>
      </c>
      <c r="I55" s="13">
        <f t="shared" si="0"/>
        <v>915923.7323544767</v>
      </c>
    </row>
    <row r="56" spans="1:9" ht="15.75" x14ac:dyDescent="0.25">
      <c r="A56" s="8"/>
      <c r="B56" s="8"/>
      <c r="C56" s="9"/>
      <c r="D56" s="12" t="s">
        <v>52</v>
      </c>
      <c r="E56" s="14">
        <v>208979.69000000003</v>
      </c>
      <c r="F56" s="14">
        <v>798223.96287982666</v>
      </c>
      <c r="G56" s="14">
        <v>307906.83</v>
      </c>
      <c r="H56" s="14">
        <v>0</v>
      </c>
      <c r="I56" s="13">
        <f t="shared" si="0"/>
        <v>1315110.4828798268</v>
      </c>
    </row>
    <row r="57" spans="1:9" ht="15.75" x14ac:dyDescent="0.25">
      <c r="A57" s="8"/>
      <c r="B57" s="8"/>
      <c r="C57" s="9"/>
      <c r="D57" s="12" t="s">
        <v>53</v>
      </c>
      <c r="E57" s="14">
        <v>108787.70999999999</v>
      </c>
      <c r="F57" s="14">
        <v>236031.6439735429</v>
      </c>
      <c r="G57" s="14">
        <v>247078.69</v>
      </c>
      <c r="H57" s="14">
        <v>0</v>
      </c>
      <c r="I57" s="13">
        <f t="shared" si="0"/>
        <v>591898.04397354298</v>
      </c>
    </row>
    <row r="58" spans="1:9" ht="15.75" x14ac:dyDescent="0.25">
      <c r="A58" s="8"/>
      <c r="B58" s="8"/>
      <c r="C58" s="9"/>
      <c r="D58" s="12" t="s">
        <v>54</v>
      </c>
      <c r="E58" s="14">
        <v>56265.09</v>
      </c>
      <c r="F58" s="14">
        <v>254059.69525271491</v>
      </c>
      <c r="G58" s="14">
        <v>67418.679999999993</v>
      </c>
      <c r="H58" s="14">
        <v>0</v>
      </c>
      <c r="I58" s="13">
        <f t="shared" si="0"/>
        <v>377743.46525271487</v>
      </c>
    </row>
    <row r="59" spans="1:9" ht="15.75" x14ac:dyDescent="0.25">
      <c r="A59" s="8"/>
      <c r="B59" s="8"/>
      <c r="C59" s="9"/>
      <c r="D59" s="12" t="s">
        <v>55</v>
      </c>
      <c r="E59" s="14">
        <v>472359.52</v>
      </c>
      <c r="F59" s="14">
        <v>429148.4435882598</v>
      </c>
      <c r="G59" s="14">
        <v>764358.57000000007</v>
      </c>
      <c r="H59" s="14">
        <v>0</v>
      </c>
      <c r="I59" s="13">
        <f t="shared" si="0"/>
        <v>1665866.5335882599</v>
      </c>
    </row>
    <row r="60" spans="1:9" ht="15.75" x14ac:dyDescent="0.25">
      <c r="A60" s="8"/>
      <c r="B60" s="8"/>
      <c r="C60" s="9"/>
      <c r="D60" s="12" t="s">
        <v>56</v>
      </c>
      <c r="E60" s="14">
        <v>262928.23000000004</v>
      </c>
      <c r="F60" s="14">
        <v>259638.73727372891</v>
      </c>
      <c r="G60" s="14">
        <v>213337.55</v>
      </c>
      <c r="H60" s="14">
        <v>0</v>
      </c>
      <c r="I60" s="13">
        <f t="shared" si="0"/>
        <v>735904.51727372897</v>
      </c>
    </row>
    <row r="61" spans="1:9" ht="15.75" x14ac:dyDescent="0.25">
      <c r="A61" s="8"/>
      <c r="B61" s="8"/>
      <c r="C61" s="9"/>
      <c r="D61" s="12" t="s">
        <v>57</v>
      </c>
      <c r="E61" s="14">
        <v>299632.33</v>
      </c>
      <c r="F61" s="14">
        <v>435586.23151391686</v>
      </c>
      <c r="G61" s="14">
        <v>333450.97000000003</v>
      </c>
      <c r="H61" s="14">
        <v>0</v>
      </c>
      <c r="I61" s="13">
        <f t="shared" si="0"/>
        <v>1068669.5315139168</v>
      </c>
    </row>
    <row r="62" spans="1:9" ht="15.75" x14ac:dyDescent="0.25">
      <c r="A62" s="8"/>
      <c r="B62" s="8"/>
      <c r="C62" s="9"/>
      <c r="D62" s="12" t="s">
        <v>58</v>
      </c>
      <c r="E62" s="14">
        <v>323924.38</v>
      </c>
      <c r="F62" s="14">
        <v>486016.5057179518</v>
      </c>
      <c r="G62" s="14">
        <v>19973850.360000003</v>
      </c>
      <c r="H62" s="14">
        <v>0</v>
      </c>
      <c r="I62" s="13">
        <f t="shared" si="0"/>
        <v>20783791.245717954</v>
      </c>
    </row>
    <row r="63" spans="1:9" ht="15.75" x14ac:dyDescent="0.25">
      <c r="A63" s="8"/>
      <c r="B63" s="8"/>
      <c r="C63" s="9"/>
      <c r="D63" s="12" t="s">
        <v>59</v>
      </c>
      <c r="E63" s="14">
        <v>429001.41000000015</v>
      </c>
      <c r="F63" s="14">
        <v>53646.361807697976</v>
      </c>
      <c r="G63" s="14">
        <v>823072.59</v>
      </c>
      <c r="H63" s="14">
        <v>0</v>
      </c>
      <c r="I63" s="13">
        <f t="shared" si="0"/>
        <v>1305720.3618076982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5606380.9500000002</v>
      </c>
      <c r="H64" s="14">
        <v>0</v>
      </c>
      <c r="I64" s="13">
        <f t="shared" si="0"/>
        <v>5606380.9500000002</v>
      </c>
    </row>
    <row r="65" spans="1:9" ht="15.75" x14ac:dyDescent="0.25">
      <c r="A65" s="8"/>
      <c r="B65" s="8"/>
      <c r="C65" s="9"/>
      <c r="D65" s="12" t="s">
        <v>61</v>
      </c>
      <c r="E65" s="14">
        <v>630216.67999999982</v>
      </c>
      <c r="F65" s="14">
        <v>635146.43177262181</v>
      </c>
      <c r="G65" s="14">
        <v>428452.23</v>
      </c>
      <c r="H65" s="14">
        <v>0</v>
      </c>
      <c r="I65" s="13">
        <f t="shared" si="0"/>
        <v>1693815.3417726215</v>
      </c>
    </row>
    <row r="66" spans="1:9" ht="15.75" x14ac:dyDescent="0.25">
      <c r="A66" s="8"/>
      <c r="B66" s="8"/>
      <c r="C66" s="9"/>
      <c r="D66" s="12" t="s">
        <v>62</v>
      </c>
      <c r="E66" s="14">
        <v>2910592.4899999998</v>
      </c>
      <c r="F66" s="14">
        <v>1262777.4337000344</v>
      </c>
      <c r="G66" s="14">
        <v>844001.25</v>
      </c>
      <c r="H66" s="14">
        <v>0</v>
      </c>
      <c r="I66" s="13">
        <f t="shared" si="0"/>
        <v>5017371.1737000346</v>
      </c>
    </row>
    <row r="67" spans="1:9" ht="15.75" x14ac:dyDescent="0.25">
      <c r="A67" s="8"/>
      <c r="B67" s="8"/>
      <c r="C67" s="9"/>
      <c r="D67" s="12" t="s">
        <v>63</v>
      </c>
      <c r="E67" s="14">
        <v>1050352.1599999999</v>
      </c>
      <c r="F67" s="14">
        <v>583644.1283673658</v>
      </c>
      <c r="G67" s="14">
        <v>509578.02999999997</v>
      </c>
      <c r="H67" s="14">
        <v>0</v>
      </c>
      <c r="I67" s="13">
        <f t="shared" si="0"/>
        <v>2143574.3183673657</v>
      </c>
    </row>
    <row r="68" spans="1:9" ht="15.75" x14ac:dyDescent="0.25">
      <c r="A68" s="8"/>
      <c r="B68" s="8"/>
      <c r="C68" s="9"/>
      <c r="D68" s="12" t="s">
        <v>64</v>
      </c>
      <c r="E68" s="14">
        <v>295295.04000000004</v>
      </c>
      <c r="F68" s="14">
        <v>246763.16142241488</v>
      </c>
      <c r="G68" s="14">
        <v>268327.82</v>
      </c>
      <c r="H68" s="14">
        <v>0</v>
      </c>
      <c r="I68" s="13">
        <f t="shared" si="0"/>
        <v>810386.02142241504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1842336.08</v>
      </c>
      <c r="H69" s="14">
        <v>0</v>
      </c>
      <c r="I69" s="13">
        <f t="shared" si="0"/>
        <v>1842336.08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2199599.3199999998</v>
      </c>
      <c r="H70" s="14">
        <v>0</v>
      </c>
      <c r="I70" s="13">
        <f t="shared" si="0"/>
        <v>2199599.3199999998</v>
      </c>
    </row>
    <row r="71" spans="1:9" ht="15.75" x14ac:dyDescent="0.25">
      <c r="A71" s="8"/>
      <c r="B71" s="8"/>
      <c r="C71" s="9"/>
      <c r="D71" s="12" t="s">
        <v>67</v>
      </c>
      <c r="E71" s="14">
        <v>0</v>
      </c>
      <c r="F71" s="14">
        <v>6437.7879256569977</v>
      </c>
      <c r="G71" s="14">
        <v>1592725.36</v>
      </c>
      <c r="H71" s="14">
        <v>0</v>
      </c>
      <c r="I71" s="13">
        <f t="shared" si="0"/>
        <v>1599163.147925657</v>
      </c>
    </row>
    <row r="72" spans="1:9" ht="15.75" x14ac:dyDescent="0.25">
      <c r="A72" s="8"/>
      <c r="B72" s="8"/>
      <c r="C72" s="9"/>
      <c r="D72" s="12" t="s">
        <v>68</v>
      </c>
      <c r="E72" s="14">
        <v>234956.1</v>
      </c>
      <c r="F72" s="14">
        <v>400826.66689003387</v>
      </c>
      <c r="G72" s="14">
        <v>3299545.44</v>
      </c>
      <c r="H72" s="14">
        <v>0</v>
      </c>
      <c r="I72" s="13">
        <f t="shared" si="0"/>
        <v>3935328.2068900336</v>
      </c>
    </row>
    <row r="73" spans="1:9" ht="15.75" x14ac:dyDescent="0.25">
      <c r="A73" s="8"/>
      <c r="B73" s="8"/>
      <c r="C73" s="9"/>
      <c r="D73" s="12" t="s">
        <v>69</v>
      </c>
      <c r="E73" s="14">
        <v>414.61</v>
      </c>
      <c r="F73" s="14">
        <v>0</v>
      </c>
      <c r="G73" s="14">
        <v>2126810.77</v>
      </c>
      <c r="H73" s="14">
        <v>0</v>
      </c>
      <c r="I73" s="13">
        <f t="shared" si="0"/>
        <v>2127225.38</v>
      </c>
    </row>
    <row r="74" spans="1:9" ht="15.75" x14ac:dyDescent="0.25">
      <c r="A74" s="8"/>
      <c r="B74" s="8"/>
      <c r="C74" s="9"/>
      <c r="D74" s="12" t="s">
        <v>70</v>
      </c>
      <c r="E74" s="14">
        <v>17806.830000000002</v>
      </c>
      <c r="F74" s="14">
        <v>33900.818719239993</v>
      </c>
      <c r="G74" s="14">
        <v>9876135.8099999987</v>
      </c>
      <c r="H74" s="14">
        <v>0</v>
      </c>
      <c r="I74" s="13">
        <f t="shared" ref="I74:I137" si="1">SUM(E74:H74)</f>
        <v>9927843.4587192386</v>
      </c>
    </row>
    <row r="75" spans="1:9" ht="15.75" x14ac:dyDescent="0.25">
      <c r="A75" s="8"/>
      <c r="B75" s="8"/>
      <c r="C75" s="9"/>
      <c r="D75" s="12" t="s">
        <v>71</v>
      </c>
      <c r="E75" s="14">
        <v>348377.77</v>
      </c>
      <c r="F75" s="14">
        <v>131747.33738356293</v>
      </c>
      <c r="G75" s="14">
        <v>18008784.449999999</v>
      </c>
      <c r="H75" s="14">
        <v>0</v>
      </c>
      <c r="I75" s="13">
        <f t="shared" si="1"/>
        <v>18488909.557383563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5153692.33</v>
      </c>
      <c r="H76" s="14">
        <v>0</v>
      </c>
      <c r="I76" s="13">
        <f t="shared" si="1"/>
        <v>5153692.33</v>
      </c>
    </row>
    <row r="77" spans="1:9" ht="15.75" x14ac:dyDescent="0.25">
      <c r="A77" s="8"/>
      <c r="B77" s="8"/>
      <c r="C77" s="9"/>
      <c r="D77" s="12" t="s">
        <v>73</v>
      </c>
      <c r="E77" s="14">
        <v>138013.84</v>
      </c>
      <c r="F77" s="14">
        <v>653382.15363004082</v>
      </c>
      <c r="G77" s="14">
        <v>362046.47000000003</v>
      </c>
      <c r="H77" s="14">
        <v>0</v>
      </c>
      <c r="I77" s="13">
        <f t="shared" si="1"/>
        <v>1153442.4636300409</v>
      </c>
    </row>
    <row r="78" spans="1:9" ht="15.75" x14ac:dyDescent="0.25">
      <c r="A78" s="8"/>
      <c r="B78" s="8"/>
      <c r="C78" s="9"/>
      <c r="D78" s="12" t="s">
        <v>74</v>
      </c>
      <c r="E78" s="14">
        <v>285636.90000000002</v>
      </c>
      <c r="F78" s="14">
        <v>663036.0291593608</v>
      </c>
      <c r="G78" s="14">
        <v>539554.35</v>
      </c>
      <c r="H78" s="14">
        <v>0</v>
      </c>
      <c r="I78" s="13">
        <f t="shared" si="1"/>
        <v>1488227.2791593608</v>
      </c>
    </row>
    <row r="79" spans="1:9" ht="15.75" x14ac:dyDescent="0.25">
      <c r="A79" s="8"/>
      <c r="B79" s="8"/>
      <c r="C79" s="9"/>
      <c r="D79" s="12" t="s">
        <v>75</v>
      </c>
      <c r="E79" s="14">
        <v>219124.04</v>
      </c>
      <c r="F79" s="14">
        <v>372285.99417689891</v>
      </c>
      <c r="G79" s="14">
        <v>738413.93</v>
      </c>
      <c r="H79" s="14">
        <v>0</v>
      </c>
      <c r="I79" s="13">
        <f t="shared" si="1"/>
        <v>1329823.9641768988</v>
      </c>
    </row>
    <row r="80" spans="1:9" ht="15.75" x14ac:dyDescent="0.25">
      <c r="A80" s="8"/>
      <c r="B80" s="8"/>
      <c r="C80" s="9"/>
      <c r="D80" s="12" t="s">
        <v>76</v>
      </c>
      <c r="E80" s="14">
        <v>276553.63</v>
      </c>
      <c r="F80" s="14">
        <v>196765.06652986692</v>
      </c>
      <c r="G80" s="14">
        <v>101702.54000000001</v>
      </c>
      <c r="H80" s="14">
        <v>0</v>
      </c>
      <c r="I80" s="13">
        <f t="shared" si="1"/>
        <v>575021.23652986693</v>
      </c>
    </row>
    <row r="81" spans="1:9" ht="15.75" x14ac:dyDescent="0.25">
      <c r="A81" s="8"/>
      <c r="B81" s="8"/>
      <c r="C81" s="9"/>
      <c r="D81" s="12" t="s">
        <v>77</v>
      </c>
      <c r="E81" s="14">
        <v>1178814.68</v>
      </c>
      <c r="F81" s="14">
        <v>1187247.0831197675</v>
      </c>
      <c r="G81" s="14">
        <v>1471194.0999999999</v>
      </c>
      <c r="H81" s="14">
        <v>0</v>
      </c>
      <c r="I81" s="13">
        <f t="shared" si="1"/>
        <v>3837255.863119767</v>
      </c>
    </row>
    <row r="82" spans="1:9" ht="15.75" x14ac:dyDescent="0.25">
      <c r="A82" s="8"/>
      <c r="B82" s="8"/>
      <c r="C82" s="9"/>
      <c r="D82" s="12" t="s">
        <v>78</v>
      </c>
      <c r="E82" s="14">
        <v>1151374.68</v>
      </c>
      <c r="F82" s="14">
        <v>822897.47266290267</v>
      </c>
      <c r="G82" s="14">
        <v>1535114.8900000001</v>
      </c>
      <c r="H82" s="14">
        <v>0</v>
      </c>
      <c r="I82" s="13">
        <f t="shared" si="1"/>
        <v>3509387.0426629027</v>
      </c>
    </row>
    <row r="83" spans="1:9" ht="15.75" x14ac:dyDescent="0.25">
      <c r="A83" s="8"/>
      <c r="B83" s="8"/>
      <c r="C83" s="9"/>
      <c r="D83" s="12" t="s">
        <v>79</v>
      </c>
      <c r="E83" s="14">
        <v>293889.49999999994</v>
      </c>
      <c r="F83" s="14">
        <v>337958.60886450286</v>
      </c>
      <c r="G83" s="14">
        <v>1196296.6900000002</v>
      </c>
      <c r="H83" s="14">
        <v>0</v>
      </c>
      <c r="I83" s="13">
        <f t="shared" si="1"/>
        <v>1828144.7988645029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6972002.5799999991</v>
      </c>
      <c r="H84" s="14">
        <v>0</v>
      </c>
      <c r="I84" s="13">
        <f t="shared" si="1"/>
        <v>6972002.5799999991</v>
      </c>
    </row>
    <row r="85" spans="1:9" ht="15.75" x14ac:dyDescent="0.25">
      <c r="A85" s="8"/>
      <c r="B85" s="8"/>
      <c r="C85" s="9"/>
      <c r="D85" s="12" t="s">
        <v>81</v>
      </c>
      <c r="E85" s="14">
        <v>535441.68999999994</v>
      </c>
      <c r="F85" s="14">
        <v>105143.05249462297</v>
      </c>
      <c r="G85" s="14">
        <v>3162638.98</v>
      </c>
      <c r="H85" s="14">
        <v>0</v>
      </c>
      <c r="I85" s="13">
        <f t="shared" si="1"/>
        <v>3803223.7224946227</v>
      </c>
    </row>
    <row r="86" spans="1:9" ht="15.75" x14ac:dyDescent="0.25">
      <c r="A86" s="8"/>
      <c r="B86" s="8"/>
      <c r="C86" s="9"/>
      <c r="D86" s="12" t="s">
        <v>82</v>
      </c>
      <c r="E86" s="14">
        <v>767656.08</v>
      </c>
      <c r="F86" s="14">
        <v>436663.87343346881</v>
      </c>
      <c r="G86" s="14">
        <v>307391.58</v>
      </c>
      <c r="H86" s="14">
        <v>0</v>
      </c>
      <c r="I86" s="13">
        <f t="shared" si="1"/>
        <v>1511711.5334334688</v>
      </c>
    </row>
    <row r="87" spans="1:9" ht="15.75" x14ac:dyDescent="0.25">
      <c r="A87" s="8"/>
      <c r="B87" s="8"/>
      <c r="C87" s="9"/>
      <c r="D87" s="12" t="s">
        <v>83</v>
      </c>
      <c r="E87" s="14">
        <v>116664.79000000001</v>
      </c>
      <c r="F87" s="14">
        <v>575062.28203926678</v>
      </c>
      <c r="G87" s="14">
        <v>218916.16</v>
      </c>
      <c r="H87" s="14">
        <v>0</v>
      </c>
      <c r="I87" s="13">
        <f t="shared" si="1"/>
        <v>910643.23203926685</v>
      </c>
    </row>
    <row r="88" spans="1:9" ht="15.75" x14ac:dyDescent="0.25">
      <c r="A88" s="8"/>
      <c r="B88" s="8"/>
      <c r="C88" s="9"/>
      <c r="D88" s="12" t="s">
        <v>84</v>
      </c>
      <c r="E88" s="14">
        <v>79962.090000000011</v>
      </c>
      <c r="F88" s="14">
        <v>0</v>
      </c>
      <c r="G88" s="14">
        <v>2254005.42</v>
      </c>
      <c r="H88" s="14">
        <v>0</v>
      </c>
      <c r="I88" s="13">
        <f t="shared" si="1"/>
        <v>2333967.5099999998</v>
      </c>
    </row>
    <row r="89" spans="1:9" ht="15.75" x14ac:dyDescent="0.25">
      <c r="A89" s="8"/>
      <c r="B89" s="8"/>
      <c r="C89" s="9"/>
      <c r="D89" s="12" t="s">
        <v>85</v>
      </c>
      <c r="E89" s="14">
        <v>301517.26999999996</v>
      </c>
      <c r="F89" s="14">
        <v>563904.19799723884</v>
      </c>
      <c r="G89" s="14">
        <v>525748.87</v>
      </c>
      <c r="H89" s="14">
        <v>0</v>
      </c>
      <c r="I89" s="13">
        <f t="shared" si="1"/>
        <v>1391170.3379972386</v>
      </c>
    </row>
    <row r="90" spans="1:9" ht="15.75" x14ac:dyDescent="0.25">
      <c r="A90" s="8"/>
      <c r="B90" s="8"/>
      <c r="C90" s="9"/>
      <c r="D90" s="12" t="s">
        <v>86</v>
      </c>
      <c r="E90" s="14">
        <v>81137.56</v>
      </c>
      <c r="F90" s="14">
        <v>145913.83845100692</v>
      </c>
      <c r="G90" s="14">
        <v>472181.31</v>
      </c>
      <c r="H90" s="14">
        <v>0</v>
      </c>
      <c r="I90" s="13">
        <f t="shared" si="1"/>
        <v>699232.70845100691</v>
      </c>
    </row>
    <row r="91" spans="1:9" ht="15.75" x14ac:dyDescent="0.25">
      <c r="A91" s="8"/>
      <c r="B91" s="8"/>
      <c r="C91" s="9"/>
      <c r="D91" s="12" t="s">
        <v>87</v>
      </c>
      <c r="E91" s="14">
        <v>293968.32999999996</v>
      </c>
      <c r="F91" s="14">
        <v>332806.13343664492</v>
      </c>
      <c r="G91" s="14">
        <v>1402235.8100000003</v>
      </c>
      <c r="H91" s="14">
        <v>0</v>
      </c>
      <c r="I91" s="13">
        <f t="shared" si="1"/>
        <v>2029010.273436645</v>
      </c>
    </row>
    <row r="92" spans="1:9" ht="15.75" x14ac:dyDescent="0.25">
      <c r="A92" s="8"/>
      <c r="B92" s="8"/>
      <c r="C92" s="9"/>
      <c r="D92" s="12" t="s">
        <v>88</v>
      </c>
      <c r="E92" s="14">
        <v>51738.150000000009</v>
      </c>
      <c r="F92" s="14">
        <v>45917.64866591098</v>
      </c>
      <c r="G92" s="14">
        <v>3015621.0500000007</v>
      </c>
      <c r="H92" s="14">
        <v>0</v>
      </c>
      <c r="I92" s="13">
        <f t="shared" si="1"/>
        <v>3113276.8486659117</v>
      </c>
    </row>
    <row r="93" spans="1:9" ht="15.75" x14ac:dyDescent="0.25">
      <c r="A93" s="8"/>
      <c r="B93" s="8"/>
      <c r="C93" s="9"/>
      <c r="D93" s="12" t="s">
        <v>89</v>
      </c>
      <c r="E93" s="14">
        <v>313493.99000000005</v>
      </c>
      <c r="F93" s="14">
        <v>384089.5408269919</v>
      </c>
      <c r="G93" s="14">
        <v>406189.35</v>
      </c>
      <c r="H93" s="14">
        <v>0</v>
      </c>
      <c r="I93" s="13">
        <f t="shared" si="1"/>
        <v>1103772.880826992</v>
      </c>
    </row>
    <row r="94" spans="1:9" ht="15.75" x14ac:dyDescent="0.25">
      <c r="A94" s="8"/>
      <c r="B94" s="8"/>
      <c r="C94" s="9"/>
      <c r="D94" s="12" t="s">
        <v>90</v>
      </c>
      <c r="E94" s="14">
        <v>10792.54</v>
      </c>
      <c r="F94" s="14">
        <v>0</v>
      </c>
      <c r="G94" s="14">
        <v>218333.75</v>
      </c>
      <c r="H94" s="14">
        <v>0</v>
      </c>
      <c r="I94" s="13">
        <f t="shared" si="1"/>
        <v>229126.29</v>
      </c>
    </row>
    <row r="95" spans="1:9" ht="15.75" x14ac:dyDescent="0.25">
      <c r="A95" s="8"/>
      <c r="B95" s="8"/>
      <c r="C95" s="9"/>
      <c r="D95" s="12" t="s">
        <v>91</v>
      </c>
      <c r="E95" s="14">
        <v>140625.53</v>
      </c>
      <c r="F95" s="14">
        <v>11803.546650092994</v>
      </c>
      <c r="G95" s="14">
        <v>3180420.1400000006</v>
      </c>
      <c r="H95" s="14">
        <v>0</v>
      </c>
      <c r="I95" s="13">
        <f t="shared" si="1"/>
        <v>3332849.2166500934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5670626.1200000001</v>
      </c>
      <c r="H96" s="14">
        <v>0</v>
      </c>
      <c r="I96" s="13">
        <f t="shared" si="1"/>
        <v>5670626.1200000001</v>
      </c>
    </row>
    <row r="97" spans="1:9" ht="15.75" x14ac:dyDescent="0.25">
      <c r="A97" s="8"/>
      <c r="B97" s="8"/>
      <c r="C97" s="9"/>
      <c r="D97" s="12" t="s">
        <v>93</v>
      </c>
      <c r="E97" s="14">
        <v>198581.08000000005</v>
      </c>
      <c r="F97" s="14">
        <v>530003.37927799881</v>
      </c>
      <c r="G97" s="14">
        <v>408916.82000000007</v>
      </c>
      <c r="H97" s="14">
        <v>0</v>
      </c>
      <c r="I97" s="13">
        <f t="shared" si="1"/>
        <v>1137501.279277999</v>
      </c>
    </row>
    <row r="98" spans="1:9" ht="15.75" x14ac:dyDescent="0.25">
      <c r="A98" s="8"/>
      <c r="B98" s="8"/>
      <c r="C98" s="9"/>
      <c r="D98" s="12" t="s">
        <v>94</v>
      </c>
      <c r="E98" s="14">
        <v>639737.75999999989</v>
      </c>
      <c r="F98" s="14">
        <v>697155.74389350973</v>
      </c>
      <c r="G98" s="14">
        <v>3010987.5500000003</v>
      </c>
      <c r="H98" s="14">
        <v>0</v>
      </c>
      <c r="I98" s="13">
        <f t="shared" si="1"/>
        <v>4347881.0538935103</v>
      </c>
    </row>
    <row r="99" spans="1:9" ht="15.75" x14ac:dyDescent="0.25">
      <c r="A99" s="8"/>
      <c r="B99" s="8"/>
      <c r="C99" s="9"/>
      <c r="D99" s="12" t="s">
        <v>95</v>
      </c>
      <c r="E99" s="14">
        <v>1174529.4999999998</v>
      </c>
      <c r="F99" s="14">
        <v>1328435.0127360725</v>
      </c>
      <c r="G99" s="14">
        <v>1418262.27</v>
      </c>
      <c r="H99" s="14">
        <v>0</v>
      </c>
      <c r="I99" s="13">
        <f t="shared" si="1"/>
        <v>3921226.7827360723</v>
      </c>
    </row>
    <row r="100" spans="1:9" ht="15.75" x14ac:dyDescent="0.25">
      <c r="A100" s="8"/>
      <c r="B100" s="8"/>
      <c r="C100" s="9"/>
      <c r="D100" s="12" t="s">
        <v>96</v>
      </c>
      <c r="E100" s="14">
        <v>786722.55</v>
      </c>
      <c r="F100" s="14">
        <v>1365557.5317773065</v>
      </c>
      <c r="G100" s="14">
        <v>3140602.54</v>
      </c>
      <c r="H100" s="14">
        <v>0</v>
      </c>
      <c r="I100" s="13">
        <f t="shared" si="1"/>
        <v>5292882.6217773063</v>
      </c>
    </row>
    <row r="101" spans="1:9" ht="15.75" x14ac:dyDescent="0.25">
      <c r="A101" s="8"/>
      <c r="B101" s="8"/>
      <c r="C101" s="9"/>
      <c r="D101" s="12" t="s">
        <v>97</v>
      </c>
      <c r="E101" s="14">
        <v>69928.080000000016</v>
      </c>
      <c r="F101" s="14">
        <v>1783542.2786052073</v>
      </c>
      <c r="G101" s="14">
        <v>57555.07</v>
      </c>
      <c r="H101" s="14">
        <v>0</v>
      </c>
      <c r="I101" s="13">
        <f t="shared" si="1"/>
        <v>1911025.4286052075</v>
      </c>
    </row>
    <row r="102" spans="1:9" ht="15.75" x14ac:dyDescent="0.25">
      <c r="A102" s="8"/>
      <c r="B102" s="8"/>
      <c r="C102" s="9"/>
      <c r="D102" s="12" t="s">
        <v>98</v>
      </c>
      <c r="E102" s="14">
        <v>537957.46</v>
      </c>
      <c r="F102" s="14">
        <v>771827.34856913378</v>
      </c>
      <c r="G102" s="14">
        <v>1300679.4700000002</v>
      </c>
      <c r="H102" s="14">
        <v>0</v>
      </c>
      <c r="I102" s="13">
        <f t="shared" si="1"/>
        <v>2610464.278569134</v>
      </c>
    </row>
    <row r="103" spans="1:9" ht="15.75" x14ac:dyDescent="0.25">
      <c r="A103" s="8"/>
      <c r="B103" s="8"/>
      <c r="C103" s="9"/>
      <c r="D103" s="12" t="s">
        <v>99</v>
      </c>
      <c r="E103" s="14">
        <v>364954.17999999993</v>
      </c>
      <c r="F103" s="14">
        <v>243541.46110042091</v>
      </c>
      <c r="G103" s="14">
        <v>179036.30999999997</v>
      </c>
      <c r="H103" s="14">
        <v>0</v>
      </c>
      <c r="I103" s="13">
        <f t="shared" si="1"/>
        <v>787531.95110042079</v>
      </c>
    </row>
    <row r="104" spans="1:9" ht="15.75" x14ac:dyDescent="0.25">
      <c r="A104" s="8"/>
      <c r="B104" s="8"/>
      <c r="C104" s="9"/>
      <c r="D104" s="12" t="s">
        <v>100</v>
      </c>
      <c r="E104" s="14">
        <v>963603.90999999992</v>
      </c>
      <c r="F104" s="14">
        <v>445032.43646498985</v>
      </c>
      <c r="G104" s="14">
        <v>2840800.01</v>
      </c>
      <c r="H104" s="14">
        <v>0</v>
      </c>
      <c r="I104" s="13">
        <f t="shared" si="1"/>
        <v>4249436.3564649895</v>
      </c>
    </row>
    <row r="105" spans="1:9" ht="15.75" x14ac:dyDescent="0.25">
      <c r="A105" s="8"/>
      <c r="B105" s="8"/>
      <c r="C105" s="9"/>
      <c r="D105" s="12" t="s">
        <v>101</v>
      </c>
      <c r="E105" s="14">
        <v>268965.84999999998</v>
      </c>
      <c r="F105" s="14">
        <v>660891.97075691877</v>
      </c>
      <c r="G105" s="14">
        <v>50132.639999999999</v>
      </c>
      <c r="H105" s="14">
        <v>0</v>
      </c>
      <c r="I105" s="13">
        <f t="shared" si="1"/>
        <v>979990.46075691876</v>
      </c>
    </row>
    <row r="106" spans="1:9" ht="15.75" x14ac:dyDescent="0.25">
      <c r="A106" s="8"/>
      <c r="B106" s="8"/>
      <c r="C106" s="9"/>
      <c r="D106" s="12" t="s">
        <v>102</v>
      </c>
      <c r="E106" s="14">
        <v>503602.90999999992</v>
      </c>
      <c r="F106" s="14">
        <v>40770.785956383981</v>
      </c>
      <c r="G106" s="14">
        <v>4726831.4700000007</v>
      </c>
      <c r="H106" s="14">
        <v>0</v>
      </c>
      <c r="I106" s="13">
        <f t="shared" si="1"/>
        <v>5271205.1659563845</v>
      </c>
    </row>
    <row r="107" spans="1:9" ht="15.75" x14ac:dyDescent="0.25">
      <c r="A107" s="8"/>
      <c r="B107" s="8"/>
      <c r="C107" s="9"/>
      <c r="D107" s="12" t="s">
        <v>103</v>
      </c>
      <c r="E107" s="14">
        <v>83497</v>
      </c>
      <c r="F107" s="14">
        <v>0</v>
      </c>
      <c r="G107" s="14">
        <v>1588850.9</v>
      </c>
      <c r="H107" s="14">
        <v>0</v>
      </c>
      <c r="I107" s="13">
        <f t="shared" si="1"/>
        <v>1672347.9</v>
      </c>
    </row>
    <row r="108" spans="1:9" ht="15.75" x14ac:dyDescent="0.25">
      <c r="A108" s="8"/>
      <c r="B108" s="8"/>
      <c r="C108" s="9"/>
      <c r="D108" s="12" t="s">
        <v>104</v>
      </c>
      <c r="E108" s="14">
        <v>66206.899999999994</v>
      </c>
      <c r="F108" s="14">
        <v>0</v>
      </c>
      <c r="G108" s="14">
        <v>548354.32999999996</v>
      </c>
      <c r="H108" s="14">
        <v>0</v>
      </c>
      <c r="I108" s="13">
        <f t="shared" si="1"/>
        <v>614561.23</v>
      </c>
    </row>
    <row r="109" spans="1:9" ht="15.75" x14ac:dyDescent="0.25">
      <c r="A109" s="8"/>
      <c r="B109" s="8"/>
      <c r="C109" s="9"/>
      <c r="D109" s="12" t="s">
        <v>105</v>
      </c>
      <c r="E109" s="14">
        <v>173171.91999999998</v>
      </c>
      <c r="F109" s="14">
        <v>1093907.5772752375</v>
      </c>
      <c r="G109" s="14">
        <v>387278.76999999996</v>
      </c>
      <c r="H109" s="14">
        <v>0</v>
      </c>
      <c r="I109" s="13">
        <f t="shared" si="1"/>
        <v>1654358.2672752375</v>
      </c>
    </row>
    <row r="110" spans="1:9" ht="15.75" x14ac:dyDescent="0.25">
      <c r="A110" s="8"/>
      <c r="B110" s="8"/>
      <c r="C110" s="9"/>
      <c r="D110" s="12" t="s">
        <v>106</v>
      </c>
      <c r="E110" s="14">
        <v>151036.16999999998</v>
      </c>
      <c r="F110" s="14">
        <v>293752.83928954689</v>
      </c>
      <c r="G110" s="14">
        <v>224757.66</v>
      </c>
      <c r="H110" s="14">
        <v>0</v>
      </c>
      <c r="I110" s="13">
        <f t="shared" si="1"/>
        <v>669546.6692895469</v>
      </c>
    </row>
    <row r="111" spans="1:9" ht="15.75" x14ac:dyDescent="0.25">
      <c r="A111" s="8"/>
      <c r="B111" s="8"/>
      <c r="C111" s="9"/>
      <c r="D111" s="12" t="s">
        <v>107</v>
      </c>
      <c r="E111" s="14">
        <v>7438.3</v>
      </c>
      <c r="F111" s="14">
        <v>4074.8335083059983</v>
      </c>
      <c r="G111" s="14">
        <v>7624507.2400000012</v>
      </c>
      <c r="H111" s="14">
        <v>0</v>
      </c>
      <c r="I111" s="13">
        <f t="shared" si="1"/>
        <v>7636020.3735083072</v>
      </c>
    </row>
    <row r="112" spans="1:9" ht="15.75" x14ac:dyDescent="0.25">
      <c r="A112" s="8"/>
      <c r="B112" s="8"/>
      <c r="C112" s="9"/>
      <c r="D112" s="12" t="s">
        <v>108</v>
      </c>
      <c r="E112" s="14">
        <v>506751.80000000005</v>
      </c>
      <c r="F112" s="14">
        <v>278946.4883323689</v>
      </c>
      <c r="G112" s="14">
        <v>797190.7200000002</v>
      </c>
      <c r="H112" s="14">
        <v>0</v>
      </c>
      <c r="I112" s="13">
        <f t="shared" si="1"/>
        <v>1582889.0083323692</v>
      </c>
    </row>
    <row r="113" spans="1:9" ht="15.75" x14ac:dyDescent="0.25">
      <c r="A113" s="8"/>
      <c r="B113" s="8"/>
      <c r="C113" s="9"/>
      <c r="D113" s="12" t="s">
        <v>109</v>
      </c>
      <c r="E113" s="14">
        <v>560850.51000000013</v>
      </c>
      <c r="F113" s="14">
        <v>671623.48820579075</v>
      </c>
      <c r="G113" s="14">
        <v>353185.27999999997</v>
      </c>
      <c r="H113" s="14">
        <v>0</v>
      </c>
      <c r="I113" s="13">
        <f t="shared" si="1"/>
        <v>1585659.2782057908</v>
      </c>
    </row>
    <row r="114" spans="1:9" ht="15.75" x14ac:dyDescent="0.25">
      <c r="A114" s="8"/>
      <c r="B114" s="8"/>
      <c r="C114" s="9"/>
      <c r="D114" s="12" t="s">
        <v>110</v>
      </c>
      <c r="E114" s="14">
        <v>189000.29</v>
      </c>
      <c r="F114" s="14">
        <v>770328.75277475663</v>
      </c>
      <c r="G114" s="14">
        <v>807465.00999999989</v>
      </c>
      <c r="H114" s="14">
        <v>0</v>
      </c>
      <c r="I114" s="13">
        <f t="shared" si="1"/>
        <v>1766794.0527747567</v>
      </c>
    </row>
    <row r="115" spans="1:9" ht="15.75" x14ac:dyDescent="0.25">
      <c r="A115" s="8"/>
      <c r="B115" s="8"/>
      <c r="C115" s="9"/>
      <c r="D115" s="12" t="s">
        <v>111</v>
      </c>
      <c r="E115" s="14">
        <v>1401839.5999999996</v>
      </c>
      <c r="F115" s="14">
        <v>380873.45322332892</v>
      </c>
      <c r="G115" s="14">
        <v>1257937.2299999997</v>
      </c>
      <c r="H115" s="14">
        <v>0</v>
      </c>
      <c r="I115" s="13">
        <f t="shared" si="1"/>
        <v>3040650.2832233282</v>
      </c>
    </row>
    <row r="116" spans="1:9" ht="15.75" x14ac:dyDescent="0.25">
      <c r="A116" s="8"/>
      <c r="B116" s="8"/>
      <c r="C116" s="9"/>
      <c r="D116" s="12" t="s">
        <v>112</v>
      </c>
      <c r="E116" s="14">
        <v>228068.09000000003</v>
      </c>
      <c r="F116" s="14">
        <v>494598.35204605083</v>
      </c>
      <c r="G116" s="14">
        <v>218492.94</v>
      </c>
      <c r="H116" s="14">
        <v>0</v>
      </c>
      <c r="I116" s="13">
        <f t="shared" si="1"/>
        <v>941159.38204605086</v>
      </c>
    </row>
    <row r="117" spans="1:9" ht="15.75" x14ac:dyDescent="0.25">
      <c r="A117" s="8"/>
      <c r="B117" s="8"/>
      <c r="C117" s="9"/>
      <c r="D117" s="12" t="s">
        <v>113</v>
      </c>
      <c r="E117" s="14">
        <v>125247.92000000001</v>
      </c>
      <c r="F117" s="14">
        <v>381945.48242454987</v>
      </c>
      <c r="G117" s="14">
        <v>805939.84000000008</v>
      </c>
      <c r="H117" s="14">
        <v>0</v>
      </c>
      <c r="I117" s="13">
        <f t="shared" si="1"/>
        <v>1313133.24242455</v>
      </c>
    </row>
    <row r="118" spans="1:9" ht="15.75" x14ac:dyDescent="0.25">
      <c r="A118" s="8"/>
      <c r="B118" s="8"/>
      <c r="C118" s="9"/>
      <c r="D118" s="12" t="s">
        <v>114</v>
      </c>
      <c r="E118" s="14">
        <v>295455.93000000005</v>
      </c>
      <c r="F118" s="14">
        <v>596519.70421867981</v>
      </c>
      <c r="G118" s="14">
        <v>744716.99000000011</v>
      </c>
      <c r="H118" s="14">
        <v>0</v>
      </c>
      <c r="I118" s="13">
        <f t="shared" si="1"/>
        <v>1636692.62421868</v>
      </c>
    </row>
    <row r="119" spans="1:9" ht="15.75" x14ac:dyDescent="0.25">
      <c r="A119" s="8"/>
      <c r="B119" s="8"/>
      <c r="C119" s="9"/>
      <c r="D119" s="12" t="s">
        <v>115</v>
      </c>
      <c r="E119" s="14">
        <v>17768.05</v>
      </c>
      <c r="F119" s="14">
        <v>57934.478612581981</v>
      </c>
      <c r="G119" s="14">
        <v>482877.18999999994</v>
      </c>
      <c r="H119" s="14">
        <v>0</v>
      </c>
      <c r="I119" s="13">
        <f t="shared" si="1"/>
        <v>558579.71861258196</v>
      </c>
    </row>
    <row r="120" spans="1:9" ht="15.75" x14ac:dyDescent="0.25">
      <c r="A120" s="8"/>
      <c r="B120" s="8"/>
      <c r="C120" s="9"/>
      <c r="D120" s="12" t="s">
        <v>116</v>
      </c>
      <c r="E120" s="14">
        <v>646259.1100000001</v>
      </c>
      <c r="F120" s="14">
        <v>253200.94934807191</v>
      </c>
      <c r="G120" s="14">
        <v>774583.15000000014</v>
      </c>
      <c r="H120" s="14">
        <v>0</v>
      </c>
      <c r="I120" s="13">
        <f t="shared" si="1"/>
        <v>1674043.2093480723</v>
      </c>
    </row>
    <row r="121" spans="1:9" ht="15.75" x14ac:dyDescent="0.25">
      <c r="A121" s="8"/>
      <c r="B121" s="8"/>
      <c r="C121" s="9"/>
      <c r="D121" s="12" t="s">
        <v>117</v>
      </c>
      <c r="E121" s="14">
        <v>230434.64</v>
      </c>
      <c r="F121" s="14">
        <v>388383.27035020688</v>
      </c>
      <c r="G121" s="14">
        <v>536430.16</v>
      </c>
      <c r="H121" s="14">
        <v>0</v>
      </c>
      <c r="I121" s="13">
        <f t="shared" si="1"/>
        <v>1155248.0703502069</v>
      </c>
    </row>
    <row r="122" spans="1:9" ht="15.75" x14ac:dyDescent="0.25">
      <c r="A122" s="8"/>
      <c r="B122" s="8"/>
      <c r="C122" s="9"/>
      <c r="D122" s="12" t="s">
        <v>118</v>
      </c>
      <c r="E122" s="14">
        <v>216130.85999999996</v>
      </c>
      <c r="F122" s="14">
        <v>277015.71322650491</v>
      </c>
      <c r="G122" s="14">
        <v>1994382.4500000002</v>
      </c>
      <c r="H122" s="14">
        <v>0</v>
      </c>
      <c r="I122" s="13">
        <f t="shared" si="1"/>
        <v>2487529.0232265051</v>
      </c>
    </row>
    <row r="123" spans="1:9" ht="15.75" x14ac:dyDescent="0.25">
      <c r="A123" s="8"/>
      <c r="B123" s="8"/>
      <c r="C123" s="9"/>
      <c r="D123" s="12" t="s">
        <v>119</v>
      </c>
      <c r="E123" s="14">
        <v>437572.71</v>
      </c>
      <c r="F123" s="14">
        <v>508972.52369174187</v>
      </c>
      <c r="G123" s="14">
        <v>278370.03000000003</v>
      </c>
      <c r="H123" s="14">
        <v>0</v>
      </c>
      <c r="I123" s="13">
        <f t="shared" si="1"/>
        <v>1224915.263691742</v>
      </c>
    </row>
    <row r="124" spans="1:9" ht="15.75" x14ac:dyDescent="0.25">
      <c r="A124" s="8"/>
      <c r="B124" s="8"/>
      <c r="C124" s="9"/>
      <c r="D124" s="12" t="s">
        <v>120</v>
      </c>
      <c r="E124" s="14">
        <v>23614.1</v>
      </c>
      <c r="F124" s="14">
        <v>0</v>
      </c>
      <c r="G124" s="14">
        <v>2348211.5300000007</v>
      </c>
      <c r="H124" s="14">
        <v>761626.42000000016</v>
      </c>
      <c r="I124" s="13">
        <f t="shared" si="1"/>
        <v>3133452.0500000007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7562539.6699999999</v>
      </c>
      <c r="H125" s="14">
        <v>146863.93000000002</v>
      </c>
      <c r="I125" s="13">
        <f t="shared" si="1"/>
        <v>7709403.5999999996</v>
      </c>
    </row>
    <row r="126" spans="1:9" ht="15.75" x14ac:dyDescent="0.25">
      <c r="A126" s="8"/>
      <c r="B126" s="8"/>
      <c r="C126" s="9"/>
      <c r="D126" s="12" t="s">
        <v>122</v>
      </c>
      <c r="E126" s="14">
        <v>5966.7</v>
      </c>
      <c r="F126" s="14">
        <v>0</v>
      </c>
      <c r="G126" s="14">
        <v>3343345.27</v>
      </c>
      <c r="H126" s="14">
        <v>0</v>
      </c>
      <c r="I126" s="13">
        <f t="shared" si="1"/>
        <v>3349311.97</v>
      </c>
    </row>
    <row r="127" spans="1:9" ht="15.75" x14ac:dyDescent="0.25">
      <c r="A127" s="8"/>
      <c r="B127" s="8"/>
      <c r="C127" s="9"/>
      <c r="D127" s="12" t="s">
        <v>123</v>
      </c>
      <c r="E127" s="14">
        <v>240298.77</v>
      </c>
      <c r="F127" s="14">
        <v>107287.11089706495</v>
      </c>
      <c r="G127" s="14">
        <v>11037716.549999997</v>
      </c>
      <c r="H127" s="14">
        <v>0</v>
      </c>
      <c r="I127" s="13">
        <f t="shared" si="1"/>
        <v>11385302.430897063</v>
      </c>
    </row>
    <row r="128" spans="1:9" ht="15.75" x14ac:dyDescent="0.25">
      <c r="A128" s="8"/>
      <c r="B128" s="8"/>
      <c r="C128" s="9"/>
      <c r="D128" s="12" t="s">
        <v>124</v>
      </c>
      <c r="E128" s="14">
        <v>627772.21000000008</v>
      </c>
      <c r="F128" s="14">
        <v>306841.69843743893</v>
      </c>
      <c r="G128" s="14">
        <v>1362776.06</v>
      </c>
      <c r="H128" s="14">
        <v>0</v>
      </c>
      <c r="I128" s="13">
        <f t="shared" si="1"/>
        <v>2297389.9684374388</v>
      </c>
    </row>
    <row r="129" spans="1:9" ht="15.75" x14ac:dyDescent="0.25">
      <c r="A129" s="8"/>
      <c r="B129" s="8"/>
      <c r="C129" s="9"/>
      <c r="D129" s="12" t="s">
        <v>125</v>
      </c>
      <c r="E129" s="14">
        <v>218008.41</v>
      </c>
      <c r="F129" s="14">
        <v>162005.50190598395</v>
      </c>
      <c r="G129" s="14">
        <v>598831.20000000007</v>
      </c>
      <c r="H129" s="14">
        <v>0</v>
      </c>
      <c r="I129" s="13">
        <f t="shared" si="1"/>
        <v>978845.111905984</v>
      </c>
    </row>
    <row r="130" spans="1:9" ht="15.75" x14ac:dyDescent="0.25">
      <c r="A130" s="8"/>
      <c r="B130" s="8"/>
      <c r="C130" s="9"/>
      <c r="D130" s="12" t="s">
        <v>126</v>
      </c>
      <c r="E130" s="14">
        <v>289387.58</v>
      </c>
      <c r="F130" s="14">
        <v>285384.2762580259</v>
      </c>
      <c r="G130" s="14">
        <v>242607.65000000002</v>
      </c>
      <c r="H130" s="14">
        <v>0</v>
      </c>
      <c r="I130" s="13">
        <f t="shared" si="1"/>
        <v>817379.50625802588</v>
      </c>
    </row>
    <row r="131" spans="1:9" ht="15.75" x14ac:dyDescent="0.25">
      <c r="A131" s="8"/>
      <c r="B131" s="8"/>
      <c r="C131" s="9"/>
      <c r="D131" s="12" t="s">
        <v>127</v>
      </c>
      <c r="E131" s="14">
        <v>1271365.02</v>
      </c>
      <c r="F131" s="14">
        <v>1559751.9733115756</v>
      </c>
      <c r="G131" s="14">
        <v>5375241.5699999994</v>
      </c>
      <c r="H131" s="14">
        <v>0</v>
      </c>
      <c r="I131" s="13">
        <f t="shared" si="1"/>
        <v>8206358.563311575</v>
      </c>
    </row>
    <row r="132" spans="1:9" ht="15.75" x14ac:dyDescent="0.25">
      <c r="A132" s="8"/>
      <c r="B132" s="8"/>
      <c r="C132" s="9"/>
      <c r="D132" s="12" t="s">
        <v>128</v>
      </c>
      <c r="E132" s="14">
        <v>871214.1</v>
      </c>
      <c r="F132" s="14">
        <v>957007.76446381677</v>
      </c>
      <c r="G132" s="14">
        <v>160007.62000000002</v>
      </c>
      <c r="H132" s="14">
        <v>0</v>
      </c>
      <c r="I132" s="13">
        <f t="shared" si="1"/>
        <v>1988229.484463817</v>
      </c>
    </row>
    <row r="133" spans="1:9" ht="15.75" x14ac:dyDescent="0.25">
      <c r="A133" s="8"/>
      <c r="B133" s="8"/>
      <c r="C133" s="9"/>
      <c r="D133" s="12" t="s">
        <v>129</v>
      </c>
      <c r="E133" s="14">
        <v>332978.47000000003</v>
      </c>
      <c r="F133" s="14">
        <v>0</v>
      </c>
      <c r="G133" s="14">
        <v>6280996.8500000006</v>
      </c>
      <c r="H133" s="14">
        <v>825498.34500000009</v>
      </c>
      <c r="I133" s="13">
        <f t="shared" si="1"/>
        <v>7439473.665</v>
      </c>
    </row>
    <row r="134" spans="1:9" ht="15.75" x14ac:dyDescent="0.25">
      <c r="A134" s="8"/>
      <c r="B134" s="8"/>
      <c r="C134" s="9"/>
      <c r="D134" s="12" t="s">
        <v>130</v>
      </c>
      <c r="E134" s="14">
        <v>19795.299999999996</v>
      </c>
      <c r="F134" s="14">
        <v>47208.57388204099</v>
      </c>
      <c r="G134" s="14">
        <v>25013.46</v>
      </c>
      <c r="H134" s="14">
        <v>0</v>
      </c>
      <c r="I134" s="13">
        <f t="shared" si="1"/>
        <v>92017.333882040984</v>
      </c>
    </row>
    <row r="135" spans="1:9" ht="15.75" x14ac:dyDescent="0.25">
      <c r="A135" s="8"/>
      <c r="B135" s="8"/>
      <c r="C135" s="9"/>
      <c r="D135" s="12" t="s">
        <v>131</v>
      </c>
      <c r="E135" s="14">
        <v>144147.03999999998</v>
      </c>
      <c r="F135" s="14">
        <v>596519.70421867981</v>
      </c>
      <c r="G135" s="14">
        <v>332960.06000000006</v>
      </c>
      <c r="H135" s="14">
        <v>0</v>
      </c>
      <c r="I135" s="13">
        <f t="shared" si="1"/>
        <v>1073626.8042186799</v>
      </c>
    </row>
    <row r="136" spans="1:9" ht="15.75" x14ac:dyDescent="0.25">
      <c r="A136" s="8"/>
      <c r="B136" s="8"/>
      <c r="C136" s="9"/>
      <c r="D136" s="12" t="s">
        <v>132</v>
      </c>
      <c r="E136" s="14">
        <v>700959.07</v>
      </c>
      <c r="F136" s="14">
        <v>720976.12049027381</v>
      </c>
      <c r="G136" s="14">
        <v>1872490.8800000001</v>
      </c>
      <c r="H136" s="14">
        <v>0</v>
      </c>
      <c r="I136" s="13">
        <f t="shared" si="1"/>
        <v>3294426.0704902736</v>
      </c>
    </row>
    <row r="137" spans="1:9" ht="15.75" x14ac:dyDescent="0.25">
      <c r="A137" s="8"/>
      <c r="B137" s="8"/>
      <c r="C137" s="9"/>
      <c r="D137" s="12" t="s">
        <v>133</v>
      </c>
      <c r="E137" s="14">
        <v>877209.72</v>
      </c>
      <c r="F137" s="14">
        <v>1211280.7430131095</v>
      </c>
      <c r="G137" s="14">
        <v>2726699.1799999997</v>
      </c>
      <c r="H137" s="14">
        <v>0</v>
      </c>
      <c r="I137" s="13">
        <f t="shared" si="1"/>
        <v>4815189.6430131095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5022760.46</v>
      </c>
      <c r="H138" s="14">
        <v>0</v>
      </c>
      <c r="I138" s="13">
        <f t="shared" ref="I138:I144" si="2">SUM(E138:H138)</f>
        <v>5022760.46</v>
      </c>
    </row>
    <row r="139" spans="1:9" ht="15.75" x14ac:dyDescent="0.25">
      <c r="A139" s="8"/>
      <c r="B139" s="8"/>
      <c r="C139" s="9"/>
      <c r="D139" s="12" t="s">
        <v>135</v>
      </c>
      <c r="E139" s="14">
        <v>73679.800000000017</v>
      </c>
      <c r="F139" s="14">
        <v>169728.60232943995</v>
      </c>
      <c r="G139" s="14">
        <v>339006.94999999995</v>
      </c>
      <c r="H139" s="14">
        <v>0</v>
      </c>
      <c r="I139" s="13">
        <f t="shared" si="2"/>
        <v>582415.35232943995</v>
      </c>
    </row>
    <row r="140" spans="1:9" ht="15.75" x14ac:dyDescent="0.25">
      <c r="A140" s="8"/>
      <c r="B140" s="8"/>
      <c r="C140" s="9"/>
      <c r="D140" s="12" t="s">
        <v>136</v>
      </c>
      <c r="E140" s="14">
        <v>550271.70000000007</v>
      </c>
      <c r="F140" s="14">
        <v>1203770.9258862315</v>
      </c>
      <c r="G140" s="14">
        <v>1316080.7300000002</v>
      </c>
      <c r="H140" s="14">
        <v>0</v>
      </c>
      <c r="I140" s="13">
        <f t="shared" si="2"/>
        <v>3070123.3558862321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4989669.3600000013</v>
      </c>
      <c r="H141" s="14">
        <v>67229.180000000008</v>
      </c>
      <c r="I141" s="13">
        <f t="shared" si="2"/>
        <v>5056898.540000001</v>
      </c>
    </row>
    <row r="142" spans="1:9" ht="15.75" x14ac:dyDescent="0.25">
      <c r="A142" s="8"/>
      <c r="B142" s="8"/>
      <c r="C142" s="9"/>
      <c r="D142" s="12" t="s">
        <v>138</v>
      </c>
      <c r="E142" s="14">
        <v>4779.6400000000003</v>
      </c>
      <c r="F142" s="14">
        <v>0</v>
      </c>
      <c r="G142" s="14">
        <v>1613188.7</v>
      </c>
      <c r="H142" s="14">
        <v>0</v>
      </c>
      <c r="I142" s="13">
        <f t="shared" si="2"/>
        <v>1617968.3399999999</v>
      </c>
    </row>
    <row r="143" spans="1:9" ht="15.75" x14ac:dyDescent="0.25">
      <c r="A143" s="8"/>
      <c r="B143" s="8"/>
      <c r="C143" s="9"/>
      <c r="D143" s="12" t="s">
        <v>139</v>
      </c>
      <c r="E143" s="14">
        <v>72999.839999999997</v>
      </c>
      <c r="F143" s="14">
        <v>1112575.4784441437</v>
      </c>
      <c r="G143" s="14">
        <v>184926.18</v>
      </c>
      <c r="H143" s="14">
        <v>0</v>
      </c>
      <c r="I143" s="13">
        <f t="shared" si="2"/>
        <v>1370501.4984441437</v>
      </c>
    </row>
    <row r="144" spans="1:9" ht="15.75" x14ac:dyDescent="0.25">
      <c r="A144" s="8"/>
      <c r="B144" s="8"/>
      <c r="C144" s="9"/>
      <c r="D144" s="12" t="s">
        <v>140</v>
      </c>
      <c r="E144" s="14">
        <v>566343.95000000007</v>
      </c>
      <c r="F144" s="14">
        <v>135182.32100213494</v>
      </c>
      <c r="G144" s="14">
        <v>1688418.6199999999</v>
      </c>
      <c r="H144" s="14">
        <v>0</v>
      </c>
      <c r="I144" s="13">
        <f t="shared" si="2"/>
        <v>2389944.8910021349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52081951.799999975</v>
      </c>
      <c r="F145" s="22">
        <f t="shared" ref="F145:I145" si="3">SUM(F10:F144)</f>
        <v>56124612.685004368</v>
      </c>
      <c r="G145" s="22">
        <f t="shared" si="3"/>
        <v>264731740.00999996</v>
      </c>
      <c r="H145" s="22">
        <f t="shared" si="3"/>
        <v>1801217.8750000002</v>
      </c>
      <c r="I145" s="22">
        <f t="shared" si="3"/>
        <v>374739522.37000448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148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274597.68999999994</v>
      </c>
      <c r="F10" s="14">
        <v>3631431.6477633854</v>
      </c>
      <c r="G10" s="14">
        <v>341662.35000000003</v>
      </c>
      <c r="H10" s="14">
        <v>0</v>
      </c>
      <c r="I10" s="13">
        <f t="shared" ref="I10:I73" si="0">SUM(E10:H10)</f>
        <v>4247691.6877633855</v>
      </c>
    </row>
    <row r="11" spans="1:9" ht="15.75" x14ac:dyDescent="0.25">
      <c r="A11" s="8"/>
      <c r="B11" s="8"/>
      <c r="C11" s="9"/>
      <c r="D11" s="12" t="s">
        <v>7</v>
      </c>
      <c r="E11" s="14">
        <v>469148.04000000004</v>
      </c>
      <c r="F11" s="14">
        <v>2038239.1668245429</v>
      </c>
      <c r="G11" s="14">
        <v>345206.26</v>
      </c>
      <c r="H11" s="14">
        <v>0</v>
      </c>
      <c r="I11" s="13">
        <f t="shared" si="0"/>
        <v>2852593.4668245427</v>
      </c>
    </row>
    <row r="12" spans="1:9" ht="15.75" x14ac:dyDescent="0.25">
      <c r="A12" s="8"/>
      <c r="B12" s="8"/>
      <c r="C12" s="9"/>
      <c r="D12" s="12" t="s">
        <v>8</v>
      </c>
      <c r="E12" s="14">
        <v>1918152.86</v>
      </c>
      <c r="F12" s="14">
        <v>738926.46674592269</v>
      </c>
      <c r="G12" s="14">
        <v>413977.50999999989</v>
      </c>
      <c r="H12" s="14">
        <v>0</v>
      </c>
      <c r="I12" s="13">
        <f t="shared" si="0"/>
        <v>3071056.8367459225</v>
      </c>
    </row>
    <row r="13" spans="1:9" ht="15.75" x14ac:dyDescent="0.25">
      <c r="A13" s="8"/>
      <c r="B13" s="8"/>
      <c r="C13" s="9"/>
      <c r="D13" s="12" t="s">
        <v>9</v>
      </c>
      <c r="E13" s="14">
        <v>103417.20999999999</v>
      </c>
      <c r="F13" s="14">
        <v>19549.942503576989</v>
      </c>
      <c r="G13" s="14">
        <v>3310696.73</v>
      </c>
      <c r="H13" s="14">
        <v>0</v>
      </c>
      <c r="I13" s="13">
        <f t="shared" si="0"/>
        <v>3433663.882503577</v>
      </c>
    </row>
    <row r="14" spans="1:9" ht="15.75" x14ac:dyDescent="0.25">
      <c r="A14" s="8"/>
      <c r="B14" s="8"/>
      <c r="C14" s="9"/>
      <c r="D14" s="12" t="s">
        <v>10</v>
      </c>
      <c r="E14" s="14">
        <v>421976.4</v>
      </c>
      <c r="F14" s="14">
        <v>821029.40749546955</v>
      </c>
      <c r="G14" s="14">
        <v>450239.29000000004</v>
      </c>
      <c r="H14" s="14">
        <v>0</v>
      </c>
      <c r="I14" s="13">
        <f t="shared" si="0"/>
        <v>1693245.0974954697</v>
      </c>
    </row>
    <row r="15" spans="1:9" ht="15.75" x14ac:dyDescent="0.25">
      <c r="A15" s="8"/>
      <c r="B15" s="8"/>
      <c r="C15" s="9"/>
      <c r="D15" s="12" t="s">
        <v>11</v>
      </c>
      <c r="E15" s="14">
        <v>11604.169999999998</v>
      </c>
      <c r="F15" s="14">
        <v>4567.9028691879985</v>
      </c>
      <c r="G15" s="14">
        <v>3516578.26</v>
      </c>
      <c r="H15" s="14">
        <v>0</v>
      </c>
      <c r="I15" s="13">
        <f t="shared" si="0"/>
        <v>3532750.3328691879</v>
      </c>
    </row>
    <row r="16" spans="1:9" ht="15.75" x14ac:dyDescent="0.25">
      <c r="A16" s="8"/>
      <c r="B16" s="8"/>
      <c r="C16" s="9"/>
      <c r="D16" s="12" t="s">
        <v>12</v>
      </c>
      <c r="E16" s="14">
        <v>389573.61</v>
      </c>
      <c r="F16" s="14">
        <v>3914880.2474447158</v>
      </c>
      <c r="G16" s="14">
        <v>573368.14999999991</v>
      </c>
      <c r="H16" s="14">
        <v>0</v>
      </c>
      <c r="I16" s="13">
        <f t="shared" si="0"/>
        <v>4877822.0074447151</v>
      </c>
    </row>
    <row r="17" spans="1:9" ht="15.75" x14ac:dyDescent="0.25">
      <c r="A17" s="8"/>
      <c r="B17" s="8"/>
      <c r="C17" s="9"/>
      <c r="D17" s="12" t="s">
        <v>13</v>
      </c>
      <c r="E17" s="14">
        <v>2348124.8099999996</v>
      </c>
      <c r="F17" s="14">
        <v>3733732.2187367668</v>
      </c>
      <c r="G17" s="14">
        <v>1193173.6600000001</v>
      </c>
      <c r="H17" s="14">
        <v>0</v>
      </c>
      <c r="I17" s="13">
        <f t="shared" si="0"/>
        <v>7275030.6887367666</v>
      </c>
    </row>
    <row r="18" spans="1:9" ht="15.75" x14ac:dyDescent="0.25">
      <c r="A18" s="8"/>
      <c r="B18" s="8"/>
      <c r="C18" s="9"/>
      <c r="D18" s="12" t="s">
        <v>14</v>
      </c>
      <c r="E18" s="14">
        <v>1797433.2100000002</v>
      </c>
      <c r="F18" s="14">
        <v>293232.09313996381</v>
      </c>
      <c r="G18" s="14">
        <v>5729775.2800000012</v>
      </c>
      <c r="H18" s="14">
        <v>0</v>
      </c>
      <c r="I18" s="13">
        <f t="shared" si="0"/>
        <v>7820440.5831399653</v>
      </c>
    </row>
    <row r="19" spans="1:9" ht="15.75" x14ac:dyDescent="0.25">
      <c r="A19" s="8"/>
      <c r="B19" s="8"/>
      <c r="C19" s="9"/>
      <c r="D19" s="12" t="s">
        <v>15</v>
      </c>
      <c r="E19" s="14">
        <v>1344169.4100000001</v>
      </c>
      <c r="F19" s="14">
        <v>2798675.6836485076</v>
      </c>
      <c r="G19" s="14">
        <v>893227.1100000001</v>
      </c>
      <c r="H19" s="14">
        <v>0</v>
      </c>
      <c r="I19" s="13">
        <f t="shared" si="0"/>
        <v>5036072.2036485076</v>
      </c>
    </row>
    <row r="20" spans="1:9" ht="15.75" x14ac:dyDescent="0.25">
      <c r="A20" s="8"/>
      <c r="B20" s="8"/>
      <c r="C20" s="9"/>
      <c r="D20" s="12" t="s">
        <v>16</v>
      </c>
      <c r="E20" s="14">
        <v>563432.61999999988</v>
      </c>
      <c r="F20" s="14">
        <v>778026.35175307654</v>
      </c>
      <c r="G20" s="14">
        <v>470704.24999999994</v>
      </c>
      <c r="H20" s="14">
        <v>0</v>
      </c>
      <c r="I20" s="13">
        <f t="shared" si="0"/>
        <v>1812163.2217530764</v>
      </c>
    </row>
    <row r="21" spans="1:9" ht="15.75" x14ac:dyDescent="0.25">
      <c r="A21" s="8"/>
      <c r="B21" s="8"/>
      <c r="C21" s="9"/>
      <c r="D21" s="12" t="s">
        <v>17</v>
      </c>
      <c r="E21" s="14">
        <v>353891.75</v>
      </c>
      <c r="F21" s="14">
        <v>3347983.0480820555</v>
      </c>
      <c r="G21" s="14">
        <v>364770.38</v>
      </c>
      <c r="H21" s="14">
        <v>0</v>
      </c>
      <c r="I21" s="13">
        <f t="shared" si="0"/>
        <v>4066645.1780820554</v>
      </c>
    </row>
    <row r="22" spans="1:9" ht="15.75" x14ac:dyDescent="0.25">
      <c r="A22" s="8"/>
      <c r="B22" s="8"/>
      <c r="C22" s="9"/>
      <c r="D22" s="12" t="s">
        <v>18</v>
      </c>
      <c r="E22" s="14">
        <v>103337.97</v>
      </c>
      <c r="F22" s="14">
        <v>143360.56355500093</v>
      </c>
      <c r="G22" s="14">
        <v>2418215.2099999995</v>
      </c>
      <c r="H22" s="14">
        <v>0</v>
      </c>
      <c r="I22" s="13">
        <f t="shared" si="0"/>
        <v>2664913.7435550005</v>
      </c>
    </row>
    <row r="23" spans="1:9" ht="15.75" x14ac:dyDescent="0.25">
      <c r="A23" s="8"/>
      <c r="B23" s="8"/>
      <c r="C23" s="9"/>
      <c r="D23" s="12" t="s">
        <v>19</v>
      </c>
      <c r="E23" s="14">
        <v>7325.59</v>
      </c>
      <c r="F23" s="14">
        <v>53434.236921284974</v>
      </c>
      <c r="G23" s="14">
        <v>2125030.0500000003</v>
      </c>
      <c r="H23" s="14">
        <v>0</v>
      </c>
      <c r="I23" s="13">
        <f t="shared" si="0"/>
        <v>2185789.8769212854</v>
      </c>
    </row>
    <row r="24" spans="1:9" ht="15.75" x14ac:dyDescent="0.25">
      <c r="A24" s="8"/>
      <c r="B24" s="8"/>
      <c r="C24" s="9"/>
      <c r="D24" s="12" t="s">
        <v>20</v>
      </c>
      <c r="E24" s="14">
        <v>697119.59</v>
      </c>
      <c r="F24" s="14">
        <v>2053238.2508726227</v>
      </c>
      <c r="G24" s="14">
        <v>892944.81</v>
      </c>
      <c r="H24" s="14">
        <v>0</v>
      </c>
      <c r="I24" s="13">
        <f t="shared" si="0"/>
        <v>3643302.6508726226</v>
      </c>
    </row>
    <row r="25" spans="1:9" ht="15.75" x14ac:dyDescent="0.25">
      <c r="A25" s="8"/>
      <c r="B25" s="8"/>
      <c r="C25" s="9"/>
      <c r="D25" s="12" t="s">
        <v>21</v>
      </c>
      <c r="E25" s="14">
        <v>336844.54000000004</v>
      </c>
      <c r="F25" s="14">
        <v>1524776.2043831681</v>
      </c>
      <c r="G25" s="14">
        <v>782181.96</v>
      </c>
      <c r="H25" s="14">
        <v>0</v>
      </c>
      <c r="I25" s="13">
        <f t="shared" si="0"/>
        <v>2643802.7043831684</v>
      </c>
    </row>
    <row r="26" spans="1:9" ht="15.75" x14ac:dyDescent="0.25">
      <c r="A26" s="8"/>
      <c r="B26" s="8"/>
      <c r="C26" s="9"/>
      <c r="D26" s="12" t="s">
        <v>22</v>
      </c>
      <c r="E26" s="14">
        <v>312172.89</v>
      </c>
      <c r="F26" s="14">
        <v>873168.26897623867</v>
      </c>
      <c r="G26" s="14">
        <v>380144.93000000005</v>
      </c>
      <c r="H26" s="14">
        <v>0</v>
      </c>
      <c r="I26" s="13">
        <f t="shared" si="0"/>
        <v>1565486.0889762389</v>
      </c>
    </row>
    <row r="27" spans="1:9" ht="15.75" x14ac:dyDescent="0.25">
      <c r="A27" s="8"/>
      <c r="B27" s="8"/>
      <c r="C27" s="9"/>
      <c r="D27" s="12" t="s">
        <v>23</v>
      </c>
      <c r="E27" s="14">
        <v>318624.91000000003</v>
      </c>
      <c r="F27" s="14">
        <v>149871.5295849629</v>
      </c>
      <c r="G27" s="14">
        <v>1314062.72</v>
      </c>
      <c r="H27" s="14">
        <v>0</v>
      </c>
      <c r="I27" s="13">
        <f t="shared" si="0"/>
        <v>1782559.1595849628</v>
      </c>
    </row>
    <row r="28" spans="1:9" ht="15.75" x14ac:dyDescent="0.25">
      <c r="A28" s="8"/>
      <c r="B28" s="8"/>
      <c r="C28" s="9"/>
      <c r="D28" s="12" t="s">
        <v>24</v>
      </c>
      <c r="E28" s="14">
        <v>359791.93000000005</v>
      </c>
      <c r="F28" s="14">
        <v>710257.76291766076</v>
      </c>
      <c r="G28" s="14">
        <v>697513.41</v>
      </c>
      <c r="H28" s="14">
        <v>0</v>
      </c>
      <c r="I28" s="13">
        <f t="shared" si="0"/>
        <v>1767563.102917661</v>
      </c>
    </row>
    <row r="29" spans="1:9" ht="15.75" x14ac:dyDescent="0.25">
      <c r="A29" s="8"/>
      <c r="B29" s="8"/>
      <c r="C29" s="9"/>
      <c r="D29" s="12" t="s">
        <v>25</v>
      </c>
      <c r="E29" s="14">
        <v>143407.16</v>
      </c>
      <c r="F29" s="14">
        <v>397475.72727411974</v>
      </c>
      <c r="G29" s="14">
        <v>263124.93000000005</v>
      </c>
      <c r="H29" s="14">
        <v>0</v>
      </c>
      <c r="I29" s="13">
        <f t="shared" si="0"/>
        <v>804007.81727411982</v>
      </c>
    </row>
    <row r="30" spans="1:9" ht="15.75" x14ac:dyDescent="0.25">
      <c r="A30" s="8"/>
      <c r="B30" s="8"/>
      <c r="C30" s="9"/>
      <c r="D30" s="12" t="s">
        <v>26</v>
      </c>
      <c r="E30" s="14">
        <v>507608.93</v>
      </c>
      <c r="F30" s="14">
        <v>2143812.265226597</v>
      </c>
      <c r="G30" s="14">
        <v>451968.03000000009</v>
      </c>
      <c r="H30" s="14">
        <v>0</v>
      </c>
      <c r="I30" s="13">
        <f t="shared" si="0"/>
        <v>3103389.2252265974</v>
      </c>
    </row>
    <row r="31" spans="1:9" ht="15.75" x14ac:dyDescent="0.25">
      <c r="A31" s="8"/>
      <c r="B31" s="8"/>
      <c r="C31" s="9"/>
      <c r="D31" s="12" t="s">
        <v>27</v>
      </c>
      <c r="E31" s="14">
        <v>345061.7</v>
      </c>
      <c r="F31" s="14">
        <v>2221994.990827214</v>
      </c>
      <c r="G31" s="14">
        <v>404084.54999999993</v>
      </c>
      <c r="H31" s="14">
        <v>0</v>
      </c>
      <c r="I31" s="13">
        <f t="shared" si="0"/>
        <v>2971141.240827214</v>
      </c>
    </row>
    <row r="32" spans="1:9" ht="15.75" x14ac:dyDescent="0.25">
      <c r="A32" s="8"/>
      <c r="B32" s="8"/>
      <c r="C32" s="9"/>
      <c r="D32" s="12" t="s">
        <v>28</v>
      </c>
      <c r="E32" s="14">
        <v>248963.11999999997</v>
      </c>
      <c r="F32" s="14">
        <v>750005.33564507251</v>
      </c>
      <c r="G32" s="14">
        <v>195870.19000000003</v>
      </c>
      <c r="H32" s="14">
        <v>0</v>
      </c>
      <c r="I32" s="13">
        <f t="shared" si="0"/>
        <v>1194838.6456450725</v>
      </c>
    </row>
    <row r="33" spans="1:9" ht="15.75" x14ac:dyDescent="0.25">
      <c r="A33" s="8"/>
      <c r="B33" s="8"/>
      <c r="C33" s="9"/>
      <c r="D33" s="12" t="s">
        <v>29</v>
      </c>
      <c r="E33" s="14">
        <v>74601.42</v>
      </c>
      <c r="F33" s="14">
        <v>1133811.4431390106</v>
      </c>
      <c r="G33" s="14">
        <v>177340.51</v>
      </c>
      <c r="H33" s="14">
        <v>0</v>
      </c>
      <c r="I33" s="13">
        <f t="shared" si="0"/>
        <v>1385753.3731390105</v>
      </c>
    </row>
    <row r="34" spans="1:9" ht="15.75" x14ac:dyDescent="0.25">
      <c r="A34" s="8"/>
      <c r="B34" s="8"/>
      <c r="C34" s="9"/>
      <c r="D34" s="12" t="s">
        <v>30</v>
      </c>
      <c r="E34" s="14">
        <v>1220294.4000000001</v>
      </c>
      <c r="F34" s="14">
        <v>1627076.77535655</v>
      </c>
      <c r="G34" s="14">
        <v>1108714.3900000001</v>
      </c>
      <c r="H34" s="14">
        <v>0</v>
      </c>
      <c r="I34" s="13">
        <f t="shared" si="0"/>
        <v>3956085.5653565503</v>
      </c>
    </row>
    <row r="35" spans="1:9" ht="15.75" x14ac:dyDescent="0.25">
      <c r="A35" s="8"/>
      <c r="B35" s="8"/>
      <c r="C35" s="9"/>
      <c r="D35" s="12" t="s">
        <v>31</v>
      </c>
      <c r="E35" s="14">
        <v>524163.02999999991</v>
      </c>
      <c r="F35" s="14">
        <v>2992197.956696122</v>
      </c>
      <c r="G35" s="14">
        <v>759098.75</v>
      </c>
      <c r="H35" s="14">
        <v>0</v>
      </c>
      <c r="I35" s="13">
        <f t="shared" si="0"/>
        <v>4275459.7366961222</v>
      </c>
    </row>
    <row r="36" spans="1:9" ht="15.75" x14ac:dyDescent="0.25">
      <c r="A36" s="8"/>
      <c r="B36" s="8"/>
      <c r="C36" s="9"/>
      <c r="D36" s="12" t="s">
        <v>32</v>
      </c>
      <c r="E36" s="14">
        <v>328308.0500000001</v>
      </c>
      <c r="F36" s="14">
        <v>1484363.8995218072</v>
      </c>
      <c r="G36" s="14">
        <v>1424039.2199999997</v>
      </c>
      <c r="H36" s="14">
        <v>0</v>
      </c>
      <c r="I36" s="13">
        <f t="shared" si="0"/>
        <v>3236711.1695218068</v>
      </c>
    </row>
    <row r="37" spans="1:9" ht="15.75" x14ac:dyDescent="0.25">
      <c r="A37" s="8"/>
      <c r="B37" s="8"/>
      <c r="C37" s="9"/>
      <c r="D37" s="12" t="s">
        <v>33</v>
      </c>
      <c r="E37" s="14">
        <v>305696.99</v>
      </c>
      <c r="F37" s="14">
        <v>1038021.8381955905</v>
      </c>
      <c r="G37" s="14">
        <v>394585.79</v>
      </c>
      <c r="H37" s="14">
        <v>0</v>
      </c>
      <c r="I37" s="13">
        <f t="shared" si="0"/>
        <v>1738304.6181955906</v>
      </c>
    </row>
    <row r="38" spans="1:9" ht="15.75" x14ac:dyDescent="0.25">
      <c r="A38" s="8"/>
      <c r="B38" s="8"/>
      <c r="C38" s="9"/>
      <c r="D38" s="12" t="s">
        <v>34</v>
      </c>
      <c r="E38" s="14">
        <v>192990.21000000002</v>
      </c>
      <c r="F38" s="14">
        <v>1784106.958691733</v>
      </c>
      <c r="G38" s="14">
        <v>417491.16</v>
      </c>
      <c r="H38" s="14">
        <v>0</v>
      </c>
      <c r="I38" s="13">
        <f t="shared" si="0"/>
        <v>2394588.3286917331</v>
      </c>
    </row>
    <row r="39" spans="1:9" ht="15.75" x14ac:dyDescent="0.25">
      <c r="A39" s="8"/>
      <c r="B39" s="8"/>
      <c r="C39" s="9"/>
      <c r="D39" s="12" t="s">
        <v>35</v>
      </c>
      <c r="E39" s="14">
        <v>240290.02</v>
      </c>
      <c r="F39" s="14">
        <v>2793460.093059062</v>
      </c>
      <c r="G39" s="14">
        <v>334046.25000000006</v>
      </c>
      <c r="H39" s="14">
        <v>0</v>
      </c>
      <c r="I39" s="13">
        <f t="shared" si="0"/>
        <v>3367796.363059062</v>
      </c>
    </row>
    <row r="40" spans="1:9" ht="15.75" x14ac:dyDescent="0.25">
      <c r="A40" s="8"/>
      <c r="B40" s="8"/>
      <c r="C40" s="9"/>
      <c r="D40" s="12" t="s">
        <v>36</v>
      </c>
      <c r="E40" s="14">
        <v>19622.96</v>
      </c>
      <c r="F40" s="14">
        <v>146616.0465699819</v>
      </c>
      <c r="G40" s="14">
        <v>515382.5400000001</v>
      </c>
      <c r="H40" s="14">
        <v>0</v>
      </c>
      <c r="I40" s="13">
        <f t="shared" si="0"/>
        <v>681621.54656998196</v>
      </c>
    </row>
    <row r="41" spans="1:9" ht="15.75" x14ac:dyDescent="0.25">
      <c r="A41" s="8"/>
      <c r="B41" s="8"/>
      <c r="C41" s="9"/>
      <c r="D41" s="12" t="s">
        <v>37</v>
      </c>
      <c r="E41" s="14">
        <v>716494.5</v>
      </c>
      <c r="F41" s="14">
        <v>2625998.7285449868</v>
      </c>
      <c r="G41" s="14">
        <v>784459.77</v>
      </c>
      <c r="H41" s="14">
        <v>0</v>
      </c>
      <c r="I41" s="13">
        <f t="shared" si="0"/>
        <v>4126952.9985449868</v>
      </c>
    </row>
    <row r="42" spans="1:9" ht="15.75" x14ac:dyDescent="0.25">
      <c r="A42" s="8"/>
      <c r="B42" s="8"/>
      <c r="C42" s="9"/>
      <c r="D42" s="12" t="s">
        <v>38</v>
      </c>
      <c r="E42" s="14">
        <v>320413.06000000006</v>
      </c>
      <c r="F42" s="14">
        <v>2593409.8095677951</v>
      </c>
      <c r="G42" s="14">
        <v>368194.70999999996</v>
      </c>
      <c r="H42" s="14">
        <v>0</v>
      </c>
      <c r="I42" s="13">
        <f t="shared" si="0"/>
        <v>3282017.5795677952</v>
      </c>
    </row>
    <row r="43" spans="1:9" ht="15.75" x14ac:dyDescent="0.25">
      <c r="A43" s="8"/>
      <c r="B43" s="8"/>
      <c r="C43" s="9"/>
      <c r="D43" s="12" t="s">
        <v>39</v>
      </c>
      <c r="E43" s="14">
        <v>93015.430000000022</v>
      </c>
      <c r="F43" s="14">
        <v>965037.65877072851</v>
      </c>
      <c r="G43" s="14">
        <v>461890.57</v>
      </c>
      <c r="H43" s="14">
        <v>0</v>
      </c>
      <c r="I43" s="13">
        <f t="shared" si="0"/>
        <v>1519943.6587707286</v>
      </c>
    </row>
    <row r="44" spans="1:9" ht="15.75" x14ac:dyDescent="0.25">
      <c r="A44" s="8"/>
      <c r="B44" s="8"/>
      <c r="C44" s="9"/>
      <c r="D44" s="12" t="s">
        <v>40</v>
      </c>
      <c r="E44" s="14">
        <v>5430.49</v>
      </c>
      <c r="F44" s="14">
        <v>74279.55486537797</v>
      </c>
      <c r="G44" s="14">
        <v>461790.15</v>
      </c>
      <c r="H44" s="14">
        <v>0</v>
      </c>
      <c r="I44" s="13">
        <f t="shared" si="0"/>
        <v>541500.19486537797</v>
      </c>
    </row>
    <row r="45" spans="1:9" ht="15.75" x14ac:dyDescent="0.25">
      <c r="A45" s="8"/>
      <c r="B45" s="8"/>
      <c r="C45" s="9"/>
      <c r="D45" s="12" t="s">
        <v>41</v>
      </c>
      <c r="E45" s="14">
        <v>1915224.48</v>
      </c>
      <c r="F45" s="14">
        <v>21510.05007804199</v>
      </c>
      <c r="G45" s="14">
        <v>1983584.2200000002</v>
      </c>
      <c r="H45" s="14">
        <v>0</v>
      </c>
      <c r="I45" s="13">
        <f t="shared" si="0"/>
        <v>3920318.750078042</v>
      </c>
    </row>
    <row r="46" spans="1:9" ht="15.75" x14ac:dyDescent="0.25">
      <c r="A46" s="8"/>
      <c r="B46" s="8"/>
      <c r="C46" s="9"/>
      <c r="D46" s="12" t="s">
        <v>42</v>
      </c>
      <c r="E46" s="14">
        <v>738461.43</v>
      </c>
      <c r="F46" s="14">
        <v>71671.759570654962</v>
      </c>
      <c r="G46" s="14">
        <v>2329878.64</v>
      </c>
      <c r="H46" s="14">
        <v>0</v>
      </c>
      <c r="I46" s="13">
        <f t="shared" si="0"/>
        <v>3140011.8295706552</v>
      </c>
    </row>
    <row r="47" spans="1:9" ht="15.75" x14ac:dyDescent="0.25">
      <c r="A47" s="8"/>
      <c r="B47" s="8"/>
      <c r="C47" s="9"/>
      <c r="D47" s="12" t="s">
        <v>43</v>
      </c>
      <c r="E47" s="14">
        <v>180491.76000000004</v>
      </c>
      <c r="F47" s="14">
        <v>512167.58700085874</v>
      </c>
      <c r="G47" s="14">
        <v>601641.86</v>
      </c>
      <c r="H47" s="14">
        <v>0</v>
      </c>
      <c r="I47" s="13">
        <f t="shared" si="0"/>
        <v>1294301.2070008586</v>
      </c>
    </row>
    <row r="48" spans="1:9" ht="15.75" x14ac:dyDescent="0.25">
      <c r="A48" s="8"/>
      <c r="B48" s="8"/>
      <c r="C48" s="9"/>
      <c r="D48" s="12" t="s">
        <v>44</v>
      </c>
      <c r="E48" s="14">
        <v>153216.24999999997</v>
      </c>
      <c r="F48" s="14">
        <v>71671.759570654962</v>
      </c>
      <c r="G48" s="14">
        <v>1006804.27</v>
      </c>
      <c r="H48" s="14">
        <v>0</v>
      </c>
      <c r="I48" s="13">
        <f t="shared" si="0"/>
        <v>1231692.279570655</v>
      </c>
    </row>
    <row r="49" spans="1:9" ht="15.75" x14ac:dyDescent="0.25">
      <c r="A49" s="8"/>
      <c r="B49" s="8"/>
      <c r="C49" s="9"/>
      <c r="D49" s="12" t="s">
        <v>45</v>
      </c>
      <c r="E49" s="14">
        <v>818566.59999999986</v>
      </c>
      <c r="F49" s="14">
        <v>85358.42376452795</v>
      </c>
      <c r="G49" s="14">
        <v>2233221.5</v>
      </c>
      <c r="H49" s="14">
        <v>0</v>
      </c>
      <c r="I49" s="13">
        <f t="shared" si="0"/>
        <v>3137146.5237645279</v>
      </c>
    </row>
    <row r="50" spans="1:9" ht="15.75" x14ac:dyDescent="0.25">
      <c r="A50" s="8"/>
      <c r="B50" s="8"/>
      <c r="C50" s="9"/>
      <c r="D50" s="12" t="s">
        <v>46</v>
      </c>
      <c r="E50" s="14">
        <v>447306.57999999996</v>
      </c>
      <c r="F50" s="14">
        <v>1003489.8560576246</v>
      </c>
      <c r="G50" s="14">
        <v>120901.98</v>
      </c>
      <c r="H50" s="14">
        <v>0</v>
      </c>
      <c r="I50" s="13">
        <f t="shared" si="0"/>
        <v>1571698.4160576244</v>
      </c>
    </row>
    <row r="51" spans="1:9" ht="15.75" x14ac:dyDescent="0.25">
      <c r="A51" s="8"/>
      <c r="B51" s="8"/>
      <c r="C51" s="9"/>
      <c r="D51" s="12" t="s">
        <v>47</v>
      </c>
      <c r="E51" s="14">
        <v>231795.05999999997</v>
      </c>
      <c r="F51" s="14">
        <v>1500010.671290145</v>
      </c>
      <c r="G51" s="14">
        <v>782002.93</v>
      </c>
      <c r="H51" s="14">
        <v>0</v>
      </c>
      <c r="I51" s="13">
        <f t="shared" si="0"/>
        <v>2513808.661290145</v>
      </c>
    </row>
    <row r="52" spans="1:9" ht="15.75" x14ac:dyDescent="0.25">
      <c r="A52" s="8"/>
      <c r="B52" s="8"/>
      <c r="C52" s="9"/>
      <c r="D52" s="12" t="s">
        <v>48</v>
      </c>
      <c r="E52" s="14">
        <v>172889.94</v>
      </c>
      <c r="F52" s="14">
        <v>1511737.2279095531</v>
      </c>
      <c r="G52" s="14">
        <v>184236.01</v>
      </c>
      <c r="H52" s="14">
        <v>0</v>
      </c>
      <c r="I52" s="13">
        <f t="shared" si="0"/>
        <v>1868863.1779095531</v>
      </c>
    </row>
    <row r="53" spans="1:9" ht="15.75" x14ac:dyDescent="0.25">
      <c r="A53" s="8"/>
      <c r="B53" s="8"/>
      <c r="C53" s="9"/>
      <c r="D53" s="12" t="s">
        <v>49</v>
      </c>
      <c r="E53" s="14">
        <v>290482.79000000004</v>
      </c>
      <c r="F53" s="14">
        <v>1036061.7306211254</v>
      </c>
      <c r="G53" s="14">
        <v>551689.93999999994</v>
      </c>
      <c r="H53" s="14">
        <v>0</v>
      </c>
      <c r="I53" s="13">
        <f t="shared" si="0"/>
        <v>1878234.4606211255</v>
      </c>
    </row>
    <row r="54" spans="1:9" ht="15.75" x14ac:dyDescent="0.25">
      <c r="A54" s="8"/>
      <c r="B54" s="8"/>
      <c r="C54" s="9"/>
      <c r="D54" s="12" t="s">
        <v>50</v>
      </c>
      <c r="E54" s="14">
        <v>392692.74999999994</v>
      </c>
      <c r="F54" s="14">
        <v>951350.99457685556</v>
      </c>
      <c r="G54" s="14">
        <v>402266.9</v>
      </c>
      <c r="H54" s="14">
        <v>0</v>
      </c>
      <c r="I54" s="13">
        <f t="shared" si="0"/>
        <v>1746310.6445768555</v>
      </c>
    </row>
    <row r="55" spans="1:9" ht="15.75" x14ac:dyDescent="0.25">
      <c r="A55" s="8"/>
      <c r="B55" s="8"/>
      <c r="C55" s="9"/>
      <c r="D55" s="12" t="s">
        <v>51</v>
      </c>
      <c r="E55" s="14">
        <v>115232.32999999999</v>
      </c>
      <c r="F55" s="14">
        <v>2000451.7016715959</v>
      </c>
      <c r="G55" s="14">
        <v>26214.95</v>
      </c>
      <c r="H55" s="14">
        <v>0</v>
      </c>
      <c r="I55" s="13">
        <f t="shared" si="0"/>
        <v>2141898.9816715959</v>
      </c>
    </row>
    <row r="56" spans="1:9" ht="15.75" x14ac:dyDescent="0.25">
      <c r="A56" s="8"/>
      <c r="B56" s="8"/>
      <c r="C56" s="9"/>
      <c r="D56" s="12" t="s">
        <v>52</v>
      </c>
      <c r="E56" s="14">
        <v>351338.91000000009</v>
      </c>
      <c r="F56" s="14">
        <v>2424005.3818929456</v>
      </c>
      <c r="G56" s="14">
        <v>165067.21</v>
      </c>
      <c r="H56" s="14">
        <v>0</v>
      </c>
      <c r="I56" s="13">
        <f t="shared" si="0"/>
        <v>2940411.5018929457</v>
      </c>
    </row>
    <row r="57" spans="1:9" ht="15.75" x14ac:dyDescent="0.25">
      <c r="A57" s="8"/>
      <c r="B57" s="8"/>
      <c r="C57" s="9"/>
      <c r="D57" s="12" t="s">
        <v>53</v>
      </c>
      <c r="E57" s="14">
        <v>84259.540000000008</v>
      </c>
      <c r="F57" s="14">
        <v>716768.72894762259</v>
      </c>
      <c r="G57" s="14">
        <v>187115.97</v>
      </c>
      <c r="H57" s="14">
        <v>0</v>
      </c>
      <c r="I57" s="13">
        <f t="shared" si="0"/>
        <v>988144.23894762259</v>
      </c>
    </row>
    <row r="58" spans="1:9" ht="15.75" x14ac:dyDescent="0.25">
      <c r="A58" s="8"/>
      <c r="B58" s="8"/>
      <c r="C58" s="9"/>
      <c r="D58" s="12" t="s">
        <v>54</v>
      </c>
      <c r="E58" s="14">
        <v>103897.99</v>
      </c>
      <c r="F58" s="14">
        <v>771515.3857231146</v>
      </c>
      <c r="G58" s="14">
        <v>53927.55999999999</v>
      </c>
      <c r="H58" s="14">
        <v>0</v>
      </c>
      <c r="I58" s="13">
        <f t="shared" si="0"/>
        <v>929340.93572311453</v>
      </c>
    </row>
    <row r="59" spans="1:9" ht="15.75" x14ac:dyDescent="0.25">
      <c r="A59" s="8"/>
      <c r="B59" s="8"/>
      <c r="C59" s="9"/>
      <c r="D59" s="12" t="s">
        <v>55</v>
      </c>
      <c r="E59" s="14">
        <v>356931.67999999993</v>
      </c>
      <c r="F59" s="14">
        <v>1303215.8708138594</v>
      </c>
      <c r="G59" s="14">
        <v>653456.23</v>
      </c>
      <c r="H59" s="14">
        <v>0</v>
      </c>
      <c r="I59" s="13">
        <f t="shared" si="0"/>
        <v>2313603.7808138593</v>
      </c>
    </row>
    <row r="60" spans="1:9" ht="15.75" x14ac:dyDescent="0.25">
      <c r="A60" s="8"/>
      <c r="B60" s="8"/>
      <c r="C60" s="9"/>
      <c r="D60" s="12" t="s">
        <v>56</v>
      </c>
      <c r="E60" s="14">
        <v>80522.389999999985</v>
      </c>
      <c r="F60" s="14">
        <v>788457.53293196857</v>
      </c>
      <c r="G60" s="14">
        <v>121974.81000000001</v>
      </c>
      <c r="H60" s="14">
        <v>0</v>
      </c>
      <c r="I60" s="13">
        <f t="shared" si="0"/>
        <v>990954.73293196864</v>
      </c>
    </row>
    <row r="61" spans="1:9" ht="15.75" x14ac:dyDescent="0.25">
      <c r="A61" s="8"/>
      <c r="B61" s="8"/>
      <c r="C61" s="9"/>
      <c r="D61" s="12" t="s">
        <v>57</v>
      </c>
      <c r="E61" s="14">
        <v>457172.43</v>
      </c>
      <c r="F61" s="14">
        <v>1322765.8133174363</v>
      </c>
      <c r="G61" s="14">
        <v>193314.17</v>
      </c>
      <c r="H61" s="14">
        <v>0</v>
      </c>
      <c r="I61" s="13">
        <f t="shared" si="0"/>
        <v>1973252.4133174361</v>
      </c>
    </row>
    <row r="62" spans="1:9" ht="15.75" x14ac:dyDescent="0.25">
      <c r="A62" s="8"/>
      <c r="B62" s="8"/>
      <c r="C62" s="9"/>
      <c r="D62" s="12" t="s">
        <v>58</v>
      </c>
      <c r="E62" s="14">
        <v>458000.58999999991</v>
      </c>
      <c r="F62" s="14">
        <v>1475909.8703310716</v>
      </c>
      <c r="G62" s="14">
        <v>17275788.240000002</v>
      </c>
      <c r="H62" s="14">
        <v>0</v>
      </c>
      <c r="I62" s="13">
        <f t="shared" si="0"/>
        <v>19209698.700331073</v>
      </c>
    </row>
    <row r="63" spans="1:9" ht="15.75" x14ac:dyDescent="0.25">
      <c r="A63" s="8"/>
      <c r="B63" s="8"/>
      <c r="C63" s="9"/>
      <c r="D63" s="12" t="s">
        <v>59</v>
      </c>
      <c r="E63" s="14">
        <v>1345612.49</v>
      </c>
      <c r="F63" s="14">
        <v>162910.50605857791</v>
      </c>
      <c r="G63" s="14">
        <v>599198.97000000009</v>
      </c>
      <c r="H63" s="14">
        <v>0</v>
      </c>
      <c r="I63" s="13">
        <f t="shared" si="0"/>
        <v>2107721.9660585779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4476623.8599999994</v>
      </c>
      <c r="H64" s="14">
        <v>0</v>
      </c>
      <c r="I64" s="13">
        <f t="shared" si="0"/>
        <v>4476623.8599999994</v>
      </c>
    </row>
    <row r="65" spans="1:9" ht="15.75" x14ac:dyDescent="0.25">
      <c r="A65" s="8"/>
      <c r="B65" s="8"/>
      <c r="C65" s="9"/>
      <c r="D65" s="12" t="s">
        <v>61</v>
      </c>
      <c r="E65" s="14">
        <v>350252.02</v>
      </c>
      <c r="F65" s="14">
        <v>1928779.9421009412</v>
      </c>
      <c r="G65" s="14">
        <v>304161.5</v>
      </c>
      <c r="H65" s="14">
        <v>0</v>
      </c>
      <c r="I65" s="13">
        <f t="shared" si="0"/>
        <v>2583193.4621009412</v>
      </c>
    </row>
    <row r="66" spans="1:9" ht="15.75" x14ac:dyDescent="0.25">
      <c r="A66" s="8"/>
      <c r="B66" s="8"/>
      <c r="C66" s="9"/>
      <c r="D66" s="12" t="s">
        <v>62</v>
      </c>
      <c r="E66" s="14">
        <v>1145352.78</v>
      </c>
      <c r="F66" s="14">
        <v>3834737.4142696331</v>
      </c>
      <c r="G66" s="14">
        <v>692472.13</v>
      </c>
      <c r="H66" s="14">
        <v>0</v>
      </c>
      <c r="I66" s="13">
        <f t="shared" si="0"/>
        <v>5672562.3242696328</v>
      </c>
    </row>
    <row r="67" spans="1:9" ht="15.75" x14ac:dyDescent="0.25">
      <c r="A67" s="8"/>
      <c r="B67" s="8"/>
      <c r="C67" s="9"/>
      <c r="D67" s="12" t="s">
        <v>63</v>
      </c>
      <c r="E67" s="14">
        <v>416768.49000000011</v>
      </c>
      <c r="F67" s="14">
        <v>1772380.4020723249</v>
      </c>
      <c r="G67" s="14">
        <v>384319.01</v>
      </c>
      <c r="H67" s="14">
        <v>0</v>
      </c>
      <c r="I67" s="13">
        <f t="shared" si="0"/>
        <v>2573467.9020723253</v>
      </c>
    </row>
    <row r="68" spans="1:9" ht="15.75" x14ac:dyDescent="0.25">
      <c r="A68" s="8"/>
      <c r="B68" s="8"/>
      <c r="C68" s="9"/>
      <c r="D68" s="12" t="s">
        <v>64</v>
      </c>
      <c r="E68" s="14">
        <v>1802921.95</v>
      </c>
      <c r="F68" s="14">
        <v>749357.64792481461</v>
      </c>
      <c r="G68" s="14">
        <v>161437.35</v>
      </c>
      <c r="H68" s="14">
        <v>0</v>
      </c>
      <c r="I68" s="13">
        <f t="shared" si="0"/>
        <v>2713716.9479248147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1386105.1900000002</v>
      </c>
      <c r="H69" s="14">
        <v>0</v>
      </c>
      <c r="I69" s="13">
        <f t="shared" si="0"/>
        <v>1386105.1900000002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2119325.8199999998</v>
      </c>
      <c r="H70" s="14">
        <v>0</v>
      </c>
      <c r="I70" s="13">
        <f t="shared" si="0"/>
        <v>2119325.8199999998</v>
      </c>
    </row>
    <row r="71" spans="1:9" ht="15.75" x14ac:dyDescent="0.25">
      <c r="A71" s="8"/>
      <c r="B71" s="8"/>
      <c r="C71" s="9"/>
      <c r="D71" s="12" t="s">
        <v>67</v>
      </c>
      <c r="E71" s="14">
        <v>0</v>
      </c>
      <c r="F71" s="14">
        <v>19549.942503576989</v>
      </c>
      <c r="G71" s="14">
        <v>1367024.7799999998</v>
      </c>
      <c r="H71" s="14">
        <v>0</v>
      </c>
      <c r="I71" s="13">
        <f t="shared" si="0"/>
        <v>1386574.7225035769</v>
      </c>
    </row>
    <row r="72" spans="1:9" ht="15.75" x14ac:dyDescent="0.25">
      <c r="A72" s="8"/>
      <c r="B72" s="8"/>
      <c r="C72" s="9"/>
      <c r="D72" s="12" t="s">
        <v>68</v>
      </c>
      <c r="E72" s="14">
        <v>298740.32000000007</v>
      </c>
      <c r="F72" s="14">
        <v>1217209.7593290734</v>
      </c>
      <c r="G72" s="14">
        <v>2558539.35</v>
      </c>
      <c r="H72" s="14">
        <v>0</v>
      </c>
      <c r="I72" s="13">
        <f t="shared" si="0"/>
        <v>4074489.4293290735</v>
      </c>
    </row>
    <row r="73" spans="1:9" ht="15.75" x14ac:dyDescent="0.25">
      <c r="A73" s="8"/>
      <c r="B73" s="8"/>
      <c r="C73" s="9"/>
      <c r="D73" s="12" t="s">
        <v>69</v>
      </c>
      <c r="E73" s="14">
        <v>21229.93</v>
      </c>
      <c r="F73" s="14">
        <v>0</v>
      </c>
      <c r="G73" s="14">
        <v>2357882.08</v>
      </c>
      <c r="H73" s="14">
        <v>0</v>
      </c>
      <c r="I73" s="13">
        <f t="shared" si="0"/>
        <v>2379112.0100000002</v>
      </c>
    </row>
    <row r="74" spans="1:9" ht="15.75" x14ac:dyDescent="0.25">
      <c r="A74" s="8"/>
      <c r="B74" s="8"/>
      <c r="C74" s="9"/>
      <c r="D74" s="12" t="s">
        <v>70</v>
      </c>
      <c r="E74" s="14">
        <v>21657.440000000002</v>
      </c>
      <c r="F74" s="14">
        <v>102948.25869363995</v>
      </c>
      <c r="G74" s="14">
        <v>7099951.5999999996</v>
      </c>
      <c r="H74" s="14">
        <v>0</v>
      </c>
      <c r="I74" s="13">
        <f t="shared" ref="I74:I137" si="1">SUM(E74:H74)</f>
        <v>7224557.2986936392</v>
      </c>
    </row>
    <row r="75" spans="1:9" ht="15.75" x14ac:dyDescent="0.25">
      <c r="A75" s="8"/>
      <c r="B75" s="8"/>
      <c r="C75" s="9"/>
      <c r="D75" s="12" t="s">
        <v>71</v>
      </c>
      <c r="E75" s="14">
        <v>644262.15</v>
      </c>
      <c r="F75" s="14">
        <v>400083.52256884275</v>
      </c>
      <c r="G75" s="14">
        <v>14108142.279999997</v>
      </c>
      <c r="H75" s="14">
        <v>0</v>
      </c>
      <c r="I75" s="13">
        <f t="shared" si="1"/>
        <v>15152487.95256884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3757986.85</v>
      </c>
      <c r="H76" s="14">
        <v>0</v>
      </c>
      <c r="I76" s="13">
        <f t="shared" si="1"/>
        <v>3757986.85</v>
      </c>
    </row>
    <row r="77" spans="1:9" ht="15.75" x14ac:dyDescent="0.25">
      <c r="A77" s="8"/>
      <c r="B77" s="8"/>
      <c r="C77" s="9"/>
      <c r="D77" s="12" t="s">
        <v>73</v>
      </c>
      <c r="E77" s="14">
        <v>98746.1</v>
      </c>
      <c r="F77" s="14">
        <v>1984157.2421829998</v>
      </c>
      <c r="G77" s="14">
        <v>243802.43</v>
      </c>
      <c r="H77" s="14">
        <v>0</v>
      </c>
      <c r="I77" s="13">
        <f t="shared" si="1"/>
        <v>2326705.7721830001</v>
      </c>
    </row>
    <row r="78" spans="1:9" ht="15.75" x14ac:dyDescent="0.25">
      <c r="A78" s="8"/>
      <c r="B78" s="8"/>
      <c r="C78" s="9"/>
      <c r="D78" s="12" t="s">
        <v>74</v>
      </c>
      <c r="E78" s="14">
        <v>369942.83999999997</v>
      </c>
      <c r="F78" s="14">
        <v>2013473.63373152</v>
      </c>
      <c r="G78" s="14">
        <v>346696.35999999993</v>
      </c>
      <c r="H78" s="14">
        <v>0</v>
      </c>
      <c r="I78" s="13">
        <f t="shared" si="1"/>
        <v>2730112.83373152</v>
      </c>
    </row>
    <row r="79" spans="1:9" ht="15.75" x14ac:dyDescent="0.25">
      <c r="A79" s="8"/>
      <c r="B79" s="8"/>
      <c r="C79" s="9"/>
      <c r="D79" s="12" t="s">
        <v>75</v>
      </c>
      <c r="E79" s="14">
        <v>215844.06999999998</v>
      </c>
      <c r="F79" s="14">
        <v>1130538.9157103384</v>
      </c>
      <c r="G79" s="14">
        <v>387893.63</v>
      </c>
      <c r="H79" s="14">
        <v>0</v>
      </c>
      <c r="I79" s="13">
        <f t="shared" si="1"/>
        <v>1734276.6157103386</v>
      </c>
    </row>
    <row r="80" spans="1:9" ht="15.75" x14ac:dyDescent="0.25">
      <c r="A80" s="8"/>
      <c r="B80" s="8"/>
      <c r="C80" s="9"/>
      <c r="D80" s="12" t="s">
        <v>76</v>
      </c>
      <c r="E80" s="14">
        <v>213039.90000000002</v>
      </c>
      <c r="F80" s="14">
        <v>597526.01076538675</v>
      </c>
      <c r="G80" s="14">
        <v>70205.970000000016</v>
      </c>
      <c r="H80" s="14">
        <v>0</v>
      </c>
      <c r="I80" s="13">
        <f t="shared" si="1"/>
        <v>880771.88076538674</v>
      </c>
    </row>
    <row r="81" spans="1:9" ht="15.75" x14ac:dyDescent="0.25">
      <c r="A81" s="8"/>
      <c r="B81" s="8"/>
      <c r="C81" s="9"/>
      <c r="D81" s="12" t="s">
        <v>77</v>
      </c>
      <c r="E81" s="14">
        <v>1038283.2599999999</v>
      </c>
      <c r="F81" s="14">
        <v>3605370.7392298458</v>
      </c>
      <c r="G81" s="14">
        <v>842906.18</v>
      </c>
      <c r="H81" s="14">
        <v>0</v>
      </c>
      <c r="I81" s="13">
        <f t="shared" si="1"/>
        <v>5486560.1792298453</v>
      </c>
    </row>
    <row r="82" spans="1:9" ht="15.75" x14ac:dyDescent="0.25">
      <c r="A82" s="8"/>
      <c r="B82" s="8"/>
      <c r="C82" s="9"/>
      <c r="D82" s="12" t="s">
        <v>78</v>
      </c>
      <c r="E82" s="14">
        <v>646299.31999999995</v>
      </c>
      <c r="F82" s="14">
        <v>2498932.6244785818</v>
      </c>
      <c r="G82" s="14">
        <v>305571.39</v>
      </c>
      <c r="H82" s="14">
        <v>0</v>
      </c>
      <c r="I82" s="13">
        <f t="shared" si="1"/>
        <v>3450803.3344785818</v>
      </c>
    </row>
    <row r="83" spans="1:9" ht="15.75" x14ac:dyDescent="0.25">
      <c r="A83" s="8"/>
      <c r="B83" s="8"/>
      <c r="C83" s="9"/>
      <c r="D83" s="12" t="s">
        <v>79</v>
      </c>
      <c r="E83" s="14">
        <v>266732.21999999997</v>
      </c>
      <c r="F83" s="14">
        <v>1026295.2815761826</v>
      </c>
      <c r="G83" s="14">
        <v>727052.50999999989</v>
      </c>
      <c r="H83" s="14">
        <v>0</v>
      </c>
      <c r="I83" s="13">
        <f t="shared" si="1"/>
        <v>2020080.0115761822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6454342.0599999996</v>
      </c>
      <c r="H84" s="14">
        <v>0</v>
      </c>
      <c r="I84" s="13">
        <f t="shared" si="1"/>
        <v>6454342.0599999996</v>
      </c>
    </row>
    <row r="85" spans="1:9" ht="15.75" x14ac:dyDescent="0.25">
      <c r="A85" s="8"/>
      <c r="B85" s="8"/>
      <c r="C85" s="9"/>
      <c r="D85" s="12" t="s">
        <v>81</v>
      </c>
      <c r="E85" s="14">
        <v>544299.56000000006</v>
      </c>
      <c r="F85" s="14">
        <v>319293.00167350285</v>
      </c>
      <c r="G85" s="14">
        <v>1998233.3699999999</v>
      </c>
      <c r="H85" s="14">
        <v>0</v>
      </c>
      <c r="I85" s="13">
        <f t="shared" si="1"/>
        <v>2861825.9316735025</v>
      </c>
    </row>
    <row r="86" spans="1:9" ht="15.75" x14ac:dyDescent="0.25">
      <c r="A86" s="8"/>
      <c r="B86" s="8"/>
      <c r="C86" s="9"/>
      <c r="D86" s="12" t="s">
        <v>82</v>
      </c>
      <c r="E86" s="14">
        <v>234822.68999999994</v>
      </c>
      <c r="F86" s="14">
        <v>1326038.3407461082</v>
      </c>
      <c r="G86" s="14">
        <v>153687.56</v>
      </c>
      <c r="H86" s="14">
        <v>0</v>
      </c>
      <c r="I86" s="13">
        <f t="shared" si="1"/>
        <v>1714548.5907461082</v>
      </c>
    </row>
    <row r="87" spans="1:9" ht="15.75" x14ac:dyDescent="0.25">
      <c r="A87" s="8"/>
      <c r="B87" s="8"/>
      <c r="C87" s="9"/>
      <c r="D87" s="12" t="s">
        <v>83</v>
      </c>
      <c r="E87" s="14">
        <v>140267.86000000002</v>
      </c>
      <c r="F87" s="14">
        <v>1746319.493538786</v>
      </c>
      <c r="G87" s="14">
        <v>132089.18000000002</v>
      </c>
      <c r="H87" s="14">
        <v>0</v>
      </c>
      <c r="I87" s="13">
        <f t="shared" si="1"/>
        <v>2018676.533538786</v>
      </c>
    </row>
    <row r="88" spans="1:9" ht="15.75" x14ac:dyDescent="0.25">
      <c r="A88" s="8"/>
      <c r="B88" s="8"/>
      <c r="C88" s="9"/>
      <c r="D88" s="12" t="s">
        <v>84</v>
      </c>
      <c r="E88" s="14">
        <v>85694.73000000001</v>
      </c>
      <c r="F88" s="14">
        <v>0</v>
      </c>
      <c r="G88" s="14">
        <v>2453543.7500000005</v>
      </c>
      <c r="H88" s="14">
        <v>0</v>
      </c>
      <c r="I88" s="13">
        <f t="shared" si="1"/>
        <v>2539238.4800000004</v>
      </c>
    </row>
    <row r="89" spans="1:9" ht="15.75" x14ac:dyDescent="0.25">
      <c r="A89" s="8"/>
      <c r="B89" s="8"/>
      <c r="C89" s="9"/>
      <c r="D89" s="12" t="s">
        <v>85</v>
      </c>
      <c r="E89" s="14">
        <v>323448.28999999998</v>
      </c>
      <c r="F89" s="14">
        <v>1712435.199121078</v>
      </c>
      <c r="G89" s="14">
        <v>388929.03</v>
      </c>
      <c r="H89" s="14">
        <v>0</v>
      </c>
      <c r="I89" s="13">
        <f t="shared" si="1"/>
        <v>2424812.5191210778</v>
      </c>
    </row>
    <row r="90" spans="1:9" ht="15.75" x14ac:dyDescent="0.25">
      <c r="A90" s="8"/>
      <c r="B90" s="8"/>
      <c r="C90" s="9"/>
      <c r="D90" s="12" t="s">
        <v>86</v>
      </c>
      <c r="E90" s="14">
        <v>118062.08</v>
      </c>
      <c r="F90" s="14">
        <v>443103.6227249268</v>
      </c>
      <c r="G90" s="14">
        <v>334427.27999999997</v>
      </c>
      <c r="H90" s="14">
        <v>0</v>
      </c>
      <c r="I90" s="13">
        <f t="shared" si="1"/>
        <v>895592.98272492667</v>
      </c>
    </row>
    <row r="91" spans="1:9" ht="15.75" x14ac:dyDescent="0.25">
      <c r="A91" s="8"/>
      <c r="B91" s="8"/>
      <c r="C91" s="9"/>
      <c r="D91" s="12" t="s">
        <v>87</v>
      </c>
      <c r="E91" s="14">
        <v>248952.68000000002</v>
      </c>
      <c r="F91" s="14">
        <v>1010648.5098078445</v>
      </c>
      <c r="G91" s="14">
        <v>770804.37999999989</v>
      </c>
      <c r="H91" s="14">
        <v>0</v>
      </c>
      <c r="I91" s="13">
        <f t="shared" si="1"/>
        <v>2030405.5698078445</v>
      </c>
    </row>
    <row r="92" spans="1:9" ht="15.75" x14ac:dyDescent="0.25">
      <c r="A92" s="8"/>
      <c r="B92" s="8"/>
      <c r="C92" s="9"/>
      <c r="D92" s="12" t="s">
        <v>88</v>
      </c>
      <c r="E92" s="14">
        <v>179192.68</v>
      </c>
      <c r="F92" s="14">
        <v>139440.34840607093</v>
      </c>
      <c r="G92" s="14">
        <v>2055491.0099999998</v>
      </c>
      <c r="H92" s="14">
        <v>0</v>
      </c>
      <c r="I92" s="13">
        <f t="shared" si="1"/>
        <v>2374124.0384060708</v>
      </c>
    </row>
    <row r="93" spans="1:9" ht="15.75" x14ac:dyDescent="0.25">
      <c r="A93" s="8"/>
      <c r="B93" s="8"/>
      <c r="C93" s="9"/>
      <c r="D93" s="12" t="s">
        <v>89</v>
      </c>
      <c r="E93" s="14">
        <v>492039.55999999994</v>
      </c>
      <c r="F93" s="14">
        <v>1166383.3177025116</v>
      </c>
      <c r="G93" s="14">
        <v>296322.28999999998</v>
      </c>
      <c r="H93" s="14">
        <v>0</v>
      </c>
      <c r="I93" s="13">
        <f t="shared" si="1"/>
        <v>1954745.1677025114</v>
      </c>
    </row>
    <row r="94" spans="1:9" ht="15.75" x14ac:dyDescent="0.25">
      <c r="A94" s="8"/>
      <c r="B94" s="8"/>
      <c r="C94" s="9"/>
      <c r="D94" s="12" t="s">
        <v>90</v>
      </c>
      <c r="E94" s="14">
        <v>0</v>
      </c>
      <c r="F94" s="14">
        <v>0</v>
      </c>
      <c r="G94" s="14">
        <v>365291.68</v>
      </c>
      <c r="H94" s="14">
        <v>0</v>
      </c>
      <c r="I94" s="13">
        <f t="shared" si="1"/>
        <v>365291.68</v>
      </c>
    </row>
    <row r="95" spans="1:9" ht="15.75" x14ac:dyDescent="0.25">
      <c r="A95" s="8"/>
      <c r="B95" s="8"/>
      <c r="C95" s="9"/>
      <c r="D95" s="12" t="s">
        <v>91</v>
      </c>
      <c r="E95" s="14">
        <v>84633.17</v>
      </c>
      <c r="F95" s="14">
        <v>35844.401992172978</v>
      </c>
      <c r="G95" s="14">
        <v>2395469.0400000005</v>
      </c>
      <c r="H95" s="14">
        <v>0</v>
      </c>
      <c r="I95" s="13">
        <f t="shared" si="1"/>
        <v>2515946.6119921734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4274427.8499999996</v>
      </c>
      <c r="H96" s="14">
        <v>0</v>
      </c>
      <c r="I96" s="13">
        <f t="shared" si="1"/>
        <v>4274427.8499999996</v>
      </c>
    </row>
    <row r="97" spans="1:9" ht="15.75" x14ac:dyDescent="0.25">
      <c r="A97" s="8"/>
      <c r="B97" s="8"/>
      <c r="C97" s="9"/>
      <c r="D97" s="12" t="s">
        <v>93</v>
      </c>
      <c r="E97" s="14">
        <v>198248.34000000003</v>
      </c>
      <c r="F97" s="14">
        <v>1609486.9404274384</v>
      </c>
      <c r="G97" s="14">
        <v>315852.23</v>
      </c>
      <c r="H97" s="14">
        <v>0</v>
      </c>
      <c r="I97" s="13">
        <f t="shared" si="1"/>
        <v>2123587.5104274387</v>
      </c>
    </row>
    <row r="98" spans="1:9" ht="15.75" x14ac:dyDescent="0.25">
      <c r="A98" s="8"/>
      <c r="B98" s="8"/>
      <c r="C98" s="9"/>
      <c r="D98" s="12" t="s">
        <v>94</v>
      </c>
      <c r="E98" s="14">
        <v>703776.07000000007</v>
      </c>
      <c r="F98" s="14">
        <v>2117086.6245591086</v>
      </c>
      <c r="G98" s="14">
        <v>2541295.1800000002</v>
      </c>
      <c r="H98" s="14">
        <v>0</v>
      </c>
      <c r="I98" s="13">
        <f t="shared" si="1"/>
        <v>5362157.8745591082</v>
      </c>
    </row>
    <row r="99" spans="1:9" ht="15.75" x14ac:dyDescent="0.25">
      <c r="A99" s="8"/>
      <c r="B99" s="8"/>
      <c r="C99" s="9"/>
      <c r="D99" s="12" t="s">
        <v>95</v>
      </c>
      <c r="E99" s="14">
        <v>689055.19999999984</v>
      </c>
      <c r="F99" s="14">
        <v>4034122.9656269513</v>
      </c>
      <c r="G99" s="14">
        <v>906098.20000000007</v>
      </c>
      <c r="H99" s="14">
        <v>0</v>
      </c>
      <c r="I99" s="13">
        <f t="shared" si="1"/>
        <v>5629276.3656269517</v>
      </c>
    </row>
    <row r="100" spans="1:9" ht="15.75" x14ac:dyDescent="0.25">
      <c r="A100" s="8"/>
      <c r="B100" s="8"/>
      <c r="C100" s="9"/>
      <c r="D100" s="12" t="s">
        <v>96</v>
      </c>
      <c r="E100" s="14">
        <v>679229.58999999985</v>
      </c>
      <c r="F100" s="14">
        <v>4146854.7177792247</v>
      </c>
      <c r="G100" s="14">
        <v>1957984.17</v>
      </c>
      <c r="H100" s="14">
        <v>0</v>
      </c>
      <c r="I100" s="13">
        <f t="shared" si="1"/>
        <v>6784068.4777792245</v>
      </c>
    </row>
    <row r="101" spans="1:9" ht="15.75" x14ac:dyDescent="0.25">
      <c r="A101" s="8"/>
      <c r="B101" s="8"/>
      <c r="C101" s="9"/>
      <c r="D101" s="12" t="s">
        <v>97</v>
      </c>
      <c r="E101" s="14">
        <v>55476.119999999995</v>
      </c>
      <c r="F101" s="14">
        <v>5416169.2497616857</v>
      </c>
      <c r="G101" s="14">
        <v>21382.010000000002</v>
      </c>
      <c r="H101" s="14">
        <v>0</v>
      </c>
      <c r="I101" s="13">
        <f t="shared" si="1"/>
        <v>5493027.3797616856</v>
      </c>
    </row>
    <row r="102" spans="1:9" ht="15.75" x14ac:dyDescent="0.25">
      <c r="A102" s="8"/>
      <c r="B102" s="8"/>
      <c r="C102" s="9"/>
      <c r="D102" s="12" t="s">
        <v>98</v>
      </c>
      <c r="E102" s="14">
        <v>672899.55</v>
      </c>
      <c r="F102" s="14">
        <v>2343845.5043041729</v>
      </c>
      <c r="G102" s="14">
        <v>782128.80999999982</v>
      </c>
      <c r="H102" s="14">
        <v>0</v>
      </c>
      <c r="I102" s="13">
        <f t="shared" si="1"/>
        <v>3798873.8643041728</v>
      </c>
    </row>
    <row r="103" spans="1:9" ht="15.75" x14ac:dyDescent="0.25">
      <c r="A103" s="8"/>
      <c r="B103" s="8"/>
      <c r="C103" s="9"/>
      <c r="D103" s="12" t="s">
        <v>99</v>
      </c>
      <c r="E103" s="14">
        <v>472396.71</v>
      </c>
      <c r="F103" s="14">
        <v>739574.15446618071</v>
      </c>
      <c r="G103" s="14">
        <v>128371.14000000001</v>
      </c>
      <c r="H103" s="14">
        <v>0</v>
      </c>
      <c r="I103" s="13">
        <f t="shared" si="1"/>
        <v>1340342.0044661807</v>
      </c>
    </row>
    <row r="104" spans="1:9" ht="15.75" x14ac:dyDescent="0.25">
      <c r="A104" s="8"/>
      <c r="B104" s="8"/>
      <c r="C104" s="9"/>
      <c r="D104" s="12" t="s">
        <v>100</v>
      </c>
      <c r="E104" s="14">
        <v>1289850.6400000001</v>
      </c>
      <c r="F104" s="14">
        <v>1351451.5615593893</v>
      </c>
      <c r="G104" s="14">
        <v>1886159.55</v>
      </c>
      <c r="H104" s="14">
        <v>0</v>
      </c>
      <c r="I104" s="13">
        <f t="shared" si="1"/>
        <v>4527461.7515593898</v>
      </c>
    </row>
    <row r="105" spans="1:9" ht="15.75" x14ac:dyDescent="0.25">
      <c r="A105" s="8"/>
      <c r="B105" s="8"/>
      <c r="C105" s="9"/>
      <c r="D105" s="12" t="s">
        <v>101</v>
      </c>
      <c r="E105" s="14">
        <v>203233.28000000003</v>
      </c>
      <c r="F105" s="14">
        <v>2006962.6677015577</v>
      </c>
      <c r="G105" s="14">
        <v>30539.059999999998</v>
      </c>
      <c r="H105" s="14">
        <v>0</v>
      </c>
      <c r="I105" s="13">
        <f t="shared" si="1"/>
        <v>2240735.0077015576</v>
      </c>
    </row>
    <row r="106" spans="1:9" ht="15.75" x14ac:dyDescent="0.25">
      <c r="A106" s="8"/>
      <c r="B106" s="8"/>
      <c r="C106" s="9"/>
      <c r="D106" s="12" t="s">
        <v>102</v>
      </c>
      <c r="E106" s="14">
        <v>177054.22999999998</v>
      </c>
      <c r="F106" s="14">
        <v>123810.62105142394</v>
      </c>
      <c r="G106" s="14">
        <v>4345811.5599999996</v>
      </c>
      <c r="H106" s="14">
        <v>0</v>
      </c>
      <c r="I106" s="13">
        <f t="shared" si="1"/>
        <v>4646676.4110514233</v>
      </c>
    </row>
    <row r="107" spans="1:9" ht="15.75" x14ac:dyDescent="0.25">
      <c r="A107" s="8"/>
      <c r="B107" s="8"/>
      <c r="C107" s="9"/>
      <c r="D107" s="12" t="s">
        <v>103</v>
      </c>
      <c r="E107" s="14">
        <v>46067.77</v>
      </c>
      <c r="F107" s="14">
        <v>0</v>
      </c>
      <c r="G107" s="14">
        <v>1892076.9799999997</v>
      </c>
      <c r="H107" s="14">
        <v>0</v>
      </c>
      <c r="I107" s="13">
        <f t="shared" si="1"/>
        <v>1938144.7499999998</v>
      </c>
    </row>
    <row r="108" spans="1:9" ht="15.75" x14ac:dyDescent="0.25">
      <c r="A108" s="8"/>
      <c r="B108" s="8"/>
      <c r="C108" s="9"/>
      <c r="D108" s="12" t="s">
        <v>104</v>
      </c>
      <c r="E108" s="14">
        <v>61430.31</v>
      </c>
      <c r="F108" s="14">
        <v>0</v>
      </c>
      <c r="G108" s="14">
        <v>264983.89</v>
      </c>
      <c r="H108" s="14">
        <v>0</v>
      </c>
      <c r="I108" s="13">
        <f t="shared" si="1"/>
        <v>326414.2</v>
      </c>
    </row>
    <row r="109" spans="1:9" ht="15.75" x14ac:dyDescent="0.25">
      <c r="A109" s="8"/>
      <c r="B109" s="8"/>
      <c r="C109" s="9"/>
      <c r="D109" s="12" t="s">
        <v>105</v>
      </c>
      <c r="E109" s="14">
        <v>91496.82</v>
      </c>
      <c r="F109" s="14">
        <v>3321922.1395485164</v>
      </c>
      <c r="G109" s="14">
        <v>283013.23000000004</v>
      </c>
      <c r="H109" s="14">
        <v>0</v>
      </c>
      <c r="I109" s="13">
        <f t="shared" si="1"/>
        <v>3696432.1895485162</v>
      </c>
    </row>
    <row r="110" spans="1:9" ht="15.75" x14ac:dyDescent="0.25">
      <c r="A110" s="8"/>
      <c r="B110" s="8"/>
      <c r="C110" s="9"/>
      <c r="D110" s="12" t="s">
        <v>106</v>
      </c>
      <c r="E110" s="14">
        <v>93302.97</v>
      </c>
      <c r="F110" s="14">
        <v>892053.47934586648</v>
      </c>
      <c r="G110" s="14">
        <v>244957.41</v>
      </c>
      <c r="H110" s="14">
        <v>0</v>
      </c>
      <c r="I110" s="13">
        <f t="shared" si="1"/>
        <v>1230313.8593458664</v>
      </c>
    </row>
    <row r="111" spans="1:9" ht="15.75" x14ac:dyDescent="0.25">
      <c r="A111" s="8"/>
      <c r="B111" s="8"/>
      <c r="C111" s="9"/>
      <c r="D111" s="12" t="s">
        <v>107</v>
      </c>
      <c r="E111" s="14">
        <v>8776.3700000000008</v>
      </c>
      <c r="F111" s="14">
        <v>12374.244339665993</v>
      </c>
      <c r="G111" s="14">
        <v>5233348.4099999983</v>
      </c>
      <c r="H111" s="14">
        <v>0</v>
      </c>
      <c r="I111" s="13">
        <f t="shared" si="1"/>
        <v>5254499.0243396647</v>
      </c>
    </row>
    <row r="112" spans="1:9" ht="15.75" x14ac:dyDescent="0.25">
      <c r="A112" s="8"/>
      <c r="B112" s="8"/>
      <c r="C112" s="9"/>
      <c r="D112" s="12" t="s">
        <v>108</v>
      </c>
      <c r="E112" s="14">
        <v>326883.69</v>
      </c>
      <c r="F112" s="14">
        <v>847090.31602900859</v>
      </c>
      <c r="G112" s="14">
        <v>425578.89</v>
      </c>
      <c r="H112" s="14">
        <v>0</v>
      </c>
      <c r="I112" s="13">
        <f t="shared" si="1"/>
        <v>1599552.8960290086</v>
      </c>
    </row>
    <row r="113" spans="1:9" ht="15.75" x14ac:dyDescent="0.25">
      <c r="A113" s="8"/>
      <c r="B113" s="8"/>
      <c r="C113" s="9"/>
      <c r="D113" s="12" t="s">
        <v>109</v>
      </c>
      <c r="E113" s="14">
        <v>244733.92</v>
      </c>
      <c r="F113" s="14">
        <v>2039551.5866787499</v>
      </c>
      <c r="G113" s="14">
        <v>311845.34000000003</v>
      </c>
      <c r="H113" s="14">
        <v>0</v>
      </c>
      <c r="I113" s="13">
        <f t="shared" si="1"/>
        <v>2596130.8466787497</v>
      </c>
    </row>
    <row r="114" spans="1:9" ht="15.75" x14ac:dyDescent="0.25">
      <c r="A114" s="8"/>
      <c r="B114" s="8"/>
      <c r="C114" s="9"/>
      <c r="D114" s="12" t="s">
        <v>110</v>
      </c>
      <c r="E114" s="14">
        <v>181975.51</v>
      </c>
      <c r="F114" s="14">
        <v>2339294.6458486761</v>
      </c>
      <c r="G114" s="14">
        <v>491966.78000000009</v>
      </c>
      <c r="H114" s="14">
        <v>0</v>
      </c>
      <c r="I114" s="13">
        <f t="shared" si="1"/>
        <v>3013236.9358486766</v>
      </c>
    </row>
    <row r="115" spans="1:9" ht="15.75" x14ac:dyDescent="0.25">
      <c r="A115" s="8"/>
      <c r="B115" s="8"/>
      <c r="C115" s="9"/>
      <c r="D115" s="12" t="s">
        <v>111</v>
      </c>
      <c r="E115" s="14">
        <v>557636.81999999995</v>
      </c>
      <c r="F115" s="14">
        <v>1156616.8686575685</v>
      </c>
      <c r="G115" s="14">
        <v>655985.69000000006</v>
      </c>
      <c r="H115" s="14">
        <v>0</v>
      </c>
      <c r="I115" s="13">
        <f t="shared" si="1"/>
        <v>2370239.3786575682</v>
      </c>
    </row>
    <row r="116" spans="1:9" ht="15.75" x14ac:dyDescent="0.25">
      <c r="A116" s="8"/>
      <c r="B116" s="8"/>
      <c r="C116" s="9"/>
      <c r="D116" s="12" t="s">
        <v>112</v>
      </c>
      <c r="E116" s="14">
        <v>293402.28000000003</v>
      </c>
      <c r="F116" s="14">
        <v>1501970.7788646102</v>
      </c>
      <c r="G116" s="14">
        <v>153305.99</v>
      </c>
      <c r="H116" s="14">
        <v>0</v>
      </c>
      <c r="I116" s="13">
        <f t="shared" si="1"/>
        <v>1948679.0488646103</v>
      </c>
    </row>
    <row r="117" spans="1:9" ht="15.75" x14ac:dyDescent="0.25">
      <c r="A117" s="8"/>
      <c r="B117" s="8"/>
      <c r="C117" s="9"/>
      <c r="D117" s="12" t="s">
        <v>113</v>
      </c>
      <c r="E117" s="14">
        <v>158538.88999999998</v>
      </c>
      <c r="F117" s="14">
        <v>1159872.3516725495</v>
      </c>
      <c r="G117" s="14">
        <v>556853.73</v>
      </c>
      <c r="H117" s="14">
        <v>0</v>
      </c>
      <c r="I117" s="13">
        <f t="shared" si="1"/>
        <v>1875264.9716725494</v>
      </c>
    </row>
    <row r="118" spans="1:9" ht="15.75" x14ac:dyDescent="0.25">
      <c r="A118" s="8"/>
      <c r="B118" s="8"/>
      <c r="C118" s="9"/>
      <c r="D118" s="12" t="s">
        <v>114</v>
      </c>
      <c r="E118" s="14">
        <v>243400.06999999992</v>
      </c>
      <c r="F118" s="14">
        <v>1811480.2870794791</v>
      </c>
      <c r="G118" s="14">
        <v>493322.76000000007</v>
      </c>
      <c r="H118" s="14">
        <v>0</v>
      </c>
      <c r="I118" s="13">
        <f t="shared" si="1"/>
        <v>2548203.1170794792</v>
      </c>
    </row>
    <row r="119" spans="1:9" ht="15.75" x14ac:dyDescent="0.25">
      <c r="A119" s="8"/>
      <c r="B119" s="8"/>
      <c r="C119" s="9"/>
      <c r="D119" s="12" t="s">
        <v>115</v>
      </c>
      <c r="E119" s="14">
        <v>15590.38</v>
      </c>
      <c r="F119" s="14">
        <v>175932.43811850192</v>
      </c>
      <c r="G119" s="14">
        <v>244788.47999999998</v>
      </c>
      <c r="H119" s="14">
        <v>0</v>
      </c>
      <c r="I119" s="13">
        <f t="shared" si="1"/>
        <v>436311.2981185019</v>
      </c>
    </row>
    <row r="120" spans="1:9" ht="15.75" x14ac:dyDescent="0.25">
      <c r="A120" s="8"/>
      <c r="B120" s="8"/>
      <c r="C120" s="9"/>
      <c r="D120" s="12" t="s">
        <v>116</v>
      </c>
      <c r="E120" s="14">
        <v>601880.08000000007</v>
      </c>
      <c r="F120" s="14">
        <v>768907.59042839159</v>
      </c>
      <c r="G120" s="14">
        <v>802294.34</v>
      </c>
      <c r="H120" s="14">
        <v>0</v>
      </c>
      <c r="I120" s="13">
        <f t="shared" si="1"/>
        <v>2173082.0104283914</v>
      </c>
    </row>
    <row r="121" spans="1:9" ht="15.75" x14ac:dyDescent="0.25">
      <c r="A121" s="8"/>
      <c r="B121" s="8"/>
      <c r="C121" s="9"/>
      <c r="D121" s="12" t="s">
        <v>117</v>
      </c>
      <c r="E121" s="14">
        <v>273692.23999999993</v>
      </c>
      <c r="F121" s="14">
        <v>1179422.2941761264</v>
      </c>
      <c r="G121" s="14">
        <v>314395.78999999998</v>
      </c>
      <c r="H121" s="14">
        <v>0</v>
      </c>
      <c r="I121" s="13">
        <f t="shared" si="1"/>
        <v>1767510.3241761264</v>
      </c>
    </row>
    <row r="122" spans="1:9" ht="15.75" x14ac:dyDescent="0.25">
      <c r="A122" s="8"/>
      <c r="B122" s="8"/>
      <c r="C122" s="9"/>
      <c r="D122" s="12" t="s">
        <v>118</v>
      </c>
      <c r="E122" s="14">
        <v>145850.11000000002</v>
      </c>
      <c r="F122" s="14">
        <v>841227.03771930456</v>
      </c>
      <c r="G122" s="14">
        <v>478660.18000000005</v>
      </c>
      <c r="H122" s="14">
        <v>0</v>
      </c>
      <c r="I122" s="13">
        <f t="shared" si="1"/>
        <v>1465737.3277193047</v>
      </c>
    </row>
    <row r="123" spans="1:9" ht="15.75" x14ac:dyDescent="0.25">
      <c r="A123" s="8"/>
      <c r="B123" s="8"/>
      <c r="C123" s="9"/>
      <c r="D123" s="12" t="s">
        <v>119</v>
      </c>
      <c r="E123" s="14">
        <v>206682.06</v>
      </c>
      <c r="F123" s="14">
        <v>1545621.5223272613</v>
      </c>
      <c r="G123" s="14">
        <v>173257.57</v>
      </c>
      <c r="H123" s="14">
        <v>0</v>
      </c>
      <c r="I123" s="13">
        <f t="shared" si="1"/>
        <v>1925561.1523272614</v>
      </c>
    </row>
    <row r="124" spans="1:9" ht="15.75" x14ac:dyDescent="0.25">
      <c r="A124" s="8"/>
      <c r="B124" s="8"/>
      <c r="C124" s="9"/>
      <c r="D124" s="12" t="s">
        <v>120</v>
      </c>
      <c r="E124" s="14">
        <v>25278.730000000003</v>
      </c>
      <c r="F124" s="14">
        <v>0</v>
      </c>
      <c r="G124" s="14">
        <v>1845228.6600000001</v>
      </c>
      <c r="H124" s="14">
        <v>794822.64500000002</v>
      </c>
      <c r="I124" s="13">
        <f t="shared" si="1"/>
        <v>2665330.0350000001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5669422.8300000001</v>
      </c>
      <c r="H125" s="14">
        <v>188207.62999999998</v>
      </c>
      <c r="I125" s="13">
        <f t="shared" si="1"/>
        <v>5857630.46</v>
      </c>
    </row>
    <row r="126" spans="1:9" ht="15.75" x14ac:dyDescent="0.25">
      <c r="A126" s="8"/>
      <c r="B126" s="8"/>
      <c r="C126" s="9"/>
      <c r="D126" s="12" t="s">
        <v>122</v>
      </c>
      <c r="E126" s="14">
        <v>4602.58</v>
      </c>
      <c r="F126" s="14">
        <v>0</v>
      </c>
      <c r="G126" s="14">
        <v>2512561.31</v>
      </c>
      <c r="H126" s="14">
        <v>0</v>
      </c>
      <c r="I126" s="13">
        <f t="shared" si="1"/>
        <v>2517163.89</v>
      </c>
    </row>
    <row r="127" spans="1:9" ht="15.75" x14ac:dyDescent="0.25">
      <c r="A127" s="8"/>
      <c r="B127" s="8"/>
      <c r="C127" s="9"/>
      <c r="D127" s="12" t="s">
        <v>123</v>
      </c>
      <c r="E127" s="14">
        <v>228937.94999999998</v>
      </c>
      <c r="F127" s="14">
        <v>325803.96770346485</v>
      </c>
      <c r="G127" s="14">
        <v>1750667.88</v>
      </c>
      <c r="H127" s="14">
        <v>0</v>
      </c>
      <c r="I127" s="13">
        <f t="shared" si="1"/>
        <v>2305409.7977034645</v>
      </c>
    </row>
    <row r="128" spans="1:9" ht="15.75" x14ac:dyDescent="0.25">
      <c r="A128" s="8"/>
      <c r="B128" s="8"/>
      <c r="C128" s="9"/>
      <c r="D128" s="12" t="s">
        <v>124</v>
      </c>
      <c r="E128" s="14">
        <v>671192.30999999994</v>
      </c>
      <c r="F128" s="14">
        <v>931801.0520732787</v>
      </c>
      <c r="G128" s="14">
        <v>816837.60999999987</v>
      </c>
      <c r="H128" s="14">
        <v>0</v>
      </c>
      <c r="I128" s="13">
        <f t="shared" si="1"/>
        <v>2419830.9720732784</v>
      </c>
    </row>
    <row r="129" spans="1:9" ht="15.75" x14ac:dyDescent="0.25">
      <c r="A129" s="8"/>
      <c r="B129" s="8"/>
      <c r="C129" s="9"/>
      <c r="D129" s="12" t="s">
        <v>125</v>
      </c>
      <c r="E129" s="14">
        <v>285262.32</v>
      </c>
      <c r="F129" s="14">
        <v>491969.95677702373</v>
      </c>
      <c r="G129" s="14">
        <v>439469.54</v>
      </c>
      <c r="H129" s="14">
        <v>0</v>
      </c>
      <c r="I129" s="13">
        <f t="shared" si="1"/>
        <v>1216701.8167770237</v>
      </c>
    </row>
    <row r="130" spans="1:9" ht="15.75" x14ac:dyDescent="0.25">
      <c r="A130" s="8"/>
      <c r="B130" s="8"/>
      <c r="C130" s="9"/>
      <c r="D130" s="12" t="s">
        <v>126</v>
      </c>
      <c r="E130" s="14">
        <v>214990.12</v>
      </c>
      <c r="F130" s="14">
        <v>866640.25853258558</v>
      </c>
      <c r="G130" s="14">
        <v>147518.5</v>
      </c>
      <c r="H130" s="14">
        <v>0</v>
      </c>
      <c r="I130" s="13">
        <f t="shared" si="1"/>
        <v>1229148.8785325857</v>
      </c>
    </row>
    <row r="131" spans="1:9" ht="15.75" x14ac:dyDescent="0.25">
      <c r="A131" s="8"/>
      <c r="B131" s="8"/>
      <c r="C131" s="9"/>
      <c r="D131" s="12" t="s">
        <v>127</v>
      </c>
      <c r="E131" s="14">
        <v>941511.7699999999</v>
      </c>
      <c r="F131" s="14">
        <v>4736574.3870741334</v>
      </c>
      <c r="G131" s="14">
        <v>3506863.19</v>
      </c>
      <c r="H131" s="14">
        <v>0</v>
      </c>
      <c r="I131" s="13">
        <f t="shared" si="1"/>
        <v>9184949.3470741324</v>
      </c>
    </row>
    <row r="132" spans="1:9" ht="15.75" x14ac:dyDescent="0.25">
      <c r="A132" s="8"/>
      <c r="B132" s="8"/>
      <c r="C132" s="9"/>
      <c r="D132" s="12" t="s">
        <v>128</v>
      </c>
      <c r="E132" s="14">
        <v>192706.77999999997</v>
      </c>
      <c r="F132" s="14">
        <v>2906191.8452113355</v>
      </c>
      <c r="G132" s="14">
        <v>143781.76000000001</v>
      </c>
      <c r="H132" s="14">
        <v>0</v>
      </c>
      <c r="I132" s="13">
        <f t="shared" si="1"/>
        <v>3242680.3852113355</v>
      </c>
    </row>
    <row r="133" spans="1:9" ht="15.75" x14ac:dyDescent="0.25">
      <c r="A133" s="8"/>
      <c r="B133" s="8"/>
      <c r="C133" s="9"/>
      <c r="D133" s="12" t="s">
        <v>129</v>
      </c>
      <c r="E133" s="14">
        <v>184598.77</v>
      </c>
      <c r="F133" s="14">
        <v>0</v>
      </c>
      <c r="G133" s="14">
        <v>5502557.7100000009</v>
      </c>
      <c r="H133" s="14">
        <v>588047.87500000012</v>
      </c>
      <c r="I133" s="13">
        <f t="shared" si="1"/>
        <v>6275204.3550000004</v>
      </c>
    </row>
    <row r="134" spans="1:9" ht="15.75" x14ac:dyDescent="0.25">
      <c r="A134" s="8"/>
      <c r="B134" s="8"/>
      <c r="C134" s="9"/>
      <c r="D134" s="12" t="s">
        <v>130</v>
      </c>
      <c r="E134" s="14">
        <v>33606.39</v>
      </c>
      <c r="F134" s="14">
        <v>143360.56355500093</v>
      </c>
      <c r="G134" s="14">
        <v>17848.48</v>
      </c>
      <c r="H134" s="14">
        <v>0</v>
      </c>
      <c r="I134" s="13">
        <f t="shared" si="1"/>
        <v>194815.43355500096</v>
      </c>
    </row>
    <row r="135" spans="1:9" ht="15.75" x14ac:dyDescent="0.25">
      <c r="A135" s="8"/>
      <c r="B135" s="8"/>
      <c r="C135" s="9"/>
      <c r="D135" s="12" t="s">
        <v>131</v>
      </c>
      <c r="E135" s="14">
        <v>307924.99000000005</v>
      </c>
      <c r="F135" s="14">
        <v>1811480.2870794791</v>
      </c>
      <c r="G135" s="14">
        <v>179467.51</v>
      </c>
      <c r="H135" s="14">
        <v>0</v>
      </c>
      <c r="I135" s="13">
        <f t="shared" si="1"/>
        <v>2298872.7870794795</v>
      </c>
    </row>
    <row r="136" spans="1:9" ht="15.75" x14ac:dyDescent="0.25">
      <c r="A136" s="8"/>
      <c r="B136" s="8"/>
      <c r="C136" s="9"/>
      <c r="D136" s="12" t="s">
        <v>132</v>
      </c>
      <c r="E136" s="14">
        <v>649036.59999999986</v>
      </c>
      <c r="F136" s="14">
        <v>2189423.1162637128</v>
      </c>
      <c r="G136" s="14">
        <v>1322774.82</v>
      </c>
      <c r="H136" s="14">
        <v>0</v>
      </c>
      <c r="I136" s="13">
        <f t="shared" si="1"/>
        <v>4161234.5362637127</v>
      </c>
    </row>
    <row r="137" spans="1:9" ht="15.75" x14ac:dyDescent="0.25">
      <c r="A137" s="8"/>
      <c r="B137" s="8"/>
      <c r="C137" s="9"/>
      <c r="D137" s="12" t="s">
        <v>133</v>
      </c>
      <c r="E137" s="14">
        <v>1150912.3099999998</v>
      </c>
      <c r="F137" s="14">
        <v>3678354.9186547082</v>
      </c>
      <c r="G137" s="14">
        <v>1911598.6</v>
      </c>
      <c r="H137" s="14">
        <v>0</v>
      </c>
      <c r="I137" s="13">
        <f t="shared" si="1"/>
        <v>6740865.8286547083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3188993.3499999996</v>
      </c>
      <c r="H138" s="14">
        <v>0</v>
      </c>
      <c r="I138" s="13">
        <f t="shared" ref="I138:I144" si="2">SUM(E138:H138)</f>
        <v>3188993.3499999996</v>
      </c>
    </row>
    <row r="139" spans="1:9" ht="15.75" x14ac:dyDescent="0.25">
      <c r="A139" s="8"/>
      <c r="B139" s="8"/>
      <c r="C139" s="9"/>
      <c r="D139" s="12" t="s">
        <v>135</v>
      </c>
      <c r="E139" s="14">
        <v>40852.47</v>
      </c>
      <c r="F139" s="14">
        <v>515423.07001583977</v>
      </c>
      <c r="G139" s="14">
        <v>153486.43999999997</v>
      </c>
      <c r="H139" s="14">
        <v>0</v>
      </c>
      <c r="I139" s="13">
        <f t="shared" si="2"/>
        <v>709761.98001583968</v>
      </c>
    </row>
    <row r="140" spans="1:9" ht="15.75" x14ac:dyDescent="0.25">
      <c r="A140" s="8"/>
      <c r="B140" s="8"/>
      <c r="C140" s="9"/>
      <c r="D140" s="12" t="s">
        <v>136</v>
      </c>
      <c r="E140" s="14">
        <v>519792.58000000007</v>
      </c>
      <c r="F140" s="14">
        <v>3655549.4931361498</v>
      </c>
      <c r="G140" s="14">
        <v>804137.16999999993</v>
      </c>
      <c r="H140" s="14">
        <v>0</v>
      </c>
      <c r="I140" s="13">
        <f t="shared" si="2"/>
        <v>4979479.2431361498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3800055.8500000006</v>
      </c>
      <c r="H141" s="14">
        <v>135998.53</v>
      </c>
      <c r="I141" s="13">
        <f t="shared" si="2"/>
        <v>3936054.3800000004</v>
      </c>
    </row>
    <row r="142" spans="1:9" ht="15.75" x14ac:dyDescent="0.25">
      <c r="A142" s="8"/>
      <c r="B142" s="8"/>
      <c r="C142" s="9"/>
      <c r="D142" s="12" t="s">
        <v>138</v>
      </c>
      <c r="E142" s="14">
        <v>98173.97</v>
      </c>
      <c r="F142" s="14">
        <v>0</v>
      </c>
      <c r="G142" s="14">
        <v>1509792.6899999997</v>
      </c>
      <c r="H142" s="14">
        <v>0</v>
      </c>
      <c r="I142" s="13">
        <f t="shared" si="2"/>
        <v>1607966.6599999997</v>
      </c>
    </row>
    <row r="143" spans="1:9" ht="15.75" x14ac:dyDescent="0.25">
      <c r="A143" s="8"/>
      <c r="B143" s="8"/>
      <c r="C143" s="9"/>
      <c r="D143" s="12" t="s">
        <v>139</v>
      </c>
      <c r="E143" s="14">
        <v>58326.669999999991</v>
      </c>
      <c r="F143" s="14">
        <v>3378611.8594847824</v>
      </c>
      <c r="G143" s="14">
        <v>131300.94</v>
      </c>
      <c r="H143" s="14">
        <v>0</v>
      </c>
      <c r="I143" s="13">
        <f t="shared" si="2"/>
        <v>3568239.4694847823</v>
      </c>
    </row>
    <row r="144" spans="1:9" ht="15.75" x14ac:dyDescent="0.25">
      <c r="A144" s="8"/>
      <c r="B144" s="8"/>
      <c r="C144" s="9"/>
      <c r="D144" s="12" t="s">
        <v>140</v>
      </c>
      <c r="E144" s="14">
        <v>563639.02</v>
      </c>
      <c r="F144" s="14">
        <v>410514.70374773478</v>
      </c>
      <c r="G144" s="14">
        <v>1247878.23</v>
      </c>
      <c r="H144" s="14">
        <v>0</v>
      </c>
      <c r="I144" s="13">
        <f t="shared" si="2"/>
        <v>2222031.9537477349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50976589.100000001</v>
      </c>
      <c r="F145" s="22">
        <f>SUM(F10:F144)</f>
        <v>170436330.56852943</v>
      </c>
      <c r="G145" s="22">
        <f>SUM(G10:G144)</f>
        <v>192517499.37999988</v>
      </c>
      <c r="H145" s="22">
        <f>SUM(H10:H144)</f>
        <v>1707076.6800000002</v>
      </c>
      <c r="I145" s="22">
        <f>SUM(I10:I144)</f>
        <v>415637495.72852945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150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9436712.9600000009</v>
      </c>
      <c r="F10" s="14">
        <v>14765643.147583224</v>
      </c>
      <c r="G10" s="14">
        <v>587562.22</v>
      </c>
      <c r="H10" s="14">
        <v>0</v>
      </c>
      <c r="I10" s="13">
        <f t="shared" ref="I10:I73" si="0">SUM(E10:H10)</f>
        <v>24789918.327583224</v>
      </c>
    </row>
    <row r="11" spans="1:9" ht="15.75" x14ac:dyDescent="0.25">
      <c r="A11" s="8"/>
      <c r="B11" s="8"/>
      <c r="C11" s="9"/>
      <c r="D11" s="12" t="s">
        <v>7</v>
      </c>
      <c r="E11" s="14">
        <v>12865585.339999998</v>
      </c>
      <c r="F11" s="14">
        <v>8287616.319391489</v>
      </c>
      <c r="G11" s="14">
        <v>582704.79999999993</v>
      </c>
      <c r="H11" s="14">
        <v>0</v>
      </c>
      <c r="I11" s="13">
        <f t="shared" si="0"/>
        <v>21735906.459391486</v>
      </c>
    </row>
    <row r="12" spans="1:9" ht="15.75" x14ac:dyDescent="0.25">
      <c r="A12" s="8"/>
      <c r="B12" s="8"/>
      <c r="C12" s="9"/>
      <c r="D12" s="12" t="s">
        <v>8</v>
      </c>
      <c r="E12" s="14">
        <v>13968394.02</v>
      </c>
      <c r="F12" s="14">
        <v>3004524.2699238956</v>
      </c>
      <c r="G12" s="14">
        <v>328251.62</v>
      </c>
      <c r="H12" s="14">
        <v>0</v>
      </c>
      <c r="I12" s="13">
        <f t="shared" si="0"/>
        <v>17301169.909923896</v>
      </c>
    </row>
    <row r="13" spans="1:9" ht="15.75" x14ac:dyDescent="0.25">
      <c r="A13" s="8"/>
      <c r="B13" s="8"/>
      <c r="C13" s="9"/>
      <c r="D13" s="12" t="s">
        <v>9</v>
      </c>
      <c r="E13" s="14">
        <v>2657946.8899999997</v>
      </c>
      <c r="F13" s="14">
        <v>79491.369400103984</v>
      </c>
      <c r="G13" s="14">
        <v>4520922.34</v>
      </c>
      <c r="H13" s="14">
        <v>0</v>
      </c>
      <c r="I13" s="13">
        <f t="shared" si="0"/>
        <v>7258360.5994001031</v>
      </c>
    </row>
    <row r="14" spans="1:9" ht="15.75" x14ac:dyDescent="0.25">
      <c r="A14" s="8"/>
      <c r="B14" s="8"/>
      <c r="C14" s="9"/>
      <c r="D14" s="12" t="s">
        <v>10</v>
      </c>
      <c r="E14" s="14">
        <v>17990656.780000001</v>
      </c>
      <c r="F14" s="14">
        <v>3338360.2999154404</v>
      </c>
      <c r="G14" s="14">
        <v>680794.41</v>
      </c>
      <c r="H14" s="14">
        <v>0</v>
      </c>
      <c r="I14" s="13">
        <f t="shared" si="0"/>
        <v>22009811.489915442</v>
      </c>
    </row>
    <row r="15" spans="1:9" ht="15.75" x14ac:dyDescent="0.25">
      <c r="A15" s="8"/>
      <c r="B15" s="8"/>
      <c r="C15" s="9"/>
      <c r="D15" s="12" t="s">
        <v>11</v>
      </c>
      <c r="E15" s="14">
        <v>2349682.83</v>
      </c>
      <c r="F15" s="14">
        <v>18573.397558175999</v>
      </c>
      <c r="G15" s="14">
        <v>6216209.1400000015</v>
      </c>
      <c r="H15" s="14">
        <v>0</v>
      </c>
      <c r="I15" s="13">
        <f t="shared" si="0"/>
        <v>8584465.3675581776</v>
      </c>
    </row>
    <row r="16" spans="1:9" ht="15.75" x14ac:dyDescent="0.25">
      <c r="A16" s="8"/>
      <c r="B16" s="8"/>
      <c r="C16" s="9"/>
      <c r="D16" s="12" t="s">
        <v>12</v>
      </c>
      <c r="E16" s="14">
        <v>20190522.98</v>
      </c>
      <c r="F16" s="14">
        <v>15918164.048301384</v>
      </c>
      <c r="G16" s="14">
        <v>842757.70000000007</v>
      </c>
      <c r="H16" s="14">
        <v>0</v>
      </c>
      <c r="I16" s="13">
        <f t="shared" si="0"/>
        <v>36951444.728301391</v>
      </c>
    </row>
    <row r="17" spans="1:9" ht="15.75" x14ac:dyDescent="0.25">
      <c r="A17" s="8"/>
      <c r="B17" s="8"/>
      <c r="C17" s="9"/>
      <c r="D17" s="12" t="s">
        <v>13</v>
      </c>
      <c r="E17" s="14">
        <v>39614315.480000019</v>
      </c>
      <c r="F17" s="14">
        <v>15181604.088419687</v>
      </c>
      <c r="G17" s="14">
        <v>2083612.8399999999</v>
      </c>
      <c r="H17" s="14">
        <v>0</v>
      </c>
      <c r="I17" s="13">
        <f t="shared" si="0"/>
        <v>56879532.408419713</v>
      </c>
    </row>
    <row r="18" spans="1:9" ht="15.75" x14ac:dyDescent="0.25">
      <c r="A18" s="8"/>
      <c r="B18" s="8"/>
      <c r="C18" s="9"/>
      <c r="D18" s="12" t="s">
        <v>14</v>
      </c>
      <c r="E18" s="14">
        <v>5872683.1600000011</v>
      </c>
      <c r="F18" s="14">
        <v>1192301.2372793281</v>
      </c>
      <c r="G18" s="14">
        <v>10495471.809999997</v>
      </c>
      <c r="H18" s="14">
        <v>0</v>
      </c>
      <c r="I18" s="13">
        <f t="shared" si="0"/>
        <v>17560456.207279325</v>
      </c>
    </row>
    <row r="19" spans="1:9" ht="15.75" x14ac:dyDescent="0.25">
      <c r="A19" s="8"/>
      <c r="B19" s="8"/>
      <c r="C19" s="9"/>
      <c r="D19" s="12" t="s">
        <v>15</v>
      </c>
      <c r="E19" s="14">
        <v>37393940.160000004</v>
      </c>
      <c r="F19" s="14">
        <v>11379601.886772171</v>
      </c>
      <c r="G19" s="14">
        <v>1412225.4399999997</v>
      </c>
      <c r="H19" s="14">
        <v>0</v>
      </c>
      <c r="I19" s="13">
        <f t="shared" si="0"/>
        <v>50185767.486772172</v>
      </c>
    </row>
    <row r="20" spans="1:9" ht="15.75" x14ac:dyDescent="0.25">
      <c r="A20" s="8"/>
      <c r="B20" s="8"/>
      <c r="C20" s="9"/>
      <c r="D20" s="12" t="s">
        <v>16</v>
      </c>
      <c r="E20" s="14">
        <v>15764672.109999998</v>
      </c>
      <c r="F20" s="14">
        <v>3163507.0087241037</v>
      </c>
      <c r="G20" s="14">
        <v>663088.4</v>
      </c>
      <c r="H20" s="14">
        <v>0</v>
      </c>
      <c r="I20" s="13">
        <f t="shared" si="0"/>
        <v>19591267.518724099</v>
      </c>
    </row>
    <row r="21" spans="1:9" ht="15.75" x14ac:dyDescent="0.25">
      <c r="A21" s="8"/>
      <c r="B21" s="8"/>
      <c r="C21" s="9"/>
      <c r="D21" s="12" t="s">
        <v>17</v>
      </c>
      <c r="E21" s="14">
        <v>20246725.84999999</v>
      </c>
      <c r="F21" s="14">
        <v>13613122.246865062</v>
      </c>
      <c r="G21" s="14">
        <v>564682.28999999992</v>
      </c>
      <c r="H21" s="14">
        <v>0</v>
      </c>
      <c r="I21" s="13">
        <f t="shared" si="0"/>
        <v>34424530.38686505</v>
      </c>
    </row>
    <row r="22" spans="1:9" ht="15.75" x14ac:dyDescent="0.25">
      <c r="A22" s="8"/>
      <c r="B22" s="8"/>
      <c r="C22" s="9"/>
      <c r="D22" s="12" t="s">
        <v>18</v>
      </c>
      <c r="E22" s="14">
        <v>1045389.6799999999</v>
      </c>
      <c r="F22" s="14">
        <v>582913.60769335204</v>
      </c>
      <c r="G22" s="14">
        <v>3204642.67</v>
      </c>
      <c r="H22" s="14">
        <v>0</v>
      </c>
      <c r="I22" s="13">
        <f t="shared" si="0"/>
        <v>4832945.9576933514</v>
      </c>
    </row>
    <row r="23" spans="1:9" ht="15.75" x14ac:dyDescent="0.25">
      <c r="A23" s="8"/>
      <c r="B23" s="8"/>
      <c r="C23" s="9"/>
      <c r="D23" s="12" t="s">
        <v>19</v>
      </c>
      <c r="E23" s="14">
        <v>266620.15000000008</v>
      </c>
      <c r="F23" s="14">
        <v>217267.16919732004</v>
      </c>
      <c r="G23" s="14">
        <v>3339545.6500000004</v>
      </c>
      <c r="H23" s="14">
        <v>0</v>
      </c>
      <c r="I23" s="13">
        <f t="shared" si="0"/>
        <v>3823432.9691973208</v>
      </c>
    </row>
    <row r="24" spans="1:9" ht="15.75" x14ac:dyDescent="0.25">
      <c r="A24" s="8"/>
      <c r="B24" s="8"/>
      <c r="C24" s="9"/>
      <c r="D24" s="12" t="s">
        <v>20</v>
      </c>
      <c r="E24" s="14">
        <v>18216161.029999997</v>
      </c>
      <c r="F24" s="14">
        <v>8348603.5949556474</v>
      </c>
      <c r="G24" s="14">
        <v>1102031.19</v>
      </c>
      <c r="H24" s="14">
        <v>0</v>
      </c>
      <c r="I24" s="13">
        <f t="shared" si="0"/>
        <v>27666795.814955648</v>
      </c>
    </row>
    <row r="25" spans="1:9" ht="15.75" x14ac:dyDescent="0.25">
      <c r="A25" s="8"/>
      <c r="B25" s="8"/>
      <c r="C25" s="9"/>
      <c r="D25" s="12" t="s">
        <v>21</v>
      </c>
      <c r="E25" s="14">
        <v>15904427.74</v>
      </c>
      <c r="F25" s="14">
        <v>6199841.6871524882</v>
      </c>
      <c r="G25" s="14">
        <v>1245050.8399999999</v>
      </c>
      <c r="H25" s="14">
        <v>0</v>
      </c>
      <c r="I25" s="13">
        <f t="shared" si="0"/>
        <v>23349320.267152488</v>
      </c>
    </row>
    <row r="26" spans="1:9" ht="15.75" x14ac:dyDescent="0.25">
      <c r="A26" s="8"/>
      <c r="B26" s="8"/>
      <c r="C26" s="9"/>
      <c r="D26" s="12" t="s">
        <v>22</v>
      </c>
      <c r="E26" s="14">
        <v>8936045.1799999997</v>
      </c>
      <c r="F26" s="14">
        <v>3550360.3862231285</v>
      </c>
      <c r="G26" s="14">
        <v>690225.67</v>
      </c>
      <c r="H26" s="14">
        <v>0</v>
      </c>
      <c r="I26" s="13">
        <f t="shared" si="0"/>
        <v>13176631.236223128</v>
      </c>
    </row>
    <row r="27" spans="1:9" ht="15.75" x14ac:dyDescent="0.25">
      <c r="A27" s="8"/>
      <c r="B27" s="8"/>
      <c r="C27" s="9"/>
      <c r="D27" s="12" t="s">
        <v>23</v>
      </c>
      <c r="E27" s="14">
        <v>5010887.3099999996</v>
      </c>
      <c r="F27" s="14">
        <v>609387.6295859759</v>
      </c>
      <c r="G27" s="14">
        <v>1766189.4200000002</v>
      </c>
      <c r="H27" s="14">
        <v>0</v>
      </c>
      <c r="I27" s="13">
        <f t="shared" si="0"/>
        <v>7386464.3595859753</v>
      </c>
    </row>
    <row r="28" spans="1:9" ht="15.75" x14ac:dyDescent="0.25">
      <c r="A28" s="8"/>
      <c r="B28" s="8"/>
      <c r="C28" s="9"/>
      <c r="D28" s="12" t="s">
        <v>24</v>
      </c>
      <c r="E28" s="14">
        <v>6932472.5899999999</v>
      </c>
      <c r="F28" s="14">
        <v>2887955.4091296722</v>
      </c>
      <c r="G28" s="14">
        <v>978980.39000000013</v>
      </c>
      <c r="H28" s="14">
        <v>0</v>
      </c>
      <c r="I28" s="13">
        <f t="shared" si="0"/>
        <v>10799408.389129672</v>
      </c>
    </row>
    <row r="29" spans="1:9" ht="15.75" x14ac:dyDescent="0.25">
      <c r="A29" s="8"/>
      <c r="B29" s="8"/>
      <c r="C29" s="9"/>
      <c r="D29" s="12" t="s">
        <v>25</v>
      </c>
      <c r="E29" s="14">
        <v>8137791.5099999979</v>
      </c>
      <c r="F29" s="14">
        <v>1616162.8024502401</v>
      </c>
      <c r="G29" s="14">
        <v>361417.41000000003</v>
      </c>
      <c r="H29" s="14">
        <v>0</v>
      </c>
      <c r="I29" s="13">
        <f t="shared" si="0"/>
        <v>10115371.722450238</v>
      </c>
    </row>
    <row r="30" spans="1:9" ht="15.75" x14ac:dyDescent="0.25">
      <c r="A30" s="8"/>
      <c r="B30" s="8"/>
      <c r="C30" s="9"/>
      <c r="D30" s="12" t="s">
        <v>26</v>
      </c>
      <c r="E30" s="14">
        <v>15251508.339999998</v>
      </c>
      <c r="F30" s="14">
        <v>8716883.5748964958</v>
      </c>
      <c r="G30" s="14">
        <v>739353.4800000001</v>
      </c>
      <c r="H30" s="14">
        <v>0</v>
      </c>
      <c r="I30" s="13">
        <f t="shared" si="0"/>
        <v>24707745.394896496</v>
      </c>
    </row>
    <row r="31" spans="1:9" ht="15.75" x14ac:dyDescent="0.25">
      <c r="A31" s="8"/>
      <c r="B31" s="8"/>
      <c r="C31" s="9"/>
      <c r="D31" s="12" t="s">
        <v>27</v>
      </c>
      <c r="E31" s="14">
        <v>14730011.339999998</v>
      </c>
      <c r="F31" s="14">
        <v>9034779.7487746812</v>
      </c>
      <c r="G31" s="14">
        <v>684988.07</v>
      </c>
      <c r="H31" s="14">
        <v>0</v>
      </c>
      <c r="I31" s="13">
        <f t="shared" si="0"/>
        <v>24449779.158774681</v>
      </c>
    </row>
    <row r="32" spans="1:9" ht="15.75" x14ac:dyDescent="0.25">
      <c r="A32" s="8"/>
      <c r="B32" s="8"/>
      <c r="C32" s="9"/>
      <c r="D32" s="12" t="s">
        <v>28</v>
      </c>
      <c r="E32" s="14">
        <v>11483397.710000003</v>
      </c>
      <c r="F32" s="14">
        <v>3049571.689374696</v>
      </c>
      <c r="G32" s="14">
        <v>418018.10999999993</v>
      </c>
      <c r="H32" s="14">
        <v>0</v>
      </c>
      <c r="I32" s="13">
        <f t="shared" si="0"/>
        <v>14950987.509374699</v>
      </c>
    </row>
    <row r="33" spans="1:9" ht="15.75" x14ac:dyDescent="0.25">
      <c r="A33" s="8"/>
      <c r="B33" s="8"/>
      <c r="C33" s="9"/>
      <c r="D33" s="12" t="s">
        <v>29</v>
      </c>
      <c r="E33" s="14">
        <v>3393310.3699999996</v>
      </c>
      <c r="F33" s="14">
        <v>4610152.9065948725</v>
      </c>
      <c r="G33" s="14">
        <v>303817.09999999998</v>
      </c>
      <c r="H33" s="14">
        <v>0</v>
      </c>
      <c r="I33" s="13">
        <f t="shared" si="0"/>
        <v>8307280.3765948713</v>
      </c>
    </row>
    <row r="34" spans="1:9" ht="15.75" x14ac:dyDescent="0.25">
      <c r="A34" s="8"/>
      <c r="B34" s="8"/>
      <c r="C34" s="9"/>
      <c r="D34" s="12" t="s">
        <v>30</v>
      </c>
      <c r="E34" s="14">
        <v>34907906.710000001</v>
      </c>
      <c r="F34" s="14">
        <v>6615802.6279889513</v>
      </c>
      <c r="G34" s="14">
        <v>1635763.2400000002</v>
      </c>
      <c r="H34" s="14">
        <v>0</v>
      </c>
      <c r="I34" s="13">
        <f t="shared" si="0"/>
        <v>43159472.577988952</v>
      </c>
    </row>
    <row r="35" spans="1:9" ht="15.75" x14ac:dyDescent="0.25">
      <c r="A35" s="8"/>
      <c r="B35" s="8"/>
      <c r="C35" s="9"/>
      <c r="D35" s="12" t="s">
        <v>31</v>
      </c>
      <c r="E35" s="14">
        <v>12957923.060000002</v>
      </c>
      <c r="F35" s="14">
        <v>12166476.348994296</v>
      </c>
      <c r="G35" s="14">
        <v>1314394.8899999999</v>
      </c>
      <c r="H35" s="14">
        <v>0</v>
      </c>
      <c r="I35" s="13">
        <f t="shared" si="0"/>
        <v>26438794.298994299</v>
      </c>
    </row>
    <row r="36" spans="1:9" ht="15.75" x14ac:dyDescent="0.25">
      <c r="A36" s="8"/>
      <c r="B36" s="8"/>
      <c r="C36" s="9"/>
      <c r="D36" s="12" t="s">
        <v>32</v>
      </c>
      <c r="E36" s="14">
        <v>18465201.540000003</v>
      </c>
      <c r="F36" s="14">
        <v>6035522.5617404161</v>
      </c>
      <c r="G36" s="14">
        <v>2119232.0699999998</v>
      </c>
      <c r="H36" s="14">
        <v>0</v>
      </c>
      <c r="I36" s="13">
        <f t="shared" si="0"/>
        <v>26619956.17174042</v>
      </c>
    </row>
    <row r="37" spans="1:9" ht="15.75" x14ac:dyDescent="0.25">
      <c r="A37" s="8"/>
      <c r="B37" s="8"/>
      <c r="C37" s="9"/>
      <c r="D37" s="12" t="s">
        <v>33</v>
      </c>
      <c r="E37" s="14">
        <v>15882257.119999997</v>
      </c>
      <c r="F37" s="14">
        <v>4220665.9876510324</v>
      </c>
      <c r="G37" s="14">
        <v>634015.73</v>
      </c>
      <c r="H37" s="14">
        <v>0</v>
      </c>
      <c r="I37" s="13">
        <f t="shared" si="0"/>
        <v>20736938.837651029</v>
      </c>
    </row>
    <row r="38" spans="1:9" ht="15.75" x14ac:dyDescent="0.25">
      <c r="A38" s="8"/>
      <c r="B38" s="8"/>
      <c r="C38" s="9"/>
      <c r="D38" s="12" t="s">
        <v>34</v>
      </c>
      <c r="E38" s="14">
        <v>13422443.389999999</v>
      </c>
      <c r="F38" s="14">
        <v>7254297.8209123686</v>
      </c>
      <c r="G38" s="14">
        <v>685051.22000000009</v>
      </c>
      <c r="H38" s="14">
        <v>0</v>
      </c>
      <c r="I38" s="13">
        <f t="shared" si="0"/>
        <v>21361792.430912368</v>
      </c>
    </row>
    <row r="39" spans="1:9" ht="15.75" x14ac:dyDescent="0.25">
      <c r="A39" s="8"/>
      <c r="B39" s="8"/>
      <c r="C39" s="9"/>
      <c r="D39" s="12" t="s">
        <v>35</v>
      </c>
      <c r="E39" s="14">
        <v>10379386.110000001</v>
      </c>
      <c r="F39" s="14">
        <v>11358394.947769174</v>
      </c>
      <c r="G39" s="14">
        <v>788331.35999999975</v>
      </c>
      <c r="H39" s="14">
        <v>0</v>
      </c>
      <c r="I39" s="13">
        <f t="shared" si="0"/>
        <v>22526112.417769175</v>
      </c>
    </row>
    <row r="40" spans="1:9" ht="15.75" x14ac:dyDescent="0.25">
      <c r="A40" s="8"/>
      <c r="B40" s="8"/>
      <c r="C40" s="9"/>
      <c r="D40" s="12" t="s">
        <v>36</v>
      </c>
      <c r="E40" s="14">
        <v>1324127.9500000002</v>
      </c>
      <c r="F40" s="14">
        <v>596150.61863966403</v>
      </c>
      <c r="G40" s="14">
        <v>821056.17999999993</v>
      </c>
      <c r="H40" s="14">
        <v>0</v>
      </c>
      <c r="I40" s="13">
        <f t="shared" si="0"/>
        <v>2741334.7486396641</v>
      </c>
    </row>
    <row r="41" spans="1:9" ht="15.75" x14ac:dyDescent="0.25">
      <c r="A41" s="8"/>
      <c r="B41" s="8"/>
      <c r="C41" s="9"/>
      <c r="D41" s="12" t="s">
        <v>37</v>
      </c>
      <c r="E41" s="14">
        <v>21897843.679999996</v>
      </c>
      <c r="F41" s="14">
        <v>10677485.876839776</v>
      </c>
      <c r="G41" s="14">
        <v>1518023.3199999998</v>
      </c>
      <c r="H41" s="14">
        <v>0</v>
      </c>
      <c r="I41" s="13">
        <f t="shared" si="0"/>
        <v>34093352.876839772</v>
      </c>
    </row>
    <row r="42" spans="1:9" ht="15.75" x14ac:dyDescent="0.25">
      <c r="A42" s="8"/>
      <c r="B42" s="8"/>
      <c r="C42" s="9"/>
      <c r="D42" s="12" t="s">
        <v>38</v>
      </c>
      <c r="E42" s="14">
        <v>14632609.039999999</v>
      </c>
      <c r="F42" s="14">
        <v>10544977.159932192</v>
      </c>
      <c r="G42" s="14">
        <v>572266.57000000007</v>
      </c>
      <c r="H42" s="14">
        <v>0</v>
      </c>
      <c r="I42" s="13">
        <f t="shared" si="0"/>
        <v>25749852.769932192</v>
      </c>
    </row>
    <row r="43" spans="1:9" ht="15.75" x14ac:dyDescent="0.25">
      <c r="A43" s="8"/>
      <c r="B43" s="8"/>
      <c r="C43" s="9"/>
      <c r="D43" s="12" t="s">
        <v>39</v>
      </c>
      <c r="E43" s="14">
        <v>3982090.7300000009</v>
      </c>
      <c r="F43" s="14">
        <v>3923907.4490536079</v>
      </c>
      <c r="G43" s="14">
        <v>659412.66</v>
      </c>
      <c r="H43" s="14">
        <v>0</v>
      </c>
      <c r="I43" s="13">
        <f t="shared" si="0"/>
        <v>8565410.8390536085</v>
      </c>
    </row>
    <row r="44" spans="1:9" ht="15.75" x14ac:dyDescent="0.25">
      <c r="A44" s="8"/>
      <c r="B44" s="8"/>
      <c r="C44" s="9"/>
      <c r="D44" s="12" t="s">
        <v>40</v>
      </c>
      <c r="E44" s="14">
        <v>3652.59</v>
      </c>
      <c r="F44" s="14">
        <v>302025.62148705602</v>
      </c>
      <c r="G44" s="14">
        <v>876396.1</v>
      </c>
      <c r="H44" s="14">
        <v>0</v>
      </c>
      <c r="I44" s="13">
        <f t="shared" si="0"/>
        <v>1182074.3114870561</v>
      </c>
    </row>
    <row r="45" spans="1:9" ht="15.75" x14ac:dyDescent="0.25">
      <c r="A45" s="8"/>
      <c r="B45" s="8"/>
      <c r="C45" s="9"/>
      <c r="D45" s="12" t="s">
        <v>41</v>
      </c>
      <c r="E45" s="14">
        <v>5185037.9899999984</v>
      </c>
      <c r="F45" s="14">
        <v>87461.297456783985</v>
      </c>
      <c r="G45" s="14">
        <v>2767801.4799999995</v>
      </c>
      <c r="H45" s="14">
        <v>0</v>
      </c>
      <c r="I45" s="13">
        <f t="shared" si="0"/>
        <v>8040300.7674567821</v>
      </c>
    </row>
    <row r="46" spans="1:9" ht="15.75" x14ac:dyDescent="0.25">
      <c r="A46" s="8"/>
      <c r="B46" s="8"/>
      <c r="C46" s="9"/>
      <c r="D46" s="12" t="s">
        <v>42</v>
      </c>
      <c r="E46" s="14">
        <v>750890.19999999984</v>
      </c>
      <c r="F46" s="14">
        <v>291422.15198555996</v>
      </c>
      <c r="G46" s="14">
        <v>3292074.2800000003</v>
      </c>
      <c r="H46" s="14">
        <v>0</v>
      </c>
      <c r="I46" s="13">
        <f t="shared" si="0"/>
        <v>4334386.6319855601</v>
      </c>
    </row>
    <row r="47" spans="1:9" ht="15.75" x14ac:dyDescent="0.25">
      <c r="A47" s="8"/>
      <c r="B47" s="8"/>
      <c r="C47" s="9"/>
      <c r="D47" s="12" t="s">
        <v>43</v>
      </c>
      <c r="E47" s="14">
        <v>7862504.5800000001</v>
      </c>
      <c r="F47" s="14">
        <v>2082507.5493493676</v>
      </c>
      <c r="G47" s="14">
        <v>748750.77</v>
      </c>
      <c r="H47" s="14">
        <v>0</v>
      </c>
      <c r="I47" s="13">
        <f t="shared" si="0"/>
        <v>10693762.899349367</v>
      </c>
    </row>
    <row r="48" spans="1:9" ht="15.75" x14ac:dyDescent="0.25">
      <c r="A48" s="8"/>
      <c r="B48" s="8"/>
      <c r="C48" s="9"/>
      <c r="D48" s="12" t="s">
        <v>44</v>
      </c>
      <c r="E48" s="14">
        <v>5219213.2</v>
      </c>
      <c r="F48" s="14">
        <v>291422.15198555996</v>
      </c>
      <c r="G48" s="14">
        <v>1458036.2799999996</v>
      </c>
      <c r="H48" s="14">
        <v>0</v>
      </c>
      <c r="I48" s="13">
        <f t="shared" si="0"/>
        <v>6968671.6319855591</v>
      </c>
    </row>
    <row r="49" spans="1:9" ht="15.75" x14ac:dyDescent="0.25">
      <c r="A49" s="8"/>
      <c r="B49" s="8"/>
      <c r="C49" s="9"/>
      <c r="D49" s="12" t="s">
        <v>45</v>
      </c>
      <c r="E49" s="14">
        <v>1702939.3800000001</v>
      </c>
      <c r="F49" s="14">
        <v>347073.04093785601</v>
      </c>
      <c r="G49" s="14">
        <v>3336939.13</v>
      </c>
      <c r="H49" s="14">
        <v>0</v>
      </c>
      <c r="I49" s="13">
        <f t="shared" si="0"/>
        <v>5386951.5509378556</v>
      </c>
    </row>
    <row r="50" spans="1:9" ht="15.75" x14ac:dyDescent="0.25">
      <c r="A50" s="8"/>
      <c r="B50" s="8"/>
      <c r="C50" s="9"/>
      <c r="D50" s="12" t="s">
        <v>46</v>
      </c>
      <c r="E50" s="14">
        <v>8110048.5499999998</v>
      </c>
      <c r="F50" s="14">
        <v>4080256.6464089993</v>
      </c>
      <c r="G50" s="14">
        <v>317848.58999999991</v>
      </c>
      <c r="H50" s="14">
        <v>0</v>
      </c>
      <c r="I50" s="13">
        <f t="shared" si="0"/>
        <v>12508153.786408998</v>
      </c>
    </row>
    <row r="51" spans="1:9" ht="15.75" x14ac:dyDescent="0.25">
      <c r="A51" s="8"/>
      <c r="B51" s="8"/>
      <c r="C51" s="9"/>
      <c r="D51" s="12" t="s">
        <v>47</v>
      </c>
      <c r="E51" s="14">
        <v>12063335.299999999</v>
      </c>
      <c r="F51" s="14">
        <v>6099143.378749392</v>
      </c>
      <c r="G51" s="14">
        <v>1467443.15</v>
      </c>
      <c r="H51" s="14">
        <v>0</v>
      </c>
      <c r="I51" s="13">
        <f t="shared" si="0"/>
        <v>19629921.828749388</v>
      </c>
    </row>
    <row r="52" spans="1:9" ht="15.75" x14ac:dyDescent="0.25">
      <c r="A52" s="8"/>
      <c r="B52" s="8"/>
      <c r="C52" s="9"/>
      <c r="D52" s="12" t="s">
        <v>48</v>
      </c>
      <c r="E52" s="14">
        <v>8440895.7799999993</v>
      </c>
      <c r="F52" s="14">
        <v>6146824.3396450076</v>
      </c>
      <c r="G52" s="14">
        <v>368766.13999999996</v>
      </c>
      <c r="H52" s="14">
        <v>0</v>
      </c>
      <c r="I52" s="13">
        <f t="shared" si="0"/>
        <v>14956486.259645008</v>
      </c>
    </row>
    <row r="53" spans="1:9" ht="15.75" x14ac:dyDescent="0.25">
      <c r="A53" s="8"/>
      <c r="B53" s="8"/>
      <c r="C53" s="9"/>
      <c r="D53" s="12" t="s">
        <v>49</v>
      </c>
      <c r="E53" s="14">
        <v>15536903.359999996</v>
      </c>
      <c r="F53" s="14">
        <v>4212696.0595943518</v>
      </c>
      <c r="G53" s="14">
        <v>973712.01</v>
      </c>
      <c r="H53" s="14">
        <v>0</v>
      </c>
      <c r="I53" s="13">
        <f t="shared" si="0"/>
        <v>20723311.429594349</v>
      </c>
    </row>
    <row r="54" spans="1:9" ht="15.75" x14ac:dyDescent="0.25">
      <c r="A54" s="8"/>
      <c r="B54" s="8"/>
      <c r="C54" s="9"/>
      <c r="D54" s="12" t="s">
        <v>50</v>
      </c>
      <c r="E54" s="14">
        <v>9822140.0899999999</v>
      </c>
      <c r="F54" s="14">
        <v>3868256.5601013117</v>
      </c>
      <c r="G54" s="14">
        <v>695220</v>
      </c>
      <c r="H54" s="14">
        <v>0</v>
      </c>
      <c r="I54" s="13">
        <f t="shared" si="0"/>
        <v>14385616.650101312</v>
      </c>
    </row>
    <row r="55" spans="1:9" ht="15.75" x14ac:dyDescent="0.25">
      <c r="A55" s="8"/>
      <c r="B55" s="8"/>
      <c r="C55" s="9"/>
      <c r="D55" s="12" t="s">
        <v>51</v>
      </c>
      <c r="E55" s="14">
        <v>4550479.9699999988</v>
      </c>
      <c r="F55" s="14">
        <v>8133969.967203144</v>
      </c>
      <c r="G55" s="14">
        <v>54396.36</v>
      </c>
      <c r="H55" s="14">
        <v>0</v>
      </c>
      <c r="I55" s="13">
        <f t="shared" si="0"/>
        <v>12738846.297203142</v>
      </c>
    </row>
    <row r="56" spans="1:9" ht="15.75" x14ac:dyDescent="0.25">
      <c r="A56" s="8"/>
      <c r="B56" s="8"/>
      <c r="C56" s="9"/>
      <c r="D56" s="12" t="s">
        <v>52</v>
      </c>
      <c r="E56" s="14">
        <v>10535930.639999999</v>
      </c>
      <c r="F56" s="14">
        <v>9856167.4646683428</v>
      </c>
      <c r="G56" s="14">
        <v>323498.06</v>
      </c>
      <c r="H56" s="14">
        <v>0</v>
      </c>
      <c r="I56" s="13">
        <f t="shared" si="0"/>
        <v>20715596.16466834</v>
      </c>
    </row>
    <row r="57" spans="1:9" ht="15.75" x14ac:dyDescent="0.25">
      <c r="A57" s="8"/>
      <c r="B57" s="8"/>
      <c r="C57" s="9"/>
      <c r="D57" s="12" t="s">
        <v>53</v>
      </c>
      <c r="E57" s="14">
        <v>3300722.6500000004</v>
      </c>
      <c r="F57" s="14">
        <v>2914429.4310222957</v>
      </c>
      <c r="G57" s="14">
        <v>394649.46</v>
      </c>
      <c r="H57" s="14">
        <v>0</v>
      </c>
      <c r="I57" s="13">
        <f t="shared" si="0"/>
        <v>6609801.5410222961</v>
      </c>
    </row>
    <row r="58" spans="1:9" ht="15.75" x14ac:dyDescent="0.25">
      <c r="A58" s="8"/>
      <c r="B58" s="8"/>
      <c r="C58" s="9"/>
      <c r="D58" s="12" t="s">
        <v>54</v>
      </c>
      <c r="E58" s="14">
        <v>4010850.810000001</v>
      </c>
      <c r="F58" s="14">
        <v>3137032.9868314797</v>
      </c>
      <c r="G58" s="14">
        <v>188790.56000000003</v>
      </c>
      <c r="H58" s="14">
        <v>0</v>
      </c>
      <c r="I58" s="13">
        <f t="shared" si="0"/>
        <v>7336674.3568314807</v>
      </c>
    </row>
    <row r="59" spans="1:9" ht="15.75" x14ac:dyDescent="0.25">
      <c r="A59" s="8"/>
      <c r="B59" s="8"/>
      <c r="C59" s="9"/>
      <c r="D59" s="12" t="s">
        <v>55</v>
      </c>
      <c r="E59" s="14">
        <v>7537299.1800000006</v>
      </c>
      <c r="F59" s="14">
        <v>5298962.6018587193</v>
      </c>
      <c r="G59" s="14">
        <v>776426.17</v>
      </c>
      <c r="H59" s="14">
        <v>0</v>
      </c>
      <c r="I59" s="13">
        <f t="shared" si="0"/>
        <v>13612687.95185872</v>
      </c>
    </row>
    <row r="60" spans="1:9" ht="15.75" x14ac:dyDescent="0.25">
      <c r="A60" s="8"/>
      <c r="B60" s="8"/>
      <c r="C60" s="9"/>
      <c r="D60" s="12" t="s">
        <v>56</v>
      </c>
      <c r="E60" s="14">
        <v>5478496.3500000006</v>
      </c>
      <c r="F60" s="14">
        <v>3205920.8867300879</v>
      </c>
      <c r="G60" s="14">
        <v>330073.51000000007</v>
      </c>
      <c r="H60" s="14">
        <v>0</v>
      </c>
      <c r="I60" s="13">
        <f t="shared" si="0"/>
        <v>9014490.7467300873</v>
      </c>
    </row>
    <row r="61" spans="1:9" ht="15.75" x14ac:dyDescent="0.25">
      <c r="A61" s="8"/>
      <c r="B61" s="8"/>
      <c r="C61" s="9"/>
      <c r="D61" s="12" t="s">
        <v>57</v>
      </c>
      <c r="E61" s="14">
        <v>15018176.550000001</v>
      </c>
      <c r="F61" s="14">
        <v>5378453.9712588247</v>
      </c>
      <c r="G61" s="14">
        <v>452659.75999999995</v>
      </c>
      <c r="H61" s="14">
        <v>0</v>
      </c>
      <c r="I61" s="13">
        <f t="shared" si="0"/>
        <v>20849290.281258825</v>
      </c>
    </row>
    <row r="62" spans="1:9" ht="15.75" x14ac:dyDescent="0.25">
      <c r="A62" s="8"/>
      <c r="B62" s="8"/>
      <c r="C62" s="9"/>
      <c r="D62" s="12" t="s">
        <v>58</v>
      </c>
      <c r="E62" s="14">
        <v>14016040.430000002</v>
      </c>
      <c r="F62" s="14">
        <v>6001147.9155133432</v>
      </c>
      <c r="G62" s="14">
        <v>26258455.370000001</v>
      </c>
      <c r="H62" s="14">
        <v>0</v>
      </c>
      <c r="I62" s="13">
        <f t="shared" si="0"/>
        <v>46275643.715513349</v>
      </c>
    </row>
    <row r="63" spans="1:9" ht="15.75" x14ac:dyDescent="0.25">
      <c r="A63" s="8"/>
      <c r="B63" s="8"/>
      <c r="C63" s="9"/>
      <c r="D63" s="12" t="s">
        <v>59</v>
      </c>
      <c r="E63" s="14">
        <v>4050270.54</v>
      </c>
      <c r="F63" s="14">
        <v>662404.97709345596</v>
      </c>
      <c r="G63" s="14">
        <v>1085449.1800000002</v>
      </c>
      <c r="H63" s="14">
        <v>0</v>
      </c>
      <c r="I63" s="13">
        <f t="shared" si="0"/>
        <v>5798124.697093457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6284347.0200000005</v>
      </c>
      <c r="H64" s="14">
        <v>0</v>
      </c>
      <c r="I64" s="13">
        <f t="shared" si="0"/>
        <v>6284347.0200000005</v>
      </c>
    </row>
    <row r="65" spans="1:9" ht="15.75" x14ac:dyDescent="0.25">
      <c r="A65" s="8"/>
      <c r="B65" s="8"/>
      <c r="C65" s="9"/>
      <c r="D65" s="12" t="s">
        <v>61</v>
      </c>
      <c r="E65" s="14">
        <v>11272259.989999998</v>
      </c>
      <c r="F65" s="14">
        <v>7842547.8152175844</v>
      </c>
      <c r="G65" s="14">
        <v>441138.53</v>
      </c>
      <c r="H65" s="14">
        <v>0</v>
      </c>
      <c r="I65" s="13">
        <f t="shared" si="0"/>
        <v>19555946.335217584</v>
      </c>
    </row>
    <row r="66" spans="1:9" ht="15.75" x14ac:dyDescent="0.25">
      <c r="A66" s="8"/>
      <c r="B66" s="8"/>
      <c r="C66" s="9"/>
      <c r="D66" s="12" t="s">
        <v>62</v>
      </c>
      <c r="E66" s="14">
        <v>46499928.309999995</v>
      </c>
      <c r="F66" s="14">
        <v>15592297.946366519</v>
      </c>
      <c r="G66" s="14">
        <v>1020467.69</v>
      </c>
      <c r="H66" s="14">
        <v>0</v>
      </c>
      <c r="I66" s="13">
        <f t="shared" si="0"/>
        <v>63112693.946366511</v>
      </c>
    </row>
    <row r="67" spans="1:9" ht="15.75" x14ac:dyDescent="0.25">
      <c r="A67" s="8"/>
      <c r="B67" s="8"/>
      <c r="C67" s="9"/>
      <c r="D67" s="12" t="s">
        <v>63</v>
      </c>
      <c r="E67" s="14">
        <v>10187789.139999999</v>
      </c>
      <c r="F67" s="14">
        <v>7206616.860016752</v>
      </c>
      <c r="G67" s="14">
        <v>525178.7300000001</v>
      </c>
      <c r="H67" s="14">
        <v>0</v>
      </c>
      <c r="I67" s="13">
        <f t="shared" si="0"/>
        <v>17919584.730016749</v>
      </c>
    </row>
    <row r="68" spans="1:9" ht="15.75" x14ac:dyDescent="0.25">
      <c r="A68" s="8"/>
      <c r="B68" s="8"/>
      <c r="C68" s="9"/>
      <c r="D68" s="12" t="s">
        <v>64</v>
      </c>
      <c r="E68" s="14">
        <v>9033416.7100000028</v>
      </c>
      <c r="F68" s="14">
        <v>3046938.1479298798</v>
      </c>
      <c r="G68" s="14">
        <v>337939.50999999995</v>
      </c>
      <c r="H68" s="14">
        <v>0</v>
      </c>
      <c r="I68" s="13">
        <f t="shared" si="0"/>
        <v>12418294.367929881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1864462.75</v>
      </c>
      <c r="H69" s="14">
        <v>0</v>
      </c>
      <c r="I69" s="13">
        <f t="shared" si="0"/>
        <v>1864462.75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3551926.24</v>
      </c>
      <c r="H70" s="14">
        <v>0</v>
      </c>
      <c r="I70" s="13">
        <f t="shared" si="0"/>
        <v>3551926.24</v>
      </c>
    </row>
    <row r="71" spans="1:9" ht="15.75" x14ac:dyDescent="0.25">
      <c r="A71" s="8"/>
      <c r="B71" s="8"/>
      <c r="C71" s="9"/>
      <c r="D71" s="12" t="s">
        <v>67</v>
      </c>
      <c r="E71" s="14">
        <v>58494.54</v>
      </c>
      <c r="F71" s="14">
        <v>79491.369400103984</v>
      </c>
      <c r="G71" s="14">
        <v>1981748.2799999998</v>
      </c>
      <c r="H71" s="14">
        <v>0</v>
      </c>
      <c r="I71" s="13">
        <f t="shared" si="0"/>
        <v>2119734.1894001039</v>
      </c>
    </row>
    <row r="72" spans="1:9" ht="15.75" x14ac:dyDescent="0.25">
      <c r="A72" s="8"/>
      <c r="B72" s="8"/>
      <c r="C72" s="9"/>
      <c r="D72" s="12" t="s">
        <v>68</v>
      </c>
      <c r="E72" s="14">
        <v>19760368.349999994</v>
      </c>
      <c r="F72" s="14">
        <v>4949256.0194760477</v>
      </c>
      <c r="G72" s="14">
        <v>3517279.8799999994</v>
      </c>
      <c r="H72" s="14">
        <v>0</v>
      </c>
      <c r="I72" s="13">
        <f t="shared" si="0"/>
        <v>28226904.249476042</v>
      </c>
    </row>
    <row r="73" spans="1:9" ht="15.75" x14ac:dyDescent="0.25">
      <c r="A73" s="8"/>
      <c r="B73" s="8"/>
      <c r="C73" s="9"/>
      <c r="D73" s="12" t="s">
        <v>69</v>
      </c>
      <c r="E73" s="14">
        <v>152145.13</v>
      </c>
      <c r="F73" s="14">
        <v>0</v>
      </c>
      <c r="G73" s="14">
        <v>3721999.8000000003</v>
      </c>
      <c r="H73" s="14">
        <v>0</v>
      </c>
      <c r="I73" s="13">
        <f t="shared" si="0"/>
        <v>3874144.93</v>
      </c>
    </row>
    <row r="74" spans="1:9" ht="15.75" x14ac:dyDescent="0.25">
      <c r="A74" s="8"/>
      <c r="B74" s="8"/>
      <c r="C74" s="9"/>
      <c r="D74" s="12" t="s">
        <v>70</v>
      </c>
      <c r="E74" s="14">
        <v>2232493.1399999997</v>
      </c>
      <c r="F74" s="14">
        <v>418594.48228127998</v>
      </c>
      <c r="G74" s="14">
        <v>11194096.960000003</v>
      </c>
      <c r="H74" s="14">
        <v>0</v>
      </c>
      <c r="I74" s="13">
        <f t="shared" ref="I74:I137" si="1">SUM(E74:H74)</f>
        <v>13845184.582281282</v>
      </c>
    </row>
    <row r="75" spans="1:9" ht="15.75" x14ac:dyDescent="0.25">
      <c r="A75" s="8"/>
      <c r="B75" s="8"/>
      <c r="C75" s="9"/>
      <c r="D75" s="12" t="s">
        <v>71</v>
      </c>
      <c r="E75" s="14">
        <v>7385586.120000001</v>
      </c>
      <c r="F75" s="14">
        <v>1626766.271951736</v>
      </c>
      <c r="G75" s="14">
        <v>21003767.609999996</v>
      </c>
      <c r="H75" s="14">
        <v>0</v>
      </c>
      <c r="I75" s="13">
        <f t="shared" si="1"/>
        <v>30016120.001951732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5889981.3999999994</v>
      </c>
      <c r="H76" s="14">
        <v>0</v>
      </c>
      <c r="I76" s="13">
        <f t="shared" si="1"/>
        <v>5889981.3999999994</v>
      </c>
    </row>
    <row r="77" spans="1:9" ht="15.75" x14ac:dyDescent="0.25">
      <c r="A77" s="8"/>
      <c r="B77" s="8"/>
      <c r="C77" s="9"/>
      <c r="D77" s="12" t="s">
        <v>73</v>
      </c>
      <c r="E77" s="14">
        <v>6237651.8000000007</v>
      </c>
      <c r="F77" s="14">
        <v>8067715.6087493515</v>
      </c>
      <c r="G77" s="14">
        <v>482130.74999999994</v>
      </c>
      <c r="H77" s="14">
        <v>0</v>
      </c>
      <c r="I77" s="13">
        <f t="shared" si="1"/>
        <v>14787498.158749353</v>
      </c>
    </row>
    <row r="78" spans="1:9" ht="15.75" x14ac:dyDescent="0.25">
      <c r="A78" s="8"/>
      <c r="B78" s="8"/>
      <c r="C78" s="9"/>
      <c r="D78" s="12" t="s">
        <v>74</v>
      </c>
      <c r="E78" s="14">
        <v>11762074.52</v>
      </c>
      <c r="F78" s="14">
        <v>8186918.0109883919</v>
      </c>
      <c r="G78" s="14">
        <v>511901.37000000005</v>
      </c>
      <c r="H78" s="14">
        <v>0</v>
      </c>
      <c r="I78" s="13">
        <f t="shared" si="1"/>
        <v>20460893.900988393</v>
      </c>
    </row>
    <row r="79" spans="1:9" ht="15.75" x14ac:dyDescent="0.25">
      <c r="A79" s="8"/>
      <c r="B79" s="8"/>
      <c r="C79" s="9"/>
      <c r="D79" s="12" t="s">
        <v>75</v>
      </c>
      <c r="E79" s="14">
        <v>12951983.149999999</v>
      </c>
      <c r="F79" s="14">
        <v>4596846.5919263288</v>
      </c>
      <c r="G79" s="14">
        <v>695572.10000000009</v>
      </c>
      <c r="H79" s="14">
        <v>0</v>
      </c>
      <c r="I79" s="13">
        <f t="shared" si="1"/>
        <v>18244401.841926329</v>
      </c>
    </row>
    <row r="80" spans="1:9" ht="15.75" x14ac:dyDescent="0.25">
      <c r="A80" s="8"/>
      <c r="B80" s="8"/>
      <c r="C80" s="9"/>
      <c r="D80" s="12" t="s">
        <v>76</v>
      </c>
      <c r="E80" s="14">
        <v>4603721.4700000007</v>
      </c>
      <c r="F80" s="14">
        <v>2429580.5902872239</v>
      </c>
      <c r="G80" s="14">
        <v>103824</v>
      </c>
      <c r="H80" s="14">
        <v>0</v>
      </c>
      <c r="I80" s="13">
        <f t="shared" si="1"/>
        <v>7137126.0602872241</v>
      </c>
    </row>
    <row r="81" spans="1:9" ht="15.75" x14ac:dyDescent="0.25">
      <c r="A81" s="8"/>
      <c r="B81" s="8"/>
      <c r="C81" s="9"/>
      <c r="D81" s="12" t="s">
        <v>77</v>
      </c>
      <c r="E81" s="14">
        <v>32834584.300000001</v>
      </c>
      <c r="F81" s="14">
        <v>14659677.756290495</v>
      </c>
      <c r="G81" s="14">
        <v>1426830.8800000001</v>
      </c>
      <c r="H81" s="14">
        <v>0</v>
      </c>
      <c r="I81" s="13">
        <f t="shared" si="1"/>
        <v>48921092.936290495</v>
      </c>
    </row>
    <row r="82" spans="1:9" ht="15.75" x14ac:dyDescent="0.25">
      <c r="A82" s="8"/>
      <c r="B82" s="8"/>
      <c r="C82" s="9"/>
      <c r="D82" s="12" t="s">
        <v>78</v>
      </c>
      <c r="E82" s="14">
        <v>40109484.620000012</v>
      </c>
      <c r="F82" s="14">
        <v>10160826.627600215</v>
      </c>
      <c r="G82" s="14">
        <v>553600.39</v>
      </c>
      <c r="H82" s="14">
        <v>0</v>
      </c>
      <c r="I82" s="13">
        <f t="shared" si="1"/>
        <v>50823911.637600228</v>
      </c>
    </row>
    <row r="83" spans="1:9" ht="15.75" x14ac:dyDescent="0.25">
      <c r="A83" s="8"/>
      <c r="B83" s="8"/>
      <c r="C83" s="9"/>
      <c r="D83" s="12" t="s">
        <v>79</v>
      </c>
      <c r="E83" s="14">
        <v>8892030.3600000013</v>
      </c>
      <c r="F83" s="14">
        <v>4172985.0267554163</v>
      </c>
      <c r="G83" s="14">
        <v>1087361.74</v>
      </c>
      <c r="H83" s="14">
        <v>0</v>
      </c>
      <c r="I83" s="13">
        <f t="shared" si="1"/>
        <v>14152377.126755418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9850083.7799999993</v>
      </c>
      <c r="H84" s="14">
        <v>0</v>
      </c>
      <c r="I84" s="13">
        <f t="shared" si="1"/>
        <v>9850083.7799999993</v>
      </c>
    </row>
    <row r="85" spans="1:9" ht="15.75" x14ac:dyDescent="0.25">
      <c r="A85" s="8"/>
      <c r="B85" s="8"/>
      <c r="C85" s="9"/>
      <c r="D85" s="12" t="s">
        <v>81</v>
      </c>
      <c r="E85" s="14">
        <v>11940904.84</v>
      </c>
      <c r="F85" s="14">
        <v>1298266.6285720558</v>
      </c>
      <c r="G85" s="14">
        <v>3237902.05</v>
      </c>
      <c r="H85" s="14">
        <v>0</v>
      </c>
      <c r="I85" s="13">
        <f t="shared" si="1"/>
        <v>16477073.518572055</v>
      </c>
    </row>
    <row r="86" spans="1:9" ht="15.75" x14ac:dyDescent="0.25">
      <c r="A86" s="8"/>
      <c r="B86" s="8"/>
      <c r="C86" s="9"/>
      <c r="D86" s="12" t="s">
        <v>82</v>
      </c>
      <c r="E86" s="14">
        <v>7576597.9999999991</v>
      </c>
      <c r="F86" s="14">
        <v>5391760.2859273683</v>
      </c>
      <c r="G86" s="14">
        <v>389607.74</v>
      </c>
      <c r="H86" s="14">
        <v>0</v>
      </c>
      <c r="I86" s="13">
        <f t="shared" si="1"/>
        <v>13357966.025927367</v>
      </c>
    </row>
    <row r="87" spans="1:9" ht="15.75" x14ac:dyDescent="0.25">
      <c r="A87" s="8"/>
      <c r="B87" s="8"/>
      <c r="C87" s="9"/>
      <c r="D87" s="12" t="s">
        <v>83</v>
      </c>
      <c r="E87" s="14">
        <v>4979840.9800000004</v>
      </c>
      <c r="F87" s="14">
        <v>7100651.4687240236</v>
      </c>
      <c r="G87" s="14">
        <v>241900.60999999996</v>
      </c>
      <c r="H87" s="14">
        <v>0</v>
      </c>
      <c r="I87" s="13">
        <f t="shared" si="1"/>
        <v>12322393.058724023</v>
      </c>
    </row>
    <row r="88" spans="1:9" ht="15.75" x14ac:dyDescent="0.25">
      <c r="A88" s="8"/>
      <c r="B88" s="8"/>
      <c r="C88" s="9"/>
      <c r="D88" s="12" t="s">
        <v>84</v>
      </c>
      <c r="E88" s="14">
        <v>2644934.330000001</v>
      </c>
      <c r="F88" s="14">
        <v>0</v>
      </c>
      <c r="G88" s="14">
        <v>3670079.4400000004</v>
      </c>
      <c r="H88" s="14">
        <v>0</v>
      </c>
      <c r="I88" s="13">
        <f t="shared" si="1"/>
        <v>6315013.7700000014</v>
      </c>
    </row>
    <row r="89" spans="1:9" ht="15.75" x14ac:dyDescent="0.25">
      <c r="A89" s="8"/>
      <c r="B89" s="8"/>
      <c r="C89" s="9"/>
      <c r="D89" s="12" t="s">
        <v>85</v>
      </c>
      <c r="E89" s="14">
        <v>7003586.3000000007</v>
      </c>
      <c r="F89" s="14">
        <v>6962875.668926809</v>
      </c>
      <c r="G89" s="14">
        <v>780699.2899999998</v>
      </c>
      <c r="H89" s="14">
        <v>0</v>
      </c>
      <c r="I89" s="13">
        <f t="shared" si="1"/>
        <v>14747161.258926809</v>
      </c>
    </row>
    <row r="90" spans="1:9" ht="15.75" x14ac:dyDescent="0.25">
      <c r="A90" s="8"/>
      <c r="B90" s="8"/>
      <c r="C90" s="9"/>
      <c r="D90" s="12" t="s">
        <v>86</v>
      </c>
      <c r="E90" s="14">
        <v>2403400.94</v>
      </c>
      <c r="F90" s="14">
        <v>1801688.8668653038</v>
      </c>
      <c r="G90" s="14">
        <v>592658.83000000007</v>
      </c>
      <c r="H90" s="14">
        <v>0</v>
      </c>
      <c r="I90" s="13">
        <f t="shared" si="1"/>
        <v>4797748.6368653039</v>
      </c>
    </row>
    <row r="91" spans="1:9" ht="15.75" x14ac:dyDescent="0.25">
      <c r="A91" s="8"/>
      <c r="B91" s="8"/>
      <c r="C91" s="9"/>
      <c r="D91" s="12" t="s">
        <v>87</v>
      </c>
      <c r="E91" s="14">
        <v>7722740.6999999974</v>
      </c>
      <c r="F91" s="14">
        <v>4109364.2097464399</v>
      </c>
      <c r="G91" s="14">
        <v>1617536.85</v>
      </c>
      <c r="H91" s="14">
        <v>0</v>
      </c>
      <c r="I91" s="13">
        <f t="shared" si="1"/>
        <v>13449641.759746438</v>
      </c>
    </row>
    <row r="92" spans="1:9" ht="15.75" x14ac:dyDescent="0.25">
      <c r="A92" s="8"/>
      <c r="B92" s="8"/>
      <c r="C92" s="9"/>
      <c r="D92" s="12" t="s">
        <v>88</v>
      </c>
      <c r="E92" s="14">
        <v>965787.55999999994</v>
      </c>
      <c r="F92" s="14">
        <v>566973.75157999189</v>
      </c>
      <c r="G92" s="14">
        <v>3248073.72</v>
      </c>
      <c r="H92" s="14">
        <v>0</v>
      </c>
      <c r="I92" s="13">
        <f t="shared" si="1"/>
        <v>4780835.0315799918</v>
      </c>
    </row>
    <row r="93" spans="1:9" ht="15.75" x14ac:dyDescent="0.25">
      <c r="A93" s="8"/>
      <c r="B93" s="8"/>
      <c r="C93" s="9"/>
      <c r="D93" s="12" t="s">
        <v>89</v>
      </c>
      <c r="E93" s="14">
        <v>12354935.049999999</v>
      </c>
      <c r="F93" s="14">
        <v>4742592.3197802249</v>
      </c>
      <c r="G93" s="14">
        <v>512255.97999999986</v>
      </c>
      <c r="H93" s="14">
        <v>0</v>
      </c>
      <c r="I93" s="13">
        <f t="shared" si="1"/>
        <v>17609783.349780224</v>
      </c>
    </row>
    <row r="94" spans="1:9" ht="15.75" x14ac:dyDescent="0.25">
      <c r="A94" s="8"/>
      <c r="B94" s="8"/>
      <c r="C94" s="9"/>
      <c r="D94" s="12" t="s">
        <v>90</v>
      </c>
      <c r="E94" s="14">
        <v>160453.41999999998</v>
      </c>
      <c r="F94" s="14">
        <v>0</v>
      </c>
      <c r="G94" s="14">
        <v>283020.13</v>
      </c>
      <c r="H94" s="14">
        <v>0</v>
      </c>
      <c r="I94" s="13">
        <f t="shared" si="1"/>
        <v>443473.55</v>
      </c>
    </row>
    <row r="95" spans="1:9" ht="15.75" x14ac:dyDescent="0.25">
      <c r="A95" s="8"/>
      <c r="B95" s="8"/>
      <c r="C95" s="9"/>
      <c r="D95" s="12" t="s">
        <v>91</v>
      </c>
      <c r="E95" s="14">
        <v>1744406.9700000004</v>
      </c>
      <c r="F95" s="14">
        <v>145745.72785389601</v>
      </c>
      <c r="G95" s="14">
        <v>3293072.7600000002</v>
      </c>
      <c r="H95" s="14">
        <v>0</v>
      </c>
      <c r="I95" s="13">
        <f t="shared" si="1"/>
        <v>5183225.4578538965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6448949.9300000016</v>
      </c>
      <c r="H96" s="14">
        <v>0</v>
      </c>
      <c r="I96" s="13">
        <f t="shared" si="1"/>
        <v>6448949.9300000016</v>
      </c>
    </row>
    <row r="97" spans="1:9" ht="15.75" x14ac:dyDescent="0.25">
      <c r="A97" s="8"/>
      <c r="B97" s="8"/>
      <c r="C97" s="9"/>
      <c r="D97" s="12" t="s">
        <v>93</v>
      </c>
      <c r="E97" s="14">
        <v>5247495.6099999994</v>
      </c>
      <c r="F97" s="14">
        <v>6544281.1866455283</v>
      </c>
      <c r="G97" s="14">
        <v>458418.58</v>
      </c>
      <c r="H97" s="14">
        <v>0</v>
      </c>
      <c r="I97" s="13">
        <f t="shared" si="1"/>
        <v>12250195.376645528</v>
      </c>
    </row>
    <row r="98" spans="1:9" ht="15.75" x14ac:dyDescent="0.25">
      <c r="A98" s="8"/>
      <c r="B98" s="8"/>
      <c r="C98" s="9"/>
      <c r="D98" s="12" t="s">
        <v>94</v>
      </c>
      <c r="E98" s="14">
        <v>18480234.830000006</v>
      </c>
      <c r="F98" s="14">
        <v>8608215.338436719</v>
      </c>
      <c r="G98" s="14">
        <v>3834492.1199999992</v>
      </c>
      <c r="H98" s="14">
        <v>0</v>
      </c>
      <c r="I98" s="13">
        <f t="shared" si="1"/>
        <v>30922942.288436726</v>
      </c>
    </row>
    <row r="99" spans="1:9" ht="15.75" x14ac:dyDescent="0.25">
      <c r="A99" s="8"/>
      <c r="B99" s="8"/>
      <c r="C99" s="9"/>
      <c r="D99" s="12" t="s">
        <v>95</v>
      </c>
      <c r="E99" s="14">
        <v>26910614.569999997</v>
      </c>
      <c r="F99" s="14">
        <v>16403012.889036458</v>
      </c>
      <c r="G99" s="14">
        <v>1439291.9999999995</v>
      </c>
      <c r="H99" s="14">
        <v>0</v>
      </c>
      <c r="I99" s="13">
        <f t="shared" si="1"/>
        <v>44752919.459036455</v>
      </c>
    </row>
    <row r="100" spans="1:9" ht="15.75" x14ac:dyDescent="0.25">
      <c r="A100" s="8"/>
      <c r="B100" s="8"/>
      <c r="C100" s="9"/>
      <c r="D100" s="12" t="s">
        <v>96</v>
      </c>
      <c r="E100" s="14">
        <v>23012949.09999999</v>
      </c>
      <c r="F100" s="14">
        <v>16861387.707878906</v>
      </c>
      <c r="G100" s="14">
        <v>2697766.1500000004</v>
      </c>
      <c r="H100" s="14">
        <v>0</v>
      </c>
      <c r="I100" s="13">
        <f t="shared" si="1"/>
        <v>42572102.957878895</v>
      </c>
    </row>
    <row r="101" spans="1:9" ht="15.75" x14ac:dyDescent="0.25">
      <c r="A101" s="8"/>
      <c r="B101" s="8"/>
      <c r="C101" s="9"/>
      <c r="D101" s="12" t="s">
        <v>97</v>
      </c>
      <c r="E101" s="14">
        <v>892789.2</v>
      </c>
      <c r="F101" s="14">
        <v>22022505.206218176</v>
      </c>
      <c r="G101" s="14">
        <v>61453.9</v>
      </c>
      <c r="H101" s="14">
        <v>0</v>
      </c>
      <c r="I101" s="13">
        <f t="shared" si="1"/>
        <v>22976748.306218173</v>
      </c>
    </row>
    <row r="102" spans="1:9" ht="15.75" x14ac:dyDescent="0.25">
      <c r="A102" s="8"/>
      <c r="B102" s="8"/>
      <c r="C102" s="9"/>
      <c r="D102" s="12" t="s">
        <v>98</v>
      </c>
      <c r="E102" s="14">
        <v>26803104.530000001</v>
      </c>
      <c r="F102" s="14">
        <v>9530232.059011247</v>
      </c>
      <c r="G102" s="14">
        <v>1630277.0899999999</v>
      </c>
      <c r="H102" s="14">
        <v>0</v>
      </c>
      <c r="I102" s="13">
        <f t="shared" si="1"/>
        <v>37963613.679011256</v>
      </c>
    </row>
    <row r="103" spans="1:9" ht="15.75" x14ac:dyDescent="0.25">
      <c r="A103" s="8"/>
      <c r="B103" s="8"/>
      <c r="C103" s="9"/>
      <c r="D103" s="12" t="s">
        <v>99</v>
      </c>
      <c r="E103" s="14">
        <v>7311055.9000000013</v>
      </c>
      <c r="F103" s="14">
        <v>3007157.8113687122</v>
      </c>
      <c r="G103" s="14">
        <v>219222.76</v>
      </c>
      <c r="H103" s="14">
        <v>0</v>
      </c>
      <c r="I103" s="13">
        <f t="shared" si="1"/>
        <v>10537436.471368713</v>
      </c>
    </row>
    <row r="104" spans="1:9" ht="15.75" x14ac:dyDescent="0.25">
      <c r="A104" s="8"/>
      <c r="B104" s="8"/>
      <c r="C104" s="9"/>
      <c r="D104" s="12" t="s">
        <v>100</v>
      </c>
      <c r="E104" s="14">
        <v>44251245.189999998</v>
      </c>
      <c r="F104" s="14">
        <v>5495092.1357752802</v>
      </c>
      <c r="G104" s="14">
        <v>3230919.6100000003</v>
      </c>
      <c r="H104" s="14">
        <v>0</v>
      </c>
      <c r="I104" s="13">
        <f t="shared" si="1"/>
        <v>52977256.93577528</v>
      </c>
    </row>
    <row r="105" spans="1:9" ht="15.75" x14ac:dyDescent="0.25">
      <c r="A105" s="8"/>
      <c r="B105" s="8"/>
      <c r="C105" s="9"/>
      <c r="D105" s="12" t="s">
        <v>101</v>
      </c>
      <c r="E105" s="14">
        <v>6214735.2799999993</v>
      </c>
      <c r="F105" s="14">
        <v>8160443.989095767</v>
      </c>
      <c r="G105" s="14">
        <v>42455.590000000004</v>
      </c>
      <c r="H105" s="14">
        <v>0</v>
      </c>
      <c r="I105" s="13">
        <f t="shared" si="1"/>
        <v>14417634.859095767</v>
      </c>
    </row>
    <row r="106" spans="1:9" ht="15.75" x14ac:dyDescent="0.25">
      <c r="A106" s="8"/>
      <c r="B106" s="8"/>
      <c r="C106" s="9"/>
      <c r="D106" s="12" t="s">
        <v>102</v>
      </c>
      <c r="E106" s="14">
        <v>8164901.9000000013</v>
      </c>
      <c r="F106" s="14">
        <v>503422.238293248</v>
      </c>
      <c r="G106" s="14">
        <v>6244369.3500000015</v>
      </c>
      <c r="H106" s="14">
        <v>0</v>
      </c>
      <c r="I106" s="13">
        <f t="shared" si="1"/>
        <v>14912693.488293251</v>
      </c>
    </row>
    <row r="107" spans="1:9" ht="15.75" x14ac:dyDescent="0.25">
      <c r="A107" s="8"/>
      <c r="B107" s="8"/>
      <c r="C107" s="9"/>
      <c r="D107" s="12" t="s">
        <v>103</v>
      </c>
      <c r="E107" s="14">
        <v>4889.67</v>
      </c>
      <c r="F107" s="14">
        <v>0</v>
      </c>
      <c r="G107" s="14">
        <v>2424751.2899999996</v>
      </c>
      <c r="H107" s="14">
        <v>0</v>
      </c>
      <c r="I107" s="13">
        <f t="shared" si="1"/>
        <v>2429640.9599999995</v>
      </c>
    </row>
    <row r="108" spans="1:9" ht="15.75" x14ac:dyDescent="0.25">
      <c r="A108" s="8"/>
      <c r="B108" s="8"/>
      <c r="C108" s="9"/>
      <c r="D108" s="12" t="s">
        <v>104</v>
      </c>
      <c r="E108" s="14">
        <v>836892.78000000014</v>
      </c>
      <c r="F108" s="14">
        <v>0</v>
      </c>
      <c r="G108" s="14">
        <v>1058829.5999999999</v>
      </c>
      <c r="H108" s="14">
        <v>0</v>
      </c>
      <c r="I108" s="13">
        <f t="shared" si="1"/>
        <v>1895722.38</v>
      </c>
    </row>
    <row r="109" spans="1:9" ht="15.75" x14ac:dyDescent="0.25">
      <c r="A109" s="8"/>
      <c r="B109" s="8"/>
      <c r="C109" s="9"/>
      <c r="D109" s="12" t="s">
        <v>105</v>
      </c>
      <c r="E109" s="14">
        <v>4032191.56</v>
      </c>
      <c r="F109" s="14">
        <v>13507156.855572335</v>
      </c>
      <c r="G109" s="14">
        <v>354754.16000000003</v>
      </c>
      <c r="H109" s="14">
        <v>0</v>
      </c>
      <c r="I109" s="13">
        <f t="shared" si="1"/>
        <v>17894102.575572334</v>
      </c>
    </row>
    <row r="110" spans="1:9" ht="15.75" x14ac:dyDescent="0.25">
      <c r="A110" s="8"/>
      <c r="B110" s="8"/>
      <c r="C110" s="9"/>
      <c r="D110" s="12" t="s">
        <v>106</v>
      </c>
      <c r="E110" s="14">
        <v>3646262.7100000004</v>
      </c>
      <c r="F110" s="14">
        <v>3627148.9104561843</v>
      </c>
      <c r="G110" s="14">
        <v>326647.94</v>
      </c>
      <c r="H110" s="14">
        <v>0</v>
      </c>
      <c r="I110" s="13">
        <f t="shared" si="1"/>
        <v>7600059.5604561856</v>
      </c>
    </row>
    <row r="111" spans="1:9" ht="15.75" x14ac:dyDescent="0.25">
      <c r="A111" s="8"/>
      <c r="B111" s="8"/>
      <c r="C111" s="9"/>
      <c r="D111" s="12" t="s">
        <v>107</v>
      </c>
      <c r="E111" s="14">
        <v>163535.24999999997</v>
      </c>
      <c r="F111" s="14">
        <v>50314.502340431995</v>
      </c>
      <c r="G111" s="14">
        <v>8029480.6699999999</v>
      </c>
      <c r="H111" s="14">
        <v>0</v>
      </c>
      <c r="I111" s="13">
        <f t="shared" si="1"/>
        <v>8243330.4223404322</v>
      </c>
    </row>
    <row r="112" spans="1:9" ht="15.75" x14ac:dyDescent="0.25">
      <c r="A112" s="8"/>
      <c r="B112" s="8"/>
      <c r="C112" s="9"/>
      <c r="D112" s="12" t="s">
        <v>108</v>
      </c>
      <c r="E112" s="14">
        <v>17018493.490000002</v>
      </c>
      <c r="F112" s="14">
        <v>3444325.6912081679</v>
      </c>
      <c r="G112" s="14">
        <v>809820.96</v>
      </c>
      <c r="H112" s="14">
        <v>0</v>
      </c>
      <c r="I112" s="13">
        <f t="shared" si="1"/>
        <v>21272640.141208172</v>
      </c>
    </row>
    <row r="113" spans="1:9" ht="15.75" x14ac:dyDescent="0.25">
      <c r="A113" s="8"/>
      <c r="B113" s="8"/>
      <c r="C113" s="9"/>
      <c r="D113" s="12" t="s">
        <v>109</v>
      </c>
      <c r="E113" s="14">
        <v>8746968.2400000021</v>
      </c>
      <c r="F113" s="14">
        <v>8292952.7060033521</v>
      </c>
      <c r="G113" s="14">
        <v>460874.7</v>
      </c>
      <c r="H113" s="14">
        <v>0</v>
      </c>
      <c r="I113" s="13">
        <f t="shared" si="1"/>
        <v>17500795.646003354</v>
      </c>
    </row>
    <row r="114" spans="1:9" ht="15.75" x14ac:dyDescent="0.25">
      <c r="A114" s="8"/>
      <c r="B114" s="8"/>
      <c r="C114" s="9"/>
      <c r="D114" s="12" t="s">
        <v>110</v>
      </c>
      <c r="E114" s="14">
        <v>22108432.09</v>
      </c>
      <c r="F114" s="14">
        <v>9511727.9651753046</v>
      </c>
      <c r="G114" s="14">
        <v>823202.29000000039</v>
      </c>
      <c r="H114" s="14">
        <v>0</v>
      </c>
      <c r="I114" s="13">
        <f t="shared" si="1"/>
        <v>32443362.345175304</v>
      </c>
    </row>
    <row r="115" spans="1:9" ht="15.75" x14ac:dyDescent="0.25">
      <c r="A115" s="8"/>
      <c r="B115" s="8"/>
      <c r="C115" s="9"/>
      <c r="D115" s="12" t="s">
        <v>111</v>
      </c>
      <c r="E115" s="14">
        <v>37671898.38000001</v>
      </c>
      <c r="F115" s="14">
        <v>4702881.286941288</v>
      </c>
      <c r="G115" s="14">
        <v>1291001.6299999999</v>
      </c>
      <c r="H115" s="14">
        <v>0</v>
      </c>
      <c r="I115" s="13">
        <f t="shared" si="1"/>
        <v>43665781.296941303</v>
      </c>
    </row>
    <row r="116" spans="1:9" ht="15.75" x14ac:dyDescent="0.25">
      <c r="A116" s="8"/>
      <c r="B116" s="8"/>
      <c r="C116" s="9"/>
      <c r="D116" s="12" t="s">
        <v>112</v>
      </c>
      <c r="E116" s="14">
        <v>6958056.6099999994</v>
      </c>
      <c r="F116" s="14">
        <v>6107113.3068060717</v>
      </c>
      <c r="G116" s="14">
        <v>290323.05</v>
      </c>
      <c r="H116" s="14">
        <v>0</v>
      </c>
      <c r="I116" s="13">
        <f t="shared" si="1"/>
        <v>13355492.966806073</v>
      </c>
    </row>
    <row r="117" spans="1:9" ht="15.75" x14ac:dyDescent="0.25">
      <c r="A117" s="8"/>
      <c r="B117" s="8"/>
      <c r="C117" s="9"/>
      <c r="D117" s="12" t="s">
        <v>113</v>
      </c>
      <c r="E117" s="14">
        <v>6470566.0199999996</v>
      </c>
      <c r="F117" s="14">
        <v>4716118.2978876</v>
      </c>
      <c r="G117" s="14">
        <v>913402.91999999993</v>
      </c>
      <c r="H117" s="14">
        <v>0</v>
      </c>
      <c r="I117" s="13">
        <f t="shared" si="1"/>
        <v>12100087.2378876</v>
      </c>
    </row>
    <row r="118" spans="1:9" ht="15.75" x14ac:dyDescent="0.25">
      <c r="A118" s="8"/>
      <c r="B118" s="8"/>
      <c r="C118" s="9"/>
      <c r="D118" s="12" t="s">
        <v>114</v>
      </c>
      <c r="E118" s="14">
        <v>10649804.609999999</v>
      </c>
      <c r="F118" s="14">
        <v>7365599.5988169601</v>
      </c>
      <c r="G118" s="14">
        <v>898792.6399999999</v>
      </c>
      <c r="H118" s="14">
        <v>0</v>
      </c>
      <c r="I118" s="13">
        <f t="shared" si="1"/>
        <v>18914196.848816961</v>
      </c>
    </row>
    <row r="119" spans="1:9" ht="15.75" x14ac:dyDescent="0.25">
      <c r="A119" s="8"/>
      <c r="B119" s="8"/>
      <c r="C119" s="9"/>
      <c r="D119" s="12" t="s">
        <v>115</v>
      </c>
      <c r="E119" s="14">
        <v>2452724.8600000003</v>
      </c>
      <c r="F119" s="14">
        <v>715353.02087870403</v>
      </c>
      <c r="G119" s="14">
        <v>395369.38</v>
      </c>
      <c r="H119" s="14">
        <v>0</v>
      </c>
      <c r="I119" s="13">
        <f t="shared" si="1"/>
        <v>3563447.2608787045</v>
      </c>
    </row>
    <row r="120" spans="1:9" ht="15.75" x14ac:dyDescent="0.25">
      <c r="A120" s="8"/>
      <c r="B120" s="8"/>
      <c r="C120" s="9"/>
      <c r="D120" s="12" t="s">
        <v>116</v>
      </c>
      <c r="E120" s="14">
        <v>29542654.789999999</v>
      </c>
      <c r="F120" s="14">
        <v>3126429.5173299843</v>
      </c>
      <c r="G120" s="14">
        <v>825798.61</v>
      </c>
      <c r="H120" s="14">
        <v>0</v>
      </c>
      <c r="I120" s="13">
        <f t="shared" si="1"/>
        <v>33494882.917329982</v>
      </c>
    </row>
    <row r="121" spans="1:9" ht="15.75" x14ac:dyDescent="0.25">
      <c r="A121" s="8"/>
      <c r="B121" s="8"/>
      <c r="C121" s="9"/>
      <c r="D121" s="12" t="s">
        <v>117</v>
      </c>
      <c r="E121" s="14">
        <v>10671756.189999999</v>
      </c>
      <c r="F121" s="14">
        <v>4795609.6672877027</v>
      </c>
      <c r="G121" s="14">
        <v>621176.00999999989</v>
      </c>
      <c r="H121" s="14">
        <v>0</v>
      </c>
      <c r="I121" s="13">
        <f t="shared" si="1"/>
        <v>16088541.867287701</v>
      </c>
    </row>
    <row r="122" spans="1:9" ht="15.75" x14ac:dyDescent="0.25">
      <c r="A122" s="8"/>
      <c r="B122" s="8"/>
      <c r="C122" s="9"/>
      <c r="D122" s="12" t="s">
        <v>118</v>
      </c>
      <c r="E122" s="14">
        <v>11113374.840000002</v>
      </c>
      <c r="F122" s="14">
        <v>3420485.2107603597</v>
      </c>
      <c r="G122" s="14">
        <v>1427332.5799999998</v>
      </c>
      <c r="H122" s="14">
        <v>0</v>
      </c>
      <c r="I122" s="13">
        <f t="shared" si="1"/>
        <v>15961192.630760362</v>
      </c>
    </row>
    <row r="123" spans="1:9" ht="15.75" x14ac:dyDescent="0.25">
      <c r="A123" s="8"/>
      <c r="B123" s="8"/>
      <c r="C123" s="9"/>
      <c r="D123" s="12" t="s">
        <v>119</v>
      </c>
      <c r="E123" s="14">
        <v>12755658.16</v>
      </c>
      <c r="F123" s="14">
        <v>6284600.1394422241</v>
      </c>
      <c r="G123" s="14">
        <v>407881.86</v>
      </c>
      <c r="H123" s="14">
        <v>0</v>
      </c>
      <c r="I123" s="13">
        <f t="shared" si="1"/>
        <v>19448140.159442224</v>
      </c>
    </row>
    <row r="124" spans="1:9" ht="15.75" x14ac:dyDescent="0.25">
      <c r="A124" s="8"/>
      <c r="B124" s="8"/>
      <c r="C124" s="9"/>
      <c r="D124" s="12" t="s">
        <v>120</v>
      </c>
      <c r="E124" s="14">
        <v>339756.52</v>
      </c>
      <c r="F124" s="14">
        <v>0</v>
      </c>
      <c r="G124" s="14">
        <v>2511939.4199999995</v>
      </c>
      <c r="H124" s="14">
        <v>1702599.1449999996</v>
      </c>
      <c r="I124" s="13">
        <f t="shared" si="1"/>
        <v>4554295.084999999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8890604.3000000007</v>
      </c>
      <c r="H125" s="14">
        <v>377086.71</v>
      </c>
      <c r="I125" s="13">
        <f t="shared" si="1"/>
        <v>9267691.0100000016</v>
      </c>
    </row>
    <row r="126" spans="1:9" ht="15.75" x14ac:dyDescent="0.25">
      <c r="A126" s="8"/>
      <c r="B126" s="8"/>
      <c r="C126" s="9"/>
      <c r="D126" s="12" t="s">
        <v>122</v>
      </c>
      <c r="E126" s="14">
        <v>81259.58</v>
      </c>
      <c r="F126" s="14">
        <v>0</v>
      </c>
      <c r="G126" s="14">
        <v>3490298.51</v>
      </c>
      <c r="H126" s="14">
        <v>0</v>
      </c>
      <c r="I126" s="13">
        <f t="shared" si="1"/>
        <v>3571558.09</v>
      </c>
    </row>
    <row r="127" spans="1:9" ht="15.75" x14ac:dyDescent="0.25">
      <c r="A127" s="8"/>
      <c r="B127" s="8"/>
      <c r="C127" s="9"/>
      <c r="D127" s="12" t="s">
        <v>123</v>
      </c>
      <c r="E127" s="14">
        <v>7574522.589999998</v>
      </c>
      <c r="F127" s="14">
        <v>1324740.6504646798</v>
      </c>
      <c r="G127" s="14">
        <v>7441105.6500000004</v>
      </c>
      <c r="H127" s="14">
        <v>0</v>
      </c>
      <c r="I127" s="13">
        <f t="shared" si="1"/>
        <v>16340368.890464678</v>
      </c>
    </row>
    <row r="128" spans="1:9" ht="15.75" x14ac:dyDescent="0.25">
      <c r="A128" s="8"/>
      <c r="B128" s="8"/>
      <c r="C128" s="9"/>
      <c r="D128" s="12" t="s">
        <v>124</v>
      </c>
      <c r="E128" s="14">
        <v>14350185.240000002</v>
      </c>
      <c r="F128" s="14">
        <v>3788765.1907012081</v>
      </c>
      <c r="G128" s="14">
        <v>1367859.9499999997</v>
      </c>
      <c r="H128" s="14">
        <v>0</v>
      </c>
      <c r="I128" s="13">
        <f t="shared" si="1"/>
        <v>19506810.38070121</v>
      </c>
    </row>
    <row r="129" spans="1:9" ht="15.75" x14ac:dyDescent="0.25">
      <c r="A129" s="8"/>
      <c r="B129" s="8"/>
      <c r="C129" s="9"/>
      <c r="D129" s="12" t="s">
        <v>125</v>
      </c>
      <c r="E129" s="14">
        <v>6037133.5700000003</v>
      </c>
      <c r="F129" s="14">
        <v>2000382.6385044481</v>
      </c>
      <c r="G129" s="14">
        <v>789858.78999999992</v>
      </c>
      <c r="H129" s="14">
        <v>0</v>
      </c>
      <c r="I129" s="13">
        <f t="shared" si="1"/>
        <v>8827374.9985044487</v>
      </c>
    </row>
    <row r="130" spans="1:9" ht="15.75" x14ac:dyDescent="0.25">
      <c r="A130" s="8"/>
      <c r="B130" s="8"/>
      <c r="C130" s="9"/>
      <c r="D130" s="12" t="s">
        <v>126</v>
      </c>
      <c r="E130" s="14">
        <v>4024400.6500000013</v>
      </c>
      <c r="F130" s="14">
        <v>3523817.060608272</v>
      </c>
      <c r="G130" s="14">
        <v>346322.60000000003</v>
      </c>
      <c r="H130" s="14">
        <v>0</v>
      </c>
      <c r="I130" s="13">
        <f t="shared" si="1"/>
        <v>7894540.3106082734</v>
      </c>
    </row>
    <row r="131" spans="1:9" ht="15.75" x14ac:dyDescent="0.25">
      <c r="A131" s="8"/>
      <c r="B131" s="8"/>
      <c r="C131" s="9"/>
      <c r="D131" s="12" t="s">
        <v>127</v>
      </c>
      <c r="E131" s="14">
        <v>37845380.499999993</v>
      </c>
      <c r="F131" s="14">
        <v>19259227.193383869</v>
      </c>
      <c r="G131" s="14">
        <v>6388081.830000001</v>
      </c>
      <c r="H131" s="14">
        <v>0</v>
      </c>
      <c r="I131" s="13">
        <f t="shared" si="1"/>
        <v>63492689.523383856</v>
      </c>
    </row>
    <row r="132" spans="1:9" ht="15.75" x14ac:dyDescent="0.25">
      <c r="A132" s="8"/>
      <c r="B132" s="8"/>
      <c r="C132" s="9"/>
      <c r="D132" s="12" t="s">
        <v>128</v>
      </c>
      <c r="E132" s="14">
        <v>8335577.8000000007</v>
      </c>
      <c r="F132" s="14">
        <v>11816769.766611623</v>
      </c>
      <c r="G132" s="14">
        <v>148842.00000000003</v>
      </c>
      <c r="H132" s="14">
        <v>0</v>
      </c>
      <c r="I132" s="13">
        <f t="shared" si="1"/>
        <v>20301189.566611625</v>
      </c>
    </row>
    <row r="133" spans="1:9" ht="15.75" x14ac:dyDescent="0.25">
      <c r="A133" s="8"/>
      <c r="B133" s="8"/>
      <c r="C133" s="9"/>
      <c r="D133" s="12" t="s">
        <v>129</v>
      </c>
      <c r="E133" s="14">
        <v>6078890.5499999998</v>
      </c>
      <c r="F133" s="14">
        <v>0</v>
      </c>
      <c r="G133" s="14">
        <v>7647848.9100000001</v>
      </c>
      <c r="H133" s="14">
        <v>1427396.2449999999</v>
      </c>
      <c r="I133" s="13">
        <f t="shared" si="1"/>
        <v>15154135.705</v>
      </c>
    </row>
    <row r="134" spans="1:9" ht="15.75" x14ac:dyDescent="0.25">
      <c r="A134" s="8"/>
      <c r="B134" s="8"/>
      <c r="C134" s="9"/>
      <c r="D134" s="12" t="s">
        <v>130</v>
      </c>
      <c r="E134" s="14">
        <v>1775341.4600000002</v>
      </c>
      <c r="F134" s="14">
        <v>582913.60769335204</v>
      </c>
      <c r="G134" s="14">
        <v>19250.29</v>
      </c>
      <c r="H134" s="14">
        <v>0</v>
      </c>
      <c r="I134" s="13">
        <f t="shared" si="1"/>
        <v>2377505.3576933523</v>
      </c>
    </row>
    <row r="135" spans="1:9" ht="15.75" x14ac:dyDescent="0.25">
      <c r="A135" s="8"/>
      <c r="B135" s="8"/>
      <c r="C135" s="9"/>
      <c r="D135" s="12" t="s">
        <v>131</v>
      </c>
      <c r="E135" s="14">
        <v>4530830.9400000004</v>
      </c>
      <c r="F135" s="14">
        <v>7365599.5988169601</v>
      </c>
      <c r="G135" s="14">
        <v>382105.1999999999</v>
      </c>
      <c r="H135" s="14">
        <v>0</v>
      </c>
      <c r="I135" s="13">
        <f t="shared" si="1"/>
        <v>12278535.73881696</v>
      </c>
    </row>
    <row r="136" spans="1:9" ht="15.75" x14ac:dyDescent="0.25">
      <c r="A136" s="8"/>
      <c r="B136" s="8"/>
      <c r="C136" s="9"/>
      <c r="D136" s="12" t="s">
        <v>132</v>
      </c>
      <c r="E136" s="14">
        <v>29931538.300000001</v>
      </c>
      <c r="F136" s="14">
        <v>8902340.3355893269</v>
      </c>
      <c r="G136" s="14">
        <v>2052742.4499999997</v>
      </c>
      <c r="H136" s="14">
        <v>0</v>
      </c>
      <c r="I136" s="13">
        <f t="shared" si="1"/>
        <v>40886621.085589334</v>
      </c>
    </row>
    <row r="137" spans="1:9" ht="15.75" x14ac:dyDescent="0.25">
      <c r="A137" s="8"/>
      <c r="B137" s="8"/>
      <c r="C137" s="9"/>
      <c r="D137" s="12" t="s">
        <v>133</v>
      </c>
      <c r="E137" s="14">
        <v>34452100.470000006</v>
      </c>
      <c r="F137" s="14">
        <v>14956436.294887921</v>
      </c>
      <c r="G137" s="14">
        <v>3345372.95</v>
      </c>
      <c r="H137" s="14">
        <v>0</v>
      </c>
      <c r="I137" s="13">
        <f t="shared" si="1"/>
        <v>52753909.714887932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4979013.8900000006</v>
      </c>
      <c r="H138" s="14">
        <v>0</v>
      </c>
      <c r="I138" s="13">
        <f t="shared" ref="I138:I144" si="2">SUM(E138:H138)</f>
        <v>4979013.8900000006</v>
      </c>
    </row>
    <row r="139" spans="1:9" ht="15.75" x14ac:dyDescent="0.25">
      <c r="A139" s="8"/>
      <c r="B139" s="8"/>
      <c r="C139" s="9"/>
      <c r="D139" s="12" t="s">
        <v>135</v>
      </c>
      <c r="E139" s="14">
        <v>5329862.72</v>
      </c>
      <c r="F139" s="14">
        <v>2095744.5602956798</v>
      </c>
      <c r="G139" s="14">
        <v>352076.70000000007</v>
      </c>
      <c r="H139" s="14">
        <v>0</v>
      </c>
      <c r="I139" s="13">
        <f t="shared" si="2"/>
        <v>7777683.9802956795</v>
      </c>
    </row>
    <row r="140" spans="1:9" ht="15.75" x14ac:dyDescent="0.25">
      <c r="A140" s="8"/>
      <c r="B140" s="8"/>
      <c r="C140" s="9"/>
      <c r="D140" s="12" t="s">
        <v>136</v>
      </c>
      <c r="E140" s="14">
        <v>19649393.420000002</v>
      </c>
      <c r="F140" s="14">
        <v>14863707.914541503</v>
      </c>
      <c r="G140" s="14">
        <v>1226868.7399999998</v>
      </c>
      <c r="H140" s="14">
        <v>0</v>
      </c>
      <c r="I140" s="13">
        <f t="shared" si="2"/>
        <v>35739970.074541509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5468683.2800000003</v>
      </c>
      <c r="H141" s="14">
        <v>161767.70000000004</v>
      </c>
      <c r="I141" s="13">
        <f t="shared" si="2"/>
        <v>5630450.9800000004</v>
      </c>
    </row>
    <row r="142" spans="1:9" ht="15.75" x14ac:dyDescent="0.25">
      <c r="A142" s="8"/>
      <c r="B142" s="8"/>
      <c r="C142" s="9"/>
      <c r="D142" s="12" t="s">
        <v>138</v>
      </c>
      <c r="E142" s="14">
        <v>56965.96</v>
      </c>
      <c r="F142" s="14">
        <v>0</v>
      </c>
      <c r="G142" s="14">
        <v>2482937.3799999994</v>
      </c>
      <c r="H142" s="14">
        <v>0</v>
      </c>
      <c r="I142" s="13">
        <f t="shared" si="2"/>
        <v>2539903.3399999994</v>
      </c>
    </row>
    <row r="143" spans="1:9" ht="15.75" x14ac:dyDescent="0.25">
      <c r="A143" s="8"/>
      <c r="B143" s="8"/>
      <c r="C143" s="9"/>
      <c r="D143" s="12" t="s">
        <v>139</v>
      </c>
      <c r="E143" s="14">
        <v>2176904.3199999998</v>
      </c>
      <c r="F143" s="14">
        <v>13737661.035715967</v>
      </c>
      <c r="G143" s="14">
        <v>180118.86</v>
      </c>
      <c r="H143" s="14">
        <v>0</v>
      </c>
      <c r="I143" s="13">
        <f t="shared" si="2"/>
        <v>16094684.215715967</v>
      </c>
    </row>
    <row r="144" spans="1:9" ht="15.75" x14ac:dyDescent="0.25">
      <c r="A144" s="8"/>
      <c r="B144" s="8"/>
      <c r="C144" s="9"/>
      <c r="D144" s="12" t="s">
        <v>140</v>
      </c>
      <c r="E144" s="14">
        <v>12157895.930000003</v>
      </c>
      <c r="F144" s="14">
        <v>1669180.1499577202</v>
      </c>
      <c r="G144" s="14">
        <v>1732519.3800000001</v>
      </c>
      <c r="H144" s="14">
        <v>0</v>
      </c>
      <c r="I144" s="13">
        <f t="shared" si="2"/>
        <v>15559595.459957724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1429040306.5999992</v>
      </c>
      <c r="F145" s="22">
        <f>SUM(F10:F144)</f>
        <v>693005481.21521747</v>
      </c>
      <c r="G145" s="22">
        <f>SUM(G10:G144)</f>
        <v>303551431.86999995</v>
      </c>
      <c r="H145" s="22">
        <f>SUM(H10:H144)</f>
        <v>3668849.8</v>
      </c>
      <c r="I145" s="22">
        <f>SUM(I10:I144)</f>
        <v>2429266069.485218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0.25" x14ac:dyDescent="0.3">
      <c r="D5" s="18" t="s">
        <v>143</v>
      </c>
      <c r="E5" s="19"/>
      <c r="F5" s="19"/>
      <c r="G5" s="19"/>
      <c r="H5" s="19"/>
      <c r="I5" s="19"/>
    </row>
    <row r="6" spans="1:9" ht="20.25" x14ac:dyDescent="0.3">
      <c r="D6" s="18" t="s">
        <v>152</v>
      </c>
      <c r="E6" s="19"/>
      <c r="F6" s="19"/>
      <c r="G6" s="19"/>
      <c r="H6" s="19"/>
      <c r="I6" s="19"/>
    </row>
    <row r="7" spans="1:9" ht="15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316374.37</v>
      </c>
      <c r="F10" s="14">
        <v>3032574.7783446172</v>
      </c>
      <c r="G10" s="14">
        <v>427259.49999999988</v>
      </c>
      <c r="H10" s="14">
        <v>0</v>
      </c>
      <c r="I10" s="13">
        <f t="shared" ref="I10:I73" si="0">SUM(E10:H10)</f>
        <v>3776208.6483446173</v>
      </c>
    </row>
    <row r="11" spans="1:9" ht="15.75" x14ac:dyDescent="0.25">
      <c r="A11" s="8"/>
      <c r="B11" s="8"/>
      <c r="C11" s="9"/>
      <c r="D11" s="12" t="s">
        <v>7</v>
      </c>
      <c r="E11" s="14">
        <v>631379.72000000009</v>
      </c>
      <c r="F11" s="14">
        <v>1702114.5622700152</v>
      </c>
      <c r="G11" s="14">
        <v>447477.81000000006</v>
      </c>
      <c r="H11" s="14">
        <v>0</v>
      </c>
      <c r="I11" s="13">
        <f t="shared" si="0"/>
        <v>2780972.0922700153</v>
      </c>
    </row>
    <row r="12" spans="1:9" ht="15.75" x14ac:dyDescent="0.25">
      <c r="A12" s="8"/>
      <c r="B12" s="8"/>
      <c r="C12" s="9"/>
      <c r="D12" s="12" t="s">
        <v>8</v>
      </c>
      <c r="E12" s="14">
        <v>293980.04000000004</v>
      </c>
      <c r="F12" s="14">
        <v>617070.61662172177</v>
      </c>
      <c r="G12" s="14">
        <v>317390.28999999992</v>
      </c>
      <c r="H12" s="14">
        <v>0</v>
      </c>
      <c r="I12" s="13">
        <f t="shared" si="0"/>
        <v>1228440.9466217216</v>
      </c>
    </row>
    <row r="13" spans="1:9" ht="15.75" x14ac:dyDescent="0.25">
      <c r="A13" s="8"/>
      <c r="B13" s="8"/>
      <c r="C13" s="9"/>
      <c r="D13" s="12" t="s">
        <v>9</v>
      </c>
      <c r="E13" s="14">
        <v>163883.71999999997</v>
      </c>
      <c r="F13" s="14">
        <v>16325.975071277993</v>
      </c>
      <c r="G13" s="14">
        <v>4046796.7199999993</v>
      </c>
      <c r="H13" s="14">
        <v>0</v>
      </c>
      <c r="I13" s="13">
        <f t="shared" si="0"/>
        <v>4227006.4150712769</v>
      </c>
    </row>
    <row r="14" spans="1:9" ht="15.75" x14ac:dyDescent="0.25">
      <c r="A14" s="8"/>
      <c r="B14" s="8"/>
      <c r="C14" s="9"/>
      <c r="D14" s="12" t="s">
        <v>10</v>
      </c>
      <c r="E14" s="14">
        <v>3157684.4699999997</v>
      </c>
      <c r="F14" s="14">
        <v>685634.01846857974</v>
      </c>
      <c r="G14" s="14">
        <v>681858.74000000011</v>
      </c>
      <c r="H14" s="14">
        <v>0</v>
      </c>
      <c r="I14" s="13">
        <f t="shared" si="0"/>
        <v>4525177.2284685792</v>
      </c>
    </row>
    <row r="15" spans="1:9" ht="15.75" x14ac:dyDescent="0.25">
      <c r="A15" s="8"/>
      <c r="B15" s="8"/>
      <c r="C15" s="9"/>
      <c r="D15" s="12" t="s">
        <v>11</v>
      </c>
      <c r="E15" s="14">
        <v>11086.01</v>
      </c>
      <c r="F15" s="14">
        <v>3814.6131814319988</v>
      </c>
      <c r="G15" s="14">
        <v>4247386.1300000008</v>
      </c>
      <c r="H15" s="14">
        <v>0</v>
      </c>
      <c r="I15" s="13">
        <f t="shared" si="0"/>
        <v>4262286.7531814324</v>
      </c>
    </row>
    <row r="16" spans="1:9" ht="15.75" x14ac:dyDescent="0.25">
      <c r="A16" s="8"/>
      <c r="B16" s="8"/>
      <c r="C16" s="9"/>
      <c r="D16" s="12" t="s">
        <v>12</v>
      </c>
      <c r="E16" s="14">
        <v>651116.56000000017</v>
      </c>
      <c r="F16" s="14">
        <v>3269280.0664312369</v>
      </c>
      <c r="G16" s="14">
        <v>811587.1</v>
      </c>
      <c r="H16" s="14">
        <v>0</v>
      </c>
      <c r="I16" s="13">
        <f t="shared" si="0"/>
        <v>4731983.7264312366</v>
      </c>
    </row>
    <row r="17" spans="1:9" ht="15.75" x14ac:dyDescent="0.25">
      <c r="A17" s="8"/>
      <c r="B17" s="8"/>
      <c r="C17" s="9"/>
      <c r="D17" s="12" t="s">
        <v>13</v>
      </c>
      <c r="E17" s="14">
        <v>2170692.66</v>
      </c>
      <c r="F17" s="14">
        <v>3118005.0332511645</v>
      </c>
      <c r="G17" s="14">
        <v>1643701.8099999998</v>
      </c>
      <c r="H17" s="14">
        <v>0</v>
      </c>
      <c r="I17" s="13">
        <f t="shared" si="0"/>
        <v>6932399.5032511642</v>
      </c>
    </row>
    <row r="18" spans="1:9" ht="15.75" x14ac:dyDescent="0.25">
      <c r="A18" s="8"/>
      <c r="B18" s="8"/>
      <c r="C18" s="9"/>
      <c r="D18" s="12" t="s">
        <v>14</v>
      </c>
      <c r="E18" s="14">
        <v>491989.31</v>
      </c>
      <c r="F18" s="14">
        <v>244875.39243789591</v>
      </c>
      <c r="G18" s="14">
        <v>8604861.7299999986</v>
      </c>
      <c r="H18" s="14">
        <v>0</v>
      </c>
      <c r="I18" s="13">
        <f t="shared" si="0"/>
        <v>9341726.4324378949</v>
      </c>
    </row>
    <row r="19" spans="1:9" ht="15.75" x14ac:dyDescent="0.25">
      <c r="A19" s="8"/>
      <c r="B19" s="8"/>
      <c r="C19" s="9"/>
      <c r="D19" s="12" t="s">
        <v>15</v>
      </c>
      <c r="E19" s="14">
        <v>1311282.79</v>
      </c>
      <c r="F19" s="14">
        <v>2337148.0215595253</v>
      </c>
      <c r="G19" s="14">
        <v>1311371.3300000003</v>
      </c>
      <c r="H19" s="14">
        <v>0</v>
      </c>
      <c r="I19" s="13">
        <f t="shared" si="0"/>
        <v>4959802.1415595254</v>
      </c>
    </row>
    <row r="20" spans="1:9" ht="15.75" x14ac:dyDescent="0.25">
      <c r="A20" s="8"/>
      <c r="B20" s="8"/>
      <c r="C20" s="9"/>
      <c r="D20" s="12" t="s">
        <v>16</v>
      </c>
      <c r="E20" s="14">
        <v>1150010.6000000001</v>
      </c>
      <c r="F20" s="14">
        <v>649722.56676427764</v>
      </c>
      <c r="G20" s="14">
        <v>617902.09000000008</v>
      </c>
      <c r="H20" s="14">
        <v>0</v>
      </c>
      <c r="I20" s="13">
        <f t="shared" si="0"/>
        <v>2417635.2567642778</v>
      </c>
    </row>
    <row r="21" spans="1:9" ht="15.75" x14ac:dyDescent="0.25">
      <c r="A21" s="8"/>
      <c r="B21" s="8"/>
      <c r="C21" s="9"/>
      <c r="D21" s="12" t="s">
        <v>17</v>
      </c>
      <c r="E21" s="14">
        <v>1052363.6299999999</v>
      </c>
      <c r="F21" s="14">
        <v>2795869.4902579966</v>
      </c>
      <c r="G21" s="14">
        <v>568361.38</v>
      </c>
      <c r="H21" s="14">
        <v>0</v>
      </c>
      <c r="I21" s="13">
        <f t="shared" si="0"/>
        <v>4416594.5002579968</v>
      </c>
    </row>
    <row r="22" spans="1:9" ht="15.75" x14ac:dyDescent="0.25">
      <c r="A22" s="8"/>
      <c r="B22" s="8"/>
      <c r="C22" s="9"/>
      <c r="D22" s="12" t="s">
        <v>18</v>
      </c>
      <c r="E22" s="14">
        <v>87192.090000000011</v>
      </c>
      <c r="F22" s="14">
        <v>119719.07264561397</v>
      </c>
      <c r="G22" s="14">
        <v>3012189.6200000006</v>
      </c>
      <c r="H22" s="14">
        <v>0</v>
      </c>
      <c r="I22" s="13">
        <f t="shared" si="0"/>
        <v>3219100.7826456144</v>
      </c>
    </row>
    <row r="23" spans="1:9" ht="15.75" x14ac:dyDescent="0.25">
      <c r="A23" s="8"/>
      <c r="B23" s="8"/>
      <c r="C23" s="9"/>
      <c r="D23" s="12" t="s">
        <v>19</v>
      </c>
      <c r="E23" s="14">
        <v>13817.56</v>
      </c>
      <c r="F23" s="14">
        <v>44622.434043989982</v>
      </c>
      <c r="G23" s="14">
        <v>2759771.74</v>
      </c>
      <c r="H23" s="14">
        <v>0</v>
      </c>
      <c r="I23" s="13">
        <f t="shared" si="0"/>
        <v>2818211.7340439903</v>
      </c>
    </row>
    <row r="24" spans="1:9" ht="15.75" x14ac:dyDescent="0.25">
      <c r="A24" s="8"/>
      <c r="B24" s="8"/>
      <c r="C24" s="9"/>
      <c r="D24" s="12" t="s">
        <v>20</v>
      </c>
      <c r="E24" s="14">
        <v>876888.89</v>
      </c>
      <c r="F24" s="14">
        <v>1714640.1577911351</v>
      </c>
      <c r="G24" s="14">
        <v>1105320.6600000001</v>
      </c>
      <c r="H24" s="14">
        <v>0</v>
      </c>
      <c r="I24" s="13">
        <f t="shared" si="0"/>
        <v>3696849.7077911352</v>
      </c>
    </row>
    <row r="25" spans="1:9" ht="15.75" x14ac:dyDescent="0.25">
      <c r="A25" s="8"/>
      <c r="B25" s="8"/>
      <c r="C25" s="9"/>
      <c r="D25" s="12" t="s">
        <v>21</v>
      </c>
      <c r="E25" s="14">
        <v>640716.11000000022</v>
      </c>
      <c r="F25" s="14">
        <v>1273326.4201407654</v>
      </c>
      <c r="G25" s="14">
        <v>965958.35000000009</v>
      </c>
      <c r="H25" s="14">
        <v>0</v>
      </c>
      <c r="I25" s="13">
        <f t="shared" si="0"/>
        <v>2880000.8801407656</v>
      </c>
    </row>
    <row r="26" spans="1:9" ht="15.75" x14ac:dyDescent="0.25">
      <c r="A26" s="8"/>
      <c r="B26" s="8"/>
      <c r="C26" s="9"/>
      <c r="D26" s="12" t="s">
        <v>22</v>
      </c>
      <c r="E26" s="14">
        <v>666868.66</v>
      </c>
      <c r="F26" s="14">
        <v>729174.69653574575</v>
      </c>
      <c r="G26" s="14">
        <v>467136.07000000007</v>
      </c>
      <c r="H26" s="14">
        <v>0</v>
      </c>
      <c r="I26" s="13">
        <f t="shared" si="0"/>
        <v>1863179.4265357458</v>
      </c>
    </row>
    <row r="27" spans="1:9" ht="15.75" x14ac:dyDescent="0.25">
      <c r="A27" s="8"/>
      <c r="B27" s="8"/>
      <c r="C27" s="9"/>
      <c r="D27" s="12" t="s">
        <v>23</v>
      </c>
      <c r="E27" s="14">
        <v>1110096.82</v>
      </c>
      <c r="F27" s="14">
        <v>125156.31979228195</v>
      </c>
      <c r="G27" s="14">
        <v>2366872.5800000005</v>
      </c>
      <c r="H27" s="14">
        <v>0</v>
      </c>
      <c r="I27" s="13">
        <f t="shared" si="0"/>
        <v>3602125.7197922827</v>
      </c>
    </row>
    <row r="28" spans="1:9" ht="15.75" x14ac:dyDescent="0.25">
      <c r="A28" s="8"/>
      <c r="B28" s="8"/>
      <c r="C28" s="9"/>
      <c r="D28" s="12" t="s">
        <v>24</v>
      </c>
      <c r="E28" s="14">
        <v>6120059.080000001</v>
      </c>
      <c r="F28" s="14">
        <v>593129.64881885378</v>
      </c>
      <c r="G28" s="14">
        <v>913470.04</v>
      </c>
      <c r="H28" s="14">
        <v>0</v>
      </c>
      <c r="I28" s="13">
        <f t="shared" si="0"/>
        <v>7626658.7688188544</v>
      </c>
    </row>
    <row r="29" spans="1:9" ht="15.75" x14ac:dyDescent="0.25">
      <c r="A29" s="8"/>
      <c r="B29" s="8"/>
      <c r="C29" s="9"/>
      <c r="D29" s="12" t="s">
        <v>25</v>
      </c>
      <c r="E29" s="14">
        <v>233532.09999999998</v>
      </c>
      <c r="F29" s="14">
        <v>331928.28130967985</v>
      </c>
      <c r="G29" s="14">
        <v>337108.83</v>
      </c>
      <c r="H29" s="14">
        <v>0</v>
      </c>
      <c r="I29" s="13">
        <f t="shared" si="0"/>
        <v>902569.21130967978</v>
      </c>
    </row>
    <row r="30" spans="1:9" ht="15.75" x14ac:dyDescent="0.25">
      <c r="A30" s="8"/>
      <c r="B30" s="8"/>
      <c r="C30" s="9"/>
      <c r="D30" s="12" t="s">
        <v>26</v>
      </c>
      <c r="E30" s="14">
        <v>532023.69000000006</v>
      </c>
      <c r="F30" s="14">
        <v>1790277.6743811714</v>
      </c>
      <c r="G30" s="14">
        <v>639577.41</v>
      </c>
      <c r="H30" s="14">
        <v>0</v>
      </c>
      <c r="I30" s="13">
        <f t="shared" si="0"/>
        <v>2961878.7743811714</v>
      </c>
    </row>
    <row r="31" spans="1:9" ht="15.75" x14ac:dyDescent="0.25">
      <c r="A31" s="8"/>
      <c r="B31" s="8"/>
      <c r="C31" s="9"/>
      <c r="D31" s="12" t="s">
        <v>27</v>
      </c>
      <c r="E31" s="14">
        <v>1042338.2300000001</v>
      </c>
      <c r="F31" s="14">
        <v>1855567.3410350091</v>
      </c>
      <c r="G31" s="14">
        <v>582234.64</v>
      </c>
      <c r="H31" s="14">
        <v>0</v>
      </c>
      <c r="I31" s="13">
        <f t="shared" si="0"/>
        <v>3480140.2110350095</v>
      </c>
    </row>
    <row r="32" spans="1:9" ht="15.75" x14ac:dyDescent="0.25">
      <c r="A32" s="8"/>
      <c r="B32" s="8"/>
      <c r="C32" s="9"/>
      <c r="D32" s="12" t="s">
        <v>28</v>
      </c>
      <c r="E32" s="14">
        <v>197980.87</v>
      </c>
      <c r="F32" s="14">
        <v>626322.47694982169</v>
      </c>
      <c r="G32" s="14">
        <v>362188.67</v>
      </c>
      <c r="H32" s="14">
        <v>0</v>
      </c>
      <c r="I32" s="13">
        <f t="shared" si="0"/>
        <v>1186492.0169498217</v>
      </c>
    </row>
    <row r="33" spans="1:9" ht="15.75" x14ac:dyDescent="0.25">
      <c r="A33" s="8"/>
      <c r="B33" s="8"/>
      <c r="C33" s="9"/>
      <c r="D33" s="12" t="s">
        <v>29</v>
      </c>
      <c r="E33" s="14">
        <v>150969.09</v>
      </c>
      <c r="F33" s="14">
        <v>946835.38597775367</v>
      </c>
      <c r="G33" s="14">
        <v>226829.90999999997</v>
      </c>
      <c r="H33" s="14">
        <v>0</v>
      </c>
      <c r="I33" s="13">
        <f t="shared" si="0"/>
        <v>1324634.3859777537</v>
      </c>
    </row>
    <row r="34" spans="1:9" ht="15.75" x14ac:dyDescent="0.25">
      <c r="A34" s="8"/>
      <c r="B34" s="8"/>
      <c r="C34" s="9"/>
      <c r="D34" s="12" t="s">
        <v>30</v>
      </c>
      <c r="E34" s="14">
        <v>1178195.3799999999</v>
      </c>
      <c r="F34" s="14">
        <v>1358756.6750473133</v>
      </c>
      <c r="G34" s="14">
        <v>1356619.52</v>
      </c>
      <c r="H34" s="14">
        <v>0</v>
      </c>
      <c r="I34" s="13">
        <f t="shared" si="0"/>
        <v>3893571.5750473132</v>
      </c>
    </row>
    <row r="35" spans="1:9" ht="15.75" x14ac:dyDescent="0.25">
      <c r="A35" s="8"/>
      <c r="B35" s="8"/>
      <c r="C35" s="9"/>
      <c r="D35" s="12" t="s">
        <v>31</v>
      </c>
      <c r="E35" s="14">
        <v>1228964.3500000001</v>
      </c>
      <c r="F35" s="14">
        <v>2498756.671044521</v>
      </c>
      <c r="G35" s="14">
        <v>914148.61999999988</v>
      </c>
      <c r="H35" s="14">
        <v>0</v>
      </c>
      <c r="I35" s="13">
        <f t="shared" si="0"/>
        <v>4641869.6410445208</v>
      </c>
    </row>
    <row r="36" spans="1:9" ht="15.75" x14ac:dyDescent="0.25">
      <c r="A36" s="8"/>
      <c r="B36" s="8"/>
      <c r="C36" s="9"/>
      <c r="D36" s="12" t="s">
        <v>32</v>
      </c>
      <c r="E36" s="14">
        <v>428459.44</v>
      </c>
      <c r="F36" s="14">
        <v>1239578.4803901115</v>
      </c>
      <c r="G36" s="14">
        <v>1672444.7699999998</v>
      </c>
      <c r="H36" s="14">
        <v>0</v>
      </c>
      <c r="I36" s="13">
        <f t="shared" si="0"/>
        <v>3340482.6903901109</v>
      </c>
    </row>
    <row r="37" spans="1:9" ht="15.75" x14ac:dyDescent="0.25">
      <c r="A37" s="8"/>
      <c r="B37" s="8"/>
      <c r="C37" s="9"/>
      <c r="D37" s="12" t="s">
        <v>33</v>
      </c>
      <c r="E37" s="14">
        <v>562200.87</v>
      </c>
      <c r="F37" s="14">
        <v>866842.37821787363</v>
      </c>
      <c r="G37" s="14">
        <v>503439.95</v>
      </c>
      <c r="H37" s="14">
        <v>0</v>
      </c>
      <c r="I37" s="13">
        <f t="shared" si="0"/>
        <v>1932483.1982178737</v>
      </c>
    </row>
    <row r="38" spans="1:9" ht="15.75" x14ac:dyDescent="0.25">
      <c r="A38" s="8"/>
      <c r="B38" s="8"/>
      <c r="C38" s="9"/>
      <c r="D38" s="12" t="s">
        <v>34</v>
      </c>
      <c r="E38" s="14">
        <v>772094.30999999994</v>
      </c>
      <c r="F38" s="14">
        <v>1489891.1199746756</v>
      </c>
      <c r="G38" s="14">
        <v>591297.97</v>
      </c>
      <c r="H38" s="14">
        <v>0</v>
      </c>
      <c r="I38" s="13">
        <f t="shared" si="0"/>
        <v>2853283.3999746758</v>
      </c>
    </row>
    <row r="39" spans="1:9" ht="15.75" x14ac:dyDescent="0.25">
      <c r="A39" s="8"/>
      <c r="B39" s="8"/>
      <c r="C39" s="9"/>
      <c r="D39" s="12" t="s">
        <v>35</v>
      </c>
      <c r="E39" s="14">
        <v>242046.4</v>
      </c>
      <c r="F39" s="14">
        <v>2332792.5303896815</v>
      </c>
      <c r="G39" s="14">
        <v>858105.3899999999</v>
      </c>
      <c r="H39" s="14">
        <v>0</v>
      </c>
      <c r="I39" s="13">
        <f t="shared" si="0"/>
        <v>3432944.3203896815</v>
      </c>
    </row>
    <row r="40" spans="1:9" ht="15.75" x14ac:dyDescent="0.25">
      <c r="A40" s="8"/>
      <c r="B40" s="8"/>
      <c r="C40" s="9"/>
      <c r="D40" s="12" t="s">
        <v>36</v>
      </c>
      <c r="E40" s="14">
        <v>37178.320000000007</v>
      </c>
      <c r="F40" s="14">
        <v>122437.69621894795</v>
      </c>
      <c r="G40" s="14">
        <v>620752.92999999993</v>
      </c>
      <c r="H40" s="14">
        <v>0</v>
      </c>
      <c r="I40" s="13">
        <f t="shared" si="0"/>
        <v>780368.94621894788</v>
      </c>
    </row>
    <row r="41" spans="1:9" ht="15.75" x14ac:dyDescent="0.25">
      <c r="A41" s="8"/>
      <c r="B41" s="8"/>
      <c r="C41" s="9"/>
      <c r="D41" s="12" t="s">
        <v>37</v>
      </c>
      <c r="E41" s="14">
        <v>1238208.9099999999</v>
      </c>
      <c r="F41" s="14">
        <v>2192947.1031226311</v>
      </c>
      <c r="G41" s="14">
        <v>1556640.27</v>
      </c>
      <c r="H41" s="14">
        <v>0</v>
      </c>
      <c r="I41" s="13">
        <f t="shared" si="0"/>
        <v>4987796.2831226308</v>
      </c>
    </row>
    <row r="42" spans="1:9" ht="15.75" x14ac:dyDescent="0.25">
      <c r="A42" s="8"/>
      <c r="B42" s="8"/>
      <c r="C42" s="9"/>
      <c r="D42" s="12" t="s">
        <v>38</v>
      </c>
      <c r="E42" s="14">
        <v>513859.58999999997</v>
      </c>
      <c r="F42" s="14">
        <v>2165732.4001267431</v>
      </c>
      <c r="G42" s="14">
        <v>427893.70999999996</v>
      </c>
      <c r="H42" s="14">
        <v>0</v>
      </c>
      <c r="I42" s="13">
        <f t="shared" si="0"/>
        <v>3107485.7001267429</v>
      </c>
    </row>
    <row r="43" spans="1:9" ht="15.75" x14ac:dyDescent="0.25">
      <c r="A43" s="8"/>
      <c r="B43" s="8"/>
      <c r="C43" s="9"/>
      <c r="D43" s="12" t="s">
        <v>39</v>
      </c>
      <c r="E43" s="14">
        <v>189017.55000000002</v>
      </c>
      <c r="F43" s="14">
        <v>805893.96910260571</v>
      </c>
      <c r="G43" s="14">
        <v>554231.18000000005</v>
      </c>
      <c r="H43" s="14">
        <v>0</v>
      </c>
      <c r="I43" s="13">
        <f t="shared" si="0"/>
        <v>1549142.6991026057</v>
      </c>
    </row>
    <row r="44" spans="1:9" ht="15.75" x14ac:dyDescent="0.25">
      <c r="A44" s="8"/>
      <c r="B44" s="8"/>
      <c r="C44" s="9"/>
      <c r="D44" s="12" t="s">
        <v>40</v>
      </c>
      <c r="E44" s="14">
        <v>65279.549999999996</v>
      </c>
      <c r="F44" s="14">
        <v>62030.165092091978</v>
      </c>
      <c r="G44" s="14">
        <v>609694.04999999993</v>
      </c>
      <c r="H44" s="14">
        <v>0</v>
      </c>
      <c r="I44" s="13">
        <f t="shared" si="0"/>
        <v>737003.76509209187</v>
      </c>
    </row>
    <row r="45" spans="1:9" ht="15.75" x14ac:dyDescent="0.25">
      <c r="A45" s="8"/>
      <c r="B45" s="8"/>
      <c r="C45" s="9"/>
      <c r="D45" s="12" t="s">
        <v>41</v>
      </c>
      <c r="E45" s="14">
        <v>423197.3</v>
      </c>
      <c r="F45" s="14">
        <v>17962.842667787991</v>
      </c>
      <c r="G45" s="14">
        <v>2615525.6300000004</v>
      </c>
      <c r="H45" s="14">
        <v>0</v>
      </c>
      <c r="I45" s="13">
        <f t="shared" si="0"/>
        <v>3056685.7726677884</v>
      </c>
    </row>
    <row r="46" spans="1:9" ht="15.75" x14ac:dyDescent="0.25">
      <c r="A46" s="8"/>
      <c r="B46" s="8"/>
      <c r="C46" s="9"/>
      <c r="D46" s="12" t="s">
        <v>42</v>
      </c>
      <c r="E46" s="14">
        <v>57331.29</v>
      </c>
      <c r="F46" s="14">
        <v>59852.419507169972</v>
      </c>
      <c r="G46" s="14">
        <v>3145909.7800000003</v>
      </c>
      <c r="H46" s="14">
        <v>0</v>
      </c>
      <c r="I46" s="13">
        <f t="shared" si="0"/>
        <v>3263093.4895071704</v>
      </c>
    </row>
    <row r="47" spans="1:9" ht="15.75" x14ac:dyDescent="0.25">
      <c r="A47" s="8"/>
      <c r="B47" s="8"/>
      <c r="C47" s="9"/>
      <c r="D47" s="12" t="s">
        <v>43</v>
      </c>
      <c r="E47" s="14">
        <v>693109.80999999994</v>
      </c>
      <c r="F47" s="14">
        <v>427706.38615242578</v>
      </c>
      <c r="G47" s="14">
        <v>436657.52999999997</v>
      </c>
      <c r="H47" s="14">
        <v>0</v>
      </c>
      <c r="I47" s="13">
        <f t="shared" si="0"/>
        <v>1557473.7261524259</v>
      </c>
    </row>
    <row r="48" spans="1:9" ht="15.75" x14ac:dyDescent="0.25">
      <c r="A48" s="8"/>
      <c r="B48" s="8"/>
      <c r="C48" s="9"/>
      <c r="D48" s="12" t="s">
        <v>44</v>
      </c>
      <c r="E48" s="14">
        <v>1314002.2200000002</v>
      </c>
      <c r="F48" s="14">
        <v>59852.419507169972</v>
      </c>
      <c r="G48" s="14">
        <v>1213768.7</v>
      </c>
      <c r="H48" s="14">
        <v>0</v>
      </c>
      <c r="I48" s="13">
        <f t="shared" si="0"/>
        <v>2587623.33950717</v>
      </c>
    </row>
    <row r="49" spans="1:9" ht="15.75" x14ac:dyDescent="0.25">
      <c r="A49" s="8"/>
      <c r="B49" s="8"/>
      <c r="C49" s="9"/>
      <c r="D49" s="12" t="s">
        <v>45</v>
      </c>
      <c r="E49" s="14">
        <v>174492.31</v>
      </c>
      <c r="F49" s="14">
        <v>71282.025420191974</v>
      </c>
      <c r="G49" s="14">
        <v>2552986.6900000004</v>
      </c>
      <c r="H49" s="14">
        <v>0</v>
      </c>
      <c r="I49" s="13">
        <f t="shared" si="0"/>
        <v>2798761.0254201926</v>
      </c>
    </row>
    <row r="50" spans="1:9" ht="15.75" x14ac:dyDescent="0.25">
      <c r="A50" s="8"/>
      <c r="B50" s="8"/>
      <c r="C50" s="9"/>
      <c r="D50" s="12" t="s">
        <v>46</v>
      </c>
      <c r="E50" s="14">
        <v>386393.71</v>
      </c>
      <c r="F50" s="14">
        <v>838005.04125674965</v>
      </c>
      <c r="G50" s="14">
        <v>199496.58</v>
      </c>
      <c r="H50" s="14">
        <v>0</v>
      </c>
      <c r="I50" s="13">
        <f t="shared" si="0"/>
        <v>1423895.3312567498</v>
      </c>
    </row>
    <row r="51" spans="1:9" ht="15.75" x14ac:dyDescent="0.25">
      <c r="A51" s="8"/>
      <c r="B51" s="8"/>
      <c r="C51" s="9"/>
      <c r="D51" s="12" t="s">
        <v>47</v>
      </c>
      <c r="E51" s="14">
        <v>616317.44999999995</v>
      </c>
      <c r="F51" s="14">
        <v>1252644.9538996434</v>
      </c>
      <c r="G51" s="14">
        <v>765343.3899999999</v>
      </c>
      <c r="H51" s="14">
        <v>0</v>
      </c>
      <c r="I51" s="13">
        <f t="shared" si="0"/>
        <v>2634305.7938996432</v>
      </c>
    </row>
    <row r="52" spans="1:9" ht="15.75" x14ac:dyDescent="0.25">
      <c r="A52" s="8"/>
      <c r="B52" s="8"/>
      <c r="C52" s="9"/>
      <c r="D52" s="12" t="s">
        <v>48</v>
      </c>
      <c r="E52" s="14">
        <v>343215.95</v>
      </c>
      <c r="F52" s="14">
        <v>1262437.6922161556</v>
      </c>
      <c r="G52" s="14">
        <v>258989.07</v>
      </c>
      <c r="H52" s="14">
        <v>0</v>
      </c>
      <c r="I52" s="13">
        <f t="shared" si="0"/>
        <v>1864642.7122161556</v>
      </c>
    </row>
    <row r="53" spans="1:9" ht="15.75" x14ac:dyDescent="0.25">
      <c r="A53" s="8"/>
      <c r="B53" s="8"/>
      <c r="C53" s="9"/>
      <c r="D53" s="12" t="s">
        <v>49</v>
      </c>
      <c r="E53" s="14">
        <v>381430.5</v>
      </c>
      <c r="F53" s="14">
        <v>865205.51062136353</v>
      </c>
      <c r="G53" s="14">
        <v>1103239.1899999997</v>
      </c>
      <c r="H53" s="14">
        <v>0</v>
      </c>
      <c r="I53" s="13">
        <f t="shared" si="0"/>
        <v>2349875.2006213632</v>
      </c>
    </row>
    <row r="54" spans="1:9" ht="15.75" x14ac:dyDescent="0.25">
      <c r="A54" s="8"/>
      <c r="B54" s="8"/>
      <c r="C54" s="9"/>
      <c r="D54" s="12" t="s">
        <v>50</v>
      </c>
      <c r="E54" s="14">
        <v>384715.10000000009</v>
      </c>
      <c r="F54" s="14">
        <v>794464.36318958376</v>
      </c>
      <c r="G54" s="14">
        <v>500680.83</v>
      </c>
      <c r="H54" s="14">
        <v>0</v>
      </c>
      <c r="I54" s="13">
        <f t="shared" si="0"/>
        <v>1679860.2931895838</v>
      </c>
    </row>
    <row r="55" spans="1:9" ht="15.75" x14ac:dyDescent="0.25">
      <c r="A55" s="8"/>
      <c r="B55" s="8"/>
      <c r="C55" s="9"/>
      <c r="D55" s="12" t="s">
        <v>51</v>
      </c>
      <c r="E55" s="14">
        <v>213806.69</v>
      </c>
      <c r="F55" s="14">
        <v>1670558.6017355574</v>
      </c>
      <c r="G55" s="14">
        <v>25854.630000000005</v>
      </c>
      <c r="H55" s="14">
        <v>0</v>
      </c>
      <c r="I55" s="13">
        <f t="shared" si="0"/>
        <v>1910219.9217355573</v>
      </c>
    </row>
    <row r="56" spans="1:9" ht="15.75" x14ac:dyDescent="0.25">
      <c r="A56" s="8"/>
      <c r="B56" s="8"/>
      <c r="C56" s="9"/>
      <c r="D56" s="12" t="s">
        <v>52</v>
      </c>
      <c r="E56" s="14">
        <v>940463.11</v>
      </c>
      <c r="F56" s="14">
        <v>2024264.3388944571</v>
      </c>
      <c r="G56" s="14">
        <v>254728.47999999995</v>
      </c>
      <c r="H56" s="14">
        <v>0</v>
      </c>
      <c r="I56" s="13">
        <f t="shared" si="0"/>
        <v>3219455.9288944569</v>
      </c>
    </row>
    <row r="57" spans="1:9" ht="15.75" x14ac:dyDescent="0.25">
      <c r="A57" s="8"/>
      <c r="B57" s="8"/>
      <c r="C57" s="9"/>
      <c r="D57" s="12" t="s">
        <v>53</v>
      </c>
      <c r="E57" s="14">
        <v>337121.80000000005</v>
      </c>
      <c r="F57" s="14">
        <v>598566.89596552181</v>
      </c>
      <c r="G57" s="14">
        <v>244645.61000000002</v>
      </c>
      <c r="H57" s="14">
        <v>0</v>
      </c>
      <c r="I57" s="13">
        <f t="shared" si="0"/>
        <v>1180334.3059655218</v>
      </c>
    </row>
    <row r="58" spans="1:9" ht="15.75" x14ac:dyDescent="0.25">
      <c r="A58" s="8"/>
      <c r="B58" s="8"/>
      <c r="C58" s="9"/>
      <c r="D58" s="12" t="s">
        <v>54</v>
      </c>
      <c r="E58" s="14">
        <v>60438.539999999994</v>
      </c>
      <c r="F58" s="14">
        <v>644285.31961760973</v>
      </c>
      <c r="G58" s="14">
        <v>73055.97</v>
      </c>
      <c r="H58" s="14">
        <v>0</v>
      </c>
      <c r="I58" s="13">
        <f t="shared" si="0"/>
        <v>777779.82961760974</v>
      </c>
    </row>
    <row r="59" spans="1:9" ht="15.75" x14ac:dyDescent="0.25">
      <c r="A59" s="8"/>
      <c r="B59" s="8"/>
      <c r="C59" s="9"/>
      <c r="D59" s="12" t="s">
        <v>55</v>
      </c>
      <c r="E59" s="14">
        <v>356382.67</v>
      </c>
      <c r="F59" s="14">
        <v>1088303.4472100395</v>
      </c>
      <c r="G59" s="14">
        <v>551446.53999999992</v>
      </c>
      <c r="H59" s="14">
        <v>0</v>
      </c>
      <c r="I59" s="13">
        <f t="shared" si="0"/>
        <v>1996132.6572100394</v>
      </c>
    </row>
    <row r="60" spans="1:9" ht="15.75" x14ac:dyDescent="0.25">
      <c r="A60" s="8"/>
      <c r="B60" s="8"/>
      <c r="C60" s="9"/>
      <c r="D60" s="12" t="s">
        <v>56</v>
      </c>
      <c r="E60" s="14">
        <v>186873.43</v>
      </c>
      <c r="F60" s="14">
        <v>658433.54910396575</v>
      </c>
      <c r="G60" s="14">
        <v>182013.6</v>
      </c>
      <c r="H60" s="14">
        <v>0</v>
      </c>
      <c r="I60" s="13">
        <f t="shared" si="0"/>
        <v>1027320.5791039657</v>
      </c>
    </row>
    <row r="61" spans="1:9" ht="15.75" x14ac:dyDescent="0.25">
      <c r="A61" s="8"/>
      <c r="B61" s="8"/>
      <c r="C61" s="9"/>
      <c r="D61" s="12" t="s">
        <v>57</v>
      </c>
      <c r="E61" s="14">
        <v>734503.81</v>
      </c>
      <c r="F61" s="14">
        <v>1104629.4222813176</v>
      </c>
      <c r="G61" s="14">
        <v>347310.85999999993</v>
      </c>
      <c r="H61" s="14">
        <v>0</v>
      </c>
      <c r="I61" s="13">
        <f t="shared" si="0"/>
        <v>2186444.0922813178</v>
      </c>
    </row>
    <row r="62" spans="1:9" ht="15.75" x14ac:dyDescent="0.25">
      <c r="A62" s="8"/>
      <c r="B62" s="8"/>
      <c r="C62" s="9"/>
      <c r="D62" s="12" t="s">
        <v>58</v>
      </c>
      <c r="E62" s="14">
        <v>1037922.9099999999</v>
      </c>
      <c r="F62" s="14">
        <v>1232518.5992782074</v>
      </c>
      <c r="G62" s="14">
        <v>19910817.009999998</v>
      </c>
      <c r="H62" s="14">
        <v>0</v>
      </c>
      <c r="I62" s="13">
        <f t="shared" si="0"/>
        <v>22181258.519278206</v>
      </c>
    </row>
    <row r="63" spans="1:9" ht="15.75" x14ac:dyDescent="0.25">
      <c r="A63" s="8"/>
      <c r="B63" s="8"/>
      <c r="C63" s="9"/>
      <c r="D63" s="12" t="s">
        <v>59</v>
      </c>
      <c r="E63" s="14">
        <v>559601.14999999991</v>
      </c>
      <c r="F63" s="14">
        <v>136045.04771689195</v>
      </c>
      <c r="G63" s="14">
        <v>810176.01</v>
      </c>
      <c r="H63" s="14">
        <v>0</v>
      </c>
      <c r="I63" s="13">
        <f t="shared" si="0"/>
        <v>1505822.207716892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6239974.8499999996</v>
      </c>
      <c r="H64" s="14">
        <v>0</v>
      </c>
      <c r="I64" s="13">
        <f t="shared" si="0"/>
        <v>6239974.8499999996</v>
      </c>
    </row>
    <row r="65" spans="1:9" ht="15.75" x14ac:dyDescent="0.25">
      <c r="A65" s="8"/>
      <c r="B65" s="8"/>
      <c r="C65" s="9"/>
      <c r="D65" s="12" t="s">
        <v>61</v>
      </c>
      <c r="E65" s="14">
        <v>657276.46000000008</v>
      </c>
      <c r="F65" s="14">
        <v>1610706.1822283876</v>
      </c>
      <c r="G65" s="14">
        <v>424260.33</v>
      </c>
      <c r="H65" s="14">
        <v>0</v>
      </c>
      <c r="I65" s="13">
        <f t="shared" si="0"/>
        <v>2692242.9722283878</v>
      </c>
    </row>
    <row r="66" spans="1:9" ht="15.75" x14ac:dyDescent="0.25">
      <c r="A66" s="8"/>
      <c r="B66" s="8"/>
      <c r="C66" s="9"/>
      <c r="D66" s="12" t="s">
        <v>62</v>
      </c>
      <c r="E66" s="14">
        <v>2126958.65</v>
      </c>
      <c r="F66" s="14">
        <v>3202353.5321808886</v>
      </c>
      <c r="G66" s="14">
        <v>1201464.3299999998</v>
      </c>
      <c r="H66" s="14">
        <v>0</v>
      </c>
      <c r="I66" s="13">
        <f t="shared" si="0"/>
        <v>6530776.512180889</v>
      </c>
    </row>
    <row r="67" spans="1:9" ht="15.75" x14ac:dyDescent="0.25">
      <c r="A67" s="8"/>
      <c r="B67" s="8"/>
      <c r="C67" s="9"/>
      <c r="D67" s="12" t="s">
        <v>63</v>
      </c>
      <c r="E67" s="14">
        <v>377213.73999999993</v>
      </c>
      <c r="F67" s="14">
        <v>1480098.3816581634</v>
      </c>
      <c r="G67" s="14">
        <v>430916.49000000005</v>
      </c>
      <c r="H67" s="14">
        <v>0</v>
      </c>
      <c r="I67" s="13">
        <f t="shared" si="0"/>
        <v>2288228.6116581634</v>
      </c>
    </row>
    <row r="68" spans="1:9" ht="15.75" x14ac:dyDescent="0.25">
      <c r="A68" s="8"/>
      <c r="B68" s="8"/>
      <c r="C68" s="9"/>
      <c r="D68" s="12" t="s">
        <v>64</v>
      </c>
      <c r="E68" s="14">
        <v>1005751.48</v>
      </c>
      <c r="F68" s="14">
        <v>625781.59896140976</v>
      </c>
      <c r="G68" s="14">
        <v>222321.62999999998</v>
      </c>
      <c r="H68" s="14">
        <v>0</v>
      </c>
      <c r="I68" s="13">
        <f t="shared" si="0"/>
        <v>1853854.7089614095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1695332.9099999997</v>
      </c>
      <c r="H69" s="14">
        <v>0</v>
      </c>
      <c r="I69" s="13">
        <f t="shared" si="0"/>
        <v>1695332.9099999997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2522670.0300000003</v>
      </c>
      <c r="H70" s="14">
        <v>0</v>
      </c>
      <c r="I70" s="13">
        <f t="shared" si="0"/>
        <v>2522670.0300000003</v>
      </c>
    </row>
    <row r="71" spans="1:9" ht="15.75" x14ac:dyDescent="0.25">
      <c r="A71" s="8"/>
      <c r="B71" s="8"/>
      <c r="C71" s="9"/>
      <c r="D71" s="12" t="s">
        <v>67</v>
      </c>
      <c r="E71" s="14">
        <v>11720.61</v>
      </c>
      <c r="F71" s="14">
        <v>16325.975071277993</v>
      </c>
      <c r="G71" s="14">
        <v>1660824.3900000001</v>
      </c>
      <c r="H71" s="14">
        <v>0</v>
      </c>
      <c r="I71" s="13">
        <f t="shared" si="0"/>
        <v>1688870.9750712782</v>
      </c>
    </row>
    <row r="72" spans="1:9" ht="15.75" x14ac:dyDescent="0.25">
      <c r="A72" s="8"/>
      <c r="B72" s="8"/>
      <c r="C72" s="9"/>
      <c r="D72" s="12" t="s">
        <v>68</v>
      </c>
      <c r="E72" s="14">
        <v>855844.11999999988</v>
      </c>
      <c r="F72" s="14">
        <v>1016480.5438014356</v>
      </c>
      <c r="G72" s="14">
        <v>3239678.9099999997</v>
      </c>
      <c r="H72" s="14">
        <v>0</v>
      </c>
      <c r="I72" s="13">
        <f t="shared" si="0"/>
        <v>5112003.5738014355</v>
      </c>
    </row>
    <row r="73" spans="1:9" ht="15.75" x14ac:dyDescent="0.25">
      <c r="A73" s="8"/>
      <c r="B73" s="8"/>
      <c r="C73" s="9"/>
      <c r="D73" s="12" t="s">
        <v>69</v>
      </c>
      <c r="E73" s="14">
        <v>736.48</v>
      </c>
      <c r="F73" s="14">
        <v>0</v>
      </c>
      <c r="G73" s="14">
        <v>2132440.13</v>
      </c>
      <c r="H73" s="14">
        <v>0</v>
      </c>
      <c r="I73" s="13">
        <f t="shared" si="0"/>
        <v>2133176.61</v>
      </c>
    </row>
    <row r="74" spans="1:9" ht="15.75" x14ac:dyDescent="0.25">
      <c r="A74" s="8"/>
      <c r="B74" s="8"/>
      <c r="C74" s="9"/>
      <c r="D74" s="12" t="s">
        <v>70</v>
      </c>
      <c r="E74" s="14">
        <v>66285.150000000009</v>
      </c>
      <c r="F74" s="14">
        <v>85971.13289495997</v>
      </c>
      <c r="G74" s="14">
        <v>9568487.5099999998</v>
      </c>
      <c r="H74" s="14">
        <v>0</v>
      </c>
      <c r="I74" s="13">
        <f t="shared" ref="I74:I137" si="1">SUM(E74:H74)</f>
        <v>9720743.7928949594</v>
      </c>
    </row>
    <row r="75" spans="1:9" ht="15.75" x14ac:dyDescent="0.25">
      <c r="A75" s="8"/>
      <c r="B75" s="8"/>
      <c r="C75" s="9"/>
      <c r="D75" s="12" t="s">
        <v>71</v>
      </c>
      <c r="E75" s="14">
        <v>424751.83</v>
      </c>
      <c r="F75" s="14">
        <v>334106.02689460188</v>
      </c>
      <c r="G75" s="14">
        <v>17408922.66</v>
      </c>
      <c r="H75" s="14">
        <v>0</v>
      </c>
      <c r="I75" s="13">
        <f t="shared" si="1"/>
        <v>18167780.516894601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5170406.2699999996</v>
      </c>
      <c r="H76" s="14">
        <v>0</v>
      </c>
      <c r="I76" s="13">
        <f t="shared" si="1"/>
        <v>5170406.2699999996</v>
      </c>
    </row>
    <row r="77" spans="1:9" ht="15.75" x14ac:dyDescent="0.25">
      <c r="A77" s="8"/>
      <c r="B77" s="8"/>
      <c r="C77" s="9"/>
      <c r="D77" s="12" t="s">
        <v>73</v>
      </c>
      <c r="E77" s="14">
        <v>301803.01</v>
      </c>
      <c r="F77" s="14">
        <v>1656951.2502376135</v>
      </c>
      <c r="G77" s="14">
        <v>302846.47999999992</v>
      </c>
      <c r="H77" s="14">
        <v>0</v>
      </c>
      <c r="I77" s="13">
        <f t="shared" si="1"/>
        <v>2261600.7402376132</v>
      </c>
    </row>
    <row r="78" spans="1:9" ht="15.75" x14ac:dyDescent="0.25">
      <c r="A78" s="8"/>
      <c r="B78" s="8"/>
      <c r="C78" s="9"/>
      <c r="D78" s="12" t="s">
        <v>74</v>
      </c>
      <c r="E78" s="14">
        <v>612966.22</v>
      </c>
      <c r="F78" s="14">
        <v>1681433.0960288933</v>
      </c>
      <c r="G78" s="14">
        <v>530417.48</v>
      </c>
      <c r="H78" s="14">
        <v>0</v>
      </c>
      <c r="I78" s="13">
        <f t="shared" si="1"/>
        <v>2824816.796028893</v>
      </c>
    </row>
    <row r="79" spans="1:9" ht="15.75" x14ac:dyDescent="0.25">
      <c r="A79" s="8"/>
      <c r="B79" s="8"/>
      <c r="C79" s="9"/>
      <c r="D79" s="12" t="s">
        <v>75</v>
      </c>
      <c r="E79" s="14">
        <v>422686.25000000012</v>
      </c>
      <c r="F79" s="14">
        <v>944102.52877314575</v>
      </c>
      <c r="G79" s="14">
        <v>452982.40000000008</v>
      </c>
      <c r="H79" s="14">
        <v>0</v>
      </c>
      <c r="I79" s="13">
        <f t="shared" si="1"/>
        <v>1819771.1787731459</v>
      </c>
    </row>
    <row r="80" spans="1:9" ht="15.75" x14ac:dyDescent="0.25">
      <c r="A80" s="8"/>
      <c r="B80" s="8"/>
      <c r="C80" s="9"/>
      <c r="D80" s="12" t="s">
        <v>76</v>
      </c>
      <c r="E80" s="14">
        <v>279156.44000000006</v>
      </c>
      <c r="F80" s="14">
        <v>498988.41157261783</v>
      </c>
      <c r="G80" s="14">
        <v>87345.36</v>
      </c>
      <c r="H80" s="14">
        <v>0</v>
      </c>
      <c r="I80" s="13">
        <f t="shared" si="1"/>
        <v>865490.21157261787</v>
      </c>
    </row>
    <row r="81" spans="1:9" ht="15.75" x14ac:dyDescent="0.25">
      <c r="A81" s="8"/>
      <c r="B81" s="8"/>
      <c r="C81" s="9"/>
      <c r="D81" s="12" t="s">
        <v>77</v>
      </c>
      <c r="E81" s="14">
        <v>1785429.52</v>
      </c>
      <c r="F81" s="14">
        <v>3010811.5561266704</v>
      </c>
      <c r="G81" s="14">
        <v>1287928.07</v>
      </c>
      <c r="H81" s="14">
        <v>0</v>
      </c>
      <c r="I81" s="13">
        <f t="shared" si="1"/>
        <v>6084169.1461266708</v>
      </c>
    </row>
    <row r="82" spans="1:9" ht="15.75" x14ac:dyDescent="0.25">
      <c r="A82" s="8"/>
      <c r="B82" s="8"/>
      <c r="C82" s="9"/>
      <c r="D82" s="12" t="s">
        <v>78</v>
      </c>
      <c r="E82" s="14">
        <v>1052764.23</v>
      </c>
      <c r="F82" s="14">
        <v>2086835.3819749609</v>
      </c>
      <c r="G82" s="14">
        <v>568896.93999999994</v>
      </c>
      <c r="H82" s="14">
        <v>0</v>
      </c>
      <c r="I82" s="13">
        <f t="shared" si="1"/>
        <v>3708496.5519749611</v>
      </c>
    </row>
    <row r="83" spans="1:9" ht="15.75" x14ac:dyDescent="0.25">
      <c r="A83" s="8"/>
      <c r="B83" s="8"/>
      <c r="C83" s="9"/>
      <c r="D83" s="12" t="s">
        <v>79</v>
      </c>
      <c r="E83" s="14">
        <v>547353.68000000005</v>
      </c>
      <c r="F83" s="14">
        <v>857049.63990136166</v>
      </c>
      <c r="G83" s="14">
        <v>903443.82000000007</v>
      </c>
      <c r="H83" s="14">
        <v>0</v>
      </c>
      <c r="I83" s="13">
        <f t="shared" si="1"/>
        <v>2307847.1399013614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6991649.1399999997</v>
      </c>
      <c r="H84" s="14">
        <v>0</v>
      </c>
      <c r="I84" s="13">
        <f t="shared" si="1"/>
        <v>6991649.1399999997</v>
      </c>
    </row>
    <row r="85" spans="1:9" ht="15.75" x14ac:dyDescent="0.25">
      <c r="A85" s="8"/>
      <c r="B85" s="8"/>
      <c r="C85" s="9"/>
      <c r="D85" s="12" t="s">
        <v>81</v>
      </c>
      <c r="E85" s="14">
        <v>520112.80000000005</v>
      </c>
      <c r="F85" s="14">
        <v>266638.6146558419</v>
      </c>
      <c r="G85" s="14">
        <v>2851598.7700000005</v>
      </c>
      <c r="H85" s="14">
        <v>0</v>
      </c>
      <c r="I85" s="13">
        <f t="shared" si="1"/>
        <v>3638350.1846558424</v>
      </c>
    </row>
    <row r="86" spans="1:9" ht="15.75" x14ac:dyDescent="0.25">
      <c r="A86" s="8"/>
      <c r="B86" s="8"/>
      <c r="C86" s="9"/>
      <c r="D86" s="12" t="s">
        <v>82</v>
      </c>
      <c r="E86" s="14">
        <v>290740.67</v>
      </c>
      <c r="F86" s="14">
        <v>1107362.2794859256</v>
      </c>
      <c r="G86" s="14">
        <v>301979.83999999997</v>
      </c>
      <c r="H86" s="14">
        <v>0</v>
      </c>
      <c r="I86" s="13">
        <f t="shared" si="1"/>
        <v>1700082.7894859253</v>
      </c>
    </row>
    <row r="87" spans="1:9" ht="15.75" x14ac:dyDescent="0.25">
      <c r="A87" s="8"/>
      <c r="B87" s="8"/>
      <c r="C87" s="9"/>
      <c r="D87" s="12" t="s">
        <v>83</v>
      </c>
      <c r="E87" s="14">
        <v>163985.04</v>
      </c>
      <c r="F87" s="14">
        <v>1458335.1594402175</v>
      </c>
      <c r="G87" s="14">
        <v>173352.34</v>
      </c>
      <c r="H87" s="14">
        <v>0</v>
      </c>
      <c r="I87" s="13">
        <f t="shared" si="1"/>
        <v>1795672.5394402177</v>
      </c>
    </row>
    <row r="88" spans="1:9" ht="15.75" x14ac:dyDescent="0.25">
      <c r="A88" s="8"/>
      <c r="B88" s="8"/>
      <c r="C88" s="9"/>
      <c r="D88" s="12" t="s">
        <v>84</v>
      </c>
      <c r="E88" s="14">
        <v>219831.84</v>
      </c>
      <c r="F88" s="14">
        <v>0</v>
      </c>
      <c r="G88" s="14">
        <v>5008246.3099999996</v>
      </c>
      <c r="H88" s="14">
        <v>0</v>
      </c>
      <c r="I88" s="13">
        <f t="shared" si="1"/>
        <v>5228078.1499999994</v>
      </c>
    </row>
    <row r="89" spans="1:9" ht="15.75" x14ac:dyDescent="0.25">
      <c r="A89" s="8"/>
      <c r="B89" s="8"/>
      <c r="C89" s="9"/>
      <c r="D89" s="12" t="s">
        <v>85</v>
      </c>
      <c r="E89" s="14">
        <v>398947.61000000004</v>
      </c>
      <c r="F89" s="14">
        <v>1430038.7004675055</v>
      </c>
      <c r="G89" s="14">
        <v>746724.07000000007</v>
      </c>
      <c r="H89" s="14">
        <v>0</v>
      </c>
      <c r="I89" s="13">
        <f t="shared" si="1"/>
        <v>2575710.3804675057</v>
      </c>
    </row>
    <row r="90" spans="1:9" ht="15.75" x14ac:dyDescent="0.25">
      <c r="A90" s="8"/>
      <c r="B90" s="8"/>
      <c r="C90" s="9"/>
      <c r="D90" s="12" t="s">
        <v>86</v>
      </c>
      <c r="E90" s="14">
        <v>167092.28</v>
      </c>
      <c r="F90" s="14">
        <v>370031.71223017783</v>
      </c>
      <c r="G90" s="14">
        <v>467101.5500000001</v>
      </c>
      <c r="H90" s="14">
        <v>0</v>
      </c>
      <c r="I90" s="13">
        <f t="shared" si="1"/>
        <v>1004225.5422301779</v>
      </c>
    </row>
    <row r="91" spans="1:9" ht="15.75" x14ac:dyDescent="0.25">
      <c r="A91" s="8"/>
      <c r="B91" s="8"/>
      <c r="C91" s="9"/>
      <c r="D91" s="12" t="s">
        <v>87</v>
      </c>
      <c r="E91" s="14">
        <v>474573.90000000008</v>
      </c>
      <c r="F91" s="14">
        <v>843983.16639182961</v>
      </c>
      <c r="G91" s="14">
        <v>1136036.82</v>
      </c>
      <c r="H91" s="14">
        <v>0</v>
      </c>
      <c r="I91" s="13">
        <f t="shared" si="1"/>
        <v>2454593.8863918297</v>
      </c>
    </row>
    <row r="92" spans="1:9" ht="15.75" x14ac:dyDescent="0.25">
      <c r="A92" s="8"/>
      <c r="B92" s="8"/>
      <c r="C92" s="9"/>
      <c r="D92" s="12" t="s">
        <v>88</v>
      </c>
      <c r="E92" s="14">
        <v>35020.269999999997</v>
      </c>
      <c r="F92" s="14">
        <v>116445.33745259396</v>
      </c>
      <c r="G92" s="14">
        <v>2718475.06</v>
      </c>
      <c r="H92" s="14">
        <v>0</v>
      </c>
      <c r="I92" s="13">
        <f t="shared" si="1"/>
        <v>2869940.6674525938</v>
      </c>
    </row>
    <row r="93" spans="1:9" ht="15.75" x14ac:dyDescent="0.25">
      <c r="A93" s="8"/>
      <c r="B93" s="8"/>
      <c r="C93" s="9"/>
      <c r="D93" s="12" t="s">
        <v>89</v>
      </c>
      <c r="E93" s="14">
        <v>569573.02000000014</v>
      </c>
      <c r="F93" s="14">
        <v>974035.85534236766</v>
      </c>
      <c r="G93" s="14">
        <v>481684.81</v>
      </c>
      <c r="H93" s="14">
        <v>0</v>
      </c>
      <c r="I93" s="13">
        <f t="shared" si="1"/>
        <v>2025293.6853423677</v>
      </c>
    </row>
    <row r="94" spans="1:9" ht="15.75" x14ac:dyDescent="0.25">
      <c r="A94" s="8"/>
      <c r="B94" s="8"/>
      <c r="C94" s="9"/>
      <c r="D94" s="12" t="s">
        <v>90</v>
      </c>
      <c r="E94" s="14">
        <v>8575.9699999999993</v>
      </c>
      <c r="F94" s="14">
        <v>0</v>
      </c>
      <c r="G94" s="14">
        <v>234826.52000000002</v>
      </c>
      <c r="H94" s="14">
        <v>0</v>
      </c>
      <c r="I94" s="13">
        <f t="shared" si="1"/>
        <v>243402.49000000002</v>
      </c>
    </row>
    <row r="95" spans="1:9" ht="15.75" x14ac:dyDescent="0.25">
      <c r="A95" s="8"/>
      <c r="B95" s="8"/>
      <c r="C95" s="9"/>
      <c r="D95" s="12" t="s">
        <v>91</v>
      </c>
      <c r="E95" s="14">
        <v>147053.72</v>
      </c>
      <c r="F95" s="14">
        <v>29933.326569221987</v>
      </c>
      <c r="G95" s="14">
        <v>3128790.97</v>
      </c>
      <c r="H95" s="14">
        <v>0</v>
      </c>
      <c r="I95" s="13">
        <f t="shared" si="1"/>
        <v>3305778.0165692223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5457585.7400000002</v>
      </c>
      <c r="H96" s="14">
        <v>0</v>
      </c>
      <c r="I96" s="13">
        <f t="shared" si="1"/>
        <v>5457585.7400000002</v>
      </c>
    </row>
    <row r="97" spans="1:9" ht="15.75" x14ac:dyDescent="0.25">
      <c r="A97" s="8"/>
      <c r="B97" s="8"/>
      <c r="C97" s="9"/>
      <c r="D97" s="12" t="s">
        <v>93</v>
      </c>
      <c r="E97" s="14">
        <v>236355.37000000002</v>
      </c>
      <c r="F97" s="14">
        <v>1344067.5675725453</v>
      </c>
      <c r="G97" s="14">
        <v>358772.23999999993</v>
      </c>
      <c r="H97" s="14">
        <v>0</v>
      </c>
      <c r="I97" s="13">
        <f t="shared" si="1"/>
        <v>1939195.1775725454</v>
      </c>
    </row>
    <row r="98" spans="1:9" ht="15.75" x14ac:dyDescent="0.25">
      <c r="A98" s="8"/>
      <c r="B98" s="8"/>
      <c r="C98" s="9"/>
      <c r="D98" s="12" t="s">
        <v>94</v>
      </c>
      <c r="E98" s="14">
        <v>998996.27</v>
      </c>
      <c r="F98" s="14">
        <v>1767959.3405435393</v>
      </c>
      <c r="G98" s="14">
        <v>2690485.45</v>
      </c>
      <c r="H98" s="14">
        <v>0</v>
      </c>
      <c r="I98" s="13">
        <f t="shared" si="1"/>
        <v>5457441.060543539</v>
      </c>
    </row>
    <row r="99" spans="1:9" ht="15.75" x14ac:dyDescent="0.25">
      <c r="A99" s="8"/>
      <c r="B99" s="8"/>
      <c r="C99" s="9"/>
      <c r="D99" s="12" t="s">
        <v>95</v>
      </c>
      <c r="E99" s="14">
        <v>3129289.9</v>
      </c>
      <c r="F99" s="14">
        <v>3368858.5508241411</v>
      </c>
      <c r="G99" s="14">
        <v>1333109.3699999999</v>
      </c>
      <c r="H99" s="14">
        <v>0</v>
      </c>
      <c r="I99" s="13">
        <f t="shared" si="1"/>
        <v>7831257.8208241416</v>
      </c>
    </row>
    <row r="100" spans="1:9" ht="15.75" x14ac:dyDescent="0.25">
      <c r="A100" s="8"/>
      <c r="B100" s="8"/>
      <c r="C100" s="9"/>
      <c r="D100" s="12" t="s">
        <v>96</v>
      </c>
      <c r="E100" s="14">
        <v>1107465.4600000002</v>
      </c>
      <c r="F100" s="14">
        <v>3462999.788070377</v>
      </c>
      <c r="G100" s="14">
        <v>2416516.0699999998</v>
      </c>
      <c r="H100" s="14">
        <v>0</v>
      </c>
      <c r="I100" s="13">
        <f t="shared" si="1"/>
        <v>6986981.3180703763</v>
      </c>
    </row>
    <row r="101" spans="1:9" ht="15.75" x14ac:dyDescent="0.25">
      <c r="A101" s="8"/>
      <c r="B101" s="8"/>
      <c r="C101" s="9"/>
      <c r="D101" s="12" t="s">
        <v>97</v>
      </c>
      <c r="E101" s="14">
        <v>30649.77</v>
      </c>
      <c r="F101" s="14">
        <v>4522992.5426764302</v>
      </c>
      <c r="G101" s="14">
        <v>85268.549999999988</v>
      </c>
      <c r="H101" s="14">
        <v>0</v>
      </c>
      <c r="I101" s="13">
        <f t="shared" si="1"/>
        <v>4638910.8626764296</v>
      </c>
    </row>
    <row r="102" spans="1:9" ht="15.75" x14ac:dyDescent="0.25">
      <c r="A102" s="8"/>
      <c r="B102" s="8"/>
      <c r="C102" s="9"/>
      <c r="D102" s="12" t="s">
        <v>98</v>
      </c>
      <c r="E102" s="14">
        <v>1112299.95</v>
      </c>
      <c r="F102" s="14">
        <v>1957323.571012835</v>
      </c>
      <c r="G102" s="14">
        <v>1098307.8099999998</v>
      </c>
      <c r="H102" s="14">
        <v>0</v>
      </c>
      <c r="I102" s="13">
        <f t="shared" si="1"/>
        <v>4167931.3310128348</v>
      </c>
    </row>
    <row r="103" spans="1:9" ht="15.75" x14ac:dyDescent="0.25">
      <c r="A103" s="8"/>
      <c r="B103" s="8"/>
      <c r="C103" s="9"/>
      <c r="D103" s="12" t="s">
        <v>99</v>
      </c>
      <c r="E103" s="14">
        <v>289751.59999999998</v>
      </c>
      <c r="F103" s="14">
        <v>617611.49461013381</v>
      </c>
      <c r="G103" s="14">
        <v>213128.4</v>
      </c>
      <c r="H103" s="14">
        <v>0</v>
      </c>
      <c r="I103" s="13">
        <f t="shared" si="1"/>
        <v>1120491.4946101338</v>
      </c>
    </row>
    <row r="104" spans="1:9" ht="15.75" x14ac:dyDescent="0.25">
      <c r="A104" s="8"/>
      <c r="B104" s="8"/>
      <c r="C104" s="9"/>
      <c r="D104" s="12" t="s">
        <v>100</v>
      </c>
      <c r="E104" s="14">
        <v>2364616.66</v>
      </c>
      <c r="F104" s="14">
        <v>1128584.6237154596</v>
      </c>
      <c r="G104" s="14">
        <v>2722104.2800000003</v>
      </c>
      <c r="H104" s="14">
        <v>0</v>
      </c>
      <c r="I104" s="13">
        <f t="shared" si="1"/>
        <v>6215305.5637154598</v>
      </c>
    </row>
    <row r="105" spans="1:9" ht="15.75" x14ac:dyDescent="0.25">
      <c r="A105" s="8"/>
      <c r="B105" s="8"/>
      <c r="C105" s="9"/>
      <c r="D105" s="12" t="s">
        <v>101</v>
      </c>
      <c r="E105" s="14">
        <v>350239.18</v>
      </c>
      <c r="F105" s="14">
        <v>1675995.8488822251</v>
      </c>
      <c r="G105" s="14">
        <v>27852.94</v>
      </c>
      <c r="H105" s="14">
        <v>0</v>
      </c>
      <c r="I105" s="13">
        <f t="shared" si="1"/>
        <v>2054087.968882225</v>
      </c>
    </row>
    <row r="106" spans="1:9" ht="15.75" x14ac:dyDescent="0.25">
      <c r="A106" s="8"/>
      <c r="B106" s="8"/>
      <c r="C106" s="9"/>
      <c r="D106" s="12" t="s">
        <v>102</v>
      </c>
      <c r="E106" s="14">
        <v>351660.27999999997</v>
      </c>
      <c r="F106" s="14">
        <v>103393.09757433596</v>
      </c>
      <c r="G106" s="14">
        <v>3978706.4899999998</v>
      </c>
      <c r="H106" s="14">
        <v>0</v>
      </c>
      <c r="I106" s="13">
        <f t="shared" si="1"/>
        <v>4433759.867574336</v>
      </c>
    </row>
    <row r="107" spans="1:9" ht="15.75" x14ac:dyDescent="0.25">
      <c r="A107" s="8"/>
      <c r="B107" s="8"/>
      <c r="C107" s="9"/>
      <c r="D107" s="12" t="s">
        <v>103</v>
      </c>
      <c r="E107" s="14">
        <v>148926.26</v>
      </c>
      <c r="F107" s="14">
        <v>0</v>
      </c>
      <c r="G107" s="14">
        <v>1437882.6799999997</v>
      </c>
      <c r="H107" s="14">
        <v>0</v>
      </c>
      <c r="I107" s="13">
        <f t="shared" si="1"/>
        <v>1586808.9399999997</v>
      </c>
    </row>
    <row r="108" spans="1:9" ht="15.75" x14ac:dyDescent="0.25">
      <c r="A108" s="8"/>
      <c r="B108" s="8"/>
      <c r="C108" s="9"/>
      <c r="D108" s="12" t="s">
        <v>104</v>
      </c>
      <c r="E108" s="14">
        <v>92459.23</v>
      </c>
      <c r="F108" s="14">
        <v>0</v>
      </c>
      <c r="G108" s="14">
        <v>868241.33</v>
      </c>
      <c r="H108" s="14">
        <v>0</v>
      </c>
      <c r="I108" s="13">
        <f t="shared" si="1"/>
        <v>960700.55999999994</v>
      </c>
    </row>
    <row r="109" spans="1:9" ht="15.75" x14ac:dyDescent="0.25">
      <c r="A109" s="8"/>
      <c r="B109" s="8"/>
      <c r="C109" s="9"/>
      <c r="D109" s="12" t="s">
        <v>105</v>
      </c>
      <c r="E109" s="14">
        <v>342618.81</v>
      </c>
      <c r="F109" s="14">
        <v>2774106.2680400508</v>
      </c>
      <c r="G109" s="14">
        <v>314079.23</v>
      </c>
      <c r="H109" s="14">
        <v>0</v>
      </c>
      <c r="I109" s="13">
        <f t="shared" si="1"/>
        <v>3430804.3080400508</v>
      </c>
    </row>
    <row r="110" spans="1:9" ht="15.75" x14ac:dyDescent="0.25">
      <c r="A110" s="8"/>
      <c r="B110" s="8"/>
      <c r="C110" s="9"/>
      <c r="D110" s="12" t="s">
        <v>106</v>
      </c>
      <c r="E110" s="14">
        <v>120698.5</v>
      </c>
      <c r="F110" s="14">
        <v>744945.55998733779</v>
      </c>
      <c r="G110" s="14">
        <v>264238.94999999995</v>
      </c>
      <c r="H110" s="14">
        <v>0</v>
      </c>
      <c r="I110" s="13">
        <f t="shared" si="1"/>
        <v>1129883.0099873377</v>
      </c>
    </row>
    <row r="111" spans="1:9" ht="15.75" x14ac:dyDescent="0.25">
      <c r="A111" s="8"/>
      <c r="B111" s="8"/>
      <c r="C111" s="9"/>
      <c r="D111" s="12" t="s">
        <v>107</v>
      </c>
      <c r="E111" s="14">
        <v>4310.37</v>
      </c>
      <c r="F111" s="14">
        <v>10333.616304923997</v>
      </c>
      <c r="G111" s="14">
        <v>6442265.9799999995</v>
      </c>
      <c r="H111" s="14">
        <v>0</v>
      </c>
      <c r="I111" s="13">
        <f t="shared" si="1"/>
        <v>6456909.9663049234</v>
      </c>
    </row>
    <row r="112" spans="1:9" ht="15.75" x14ac:dyDescent="0.25">
      <c r="A112" s="8"/>
      <c r="B112" s="8"/>
      <c r="C112" s="9"/>
      <c r="D112" s="12" t="s">
        <v>108</v>
      </c>
      <c r="E112" s="14">
        <v>476880.13999999996</v>
      </c>
      <c r="F112" s="14">
        <v>707397.24068652571</v>
      </c>
      <c r="G112" s="14">
        <v>643770.79999999993</v>
      </c>
      <c r="H112" s="14">
        <v>0</v>
      </c>
      <c r="I112" s="13">
        <f t="shared" si="1"/>
        <v>1828048.1806865255</v>
      </c>
    </row>
    <row r="113" spans="1:9" ht="15.75" x14ac:dyDescent="0.25">
      <c r="A113" s="8"/>
      <c r="B113" s="8"/>
      <c r="C113" s="9"/>
      <c r="D113" s="12" t="s">
        <v>109</v>
      </c>
      <c r="E113" s="14">
        <v>747503.29999999993</v>
      </c>
      <c r="F113" s="14">
        <v>1703210.5518781131</v>
      </c>
      <c r="G113" s="14">
        <v>393431.69000000006</v>
      </c>
      <c r="H113" s="14">
        <v>0</v>
      </c>
      <c r="I113" s="13">
        <f t="shared" si="1"/>
        <v>2844145.5418781131</v>
      </c>
    </row>
    <row r="114" spans="1:9" ht="15.75" x14ac:dyDescent="0.25">
      <c r="A114" s="8"/>
      <c r="B114" s="8"/>
      <c r="C114" s="9"/>
      <c r="D114" s="12" t="s">
        <v>110</v>
      </c>
      <c r="E114" s="14">
        <v>228092.65</v>
      </c>
      <c r="F114" s="14">
        <v>1953523.1914626772</v>
      </c>
      <c r="G114" s="14">
        <v>723043.84000000008</v>
      </c>
      <c r="H114" s="14">
        <v>0</v>
      </c>
      <c r="I114" s="13">
        <f t="shared" si="1"/>
        <v>2904659.6814626772</v>
      </c>
    </row>
    <row r="115" spans="1:9" ht="15.75" x14ac:dyDescent="0.25">
      <c r="A115" s="8"/>
      <c r="B115" s="8"/>
      <c r="C115" s="9"/>
      <c r="D115" s="12" t="s">
        <v>111</v>
      </c>
      <c r="E115" s="14">
        <v>1217244.69</v>
      </c>
      <c r="F115" s="14">
        <v>965879.98462236556</v>
      </c>
      <c r="G115" s="14">
        <v>887480.62000000011</v>
      </c>
      <c r="H115" s="14">
        <v>0</v>
      </c>
      <c r="I115" s="13">
        <f t="shared" si="1"/>
        <v>3070605.2946223654</v>
      </c>
    </row>
    <row r="116" spans="1:9" ht="15.75" x14ac:dyDescent="0.25">
      <c r="A116" s="8"/>
      <c r="B116" s="8"/>
      <c r="C116" s="9"/>
      <c r="D116" s="12" t="s">
        <v>112</v>
      </c>
      <c r="E116" s="14">
        <v>280648.31999999995</v>
      </c>
      <c r="F116" s="14">
        <v>1254281.8214961535</v>
      </c>
      <c r="G116" s="14">
        <v>223354.47</v>
      </c>
      <c r="H116" s="14">
        <v>0</v>
      </c>
      <c r="I116" s="13">
        <f t="shared" si="1"/>
        <v>1758284.6114961535</v>
      </c>
    </row>
    <row r="117" spans="1:9" ht="15.75" x14ac:dyDescent="0.25">
      <c r="A117" s="8"/>
      <c r="B117" s="8"/>
      <c r="C117" s="9"/>
      <c r="D117" s="12" t="s">
        <v>113</v>
      </c>
      <c r="E117" s="14">
        <v>242729.20999999996</v>
      </c>
      <c r="F117" s="14">
        <v>968598.60819569952</v>
      </c>
      <c r="G117" s="14">
        <v>747268.5</v>
      </c>
      <c r="H117" s="14">
        <v>0</v>
      </c>
      <c r="I117" s="13">
        <f t="shared" si="1"/>
        <v>1958596.3181956995</v>
      </c>
    </row>
    <row r="118" spans="1:9" ht="15.75" x14ac:dyDescent="0.25">
      <c r="A118" s="8"/>
      <c r="B118" s="8"/>
      <c r="C118" s="9"/>
      <c r="D118" s="12" t="s">
        <v>114</v>
      </c>
      <c r="E118" s="14">
        <v>661808.90999999992</v>
      </c>
      <c r="F118" s="14">
        <v>1512750.3318007193</v>
      </c>
      <c r="G118" s="14">
        <v>752817.05</v>
      </c>
      <c r="H118" s="14">
        <v>0</v>
      </c>
      <c r="I118" s="13">
        <f t="shared" si="1"/>
        <v>2927376.2918007188</v>
      </c>
    </row>
    <row r="119" spans="1:9" ht="15.75" x14ac:dyDescent="0.25">
      <c r="A119" s="8"/>
      <c r="B119" s="8"/>
      <c r="C119" s="9"/>
      <c r="D119" s="12" t="s">
        <v>115</v>
      </c>
      <c r="E119" s="14">
        <v>59121.599999999991</v>
      </c>
      <c r="F119" s="14">
        <v>146919.54201022795</v>
      </c>
      <c r="G119" s="14">
        <v>303441.62000000005</v>
      </c>
      <c r="H119" s="14">
        <v>0</v>
      </c>
      <c r="I119" s="13">
        <f t="shared" si="1"/>
        <v>509482.76201022801</v>
      </c>
    </row>
    <row r="120" spans="1:9" ht="15.75" x14ac:dyDescent="0.25">
      <c r="A120" s="8"/>
      <c r="B120" s="8"/>
      <c r="C120" s="9"/>
      <c r="D120" s="12" t="s">
        <v>116</v>
      </c>
      <c r="E120" s="14">
        <v>845335.55999999994</v>
      </c>
      <c r="F120" s="14">
        <v>642107.57403268781</v>
      </c>
      <c r="G120" s="14">
        <v>951936.23</v>
      </c>
      <c r="H120" s="14">
        <v>0</v>
      </c>
      <c r="I120" s="13">
        <f t="shared" si="1"/>
        <v>2439379.3640326876</v>
      </c>
    </row>
    <row r="121" spans="1:9" ht="15.75" x14ac:dyDescent="0.25">
      <c r="A121" s="8"/>
      <c r="B121" s="8"/>
      <c r="C121" s="9"/>
      <c r="D121" s="12" t="s">
        <v>117</v>
      </c>
      <c r="E121" s="14">
        <v>314972.59999999998</v>
      </c>
      <c r="F121" s="14">
        <v>984924.58326697769</v>
      </c>
      <c r="G121" s="14">
        <v>409366.28</v>
      </c>
      <c r="H121" s="14">
        <v>0</v>
      </c>
      <c r="I121" s="13">
        <f t="shared" si="1"/>
        <v>1709263.4632669778</v>
      </c>
    </row>
    <row r="122" spans="1:9" ht="15.75" x14ac:dyDescent="0.25">
      <c r="A122" s="8"/>
      <c r="B122" s="8"/>
      <c r="C122" s="9"/>
      <c r="D122" s="12" t="s">
        <v>118</v>
      </c>
      <c r="E122" s="14">
        <v>608650.93999999994</v>
      </c>
      <c r="F122" s="14">
        <v>702500.87152826972</v>
      </c>
      <c r="G122" s="14">
        <v>910009.23999999987</v>
      </c>
      <c r="H122" s="14">
        <v>0</v>
      </c>
      <c r="I122" s="13">
        <f t="shared" si="1"/>
        <v>2221161.0515282694</v>
      </c>
    </row>
    <row r="123" spans="1:9" ht="15.75" x14ac:dyDescent="0.25">
      <c r="A123" s="8"/>
      <c r="B123" s="8"/>
      <c r="C123" s="9"/>
      <c r="D123" s="12" t="s">
        <v>119</v>
      </c>
      <c r="E123" s="14">
        <v>429954.68</v>
      </c>
      <c r="F123" s="14">
        <v>1290734.1511888674</v>
      </c>
      <c r="G123" s="14">
        <v>289250.95999999996</v>
      </c>
      <c r="H123" s="14">
        <v>0</v>
      </c>
      <c r="I123" s="13">
        <f t="shared" si="1"/>
        <v>2009939.7911888673</v>
      </c>
    </row>
    <row r="124" spans="1:9" ht="15.75" x14ac:dyDescent="0.25">
      <c r="A124" s="8"/>
      <c r="B124" s="8"/>
      <c r="C124" s="9"/>
      <c r="D124" s="12" t="s">
        <v>120</v>
      </c>
      <c r="E124" s="14">
        <v>28032.179999999997</v>
      </c>
      <c r="F124" s="14">
        <v>0</v>
      </c>
      <c r="G124" s="14">
        <v>2144067.2100000004</v>
      </c>
      <c r="H124" s="14">
        <v>337706.81999999995</v>
      </c>
      <c r="I124" s="13">
        <f t="shared" si="1"/>
        <v>2509806.2100000004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7163424.8399999999</v>
      </c>
      <c r="H125" s="14">
        <v>87617.264999999999</v>
      </c>
      <c r="I125" s="13">
        <f t="shared" si="1"/>
        <v>7251042.1049999995</v>
      </c>
    </row>
    <row r="126" spans="1:9" ht="15.75" x14ac:dyDescent="0.25">
      <c r="A126" s="8"/>
      <c r="B126" s="8"/>
      <c r="C126" s="9"/>
      <c r="D126" s="12" t="s">
        <v>122</v>
      </c>
      <c r="E126" s="14">
        <v>10716.19</v>
      </c>
      <c r="F126" s="14">
        <v>0</v>
      </c>
      <c r="G126" s="14">
        <v>2936603.4599999995</v>
      </c>
      <c r="H126" s="14">
        <v>0</v>
      </c>
      <c r="I126" s="13">
        <f t="shared" si="1"/>
        <v>2947319.6499999994</v>
      </c>
    </row>
    <row r="127" spans="1:9" ht="15.75" x14ac:dyDescent="0.25">
      <c r="A127" s="8"/>
      <c r="B127" s="8"/>
      <c r="C127" s="9"/>
      <c r="D127" s="12" t="s">
        <v>123</v>
      </c>
      <c r="E127" s="14">
        <v>270187.03999999998</v>
      </c>
      <c r="F127" s="14">
        <v>272075.86180250987</v>
      </c>
      <c r="G127" s="14">
        <v>5618678.5</v>
      </c>
      <c r="H127" s="14">
        <v>0</v>
      </c>
      <c r="I127" s="13">
        <f t="shared" si="1"/>
        <v>6160941.40180251</v>
      </c>
    </row>
    <row r="128" spans="1:9" ht="15.75" x14ac:dyDescent="0.25">
      <c r="A128" s="8"/>
      <c r="B128" s="8"/>
      <c r="C128" s="9"/>
      <c r="D128" s="12" t="s">
        <v>124</v>
      </c>
      <c r="E128" s="14">
        <v>1116489.0400000003</v>
      </c>
      <c r="F128" s="14">
        <v>778138.38811830571</v>
      </c>
      <c r="G128" s="14">
        <v>1045313.3999999999</v>
      </c>
      <c r="H128" s="14">
        <v>0</v>
      </c>
      <c r="I128" s="13">
        <f t="shared" si="1"/>
        <v>2939940.8281183057</v>
      </c>
    </row>
    <row r="129" spans="1:9" ht="15.75" x14ac:dyDescent="0.25">
      <c r="A129" s="8"/>
      <c r="B129" s="8"/>
      <c r="C129" s="9"/>
      <c r="D129" s="12" t="s">
        <v>125</v>
      </c>
      <c r="E129" s="14">
        <v>403835.54</v>
      </c>
      <c r="F129" s="14">
        <v>410839.53309273586</v>
      </c>
      <c r="G129" s="14">
        <v>787800.51</v>
      </c>
      <c r="H129" s="14">
        <v>0</v>
      </c>
      <c r="I129" s="13">
        <f t="shared" si="1"/>
        <v>1602475.5830927358</v>
      </c>
    </row>
    <row r="130" spans="1:9" ht="15.75" x14ac:dyDescent="0.25">
      <c r="A130" s="8"/>
      <c r="B130" s="8"/>
      <c r="C130" s="9"/>
      <c r="D130" s="12" t="s">
        <v>126</v>
      </c>
      <c r="E130" s="14">
        <v>169016.33000000002</v>
      </c>
      <c r="F130" s="14">
        <v>723723.21575780376</v>
      </c>
      <c r="G130" s="14">
        <v>239901.36</v>
      </c>
      <c r="H130" s="14">
        <v>0</v>
      </c>
      <c r="I130" s="13">
        <f t="shared" si="1"/>
        <v>1132640.9057578039</v>
      </c>
    </row>
    <row r="131" spans="1:9" ht="15.75" x14ac:dyDescent="0.25">
      <c r="A131" s="8"/>
      <c r="B131" s="8"/>
      <c r="C131" s="9"/>
      <c r="D131" s="12" t="s">
        <v>127</v>
      </c>
      <c r="E131" s="14">
        <v>1836297.1300000001</v>
      </c>
      <c r="F131" s="14">
        <v>3955469.1965195024</v>
      </c>
      <c r="G131" s="14">
        <v>5034903.46</v>
      </c>
      <c r="H131" s="14">
        <v>0</v>
      </c>
      <c r="I131" s="13">
        <f t="shared" si="1"/>
        <v>10826669.786519501</v>
      </c>
    </row>
    <row r="132" spans="1:9" ht="15.75" x14ac:dyDescent="0.25">
      <c r="A132" s="8"/>
      <c r="B132" s="8"/>
      <c r="C132" s="9"/>
      <c r="D132" s="12" t="s">
        <v>128</v>
      </c>
      <c r="E132" s="14">
        <v>345205.04999999993</v>
      </c>
      <c r="F132" s="14">
        <v>2426933.7676359173</v>
      </c>
      <c r="G132" s="14">
        <v>126492.39</v>
      </c>
      <c r="H132" s="14">
        <v>0</v>
      </c>
      <c r="I132" s="13">
        <f t="shared" si="1"/>
        <v>2898631.2076359172</v>
      </c>
    </row>
    <row r="133" spans="1:9" ht="15.75" x14ac:dyDescent="0.25">
      <c r="A133" s="8"/>
      <c r="B133" s="8"/>
      <c r="C133" s="9"/>
      <c r="D133" s="12" t="s">
        <v>129</v>
      </c>
      <c r="E133" s="14">
        <v>226238.65000000002</v>
      </c>
      <c r="F133" s="14">
        <v>0</v>
      </c>
      <c r="G133" s="14">
        <v>8139585.5300000012</v>
      </c>
      <c r="H133" s="14">
        <v>561961.96500000008</v>
      </c>
      <c r="I133" s="13">
        <f t="shared" si="1"/>
        <v>8927786.1450000014</v>
      </c>
    </row>
    <row r="134" spans="1:9" ht="15.75" x14ac:dyDescent="0.25">
      <c r="A134" s="8"/>
      <c r="B134" s="8"/>
      <c r="C134" s="9"/>
      <c r="D134" s="12" t="s">
        <v>130</v>
      </c>
      <c r="E134" s="14">
        <v>23408.22</v>
      </c>
      <c r="F134" s="14">
        <v>119719.07264561397</v>
      </c>
      <c r="G134" s="14">
        <v>25029.530000000002</v>
      </c>
      <c r="H134" s="14">
        <v>0</v>
      </c>
      <c r="I134" s="13">
        <f t="shared" si="1"/>
        <v>168156.82264561395</v>
      </c>
    </row>
    <row r="135" spans="1:9" ht="15.75" x14ac:dyDescent="0.25">
      <c r="A135" s="8"/>
      <c r="B135" s="8"/>
      <c r="C135" s="9"/>
      <c r="D135" s="12" t="s">
        <v>131</v>
      </c>
      <c r="E135" s="14">
        <v>447324.35</v>
      </c>
      <c r="F135" s="14">
        <v>1512750.3318007193</v>
      </c>
      <c r="G135" s="14">
        <v>278502.51</v>
      </c>
      <c r="H135" s="14">
        <v>0</v>
      </c>
      <c r="I135" s="13">
        <f t="shared" si="1"/>
        <v>2238577.1918007191</v>
      </c>
    </row>
    <row r="136" spans="1:9" ht="15.75" x14ac:dyDescent="0.25">
      <c r="A136" s="8"/>
      <c r="B136" s="8"/>
      <c r="C136" s="9"/>
      <c r="D136" s="12" t="s">
        <v>132</v>
      </c>
      <c r="E136" s="14">
        <v>1674769.3899999997</v>
      </c>
      <c r="F136" s="14">
        <v>1828366.8716703951</v>
      </c>
      <c r="G136" s="14">
        <v>1614968.0300000003</v>
      </c>
      <c r="H136" s="14">
        <v>0</v>
      </c>
      <c r="I136" s="13">
        <f t="shared" si="1"/>
        <v>5118104.2916703951</v>
      </c>
    </row>
    <row r="137" spans="1:9" ht="15.75" x14ac:dyDescent="0.25">
      <c r="A137" s="8"/>
      <c r="B137" s="8"/>
      <c r="C137" s="9"/>
      <c r="D137" s="12" t="s">
        <v>133</v>
      </c>
      <c r="E137" s="14">
        <v>1078339.94</v>
      </c>
      <c r="F137" s="14">
        <v>3071759.9652419388</v>
      </c>
      <c r="G137" s="14">
        <v>2803740.0799999996</v>
      </c>
      <c r="H137" s="14">
        <v>0</v>
      </c>
      <c r="I137" s="13">
        <f t="shared" si="1"/>
        <v>6953839.9852419384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4031866.5700000008</v>
      </c>
      <c r="H138" s="14">
        <v>0</v>
      </c>
      <c r="I138" s="13">
        <f t="shared" ref="I138:I144" si="2">SUM(E138:H138)</f>
        <v>4031866.5700000008</v>
      </c>
    </row>
    <row r="139" spans="1:9" ht="15.75" x14ac:dyDescent="0.25">
      <c r="A139" s="8"/>
      <c r="B139" s="8"/>
      <c r="C139" s="9"/>
      <c r="D139" s="12" t="s">
        <v>135</v>
      </c>
      <c r="E139" s="14">
        <v>40437.979999999996</v>
      </c>
      <c r="F139" s="14">
        <v>430425.00972575985</v>
      </c>
      <c r="G139" s="14">
        <v>298948.02999999997</v>
      </c>
      <c r="H139" s="14">
        <v>0</v>
      </c>
      <c r="I139" s="13">
        <f t="shared" si="2"/>
        <v>769811.01972575975</v>
      </c>
    </row>
    <row r="140" spans="1:9" ht="15.75" x14ac:dyDescent="0.25">
      <c r="A140" s="8"/>
      <c r="B140" s="8"/>
      <c r="C140" s="9"/>
      <c r="D140" s="12" t="s">
        <v>136</v>
      </c>
      <c r="E140" s="14">
        <v>651375.61</v>
      </c>
      <c r="F140" s="14">
        <v>3052715.3665973265</v>
      </c>
      <c r="G140" s="14">
        <v>1037312.17</v>
      </c>
      <c r="H140" s="14">
        <v>0</v>
      </c>
      <c r="I140" s="13">
        <f t="shared" si="2"/>
        <v>4741403.1465973267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4597456.1899999995</v>
      </c>
      <c r="H141" s="14">
        <v>56507.380000000005</v>
      </c>
      <c r="I141" s="13">
        <f t="shared" si="2"/>
        <v>4653963.5699999994</v>
      </c>
    </row>
    <row r="142" spans="1:9" ht="15.75" x14ac:dyDescent="0.25">
      <c r="A142" s="8"/>
      <c r="B142" s="8"/>
      <c r="C142" s="9"/>
      <c r="D142" s="12" t="s">
        <v>138</v>
      </c>
      <c r="E142" s="14">
        <v>5429.630000000001</v>
      </c>
      <c r="F142" s="14">
        <v>0</v>
      </c>
      <c r="G142" s="14">
        <v>1650034.85</v>
      </c>
      <c r="H142" s="14">
        <v>0</v>
      </c>
      <c r="I142" s="13">
        <f t="shared" si="2"/>
        <v>1655464.48</v>
      </c>
    </row>
    <row r="143" spans="1:9" ht="15.75" x14ac:dyDescent="0.25">
      <c r="A143" s="8"/>
      <c r="B143" s="8"/>
      <c r="C143" s="9"/>
      <c r="D143" s="12" t="s">
        <v>139</v>
      </c>
      <c r="E143" s="14">
        <v>54155.319999999992</v>
      </c>
      <c r="F143" s="14">
        <v>2821447.3256573747</v>
      </c>
      <c r="G143" s="14">
        <v>135335.34</v>
      </c>
      <c r="H143" s="14">
        <v>0</v>
      </c>
      <c r="I143" s="13">
        <f t="shared" si="2"/>
        <v>3010937.9856573744</v>
      </c>
    </row>
    <row r="144" spans="1:9" ht="15.75" x14ac:dyDescent="0.25">
      <c r="A144" s="8"/>
      <c r="B144" s="8"/>
      <c r="C144" s="9"/>
      <c r="D144" s="12" t="s">
        <v>140</v>
      </c>
      <c r="E144" s="14">
        <v>613526.7300000001</v>
      </c>
      <c r="F144" s="14">
        <v>342817.00923428987</v>
      </c>
      <c r="G144" s="14">
        <v>1617799.2200000002</v>
      </c>
      <c r="H144" s="14">
        <v>0</v>
      </c>
      <c r="I144" s="13">
        <f t="shared" si="2"/>
        <v>2574142.9592342903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78043421.00999999</v>
      </c>
      <c r="F145" s="22">
        <f>SUM(F10:F144)</f>
        <v>142329793.7368764</v>
      </c>
      <c r="G145" s="22">
        <f>SUM(G10:G144)</f>
        <v>250886034.79000005</v>
      </c>
      <c r="H145" s="22">
        <f>SUM(H10:H144)</f>
        <v>1043793.43</v>
      </c>
      <c r="I145" s="22">
        <f>SUM(I10:I144)</f>
        <v>472303042.96687645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312890.17000000004</v>
      </c>
      <c r="F10" s="14">
        <v>5125601.1235969802</v>
      </c>
      <c r="G10" s="14">
        <v>512420.77999999997</v>
      </c>
      <c r="H10" s="14">
        <v>0</v>
      </c>
      <c r="I10" s="13">
        <f t="shared" ref="I10:I73" si="0">SUM(E10:H10)</f>
        <v>5950912.0735969804</v>
      </c>
    </row>
    <row r="11" spans="1:9" ht="15.75" x14ac:dyDescent="0.25">
      <c r="A11" s="8"/>
      <c r="B11" s="8"/>
      <c r="C11" s="9"/>
      <c r="D11" s="12" t="s">
        <v>7</v>
      </c>
      <c r="E11" s="14">
        <v>1082459.1199999999</v>
      </c>
      <c r="F11" s="14">
        <v>2876882.1712697605</v>
      </c>
      <c r="G11" s="14">
        <v>462598.15</v>
      </c>
      <c r="H11" s="14">
        <v>0</v>
      </c>
      <c r="I11" s="13">
        <f t="shared" si="0"/>
        <v>4421939.441269761</v>
      </c>
    </row>
    <row r="12" spans="1:9" ht="15.75" x14ac:dyDescent="0.25">
      <c r="A12" s="8"/>
      <c r="B12" s="8"/>
      <c r="C12" s="9"/>
      <c r="D12" s="12" t="s">
        <v>8</v>
      </c>
      <c r="E12" s="14">
        <v>314984.58999999997</v>
      </c>
      <c r="F12" s="14">
        <v>1042961.2052704202</v>
      </c>
      <c r="G12" s="14">
        <v>329463.89999999997</v>
      </c>
      <c r="H12" s="14">
        <v>0</v>
      </c>
      <c r="I12" s="13">
        <f t="shared" si="0"/>
        <v>1687409.6952704201</v>
      </c>
    </row>
    <row r="13" spans="1:9" ht="15.75" x14ac:dyDescent="0.25">
      <c r="A13" s="8"/>
      <c r="B13" s="8"/>
      <c r="C13" s="9"/>
      <c r="D13" s="12" t="s">
        <v>9</v>
      </c>
      <c r="E13" s="14">
        <v>138065.74</v>
      </c>
      <c r="F13" s="14">
        <v>27593.857459580002</v>
      </c>
      <c r="G13" s="14">
        <v>3891500.2</v>
      </c>
      <c r="H13" s="14">
        <v>0</v>
      </c>
      <c r="I13" s="13">
        <f t="shared" si="0"/>
        <v>4057159.79745958</v>
      </c>
    </row>
    <row r="14" spans="1:9" ht="15.75" x14ac:dyDescent="0.25">
      <c r="A14" s="8"/>
      <c r="B14" s="8"/>
      <c r="C14" s="9"/>
      <c r="D14" s="12" t="s">
        <v>10</v>
      </c>
      <c r="E14" s="14">
        <v>992159.91999999993</v>
      </c>
      <c r="F14" s="14">
        <v>1158845.7836338002</v>
      </c>
      <c r="G14" s="14">
        <v>745300.03999999992</v>
      </c>
      <c r="H14" s="14">
        <v>0</v>
      </c>
      <c r="I14" s="13">
        <f t="shared" si="0"/>
        <v>2896305.7436338002</v>
      </c>
    </row>
    <row r="15" spans="1:9" ht="15.75" x14ac:dyDescent="0.25">
      <c r="A15" s="8"/>
      <c r="B15" s="8"/>
      <c r="C15" s="9"/>
      <c r="D15" s="12" t="s">
        <v>11</v>
      </c>
      <c r="E15" s="14">
        <v>11074.96</v>
      </c>
      <c r="F15" s="14">
        <v>6447.3877935200007</v>
      </c>
      <c r="G15" s="14">
        <v>4154868.3600000003</v>
      </c>
      <c r="H15" s="14">
        <v>0</v>
      </c>
      <c r="I15" s="13">
        <f t="shared" si="0"/>
        <v>4172390.7077935203</v>
      </c>
    </row>
    <row r="16" spans="1:9" ht="15.75" x14ac:dyDescent="0.25">
      <c r="A16" s="8"/>
      <c r="B16" s="8"/>
      <c r="C16" s="9"/>
      <c r="D16" s="12" t="s">
        <v>12</v>
      </c>
      <c r="E16" s="14">
        <v>1073919.8600000003</v>
      </c>
      <c r="F16" s="14">
        <v>5525675.9706351804</v>
      </c>
      <c r="G16" s="14">
        <v>749648</v>
      </c>
      <c r="H16" s="14">
        <v>0</v>
      </c>
      <c r="I16" s="13">
        <f t="shared" si="0"/>
        <v>7349243.8306351807</v>
      </c>
    </row>
    <row r="17" spans="1:9" ht="15.75" x14ac:dyDescent="0.25">
      <c r="A17" s="8"/>
      <c r="B17" s="8"/>
      <c r="C17" s="9"/>
      <c r="D17" s="12" t="s">
        <v>13</v>
      </c>
      <c r="E17" s="14">
        <v>2280157.4900000002</v>
      </c>
      <c r="F17" s="14">
        <v>5269993.7412712602</v>
      </c>
      <c r="G17" s="14">
        <v>1765797.27</v>
      </c>
      <c r="H17" s="14">
        <v>0</v>
      </c>
      <c r="I17" s="13">
        <f t="shared" si="0"/>
        <v>9315948.5012712609</v>
      </c>
    </row>
    <row r="18" spans="1:9" ht="15.75" x14ac:dyDescent="0.25">
      <c r="A18" s="8"/>
      <c r="B18" s="8"/>
      <c r="C18" s="9"/>
      <c r="D18" s="12" t="s">
        <v>14</v>
      </c>
      <c r="E18" s="14">
        <v>157537.06000000003</v>
      </c>
      <c r="F18" s="14">
        <v>413883.80447655998</v>
      </c>
      <c r="G18" s="14">
        <v>8457930.1499999985</v>
      </c>
      <c r="H18" s="14">
        <v>0</v>
      </c>
      <c r="I18" s="13">
        <f t="shared" si="0"/>
        <v>9029351.0144765582</v>
      </c>
    </row>
    <row r="19" spans="1:9" ht="15.75" x14ac:dyDescent="0.25">
      <c r="A19" s="8"/>
      <c r="B19" s="8"/>
      <c r="C19" s="9"/>
      <c r="D19" s="12" t="s">
        <v>15</v>
      </c>
      <c r="E19" s="14">
        <v>1686430.4499999995</v>
      </c>
      <c r="F19" s="14">
        <v>3950203.8369708601</v>
      </c>
      <c r="G19" s="14">
        <v>1365389.05</v>
      </c>
      <c r="H19" s="14">
        <v>0</v>
      </c>
      <c r="I19" s="13">
        <f t="shared" si="0"/>
        <v>7002023.3369708592</v>
      </c>
    </row>
    <row r="20" spans="1:9" ht="15.75" x14ac:dyDescent="0.25">
      <c r="A20" s="8"/>
      <c r="B20" s="8"/>
      <c r="C20" s="9"/>
      <c r="D20" s="12" t="s">
        <v>16</v>
      </c>
      <c r="E20" s="14">
        <v>1220430.01</v>
      </c>
      <c r="F20" s="14">
        <v>1098148.9201895799</v>
      </c>
      <c r="G20" s="14">
        <v>697400.58000000007</v>
      </c>
      <c r="H20" s="14">
        <v>0</v>
      </c>
      <c r="I20" s="13">
        <f t="shared" si="0"/>
        <v>3015979.5101895798</v>
      </c>
    </row>
    <row r="21" spans="1:9" ht="15.75" x14ac:dyDescent="0.25">
      <c r="A21" s="8"/>
      <c r="B21" s="8"/>
      <c r="C21" s="9"/>
      <c r="D21" s="12" t="s">
        <v>17</v>
      </c>
      <c r="E21" s="14">
        <v>999547.1599999998</v>
      </c>
      <c r="F21" s="14">
        <v>4725526.2765587801</v>
      </c>
      <c r="G21" s="14">
        <v>552120.09</v>
      </c>
      <c r="H21" s="14">
        <v>0</v>
      </c>
      <c r="I21" s="13">
        <f t="shared" si="0"/>
        <v>6277193.5265587801</v>
      </c>
    </row>
    <row r="22" spans="1:9" ht="15.75" x14ac:dyDescent="0.25">
      <c r="A22" s="8"/>
      <c r="B22" s="8"/>
      <c r="C22" s="9"/>
      <c r="D22" s="12" t="s">
        <v>18</v>
      </c>
      <c r="E22" s="14">
        <v>159073.03</v>
      </c>
      <c r="F22" s="14">
        <v>202346.93556454001</v>
      </c>
      <c r="G22" s="14">
        <v>3075378.3699999996</v>
      </c>
      <c r="H22" s="14">
        <v>0</v>
      </c>
      <c r="I22" s="13">
        <f t="shared" si="0"/>
        <v>3436798.3355645398</v>
      </c>
    </row>
    <row r="23" spans="1:9" ht="15.75" x14ac:dyDescent="0.25">
      <c r="A23" s="8"/>
      <c r="B23" s="8"/>
      <c r="C23" s="9"/>
      <c r="D23" s="12" t="s">
        <v>19</v>
      </c>
      <c r="E23" s="14">
        <v>18670.010000000002</v>
      </c>
      <c r="F23" s="14">
        <v>75420.002733900023</v>
      </c>
      <c r="G23" s="14">
        <v>2768510.35</v>
      </c>
      <c r="H23" s="14">
        <v>0</v>
      </c>
      <c r="I23" s="13">
        <f t="shared" si="0"/>
        <v>2862600.3627339001</v>
      </c>
    </row>
    <row r="24" spans="1:9" ht="15.75" x14ac:dyDescent="0.25">
      <c r="A24" s="8"/>
      <c r="B24" s="8"/>
      <c r="C24" s="9"/>
      <c r="D24" s="12" t="s">
        <v>20</v>
      </c>
      <c r="E24" s="14">
        <v>1543185.8299999998</v>
      </c>
      <c r="F24" s="14">
        <v>2898052.6983529599</v>
      </c>
      <c r="G24" s="14">
        <v>1168335.8900000001</v>
      </c>
      <c r="H24" s="14">
        <v>0</v>
      </c>
      <c r="I24" s="13">
        <f t="shared" si="0"/>
        <v>5609574.4183529597</v>
      </c>
    </row>
    <row r="25" spans="1:9" ht="15.75" x14ac:dyDescent="0.25">
      <c r="A25" s="8"/>
      <c r="B25" s="8"/>
      <c r="C25" s="9"/>
      <c r="D25" s="12" t="s">
        <v>21</v>
      </c>
      <c r="E25" s="14">
        <v>978058.10000000021</v>
      </c>
      <c r="F25" s="14">
        <v>2152152.47992726</v>
      </c>
      <c r="G25" s="14">
        <v>1090584.57</v>
      </c>
      <c r="H25" s="14">
        <v>0</v>
      </c>
      <c r="I25" s="13">
        <f t="shared" si="0"/>
        <v>4220795.1499272604</v>
      </c>
    </row>
    <row r="26" spans="1:9" ht="15.75" x14ac:dyDescent="0.25">
      <c r="A26" s="8"/>
      <c r="B26" s="8"/>
      <c r="C26" s="9"/>
      <c r="D26" s="12" t="s">
        <v>22</v>
      </c>
      <c r="E26" s="14">
        <v>725710.33000000007</v>
      </c>
      <c r="F26" s="14">
        <v>1232437.42266506</v>
      </c>
      <c r="G26" s="14">
        <v>569203.37000000011</v>
      </c>
      <c r="H26" s="14">
        <v>0</v>
      </c>
      <c r="I26" s="13">
        <f t="shared" si="0"/>
        <v>2527351.1226650602</v>
      </c>
    </row>
    <row r="27" spans="1:9" ht="15.75" x14ac:dyDescent="0.25">
      <c r="A27" s="8"/>
      <c r="B27" s="8"/>
      <c r="C27" s="9"/>
      <c r="D27" s="12" t="s">
        <v>23</v>
      </c>
      <c r="E27" s="14">
        <v>475782.79999999987</v>
      </c>
      <c r="F27" s="14">
        <v>211536.86891202</v>
      </c>
      <c r="G27" s="14">
        <v>2190385.25</v>
      </c>
      <c r="H27" s="14">
        <v>0</v>
      </c>
      <c r="I27" s="13">
        <f t="shared" si="0"/>
        <v>2877704.9189120196</v>
      </c>
    </row>
    <row r="28" spans="1:9" ht="15.75" x14ac:dyDescent="0.25">
      <c r="A28" s="8"/>
      <c r="B28" s="8"/>
      <c r="C28" s="9"/>
      <c r="D28" s="12" t="s">
        <v>24</v>
      </c>
      <c r="E28" s="14">
        <v>1253640.49</v>
      </c>
      <c r="F28" s="14">
        <v>1002496.6296409401</v>
      </c>
      <c r="G28" s="14">
        <v>789094.13</v>
      </c>
      <c r="H28" s="14">
        <v>0</v>
      </c>
      <c r="I28" s="13">
        <f t="shared" si="0"/>
        <v>3045231.2496409398</v>
      </c>
    </row>
    <row r="29" spans="1:9" ht="15.75" x14ac:dyDescent="0.25">
      <c r="A29" s="8"/>
      <c r="B29" s="8"/>
      <c r="C29" s="9"/>
      <c r="D29" s="12" t="s">
        <v>25</v>
      </c>
      <c r="E29" s="14">
        <v>471931.24000000005</v>
      </c>
      <c r="F29" s="14">
        <v>561018.96770480007</v>
      </c>
      <c r="G29" s="14">
        <v>269392.13</v>
      </c>
      <c r="H29" s="14">
        <v>0</v>
      </c>
      <c r="I29" s="13">
        <f t="shared" si="0"/>
        <v>1302342.3377048001</v>
      </c>
    </row>
    <row r="30" spans="1:9" ht="15.75" x14ac:dyDescent="0.25">
      <c r="A30" s="8"/>
      <c r="B30" s="8"/>
      <c r="C30" s="9"/>
      <c r="D30" s="12" t="s">
        <v>26</v>
      </c>
      <c r="E30" s="14">
        <v>1492009.98</v>
      </c>
      <c r="F30" s="14">
        <v>3025893.81303492</v>
      </c>
      <c r="G30" s="14">
        <v>730227.21999999986</v>
      </c>
      <c r="H30" s="14">
        <v>0</v>
      </c>
      <c r="I30" s="13">
        <f t="shared" si="0"/>
        <v>5248131.0130349202</v>
      </c>
    </row>
    <row r="31" spans="1:9" ht="15.75" x14ac:dyDescent="0.25">
      <c r="A31" s="8"/>
      <c r="B31" s="8"/>
      <c r="C31" s="9"/>
      <c r="D31" s="12" t="s">
        <v>27</v>
      </c>
      <c r="E31" s="14">
        <v>867311.09</v>
      </c>
      <c r="F31" s="14">
        <v>3136245.1854560999</v>
      </c>
      <c r="G31" s="14">
        <v>617489.91</v>
      </c>
      <c r="H31" s="14">
        <v>0</v>
      </c>
      <c r="I31" s="13">
        <f t="shared" si="0"/>
        <v>4621046.1854560999</v>
      </c>
    </row>
    <row r="32" spans="1:9" ht="15.75" x14ac:dyDescent="0.25">
      <c r="A32" s="8"/>
      <c r="B32" s="8"/>
      <c r="C32" s="9"/>
      <c r="D32" s="12" t="s">
        <v>28</v>
      </c>
      <c r="E32" s="14">
        <v>940819.88</v>
      </c>
      <c r="F32" s="14">
        <v>1058598.5264114202</v>
      </c>
      <c r="G32" s="14">
        <v>324325.93000000005</v>
      </c>
      <c r="H32" s="14">
        <v>0</v>
      </c>
      <c r="I32" s="13">
        <f t="shared" si="0"/>
        <v>2323744.3364114203</v>
      </c>
    </row>
    <row r="33" spans="1:9" ht="15.75" x14ac:dyDescent="0.25">
      <c r="A33" s="8"/>
      <c r="B33" s="8"/>
      <c r="C33" s="9"/>
      <c r="D33" s="12" t="s">
        <v>29</v>
      </c>
      <c r="E33" s="14">
        <v>282257.90000000002</v>
      </c>
      <c r="F33" s="14">
        <v>1600323.4455699401</v>
      </c>
      <c r="G33" s="14">
        <v>218020.42</v>
      </c>
      <c r="H33" s="14">
        <v>0</v>
      </c>
      <c r="I33" s="13">
        <f t="shared" si="0"/>
        <v>2100601.7655699402</v>
      </c>
    </row>
    <row r="34" spans="1:9" ht="15.75" x14ac:dyDescent="0.25">
      <c r="A34" s="8"/>
      <c r="B34" s="8"/>
      <c r="C34" s="9"/>
      <c r="D34" s="12" t="s">
        <v>30</v>
      </c>
      <c r="E34" s="14">
        <v>1587739.99</v>
      </c>
      <c r="F34" s="14">
        <v>2296545.0976015399</v>
      </c>
      <c r="G34" s="14">
        <v>1356350.46</v>
      </c>
      <c r="H34" s="14">
        <v>0</v>
      </c>
      <c r="I34" s="13">
        <f t="shared" si="0"/>
        <v>5240635.5476015396</v>
      </c>
    </row>
    <row r="35" spans="1:9" ht="15.75" x14ac:dyDescent="0.25">
      <c r="A35" s="8"/>
      <c r="B35" s="8"/>
      <c r="C35" s="9"/>
      <c r="D35" s="12" t="s">
        <v>31</v>
      </c>
      <c r="E35" s="14">
        <v>848037.76</v>
      </c>
      <c r="F35" s="14">
        <v>4223351.7511784211</v>
      </c>
      <c r="G35" s="14">
        <v>1020948.46</v>
      </c>
      <c r="H35" s="14">
        <v>0</v>
      </c>
      <c r="I35" s="13">
        <f t="shared" si="0"/>
        <v>6092337.9711784208</v>
      </c>
    </row>
    <row r="36" spans="1:9" ht="15.75" x14ac:dyDescent="0.25">
      <c r="A36" s="8"/>
      <c r="B36" s="8"/>
      <c r="C36" s="9"/>
      <c r="D36" s="12" t="s">
        <v>32</v>
      </c>
      <c r="E36" s="14">
        <v>929292.95000000007</v>
      </c>
      <c r="F36" s="14">
        <v>2095112.34388832</v>
      </c>
      <c r="G36" s="14">
        <v>1893317.8099999998</v>
      </c>
      <c r="H36" s="14">
        <v>0</v>
      </c>
      <c r="I36" s="13">
        <f t="shared" si="0"/>
        <v>4917723.1038883198</v>
      </c>
    </row>
    <row r="37" spans="1:9" ht="15.75" x14ac:dyDescent="0.25">
      <c r="A37" s="8"/>
      <c r="B37" s="8"/>
      <c r="C37" s="9"/>
      <c r="D37" s="12" t="s">
        <v>33</v>
      </c>
      <c r="E37" s="14">
        <v>490094.2699999999</v>
      </c>
      <c r="F37" s="14">
        <v>1465120.7612431401</v>
      </c>
      <c r="G37" s="14">
        <v>588286.81000000006</v>
      </c>
      <c r="H37" s="14">
        <v>0</v>
      </c>
      <c r="I37" s="13">
        <f t="shared" si="0"/>
        <v>2543501.8412431399</v>
      </c>
    </row>
    <row r="38" spans="1:9" ht="15.75" x14ac:dyDescent="0.25">
      <c r="A38" s="8"/>
      <c r="B38" s="8"/>
      <c r="C38" s="9"/>
      <c r="D38" s="12" t="s">
        <v>34</v>
      </c>
      <c r="E38" s="14">
        <v>787922.59</v>
      </c>
      <c r="F38" s="14">
        <v>2518186.08171236</v>
      </c>
      <c r="G38" s="14">
        <v>586639.07000000007</v>
      </c>
      <c r="H38" s="14">
        <v>0</v>
      </c>
      <c r="I38" s="13">
        <f t="shared" si="0"/>
        <v>3892747.7417123597</v>
      </c>
    </row>
    <row r="39" spans="1:9" ht="15.75" x14ac:dyDescent="0.25">
      <c r="A39" s="8"/>
      <c r="B39" s="8"/>
      <c r="C39" s="9"/>
      <c r="D39" s="12" t="s">
        <v>35</v>
      </c>
      <c r="E39" s="14">
        <v>453734.59999999992</v>
      </c>
      <c r="F39" s="14">
        <v>3942842.2673260202</v>
      </c>
      <c r="G39" s="14">
        <v>718689.16</v>
      </c>
      <c r="H39" s="14">
        <v>0</v>
      </c>
      <c r="I39" s="13">
        <f t="shared" si="0"/>
        <v>5115266.0273260204</v>
      </c>
    </row>
    <row r="40" spans="1:9" ht="15.75" x14ac:dyDescent="0.25">
      <c r="A40" s="8"/>
      <c r="B40" s="8"/>
      <c r="C40" s="9"/>
      <c r="D40" s="12" t="s">
        <v>36</v>
      </c>
      <c r="E40" s="14">
        <v>65468.01999999999</v>
      </c>
      <c r="F40" s="14">
        <v>206941.90223827999</v>
      </c>
      <c r="G40" s="14">
        <v>561964.69000000006</v>
      </c>
      <c r="H40" s="14">
        <v>0</v>
      </c>
      <c r="I40" s="13">
        <f t="shared" si="0"/>
        <v>834374.61223828001</v>
      </c>
    </row>
    <row r="41" spans="1:9" ht="15.75" x14ac:dyDescent="0.25">
      <c r="A41" s="8"/>
      <c r="B41" s="8"/>
      <c r="C41" s="9"/>
      <c r="D41" s="12" t="s">
        <v>37</v>
      </c>
      <c r="E41" s="14">
        <v>1642714.9800000002</v>
      </c>
      <c r="F41" s="14">
        <v>3706478.1439255201</v>
      </c>
      <c r="G41" s="14">
        <v>1569259.51</v>
      </c>
      <c r="H41" s="14">
        <v>0</v>
      </c>
      <c r="I41" s="13">
        <f t="shared" si="0"/>
        <v>6918452.6339255199</v>
      </c>
    </row>
    <row r="42" spans="1:9" ht="15.75" x14ac:dyDescent="0.25">
      <c r="A42" s="8"/>
      <c r="B42" s="8"/>
      <c r="C42" s="9"/>
      <c r="D42" s="12" t="s">
        <v>38</v>
      </c>
      <c r="E42" s="14">
        <v>956238.74999999977</v>
      </c>
      <c r="F42" s="14">
        <v>3660480.3623538404</v>
      </c>
      <c r="G42" s="14">
        <v>427206.35</v>
      </c>
      <c r="H42" s="14">
        <v>0</v>
      </c>
      <c r="I42" s="13">
        <f t="shared" si="0"/>
        <v>5043925.4623538395</v>
      </c>
    </row>
    <row r="43" spans="1:9" ht="15.75" x14ac:dyDescent="0.25">
      <c r="A43" s="8"/>
      <c r="B43" s="8"/>
      <c r="C43" s="9"/>
      <c r="D43" s="12" t="s">
        <v>39</v>
      </c>
      <c r="E43" s="14">
        <v>189731.57</v>
      </c>
      <c r="F43" s="14">
        <v>1362106.9010496601</v>
      </c>
      <c r="G43" s="14">
        <v>715085.02</v>
      </c>
      <c r="H43" s="14">
        <v>0</v>
      </c>
      <c r="I43" s="13">
        <f t="shared" si="0"/>
        <v>2266923.4910496604</v>
      </c>
    </row>
    <row r="44" spans="1:9" ht="15.75" x14ac:dyDescent="0.25">
      <c r="A44" s="8"/>
      <c r="B44" s="8"/>
      <c r="C44" s="9"/>
      <c r="D44" s="12" t="s">
        <v>40</v>
      </c>
      <c r="E44" s="14">
        <v>51334.270000000004</v>
      </c>
      <c r="F44" s="14">
        <v>104842.22389612001</v>
      </c>
      <c r="G44" s="14">
        <v>650463.4</v>
      </c>
      <c r="H44" s="14">
        <v>0</v>
      </c>
      <c r="I44" s="13">
        <f t="shared" si="0"/>
        <v>806639.89389612002</v>
      </c>
    </row>
    <row r="45" spans="1:9" ht="15.75" x14ac:dyDescent="0.25">
      <c r="A45" s="8"/>
      <c r="B45" s="8"/>
      <c r="C45" s="9"/>
      <c r="D45" s="12" t="s">
        <v>41</v>
      </c>
      <c r="E45" s="14">
        <v>637714.03999999992</v>
      </c>
      <c r="F45" s="14">
        <v>30360.460430679999</v>
      </c>
      <c r="G45" s="14">
        <v>2506911.2300000004</v>
      </c>
      <c r="H45" s="14">
        <v>0</v>
      </c>
      <c r="I45" s="13">
        <f t="shared" si="0"/>
        <v>3174985.7304306803</v>
      </c>
    </row>
    <row r="46" spans="1:9" ht="15.75" x14ac:dyDescent="0.25">
      <c r="A46" s="8"/>
      <c r="B46" s="8"/>
      <c r="C46" s="9"/>
      <c r="D46" s="12" t="s">
        <v>42</v>
      </c>
      <c r="E46" s="14">
        <v>72116.639999999999</v>
      </c>
      <c r="F46" s="14">
        <v>101161.43907369999</v>
      </c>
      <c r="G46" s="14">
        <v>3839547.6700000004</v>
      </c>
      <c r="H46" s="14">
        <v>0</v>
      </c>
      <c r="I46" s="13">
        <f t="shared" si="0"/>
        <v>4012825.7490737005</v>
      </c>
    </row>
    <row r="47" spans="1:9" ht="15.75" x14ac:dyDescent="0.25">
      <c r="A47" s="8"/>
      <c r="B47" s="8"/>
      <c r="C47" s="9"/>
      <c r="D47" s="12" t="s">
        <v>43</v>
      </c>
      <c r="E47" s="14">
        <v>8995684.7199999988</v>
      </c>
      <c r="F47" s="14">
        <v>722901.32763985998</v>
      </c>
      <c r="G47" s="14">
        <v>615409.86</v>
      </c>
      <c r="H47" s="14">
        <v>0</v>
      </c>
      <c r="I47" s="13">
        <f t="shared" si="0"/>
        <v>10333995.907639857</v>
      </c>
    </row>
    <row r="48" spans="1:9" ht="15.75" x14ac:dyDescent="0.25">
      <c r="A48" s="8"/>
      <c r="B48" s="8"/>
      <c r="C48" s="9"/>
      <c r="D48" s="12" t="s">
        <v>44</v>
      </c>
      <c r="E48" s="14">
        <v>3572116.59</v>
      </c>
      <c r="F48" s="14">
        <v>101161.43907369999</v>
      </c>
      <c r="G48" s="14">
        <v>1450958.1300000001</v>
      </c>
      <c r="H48" s="14">
        <v>0</v>
      </c>
      <c r="I48" s="13">
        <f t="shared" si="0"/>
        <v>5124236.1590737002</v>
      </c>
    </row>
    <row r="49" spans="1:9" ht="15.75" x14ac:dyDescent="0.25">
      <c r="A49" s="8"/>
      <c r="B49" s="8"/>
      <c r="C49" s="9"/>
      <c r="D49" s="12" t="s">
        <v>45</v>
      </c>
      <c r="E49" s="14">
        <v>72228</v>
      </c>
      <c r="F49" s="14">
        <v>120479.54503712001</v>
      </c>
      <c r="G49" s="14">
        <v>2605878.02</v>
      </c>
      <c r="H49" s="14">
        <v>0</v>
      </c>
      <c r="I49" s="13">
        <f t="shared" si="0"/>
        <v>2798585.5650371201</v>
      </c>
    </row>
    <row r="50" spans="1:9" ht="15.75" x14ac:dyDescent="0.25">
      <c r="A50" s="8"/>
      <c r="B50" s="8"/>
      <c r="C50" s="9"/>
      <c r="D50" s="12" t="s">
        <v>46</v>
      </c>
      <c r="E50" s="14">
        <v>701029.29</v>
      </c>
      <c r="F50" s="14">
        <v>1416380.4341175002</v>
      </c>
      <c r="G50" s="14">
        <v>307042.66000000003</v>
      </c>
      <c r="H50" s="14">
        <v>0</v>
      </c>
      <c r="I50" s="13">
        <f t="shared" si="0"/>
        <v>2424452.3841175004</v>
      </c>
    </row>
    <row r="51" spans="1:9" ht="15.75" x14ac:dyDescent="0.25">
      <c r="A51" s="8"/>
      <c r="B51" s="8"/>
      <c r="C51" s="9"/>
      <c r="D51" s="12" t="s">
        <v>47</v>
      </c>
      <c r="E51" s="14">
        <v>471295.90999999992</v>
      </c>
      <c r="F51" s="14">
        <v>2117197.0528228404</v>
      </c>
      <c r="G51" s="14">
        <v>636752.75</v>
      </c>
      <c r="H51" s="14">
        <v>0</v>
      </c>
      <c r="I51" s="13">
        <f t="shared" si="0"/>
        <v>3225245.7128228405</v>
      </c>
    </row>
    <row r="52" spans="1:9" ht="15.75" x14ac:dyDescent="0.25">
      <c r="A52" s="8"/>
      <c r="B52" s="8"/>
      <c r="C52" s="9"/>
      <c r="D52" s="12" t="s">
        <v>48</v>
      </c>
      <c r="E52" s="14">
        <v>304149.16000000003</v>
      </c>
      <c r="F52" s="14">
        <v>2133748.5558151603</v>
      </c>
      <c r="G52" s="14">
        <v>204695.15</v>
      </c>
      <c r="H52" s="14">
        <v>0</v>
      </c>
      <c r="I52" s="13">
        <f t="shared" si="0"/>
        <v>2642592.8658151603</v>
      </c>
    </row>
    <row r="53" spans="1:9" ht="15.75" x14ac:dyDescent="0.25">
      <c r="A53" s="8"/>
      <c r="B53" s="8"/>
      <c r="C53" s="9"/>
      <c r="D53" s="12" t="s">
        <v>49</v>
      </c>
      <c r="E53" s="14">
        <v>840785.78999999992</v>
      </c>
      <c r="F53" s="14">
        <v>1462354.1582720398</v>
      </c>
      <c r="G53" s="14">
        <v>783752.99999999988</v>
      </c>
      <c r="H53" s="14">
        <v>0</v>
      </c>
      <c r="I53" s="13">
        <f t="shared" si="0"/>
        <v>3086892.9482720396</v>
      </c>
    </row>
    <row r="54" spans="1:9" ht="15.75" x14ac:dyDescent="0.25">
      <c r="A54" s="8"/>
      <c r="B54" s="8"/>
      <c r="C54" s="9"/>
      <c r="D54" s="12" t="s">
        <v>50</v>
      </c>
      <c r="E54" s="14">
        <v>726524.2699999999</v>
      </c>
      <c r="F54" s="14">
        <v>1342788.7950862399</v>
      </c>
      <c r="G54" s="14">
        <v>583460.67999999993</v>
      </c>
      <c r="H54" s="14">
        <v>0</v>
      </c>
      <c r="I54" s="13">
        <f t="shared" si="0"/>
        <v>2652773.7450862397</v>
      </c>
    </row>
    <row r="55" spans="1:9" ht="15.75" x14ac:dyDescent="0.25">
      <c r="A55" s="8"/>
      <c r="B55" s="8"/>
      <c r="C55" s="9"/>
      <c r="D55" s="12" t="s">
        <v>51</v>
      </c>
      <c r="E55" s="14">
        <v>175223.69999999995</v>
      </c>
      <c r="F55" s="14">
        <v>2823546.8774703802</v>
      </c>
      <c r="G55" s="14">
        <v>29907.920000000002</v>
      </c>
      <c r="H55" s="14">
        <v>0</v>
      </c>
      <c r="I55" s="13">
        <f t="shared" si="0"/>
        <v>3028678.4974703798</v>
      </c>
    </row>
    <row r="56" spans="1:9" ht="15.75" x14ac:dyDescent="0.25">
      <c r="A56" s="8"/>
      <c r="B56" s="8"/>
      <c r="C56" s="9"/>
      <c r="D56" s="12" t="s">
        <v>52</v>
      </c>
      <c r="E56" s="14">
        <v>587246.06999999983</v>
      </c>
      <c r="F56" s="14">
        <v>3421373.69339938</v>
      </c>
      <c r="G56" s="14">
        <v>325290.88</v>
      </c>
      <c r="H56" s="14">
        <v>0</v>
      </c>
      <c r="I56" s="13">
        <f t="shared" si="0"/>
        <v>4333910.6433993801</v>
      </c>
    </row>
    <row r="57" spans="1:9" ht="15.75" x14ac:dyDescent="0.25">
      <c r="A57" s="8"/>
      <c r="B57" s="8"/>
      <c r="C57" s="9"/>
      <c r="D57" s="12" t="s">
        <v>53</v>
      </c>
      <c r="E57" s="14">
        <v>160637.91000000003</v>
      </c>
      <c r="F57" s="14">
        <v>1011686.56298842</v>
      </c>
      <c r="G57" s="14">
        <v>281008.07</v>
      </c>
      <c r="H57" s="14">
        <v>0</v>
      </c>
      <c r="I57" s="13">
        <f t="shared" si="0"/>
        <v>1453332.5429884202</v>
      </c>
    </row>
    <row r="58" spans="1:9" ht="15.75" x14ac:dyDescent="0.25">
      <c r="A58" s="8"/>
      <c r="B58" s="8"/>
      <c r="C58" s="9"/>
      <c r="D58" s="12" t="s">
        <v>54</v>
      </c>
      <c r="E58" s="14">
        <v>285348.79000000004</v>
      </c>
      <c r="F58" s="14">
        <v>1088958.9868421</v>
      </c>
      <c r="G58" s="14">
        <v>90111.590000000026</v>
      </c>
      <c r="H58" s="14">
        <v>0</v>
      </c>
      <c r="I58" s="13">
        <f t="shared" si="0"/>
        <v>1464419.3668421002</v>
      </c>
    </row>
    <row r="59" spans="1:9" ht="15.75" x14ac:dyDescent="0.25">
      <c r="A59" s="8"/>
      <c r="B59" s="8"/>
      <c r="C59" s="9"/>
      <c r="D59" s="12" t="s">
        <v>55</v>
      </c>
      <c r="E59" s="14">
        <v>525652.32000000007</v>
      </c>
      <c r="F59" s="14">
        <v>1839430.1145244001</v>
      </c>
      <c r="G59" s="14">
        <v>603797.13000000012</v>
      </c>
      <c r="H59" s="14">
        <v>0</v>
      </c>
      <c r="I59" s="13">
        <f t="shared" si="0"/>
        <v>2968879.5645244</v>
      </c>
    </row>
    <row r="60" spans="1:9" ht="15.75" x14ac:dyDescent="0.25">
      <c r="A60" s="8"/>
      <c r="B60" s="8"/>
      <c r="C60" s="9"/>
      <c r="D60" s="12" t="s">
        <v>56</v>
      </c>
      <c r="E60" s="14">
        <v>411352.62999999995</v>
      </c>
      <c r="F60" s="14">
        <v>1112872.0594792599</v>
      </c>
      <c r="G60" s="14">
        <v>210354.84000000003</v>
      </c>
      <c r="H60" s="14">
        <v>0</v>
      </c>
      <c r="I60" s="13">
        <f t="shared" si="0"/>
        <v>1734579.5294792599</v>
      </c>
    </row>
    <row r="61" spans="1:9" ht="15.75" x14ac:dyDescent="0.25">
      <c r="A61" s="8"/>
      <c r="B61" s="8"/>
      <c r="C61" s="9"/>
      <c r="D61" s="12" t="s">
        <v>57</v>
      </c>
      <c r="E61" s="14">
        <v>734364.92</v>
      </c>
      <c r="F61" s="14">
        <v>1867023.9719839799</v>
      </c>
      <c r="G61" s="14">
        <v>325034.59000000003</v>
      </c>
      <c r="H61" s="14">
        <v>0</v>
      </c>
      <c r="I61" s="13">
        <f t="shared" si="0"/>
        <v>2926423.4819839797</v>
      </c>
    </row>
    <row r="62" spans="1:9" ht="15.75" x14ac:dyDescent="0.25">
      <c r="A62" s="8"/>
      <c r="B62" s="8"/>
      <c r="C62" s="9"/>
      <c r="D62" s="12" t="s">
        <v>58</v>
      </c>
      <c r="E62" s="14">
        <v>1097963.8399999999</v>
      </c>
      <c r="F62" s="14">
        <v>2083179.86498688</v>
      </c>
      <c r="G62" s="14">
        <v>17986216.310000002</v>
      </c>
      <c r="H62" s="14">
        <v>0</v>
      </c>
      <c r="I62" s="13">
        <f t="shared" si="0"/>
        <v>21167360.01498688</v>
      </c>
    </row>
    <row r="63" spans="1:9" ht="15.75" x14ac:dyDescent="0.25">
      <c r="A63" s="8"/>
      <c r="B63" s="8"/>
      <c r="C63" s="9"/>
      <c r="D63" s="12" t="s">
        <v>59</v>
      </c>
      <c r="E63" s="14">
        <v>328696.37999999995</v>
      </c>
      <c r="F63" s="14">
        <v>229940.79302412004</v>
      </c>
      <c r="G63" s="14">
        <v>910975.28</v>
      </c>
      <c r="H63" s="14">
        <v>0</v>
      </c>
      <c r="I63" s="13">
        <f t="shared" si="0"/>
        <v>1469612.4530241201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5726045.75</v>
      </c>
      <c r="H64" s="14">
        <v>0</v>
      </c>
      <c r="I64" s="13">
        <f t="shared" si="0"/>
        <v>5726045.75</v>
      </c>
    </row>
    <row r="65" spans="1:9" ht="15.75" x14ac:dyDescent="0.25">
      <c r="A65" s="8"/>
      <c r="B65" s="8"/>
      <c r="C65" s="9"/>
      <c r="D65" s="12" t="s">
        <v>61</v>
      </c>
      <c r="E65" s="14">
        <v>1331870.5</v>
      </c>
      <c r="F65" s="14">
        <v>2722385.4383966802</v>
      </c>
      <c r="G65" s="14">
        <v>353024.25</v>
      </c>
      <c r="H65" s="14">
        <v>0</v>
      </c>
      <c r="I65" s="13">
        <f t="shared" si="0"/>
        <v>4407280.1883966802</v>
      </c>
    </row>
    <row r="66" spans="1:9" ht="15.75" x14ac:dyDescent="0.25">
      <c r="A66" s="8"/>
      <c r="B66" s="8"/>
      <c r="C66" s="9"/>
      <c r="D66" s="12" t="s">
        <v>62</v>
      </c>
      <c r="E66" s="14">
        <v>2275380.8899999997</v>
      </c>
      <c r="F66" s="14">
        <v>5412557.9952428993</v>
      </c>
      <c r="G66" s="14">
        <v>1236499.5699999996</v>
      </c>
      <c r="H66" s="14">
        <v>0</v>
      </c>
      <c r="I66" s="13">
        <f t="shared" si="0"/>
        <v>8924438.4552428983</v>
      </c>
    </row>
    <row r="67" spans="1:9" ht="15.75" x14ac:dyDescent="0.25">
      <c r="A67" s="8"/>
      <c r="B67" s="8"/>
      <c r="C67" s="9"/>
      <c r="D67" s="12" t="s">
        <v>63</v>
      </c>
      <c r="E67" s="14">
        <v>911566.2300000001</v>
      </c>
      <c r="F67" s="14">
        <v>2501634.5787200402</v>
      </c>
      <c r="G67" s="14">
        <v>523053.73</v>
      </c>
      <c r="H67" s="14">
        <v>0</v>
      </c>
      <c r="I67" s="13">
        <f t="shared" si="0"/>
        <v>3936254.5387200401</v>
      </c>
    </row>
    <row r="68" spans="1:9" ht="15.75" x14ac:dyDescent="0.25">
      <c r="A68" s="8"/>
      <c r="B68" s="8"/>
      <c r="C68" s="9"/>
      <c r="D68" s="12" t="s">
        <v>64</v>
      </c>
      <c r="E68" s="14">
        <v>1935457.4700000002</v>
      </c>
      <c r="F68" s="14">
        <v>1057684.3445601</v>
      </c>
      <c r="G68" s="14">
        <v>276710.89</v>
      </c>
      <c r="H68" s="14">
        <v>0</v>
      </c>
      <c r="I68" s="13">
        <f t="shared" si="0"/>
        <v>3269852.7045601006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1806364.7299999997</v>
      </c>
      <c r="H69" s="14">
        <v>0</v>
      </c>
      <c r="I69" s="13">
        <f t="shared" si="0"/>
        <v>1806364.7299999997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2531092.79</v>
      </c>
      <c r="H70" s="14">
        <v>0</v>
      </c>
      <c r="I70" s="13">
        <f t="shared" si="0"/>
        <v>2531092.79</v>
      </c>
    </row>
    <row r="71" spans="1:9" ht="15.75" x14ac:dyDescent="0.25">
      <c r="A71" s="8"/>
      <c r="B71" s="8"/>
      <c r="C71" s="9"/>
      <c r="D71" s="12" t="s">
        <v>67</v>
      </c>
      <c r="E71" s="14">
        <v>79671.679999999993</v>
      </c>
      <c r="F71" s="14">
        <v>27593.857459580002</v>
      </c>
      <c r="G71" s="14">
        <v>1687602.93</v>
      </c>
      <c r="H71" s="14">
        <v>0</v>
      </c>
      <c r="I71" s="13">
        <f t="shared" si="0"/>
        <v>1794868.4674595799</v>
      </c>
    </row>
    <row r="72" spans="1:9" ht="15.75" x14ac:dyDescent="0.25">
      <c r="A72" s="8"/>
      <c r="B72" s="8"/>
      <c r="C72" s="9"/>
      <c r="D72" s="12" t="s">
        <v>68</v>
      </c>
      <c r="E72" s="14">
        <v>817952.79999999993</v>
      </c>
      <c r="F72" s="14">
        <v>1718036.38763596</v>
      </c>
      <c r="G72" s="14">
        <v>3613399.2500000005</v>
      </c>
      <c r="H72" s="14">
        <v>0</v>
      </c>
      <c r="I72" s="13">
        <f t="shared" si="0"/>
        <v>6149388.4376359601</v>
      </c>
    </row>
    <row r="73" spans="1:9" ht="15.75" x14ac:dyDescent="0.25">
      <c r="A73" s="8"/>
      <c r="B73" s="8"/>
      <c r="C73" s="9"/>
      <c r="D73" s="12" t="s">
        <v>69</v>
      </c>
      <c r="E73" s="14">
        <v>96100.86</v>
      </c>
      <c r="F73" s="14">
        <v>0</v>
      </c>
      <c r="G73" s="14">
        <v>1861775.6399999997</v>
      </c>
      <c r="H73" s="14">
        <v>0</v>
      </c>
      <c r="I73" s="13">
        <f t="shared" si="0"/>
        <v>1957876.4999999998</v>
      </c>
    </row>
    <row r="74" spans="1:9" ht="15.75" x14ac:dyDescent="0.25">
      <c r="A74" s="8"/>
      <c r="B74" s="8"/>
      <c r="C74" s="9"/>
      <c r="D74" s="12" t="s">
        <v>70</v>
      </c>
      <c r="E74" s="14">
        <v>235789.16999999998</v>
      </c>
      <c r="F74" s="14">
        <v>145306.79952560001</v>
      </c>
      <c r="G74" s="14">
        <v>10464596.230000002</v>
      </c>
      <c r="H74" s="14">
        <v>0</v>
      </c>
      <c r="I74" s="13">
        <f t="shared" ref="I74:I137" si="1">SUM(E74:H74)</f>
        <v>10845692.199525602</v>
      </c>
    </row>
    <row r="75" spans="1:9" ht="15.75" x14ac:dyDescent="0.25">
      <c r="A75" s="8"/>
      <c r="B75" s="8"/>
      <c r="C75" s="9"/>
      <c r="D75" s="12" t="s">
        <v>71</v>
      </c>
      <c r="E75" s="14">
        <v>1075270.6199999999</v>
      </c>
      <c r="F75" s="14">
        <v>564699.75252721994</v>
      </c>
      <c r="G75" s="14">
        <v>17433134.780000001</v>
      </c>
      <c r="H75" s="14">
        <v>0</v>
      </c>
      <c r="I75" s="13">
        <f t="shared" si="1"/>
        <v>19073105.152527221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5145154.6100000003</v>
      </c>
      <c r="H76" s="14">
        <v>0</v>
      </c>
      <c r="I76" s="13">
        <f t="shared" si="1"/>
        <v>5145154.6100000003</v>
      </c>
    </row>
    <row r="77" spans="1:9" ht="15.75" x14ac:dyDescent="0.25">
      <c r="A77" s="8"/>
      <c r="B77" s="8"/>
      <c r="C77" s="9"/>
      <c r="D77" s="12" t="s">
        <v>73</v>
      </c>
      <c r="E77" s="14">
        <v>264933.42000000004</v>
      </c>
      <c r="F77" s="14">
        <v>2800547.9866845398</v>
      </c>
      <c r="G77" s="14">
        <v>306103.35000000003</v>
      </c>
      <c r="H77" s="14">
        <v>0</v>
      </c>
      <c r="I77" s="13">
        <f t="shared" si="1"/>
        <v>3371584.7566845398</v>
      </c>
    </row>
    <row r="78" spans="1:9" ht="15.75" x14ac:dyDescent="0.25">
      <c r="A78" s="8"/>
      <c r="B78" s="8"/>
      <c r="C78" s="9"/>
      <c r="D78" s="12" t="s">
        <v>74</v>
      </c>
      <c r="E78" s="14">
        <v>846196.05000000016</v>
      </c>
      <c r="F78" s="14">
        <v>2841926.74416534</v>
      </c>
      <c r="G78" s="14">
        <v>528693.1</v>
      </c>
      <c r="H78" s="14">
        <v>0</v>
      </c>
      <c r="I78" s="13">
        <f t="shared" si="1"/>
        <v>4216815.8941653399</v>
      </c>
    </row>
    <row r="79" spans="1:9" ht="15.75" x14ac:dyDescent="0.25">
      <c r="A79" s="8"/>
      <c r="B79" s="8"/>
      <c r="C79" s="9"/>
      <c r="D79" s="12" t="s">
        <v>75</v>
      </c>
      <c r="E79" s="14">
        <v>375753.87999999989</v>
      </c>
      <c r="F79" s="14">
        <v>1595704.4214790601</v>
      </c>
      <c r="G79" s="14">
        <v>436474.66000000003</v>
      </c>
      <c r="H79" s="14">
        <v>0</v>
      </c>
      <c r="I79" s="13">
        <f t="shared" si="1"/>
        <v>2407932.9614790599</v>
      </c>
    </row>
    <row r="80" spans="1:9" ht="15.75" x14ac:dyDescent="0.25">
      <c r="A80" s="8"/>
      <c r="B80" s="8"/>
      <c r="C80" s="9"/>
      <c r="D80" s="12" t="s">
        <v>76</v>
      </c>
      <c r="E80" s="14">
        <v>590175.71000000008</v>
      </c>
      <c r="F80" s="14">
        <v>843380.8726769801</v>
      </c>
      <c r="G80" s="14">
        <v>117238.04999999999</v>
      </c>
      <c r="H80" s="14">
        <v>0</v>
      </c>
      <c r="I80" s="13">
        <f t="shared" si="1"/>
        <v>1550794.6326769802</v>
      </c>
    </row>
    <row r="81" spans="1:9" ht="15.75" x14ac:dyDescent="0.25">
      <c r="A81" s="8"/>
      <c r="B81" s="8"/>
      <c r="C81" s="9"/>
      <c r="D81" s="12" t="s">
        <v>77</v>
      </c>
      <c r="E81" s="14">
        <v>2379060.9699999993</v>
      </c>
      <c r="F81" s="14">
        <v>5088817.3327899203</v>
      </c>
      <c r="G81" s="14">
        <v>1381662.8399999999</v>
      </c>
      <c r="H81" s="14">
        <v>0</v>
      </c>
      <c r="I81" s="13">
        <f t="shared" si="1"/>
        <v>8849541.1427899189</v>
      </c>
    </row>
    <row r="82" spans="1:9" ht="15.75" x14ac:dyDescent="0.25">
      <c r="A82" s="8"/>
      <c r="B82" s="8"/>
      <c r="C82" s="9"/>
      <c r="D82" s="12" t="s">
        <v>78</v>
      </c>
      <c r="E82" s="14">
        <v>2144094.67</v>
      </c>
      <c r="F82" s="14">
        <v>3527130.0991468197</v>
      </c>
      <c r="G82" s="14">
        <v>803459.42999999993</v>
      </c>
      <c r="H82" s="14">
        <v>0</v>
      </c>
      <c r="I82" s="13">
        <f t="shared" si="1"/>
        <v>6474684.1991468193</v>
      </c>
    </row>
    <row r="83" spans="1:9" ht="15.75" x14ac:dyDescent="0.25">
      <c r="A83" s="8"/>
      <c r="B83" s="8"/>
      <c r="C83" s="9"/>
      <c r="D83" s="12" t="s">
        <v>79</v>
      </c>
      <c r="E83" s="14">
        <v>622883.30999999994</v>
      </c>
      <c r="F83" s="14">
        <v>1448569.2582508202</v>
      </c>
      <c r="G83" s="14">
        <v>1002812.77</v>
      </c>
      <c r="H83" s="14">
        <v>0</v>
      </c>
      <c r="I83" s="13">
        <f t="shared" si="1"/>
        <v>3074265.3382508201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7519576.1799999997</v>
      </c>
      <c r="H84" s="14">
        <v>0</v>
      </c>
      <c r="I84" s="13">
        <f t="shared" si="1"/>
        <v>7519576.1799999997</v>
      </c>
    </row>
    <row r="85" spans="1:9" ht="15.75" x14ac:dyDescent="0.25">
      <c r="A85" s="8"/>
      <c r="B85" s="8"/>
      <c r="C85" s="9"/>
      <c r="D85" s="12" t="s">
        <v>81</v>
      </c>
      <c r="E85" s="14">
        <v>1329024.4400000002</v>
      </c>
      <c r="F85" s="14">
        <v>450667.59528362006</v>
      </c>
      <c r="G85" s="14">
        <v>2928614.04</v>
      </c>
      <c r="H85" s="14">
        <v>0</v>
      </c>
      <c r="I85" s="13">
        <f t="shared" si="1"/>
        <v>4708306.0752836205</v>
      </c>
    </row>
    <row r="86" spans="1:9" ht="15.75" x14ac:dyDescent="0.25">
      <c r="A86" s="8"/>
      <c r="B86" s="8"/>
      <c r="C86" s="9"/>
      <c r="D86" s="12" t="s">
        <v>82</v>
      </c>
      <c r="E86" s="14">
        <v>332509.02</v>
      </c>
      <c r="F86" s="14">
        <v>1871642.99607486</v>
      </c>
      <c r="G86" s="14">
        <v>255856.79</v>
      </c>
      <c r="H86" s="14">
        <v>0</v>
      </c>
      <c r="I86" s="13">
        <f t="shared" si="1"/>
        <v>2460008.80607486</v>
      </c>
    </row>
    <row r="87" spans="1:9" ht="15.75" x14ac:dyDescent="0.25">
      <c r="A87" s="8"/>
      <c r="B87" s="8"/>
      <c r="C87" s="9"/>
      <c r="D87" s="12" t="s">
        <v>83</v>
      </c>
      <c r="E87" s="14">
        <v>698861.07</v>
      </c>
      <c r="F87" s="14">
        <v>2464850.7879129802</v>
      </c>
      <c r="G87" s="14">
        <v>221812.45000000004</v>
      </c>
      <c r="H87" s="14">
        <v>0</v>
      </c>
      <c r="I87" s="13">
        <f t="shared" si="1"/>
        <v>3385524.3079129802</v>
      </c>
    </row>
    <row r="88" spans="1:9" ht="15.75" x14ac:dyDescent="0.25">
      <c r="A88" s="8"/>
      <c r="B88" s="8"/>
      <c r="C88" s="9"/>
      <c r="D88" s="12" t="s">
        <v>84</v>
      </c>
      <c r="E88" s="14">
        <v>347495.83</v>
      </c>
      <c r="F88" s="14">
        <v>0</v>
      </c>
      <c r="G88" s="14">
        <v>5360804.1700000009</v>
      </c>
      <c r="H88" s="14">
        <v>0</v>
      </c>
      <c r="I88" s="13">
        <f t="shared" si="1"/>
        <v>5708300.0000000009</v>
      </c>
    </row>
    <row r="89" spans="1:9" ht="15.75" x14ac:dyDescent="0.25">
      <c r="A89" s="8"/>
      <c r="B89" s="8"/>
      <c r="C89" s="9"/>
      <c r="D89" s="12" t="s">
        <v>85</v>
      </c>
      <c r="E89" s="14">
        <v>436399.1</v>
      </c>
      <c r="F89" s="14">
        <v>2417024.6426386605</v>
      </c>
      <c r="G89" s="14">
        <v>651771.69000000006</v>
      </c>
      <c r="H89" s="14">
        <v>0</v>
      </c>
      <c r="I89" s="13">
        <f t="shared" si="1"/>
        <v>3505195.4326386605</v>
      </c>
    </row>
    <row r="90" spans="1:9" ht="15.75" x14ac:dyDescent="0.25">
      <c r="A90" s="8"/>
      <c r="B90" s="8"/>
      <c r="C90" s="9"/>
      <c r="D90" s="12" t="s">
        <v>86</v>
      </c>
      <c r="E90" s="14">
        <v>305917.79000000004</v>
      </c>
      <c r="F90" s="14">
        <v>625420.67338858009</v>
      </c>
      <c r="G90" s="14">
        <v>463580.44</v>
      </c>
      <c r="H90" s="14">
        <v>0</v>
      </c>
      <c r="I90" s="13">
        <f t="shared" si="1"/>
        <v>1394918.9033885801</v>
      </c>
    </row>
    <row r="91" spans="1:9" ht="15.75" x14ac:dyDescent="0.25">
      <c r="A91" s="8"/>
      <c r="B91" s="8"/>
      <c r="C91" s="9"/>
      <c r="D91" s="12" t="s">
        <v>87</v>
      </c>
      <c r="E91" s="14">
        <v>302621.63999999996</v>
      </c>
      <c r="F91" s="14">
        <v>1426484.5493163001</v>
      </c>
      <c r="G91" s="14">
        <v>1211303.93</v>
      </c>
      <c r="H91" s="14">
        <v>0</v>
      </c>
      <c r="I91" s="13">
        <f t="shared" si="1"/>
        <v>2940410.1193162999</v>
      </c>
    </row>
    <row r="92" spans="1:9" ht="15.75" x14ac:dyDescent="0.25">
      <c r="A92" s="8"/>
      <c r="B92" s="8"/>
      <c r="C92" s="9"/>
      <c r="D92" s="12" t="s">
        <v>88</v>
      </c>
      <c r="E92" s="14">
        <v>326551.30999999994</v>
      </c>
      <c r="F92" s="14">
        <v>196813.72962234</v>
      </c>
      <c r="G92" s="14">
        <v>2830475</v>
      </c>
      <c r="H92" s="14">
        <v>0</v>
      </c>
      <c r="I92" s="13">
        <f t="shared" si="1"/>
        <v>3353840.0396223399</v>
      </c>
    </row>
    <row r="93" spans="1:9" ht="15.75" x14ac:dyDescent="0.25">
      <c r="A93" s="8"/>
      <c r="B93" s="8"/>
      <c r="C93" s="9"/>
      <c r="D93" s="12" t="s">
        <v>89</v>
      </c>
      <c r="E93" s="14">
        <v>987542.1100000001</v>
      </c>
      <c r="F93" s="14">
        <v>1646297.16972448</v>
      </c>
      <c r="G93" s="14">
        <v>410512.65000000008</v>
      </c>
      <c r="H93" s="14">
        <v>0</v>
      </c>
      <c r="I93" s="13">
        <f t="shared" si="1"/>
        <v>3044351.92972448</v>
      </c>
    </row>
    <row r="94" spans="1:9" ht="15.75" x14ac:dyDescent="0.25">
      <c r="A94" s="8"/>
      <c r="B94" s="8"/>
      <c r="C94" s="9"/>
      <c r="D94" s="12" t="s">
        <v>90</v>
      </c>
      <c r="E94" s="14">
        <v>25673.72</v>
      </c>
      <c r="F94" s="14">
        <v>0</v>
      </c>
      <c r="G94" s="14">
        <v>294542.58999999997</v>
      </c>
      <c r="H94" s="14">
        <v>0</v>
      </c>
      <c r="I94" s="13">
        <f t="shared" si="1"/>
        <v>320216.30999999994</v>
      </c>
    </row>
    <row r="95" spans="1:9" ht="15.75" x14ac:dyDescent="0.25">
      <c r="A95" s="8"/>
      <c r="B95" s="8"/>
      <c r="C95" s="9"/>
      <c r="D95" s="12" t="s">
        <v>91</v>
      </c>
      <c r="E95" s="14">
        <v>116070.07</v>
      </c>
      <c r="F95" s="14">
        <v>50592.748245420007</v>
      </c>
      <c r="G95" s="14">
        <v>3294037.7600000002</v>
      </c>
      <c r="H95" s="14">
        <v>0</v>
      </c>
      <c r="I95" s="13">
        <f t="shared" si="1"/>
        <v>3460700.57824542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5653059.5800000001</v>
      </c>
      <c r="H96" s="14">
        <v>0</v>
      </c>
      <c r="I96" s="13">
        <f t="shared" si="1"/>
        <v>5653059.5800000001</v>
      </c>
    </row>
    <row r="97" spans="1:9" ht="15.75" x14ac:dyDescent="0.25">
      <c r="A97" s="8"/>
      <c r="B97" s="8"/>
      <c r="C97" s="9"/>
      <c r="D97" s="12" t="s">
        <v>93</v>
      </c>
      <c r="E97" s="14">
        <v>335401.18000000005</v>
      </c>
      <c r="F97" s="14">
        <v>2271717.8431130601</v>
      </c>
      <c r="G97" s="14">
        <v>287079.09999999998</v>
      </c>
      <c r="H97" s="14">
        <v>0</v>
      </c>
      <c r="I97" s="13">
        <f t="shared" si="1"/>
        <v>2894198.1231130604</v>
      </c>
    </row>
    <row r="98" spans="1:9" ht="15.75" x14ac:dyDescent="0.25">
      <c r="A98" s="8"/>
      <c r="B98" s="8"/>
      <c r="C98" s="9"/>
      <c r="D98" s="12" t="s">
        <v>94</v>
      </c>
      <c r="E98" s="14">
        <v>2296465.1399999997</v>
      </c>
      <c r="F98" s="14">
        <v>2988171.7829593997</v>
      </c>
      <c r="G98" s="14">
        <v>2727373.22</v>
      </c>
      <c r="H98" s="14">
        <v>0</v>
      </c>
      <c r="I98" s="13">
        <f t="shared" si="1"/>
        <v>8012010.1429593991</v>
      </c>
    </row>
    <row r="99" spans="1:9" ht="15.75" x14ac:dyDescent="0.25">
      <c r="A99" s="8"/>
      <c r="B99" s="8"/>
      <c r="C99" s="9"/>
      <c r="D99" s="12" t="s">
        <v>95</v>
      </c>
      <c r="E99" s="14">
        <v>1982316</v>
      </c>
      <c r="F99" s="14">
        <v>5693981.6609466206</v>
      </c>
      <c r="G99" s="14">
        <v>1415072.72</v>
      </c>
      <c r="H99" s="14">
        <v>0</v>
      </c>
      <c r="I99" s="13">
        <f t="shared" si="1"/>
        <v>9091370.3809466213</v>
      </c>
    </row>
    <row r="100" spans="1:9" ht="15.75" x14ac:dyDescent="0.25">
      <c r="A100" s="8"/>
      <c r="B100" s="8"/>
      <c r="C100" s="9"/>
      <c r="D100" s="12" t="s">
        <v>96</v>
      </c>
      <c r="E100" s="14">
        <v>1586323.59</v>
      </c>
      <c r="F100" s="14">
        <v>5853097.4179105805</v>
      </c>
      <c r="G100" s="14">
        <v>2693578.8</v>
      </c>
      <c r="H100" s="14">
        <v>0</v>
      </c>
      <c r="I100" s="13">
        <f t="shared" si="1"/>
        <v>10132999.80791058</v>
      </c>
    </row>
    <row r="101" spans="1:9" ht="15.75" x14ac:dyDescent="0.25">
      <c r="A101" s="8"/>
      <c r="B101" s="8"/>
      <c r="C101" s="9"/>
      <c r="D101" s="12" t="s">
        <v>97</v>
      </c>
      <c r="E101" s="14">
        <v>580323.80000000005</v>
      </c>
      <c r="F101" s="14">
        <v>7644677.3297435204</v>
      </c>
      <c r="G101" s="14">
        <v>62462.33</v>
      </c>
      <c r="H101" s="14">
        <v>0</v>
      </c>
      <c r="I101" s="13">
        <f t="shared" si="1"/>
        <v>8287463.4597435202</v>
      </c>
    </row>
    <row r="102" spans="1:9" ht="15.75" x14ac:dyDescent="0.25">
      <c r="A102" s="8"/>
      <c r="B102" s="8"/>
      <c r="C102" s="9"/>
      <c r="D102" s="12" t="s">
        <v>98</v>
      </c>
      <c r="E102" s="14">
        <v>1399639.13</v>
      </c>
      <c r="F102" s="14">
        <v>3308231.6605899599</v>
      </c>
      <c r="G102" s="14">
        <v>1279477.8799999999</v>
      </c>
      <c r="H102" s="14">
        <v>0</v>
      </c>
      <c r="I102" s="13">
        <f t="shared" si="1"/>
        <v>5987348.6705899602</v>
      </c>
    </row>
    <row r="103" spans="1:9" ht="15.75" x14ac:dyDescent="0.25">
      <c r="A103" s="8"/>
      <c r="B103" s="8"/>
      <c r="C103" s="9"/>
      <c r="D103" s="12" t="s">
        <v>99</v>
      </c>
      <c r="E103" s="14">
        <v>415341.01</v>
      </c>
      <c r="F103" s="14">
        <v>1043875.3871217401</v>
      </c>
      <c r="G103" s="14">
        <v>190466.56</v>
      </c>
      <c r="H103" s="14">
        <v>0</v>
      </c>
      <c r="I103" s="13">
        <f t="shared" si="1"/>
        <v>1649682.9571217401</v>
      </c>
    </row>
    <row r="104" spans="1:9" ht="15.75" x14ac:dyDescent="0.25">
      <c r="A104" s="8"/>
      <c r="B104" s="8"/>
      <c r="C104" s="9"/>
      <c r="D104" s="12" t="s">
        <v>100</v>
      </c>
      <c r="E104" s="14">
        <v>2902060.0300000003</v>
      </c>
      <c r="F104" s="14">
        <v>1907512.6050306</v>
      </c>
      <c r="G104" s="14">
        <v>2517338.66</v>
      </c>
      <c r="H104" s="14">
        <v>0</v>
      </c>
      <c r="I104" s="13">
        <f t="shared" si="1"/>
        <v>7326911.2950306004</v>
      </c>
    </row>
    <row r="105" spans="1:9" ht="15.75" x14ac:dyDescent="0.25">
      <c r="A105" s="8"/>
      <c r="B105" s="8"/>
      <c r="C105" s="9"/>
      <c r="D105" s="12" t="s">
        <v>101</v>
      </c>
      <c r="E105" s="14">
        <v>594170.44999999995</v>
      </c>
      <c r="F105" s="14">
        <v>2832736.8108178596</v>
      </c>
      <c r="G105" s="14">
        <v>33470.99</v>
      </c>
      <c r="H105" s="14">
        <v>0</v>
      </c>
      <c r="I105" s="13">
        <f t="shared" si="1"/>
        <v>3460378.2508178595</v>
      </c>
    </row>
    <row r="106" spans="1:9" ht="15.75" x14ac:dyDescent="0.25">
      <c r="A106" s="8"/>
      <c r="B106" s="8"/>
      <c r="C106" s="9"/>
      <c r="D106" s="12" t="s">
        <v>102</v>
      </c>
      <c r="E106" s="14">
        <v>576289.62999999989</v>
      </c>
      <c r="F106" s="14">
        <v>174753.07810496</v>
      </c>
      <c r="G106" s="14">
        <v>4681284.8099999996</v>
      </c>
      <c r="H106" s="14">
        <v>0</v>
      </c>
      <c r="I106" s="13">
        <f t="shared" si="1"/>
        <v>5432327.5181049593</v>
      </c>
    </row>
    <row r="107" spans="1:9" ht="15.75" x14ac:dyDescent="0.25">
      <c r="A107" s="8"/>
      <c r="B107" s="8"/>
      <c r="C107" s="9"/>
      <c r="D107" s="12" t="s">
        <v>103</v>
      </c>
      <c r="E107" s="14">
        <v>22933.58</v>
      </c>
      <c r="F107" s="14">
        <v>0</v>
      </c>
      <c r="G107" s="14">
        <v>1532577.8299999998</v>
      </c>
      <c r="H107" s="14">
        <v>0</v>
      </c>
      <c r="I107" s="13">
        <f t="shared" si="1"/>
        <v>1555511.41</v>
      </c>
    </row>
    <row r="108" spans="1:9" ht="15.75" x14ac:dyDescent="0.25">
      <c r="A108" s="8"/>
      <c r="B108" s="8"/>
      <c r="C108" s="9"/>
      <c r="D108" s="12" t="s">
        <v>104</v>
      </c>
      <c r="E108" s="14">
        <v>324544.09000000003</v>
      </c>
      <c r="F108" s="14">
        <v>0</v>
      </c>
      <c r="G108" s="14">
        <v>705383.63</v>
      </c>
      <c r="H108" s="14">
        <v>0</v>
      </c>
      <c r="I108" s="13">
        <f t="shared" si="1"/>
        <v>1029927.72</v>
      </c>
    </row>
    <row r="109" spans="1:9" ht="15.75" x14ac:dyDescent="0.25">
      <c r="A109" s="8"/>
      <c r="B109" s="8"/>
      <c r="C109" s="9"/>
      <c r="D109" s="12" t="s">
        <v>105</v>
      </c>
      <c r="E109" s="14">
        <v>322824.93999999994</v>
      </c>
      <c r="F109" s="14">
        <v>4688742.4857517201</v>
      </c>
      <c r="G109" s="14">
        <v>379818.11</v>
      </c>
      <c r="H109" s="14">
        <v>0</v>
      </c>
      <c r="I109" s="13">
        <f t="shared" si="1"/>
        <v>5391385.53575172</v>
      </c>
    </row>
    <row r="110" spans="1:9" ht="15.75" x14ac:dyDescent="0.25">
      <c r="A110" s="8"/>
      <c r="B110" s="8"/>
      <c r="C110" s="9"/>
      <c r="D110" s="12" t="s">
        <v>106</v>
      </c>
      <c r="E110" s="14">
        <v>211125.27999999994</v>
      </c>
      <c r="F110" s="14">
        <v>1259093.04085618</v>
      </c>
      <c r="G110" s="14">
        <v>247214.40000000002</v>
      </c>
      <c r="H110" s="14">
        <v>0</v>
      </c>
      <c r="I110" s="13">
        <f t="shared" si="1"/>
        <v>1717432.7208561799</v>
      </c>
    </row>
    <row r="111" spans="1:9" ht="15.75" x14ac:dyDescent="0.25">
      <c r="A111" s="8"/>
      <c r="B111" s="8"/>
      <c r="C111" s="9"/>
      <c r="D111" s="12" t="s">
        <v>107</v>
      </c>
      <c r="E111" s="14">
        <v>4310.37</v>
      </c>
      <c r="F111" s="14">
        <v>17465.68484364</v>
      </c>
      <c r="G111" s="14">
        <v>6465533.0499999998</v>
      </c>
      <c r="H111" s="14">
        <v>0</v>
      </c>
      <c r="I111" s="13">
        <f t="shared" si="1"/>
        <v>6487309.1048436398</v>
      </c>
    </row>
    <row r="112" spans="1:9" ht="15.75" x14ac:dyDescent="0.25">
      <c r="A112" s="8"/>
      <c r="B112" s="8"/>
      <c r="C112" s="9"/>
      <c r="D112" s="12" t="s">
        <v>108</v>
      </c>
      <c r="E112" s="14">
        <v>1110691.9699999997</v>
      </c>
      <c r="F112" s="14">
        <v>1195629.57444086</v>
      </c>
      <c r="G112" s="14">
        <v>705159.29</v>
      </c>
      <c r="H112" s="14">
        <v>0</v>
      </c>
      <c r="I112" s="13">
        <f t="shared" si="1"/>
        <v>3011480.83444086</v>
      </c>
    </row>
    <row r="113" spans="1:9" ht="15.75" x14ac:dyDescent="0.25">
      <c r="A113" s="8"/>
      <c r="B113" s="8"/>
      <c r="C113" s="9"/>
      <c r="D113" s="12" t="s">
        <v>109</v>
      </c>
      <c r="E113" s="14">
        <v>606172.72</v>
      </c>
      <c r="F113" s="14">
        <v>2878734.5923895398</v>
      </c>
      <c r="G113" s="14">
        <v>460502.39999999997</v>
      </c>
      <c r="H113" s="14">
        <v>0</v>
      </c>
      <c r="I113" s="13">
        <f t="shared" si="1"/>
        <v>3945409.7123895395</v>
      </c>
    </row>
    <row r="114" spans="1:9" ht="15.75" x14ac:dyDescent="0.25">
      <c r="A114" s="8"/>
      <c r="B114" s="8"/>
      <c r="C114" s="9"/>
      <c r="D114" s="12" t="s">
        <v>110</v>
      </c>
      <c r="E114" s="14">
        <v>502389.37</v>
      </c>
      <c r="F114" s="14">
        <v>3301808.3302135803</v>
      </c>
      <c r="G114" s="14">
        <v>778421.46</v>
      </c>
      <c r="H114" s="14">
        <v>0</v>
      </c>
      <c r="I114" s="13">
        <f t="shared" si="1"/>
        <v>4582619.1602135804</v>
      </c>
    </row>
    <row r="115" spans="1:9" ht="15.75" x14ac:dyDescent="0.25">
      <c r="A115" s="8"/>
      <c r="B115" s="8"/>
      <c r="C115" s="9"/>
      <c r="D115" s="12" t="s">
        <v>111</v>
      </c>
      <c r="E115" s="14">
        <v>1850010.3199999998</v>
      </c>
      <c r="F115" s="14">
        <v>1632512.2697032602</v>
      </c>
      <c r="G115" s="14">
        <v>1093821.68</v>
      </c>
      <c r="H115" s="14">
        <v>0</v>
      </c>
      <c r="I115" s="13">
        <f t="shared" si="1"/>
        <v>4576344.2697032597</v>
      </c>
    </row>
    <row r="116" spans="1:9" ht="15.75" x14ac:dyDescent="0.25">
      <c r="A116" s="8"/>
      <c r="B116" s="8"/>
      <c r="C116" s="9"/>
      <c r="D116" s="12" t="s">
        <v>112</v>
      </c>
      <c r="E116" s="14">
        <v>473199.17</v>
      </c>
      <c r="F116" s="14">
        <v>2119963.6557939406</v>
      </c>
      <c r="G116" s="14">
        <v>200028.69999999998</v>
      </c>
      <c r="H116" s="14">
        <v>0</v>
      </c>
      <c r="I116" s="13">
        <f t="shared" si="1"/>
        <v>2793191.5257939408</v>
      </c>
    </row>
    <row r="117" spans="1:9" ht="15.75" x14ac:dyDescent="0.25">
      <c r="A117" s="8"/>
      <c r="B117" s="8"/>
      <c r="C117" s="9"/>
      <c r="D117" s="12" t="s">
        <v>113</v>
      </c>
      <c r="E117" s="14">
        <v>727592.21</v>
      </c>
      <c r="F117" s="14">
        <v>1637107.2363770001</v>
      </c>
      <c r="G117" s="14">
        <v>765599.79999999993</v>
      </c>
      <c r="H117" s="14">
        <v>0</v>
      </c>
      <c r="I117" s="13">
        <f t="shared" si="1"/>
        <v>3130299.2463769997</v>
      </c>
    </row>
    <row r="118" spans="1:9" ht="15.75" x14ac:dyDescent="0.25">
      <c r="A118" s="8"/>
      <c r="B118" s="8"/>
      <c r="C118" s="9"/>
      <c r="D118" s="12" t="s">
        <v>114</v>
      </c>
      <c r="E118" s="14">
        <v>1199959.1499999997</v>
      </c>
      <c r="F118" s="14">
        <v>2556822.2936392003</v>
      </c>
      <c r="G118" s="14">
        <v>770198.02999999991</v>
      </c>
      <c r="H118" s="14">
        <v>0</v>
      </c>
      <c r="I118" s="13">
        <f t="shared" si="1"/>
        <v>4526979.4736392004</v>
      </c>
    </row>
    <row r="119" spans="1:9" ht="15.75" x14ac:dyDescent="0.25">
      <c r="A119" s="8"/>
      <c r="B119" s="8"/>
      <c r="C119" s="9"/>
      <c r="D119" s="12" t="s">
        <v>115</v>
      </c>
      <c r="E119" s="14">
        <v>514467.26</v>
      </c>
      <c r="F119" s="14">
        <v>248320.65971908005</v>
      </c>
      <c r="G119" s="14">
        <v>303104.19</v>
      </c>
      <c r="H119" s="14">
        <v>0</v>
      </c>
      <c r="I119" s="13">
        <f t="shared" si="1"/>
        <v>1065892.1097190802</v>
      </c>
    </row>
    <row r="120" spans="1:9" ht="15.75" x14ac:dyDescent="0.25">
      <c r="A120" s="8"/>
      <c r="B120" s="8"/>
      <c r="C120" s="9"/>
      <c r="D120" s="12" t="s">
        <v>116</v>
      </c>
      <c r="E120" s="14">
        <v>929153.61999999988</v>
      </c>
      <c r="F120" s="14">
        <v>1085278.2020196801</v>
      </c>
      <c r="G120" s="14">
        <v>733293.26</v>
      </c>
      <c r="H120" s="14">
        <v>0</v>
      </c>
      <c r="I120" s="13">
        <f t="shared" si="1"/>
        <v>2747725.0820196802</v>
      </c>
    </row>
    <row r="121" spans="1:9" ht="15.75" x14ac:dyDescent="0.25">
      <c r="A121" s="8"/>
      <c r="B121" s="8"/>
      <c r="C121" s="9"/>
      <c r="D121" s="12" t="s">
        <v>117</v>
      </c>
      <c r="E121" s="14">
        <v>440049.82</v>
      </c>
      <c r="F121" s="14">
        <v>1664701.0938365799</v>
      </c>
      <c r="G121" s="14">
        <v>455799.95</v>
      </c>
      <c r="H121" s="14">
        <v>0</v>
      </c>
      <c r="I121" s="13">
        <f t="shared" si="1"/>
        <v>2560550.86383658</v>
      </c>
    </row>
    <row r="122" spans="1:9" ht="15.75" x14ac:dyDescent="0.25">
      <c r="A122" s="8"/>
      <c r="B122" s="8"/>
      <c r="C122" s="9"/>
      <c r="D122" s="12" t="s">
        <v>118</v>
      </c>
      <c r="E122" s="14">
        <v>683896.80999999994</v>
      </c>
      <c r="F122" s="14">
        <v>1187353.8229447</v>
      </c>
      <c r="G122" s="14">
        <v>1181119.74</v>
      </c>
      <c r="H122" s="14">
        <v>0</v>
      </c>
      <c r="I122" s="13">
        <f t="shared" si="1"/>
        <v>3052370.3729446996</v>
      </c>
    </row>
    <row r="123" spans="1:9" ht="15.75" x14ac:dyDescent="0.25">
      <c r="A123" s="8"/>
      <c r="B123" s="8"/>
      <c r="C123" s="9"/>
      <c r="D123" s="12" t="s">
        <v>119</v>
      </c>
      <c r="E123" s="14">
        <v>516396.36999999988</v>
      </c>
      <c r="F123" s="14">
        <v>2181574.70108948</v>
      </c>
      <c r="G123" s="14">
        <v>213973.72</v>
      </c>
      <c r="H123" s="14">
        <v>0</v>
      </c>
      <c r="I123" s="13">
        <f t="shared" si="1"/>
        <v>2911944.7910894803</v>
      </c>
    </row>
    <row r="124" spans="1:9" ht="15.75" x14ac:dyDescent="0.25">
      <c r="A124" s="8"/>
      <c r="B124" s="8"/>
      <c r="C124" s="9"/>
      <c r="D124" s="12" t="s">
        <v>120</v>
      </c>
      <c r="E124" s="14">
        <v>85819.63</v>
      </c>
      <c r="F124" s="14">
        <v>0</v>
      </c>
      <c r="G124" s="14">
        <v>2404348.9300000002</v>
      </c>
      <c r="H124" s="14">
        <v>62362.78</v>
      </c>
      <c r="I124" s="13">
        <f t="shared" si="1"/>
        <v>2552531.34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7450776.25</v>
      </c>
      <c r="H125" s="14">
        <v>0</v>
      </c>
      <c r="I125" s="13">
        <f t="shared" si="1"/>
        <v>7450776.25</v>
      </c>
    </row>
    <row r="126" spans="1:9" ht="15.75" x14ac:dyDescent="0.25">
      <c r="A126" s="8"/>
      <c r="B126" s="8"/>
      <c r="C126" s="9"/>
      <c r="D126" s="12" t="s">
        <v>122</v>
      </c>
      <c r="E126" s="14">
        <v>19083.589999999997</v>
      </c>
      <c r="F126" s="14">
        <v>0</v>
      </c>
      <c r="G126" s="14">
        <v>3022278.8200000003</v>
      </c>
      <c r="H126" s="14">
        <v>0</v>
      </c>
      <c r="I126" s="13">
        <f t="shared" si="1"/>
        <v>3041362.41</v>
      </c>
    </row>
    <row r="127" spans="1:9" ht="15.75" x14ac:dyDescent="0.25">
      <c r="A127" s="8"/>
      <c r="B127" s="8"/>
      <c r="C127" s="9"/>
      <c r="D127" s="12" t="s">
        <v>123</v>
      </c>
      <c r="E127" s="14">
        <v>634503.6</v>
      </c>
      <c r="F127" s="14">
        <v>459857.52863110002</v>
      </c>
      <c r="G127" s="14">
        <v>2328321.4299999997</v>
      </c>
      <c r="H127" s="14">
        <v>0</v>
      </c>
      <c r="I127" s="13">
        <f t="shared" si="1"/>
        <v>3422682.5586310998</v>
      </c>
    </row>
    <row r="128" spans="1:9" ht="15.75" x14ac:dyDescent="0.25">
      <c r="A128" s="8"/>
      <c r="B128" s="8"/>
      <c r="C128" s="9"/>
      <c r="D128" s="12" t="s">
        <v>124</v>
      </c>
      <c r="E128" s="14">
        <v>1097831.58</v>
      </c>
      <c r="F128" s="14">
        <v>1315194.9376266599</v>
      </c>
      <c r="G128" s="14">
        <v>1131611.22</v>
      </c>
      <c r="H128" s="14">
        <v>0</v>
      </c>
      <c r="I128" s="13">
        <f t="shared" si="1"/>
        <v>3544637.7376266597</v>
      </c>
    </row>
    <row r="129" spans="1:9" ht="15.75" x14ac:dyDescent="0.25">
      <c r="A129" s="8"/>
      <c r="B129" s="8"/>
      <c r="C129" s="9"/>
      <c r="D129" s="12" t="s">
        <v>125</v>
      </c>
      <c r="E129" s="14">
        <v>335093.59000000003</v>
      </c>
      <c r="F129" s="14">
        <v>694393.28832896007</v>
      </c>
      <c r="G129" s="14">
        <v>713954.67</v>
      </c>
      <c r="H129" s="14">
        <v>0</v>
      </c>
      <c r="I129" s="13">
        <f t="shared" si="1"/>
        <v>1743441.5483289603</v>
      </c>
    </row>
    <row r="130" spans="1:9" ht="15.75" x14ac:dyDescent="0.25">
      <c r="A130" s="8"/>
      <c r="B130" s="8"/>
      <c r="C130" s="9"/>
      <c r="D130" s="12" t="s">
        <v>126</v>
      </c>
      <c r="E130" s="14">
        <v>322439.43999999994</v>
      </c>
      <c r="F130" s="14">
        <v>1223223.43190044</v>
      </c>
      <c r="G130" s="14">
        <v>170154.01999999996</v>
      </c>
      <c r="H130" s="14">
        <v>0</v>
      </c>
      <c r="I130" s="13">
        <f t="shared" si="1"/>
        <v>1715816.89190044</v>
      </c>
    </row>
    <row r="131" spans="1:9" ht="15.75" x14ac:dyDescent="0.25">
      <c r="A131" s="8"/>
      <c r="B131" s="8"/>
      <c r="C131" s="9"/>
      <c r="D131" s="12" t="s">
        <v>127</v>
      </c>
      <c r="E131" s="14">
        <v>1676749.32</v>
      </c>
      <c r="F131" s="14">
        <v>6685459.9935374409</v>
      </c>
      <c r="G131" s="14">
        <v>5086034.17</v>
      </c>
      <c r="H131" s="14">
        <v>0</v>
      </c>
      <c r="I131" s="13">
        <f t="shared" si="1"/>
        <v>13448243.483537441</v>
      </c>
    </row>
    <row r="132" spans="1:9" ht="15.75" x14ac:dyDescent="0.25">
      <c r="A132" s="8"/>
      <c r="B132" s="8"/>
      <c r="C132" s="9"/>
      <c r="D132" s="12" t="s">
        <v>128</v>
      </c>
      <c r="E132" s="14">
        <v>712510.91</v>
      </c>
      <c r="F132" s="14">
        <v>4101958.0242899805</v>
      </c>
      <c r="G132" s="14">
        <v>166293.86000000002</v>
      </c>
      <c r="H132" s="14">
        <v>0</v>
      </c>
      <c r="I132" s="13">
        <f t="shared" si="1"/>
        <v>4980762.794289981</v>
      </c>
    </row>
    <row r="133" spans="1:9" ht="15.75" x14ac:dyDescent="0.25">
      <c r="A133" s="8"/>
      <c r="B133" s="8"/>
      <c r="C133" s="9"/>
      <c r="D133" s="12" t="s">
        <v>129</v>
      </c>
      <c r="E133" s="14">
        <v>231522.96000000002</v>
      </c>
      <c r="F133" s="14">
        <v>0</v>
      </c>
      <c r="G133" s="14">
        <v>7691962.4000000004</v>
      </c>
      <c r="H133" s="14">
        <v>140084.47500000001</v>
      </c>
      <c r="I133" s="13">
        <f t="shared" si="1"/>
        <v>8063569.835</v>
      </c>
    </row>
    <row r="134" spans="1:9" ht="15.75" x14ac:dyDescent="0.25">
      <c r="A134" s="8"/>
      <c r="B134" s="8"/>
      <c r="C134" s="9"/>
      <c r="D134" s="12" t="s">
        <v>130</v>
      </c>
      <c r="E134" s="14">
        <v>35403.100000000006</v>
      </c>
      <c r="F134" s="14">
        <v>202346.93556454001</v>
      </c>
      <c r="G134" s="14">
        <v>18857.43</v>
      </c>
      <c r="H134" s="14">
        <v>0</v>
      </c>
      <c r="I134" s="13">
        <f t="shared" si="1"/>
        <v>256607.46556454001</v>
      </c>
    </row>
    <row r="135" spans="1:9" ht="15.75" x14ac:dyDescent="0.25">
      <c r="A135" s="8"/>
      <c r="B135" s="8"/>
      <c r="C135" s="9"/>
      <c r="D135" s="12" t="s">
        <v>131</v>
      </c>
      <c r="E135" s="14">
        <v>417100.46999999991</v>
      </c>
      <c r="F135" s="14">
        <v>2556822.2936392003</v>
      </c>
      <c r="G135" s="14">
        <v>287500.38</v>
      </c>
      <c r="H135" s="14">
        <v>0</v>
      </c>
      <c r="I135" s="13">
        <f t="shared" si="1"/>
        <v>3261423.1436391999</v>
      </c>
    </row>
    <row r="136" spans="1:9" ht="15.75" x14ac:dyDescent="0.25">
      <c r="A136" s="8"/>
      <c r="B136" s="8"/>
      <c r="C136" s="9"/>
      <c r="D136" s="12" t="s">
        <v>132</v>
      </c>
      <c r="E136" s="14">
        <v>1827706.8900000001</v>
      </c>
      <c r="F136" s="14">
        <v>3090271.4613015605</v>
      </c>
      <c r="G136" s="14">
        <v>1681056.3799999997</v>
      </c>
      <c r="H136" s="14">
        <v>0</v>
      </c>
      <c r="I136" s="13">
        <f t="shared" si="1"/>
        <v>6599034.7313015601</v>
      </c>
    </row>
    <row r="137" spans="1:9" ht="15.75" x14ac:dyDescent="0.25">
      <c r="A137" s="8"/>
      <c r="B137" s="8"/>
      <c r="C137" s="9"/>
      <c r="D137" s="12" t="s">
        <v>133</v>
      </c>
      <c r="E137" s="14">
        <v>1337347.29</v>
      </c>
      <c r="F137" s="14">
        <v>5191831.1929834001</v>
      </c>
      <c r="G137" s="14">
        <v>2530192.9200000004</v>
      </c>
      <c r="H137" s="14">
        <v>0</v>
      </c>
      <c r="I137" s="13">
        <f t="shared" si="1"/>
        <v>9059371.402983401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4113835.7099999995</v>
      </c>
      <c r="H138" s="14">
        <v>0</v>
      </c>
      <c r="I138" s="13">
        <f t="shared" ref="I138:I144" si="2">SUM(E138:H138)</f>
        <v>4113835.7099999995</v>
      </c>
    </row>
    <row r="139" spans="1:9" ht="15.75" x14ac:dyDescent="0.25">
      <c r="A139" s="8"/>
      <c r="B139" s="8"/>
      <c r="C139" s="9"/>
      <c r="D139" s="12" t="s">
        <v>135</v>
      </c>
      <c r="E139" s="14">
        <v>79812.66</v>
      </c>
      <c r="F139" s="14">
        <v>727496.29431360005</v>
      </c>
      <c r="G139" s="14">
        <v>367567.83999999997</v>
      </c>
      <c r="H139" s="14">
        <v>0</v>
      </c>
      <c r="I139" s="13">
        <f t="shared" si="2"/>
        <v>1174876.7943136001</v>
      </c>
    </row>
    <row r="140" spans="1:9" ht="15.75" x14ac:dyDescent="0.25">
      <c r="A140" s="8"/>
      <c r="B140" s="8"/>
      <c r="C140" s="9"/>
      <c r="D140" s="12" t="s">
        <v>136</v>
      </c>
      <c r="E140" s="14">
        <v>860853.77999999991</v>
      </c>
      <c r="F140" s="14">
        <v>5159642.3688500803</v>
      </c>
      <c r="G140" s="14">
        <v>1067410.5300000003</v>
      </c>
      <c r="H140" s="14">
        <v>0</v>
      </c>
      <c r="I140" s="13">
        <f t="shared" si="2"/>
        <v>7087906.6788500808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5149205.05</v>
      </c>
      <c r="H141" s="14">
        <v>35692.449999999997</v>
      </c>
      <c r="I141" s="13">
        <f t="shared" si="2"/>
        <v>5184897.5</v>
      </c>
    </row>
    <row r="142" spans="1:9" ht="15.75" x14ac:dyDescent="0.25">
      <c r="A142" s="8"/>
      <c r="B142" s="8"/>
      <c r="C142" s="9"/>
      <c r="D142" s="12" t="s">
        <v>138</v>
      </c>
      <c r="E142" s="14">
        <v>34696.17</v>
      </c>
      <c r="F142" s="14">
        <v>0</v>
      </c>
      <c r="G142" s="14">
        <v>1065041.9100000001</v>
      </c>
      <c r="H142" s="14">
        <v>0</v>
      </c>
      <c r="I142" s="13">
        <f t="shared" si="2"/>
        <v>1099738.08</v>
      </c>
    </row>
    <row r="143" spans="1:9" ht="15.75" x14ac:dyDescent="0.25">
      <c r="A143" s="8"/>
      <c r="B143" s="8"/>
      <c r="C143" s="9"/>
      <c r="D143" s="12" t="s">
        <v>139</v>
      </c>
      <c r="E143" s="14">
        <v>138455.25999999998</v>
      </c>
      <c r="F143" s="14">
        <v>4768757.4551593596</v>
      </c>
      <c r="G143" s="14">
        <v>151699.57</v>
      </c>
      <c r="H143" s="14">
        <v>0</v>
      </c>
      <c r="I143" s="13">
        <f t="shared" si="2"/>
        <v>5058912.2851593597</v>
      </c>
    </row>
    <row r="144" spans="1:9" ht="15.75" x14ac:dyDescent="0.25">
      <c r="A144" s="8"/>
      <c r="B144" s="8"/>
      <c r="C144" s="9"/>
      <c r="D144" s="12" t="s">
        <v>140</v>
      </c>
      <c r="E144" s="14">
        <v>1673719.7299999997</v>
      </c>
      <c r="F144" s="14">
        <v>579422.89181690011</v>
      </c>
      <c r="G144" s="14">
        <v>1569783.7899999998</v>
      </c>
      <c r="H144" s="14">
        <v>0</v>
      </c>
      <c r="I144" s="13">
        <f t="shared" si="2"/>
        <v>3822926.4118168997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104000069.23999999</v>
      </c>
      <c r="F145" s="22">
        <f>SUM(F10:F144)</f>
        <v>240563153.10294989</v>
      </c>
      <c r="G145" s="22">
        <f>SUM(G10:G144)</f>
        <v>251258588.82000014</v>
      </c>
      <c r="H145" s="22">
        <f>SUM(H10:H144)</f>
        <v>238139.70500000002</v>
      </c>
      <c r="I145" s="22">
        <f>SUM(I10:I144)</f>
        <v>596059950.86794996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10340663.230000002</v>
      </c>
      <c r="F10" s="14">
        <v>10599713.852864871</v>
      </c>
      <c r="G10" s="14">
        <v>488014.94</v>
      </c>
      <c r="H10" s="14">
        <v>0</v>
      </c>
      <c r="I10" s="13">
        <f t="shared" ref="I10:I73" si="0">SUM(E10:H10)</f>
        <v>21428392.022864874</v>
      </c>
    </row>
    <row r="11" spans="1:9" ht="15.75" x14ac:dyDescent="0.25">
      <c r="A11" s="8"/>
      <c r="B11" s="8"/>
      <c r="C11" s="9"/>
      <c r="D11" s="12" t="s">
        <v>7</v>
      </c>
      <c r="E11" s="14">
        <v>17138821.640000001</v>
      </c>
      <c r="F11" s="14">
        <v>5949375.9011954209</v>
      </c>
      <c r="G11" s="14">
        <v>415355.62</v>
      </c>
      <c r="H11" s="14">
        <v>0</v>
      </c>
      <c r="I11" s="13">
        <f t="shared" si="0"/>
        <v>23503553.161195423</v>
      </c>
    </row>
    <row r="12" spans="1:9" ht="15.75" x14ac:dyDescent="0.25">
      <c r="A12" s="8"/>
      <c r="B12" s="8"/>
      <c r="C12" s="9"/>
      <c r="D12" s="12" t="s">
        <v>8</v>
      </c>
      <c r="E12" s="14">
        <v>14780331.869999997</v>
      </c>
      <c r="F12" s="14">
        <v>2156837.8164681317</v>
      </c>
      <c r="G12" s="14">
        <v>371241.22000000009</v>
      </c>
      <c r="H12" s="14">
        <v>0</v>
      </c>
      <c r="I12" s="13">
        <f t="shared" si="0"/>
        <v>17308410.906468127</v>
      </c>
    </row>
    <row r="13" spans="1:9" ht="15.75" x14ac:dyDescent="0.25">
      <c r="A13" s="8"/>
      <c r="B13" s="8"/>
      <c r="C13" s="9"/>
      <c r="D13" s="12" t="s">
        <v>9</v>
      </c>
      <c r="E13" s="14">
        <v>2543752.0600000005</v>
      </c>
      <c r="F13" s="14">
        <v>57063.939646366962</v>
      </c>
      <c r="G13" s="14">
        <v>3659620.11</v>
      </c>
      <c r="H13" s="14">
        <v>0</v>
      </c>
      <c r="I13" s="13">
        <f t="shared" si="0"/>
        <v>6260436.1096463669</v>
      </c>
    </row>
    <row r="14" spans="1:9" ht="15.75" x14ac:dyDescent="0.25">
      <c r="A14" s="8"/>
      <c r="B14" s="8"/>
      <c r="C14" s="9"/>
      <c r="D14" s="12" t="s">
        <v>10</v>
      </c>
      <c r="E14" s="14">
        <v>20200227.260000002</v>
      </c>
      <c r="F14" s="14">
        <v>2396486.4627423687</v>
      </c>
      <c r="G14" s="14">
        <v>752865.71000000008</v>
      </c>
      <c r="H14" s="14">
        <v>0</v>
      </c>
      <c r="I14" s="13">
        <f t="shared" si="0"/>
        <v>23349579.432742372</v>
      </c>
    </row>
    <row r="15" spans="1:9" ht="15.75" x14ac:dyDescent="0.25">
      <c r="A15" s="8"/>
      <c r="B15" s="8"/>
      <c r="C15" s="9"/>
      <c r="D15" s="12" t="s">
        <v>11</v>
      </c>
      <c r="E15" s="14">
        <v>473525.4599999999</v>
      </c>
      <c r="F15" s="14">
        <v>13333.161137947993</v>
      </c>
      <c r="G15" s="14">
        <v>4888263.5500000007</v>
      </c>
      <c r="H15" s="14">
        <v>0</v>
      </c>
      <c r="I15" s="13">
        <f t="shared" si="0"/>
        <v>5375122.1711379485</v>
      </c>
    </row>
    <row r="16" spans="1:9" ht="15.75" x14ac:dyDescent="0.25">
      <c r="A16" s="8"/>
      <c r="B16" s="8"/>
      <c r="C16" s="9"/>
      <c r="D16" s="12" t="s">
        <v>12</v>
      </c>
      <c r="E16" s="14">
        <v>22708977.289999999</v>
      </c>
      <c r="F16" s="14">
        <v>11427066.351835303</v>
      </c>
      <c r="G16" s="14">
        <v>681157.04</v>
      </c>
      <c r="H16" s="14">
        <v>0</v>
      </c>
      <c r="I16" s="13">
        <f t="shared" si="0"/>
        <v>34817200.681835301</v>
      </c>
    </row>
    <row r="17" spans="1:9" ht="15.75" x14ac:dyDescent="0.25">
      <c r="A17" s="8"/>
      <c r="B17" s="8"/>
      <c r="C17" s="9"/>
      <c r="D17" s="12" t="s">
        <v>13</v>
      </c>
      <c r="E17" s="14">
        <v>42354787.159999996</v>
      </c>
      <c r="F17" s="14">
        <v>10898316.961633392</v>
      </c>
      <c r="G17" s="14">
        <v>1469609.7699999998</v>
      </c>
      <c r="H17" s="14">
        <v>0</v>
      </c>
      <c r="I17" s="13">
        <f t="shared" si="0"/>
        <v>54722713.891633391</v>
      </c>
    </row>
    <row r="18" spans="1:9" ht="15.75" x14ac:dyDescent="0.25">
      <c r="A18" s="8"/>
      <c r="B18" s="8"/>
      <c r="C18" s="9"/>
      <c r="D18" s="12" t="s">
        <v>14</v>
      </c>
      <c r="E18" s="14">
        <v>5703066.0700000003</v>
      </c>
      <c r="F18" s="14">
        <v>855909.3440942436</v>
      </c>
      <c r="G18" s="14">
        <v>6940757.4700000007</v>
      </c>
      <c r="H18" s="14">
        <v>0</v>
      </c>
      <c r="I18" s="13">
        <f t="shared" si="0"/>
        <v>13499732.884094246</v>
      </c>
    </row>
    <row r="19" spans="1:9" ht="15.75" x14ac:dyDescent="0.25">
      <c r="A19" s="8"/>
      <c r="B19" s="8"/>
      <c r="C19" s="9"/>
      <c r="D19" s="12" t="s">
        <v>15</v>
      </c>
      <c r="E19" s="14">
        <v>40116326.539999999</v>
      </c>
      <c r="F19" s="14">
        <v>8168998.976454936</v>
      </c>
      <c r="G19" s="14">
        <v>1302833.31</v>
      </c>
      <c r="H19" s="14">
        <v>0</v>
      </c>
      <c r="I19" s="13">
        <f t="shared" si="0"/>
        <v>49588158.826454937</v>
      </c>
    </row>
    <row r="20" spans="1:9" ht="15.75" x14ac:dyDescent="0.25">
      <c r="A20" s="8"/>
      <c r="B20" s="8"/>
      <c r="C20" s="9"/>
      <c r="D20" s="12" t="s">
        <v>16</v>
      </c>
      <c r="E20" s="14">
        <v>15705280.160000004</v>
      </c>
      <c r="F20" s="14">
        <v>2270965.6957608657</v>
      </c>
      <c r="G20" s="14">
        <v>596152.16999999993</v>
      </c>
      <c r="H20" s="14">
        <v>0</v>
      </c>
      <c r="I20" s="13">
        <f t="shared" si="0"/>
        <v>18572398.025760867</v>
      </c>
    </row>
    <row r="21" spans="1:9" ht="15.75" x14ac:dyDescent="0.25">
      <c r="A21" s="8"/>
      <c r="B21" s="8"/>
      <c r="C21" s="9"/>
      <c r="D21" s="12" t="s">
        <v>17</v>
      </c>
      <c r="E21" s="14">
        <v>21064666.259999998</v>
      </c>
      <c r="F21" s="14">
        <v>9772361.3538944423</v>
      </c>
      <c r="G21" s="14">
        <v>480788.6</v>
      </c>
      <c r="H21" s="14">
        <v>0</v>
      </c>
      <c r="I21" s="13">
        <f t="shared" si="0"/>
        <v>31317816.213894442</v>
      </c>
    </row>
    <row r="22" spans="1:9" ht="15.75" x14ac:dyDescent="0.25">
      <c r="A22" s="8"/>
      <c r="B22" s="8"/>
      <c r="C22" s="9"/>
      <c r="D22" s="12" t="s">
        <v>18</v>
      </c>
      <c r="E22" s="14">
        <v>1244586.3400000001</v>
      </c>
      <c r="F22" s="14">
        <v>418452.30720627081</v>
      </c>
      <c r="G22" s="14">
        <v>2678761.36</v>
      </c>
      <c r="H22" s="14">
        <v>0</v>
      </c>
      <c r="I22" s="13">
        <f t="shared" si="0"/>
        <v>4341800.0072062705</v>
      </c>
    </row>
    <row r="23" spans="1:9" ht="15.75" x14ac:dyDescent="0.25">
      <c r="A23" s="8"/>
      <c r="B23" s="8"/>
      <c r="C23" s="9"/>
      <c r="D23" s="12" t="s">
        <v>19</v>
      </c>
      <c r="E23" s="14">
        <v>686391.95</v>
      </c>
      <c r="F23" s="14">
        <v>155968.13495323493</v>
      </c>
      <c r="G23" s="14">
        <v>963998.29</v>
      </c>
      <c r="H23" s="14">
        <v>0</v>
      </c>
      <c r="I23" s="13">
        <f t="shared" si="0"/>
        <v>1806358.374953235</v>
      </c>
    </row>
    <row r="24" spans="1:9" ht="15.75" x14ac:dyDescent="0.25">
      <c r="A24" s="8"/>
      <c r="B24" s="8"/>
      <c r="C24" s="9"/>
      <c r="D24" s="12" t="s">
        <v>20</v>
      </c>
      <c r="E24" s="14">
        <v>21652902.34</v>
      </c>
      <c r="F24" s="14">
        <v>5993156.4303051</v>
      </c>
      <c r="G24" s="14">
        <v>939616.75</v>
      </c>
      <c r="H24" s="14">
        <v>0</v>
      </c>
      <c r="I24" s="13">
        <f t="shared" si="0"/>
        <v>28585675.520305101</v>
      </c>
    </row>
    <row r="25" spans="1:9" ht="15.75" x14ac:dyDescent="0.25">
      <c r="A25" s="8"/>
      <c r="B25" s="8"/>
      <c r="C25" s="9"/>
      <c r="D25" s="12" t="s">
        <v>21</v>
      </c>
      <c r="E25" s="14">
        <v>15856396.469999999</v>
      </c>
      <c r="F25" s="14">
        <v>4450639.0382077964</v>
      </c>
      <c r="G25" s="14">
        <v>1052039.9100000001</v>
      </c>
      <c r="H25" s="14">
        <v>0</v>
      </c>
      <c r="I25" s="13">
        <f t="shared" si="0"/>
        <v>21359075.418207794</v>
      </c>
    </row>
    <row r="26" spans="1:9" ht="15.75" x14ac:dyDescent="0.25">
      <c r="A26" s="8"/>
      <c r="B26" s="8"/>
      <c r="C26" s="9"/>
      <c r="D26" s="12" t="s">
        <v>22</v>
      </c>
      <c r="E26" s="14">
        <v>8491599.3400000017</v>
      </c>
      <c r="F26" s="14">
        <v>2548673.5519997678</v>
      </c>
      <c r="G26" s="14">
        <v>498704.01</v>
      </c>
      <c r="H26" s="14">
        <v>0</v>
      </c>
      <c r="I26" s="13">
        <f t="shared" si="0"/>
        <v>11538976.90199977</v>
      </c>
    </row>
    <row r="27" spans="1:9" ht="15.75" x14ac:dyDescent="0.25">
      <c r="A27" s="8"/>
      <c r="B27" s="8"/>
      <c r="C27" s="9"/>
      <c r="D27" s="12" t="s">
        <v>23</v>
      </c>
      <c r="E27" s="14">
        <v>4478846.0199999996</v>
      </c>
      <c r="F27" s="14">
        <v>437457.03688797273</v>
      </c>
      <c r="G27" s="14">
        <v>1505289.4699999997</v>
      </c>
      <c r="H27" s="14">
        <v>0</v>
      </c>
      <c r="I27" s="13">
        <f t="shared" si="0"/>
        <v>6421592.5268879719</v>
      </c>
    </row>
    <row r="28" spans="1:9" ht="15.75" x14ac:dyDescent="0.25">
      <c r="A28" s="8"/>
      <c r="B28" s="8"/>
      <c r="C28" s="9"/>
      <c r="D28" s="12" t="s">
        <v>24</v>
      </c>
      <c r="E28" s="14">
        <v>6755955.2699999996</v>
      </c>
      <c r="F28" s="14">
        <v>2073157.30514713</v>
      </c>
      <c r="G28" s="14">
        <v>797473.66</v>
      </c>
      <c r="H28" s="14">
        <v>0</v>
      </c>
      <c r="I28" s="13">
        <f t="shared" si="0"/>
        <v>9626586.2351471297</v>
      </c>
    </row>
    <row r="29" spans="1:9" ht="15.75" x14ac:dyDescent="0.25">
      <c r="A29" s="8"/>
      <c r="B29" s="8"/>
      <c r="C29" s="9"/>
      <c r="D29" s="12" t="s">
        <v>25</v>
      </c>
      <c r="E29" s="14">
        <v>7427980.4099999992</v>
      </c>
      <c r="F29" s="14">
        <v>1160184.0214065192</v>
      </c>
      <c r="G29" s="14">
        <v>334128.38999999996</v>
      </c>
      <c r="H29" s="14">
        <v>0</v>
      </c>
      <c r="I29" s="13">
        <f t="shared" si="0"/>
        <v>8922292.821406519</v>
      </c>
    </row>
    <row r="30" spans="1:9" ht="15.75" x14ac:dyDescent="0.25">
      <c r="A30" s="8"/>
      <c r="B30" s="8"/>
      <c r="C30" s="9"/>
      <c r="D30" s="12" t="s">
        <v>26</v>
      </c>
      <c r="E30" s="14">
        <v>16404827.350000001</v>
      </c>
      <c r="F30" s="14">
        <v>6257531.1254060538</v>
      </c>
      <c r="G30" s="14">
        <v>860512.66</v>
      </c>
      <c r="H30" s="14">
        <v>0</v>
      </c>
      <c r="I30" s="13">
        <f t="shared" si="0"/>
        <v>23522871.135406055</v>
      </c>
    </row>
    <row r="31" spans="1:9" ht="15.75" x14ac:dyDescent="0.25">
      <c r="A31" s="8"/>
      <c r="B31" s="8"/>
      <c r="C31" s="9"/>
      <c r="D31" s="12" t="s">
        <v>27</v>
      </c>
      <c r="E31" s="14">
        <v>14321038.27</v>
      </c>
      <c r="F31" s="14">
        <v>6485737.1333902618</v>
      </c>
      <c r="G31" s="14">
        <v>685743.50999999989</v>
      </c>
      <c r="H31" s="14">
        <v>0</v>
      </c>
      <c r="I31" s="13">
        <f t="shared" si="0"/>
        <v>21492518.913390264</v>
      </c>
    </row>
    <row r="32" spans="1:9" ht="15.75" x14ac:dyDescent="0.25">
      <c r="A32" s="8"/>
      <c r="B32" s="8"/>
      <c r="C32" s="9"/>
      <c r="D32" s="12" t="s">
        <v>28</v>
      </c>
      <c r="E32" s="14">
        <v>11612671.279999999</v>
      </c>
      <c r="F32" s="14">
        <v>2189175.7072877819</v>
      </c>
      <c r="G32" s="14">
        <v>335412.34000000003</v>
      </c>
      <c r="H32" s="14">
        <v>0</v>
      </c>
      <c r="I32" s="13">
        <f t="shared" si="0"/>
        <v>14137259.327287782</v>
      </c>
    </row>
    <row r="33" spans="1:9" ht="15.75" x14ac:dyDescent="0.25">
      <c r="A33" s="8"/>
      <c r="B33" s="8"/>
      <c r="C33" s="9"/>
      <c r="D33" s="12" t="s">
        <v>29</v>
      </c>
      <c r="E33" s="14">
        <v>3505220.08</v>
      </c>
      <c r="F33" s="14">
        <v>3309459.746482979</v>
      </c>
      <c r="G33" s="14">
        <v>195590.09</v>
      </c>
      <c r="H33" s="14">
        <v>0</v>
      </c>
      <c r="I33" s="13">
        <f t="shared" si="0"/>
        <v>7010269.9164829794</v>
      </c>
    </row>
    <row r="34" spans="1:9" ht="15.75" x14ac:dyDescent="0.25">
      <c r="A34" s="8"/>
      <c r="B34" s="8"/>
      <c r="C34" s="9"/>
      <c r="D34" s="12" t="s">
        <v>30</v>
      </c>
      <c r="E34" s="14">
        <v>33027375.599999998</v>
      </c>
      <c r="F34" s="14">
        <v>4749242.1469763182</v>
      </c>
      <c r="G34" s="14">
        <v>1382336.15</v>
      </c>
      <c r="H34" s="14">
        <v>0</v>
      </c>
      <c r="I34" s="13">
        <f t="shared" si="0"/>
        <v>39158953.896976314</v>
      </c>
    </row>
    <row r="35" spans="1:9" ht="15.75" x14ac:dyDescent="0.25">
      <c r="A35" s="8"/>
      <c r="B35" s="8"/>
      <c r="C35" s="9"/>
      <c r="D35" s="12" t="s">
        <v>31</v>
      </c>
      <c r="E35" s="14">
        <v>14922476.930000002</v>
      </c>
      <c r="F35" s="14">
        <v>8733867.3031723294</v>
      </c>
      <c r="G35" s="14">
        <v>1055889.81</v>
      </c>
      <c r="H35" s="14">
        <v>0</v>
      </c>
      <c r="I35" s="13">
        <f t="shared" si="0"/>
        <v>24712234.04317233</v>
      </c>
    </row>
    <row r="36" spans="1:9" ht="15.75" x14ac:dyDescent="0.25">
      <c r="A36" s="8"/>
      <c r="B36" s="8"/>
      <c r="C36" s="9"/>
      <c r="D36" s="12" t="s">
        <v>32</v>
      </c>
      <c r="E36" s="14">
        <v>19540829.570000004</v>
      </c>
      <c r="F36" s="14">
        <v>4332680.3626179658</v>
      </c>
      <c r="G36" s="14">
        <v>1875918.28</v>
      </c>
      <c r="H36" s="14">
        <v>0</v>
      </c>
      <c r="I36" s="13">
        <f t="shared" si="0"/>
        <v>25749428.212617971</v>
      </c>
    </row>
    <row r="37" spans="1:9" ht="15.75" x14ac:dyDescent="0.25">
      <c r="A37" s="8"/>
      <c r="B37" s="8"/>
      <c r="C37" s="9"/>
      <c r="D37" s="12" t="s">
        <v>33</v>
      </c>
      <c r="E37" s="14">
        <v>15618537.419999998</v>
      </c>
      <c r="F37" s="14">
        <v>3029861.3673961596</v>
      </c>
      <c r="G37" s="14">
        <v>589441.25</v>
      </c>
      <c r="H37" s="14">
        <v>0</v>
      </c>
      <c r="I37" s="13">
        <f t="shared" si="0"/>
        <v>19237840.037396159</v>
      </c>
    </row>
    <row r="38" spans="1:9" ht="15.75" x14ac:dyDescent="0.25">
      <c r="A38" s="8"/>
      <c r="B38" s="8"/>
      <c r="C38" s="9"/>
      <c r="D38" s="12" t="s">
        <v>34</v>
      </c>
      <c r="E38" s="14">
        <v>14004098.35</v>
      </c>
      <c r="F38" s="14">
        <v>5207594.436393912</v>
      </c>
      <c r="G38" s="14">
        <v>479853.27</v>
      </c>
      <c r="H38" s="14">
        <v>0</v>
      </c>
      <c r="I38" s="13">
        <f t="shared" si="0"/>
        <v>19691546.05639391</v>
      </c>
    </row>
    <row r="39" spans="1:9" ht="15.75" x14ac:dyDescent="0.25">
      <c r="A39" s="8"/>
      <c r="B39" s="8"/>
      <c r="C39" s="9"/>
      <c r="D39" s="12" t="s">
        <v>35</v>
      </c>
      <c r="E39" s="14">
        <v>12040464.060000001</v>
      </c>
      <c r="F39" s="14">
        <v>8153775.2924690684</v>
      </c>
      <c r="G39" s="14">
        <v>621516.82999999996</v>
      </c>
      <c r="H39" s="14">
        <v>0</v>
      </c>
      <c r="I39" s="13">
        <f t="shared" si="0"/>
        <v>20815756.182469066</v>
      </c>
    </row>
    <row r="40" spans="1:9" ht="15.75" x14ac:dyDescent="0.25">
      <c r="A40" s="8"/>
      <c r="B40" s="8"/>
      <c r="C40" s="9"/>
      <c r="D40" s="12" t="s">
        <v>36</v>
      </c>
      <c r="E40" s="14">
        <v>1140607.8900000001</v>
      </c>
      <c r="F40" s="14">
        <v>427954.6720471218</v>
      </c>
      <c r="G40" s="14">
        <v>490648.72</v>
      </c>
      <c r="H40" s="14">
        <v>0</v>
      </c>
      <c r="I40" s="13">
        <f t="shared" si="0"/>
        <v>2059211.282047122</v>
      </c>
    </row>
    <row r="41" spans="1:9" ht="15.75" x14ac:dyDescent="0.25">
      <c r="A41" s="8"/>
      <c r="B41" s="8"/>
      <c r="C41" s="9"/>
      <c r="D41" s="12" t="s">
        <v>37</v>
      </c>
      <c r="E41" s="14">
        <v>26084428.380000003</v>
      </c>
      <c r="F41" s="14">
        <v>7664975.6350797433</v>
      </c>
      <c r="G41" s="14">
        <v>1498244.1199999999</v>
      </c>
      <c r="H41" s="14">
        <v>0</v>
      </c>
      <c r="I41" s="13">
        <f t="shared" si="0"/>
        <v>35247648.135079741</v>
      </c>
    </row>
    <row r="42" spans="1:9" ht="15.75" x14ac:dyDescent="0.25">
      <c r="A42" s="8"/>
      <c r="B42" s="8"/>
      <c r="C42" s="9"/>
      <c r="D42" s="12" t="s">
        <v>38</v>
      </c>
      <c r="E42" s="14">
        <v>19795801.279999997</v>
      </c>
      <c r="F42" s="14">
        <v>7569852.4854687117</v>
      </c>
      <c r="G42" s="14">
        <v>646754.17000000016</v>
      </c>
      <c r="H42" s="14">
        <v>0</v>
      </c>
      <c r="I42" s="13">
        <f t="shared" si="0"/>
        <v>28012407.935468711</v>
      </c>
    </row>
    <row r="43" spans="1:9" ht="15.75" x14ac:dyDescent="0.25">
      <c r="A43" s="8"/>
      <c r="B43" s="8"/>
      <c r="C43" s="9"/>
      <c r="D43" s="12" t="s">
        <v>39</v>
      </c>
      <c r="E43" s="14">
        <v>3307672.0999999996</v>
      </c>
      <c r="F43" s="14">
        <v>2816829.2927965573</v>
      </c>
      <c r="G43" s="14">
        <v>500012.5</v>
      </c>
      <c r="H43" s="14">
        <v>0</v>
      </c>
      <c r="I43" s="13">
        <f t="shared" si="0"/>
        <v>6624513.8927965574</v>
      </c>
    </row>
    <row r="44" spans="1:9" ht="15.75" x14ac:dyDescent="0.25">
      <c r="A44" s="8"/>
      <c r="B44" s="8"/>
      <c r="C44" s="9"/>
      <c r="D44" s="12" t="s">
        <v>40</v>
      </c>
      <c r="E44" s="14">
        <v>171052.68999999997</v>
      </c>
      <c r="F44" s="14">
        <v>216813.12029543787</v>
      </c>
      <c r="G44" s="14">
        <v>507461.91</v>
      </c>
      <c r="H44" s="14">
        <v>0</v>
      </c>
      <c r="I44" s="13">
        <f t="shared" si="0"/>
        <v>895327.72029543784</v>
      </c>
    </row>
    <row r="45" spans="1:9" ht="15.75" x14ac:dyDescent="0.25">
      <c r="A45" s="8"/>
      <c r="B45" s="8"/>
      <c r="C45" s="9"/>
      <c r="D45" s="12" t="s">
        <v>41</v>
      </c>
      <c r="E45" s="14">
        <v>5589664.9000000004</v>
      </c>
      <c r="F45" s="14">
        <v>62785.258791381973</v>
      </c>
      <c r="G45" s="14">
        <v>2023658.83</v>
      </c>
      <c r="H45" s="14">
        <v>0</v>
      </c>
      <c r="I45" s="13">
        <f t="shared" si="0"/>
        <v>7676108.9887913829</v>
      </c>
    </row>
    <row r="46" spans="1:9" ht="15.75" x14ac:dyDescent="0.25">
      <c r="A46" s="8"/>
      <c r="B46" s="8"/>
      <c r="C46" s="9"/>
      <c r="D46" s="12" t="s">
        <v>42</v>
      </c>
      <c r="E46" s="14">
        <v>1424063.2399999998</v>
      </c>
      <c r="F46" s="14">
        <v>209201.27830250486</v>
      </c>
      <c r="G46" s="14">
        <v>3230933.1599999997</v>
      </c>
      <c r="H46" s="14">
        <v>0</v>
      </c>
      <c r="I46" s="13">
        <f t="shared" si="0"/>
        <v>4864197.6783025041</v>
      </c>
    </row>
    <row r="47" spans="1:9" ht="15.75" x14ac:dyDescent="0.25">
      <c r="A47" s="8"/>
      <c r="B47" s="8"/>
      <c r="C47" s="9"/>
      <c r="D47" s="12" t="s">
        <v>43</v>
      </c>
      <c r="E47" s="14">
        <v>7707106.7199999988</v>
      </c>
      <c r="F47" s="14">
        <v>1494955.8172917883</v>
      </c>
      <c r="G47" s="14">
        <v>555986.91999999993</v>
      </c>
      <c r="H47" s="14">
        <v>0</v>
      </c>
      <c r="I47" s="13">
        <f t="shared" si="0"/>
        <v>9758049.4572917875</v>
      </c>
    </row>
    <row r="48" spans="1:9" ht="15.75" x14ac:dyDescent="0.25">
      <c r="A48" s="8"/>
      <c r="B48" s="8"/>
      <c r="C48" s="9"/>
      <c r="D48" s="12" t="s">
        <v>44</v>
      </c>
      <c r="E48" s="14">
        <v>4541790.26</v>
      </c>
      <c r="F48" s="14">
        <v>209201.27830250486</v>
      </c>
      <c r="G48" s="14">
        <v>1424098.02</v>
      </c>
      <c r="H48" s="14">
        <v>0</v>
      </c>
      <c r="I48" s="13">
        <f t="shared" si="0"/>
        <v>6175089.5583025049</v>
      </c>
    </row>
    <row r="49" spans="1:9" ht="15.75" x14ac:dyDescent="0.25">
      <c r="A49" s="8"/>
      <c r="B49" s="8"/>
      <c r="C49" s="9"/>
      <c r="D49" s="12" t="s">
        <v>45</v>
      </c>
      <c r="E49" s="14">
        <v>1617293.6500000001</v>
      </c>
      <c r="F49" s="14">
        <v>249151.01111508787</v>
      </c>
      <c r="G49" s="14">
        <v>2314463.38</v>
      </c>
      <c r="H49" s="14">
        <v>0</v>
      </c>
      <c r="I49" s="13">
        <f t="shared" si="0"/>
        <v>4180908.0411150879</v>
      </c>
    </row>
    <row r="50" spans="1:9" ht="15.75" x14ac:dyDescent="0.25">
      <c r="A50" s="8"/>
      <c r="B50" s="8"/>
      <c r="C50" s="9"/>
      <c r="D50" s="12" t="s">
        <v>46</v>
      </c>
      <c r="E50" s="14">
        <v>8587884.9100000001</v>
      </c>
      <c r="F50" s="14">
        <v>2929066.6492413739</v>
      </c>
      <c r="G50" s="14">
        <v>255651.56999999998</v>
      </c>
      <c r="H50" s="14">
        <v>0</v>
      </c>
      <c r="I50" s="13">
        <f t="shared" si="0"/>
        <v>11772603.129241373</v>
      </c>
    </row>
    <row r="51" spans="1:9" ht="15.75" x14ac:dyDescent="0.25">
      <c r="A51" s="8"/>
      <c r="B51" s="8"/>
      <c r="C51" s="9"/>
      <c r="D51" s="12" t="s">
        <v>47</v>
      </c>
      <c r="E51" s="14">
        <v>13927205.5</v>
      </c>
      <c r="F51" s="14">
        <v>4378351.4145755637</v>
      </c>
      <c r="G51" s="14">
        <v>694772.87</v>
      </c>
      <c r="H51" s="14">
        <v>0</v>
      </c>
      <c r="I51" s="13">
        <f t="shared" si="0"/>
        <v>19000329.784575563</v>
      </c>
    </row>
    <row r="52" spans="1:9" ht="15.75" x14ac:dyDescent="0.25">
      <c r="A52" s="8"/>
      <c r="B52" s="8"/>
      <c r="C52" s="9"/>
      <c r="D52" s="12" t="s">
        <v>48</v>
      </c>
      <c r="E52" s="14">
        <v>8119465.0299999993</v>
      </c>
      <c r="F52" s="14">
        <v>4412579.8282431308</v>
      </c>
      <c r="G52" s="14">
        <v>204628.74</v>
      </c>
      <c r="H52" s="14">
        <v>0</v>
      </c>
      <c r="I52" s="13">
        <f t="shared" si="0"/>
        <v>12736673.59824313</v>
      </c>
    </row>
    <row r="53" spans="1:9" ht="15.75" x14ac:dyDescent="0.25">
      <c r="A53" s="8"/>
      <c r="B53" s="8"/>
      <c r="C53" s="9"/>
      <c r="D53" s="12" t="s">
        <v>49</v>
      </c>
      <c r="E53" s="14">
        <v>15933227.82</v>
      </c>
      <c r="F53" s="14">
        <v>3024140.0482511441</v>
      </c>
      <c r="G53" s="14">
        <v>1265816.6300000001</v>
      </c>
      <c r="H53" s="14">
        <v>0</v>
      </c>
      <c r="I53" s="13">
        <f t="shared" si="0"/>
        <v>20223184.498251144</v>
      </c>
    </row>
    <row r="54" spans="1:9" ht="15.75" x14ac:dyDescent="0.25">
      <c r="A54" s="8"/>
      <c r="B54" s="8"/>
      <c r="C54" s="9"/>
      <c r="D54" s="12" t="s">
        <v>50</v>
      </c>
      <c r="E54" s="14">
        <v>13055466.33</v>
      </c>
      <c r="F54" s="14">
        <v>2776879.5599839743</v>
      </c>
      <c r="G54" s="14">
        <v>682514.20000000007</v>
      </c>
      <c r="H54" s="14">
        <v>0</v>
      </c>
      <c r="I54" s="13">
        <f t="shared" si="0"/>
        <v>16514860.089983974</v>
      </c>
    </row>
    <row r="55" spans="1:9" ht="15.75" x14ac:dyDescent="0.25">
      <c r="A55" s="8"/>
      <c r="B55" s="8"/>
      <c r="C55" s="9"/>
      <c r="D55" s="12" t="s">
        <v>51</v>
      </c>
      <c r="E55" s="14">
        <v>4472028.8499999996</v>
      </c>
      <c r="F55" s="14">
        <v>5839078.8181997845</v>
      </c>
      <c r="G55" s="14">
        <v>45169.170000000006</v>
      </c>
      <c r="H55" s="14">
        <v>0</v>
      </c>
      <c r="I55" s="13">
        <f t="shared" si="0"/>
        <v>10356276.838199785</v>
      </c>
    </row>
    <row r="56" spans="1:9" ht="15.75" x14ac:dyDescent="0.25">
      <c r="A56" s="8"/>
      <c r="B56" s="8"/>
      <c r="C56" s="9"/>
      <c r="D56" s="12" t="s">
        <v>52</v>
      </c>
      <c r="E56" s="14">
        <v>10713402.16</v>
      </c>
      <c r="F56" s="14">
        <v>7075381.259535633</v>
      </c>
      <c r="G56" s="14">
        <v>233516.09</v>
      </c>
      <c r="H56" s="14">
        <v>0</v>
      </c>
      <c r="I56" s="13">
        <f t="shared" si="0"/>
        <v>18022299.509535633</v>
      </c>
    </row>
    <row r="57" spans="1:9" ht="15.75" x14ac:dyDescent="0.25">
      <c r="A57" s="8"/>
      <c r="B57" s="8"/>
      <c r="C57" s="9"/>
      <c r="D57" s="12" t="s">
        <v>53</v>
      </c>
      <c r="E57" s="14">
        <v>2919238.9699999997</v>
      </c>
      <c r="F57" s="14">
        <v>2092162.0348288321</v>
      </c>
      <c r="G57" s="14">
        <v>216704.44</v>
      </c>
      <c r="H57" s="14">
        <v>0</v>
      </c>
      <c r="I57" s="13">
        <f t="shared" si="0"/>
        <v>5228105.4448288325</v>
      </c>
    </row>
    <row r="58" spans="1:9" ht="15.75" x14ac:dyDescent="0.25">
      <c r="A58" s="8"/>
      <c r="B58" s="8"/>
      <c r="C58" s="9"/>
      <c r="D58" s="12" t="s">
        <v>54</v>
      </c>
      <c r="E58" s="14">
        <v>3343786.24</v>
      </c>
      <c r="F58" s="14">
        <v>2251960.9660791638</v>
      </c>
      <c r="G58" s="14">
        <v>55436.799999999988</v>
      </c>
      <c r="H58" s="14">
        <v>0</v>
      </c>
      <c r="I58" s="13">
        <f t="shared" si="0"/>
        <v>5651184.0060791643</v>
      </c>
    </row>
    <row r="59" spans="1:9" ht="15.75" x14ac:dyDescent="0.25">
      <c r="A59" s="8"/>
      <c r="B59" s="8"/>
      <c r="C59" s="9"/>
      <c r="D59" s="12" t="s">
        <v>55</v>
      </c>
      <c r="E59" s="14">
        <v>8375679.4100000001</v>
      </c>
      <c r="F59" s="14">
        <v>3803930.9724160577</v>
      </c>
      <c r="G59" s="14">
        <v>372109.41000000003</v>
      </c>
      <c r="H59" s="14">
        <v>0</v>
      </c>
      <c r="I59" s="13">
        <f t="shared" si="0"/>
        <v>12551719.792416058</v>
      </c>
    </row>
    <row r="60" spans="1:9" ht="15.75" x14ac:dyDescent="0.25">
      <c r="A60" s="8"/>
      <c r="B60" s="8"/>
      <c r="C60" s="9"/>
      <c r="D60" s="12" t="s">
        <v>56</v>
      </c>
      <c r="E60" s="14">
        <v>4806723.7699999996</v>
      </c>
      <c r="F60" s="14">
        <v>2301413.063732598</v>
      </c>
      <c r="G60" s="14">
        <v>185672.64</v>
      </c>
      <c r="H60" s="14">
        <v>0</v>
      </c>
      <c r="I60" s="13">
        <f t="shared" si="0"/>
        <v>7293809.4737325972</v>
      </c>
    </row>
    <row r="61" spans="1:9" ht="15.75" x14ac:dyDescent="0.25">
      <c r="A61" s="8"/>
      <c r="B61" s="8"/>
      <c r="C61" s="9"/>
      <c r="D61" s="12" t="s">
        <v>57</v>
      </c>
      <c r="E61" s="14">
        <v>16130730.960000001</v>
      </c>
      <c r="F61" s="14">
        <v>3860994.9120624252</v>
      </c>
      <c r="G61" s="14">
        <v>403586.72000000003</v>
      </c>
      <c r="H61" s="14">
        <v>0</v>
      </c>
      <c r="I61" s="13">
        <f t="shared" si="0"/>
        <v>20395312.592062425</v>
      </c>
    </row>
    <row r="62" spans="1:9" ht="15.75" x14ac:dyDescent="0.25">
      <c r="A62" s="8"/>
      <c r="B62" s="8"/>
      <c r="C62" s="9"/>
      <c r="D62" s="12" t="s">
        <v>58</v>
      </c>
      <c r="E62" s="14">
        <v>15499004.469999999</v>
      </c>
      <c r="F62" s="14">
        <v>4308004.0643925099</v>
      </c>
      <c r="G62" s="14">
        <v>16295613.700000001</v>
      </c>
      <c r="H62" s="14">
        <v>0</v>
      </c>
      <c r="I62" s="13">
        <f t="shared" si="0"/>
        <v>36102622.234392509</v>
      </c>
    </row>
    <row r="63" spans="1:9" ht="15.75" x14ac:dyDescent="0.25">
      <c r="A63" s="8"/>
      <c r="B63" s="8"/>
      <c r="C63" s="9"/>
      <c r="D63" s="12" t="s">
        <v>59</v>
      </c>
      <c r="E63" s="14">
        <v>3744825.11</v>
      </c>
      <c r="F63" s="14">
        <v>475516.24685263773</v>
      </c>
      <c r="G63" s="14">
        <v>743593.64</v>
      </c>
      <c r="H63" s="14">
        <v>0</v>
      </c>
      <c r="I63" s="13">
        <f t="shared" si="0"/>
        <v>4963934.9968526373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5605504.5100000007</v>
      </c>
      <c r="H64" s="14">
        <v>0</v>
      </c>
      <c r="I64" s="13">
        <f t="shared" si="0"/>
        <v>5605504.5100000007</v>
      </c>
    </row>
    <row r="65" spans="1:9" ht="15.75" x14ac:dyDescent="0.25">
      <c r="A65" s="8"/>
      <c r="B65" s="8"/>
      <c r="C65" s="9"/>
      <c r="D65" s="12" t="s">
        <v>61</v>
      </c>
      <c r="E65" s="14">
        <v>14362857.060000002</v>
      </c>
      <c r="F65" s="14">
        <v>5629877.5398972789</v>
      </c>
      <c r="G65" s="14">
        <v>378608.14999999997</v>
      </c>
      <c r="H65" s="14">
        <v>0</v>
      </c>
      <c r="I65" s="13">
        <f t="shared" si="0"/>
        <v>20371342.749897279</v>
      </c>
    </row>
    <row r="66" spans="1:9" ht="15.75" x14ac:dyDescent="0.25">
      <c r="A66" s="8"/>
      <c r="B66" s="8"/>
      <c r="C66" s="9"/>
      <c r="D66" s="12" t="s">
        <v>62</v>
      </c>
      <c r="E66" s="14">
        <v>57099740.769999996</v>
      </c>
      <c r="F66" s="14">
        <v>11193139.024706079</v>
      </c>
      <c r="G66" s="14">
        <v>1170472.29</v>
      </c>
      <c r="H66" s="14">
        <v>0</v>
      </c>
      <c r="I66" s="13">
        <f t="shared" si="0"/>
        <v>69463352.084706083</v>
      </c>
    </row>
    <row r="67" spans="1:9" ht="15.75" x14ac:dyDescent="0.25">
      <c r="A67" s="8"/>
      <c r="B67" s="8"/>
      <c r="C67" s="9"/>
      <c r="D67" s="12" t="s">
        <v>63</v>
      </c>
      <c r="E67" s="14">
        <v>12324547.899999997</v>
      </c>
      <c r="F67" s="14">
        <v>5173366.022726343</v>
      </c>
      <c r="G67" s="14">
        <v>433935.58999999991</v>
      </c>
      <c r="H67" s="14">
        <v>0</v>
      </c>
      <c r="I67" s="13">
        <f t="shared" si="0"/>
        <v>17931849.51272634</v>
      </c>
    </row>
    <row r="68" spans="1:9" ht="15.75" x14ac:dyDescent="0.25">
      <c r="A68" s="8"/>
      <c r="B68" s="8"/>
      <c r="C68" s="9"/>
      <c r="D68" s="12" t="s">
        <v>64</v>
      </c>
      <c r="E68" s="14">
        <v>12049028.950000001</v>
      </c>
      <c r="F68" s="14">
        <v>2187285.184439864</v>
      </c>
      <c r="G68" s="14">
        <v>206496.28000000003</v>
      </c>
      <c r="H68" s="14">
        <v>0</v>
      </c>
      <c r="I68" s="13">
        <f t="shared" si="0"/>
        <v>14442810.414439864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1602772.5100000002</v>
      </c>
      <c r="H69" s="14">
        <v>0</v>
      </c>
      <c r="I69" s="13">
        <f t="shared" si="0"/>
        <v>1602772.5100000002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2049415.6899999997</v>
      </c>
      <c r="H70" s="14">
        <v>0</v>
      </c>
      <c r="I70" s="13">
        <f t="shared" si="0"/>
        <v>2049415.6899999997</v>
      </c>
    </row>
    <row r="71" spans="1:9" ht="15.75" x14ac:dyDescent="0.25">
      <c r="A71" s="8"/>
      <c r="B71" s="8"/>
      <c r="C71" s="9"/>
      <c r="D71" s="12" t="s">
        <v>67</v>
      </c>
      <c r="E71" s="14">
        <v>13047.17</v>
      </c>
      <c r="F71" s="14">
        <v>57063.939646366962</v>
      </c>
      <c r="G71" s="14">
        <v>1528544.0700000003</v>
      </c>
      <c r="H71" s="14">
        <v>0</v>
      </c>
      <c r="I71" s="13">
        <f t="shared" si="0"/>
        <v>1598655.1796463672</v>
      </c>
    </row>
    <row r="72" spans="1:9" ht="15.75" x14ac:dyDescent="0.25">
      <c r="A72" s="8"/>
      <c r="B72" s="8"/>
      <c r="C72" s="9"/>
      <c r="D72" s="12" t="s">
        <v>68</v>
      </c>
      <c r="E72" s="14">
        <v>20667038.23</v>
      </c>
      <c r="F72" s="14">
        <v>3552889.4384530522</v>
      </c>
      <c r="G72" s="14">
        <v>2902568.1799999997</v>
      </c>
      <c r="H72" s="14">
        <v>0</v>
      </c>
      <c r="I72" s="13">
        <f t="shared" si="0"/>
        <v>27122495.848453052</v>
      </c>
    </row>
    <row r="73" spans="1:9" ht="15.75" x14ac:dyDescent="0.25">
      <c r="A73" s="8"/>
      <c r="B73" s="8"/>
      <c r="C73" s="9"/>
      <c r="D73" s="12" t="s">
        <v>69</v>
      </c>
      <c r="E73" s="14">
        <v>12594.159999999998</v>
      </c>
      <c r="F73" s="14">
        <v>0</v>
      </c>
      <c r="G73" s="14">
        <v>1578640.0199999998</v>
      </c>
      <c r="H73" s="14">
        <v>0</v>
      </c>
      <c r="I73" s="13">
        <f t="shared" si="0"/>
        <v>1591234.1799999997</v>
      </c>
    </row>
    <row r="74" spans="1:9" ht="15.75" x14ac:dyDescent="0.25">
      <c r="A74" s="8"/>
      <c r="B74" s="8"/>
      <c r="C74" s="9"/>
      <c r="D74" s="12" t="s">
        <v>70</v>
      </c>
      <c r="E74" s="14">
        <v>2019213.9400000002</v>
      </c>
      <c r="F74" s="14">
        <v>300493.63161643984</v>
      </c>
      <c r="G74" s="14">
        <v>8840592.0199999996</v>
      </c>
      <c r="H74" s="14">
        <v>0</v>
      </c>
      <c r="I74" s="13">
        <f t="shared" ref="I74:I137" si="1">SUM(E74:H74)</f>
        <v>11160299.591616441</v>
      </c>
    </row>
    <row r="75" spans="1:9" ht="15.75" x14ac:dyDescent="0.25">
      <c r="A75" s="8"/>
      <c r="B75" s="8"/>
      <c r="C75" s="9"/>
      <c r="D75" s="12" t="s">
        <v>71</v>
      </c>
      <c r="E75" s="14">
        <v>6769115.9299999997</v>
      </c>
      <c r="F75" s="14">
        <v>1167795.8633994523</v>
      </c>
      <c r="G75" s="14">
        <v>16060892.519999998</v>
      </c>
      <c r="H75" s="14">
        <v>0</v>
      </c>
      <c r="I75" s="13">
        <f t="shared" si="1"/>
        <v>23997804.313399449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4534521.53</v>
      </c>
      <c r="H76" s="14">
        <v>0</v>
      </c>
      <c r="I76" s="13">
        <f t="shared" si="1"/>
        <v>4534521.53</v>
      </c>
    </row>
    <row r="77" spans="1:9" ht="15.75" x14ac:dyDescent="0.25">
      <c r="A77" s="8"/>
      <c r="B77" s="8"/>
      <c r="C77" s="9"/>
      <c r="D77" s="12" t="s">
        <v>73</v>
      </c>
      <c r="E77" s="14">
        <v>7392439.2599999998</v>
      </c>
      <c r="F77" s="14">
        <v>5791517.2433942677</v>
      </c>
      <c r="G77" s="14">
        <v>429631.15999999992</v>
      </c>
      <c r="H77" s="14">
        <v>0</v>
      </c>
      <c r="I77" s="13">
        <f t="shared" si="1"/>
        <v>13613587.663394269</v>
      </c>
    </row>
    <row r="78" spans="1:9" ht="15.75" x14ac:dyDescent="0.25">
      <c r="A78" s="8"/>
      <c r="B78" s="8"/>
      <c r="C78" s="9"/>
      <c r="D78" s="12" t="s">
        <v>74</v>
      </c>
      <c r="E78" s="14">
        <v>13841693.48</v>
      </c>
      <c r="F78" s="14">
        <v>5877088.2775631882</v>
      </c>
      <c r="G78" s="14">
        <v>587011.51</v>
      </c>
      <c r="H78" s="14">
        <v>0</v>
      </c>
      <c r="I78" s="13">
        <f t="shared" si="1"/>
        <v>20305793.26756319</v>
      </c>
    </row>
    <row r="79" spans="1:9" ht="15.75" x14ac:dyDescent="0.25">
      <c r="A79" s="8"/>
      <c r="B79" s="8"/>
      <c r="C79" s="9"/>
      <c r="D79" s="12" t="s">
        <v>75</v>
      </c>
      <c r="E79" s="14">
        <v>12196537.600000001</v>
      </c>
      <c r="F79" s="14">
        <v>3299907.6310408674</v>
      </c>
      <c r="G79" s="14">
        <v>815205.7</v>
      </c>
      <c r="H79" s="14">
        <v>0</v>
      </c>
      <c r="I79" s="13">
        <f t="shared" si="1"/>
        <v>16311650.931040868</v>
      </c>
    </row>
    <row r="80" spans="1:9" ht="15.75" x14ac:dyDescent="0.25">
      <c r="A80" s="8"/>
      <c r="B80" s="8"/>
      <c r="C80" s="9"/>
      <c r="D80" s="12" t="s">
        <v>76</v>
      </c>
      <c r="E80" s="14">
        <v>4804454.1099999994</v>
      </c>
      <c r="F80" s="14">
        <v>1744106.828406876</v>
      </c>
      <c r="G80" s="14">
        <v>84243.16</v>
      </c>
      <c r="H80" s="14">
        <v>0</v>
      </c>
      <c r="I80" s="13">
        <f t="shared" si="1"/>
        <v>6632804.0984068755</v>
      </c>
    </row>
    <row r="81" spans="1:9" ht="15.75" x14ac:dyDescent="0.25">
      <c r="A81" s="8"/>
      <c r="B81" s="8"/>
      <c r="C81" s="9"/>
      <c r="D81" s="12" t="s">
        <v>77</v>
      </c>
      <c r="E81" s="14">
        <v>29886961.339999996</v>
      </c>
      <c r="F81" s="14">
        <v>10523645.183536801</v>
      </c>
      <c r="G81" s="14">
        <v>1168189.92</v>
      </c>
      <c r="H81" s="14">
        <v>0</v>
      </c>
      <c r="I81" s="13">
        <f t="shared" si="1"/>
        <v>41578796.443536803</v>
      </c>
    </row>
    <row r="82" spans="1:9" ht="15.75" x14ac:dyDescent="0.25">
      <c r="A82" s="8"/>
      <c r="B82" s="8"/>
      <c r="C82" s="9"/>
      <c r="D82" s="12" t="s">
        <v>78</v>
      </c>
      <c r="E82" s="14">
        <v>44764204.390000001</v>
      </c>
      <c r="F82" s="14">
        <v>7294084.9026789889</v>
      </c>
      <c r="G82" s="14">
        <v>1631113.3800000004</v>
      </c>
      <c r="H82" s="14">
        <v>0</v>
      </c>
      <c r="I82" s="13">
        <f t="shared" si="1"/>
        <v>53689402.672678992</v>
      </c>
    </row>
    <row r="83" spans="1:9" ht="15.75" x14ac:dyDescent="0.25">
      <c r="A83" s="8"/>
      <c r="B83" s="8"/>
      <c r="C83" s="9"/>
      <c r="D83" s="12" t="s">
        <v>79</v>
      </c>
      <c r="E83" s="14">
        <v>9241951.8000000007</v>
      </c>
      <c r="F83" s="14">
        <v>2995632.9537285916</v>
      </c>
      <c r="G83" s="14">
        <v>865059.87</v>
      </c>
      <c r="H83" s="14">
        <v>0</v>
      </c>
      <c r="I83" s="13">
        <f t="shared" si="1"/>
        <v>13102644.623728592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8044285.8099999987</v>
      </c>
      <c r="H84" s="14">
        <v>0</v>
      </c>
      <c r="I84" s="13">
        <f t="shared" si="1"/>
        <v>8044285.8099999987</v>
      </c>
    </row>
    <row r="85" spans="1:9" ht="15.75" x14ac:dyDescent="0.25">
      <c r="A85" s="8"/>
      <c r="B85" s="8"/>
      <c r="C85" s="9"/>
      <c r="D85" s="12" t="s">
        <v>81</v>
      </c>
      <c r="E85" s="14">
        <v>10551790.76</v>
      </c>
      <c r="F85" s="14">
        <v>931978.01342231256</v>
      </c>
      <c r="G85" s="14">
        <v>3047739.68</v>
      </c>
      <c r="H85" s="14">
        <v>0</v>
      </c>
      <c r="I85" s="13">
        <f t="shared" si="1"/>
        <v>14531508.453422312</v>
      </c>
    </row>
    <row r="86" spans="1:9" ht="15.75" x14ac:dyDescent="0.25">
      <c r="A86" s="8"/>
      <c r="B86" s="8"/>
      <c r="C86" s="9"/>
      <c r="D86" s="12" t="s">
        <v>82</v>
      </c>
      <c r="E86" s="14">
        <v>7910285.0600000005</v>
      </c>
      <c r="F86" s="14">
        <v>3870547.0275045373</v>
      </c>
      <c r="G86" s="14">
        <v>361341.14</v>
      </c>
      <c r="H86" s="14">
        <v>0</v>
      </c>
      <c r="I86" s="13">
        <f t="shared" si="1"/>
        <v>12142173.227504538</v>
      </c>
    </row>
    <row r="87" spans="1:9" ht="15.75" x14ac:dyDescent="0.25">
      <c r="A87" s="8"/>
      <c r="B87" s="8"/>
      <c r="C87" s="9"/>
      <c r="D87" s="12" t="s">
        <v>83</v>
      </c>
      <c r="E87" s="14">
        <v>4624598.5099999988</v>
      </c>
      <c r="F87" s="14">
        <v>5097297.3533982737</v>
      </c>
      <c r="G87" s="14">
        <v>185911.03</v>
      </c>
      <c r="H87" s="14">
        <v>0</v>
      </c>
      <c r="I87" s="13">
        <f t="shared" si="1"/>
        <v>9907806.8933982719</v>
      </c>
    </row>
    <row r="88" spans="1:9" ht="15.75" x14ac:dyDescent="0.25">
      <c r="A88" s="8"/>
      <c r="B88" s="8"/>
      <c r="C88" s="9"/>
      <c r="D88" s="12" t="s">
        <v>84</v>
      </c>
      <c r="E88" s="14">
        <v>866994.80999999994</v>
      </c>
      <c r="F88" s="14">
        <v>0</v>
      </c>
      <c r="G88" s="14">
        <v>4671518.6499999994</v>
      </c>
      <c r="H88" s="14">
        <v>0</v>
      </c>
      <c r="I88" s="13">
        <f t="shared" si="1"/>
        <v>5538513.459999999</v>
      </c>
    </row>
    <row r="89" spans="1:9" ht="15.75" x14ac:dyDescent="0.25">
      <c r="A89" s="8"/>
      <c r="B89" s="8"/>
      <c r="C89" s="9"/>
      <c r="D89" s="12" t="s">
        <v>85</v>
      </c>
      <c r="E89" s="14">
        <v>8073931.3999999994</v>
      </c>
      <c r="F89" s="14">
        <v>4998393.1580914063</v>
      </c>
      <c r="G89" s="14">
        <v>338271.01999999996</v>
      </c>
      <c r="H89" s="14">
        <v>0</v>
      </c>
      <c r="I89" s="13">
        <f t="shared" si="1"/>
        <v>13410595.578091405</v>
      </c>
    </row>
    <row r="90" spans="1:9" ht="15.75" x14ac:dyDescent="0.25">
      <c r="A90" s="8"/>
      <c r="B90" s="8"/>
      <c r="C90" s="9"/>
      <c r="D90" s="12" t="s">
        <v>86</v>
      </c>
      <c r="E90" s="14">
        <v>2709611.89</v>
      </c>
      <c r="F90" s="14">
        <v>1293366.3809822162</v>
      </c>
      <c r="G90" s="14">
        <v>528765.84000000008</v>
      </c>
      <c r="H90" s="14">
        <v>0</v>
      </c>
      <c r="I90" s="13">
        <f t="shared" si="1"/>
        <v>4531744.110982216</v>
      </c>
    </row>
    <row r="91" spans="1:9" ht="15.75" x14ac:dyDescent="0.25">
      <c r="A91" s="8"/>
      <c r="B91" s="8"/>
      <c r="C91" s="9"/>
      <c r="D91" s="12" t="s">
        <v>87</v>
      </c>
      <c r="E91" s="14">
        <v>8753023.2199999988</v>
      </c>
      <c r="F91" s="14">
        <v>2949961.9017709931</v>
      </c>
      <c r="G91" s="14">
        <v>1229594.79</v>
      </c>
      <c r="H91" s="14">
        <v>0</v>
      </c>
      <c r="I91" s="13">
        <f t="shared" si="1"/>
        <v>12932579.911770992</v>
      </c>
    </row>
    <row r="92" spans="1:9" ht="15.75" x14ac:dyDescent="0.25">
      <c r="A92" s="8"/>
      <c r="B92" s="8"/>
      <c r="C92" s="9"/>
      <c r="D92" s="12" t="s">
        <v>88</v>
      </c>
      <c r="E92" s="14">
        <v>651346.41</v>
      </c>
      <c r="F92" s="14">
        <v>407009.6689162408</v>
      </c>
      <c r="G92" s="14">
        <v>2919596.8600000003</v>
      </c>
      <c r="H92" s="14">
        <v>0</v>
      </c>
      <c r="I92" s="13">
        <f t="shared" si="1"/>
        <v>3977952.9389162413</v>
      </c>
    </row>
    <row r="93" spans="1:9" ht="15.75" x14ac:dyDescent="0.25">
      <c r="A93" s="8"/>
      <c r="B93" s="8"/>
      <c r="C93" s="9"/>
      <c r="D93" s="12" t="s">
        <v>89</v>
      </c>
      <c r="E93" s="14">
        <v>15721220.799999999</v>
      </c>
      <c r="F93" s="14">
        <v>3404533.1454927502</v>
      </c>
      <c r="G93" s="14">
        <v>471109.88000000006</v>
      </c>
      <c r="H93" s="14">
        <v>0</v>
      </c>
      <c r="I93" s="13">
        <f t="shared" si="1"/>
        <v>19596863.825492747</v>
      </c>
    </row>
    <row r="94" spans="1:9" ht="15.75" x14ac:dyDescent="0.25">
      <c r="A94" s="8"/>
      <c r="B94" s="8"/>
      <c r="C94" s="9"/>
      <c r="D94" s="12" t="s">
        <v>90</v>
      </c>
      <c r="E94" s="14">
        <v>20318.509999999998</v>
      </c>
      <c r="F94" s="14">
        <v>0</v>
      </c>
      <c r="G94" s="14">
        <v>125845.89000000001</v>
      </c>
      <c r="H94" s="14">
        <v>0</v>
      </c>
      <c r="I94" s="13">
        <f t="shared" si="1"/>
        <v>146164.40000000002</v>
      </c>
    </row>
    <row r="95" spans="1:9" ht="15.75" x14ac:dyDescent="0.25">
      <c r="A95" s="8"/>
      <c r="B95" s="8"/>
      <c r="C95" s="9"/>
      <c r="D95" s="12" t="s">
        <v>91</v>
      </c>
      <c r="E95" s="14">
        <v>1903141.3099999998</v>
      </c>
      <c r="F95" s="14">
        <v>104625.51445188295</v>
      </c>
      <c r="G95" s="14">
        <v>2480636.3000000003</v>
      </c>
      <c r="H95" s="14">
        <v>0</v>
      </c>
      <c r="I95" s="13">
        <f t="shared" si="1"/>
        <v>4488403.1244518831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5377581.25</v>
      </c>
      <c r="H96" s="14">
        <v>0</v>
      </c>
      <c r="I96" s="13">
        <f t="shared" si="1"/>
        <v>5377581.25</v>
      </c>
    </row>
    <row r="97" spans="1:9" ht="15.75" x14ac:dyDescent="0.25">
      <c r="A97" s="8"/>
      <c r="B97" s="8"/>
      <c r="C97" s="9"/>
      <c r="D97" s="12" t="s">
        <v>93</v>
      </c>
      <c r="E97" s="14">
        <v>5415746.1600000001</v>
      </c>
      <c r="F97" s="14">
        <v>4697899.5264749657</v>
      </c>
      <c r="G97" s="14">
        <v>314425.58</v>
      </c>
      <c r="H97" s="14">
        <v>0</v>
      </c>
      <c r="I97" s="13">
        <f t="shared" si="1"/>
        <v>10428071.266474966</v>
      </c>
    </row>
    <row r="98" spans="1:9" ht="15.75" x14ac:dyDescent="0.25">
      <c r="A98" s="8"/>
      <c r="B98" s="8"/>
      <c r="C98" s="9"/>
      <c r="D98" s="12" t="s">
        <v>94</v>
      </c>
      <c r="E98" s="14">
        <v>22632109.679999996</v>
      </c>
      <c r="F98" s="14">
        <v>6179522.1826288067</v>
      </c>
      <c r="G98" s="14">
        <v>2681157.1099999994</v>
      </c>
      <c r="H98" s="14">
        <v>0</v>
      </c>
      <c r="I98" s="13">
        <f t="shared" si="1"/>
        <v>31492788.972628802</v>
      </c>
    </row>
    <row r="99" spans="1:9" ht="15.75" x14ac:dyDescent="0.25">
      <c r="A99" s="8"/>
      <c r="B99" s="8"/>
      <c r="C99" s="9"/>
      <c r="D99" s="12" t="s">
        <v>95</v>
      </c>
      <c r="E99" s="14">
        <v>27889237.140000001</v>
      </c>
      <c r="F99" s="14">
        <v>11775121.558257258</v>
      </c>
      <c r="G99" s="14">
        <v>1126798.5700000003</v>
      </c>
      <c r="H99" s="14">
        <v>0</v>
      </c>
      <c r="I99" s="13">
        <f t="shared" si="1"/>
        <v>40791157.26825726</v>
      </c>
    </row>
    <row r="100" spans="1:9" ht="15.75" x14ac:dyDescent="0.25">
      <c r="A100" s="8"/>
      <c r="B100" s="8"/>
      <c r="C100" s="9"/>
      <c r="D100" s="12" t="s">
        <v>96</v>
      </c>
      <c r="E100" s="14">
        <v>28043643.150000002</v>
      </c>
      <c r="F100" s="14">
        <v>12104172.034997512</v>
      </c>
      <c r="G100" s="14">
        <v>2164274.85</v>
      </c>
      <c r="H100" s="14">
        <v>0</v>
      </c>
      <c r="I100" s="13">
        <f t="shared" si="1"/>
        <v>42312090.034997515</v>
      </c>
    </row>
    <row r="101" spans="1:9" ht="15.75" x14ac:dyDescent="0.25">
      <c r="A101" s="8"/>
      <c r="B101" s="8"/>
      <c r="C101" s="9"/>
      <c r="D101" s="12" t="s">
        <v>97</v>
      </c>
      <c r="E101" s="14">
        <v>681288.41</v>
      </c>
      <c r="F101" s="14">
        <v>15809149.061505439</v>
      </c>
      <c r="G101" s="14">
        <v>88900.93</v>
      </c>
      <c r="H101" s="14">
        <v>0</v>
      </c>
      <c r="I101" s="13">
        <f t="shared" si="1"/>
        <v>16579338.401505439</v>
      </c>
    </row>
    <row r="102" spans="1:9" ht="15.75" x14ac:dyDescent="0.25">
      <c r="A102" s="8"/>
      <c r="B102" s="8"/>
      <c r="C102" s="9"/>
      <c r="D102" s="12" t="s">
        <v>98</v>
      </c>
      <c r="E102" s="14">
        <v>29586013.140000001</v>
      </c>
      <c r="F102" s="14">
        <v>6841404.1818051506</v>
      </c>
      <c r="G102" s="14">
        <v>1140973.81</v>
      </c>
      <c r="H102" s="14">
        <v>0</v>
      </c>
      <c r="I102" s="13">
        <f t="shared" si="1"/>
        <v>37568391.131805152</v>
      </c>
    </row>
    <row r="103" spans="1:9" ht="15.75" x14ac:dyDescent="0.25">
      <c r="A103" s="8"/>
      <c r="B103" s="8"/>
      <c r="C103" s="9"/>
      <c r="D103" s="12" t="s">
        <v>99</v>
      </c>
      <c r="E103" s="14">
        <v>8303111.2199999997</v>
      </c>
      <c r="F103" s="14">
        <v>2158728.3393160501</v>
      </c>
      <c r="G103" s="14">
        <v>329431.01</v>
      </c>
      <c r="H103" s="14">
        <v>0</v>
      </c>
      <c r="I103" s="13">
        <f t="shared" si="1"/>
        <v>10791270.56931605</v>
      </c>
    </row>
    <row r="104" spans="1:9" ht="15.75" x14ac:dyDescent="0.25">
      <c r="A104" s="8"/>
      <c r="B104" s="8"/>
      <c r="C104" s="9"/>
      <c r="D104" s="12" t="s">
        <v>100</v>
      </c>
      <c r="E104" s="14">
        <v>47321639.130000025</v>
      </c>
      <c r="F104" s="14">
        <v>3944725.1739846882</v>
      </c>
      <c r="G104" s="14">
        <v>2760881.43</v>
      </c>
      <c r="H104" s="14">
        <v>0</v>
      </c>
      <c r="I104" s="13">
        <f t="shared" si="1"/>
        <v>54027245.733984716</v>
      </c>
    </row>
    <row r="105" spans="1:9" ht="15.75" x14ac:dyDescent="0.25">
      <c r="A105" s="8"/>
      <c r="B105" s="8"/>
      <c r="C105" s="9"/>
      <c r="D105" s="12" t="s">
        <v>101</v>
      </c>
      <c r="E105" s="14">
        <v>6407939.6399999987</v>
      </c>
      <c r="F105" s="14">
        <v>5858083.5478814859</v>
      </c>
      <c r="G105" s="14">
        <v>22775.03</v>
      </c>
      <c r="H105" s="14">
        <v>0</v>
      </c>
      <c r="I105" s="13">
        <f t="shared" si="1"/>
        <v>12288798.217881484</v>
      </c>
    </row>
    <row r="106" spans="1:9" ht="15.75" x14ac:dyDescent="0.25">
      <c r="A106" s="8"/>
      <c r="B106" s="8"/>
      <c r="C106" s="9"/>
      <c r="D106" s="12" t="s">
        <v>102</v>
      </c>
      <c r="E106" s="14">
        <v>7473046.3200000003</v>
      </c>
      <c r="F106" s="14">
        <v>361388.36755990377</v>
      </c>
      <c r="G106" s="14">
        <v>3858579.95</v>
      </c>
      <c r="H106" s="14">
        <v>0</v>
      </c>
      <c r="I106" s="13">
        <f t="shared" si="1"/>
        <v>11693014.637559906</v>
      </c>
    </row>
    <row r="107" spans="1:9" ht="15.75" x14ac:dyDescent="0.25">
      <c r="A107" s="8"/>
      <c r="B107" s="8"/>
      <c r="C107" s="9"/>
      <c r="D107" s="12" t="s">
        <v>103</v>
      </c>
      <c r="E107" s="14">
        <v>8402.7000000000007</v>
      </c>
      <c r="F107" s="14">
        <v>0</v>
      </c>
      <c r="G107" s="14">
        <v>871683.4800000001</v>
      </c>
      <c r="H107" s="14">
        <v>0</v>
      </c>
      <c r="I107" s="13">
        <f t="shared" si="1"/>
        <v>880086.18</v>
      </c>
    </row>
    <row r="108" spans="1:9" ht="15.75" x14ac:dyDescent="0.25">
      <c r="A108" s="8"/>
      <c r="B108" s="8"/>
      <c r="C108" s="9"/>
      <c r="D108" s="12" t="s">
        <v>104</v>
      </c>
      <c r="E108" s="14">
        <v>931587.81000000029</v>
      </c>
      <c r="F108" s="14">
        <v>0</v>
      </c>
      <c r="G108" s="14">
        <v>649188.78999999992</v>
      </c>
      <c r="H108" s="14">
        <v>0</v>
      </c>
      <c r="I108" s="13">
        <f t="shared" si="1"/>
        <v>1580776.6</v>
      </c>
    </row>
    <row r="109" spans="1:9" ht="15.75" x14ac:dyDescent="0.25">
      <c r="A109" s="8"/>
      <c r="B109" s="8"/>
      <c r="C109" s="9"/>
      <c r="D109" s="12" t="s">
        <v>105</v>
      </c>
      <c r="E109" s="14">
        <v>3248658.27</v>
      </c>
      <c r="F109" s="14">
        <v>9696292.6845663711</v>
      </c>
      <c r="G109" s="14">
        <v>286594.20999999996</v>
      </c>
      <c r="H109" s="14">
        <v>0</v>
      </c>
      <c r="I109" s="13">
        <f t="shared" si="1"/>
        <v>13231545.164566372</v>
      </c>
    </row>
    <row r="110" spans="1:9" ht="15.75" x14ac:dyDescent="0.25">
      <c r="A110" s="8"/>
      <c r="B110" s="8"/>
      <c r="C110" s="9"/>
      <c r="D110" s="12" t="s">
        <v>106</v>
      </c>
      <c r="E110" s="14">
        <v>3545448.0599999996</v>
      </c>
      <c r="F110" s="14">
        <v>2603797.218196956</v>
      </c>
      <c r="G110" s="14">
        <v>292659.57</v>
      </c>
      <c r="H110" s="14">
        <v>0</v>
      </c>
      <c r="I110" s="13">
        <f t="shared" si="1"/>
        <v>6441904.8481969554</v>
      </c>
    </row>
    <row r="111" spans="1:9" ht="15.75" x14ac:dyDescent="0.25">
      <c r="A111" s="8"/>
      <c r="B111" s="8"/>
      <c r="C111" s="9"/>
      <c r="D111" s="12" t="s">
        <v>107</v>
      </c>
      <c r="E111" s="14">
        <v>86528.87</v>
      </c>
      <c r="F111" s="14">
        <v>36118.936515485984</v>
      </c>
      <c r="G111" s="14">
        <v>5883198.3299999991</v>
      </c>
      <c r="H111" s="14">
        <v>0</v>
      </c>
      <c r="I111" s="13">
        <f t="shared" si="1"/>
        <v>6005846.1365154851</v>
      </c>
    </row>
    <row r="112" spans="1:9" ht="15.75" x14ac:dyDescent="0.25">
      <c r="A112" s="8"/>
      <c r="B112" s="8"/>
      <c r="C112" s="9"/>
      <c r="D112" s="12" t="s">
        <v>108</v>
      </c>
      <c r="E112" s="14">
        <v>11351824.859999998</v>
      </c>
      <c r="F112" s="14">
        <v>2472555.1320704375</v>
      </c>
      <c r="G112" s="14">
        <v>711586.21</v>
      </c>
      <c r="H112" s="14">
        <v>0</v>
      </c>
      <c r="I112" s="13">
        <f t="shared" si="1"/>
        <v>14535966.202070434</v>
      </c>
    </row>
    <row r="113" spans="1:9" ht="15.75" x14ac:dyDescent="0.25">
      <c r="A113" s="8"/>
      <c r="B113" s="8"/>
      <c r="C113" s="9"/>
      <c r="D113" s="12" t="s">
        <v>109</v>
      </c>
      <c r="E113" s="14">
        <v>9915591.3900000006</v>
      </c>
      <c r="F113" s="14">
        <v>5953206.6974925175</v>
      </c>
      <c r="G113" s="14">
        <v>411570.48000000004</v>
      </c>
      <c r="H113" s="14">
        <v>0</v>
      </c>
      <c r="I113" s="13">
        <f t="shared" si="1"/>
        <v>16280368.567492519</v>
      </c>
    </row>
    <row r="114" spans="1:9" ht="15.75" x14ac:dyDescent="0.25">
      <c r="A114" s="8"/>
      <c r="B114" s="8"/>
      <c r="C114" s="9"/>
      <c r="D114" s="12" t="s">
        <v>110</v>
      </c>
      <c r="E114" s="14">
        <v>21149954.620000001</v>
      </c>
      <c r="F114" s="14">
        <v>6828120.7712684637</v>
      </c>
      <c r="G114" s="14">
        <v>633899.94000000006</v>
      </c>
      <c r="H114" s="14">
        <v>0</v>
      </c>
      <c r="I114" s="13">
        <f t="shared" si="1"/>
        <v>28611975.331268467</v>
      </c>
    </row>
    <row r="115" spans="1:9" ht="15.75" x14ac:dyDescent="0.25">
      <c r="A115" s="8"/>
      <c r="B115" s="8"/>
      <c r="C115" s="9"/>
      <c r="D115" s="12" t="s">
        <v>111</v>
      </c>
      <c r="E115" s="14">
        <v>36065468.549999997</v>
      </c>
      <c r="F115" s="14">
        <v>3376026.0509701977</v>
      </c>
      <c r="G115" s="14">
        <v>1114009.2800000003</v>
      </c>
      <c r="H115" s="14">
        <v>0</v>
      </c>
      <c r="I115" s="13">
        <f t="shared" si="1"/>
        <v>40555503.880970195</v>
      </c>
    </row>
    <row r="116" spans="1:9" ht="15.75" x14ac:dyDescent="0.25">
      <c r="A116" s="8"/>
      <c r="B116" s="8"/>
      <c r="C116" s="9"/>
      <c r="D116" s="12" t="s">
        <v>112</v>
      </c>
      <c r="E116" s="14">
        <v>6353082.9800000004</v>
      </c>
      <c r="F116" s="14">
        <v>4384072.7337205783</v>
      </c>
      <c r="G116" s="14">
        <v>240450.30000000002</v>
      </c>
      <c r="H116" s="14">
        <v>0</v>
      </c>
      <c r="I116" s="13">
        <f t="shared" si="1"/>
        <v>10977606.013720579</v>
      </c>
    </row>
    <row r="117" spans="1:9" ht="15.75" x14ac:dyDescent="0.25">
      <c r="A117" s="8"/>
      <c r="B117" s="8"/>
      <c r="C117" s="9"/>
      <c r="D117" s="12" t="s">
        <v>113</v>
      </c>
      <c r="E117" s="14">
        <v>7146737.6699999999</v>
      </c>
      <c r="F117" s="14">
        <v>3385528.4158110488</v>
      </c>
      <c r="G117" s="14">
        <v>618229.70000000007</v>
      </c>
      <c r="H117" s="14">
        <v>0</v>
      </c>
      <c r="I117" s="13">
        <f t="shared" si="1"/>
        <v>11150495.785811048</v>
      </c>
    </row>
    <row r="118" spans="1:9" ht="15.75" x14ac:dyDescent="0.25">
      <c r="A118" s="8"/>
      <c r="B118" s="8"/>
      <c r="C118" s="9"/>
      <c r="D118" s="12" t="s">
        <v>114</v>
      </c>
      <c r="E118" s="14">
        <v>11773447.819999998</v>
      </c>
      <c r="F118" s="14">
        <v>5287493.902019076</v>
      </c>
      <c r="G118" s="14">
        <v>828147.16</v>
      </c>
      <c r="H118" s="14">
        <v>0</v>
      </c>
      <c r="I118" s="13">
        <f t="shared" si="1"/>
        <v>17889088.882019076</v>
      </c>
    </row>
    <row r="119" spans="1:9" ht="15.75" x14ac:dyDescent="0.25">
      <c r="A119" s="8"/>
      <c r="B119" s="8"/>
      <c r="C119" s="9"/>
      <c r="D119" s="12" t="s">
        <v>115</v>
      </c>
      <c r="E119" s="14">
        <v>2638914.4299999997</v>
      </c>
      <c r="F119" s="14">
        <v>513525.70621604176</v>
      </c>
      <c r="G119" s="14">
        <v>338851.64</v>
      </c>
      <c r="H119" s="14">
        <v>0</v>
      </c>
      <c r="I119" s="13">
        <f t="shared" si="1"/>
        <v>3491291.7762160418</v>
      </c>
    </row>
    <row r="120" spans="1:9" ht="15.75" x14ac:dyDescent="0.25">
      <c r="A120" s="8"/>
      <c r="B120" s="8"/>
      <c r="C120" s="9"/>
      <c r="D120" s="12" t="s">
        <v>116</v>
      </c>
      <c r="E120" s="14">
        <v>29470851.460000001</v>
      </c>
      <c r="F120" s="14">
        <v>2244349.124086231</v>
      </c>
      <c r="G120" s="14">
        <v>765454.2699999999</v>
      </c>
      <c r="H120" s="14">
        <v>0</v>
      </c>
      <c r="I120" s="13">
        <f t="shared" si="1"/>
        <v>32480654.854086231</v>
      </c>
    </row>
    <row r="121" spans="1:9" ht="15.75" x14ac:dyDescent="0.25">
      <c r="A121" s="8"/>
      <c r="B121" s="8"/>
      <c r="C121" s="9"/>
      <c r="D121" s="12" t="s">
        <v>117</v>
      </c>
      <c r="E121" s="14">
        <v>11704954.48</v>
      </c>
      <c r="F121" s="14">
        <v>3442592.3554574153</v>
      </c>
      <c r="G121" s="14">
        <v>605227.99</v>
      </c>
      <c r="H121" s="14">
        <v>0</v>
      </c>
      <c r="I121" s="13">
        <f t="shared" si="1"/>
        <v>15752774.825457416</v>
      </c>
    </row>
    <row r="122" spans="1:9" ht="15.75" x14ac:dyDescent="0.25">
      <c r="A122" s="8"/>
      <c r="B122" s="8"/>
      <c r="C122" s="9"/>
      <c r="D122" s="12" t="s">
        <v>118</v>
      </c>
      <c r="E122" s="14">
        <v>11188007.780000001</v>
      </c>
      <c r="F122" s="14">
        <v>2455440.9252366535</v>
      </c>
      <c r="G122" s="14">
        <v>716511.28</v>
      </c>
      <c r="H122" s="14">
        <v>0</v>
      </c>
      <c r="I122" s="13">
        <f t="shared" si="1"/>
        <v>14359959.985236654</v>
      </c>
    </row>
    <row r="123" spans="1:9" ht="15.75" x14ac:dyDescent="0.25">
      <c r="A123" s="8"/>
      <c r="B123" s="8"/>
      <c r="C123" s="9"/>
      <c r="D123" s="12" t="s">
        <v>119</v>
      </c>
      <c r="E123" s="14">
        <v>13259321.350000001</v>
      </c>
      <c r="F123" s="14">
        <v>4511484.0235499991</v>
      </c>
      <c r="G123" s="14">
        <v>281375.87000000005</v>
      </c>
      <c r="H123" s="14">
        <v>0</v>
      </c>
      <c r="I123" s="13">
        <f t="shared" si="1"/>
        <v>18052181.243550003</v>
      </c>
    </row>
    <row r="124" spans="1:9" ht="15.75" x14ac:dyDescent="0.25">
      <c r="A124" s="8"/>
      <c r="B124" s="8"/>
      <c r="C124" s="9"/>
      <c r="D124" s="12" t="s">
        <v>120</v>
      </c>
      <c r="E124" s="14">
        <v>247680.89999999997</v>
      </c>
      <c r="F124" s="14">
        <v>0</v>
      </c>
      <c r="G124" s="14">
        <v>2164923.7800000003</v>
      </c>
      <c r="H124" s="14">
        <v>51010795.319999993</v>
      </c>
      <c r="I124" s="13">
        <f t="shared" si="1"/>
        <v>53423399.999999993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7447649.879999999</v>
      </c>
      <c r="H125" s="14">
        <v>9029911.459999999</v>
      </c>
      <c r="I125" s="13">
        <f t="shared" si="1"/>
        <v>16477561.339999998</v>
      </c>
    </row>
    <row r="126" spans="1:9" ht="15.75" x14ac:dyDescent="0.25">
      <c r="A126" s="8"/>
      <c r="B126" s="8"/>
      <c r="C126" s="9"/>
      <c r="D126" s="12" t="s">
        <v>122</v>
      </c>
      <c r="E126" s="14">
        <v>40201.22</v>
      </c>
      <c r="F126" s="14">
        <v>0</v>
      </c>
      <c r="G126" s="14">
        <v>2610135.2600000002</v>
      </c>
      <c r="H126" s="14">
        <v>0</v>
      </c>
      <c r="I126" s="13">
        <f t="shared" si="1"/>
        <v>2650336.4800000004</v>
      </c>
    </row>
    <row r="127" spans="1:9" ht="15.75" x14ac:dyDescent="0.25">
      <c r="A127" s="8"/>
      <c r="B127" s="8"/>
      <c r="C127" s="9"/>
      <c r="D127" s="12" t="s">
        <v>123</v>
      </c>
      <c r="E127" s="14">
        <v>7803492.6799999997</v>
      </c>
      <c r="F127" s="14">
        <v>950982.74310401443</v>
      </c>
      <c r="G127" s="14">
        <v>19926591.030000001</v>
      </c>
      <c r="H127" s="14">
        <v>0</v>
      </c>
      <c r="I127" s="13">
        <f t="shared" si="1"/>
        <v>28681066.453104015</v>
      </c>
    </row>
    <row r="128" spans="1:9" ht="15.75" x14ac:dyDescent="0.25">
      <c r="A128" s="8"/>
      <c r="B128" s="8"/>
      <c r="C128" s="9"/>
      <c r="D128" s="12" t="s">
        <v>124</v>
      </c>
      <c r="E128" s="14">
        <v>17420510.440000001</v>
      </c>
      <c r="F128" s="14">
        <v>2719815.6203376078</v>
      </c>
      <c r="G128" s="14">
        <v>956648.76</v>
      </c>
      <c r="H128" s="14">
        <v>0</v>
      </c>
      <c r="I128" s="13">
        <f t="shared" si="1"/>
        <v>21096974.820337612</v>
      </c>
    </row>
    <row r="129" spans="1:9" ht="15.75" x14ac:dyDescent="0.25">
      <c r="A129" s="8"/>
      <c r="B129" s="8"/>
      <c r="C129" s="9"/>
      <c r="D129" s="12" t="s">
        <v>125</v>
      </c>
      <c r="E129" s="14">
        <v>6023294.959999999</v>
      </c>
      <c r="F129" s="14">
        <v>1436001.354797503</v>
      </c>
      <c r="G129" s="14">
        <v>598681.32999999996</v>
      </c>
      <c r="H129" s="14">
        <v>0</v>
      </c>
      <c r="I129" s="13">
        <f t="shared" si="1"/>
        <v>8057977.6447975021</v>
      </c>
    </row>
    <row r="130" spans="1:9" ht="15.75" x14ac:dyDescent="0.25">
      <c r="A130" s="8"/>
      <c r="B130" s="8"/>
      <c r="C130" s="9"/>
      <c r="D130" s="12" t="s">
        <v>126</v>
      </c>
      <c r="E130" s="14">
        <v>3956768.0100000002</v>
      </c>
      <c r="F130" s="14">
        <v>2529619.071716805</v>
      </c>
      <c r="G130" s="14">
        <v>244365.11</v>
      </c>
      <c r="H130" s="14">
        <v>0</v>
      </c>
      <c r="I130" s="13">
        <f t="shared" si="1"/>
        <v>6730752.191716806</v>
      </c>
    </row>
    <row r="131" spans="1:9" ht="15.75" x14ac:dyDescent="0.25">
      <c r="A131" s="8"/>
      <c r="B131" s="8"/>
      <c r="C131" s="9"/>
      <c r="D131" s="12" t="s">
        <v>127</v>
      </c>
      <c r="E131" s="14">
        <v>38470671.949999988</v>
      </c>
      <c r="F131" s="14">
        <v>13825493.08802685</v>
      </c>
      <c r="G131" s="14">
        <v>3868747.9099999997</v>
      </c>
      <c r="H131" s="14">
        <v>0</v>
      </c>
      <c r="I131" s="13">
        <f t="shared" si="1"/>
        <v>56164912.948026836</v>
      </c>
    </row>
    <row r="132" spans="1:9" ht="15.75" x14ac:dyDescent="0.25">
      <c r="A132" s="8"/>
      <c r="B132" s="8"/>
      <c r="C132" s="9"/>
      <c r="D132" s="12" t="s">
        <v>128</v>
      </c>
      <c r="E132" s="14">
        <v>7877951.4700000007</v>
      </c>
      <c r="F132" s="14">
        <v>8482825.7692093235</v>
      </c>
      <c r="G132" s="14">
        <v>102755.24999999999</v>
      </c>
      <c r="H132" s="14">
        <v>0</v>
      </c>
      <c r="I132" s="13">
        <f t="shared" si="1"/>
        <v>16463532.489209324</v>
      </c>
    </row>
    <row r="133" spans="1:9" ht="15.75" x14ac:dyDescent="0.25">
      <c r="A133" s="8"/>
      <c r="B133" s="8"/>
      <c r="C133" s="9"/>
      <c r="D133" s="12" t="s">
        <v>129</v>
      </c>
      <c r="E133" s="14">
        <v>5187407.3600000013</v>
      </c>
      <c r="F133" s="14">
        <v>0</v>
      </c>
      <c r="G133" s="14">
        <v>5982609.1800000006</v>
      </c>
      <c r="H133" s="14">
        <v>29369177.239999998</v>
      </c>
      <c r="I133" s="13">
        <f t="shared" si="1"/>
        <v>40539193.780000001</v>
      </c>
    </row>
    <row r="134" spans="1:9" ht="15.75" x14ac:dyDescent="0.25">
      <c r="A134" s="8"/>
      <c r="B134" s="8"/>
      <c r="C134" s="9"/>
      <c r="D134" s="12" t="s">
        <v>130</v>
      </c>
      <c r="E134" s="14">
        <v>1162402.25</v>
      </c>
      <c r="F134" s="14">
        <v>418452.30720627081</v>
      </c>
      <c r="G134" s="14">
        <v>17905.760000000002</v>
      </c>
      <c r="H134" s="14">
        <v>0</v>
      </c>
      <c r="I134" s="13">
        <f t="shared" si="1"/>
        <v>1598760.3172062708</v>
      </c>
    </row>
    <row r="135" spans="1:9" ht="15.75" x14ac:dyDescent="0.25">
      <c r="A135" s="8"/>
      <c r="B135" s="8"/>
      <c r="C135" s="9"/>
      <c r="D135" s="12" t="s">
        <v>131</v>
      </c>
      <c r="E135" s="14">
        <v>4534662.2100000009</v>
      </c>
      <c r="F135" s="14">
        <v>5287493.902019076</v>
      </c>
      <c r="G135" s="14">
        <v>263705.88999999996</v>
      </c>
      <c r="H135" s="14">
        <v>0</v>
      </c>
      <c r="I135" s="13">
        <f t="shared" si="1"/>
        <v>10085862.002019078</v>
      </c>
    </row>
    <row r="136" spans="1:9" ht="15.75" x14ac:dyDescent="0.25">
      <c r="A136" s="8"/>
      <c r="B136" s="8"/>
      <c r="C136" s="9"/>
      <c r="D136" s="12" t="s">
        <v>132</v>
      </c>
      <c r="E136" s="14">
        <v>31303761.370000001</v>
      </c>
      <c r="F136" s="14">
        <v>6390663.7343804911</v>
      </c>
      <c r="G136" s="14">
        <v>1930728.0999999999</v>
      </c>
      <c r="H136" s="14">
        <v>0</v>
      </c>
      <c r="I136" s="13">
        <f t="shared" si="1"/>
        <v>39625153.20438049</v>
      </c>
    </row>
    <row r="137" spans="1:9" ht="15.75" x14ac:dyDescent="0.25">
      <c r="A137" s="8"/>
      <c r="B137" s="8"/>
      <c r="C137" s="9"/>
      <c r="D137" s="12" t="s">
        <v>133</v>
      </c>
      <c r="E137" s="14">
        <v>33242430.380000003</v>
      </c>
      <c r="F137" s="14">
        <v>10736677.258136405</v>
      </c>
      <c r="G137" s="14">
        <v>3294098.9899999998</v>
      </c>
      <c r="H137" s="14">
        <v>0</v>
      </c>
      <c r="I137" s="13">
        <f t="shared" si="1"/>
        <v>47273206.628136411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3468243.4600000004</v>
      </c>
      <c r="H138" s="14">
        <v>0</v>
      </c>
      <c r="I138" s="13">
        <f t="shared" ref="I138:I144" si="2">SUM(E138:H138)</f>
        <v>3468243.4600000004</v>
      </c>
    </row>
    <row r="139" spans="1:9" ht="15.75" x14ac:dyDescent="0.25">
      <c r="A139" s="8"/>
      <c r="B139" s="8"/>
      <c r="C139" s="9"/>
      <c r="D139" s="12" t="s">
        <v>135</v>
      </c>
      <c r="E139" s="14">
        <v>4221780.9700000007</v>
      </c>
      <c r="F139" s="14">
        <v>1504458.1821326395</v>
      </c>
      <c r="G139" s="14">
        <v>380754.81</v>
      </c>
      <c r="H139" s="14">
        <v>0</v>
      </c>
      <c r="I139" s="13">
        <f t="shared" si="2"/>
        <v>6106993.9621326393</v>
      </c>
    </row>
    <row r="140" spans="1:9" ht="15.75" x14ac:dyDescent="0.25">
      <c r="A140" s="8"/>
      <c r="B140" s="8"/>
      <c r="C140" s="9"/>
      <c r="D140" s="12" t="s">
        <v>136</v>
      </c>
      <c r="E140" s="14">
        <v>20407618.209999997</v>
      </c>
      <c r="F140" s="14">
        <v>10670110.953649186</v>
      </c>
      <c r="G140" s="14">
        <v>1056031.74</v>
      </c>
      <c r="H140" s="14">
        <v>0</v>
      </c>
      <c r="I140" s="13">
        <f t="shared" si="2"/>
        <v>32133760.903649181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4284169.330000001</v>
      </c>
      <c r="H141" s="14">
        <v>2822475.73</v>
      </c>
      <c r="I141" s="13">
        <f t="shared" si="2"/>
        <v>7106645.0600000005</v>
      </c>
    </row>
    <row r="142" spans="1:9" ht="15.75" x14ac:dyDescent="0.25">
      <c r="A142" s="8"/>
      <c r="B142" s="8"/>
      <c r="C142" s="9"/>
      <c r="D142" s="12" t="s">
        <v>138</v>
      </c>
      <c r="E142" s="14">
        <v>112299.72</v>
      </c>
      <c r="F142" s="14">
        <v>0</v>
      </c>
      <c r="G142" s="14">
        <v>899818.25</v>
      </c>
      <c r="H142" s="14">
        <v>0</v>
      </c>
      <c r="I142" s="13">
        <f t="shared" si="2"/>
        <v>1012117.97</v>
      </c>
    </row>
    <row r="143" spans="1:9" ht="15.75" x14ac:dyDescent="0.25">
      <c r="A143" s="8"/>
      <c r="B143" s="8"/>
      <c r="C143" s="9"/>
      <c r="D143" s="12" t="s">
        <v>139</v>
      </c>
      <c r="E143" s="14">
        <v>1696842.5899999999</v>
      </c>
      <c r="F143" s="14">
        <v>9861763.1843604594</v>
      </c>
      <c r="G143" s="14">
        <v>179025.15000000002</v>
      </c>
      <c r="H143" s="14">
        <v>0</v>
      </c>
      <c r="I143" s="13">
        <f t="shared" si="2"/>
        <v>11737630.92436046</v>
      </c>
    </row>
    <row r="144" spans="1:9" ht="15.75" x14ac:dyDescent="0.25">
      <c r="A144" s="8"/>
      <c r="B144" s="8"/>
      <c r="C144" s="9"/>
      <c r="D144" s="12" t="s">
        <v>140</v>
      </c>
      <c r="E144" s="14">
        <v>9428130.4299999997</v>
      </c>
      <c r="F144" s="14">
        <v>1198243.2313711843</v>
      </c>
      <c r="G144" s="14">
        <v>1018558.35</v>
      </c>
      <c r="H144" s="14">
        <v>0</v>
      </c>
      <c r="I144" s="13">
        <f t="shared" si="2"/>
        <v>11644932.011371184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1501692925.6699996</v>
      </c>
      <c r="F145" s="22">
        <f>SUM(F10:F144)</f>
        <v>497483226.83462226</v>
      </c>
      <c r="G145" s="22">
        <f>SUM(G10:G144)</f>
        <v>246434534.18000004</v>
      </c>
      <c r="H145" s="22">
        <f>SUM(H10:H144)</f>
        <v>92232359.75</v>
      </c>
      <c r="I145" s="22">
        <f>SUM(I10:I144)</f>
        <v>2337843046.4346218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158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588882.15</v>
      </c>
      <c r="F10" s="14">
        <v>4079401.6303177029</v>
      </c>
      <c r="G10" s="14">
        <v>311265.19</v>
      </c>
      <c r="H10" s="14">
        <v>0</v>
      </c>
      <c r="I10" s="13">
        <f t="shared" ref="I10:I73" si="0">SUM(E10:H10)</f>
        <v>4979548.9703177037</v>
      </c>
    </row>
    <row r="11" spans="1:9" ht="15.75" x14ac:dyDescent="0.25">
      <c r="A11" s="8"/>
      <c r="B11" s="8"/>
      <c r="C11" s="9"/>
      <c r="D11" s="12" t="s">
        <v>7</v>
      </c>
      <c r="E11" s="14">
        <v>1126292.49</v>
      </c>
      <c r="F11" s="14">
        <v>2289674.427781824</v>
      </c>
      <c r="G11" s="14">
        <v>379707.11999999994</v>
      </c>
      <c r="H11" s="14">
        <v>0</v>
      </c>
      <c r="I11" s="13">
        <f t="shared" si="0"/>
        <v>3795674.0377818244</v>
      </c>
    </row>
    <row r="12" spans="1:9" ht="15.75" x14ac:dyDescent="0.25">
      <c r="A12" s="8"/>
      <c r="B12" s="8"/>
      <c r="C12" s="9"/>
      <c r="D12" s="12" t="s">
        <v>8</v>
      </c>
      <c r="E12" s="14">
        <v>620123.53</v>
      </c>
      <c r="F12" s="14">
        <v>830079.7386575581</v>
      </c>
      <c r="G12" s="14">
        <v>416088.48999999993</v>
      </c>
      <c r="H12" s="14">
        <v>0</v>
      </c>
      <c r="I12" s="13">
        <f t="shared" si="0"/>
        <v>1866291.7586575581</v>
      </c>
    </row>
    <row r="13" spans="1:9" ht="15.75" x14ac:dyDescent="0.25">
      <c r="A13" s="8"/>
      <c r="B13" s="8"/>
      <c r="C13" s="9"/>
      <c r="D13" s="12" t="s">
        <v>9</v>
      </c>
      <c r="E13" s="14">
        <v>200360.69999999998</v>
      </c>
      <c r="F13" s="14">
        <v>21961.604969442</v>
      </c>
      <c r="G13" s="14">
        <v>3698072.75</v>
      </c>
      <c r="H13" s="14">
        <v>0</v>
      </c>
      <c r="I13" s="13">
        <f t="shared" si="0"/>
        <v>3920395.0549694421</v>
      </c>
    </row>
    <row r="14" spans="1:9" ht="15.75" x14ac:dyDescent="0.25">
      <c r="A14" s="8"/>
      <c r="B14" s="8"/>
      <c r="C14" s="9"/>
      <c r="D14" s="12" t="s">
        <v>10</v>
      </c>
      <c r="E14" s="14">
        <v>953085.27</v>
      </c>
      <c r="F14" s="14">
        <v>922310.82073062018</v>
      </c>
      <c r="G14" s="14">
        <v>634135.61</v>
      </c>
      <c r="H14" s="14">
        <v>0</v>
      </c>
      <c r="I14" s="13">
        <f t="shared" si="0"/>
        <v>2509531.70073062</v>
      </c>
    </row>
    <row r="15" spans="1:9" ht="15.75" x14ac:dyDescent="0.25">
      <c r="A15" s="8"/>
      <c r="B15" s="8"/>
      <c r="C15" s="9"/>
      <c r="D15" s="12" t="s">
        <v>11</v>
      </c>
      <c r="E15" s="14">
        <v>120038.92</v>
      </c>
      <c r="F15" s="14">
        <v>5131.3950582480011</v>
      </c>
      <c r="G15" s="14">
        <v>4046962.5</v>
      </c>
      <c r="H15" s="14">
        <v>0</v>
      </c>
      <c r="I15" s="13">
        <f t="shared" si="0"/>
        <v>4172132.8150582481</v>
      </c>
    </row>
    <row r="16" spans="1:9" ht="15.75" x14ac:dyDescent="0.25">
      <c r="A16" s="8"/>
      <c r="B16" s="8"/>
      <c r="C16" s="9"/>
      <c r="D16" s="12" t="s">
        <v>12</v>
      </c>
      <c r="E16" s="14">
        <v>1191585.1000000001</v>
      </c>
      <c r="F16" s="14">
        <v>4397816.1818798827</v>
      </c>
      <c r="G16" s="14">
        <v>771376.3400000002</v>
      </c>
      <c r="H16" s="14">
        <v>0</v>
      </c>
      <c r="I16" s="13">
        <f t="shared" si="0"/>
        <v>6360777.6218798831</v>
      </c>
    </row>
    <row r="17" spans="1:9" ht="15.75" x14ac:dyDescent="0.25">
      <c r="A17" s="8"/>
      <c r="B17" s="8"/>
      <c r="C17" s="9"/>
      <c r="D17" s="12" t="s">
        <v>13</v>
      </c>
      <c r="E17" s="14">
        <v>3545772.8099999996</v>
      </c>
      <c r="F17" s="14">
        <v>4194321.9032266745</v>
      </c>
      <c r="G17" s="14">
        <v>1136961.6599999999</v>
      </c>
      <c r="H17" s="14">
        <v>0</v>
      </c>
      <c r="I17" s="13">
        <f t="shared" si="0"/>
        <v>8877056.3732266743</v>
      </c>
    </row>
    <row r="18" spans="1:9" ht="15.75" x14ac:dyDescent="0.25">
      <c r="A18" s="8"/>
      <c r="B18" s="8"/>
      <c r="C18" s="9"/>
      <c r="D18" s="12" t="s">
        <v>14</v>
      </c>
      <c r="E18" s="14">
        <v>689335.12</v>
      </c>
      <c r="F18" s="14">
        <v>329404.92754514399</v>
      </c>
      <c r="G18" s="14">
        <v>6113493.9400000004</v>
      </c>
      <c r="H18" s="14">
        <v>0</v>
      </c>
      <c r="I18" s="13">
        <f t="shared" si="0"/>
        <v>7132233.9875451447</v>
      </c>
    </row>
    <row r="19" spans="1:9" ht="15.75" x14ac:dyDescent="0.25">
      <c r="A19" s="8"/>
      <c r="B19" s="8"/>
      <c r="C19" s="9"/>
      <c r="D19" s="12" t="s">
        <v>15</v>
      </c>
      <c r="E19" s="14">
        <v>2015061.33</v>
      </c>
      <c r="F19" s="14">
        <v>3143917.6760047143</v>
      </c>
      <c r="G19" s="14">
        <v>1516383.55</v>
      </c>
      <c r="H19" s="14">
        <v>0</v>
      </c>
      <c r="I19" s="13">
        <f t="shared" si="0"/>
        <v>6675362.5560047142</v>
      </c>
    </row>
    <row r="20" spans="1:9" ht="15.75" x14ac:dyDescent="0.25">
      <c r="A20" s="8"/>
      <c r="B20" s="8"/>
      <c r="C20" s="9"/>
      <c r="D20" s="12" t="s">
        <v>16</v>
      </c>
      <c r="E20" s="14">
        <v>1433340.2</v>
      </c>
      <c r="F20" s="14">
        <v>874002.94859644212</v>
      </c>
      <c r="G20" s="14">
        <v>552120</v>
      </c>
      <c r="H20" s="14">
        <v>0</v>
      </c>
      <c r="I20" s="13">
        <f t="shared" si="0"/>
        <v>2859463.1485964423</v>
      </c>
    </row>
    <row r="21" spans="1:9" ht="15.75" x14ac:dyDescent="0.25">
      <c r="A21" s="8"/>
      <c r="B21" s="8"/>
      <c r="C21" s="9"/>
      <c r="D21" s="12" t="s">
        <v>17</v>
      </c>
      <c r="E21" s="14">
        <v>1398552.94</v>
      </c>
      <c r="F21" s="14">
        <v>3760987.0787555221</v>
      </c>
      <c r="G21" s="14">
        <v>372038.99</v>
      </c>
      <c r="H21" s="14">
        <v>0</v>
      </c>
      <c r="I21" s="13">
        <f t="shared" si="0"/>
        <v>5531579.0087555218</v>
      </c>
    </row>
    <row r="22" spans="1:9" ht="15.75" x14ac:dyDescent="0.25">
      <c r="A22" s="8"/>
      <c r="B22" s="8"/>
      <c r="C22" s="9"/>
      <c r="D22" s="12" t="s">
        <v>18</v>
      </c>
      <c r="E22" s="14">
        <v>131028.99</v>
      </c>
      <c r="F22" s="14">
        <v>161045.38744374603</v>
      </c>
      <c r="G22" s="14">
        <v>2769707.8499999996</v>
      </c>
      <c r="H22" s="14">
        <v>0</v>
      </c>
      <c r="I22" s="13">
        <f t="shared" si="0"/>
        <v>3061782.2274437458</v>
      </c>
    </row>
    <row r="23" spans="1:9" ht="15.75" x14ac:dyDescent="0.25">
      <c r="A23" s="8"/>
      <c r="B23" s="8"/>
      <c r="C23" s="9"/>
      <c r="D23" s="12" t="s">
        <v>19</v>
      </c>
      <c r="E23" s="14">
        <v>131952.66999999998</v>
      </c>
      <c r="F23" s="14">
        <v>60025.833983610013</v>
      </c>
      <c r="G23" s="14">
        <v>711997.1</v>
      </c>
      <c r="H23" s="14">
        <v>0</v>
      </c>
      <c r="I23" s="13">
        <f t="shared" si="0"/>
        <v>903975.60398360994</v>
      </c>
    </row>
    <row r="24" spans="1:9" ht="15.75" x14ac:dyDescent="0.25">
      <c r="A24" s="8"/>
      <c r="B24" s="8"/>
      <c r="C24" s="9"/>
      <c r="D24" s="12" t="s">
        <v>20</v>
      </c>
      <c r="E24" s="14">
        <v>1395582.2699999998</v>
      </c>
      <c r="F24" s="14">
        <v>2306523.7846895042</v>
      </c>
      <c r="G24" s="14">
        <v>943577.52999999991</v>
      </c>
      <c r="H24" s="14">
        <v>0</v>
      </c>
      <c r="I24" s="13">
        <f t="shared" si="0"/>
        <v>4645683.5846895045</v>
      </c>
    </row>
    <row r="25" spans="1:9" ht="15.75" x14ac:dyDescent="0.25">
      <c r="A25" s="8"/>
      <c r="B25" s="8"/>
      <c r="C25" s="9"/>
      <c r="D25" s="12" t="s">
        <v>21</v>
      </c>
      <c r="E25" s="14">
        <v>937885.57000000018</v>
      </c>
      <c r="F25" s="14">
        <v>1712871.1586410743</v>
      </c>
      <c r="G25" s="14">
        <v>1171740.96</v>
      </c>
      <c r="H25" s="14">
        <v>0</v>
      </c>
      <c r="I25" s="13">
        <f t="shared" si="0"/>
        <v>3822497.6886410746</v>
      </c>
    </row>
    <row r="26" spans="1:9" ht="15.75" x14ac:dyDescent="0.25">
      <c r="A26" s="8"/>
      <c r="B26" s="8"/>
      <c r="C26" s="9"/>
      <c r="D26" s="12" t="s">
        <v>22</v>
      </c>
      <c r="E26" s="14">
        <v>799142.53999999992</v>
      </c>
      <c r="F26" s="14">
        <v>980881.48298129416</v>
      </c>
      <c r="G26" s="14">
        <v>393318.51</v>
      </c>
      <c r="H26" s="14">
        <v>0</v>
      </c>
      <c r="I26" s="13">
        <f t="shared" si="0"/>
        <v>2173342.5329812942</v>
      </c>
    </row>
    <row r="27" spans="1:9" ht="15.75" x14ac:dyDescent="0.25">
      <c r="A27" s="8"/>
      <c r="B27" s="8"/>
      <c r="C27" s="9"/>
      <c r="D27" s="12" t="s">
        <v>23</v>
      </c>
      <c r="E27" s="14">
        <v>734974.13000000012</v>
      </c>
      <c r="F27" s="14">
        <v>168359.54010139799</v>
      </c>
      <c r="G27" s="14">
        <v>1290000.4500000002</v>
      </c>
      <c r="H27" s="14">
        <v>0</v>
      </c>
      <c r="I27" s="13">
        <f t="shared" si="0"/>
        <v>2193334.1201013983</v>
      </c>
    </row>
    <row r="28" spans="1:9" ht="15.75" x14ac:dyDescent="0.25">
      <c r="A28" s="8"/>
      <c r="B28" s="8"/>
      <c r="C28" s="9"/>
      <c r="D28" s="12" t="s">
        <v>24</v>
      </c>
      <c r="E28" s="14">
        <v>1173477.1699999997</v>
      </c>
      <c r="F28" s="14">
        <v>797874.49056810618</v>
      </c>
      <c r="G28" s="14">
        <v>754855.64</v>
      </c>
      <c r="H28" s="14">
        <v>0</v>
      </c>
      <c r="I28" s="13">
        <f t="shared" si="0"/>
        <v>2726207.3005681061</v>
      </c>
    </row>
    <row r="29" spans="1:9" ht="15.75" x14ac:dyDescent="0.25">
      <c r="A29" s="8"/>
      <c r="B29" s="8"/>
      <c r="C29" s="9"/>
      <c r="D29" s="12" t="s">
        <v>25</v>
      </c>
      <c r="E29" s="14">
        <v>1575801.21</v>
      </c>
      <c r="F29" s="14">
        <v>446507.95805352007</v>
      </c>
      <c r="G29" s="14">
        <v>307003.78000000009</v>
      </c>
      <c r="H29" s="14">
        <v>0</v>
      </c>
      <c r="I29" s="13">
        <f t="shared" si="0"/>
        <v>2329312.9480535202</v>
      </c>
    </row>
    <row r="30" spans="1:9" ht="15.75" x14ac:dyDescent="0.25">
      <c r="A30" s="8"/>
      <c r="B30" s="8"/>
      <c r="C30" s="9"/>
      <c r="D30" s="12" t="s">
        <v>26</v>
      </c>
      <c r="E30" s="14">
        <v>1442791.14</v>
      </c>
      <c r="F30" s="14">
        <v>2408270.9240161078</v>
      </c>
      <c r="G30" s="14">
        <v>941682.4099999998</v>
      </c>
      <c r="H30" s="14">
        <v>0</v>
      </c>
      <c r="I30" s="13">
        <f t="shared" si="0"/>
        <v>4792744.4740161076</v>
      </c>
    </row>
    <row r="31" spans="1:9" ht="15.75" x14ac:dyDescent="0.25">
      <c r="A31" s="8"/>
      <c r="B31" s="8"/>
      <c r="C31" s="9"/>
      <c r="D31" s="12" t="s">
        <v>27</v>
      </c>
      <c r="E31" s="14">
        <v>1376950.4899999998</v>
      </c>
      <c r="F31" s="14">
        <v>2496098.1968973903</v>
      </c>
      <c r="G31" s="14">
        <v>370390.25000000006</v>
      </c>
      <c r="H31" s="14">
        <v>0</v>
      </c>
      <c r="I31" s="13">
        <f t="shared" si="0"/>
        <v>4243438.9368973905</v>
      </c>
    </row>
    <row r="32" spans="1:9" ht="15.75" x14ac:dyDescent="0.25">
      <c r="A32" s="8"/>
      <c r="B32" s="8"/>
      <c r="C32" s="9"/>
      <c r="D32" s="12" t="s">
        <v>28</v>
      </c>
      <c r="E32" s="14">
        <v>596047.84</v>
      </c>
      <c r="F32" s="14">
        <v>842525.2863734581</v>
      </c>
      <c r="G32" s="14">
        <v>301865.17000000004</v>
      </c>
      <c r="H32" s="14">
        <v>0</v>
      </c>
      <c r="I32" s="13">
        <f t="shared" si="0"/>
        <v>1740438.2963734581</v>
      </c>
    </row>
    <row r="33" spans="1:9" ht="15.75" x14ac:dyDescent="0.25">
      <c r="A33" s="8"/>
      <c r="B33" s="8"/>
      <c r="C33" s="9"/>
      <c r="D33" s="12" t="s">
        <v>29</v>
      </c>
      <c r="E33" s="14">
        <v>1185290.3999999999</v>
      </c>
      <c r="F33" s="14">
        <v>1273677.3532452059</v>
      </c>
      <c r="G33" s="14">
        <v>121176.87000000001</v>
      </c>
      <c r="H33" s="14">
        <v>0</v>
      </c>
      <c r="I33" s="13">
        <f t="shared" si="0"/>
        <v>2580144.6232452057</v>
      </c>
    </row>
    <row r="34" spans="1:9" ht="15.75" x14ac:dyDescent="0.25">
      <c r="A34" s="8"/>
      <c r="B34" s="8"/>
      <c r="C34" s="9"/>
      <c r="D34" s="12" t="s">
        <v>30</v>
      </c>
      <c r="E34" s="14">
        <v>1953629.0800000008</v>
      </c>
      <c r="F34" s="14">
        <v>1827791.4315500462</v>
      </c>
      <c r="G34" s="14">
        <v>1899145.0099999998</v>
      </c>
      <c r="H34" s="14">
        <v>0</v>
      </c>
      <c r="I34" s="13">
        <f t="shared" si="0"/>
        <v>5680565.5215500463</v>
      </c>
    </row>
    <row r="35" spans="1:9" ht="15.75" x14ac:dyDescent="0.25">
      <c r="A35" s="8"/>
      <c r="B35" s="8"/>
      <c r="C35" s="9"/>
      <c r="D35" s="12" t="s">
        <v>31</v>
      </c>
      <c r="E35" s="14">
        <v>1474874.8299999998</v>
      </c>
      <c r="F35" s="14">
        <v>3361312.6741067586</v>
      </c>
      <c r="G35" s="14">
        <v>630135.6399999999</v>
      </c>
      <c r="H35" s="14">
        <v>0</v>
      </c>
      <c r="I35" s="13">
        <f t="shared" si="0"/>
        <v>5466323.1441067578</v>
      </c>
    </row>
    <row r="36" spans="1:9" ht="15.75" x14ac:dyDescent="0.25">
      <c r="A36" s="8"/>
      <c r="B36" s="8"/>
      <c r="C36" s="9"/>
      <c r="D36" s="12" t="s">
        <v>32</v>
      </c>
      <c r="E36" s="14">
        <v>822956.72</v>
      </c>
      <c r="F36" s="14">
        <v>1667473.629972768</v>
      </c>
      <c r="G36" s="14">
        <v>1583958.06</v>
      </c>
      <c r="H36" s="14">
        <v>0</v>
      </c>
      <c r="I36" s="13">
        <f t="shared" si="0"/>
        <v>4074388.4099727678</v>
      </c>
    </row>
    <row r="37" spans="1:9" ht="15.75" x14ac:dyDescent="0.25">
      <c r="A37" s="8"/>
      <c r="B37" s="8"/>
      <c r="C37" s="9"/>
      <c r="D37" s="12" t="s">
        <v>33</v>
      </c>
      <c r="E37" s="14">
        <v>451327.48</v>
      </c>
      <c r="F37" s="14">
        <v>1166071.2329938863</v>
      </c>
      <c r="G37" s="14">
        <v>419109.54</v>
      </c>
      <c r="H37" s="14">
        <v>0</v>
      </c>
      <c r="I37" s="13">
        <f t="shared" si="0"/>
        <v>2036508.2529938864</v>
      </c>
    </row>
    <row r="38" spans="1:9" ht="15.75" x14ac:dyDescent="0.25">
      <c r="A38" s="8"/>
      <c r="B38" s="8"/>
      <c r="C38" s="9"/>
      <c r="D38" s="12" t="s">
        <v>34</v>
      </c>
      <c r="E38" s="14">
        <v>678483.81</v>
      </c>
      <c r="F38" s="14">
        <v>2004192.7101755643</v>
      </c>
      <c r="G38" s="14">
        <v>355625.18</v>
      </c>
      <c r="H38" s="14">
        <v>0</v>
      </c>
      <c r="I38" s="13">
        <f t="shared" si="0"/>
        <v>3038301.7001755643</v>
      </c>
    </row>
    <row r="39" spans="1:9" ht="15.75" x14ac:dyDescent="0.25">
      <c r="A39" s="8"/>
      <c r="B39" s="8"/>
      <c r="C39" s="9"/>
      <c r="D39" s="12" t="s">
        <v>35</v>
      </c>
      <c r="E39" s="14">
        <v>666371.74000000011</v>
      </c>
      <c r="F39" s="14">
        <v>3138058.6950799981</v>
      </c>
      <c r="G39" s="14">
        <v>654829.43000000005</v>
      </c>
      <c r="H39" s="14">
        <v>0</v>
      </c>
      <c r="I39" s="13">
        <f t="shared" si="0"/>
        <v>4459259.865079998</v>
      </c>
    </row>
    <row r="40" spans="1:9" ht="15.75" x14ac:dyDescent="0.25">
      <c r="A40" s="8"/>
      <c r="B40" s="8"/>
      <c r="C40" s="9"/>
      <c r="D40" s="12" t="s">
        <v>36</v>
      </c>
      <c r="E40" s="14">
        <v>39662.94</v>
      </c>
      <c r="F40" s="14">
        <v>164702.46377257199</v>
      </c>
      <c r="G40" s="14">
        <v>406780.38999999996</v>
      </c>
      <c r="H40" s="14">
        <v>0</v>
      </c>
      <c r="I40" s="13">
        <f t="shared" si="0"/>
        <v>611145.79377257195</v>
      </c>
    </row>
    <row r="41" spans="1:9" ht="15.75" x14ac:dyDescent="0.25">
      <c r="A41" s="8"/>
      <c r="B41" s="8"/>
      <c r="C41" s="9"/>
      <c r="D41" s="12" t="s">
        <v>37</v>
      </c>
      <c r="E41" s="14">
        <v>1839176.46</v>
      </c>
      <c r="F41" s="14">
        <v>2949939.4546050485</v>
      </c>
      <c r="G41" s="14">
        <v>1279173.96</v>
      </c>
      <c r="H41" s="14">
        <v>0</v>
      </c>
      <c r="I41" s="13">
        <f t="shared" si="0"/>
        <v>6068289.8746050484</v>
      </c>
    </row>
    <row r="42" spans="1:9" ht="15.75" x14ac:dyDescent="0.25">
      <c r="A42" s="8"/>
      <c r="B42" s="8"/>
      <c r="C42" s="9"/>
      <c r="D42" s="12" t="s">
        <v>38</v>
      </c>
      <c r="E42" s="14">
        <v>959656.48</v>
      </c>
      <c r="F42" s="14">
        <v>2913330.3973238161</v>
      </c>
      <c r="G42" s="14">
        <v>651833.38</v>
      </c>
      <c r="H42" s="14">
        <v>0</v>
      </c>
      <c r="I42" s="13">
        <f t="shared" si="0"/>
        <v>4524820.2573238164</v>
      </c>
    </row>
    <row r="43" spans="1:9" ht="15.75" x14ac:dyDescent="0.25">
      <c r="A43" s="8"/>
      <c r="B43" s="8"/>
      <c r="C43" s="9"/>
      <c r="D43" s="12" t="s">
        <v>39</v>
      </c>
      <c r="E43" s="14">
        <v>265475.61</v>
      </c>
      <c r="F43" s="14">
        <v>1084083.7940408341</v>
      </c>
      <c r="G43" s="14">
        <v>562430</v>
      </c>
      <c r="H43" s="14">
        <v>0</v>
      </c>
      <c r="I43" s="13">
        <f t="shared" si="0"/>
        <v>1911989.4040408339</v>
      </c>
    </row>
    <row r="44" spans="1:9" ht="15.75" x14ac:dyDescent="0.25">
      <c r="A44" s="8"/>
      <c r="B44" s="8"/>
      <c r="C44" s="9"/>
      <c r="D44" s="12" t="s">
        <v>40</v>
      </c>
      <c r="E44" s="14">
        <v>11759.88</v>
      </c>
      <c r="F44" s="14">
        <v>83442.610685988009</v>
      </c>
      <c r="G44" s="14">
        <v>667618.45000000007</v>
      </c>
      <c r="H44" s="14">
        <v>0</v>
      </c>
      <c r="I44" s="13">
        <f t="shared" si="0"/>
        <v>762820.94068598805</v>
      </c>
    </row>
    <row r="45" spans="1:9" ht="15.75" x14ac:dyDescent="0.25">
      <c r="A45" s="8"/>
      <c r="B45" s="8"/>
      <c r="C45" s="9"/>
      <c r="D45" s="12" t="s">
        <v>41</v>
      </c>
      <c r="E45" s="14">
        <v>665099.11999999988</v>
      </c>
      <c r="F45" s="14">
        <v>24163.509565332002</v>
      </c>
      <c r="G45" s="14">
        <v>1811475.5500000003</v>
      </c>
      <c r="H45" s="14">
        <v>0</v>
      </c>
      <c r="I45" s="13">
        <f t="shared" si="0"/>
        <v>2500738.1795653319</v>
      </c>
    </row>
    <row r="46" spans="1:9" ht="15.75" x14ac:dyDescent="0.25">
      <c r="A46" s="8"/>
      <c r="B46" s="8"/>
      <c r="C46" s="9"/>
      <c r="D46" s="12" t="s">
        <v>42</v>
      </c>
      <c r="E46" s="14">
        <v>71204.47</v>
      </c>
      <c r="F46" s="14">
        <v>80513.120223630016</v>
      </c>
      <c r="G46" s="14">
        <v>2716351.41</v>
      </c>
      <c r="H46" s="14">
        <v>0</v>
      </c>
      <c r="I46" s="13">
        <f t="shared" si="0"/>
        <v>2868069.0002236301</v>
      </c>
    </row>
    <row r="47" spans="1:9" ht="15.75" x14ac:dyDescent="0.25">
      <c r="A47" s="8"/>
      <c r="B47" s="8"/>
      <c r="C47" s="9"/>
      <c r="D47" s="12" t="s">
        <v>43</v>
      </c>
      <c r="E47" s="14">
        <v>773215.71000000008</v>
      </c>
      <c r="F47" s="14">
        <v>575348.097407814</v>
      </c>
      <c r="G47" s="14">
        <v>439056.41000000003</v>
      </c>
      <c r="H47" s="14">
        <v>0</v>
      </c>
      <c r="I47" s="13">
        <f t="shared" si="0"/>
        <v>1787620.2174078142</v>
      </c>
    </row>
    <row r="48" spans="1:9" ht="15.75" x14ac:dyDescent="0.25">
      <c r="A48" s="8"/>
      <c r="B48" s="8"/>
      <c r="C48" s="9"/>
      <c r="D48" s="12" t="s">
        <v>44</v>
      </c>
      <c r="E48" s="14">
        <v>517757.15000000008</v>
      </c>
      <c r="F48" s="14">
        <v>80513.120223630016</v>
      </c>
      <c r="G48" s="14">
        <v>1174583.3600000001</v>
      </c>
      <c r="H48" s="14">
        <v>0</v>
      </c>
      <c r="I48" s="13">
        <f t="shared" si="0"/>
        <v>1772853.6302236302</v>
      </c>
    </row>
    <row r="49" spans="1:9" ht="15.75" x14ac:dyDescent="0.25">
      <c r="A49" s="8"/>
      <c r="B49" s="8"/>
      <c r="C49" s="9"/>
      <c r="D49" s="12" t="s">
        <v>45</v>
      </c>
      <c r="E49" s="14">
        <v>83222.790000000008</v>
      </c>
      <c r="F49" s="14">
        <v>95888.158401888009</v>
      </c>
      <c r="G49" s="14">
        <v>2051034.6999999997</v>
      </c>
      <c r="H49" s="14">
        <v>0</v>
      </c>
      <c r="I49" s="13">
        <f t="shared" si="0"/>
        <v>2230145.6484018876</v>
      </c>
    </row>
    <row r="50" spans="1:9" ht="15.75" x14ac:dyDescent="0.25">
      <c r="A50" s="8"/>
      <c r="B50" s="8"/>
      <c r="C50" s="9"/>
      <c r="D50" s="12" t="s">
        <v>46</v>
      </c>
      <c r="E50" s="14">
        <v>749949.85</v>
      </c>
      <c r="F50" s="14">
        <v>1127279.4181132503</v>
      </c>
      <c r="G50" s="14">
        <v>291467.78000000003</v>
      </c>
      <c r="H50" s="14">
        <v>0</v>
      </c>
      <c r="I50" s="13">
        <f t="shared" si="0"/>
        <v>2168697.0481132502</v>
      </c>
    </row>
    <row r="51" spans="1:9" ht="15.75" x14ac:dyDescent="0.25">
      <c r="A51" s="8"/>
      <c r="B51" s="8"/>
      <c r="C51" s="9"/>
      <c r="D51" s="12" t="s">
        <v>47</v>
      </c>
      <c r="E51" s="14">
        <v>718413.99000000011</v>
      </c>
      <c r="F51" s="14">
        <v>1685050.5727469162</v>
      </c>
      <c r="G51" s="14">
        <v>395435.79</v>
      </c>
      <c r="H51" s="14">
        <v>0</v>
      </c>
      <c r="I51" s="13">
        <f t="shared" si="0"/>
        <v>2798900.3527469165</v>
      </c>
    </row>
    <row r="52" spans="1:9" ht="15.75" x14ac:dyDescent="0.25">
      <c r="A52" s="8"/>
      <c r="B52" s="8"/>
      <c r="C52" s="9"/>
      <c r="D52" s="12" t="s">
        <v>48</v>
      </c>
      <c r="E52" s="14">
        <v>606484.53</v>
      </c>
      <c r="F52" s="14">
        <v>1698223.706329284</v>
      </c>
      <c r="G52" s="14">
        <v>133030.65000000002</v>
      </c>
      <c r="H52" s="14">
        <v>0</v>
      </c>
      <c r="I52" s="13">
        <f t="shared" si="0"/>
        <v>2437738.8863292839</v>
      </c>
    </row>
    <row r="53" spans="1:9" ht="15.75" x14ac:dyDescent="0.25">
      <c r="A53" s="8"/>
      <c r="B53" s="8"/>
      <c r="C53" s="9"/>
      <c r="D53" s="12" t="s">
        <v>49</v>
      </c>
      <c r="E53" s="14">
        <v>681496.44</v>
      </c>
      <c r="F53" s="14">
        <v>1163869.328397996</v>
      </c>
      <c r="G53" s="14">
        <v>985319.38000000012</v>
      </c>
      <c r="H53" s="14">
        <v>0</v>
      </c>
      <c r="I53" s="13">
        <f t="shared" si="0"/>
        <v>2830685.1483979961</v>
      </c>
    </row>
    <row r="54" spans="1:9" ht="15.75" x14ac:dyDescent="0.25">
      <c r="A54" s="8"/>
      <c r="B54" s="8"/>
      <c r="C54" s="9"/>
      <c r="D54" s="12" t="s">
        <v>50</v>
      </c>
      <c r="E54" s="14">
        <v>994467.36999999988</v>
      </c>
      <c r="F54" s="14">
        <v>1068708.7558625762</v>
      </c>
      <c r="G54" s="14">
        <v>418654.92000000004</v>
      </c>
      <c r="H54" s="14">
        <v>0</v>
      </c>
      <c r="I54" s="13">
        <f t="shared" si="0"/>
        <v>2481831.045862576</v>
      </c>
    </row>
    <row r="55" spans="1:9" ht="15.75" x14ac:dyDescent="0.25">
      <c r="A55" s="8"/>
      <c r="B55" s="8"/>
      <c r="C55" s="9"/>
      <c r="D55" s="12" t="s">
        <v>51</v>
      </c>
      <c r="E55" s="14">
        <v>231519.74000000002</v>
      </c>
      <c r="F55" s="14">
        <v>2247225.5365723623</v>
      </c>
      <c r="G55" s="14">
        <v>15553.300000000001</v>
      </c>
      <c r="H55" s="14">
        <v>0</v>
      </c>
      <c r="I55" s="13">
        <f t="shared" si="0"/>
        <v>2494298.5765723623</v>
      </c>
    </row>
    <row r="56" spans="1:9" ht="15.75" x14ac:dyDescent="0.25">
      <c r="A56" s="8"/>
      <c r="B56" s="8"/>
      <c r="C56" s="9"/>
      <c r="D56" s="12" t="s">
        <v>52</v>
      </c>
      <c r="E56" s="14">
        <v>679060.89000000013</v>
      </c>
      <c r="F56" s="14">
        <v>2723028.3992494624</v>
      </c>
      <c r="G56" s="14">
        <v>224332.67999999996</v>
      </c>
      <c r="H56" s="14">
        <v>0</v>
      </c>
      <c r="I56" s="13">
        <f t="shared" si="0"/>
        <v>3626421.9692494627</v>
      </c>
    </row>
    <row r="57" spans="1:9" ht="15.75" x14ac:dyDescent="0.25">
      <c r="A57" s="8"/>
      <c r="B57" s="8"/>
      <c r="C57" s="9"/>
      <c r="D57" s="12" t="s">
        <v>53</v>
      </c>
      <c r="E57" s="14">
        <v>234748.81</v>
      </c>
      <c r="F57" s="14">
        <v>805188.6432257581</v>
      </c>
      <c r="G57" s="14">
        <v>206270.14</v>
      </c>
      <c r="H57" s="14">
        <v>0</v>
      </c>
      <c r="I57" s="13">
        <f t="shared" si="0"/>
        <v>1246207.5932257581</v>
      </c>
    </row>
    <row r="58" spans="1:9" ht="15.75" x14ac:dyDescent="0.25">
      <c r="A58" s="8"/>
      <c r="B58" s="8"/>
      <c r="C58" s="9"/>
      <c r="D58" s="12" t="s">
        <v>54</v>
      </c>
      <c r="E58" s="14">
        <v>258126.41000000003</v>
      </c>
      <c r="F58" s="14">
        <v>866688.79593879019</v>
      </c>
      <c r="G58" s="14">
        <v>30915.11</v>
      </c>
      <c r="H58" s="14">
        <v>0</v>
      </c>
      <c r="I58" s="13">
        <f t="shared" si="0"/>
        <v>1155730.3159387903</v>
      </c>
    </row>
    <row r="59" spans="1:9" ht="15.75" x14ac:dyDescent="0.25">
      <c r="A59" s="8"/>
      <c r="B59" s="8"/>
      <c r="C59" s="9"/>
      <c r="D59" s="12" t="s">
        <v>55</v>
      </c>
      <c r="E59" s="14">
        <v>675804.53</v>
      </c>
      <c r="F59" s="14">
        <v>1463979.3513195601</v>
      </c>
      <c r="G59" s="14">
        <v>722761.8600000001</v>
      </c>
      <c r="H59" s="14">
        <v>0</v>
      </c>
      <c r="I59" s="13">
        <f t="shared" si="0"/>
        <v>2862545.7413195604</v>
      </c>
    </row>
    <row r="60" spans="1:9" ht="15.75" x14ac:dyDescent="0.25">
      <c r="A60" s="8"/>
      <c r="B60" s="8"/>
      <c r="C60" s="9"/>
      <c r="D60" s="12" t="s">
        <v>56</v>
      </c>
      <c r="E60" s="14">
        <v>250916.25000000003</v>
      </c>
      <c r="F60" s="14">
        <v>885720.91044587409</v>
      </c>
      <c r="G60" s="14">
        <v>164861.10999999999</v>
      </c>
      <c r="H60" s="14">
        <v>0</v>
      </c>
      <c r="I60" s="13">
        <f t="shared" si="0"/>
        <v>1301498.270445874</v>
      </c>
    </row>
    <row r="61" spans="1:9" ht="15.75" x14ac:dyDescent="0.25">
      <c r="A61" s="8"/>
      <c r="B61" s="8"/>
      <c r="C61" s="9"/>
      <c r="D61" s="12" t="s">
        <v>57</v>
      </c>
      <c r="E61" s="14">
        <v>909790.9600000002</v>
      </c>
      <c r="F61" s="14">
        <v>1485940.9562890022</v>
      </c>
      <c r="G61" s="14">
        <v>379735.38999999996</v>
      </c>
      <c r="H61" s="14">
        <v>0</v>
      </c>
      <c r="I61" s="13">
        <f t="shared" si="0"/>
        <v>2775467.3062890028</v>
      </c>
    </row>
    <row r="62" spans="1:9" ht="15.75" x14ac:dyDescent="0.25">
      <c r="A62" s="8"/>
      <c r="B62" s="8"/>
      <c r="C62" s="9"/>
      <c r="D62" s="12" t="s">
        <v>58</v>
      </c>
      <c r="E62" s="14">
        <v>2055920.6599999995</v>
      </c>
      <c r="F62" s="14">
        <v>1657976.7197157124</v>
      </c>
      <c r="G62" s="14">
        <v>14126072.950000001</v>
      </c>
      <c r="H62" s="14">
        <v>0</v>
      </c>
      <c r="I62" s="13">
        <f t="shared" si="0"/>
        <v>17839970.329715714</v>
      </c>
    </row>
    <row r="63" spans="1:9" ht="15.75" x14ac:dyDescent="0.25">
      <c r="A63" s="8"/>
      <c r="B63" s="8"/>
      <c r="C63" s="9"/>
      <c r="D63" s="12" t="s">
        <v>59</v>
      </c>
      <c r="E63" s="14">
        <v>494261.03</v>
      </c>
      <c r="F63" s="14">
        <v>183006.99241318801</v>
      </c>
      <c r="G63" s="14">
        <v>697397.92999999993</v>
      </c>
      <c r="H63" s="14">
        <v>0</v>
      </c>
      <c r="I63" s="13">
        <f t="shared" si="0"/>
        <v>1374665.9524131878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4978490.9400000004</v>
      </c>
      <c r="H64" s="14">
        <v>0</v>
      </c>
      <c r="I64" s="13">
        <f t="shared" si="0"/>
        <v>4978490.9400000004</v>
      </c>
    </row>
    <row r="65" spans="1:9" ht="15.75" x14ac:dyDescent="0.25">
      <c r="A65" s="8"/>
      <c r="B65" s="8"/>
      <c r="C65" s="9"/>
      <c r="D65" s="12" t="s">
        <v>61</v>
      </c>
      <c r="E65" s="14">
        <v>1353081.21</v>
      </c>
      <c r="F65" s="14">
        <v>2166712.4163487325</v>
      </c>
      <c r="G65" s="14">
        <v>311148.02</v>
      </c>
      <c r="H65" s="14">
        <v>0</v>
      </c>
      <c r="I65" s="13">
        <f t="shared" si="0"/>
        <v>3830941.6463487325</v>
      </c>
    </row>
    <row r="66" spans="1:9" ht="15.75" x14ac:dyDescent="0.25">
      <c r="A66" s="8"/>
      <c r="B66" s="8"/>
      <c r="C66" s="9"/>
      <c r="D66" s="12" t="s">
        <v>62</v>
      </c>
      <c r="E66" s="14">
        <v>4273276.6000000006</v>
      </c>
      <c r="F66" s="14">
        <v>4307787.0044027101</v>
      </c>
      <c r="G66" s="14">
        <v>891435.56</v>
      </c>
      <c r="H66" s="14">
        <v>0</v>
      </c>
      <c r="I66" s="13">
        <f t="shared" si="0"/>
        <v>9472499.1644027103</v>
      </c>
    </row>
    <row r="67" spans="1:9" ht="15.75" x14ac:dyDescent="0.25">
      <c r="A67" s="8"/>
      <c r="B67" s="8"/>
      <c r="C67" s="9"/>
      <c r="D67" s="12" t="s">
        <v>63</v>
      </c>
      <c r="E67" s="14">
        <v>796129.68000000017</v>
      </c>
      <c r="F67" s="14">
        <v>1991019.5765931965</v>
      </c>
      <c r="G67" s="14">
        <v>363439.57999999996</v>
      </c>
      <c r="H67" s="14">
        <v>0</v>
      </c>
      <c r="I67" s="13">
        <f t="shared" si="0"/>
        <v>3150588.8365931967</v>
      </c>
    </row>
    <row r="68" spans="1:9" ht="15.75" x14ac:dyDescent="0.25">
      <c r="A68" s="8"/>
      <c r="B68" s="8"/>
      <c r="C68" s="9"/>
      <c r="D68" s="12" t="s">
        <v>64</v>
      </c>
      <c r="E68" s="14">
        <v>1051074.78</v>
      </c>
      <c r="F68" s="14">
        <v>841797.70050699008</v>
      </c>
      <c r="G68" s="14">
        <v>216677.06999999998</v>
      </c>
      <c r="H68" s="14">
        <v>0</v>
      </c>
      <c r="I68" s="13">
        <f t="shared" si="0"/>
        <v>2109549.5505069899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1257574.3500000001</v>
      </c>
      <c r="H69" s="14">
        <v>0</v>
      </c>
      <c r="I69" s="13">
        <f t="shared" si="0"/>
        <v>1257574.3500000001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1643814.6199999999</v>
      </c>
      <c r="H70" s="14">
        <v>0</v>
      </c>
      <c r="I70" s="13">
        <f t="shared" si="0"/>
        <v>1643814.6199999999</v>
      </c>
    </row>
    <row r="71" spans="1:9" ht="15.75" x14ac:dyDescent="0.25">
      <c r="A71" s="8"/>
      <c r="B71" s="8"/>
      <c r="C71" s="9"/>
      <c r="D71" s="12" t="s">
        <v>67</v>
      </c>
      <c r="E71" s="14">
        <v>7228.83</v>
      </c>
      <c r="F71" s="14">
        <v>21961.604969442</v>
      </c>
      <c r="G71" s="14">
        <v>1521434.3300000003</v>
      </c>
      <c r="H71" s="14">
        <v>0</v>
      </c>
      <c r="I71" s="13">
        <f t="shared" si="0"/>
        <v>1550624.7649694423</v>
      </c>
    </row>
    <row r="72" spans="1:9" ht="15.75" x14ac:dyDescent="0.25">
      <c r="A72" s="8"/>
      <c r="B72" s="8"/>
      <c r="C72" s="9"/>
      <c r="D72" s="12" t="s">
        <v>68</v>
      </c>
      <c r="E72" s="14">
        <v>1774748.2100000002</v>
      </c>
      <c r="F72" s="14">
        <v>1367363.6070512042</v>
      </c>
      <c r="G72" s="14">
        <v>2764010.0400000005</v>
      </c>
      <c r="H72" s="14">
        <v>0</v>
      </c>
      <c r="I72" s="13">
        <f t="shared" si="0"/>
        <v>5906121.8570512049</v>
      </c>
    </row>
    <row r="73" spans="1:9" ht="15.75" x14ac:dyDescent="0.25">
      <c r="A73" s="8"/>
      <c r="B73" s="8"/>
      <c r="C73" s="9"/>
      <c r="D73" s="12" t="s">
        <v>69</v>
      </c>
      <c r="E73" s="14">
        <v>11834.96</v>
      </c>
      <c r="F73" s="14">
        <v>0</v>
      </c>
      <c r="G73" s="14">
        <v>1213200.21</v>
      </c>
      <c r="H73" s="14">
        <v>0</v>
      </c>
      <c r="I73" s="13">
        <f t="shared" si="0"/>
        <v>1225035.17</v>
      </c>
    </row>
    <row r="74" spans="1:9" ht="15.75" x14ac:dyDescent="0.25">
      <c r="A74" s="8"/>
      <c r="B74" s="8"/>
      <c r="C74" s="9"/>
      <c r="D74" s="12" t="s">
        <v>70</v>
      </c>
      <c r="E74" s="14">
        <v>90245.49</v>
      </c>
      <c r="F74" s="14">
        <v>115647.85877544002</v>
      </c>
      <c r="G74" s="14">
        <v>8009881.1300000008</v>
      </c>
      <c r="H74" s="14">
        <v>0</v>
      </c>
      <c r="I74" s="13">
        <f t="shared" ref="I74:I137" si="1">SUM(E74:H74)</f>
        <v>8215774.4787754407</v>
      </c>
    </row>
    <row r="75" spans="1:9" ht="15.75" x14ac:dyDescent="0.25">
      <c r="A75" s="8"/>
      <c r="B75" s="8"/>
      <c r="C75" s="9"/>
      <c r="D75" s="12" t="s">
        <v>71</v>
      </c>
      <c r="E75" s="14">
        <v>734222.1</v>
      </c>
      <c r="F75" s="14">
        <v>449437.44851587806</v>
      </c>
      <c r="G75" s="14">
        <v>14289358.279999997</v>
      </c>
      <c r="H75" s="14">
        <v>0</v>
      </c>
      <c r="I75" s="13">
        <f t="shared" si="1"/>
        <v>15473017.828515876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3896060.94</v>
      </c>
      <c r="H76" s="14">
        <v>0</v>
      </c>
      <c r="I76" s="13">
        <f t="shared" si="1"/>
        <v>3896060.94</v>
      </c>
    </row>
    <row r="77" spans="1:9" ht="15.75" x14ac:dyDescent="0.25">
      <c r="A77" s="8"/>
      <c r="B77" s="8"/>
      <c r="C77" s="9"/>
      <c r="D77" s="12" t="s">
        <v>73</v>
      </c>
      <c r="E77" s="14">
        <v>357165.56</v>
      </c>
      <c r="F77" s="14">
        <v>2228921.0079317461</v>
      </c>
      <c r="G77" s="14">
        <v>357900.05999999994</v>
      </c>
      <c r="H77" s="14">
        <v>0</v>
      </c>
      <c r="I77" s="13">
        <f t="shared" si="1"/>
        <v>2943986.6279317462</v>
      </c>
    </row>
    <row r="78" spans="1:9" ht="15.75" x14ac:dyDescent="0.25">
      <c r="A78" s="8"/>
      <c r="B78" s="8"/>
      <c r="C78" s="9"/>
      <c r="D78" s="12" t="s">
        <v>74</v>
      </c>
      <c r="E78" s="14">
        <v>814779.16000000015</v>
      </c>
      <c r="F78" s="14">
        <v>2261853.8418876664</v>
      </c>
      <c r="G78" s="14">
        <v>325253.27999999997</v>
      </c>
      <c r="H78" s="14">
        <v>0</v>
      </c>
      <c r="I78" s="13">
        <f t="shared" si="1"/>
        <v>3401886.2818876663</v>
      </c>
    </row>
    <row r="79" spans="1:9" ht="15.75" x14ac:dyDescent="0.25">
      <c r="A79" s="8"/>
      <c r="B79" s="8"/>
      <c r="C79" s="9"/>
      <c r="D79" s="12" t="s">
        <v>75</v>
      </c>
      <c r="E79" s="14">
        <v>904431.19000000018</v>
      </c>
      <c r="F79" s="14">
        <v>1270001.129919894</v>
      </c>
      <c r="G79" s="14">
        <v>586051.83999999997</v>
      </c>
      <c r="H79" s="14">
        <v>0</v>
      </c>
      <c r="I79" s="13">
        <f t="shared" si="1"/>
        <v>2760484.1599198943</v>
      </c>
    </row>
    <row r="80" spans="1:9" ht="15.75" x14ac:dyDescent="0.25">
      <c r="A80" s="8"/>
      <c r="B80" s="8"/>
      <c r="C80" s="9"/>
      <c r="D80" s="12" t="s">
        <v>76</v>
      </c>
      <c r="E80" s="14">
        <v>1294651.96</v>
      </c>
      <c r="F80" s="14">
        <v>671236.25580970198</v>
      </c>
      <c r="G80" s="14">
        <v>52070.44999999999</v>
      </c>
      <c r="H80" s="14">
        <v>0</v>
      </c>
      <c r="I80" s="13">
        <f t="shared" si="1"/>
        <v>2017958.6658097019</v>
      </c>
    </row>
    <row r="81" spans="1:9" ht="15.75" x14ac:dyDescent="0.25">
      <c r="A81" s="8"/>
      <c r="B81" s="8"/>
      <c r="C81" s="9"/>
      <c r="D81" s="12" t="s">
        <v>77</v>
      </c>
      <c r="E81" s="14">
        <v>2606515.0799999996</v>
      </c>
      <c r="F81" s="14">
        <v>4050125.8726906083</v>
      </c>
      <c r="G81" s="14">
        <v>1369491.29</v>
      </c>
      <c r="H81" s="14">
        <v>0</v>
      </c>
      <c r="I81" s="13">
        <f t="shared" si="1"/>
        <v>8026132.2426906079</v>
      </c>
    </row>
    <row r="82" spans="1:9" ht="15.75" x14ac:dyDescent="0.25">
      <c r="A82" s="8"/>
      <c r="B82" s="8"/>
      <c r="C82" s="9"/>
      <c r="D82" s="12" t="s">
        <v>78</v>
      </c>
      <c r="E82" s="14">
        <v>1608681.6800000002</v>
      </c>
      <c r="F82" s="14">
        <v>2807198.5958019183</v>
      </c>
      <c r="G82" s="14">
        <v>910559.36</v>
      </c>
      <c r="H82" s="14">
        <v>0</v>
      </c>
      <c r="I82" s="13">
        <f t="shared" si="1"/>
        <v>5326439.6358019188</v>
      </c>
    </row>
    <row r="83" spans="1:9" ht="15.75" x14ac:dyDescent="0.25">
      <c r="A83" s="8"/>
      <c r="B83" s="8"/>
      <c r="C83" s="9"/>
      <c r="D83" s="12" t="s">
        <v>79</v>
      </c>
      <c r="E83" s="14">
        <v>1316604.55</v>
      </c>
      <c r="F83" s="14">
        <v>1152898.0994115183</v>
      </c>
      <c r="G83" s="14">
        <v>703739.58</v>
      </c>
      <c r="H83" s="14">
        <v>0</v>
      </c>
      <c r="I83" s="13">
        <f t="shared" si="1"/>
        <v>3173242.2294115182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6783417.4699999988</v>
      </c>
      <c r="H84" s="14">
        <v>0</v>
      </c>
      <c r="I84" s="13">
        <f t="shared" si="1"/>
        <v>6783417.4699999988</v>
      </c>
    </row>
    <row r="85" spans="1:9" ht="15.75" x14ac:dyDescent="0.25">
      <c r="A85" s="8"/>
      <c r="B85" s="8"/>
      <c r="C85" s="9"/>
      <c r="D85" s="12" t="s">
        <v>81</v>
      </c>
      <c r="E85" s="14">
        <v>1083848.42</v>
      </c>
      <c r="F85" s="14">
        <v>358680.68517223804</v>
      </c>
      <c r="G85" s="14">
        <v>2687852.4899999998</v>
      </c>
      <c r="H85" s="14">
        <v>0</v>
      </c>
      <c r="I85" s="13">
        <f t="shared" si="1"/>
        <v>4130381.5951722376</v>
      </c>
    </row>
    <row r="86" spans="1:9" ht="15.75" x14ac:dyDescent="0.25">
      <c r="A86" s="8"/>
      <c r="B86" s="8"/>
      <c r="C86" s="9"/>
      <c r="D86" s="12" t="s">
        <v>82</v>
      </c>
      <c r="E86" s="14">
        <v>612759.1</v>
      </c>
      <c r="F86" s="14">
        <v>1489617.1796143141</v>
      </c>
      <c r="G86" s="14">
        <v>246979.52000000002</v>
      </c>
      <c r="H86" s="14">
        <v>0</v>
      </c>
      <c r="I86" s="13">
        <f t="shared" si="1"/>
        <v>2349355.799614314</v>
      </c>
    </row>
    <row r="87" spans="1:9" ht="15.75" x14ac:dyDescent="0.25">
      <c r="A87" s="8"/>
      <c r="B87" s="8"/>
      <c r="C87" s="9"/>
      <c r="D87" s="12" t="s">
        <v>83</v>
      </c>
      <c r="E87" s="14">
        <v>310605.94</v>
      </c>
      <c r="F87" s="14">
        <v>1961743.8189661023</v>
      </c>
      <c r="G87" s="14">
        <v>203029.58999999997</v>
      </c>
      <c r="H87" s="14">
        <v>0</v>
      </c>
      <c r="I87" s="13">
        <f t="shared" si="1"/>
        <v>2475379.3489661021</v>
      </c>
    </row>
    <row r="88" spans="1:9" ht="15.75" x14ac:dyDescent="0.25">
      <c r="A88" s="8"/>
      <c r="B88" s="8"/>
      <c r="C88" s="9"/>
      <c r="D88" s="12" t="s">
        <v>84</v>
      </c>
      <c r="E88" s="14">
        <v>398891.92000000004</v>
      </c>
      <c r="F88" s="14">
        <v>0</v>
      </c>
      <c r="G88" s="14">
        <v>2477631.7200000007</v>
      </c>
      <c r="H88" s="14">
        <v>0</v>
      </c>
      <c r="I88" s="13">
        <f t="shared" si="1"/>
        <v>2876523.6400000006</v>
      </c>
    </row>
    <row r="89" spans="1:9" ht="15.75" x14ac:dyDescent="0.25">
      <c r="A89" s="8"/>
      <c r="B89" s="8"/>
      <c r="C89" s="9"/>
      <c r="D89" s="12" t="s">
        <v>85</v>
      </c>
      <c r="E89" s="14">
        <v>586378.40000000014</v>
      </c>
      <c r="F89" s="14">
        <v>1923679.5899519345</v>
      </c>
      <c r="G89" s="14">
        <v>186287.81999999995</v>
      </c>
      <c r="H89" s="14">
        <v>0</v>
      </c>
      <c r="I89" s="13">
        <f t="shared" si="1"/>
        <v>2696345.8099519345</v>
      </c>
    </row>
    <row r="90" spans="1:9" ht="15.75" x14ac:dyDescent="0.25">
      <c r="A90" s="8"/>
      <c r="B90" s="8"/>
      <c r="C90" s="9"/>
      <c r="D90" s="12" t="s">
        <v>86</v>
      </c>
      <c r="E90" s="14">
        <v>375951.29000000004</v>
      </c>
      <c r="F90" s="14">
        <v>497764.46764654201</v>
      </c>
      <c r="G90" s="14">
        <v>344731.75000000006</v>
      </c>
      <c r="H90" s="14">
        <v>0</v>
      </c>
      <c r="I90" s="13">
        <f t="shared" si="1"/>
        <v>1218447.507646542</v>
      </c>
    </row>
    <row r="91" spans="1:9" ht="15.75" x14ac:dyDescent="0.25">
      <c r="A91" s="8"/>
      <c r="B91" s="8"/>
      <c r="C91" s="9"/>
      <c r="D91" s="12" t="s">
        <v>87</v>
      </c>
      <c r="E91" s="14">
        <v>844407.59</v>
      </c>
      <c r="F91" s="14">
        <v>1135321.1566373701</v>
      </c>
      <c r="G91" s="14">
        <v>879437.85</v>
      </c>
      <c r="H91" s="14">
        <v>0</v>
      </c>
      <c r="I91" s="13">
        <f t="shared" si="1"/>
        <v>2859166.5966373701</v>
      </c>
    </row>
    <row r="92" spans="1:9" ht="15.75" x14ac:dyDescent="0.25">
      <c r="A92" s="8"/>
      <c r="B92" s="8"/>
      <c r="C92" s="9"/>
      <c r="D92" s="12" t="s">
        <v>88</v>
      </c>
      <c r="E92" s="14">
        <v>120153.37</v>
      </c>
      <c r="F92" s="14">
        <v>156641.57825196601</v>
      </c>
      <c r="G92" s="14">
        <v>2239210.5200000005</v>
      </c>
      <c r="H92" s="14">
        <v>0</v>
      </c>
      <c r="I92" s="13">
        <f t="shared" si="1"/>
        <v>2516005.4682519664</v>
      </c>
    </row>
    <row r="93" spans="1:9" ht="15.75" x14ac:dyDescent="0.25">
      <c r="A93" s="8"/>
      <c r="B93" s="8"/>
      <c r="C93" s="9"/>
      <c r="D93" s="12" t="s">
        <v>89</v>
      </c>
      <c r="E93" s="14">
        <v>1121221.2500000002</v>
      </c>
      <c r="F93" s="14">
        <v>1310267.2635299521</v>
      </c>
      <c r="G93" s="14">
        <v>384972.48000000004</v>
      </c>
      <c r="H93" s="14">
        <v>0</v>
      </c>
      <c r="I93" s="13">
        <f t="shared" si="1"/>
        <v>2816460.9935299526</v>
      </c>
    </row>
    <row r="94" spans="1:9" ht="15.75" x14ac:dyDescent="0.25">
      <c r="A94" s="8"/>
      <c r="B94" s="8"/>
      <c r="C94" s="9"/>
      <c r="D94" s="12" t="s">
        <v>90</v>
      </c>
      <c r="E94" s="14">
        <v>45423.8</v>
      </c>
      <c r="F94" s="14">
        <v>0</v>
      </c>
      <c r="G94" s="14">
        <v>158812.81000000003</v>
      </c>
      <c r="H94" s="14">
        <v>0</v>
      </c>
      <c r="I94" s="13">
        <f t="shared" si="1"/>
        <v>204236.61000000004</v>
      </c>
    </row>
    <row r="95" spans="1:9" ht="15.75" x14ac:dyDescent="0.25">
      <c r="A95" s="8"/>
      <c r="B95" s="8"/>
      <c r="C95" s="9"/>
      <c r="D95" s="12" t="s">
        <v>91</v>
      </c>
      <c r="E95" s="14">
        <v>148160.47999999998</v>
      </c>
      <c r="F95" s="14">
        <v>40266.133610058008</v>
      </c>
      <c r="G95" s="14">
        <v>2517026.13</v>
      </c>
      <c r="H95" s="14">
        <v>0</v>
      </c>
      <c r="I95" s="13">
        <f t="shared" si="1"/>
        <v>2705452.743610058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6616202.9199999999</v>
      </c>
      <c r="H96" s="14">
        <v>0</v>
      </c>
      <c r="I96" s="13">
        <f t="shared" si="1"/>
        <v>6616202.9199999999</v>
      </c>
    </row>
    <row r="97" spans="1:9" ht="15.75" x14ac:dyDescent="0.25">
      <c r="A97" s="8"/>
      <c r="B97" s="8"/>
      <c r="C97" s="9"/>
      <c r="D97" s="12" t="s">
        <v>93</v>
      </c>
      <c r="E97" s="14">
        <v>395039.89999999991</v>
      </c>
      <c r="F97" s="14">
        <v>1808031.7311764942</v>
      </c>
      <c r="G97" s="14">
        <v>283843.42</v>
      </c>
      <c r="H97" s="14">
        <v>0</v>
      </c>
      <c r="I97" s="13">
        <f t="shared" si="1"/>
        <v>2486915.051176494</v>
      </c>
    </row>
    <row r="98" spans="1:9" ht="15.75" x14ac:dyDescent="0.25">
      <c r="A98" s="8"/>
      <c r="B98" s="8"/>
      <c r="C98" s="9"/>
      <c r="D98" s="12" t="s">
        <v>94</v>
      </c>
      <c r="E98" s="14">
        <v>1348981.5900000003</v>
      </c>
      <c r="F98" s="14">
        <v>2378248.4335260601</v>
      </c>
      <c r="G98" s="14">
        <v>2287235.29</v>
      </c>
      <c r="H98" s="14">
        <v>0</v>
      </c>
      <c r="I98" s="13">
        <f t="shared" si="1"/>
        <v>6014465.3135260604</v>
      </c>
    </row>
    <row r="99" spans="1:9" ht="15.75" x14ac:dyDescent="0.25">
      <c r="A99" s="8"/>
      <c r="B99" s="8"/>
      <c r="C99" s="9"/>
      <c r="D99" s="12" t="s">
        <v>95</v>
      </c>
      <c r="E99" s="14">
        <v>2113803.36</v>
      </c>
      <c r="F99" s="14">
        <v>4531768.5692959391</v>
      </c>
      <c r="G99" s="14">
        <v>1391010.2099999997</v>
      </c>
      <c r="H99" s="14">
        <v>0</v>
      </c>
      <c r="I99" s="13">
        <f t="shared" si="1"/>
        <v>8036582.1392959384</v>
      </c>
    </row>
    <row r="100" spans="1:9" ht="15.75" x14ac:dyDescent="0.25">
      <c r="A100" s="8"/>
      <c r="B100" s="8"/>
      <c r="C100" s="9"/>
      <c r="D100" s="12" t="s">
        <v>96</v>
      </c>
      <c r="E100" s="14">
        <v>1280851.5299999998</v>
      </c>
      <c r="F100" s="14">
        <v>4658406.8040543422</v>
      </c>
      <c r="G100" s="14">
        <v>1941589.0099999998</v>
      </c>
      <c r="H100" s="14">
        <v>0</v>
      </c>
      <c r="I100" s="13">
        <f t="shared" si="1"/>
        <v>7880847.3440543413</v>
      </c>
    </row>
    <row r="101" spans="1:9" ht="15.75" x14ac:dyDescent="0.25">
      <c r="A101" s="8"/>
      <c r="B101" s="8"/>
      <c r="C101" s="9"/>
      <c r="D101" s="12" t="s">
        <v>97</v>
      </c>
      <c r="E101" s="14">
        <v>115489.15999999999</v>
      </c>
      <c r="F101" s="14">
        <v>6084302.7793632485</v>
      </c>
      <c r="G101" s="14">
        <v>62964.59</v>
      </c>
      <c r="H101" s="14">
        <v>0</v>
      </c>
      <c r="I101" s="13">
        <f t="shared" si="1"/>
        <v>6262756.5293632485</v>
      </c>
    </row>
    <row r="102" spans="1:9" ht="15.75" x14ac:dyDescent="0.25">
      <c r="A102" s="8"/>
      <c r="B102" s="8"/>
      <c r="C102" s="9"/>
      <c r="D102" s="12" t="s">
        <v>98</v>
      </c>
      <c r="E102" s="14">
        <v>910428</v>
      </c>
      <c r="F102" s="14">
        <v>2632980.0747758043</v>
      </c>
      <c r="G102" s="14">
        <v>987997.04</v>
      </c>
      <c r="H102" s="14">
        <v>0</v>
      </c>
      <c r="I102" s="13">
        <f t="shared" si="1"/>
        <v>4531405.1147758048</v>
      </c>
    </row>
    <row r="103" spans="1:9" ht="15.75" x14ac:dyDescent="0.25">
      <c r="A103" s="8"/>
      <c r="B103" s="8"/>
      <c r="C103" s="9"/>
      <c r="D103" s="12" t="s">
        <v>99</v>
      </c>
      <c r="E103" s="14">
        <v>272373.7</v>
      </c>
      <c r="F103" s="14">
        <v>830807.32452402613</v>
      </c>
      <c r="G103" s="14">
        <v>161158.71</v>
      </c>
      <c r="H103" s="14">
        <v>0</v>
      </c>
      <c r="I103" s="13">
        <f t="shared" si="1"/>
        <v>1264339.734524026</v>
      </c>
    </row>
    <row r="104" spans="1:9" ht="15.75" x14ac:dyDescent="0.25">
      <c r="A104" s="8"/>
      <c r="B104" s="8"/>
      <c r="C104" s="9"/>
      <c r="D104" s="12" t="s">
        <v>100</v>
      </c>
      <c r="E104" s="14">
        <v>2600856.62</v>
      </c>
      <c r="F104" s="14">
        <v>1518165.3513749402</v>
      </c>
      <c r="G104" s="14">
        <v>2270052.4300000002</v>
      </c>
      <c r="H104" s="14">
        <v>0</v>
      </c>
      <c r="I104" s="13">
        <f t="shared" si="1"/>
        <v>6389074.4013749398</v>
      </c>
    </row>
    <row r="105" spans="1:9" ht="15.75" x14ac:dyDescent="0.25">
      <c r="A105" s="8"/>
      <c r="B105" s="8"/>
      <c r="C105" s="9"/>
      <c r="D105" s="12" t="s">
        <v>101</v>
      </c>
      <c r="E105" s="14">
        <v>384864.68000000005</v>
      </c>
      <c r="F105" s="14">
        <v>2254539.6892300141</v>
      </c>
      <c r="G105" s="14">
        <v>19190.629999999997</v>
      </c>
      <c r="H105" s="14">
        <v>0</v>
      </c>
      <c r="I105" s="13">
        <f t="shared" si="1"/>
        <v>2658594.9992300142</v>
      </c>
    </row>
    <row r="106" spans="1:9" ht="15.75" x14ac:dyDescent="0.25">
      <c r="A106" s="8"/>
      <c r="B106" s="8"/>
      <c r="C106" s="9"/>
      <c r="D106" s="12" t="s">
        <v>102</v>
      </c>
      <c r="E106" s="14">
        <v>709237.41</v>
      </c>
      <c r="F106" s="14">
        <v>139083.78247430403</v>
      </c>
      <c r="G106" s="14">
        <v>3404348.38</v>
      </c>
      <c r="H106" s="14">
        <v>0</v>
      </c>
      <c r="I106" s="13">
        <f t="shared" si="1"/>
        <v>4252669.5724743037</v>
      </c>
    </row>
    <row r="107" spans="1:9" ht="15.75" x14ac:dyDescent="0.25">
      <c r="A107" s="8"/>
      <c r="B107" s="8"/>
      <c r="C107" s="9"/>
      <c r="D107" s="12" t="s">
        <v>103</v>
      </c>
      <c r="E107" s="14">
        <v>0</v>
      </c>
      <c r="F107" s="14">
        <v>0</v>
      </c>
      <c r="G107" s="14">
        <v>1075385.8699999999</v>
      </c>
      <c r="H107" s="14">
        <v>0</v>
      </c>
      <c r="I107" s="13">
        <f t="shared" si="1"/>
        <v>1075385.8699999999</v>
      </c>
    </row>
    <row r="108" spans="1:9" ht="15.75" x14ac:dyDescent="0.25">
      <c r="A108" s="8"/>
      <c r="B108" s="8"/>
      <c r="C108" s="9"/>
      <c r="D108" s="12" t="s">
        <v>104</v>
      </c>
      <c r="E108" s="14">
        <v>158178.93</v>
      </c>
      <c r="F108" s="14">
        <v>0</v>
      </c>
      <c r="G108" s="14">
        <v>559702.55999999994</v>
      </c>
      <c r="H108" s="14">
        <v>0</v>
      </c>
      <c r="I108" s="13">
        <f t="shared" si="1"/>
        <v>717881.49</v>
      </c>
    </row>
    <row r="109" spans="1:9" ht="15.75" x14ac:dyDescent="0.25">
      <c r="A109" s="8"/>
      <c r="B109" s="8"/>
      <c r="C109" s="9"/>
      <c r="D109" s="12" t="s">
        <v>105</v>
      </c>
      <c r="E109" s="14">
        <v>239237.82999999996</v>
      </c>
      <c r="F109" s="14">
        <v>3731711.321128428</v>
      </c>
      <c r="G109" s="14">
        <v>320138.14999999997</v>
      </c>
      <c r="H109" s="14">
        <v>0</v>
      </c>
      <c r="I109" s="13">
        <f t="shared" si="1"/>
        <v>4291087.3011284284</v>
      </c>
    </row>
    <row r="110" spans="1:9" ht="15.75" x14ac:dyDescent="0.25">
      <c r="A110" s="8"/>
      <c r="B110" s="8"/>
      <c r="C110" s="9"/>
      <c r="D110" s="12" t="s">
        <v>106</v>
      </c>
      <c r="E110" s="14">
        <v>296971.78999999992</v>
      </c>
      <c r="F110" s="14">
        <v>1002096.3550877821</v>
      </c>
      <c r="G110" s="14">
        <v>187552.11000000002</v>
      </c>
      <c r="H110" s="14">
        <v>0</v>
      </c>
      <c r="I110" s="13">
        <f t="shared" si="1"/>
        <v>1486620.2550877822</v>
      </c>
    </row>
    <row r="111" spans="1:9" ht="15.75" x14ac:dyDescent="0.25">
      <c r="A111" s="8"/>
      <c r="B111" s="8"/>
      <c r="C111" s="9"/>
      <c r="D111" s="12" t="s">
        <v>107</v>
      </c>
      <c r="E111" s="14">
        <v>4471.0999999999995</v>
      </c>
      <c r="F111" s="14">
        <v>13900.719448836</v>
      </c>
      <c r="G111" s="14">
        <v>4781138.91</v>
      </c>
      <c r="H111" s="14">
        <v>0</v>
      </c>
      <c r="I111" s="13">
        <f t="shared" si="1"/>
        <v>4799510.7294488363</v>
      </c>
    </row>
    <row r="112" spans="1:9" ht="15.75" x14ac:dyDescent="0.25">
      <c r="A112" s="8"/>
      <c r="B112" s="8"/>
      <c r="C112" s="9"/>
      <c r="D112" s="12" t="s">
        <v>108</v>
      </c>
      <c r="E112" s="14">
        <v>1341128.7699999998</v>
      </c>
      <c r="F112" s="14">
        <v>951586.57835771411</v>
      </c>
      <c r="G112" s="14">
        <v>774265.29000000015</v>
      </c>
      <c r="H112" s="14">
        <v>0</v>
      </c>
      <c r="I112" s="13">
        <f t="shared" si="1"/>
        <v>3066980.6383577138</v>
      </c>
    </row>
    <row r="113" spans="1:9" ht="15.75" x14ac:dyDescent="0.25">
      <c r="A113" s="8"/>
      <c r="B113" s="8"/>
      <c r="C113" s="9"/>
      <c r="D113" s="12" t="s">
        <v>109</v>
      </c>
      <c r="E113" s="14">
        <v>859389.01000000013</v>
      </c>
      <c r="F113" s="14">
        <v>2291148.7465112461</v>
      </c>
      <c r="G113" s="14">
        <v>245533.28</v>
      </c>
      <c r="H113" s="14">
        <v>0</v>
      </c>
      <c r="I113" s="13">
        <f t="shared" si="1"/>
        <v>3396071.0365112461</v>
      </c>
    </row>
    <row r="114" spans="1:9" ht="15.75" x14ac:dyDescent="0.25">
      <c r="A114" s="8"/>
      <c r="B114" s="8"/>
      <c r="C114" s="9"/>
      <c r="D114" s="12" t="s">
        <v>110</v>
      </c>
      <c r="E114" s="14">
        <v>806727.84</v>
      </c>
      <c r="F114" s="14">
        <v>2627867.8267140426</v>
      </c>
      <c r="G114" s="14">
        <v>887418.32</v>
      </c>
      <c r="H114" s="14">
        <v>0</v>
      </c>
      <c r="I114" s="13">
        <f t="shared" si="1"/>
        <v>4322013.9867140427</v>
      </c>
    </row>
    <row r="115" spans="1:9" ht="15.75" x14ac:dyDescent="0.25">
      <c r="A115" s="8"/>
      <c r="B115" s="8"/>
      <c r="C115" s="9"/>
      <c r="D115" s="12" t="s">
        <v>111</v>
      </c>
      <c r="E115" s="14">
        <v>3912346.33</v>
      </c>
      <c r="F115" s="14">
        <v>1299296.0345434742</v>
      </c>
      <c r="G115" s="14">
        <v>1000690.2100000002</v>
      </c>
      <c r="H115" s="14">
        <v>0</v>
      </c>
      <c r="I115" s="13">
        <f t="shared" si="1"/>
        <v>6212332.5745434742</v>
      </c>
    </row>
    <row r="116" spans="1:9" ht="15.75" x14ac:dyDescent="0.25">
      <c r="A116" s="8"/>
      <c r="B116" s="8"/>
      <c r="C116" s="9"/>
      <c r="D116" s="12" t="s">
        <v>112</v>
      </c>
      <c r="E116" s="14">
        <v>450540.04000000004</v>
      </c>
      <c r="F116" s="14">
        <v>1687252.4773428063</v>
      </c>
      <c r="G116" s="14">
        <v>175016.65</v>
      </c>
      <c r="H116" s="14">
        <v>0</v>
      </c>
      <c r="I116" s="13">
        <f t="shared" si="1"/>
        <v>2312809.1673428062</v>
      </c>
    </row>
    <row r="117" spans="1:9" ht="15.75" x14ac:dyDescent="0.25">
      <c r="A117" s="8"/>
      <c r="B117" s="8"/>
      <c r="C117" s="9"/>
      <c r="D117" s="12" t="s">
        <v>113</v>
      </c>
      <c r="E117" s="14">
        <v>638238.7300000001</v>
      </c>
      <c r="F117" s="14">
        <v>1302953.1108723001</v>
      </c>
      <c r="G117" s="14">
        <v>585205.43000000005</v>
      </c>
      <c r="H117" s="14">
        <v>0</v>
      </c>
      <c r="I117" s="13">
        <f t="shared" si="1"/>
        <v>2526397.2708723005</v>
      </c>
    </row>
    <row r="118" spans="1:9" ht="15.75" x14ac:dyDescent="0.25">
      <c r="A118" s="8"/>
      <c r="B118" s="8"/>
      <c r="C118" s="9"/>
      <c r="D118" s="12" t="s">
        <v>114</v>
      </c>
      <c r="E118" s="14">
        <v>1641803.4200000002</v>
      </c>
      <c r="F118" s="14">
        <v>2034942.7865320803</v>
      </c>
      <c r="G118" s="14">
        <v>615118.64</v>
      </c>
      <c r="H118" s="14">
        <v>0</v>
      </c>
      <c r="I118" s="13">
        <f t="shared" si="1"/>
        <v>4291864.8465320803</v>
      </c>
    </row>
    <row r="119" spans="1:9" ht="15.75" x14ac:dyDescent="0.25">
      <c r="A119" s="8"/>
      <c r="B119" s="8"/>
      <c r="C119" s="9"/>
      <c r="D119" s="12" t="s">
        <v>115</v>
      </c>
      <c r="E119" s="14">
        <v>194200.08999999997</v>
      </c>
      <c r="F119" s="14">
        <v>197635.29772849203</v>
      </c>
      <c r="G119" s="14">
        <v>291005.87000000005</v>
      </c>
      <c r="H119" s="14">
        <v>0</v>
      </c>
      <c r="I119" s="13">
        <f t="shared" si="1"/>
        <v>682841.25772849214</v>
      </c>
    </row>
    <row r="120" spans="1:9" ht="15.75" x14ac:dyDescent="0.25">
      <c r="A120" s="8"/>
      <c r="B120" s="8"/>
      <c r="C120" s="9"/>
      <c r="D120" s="12" t="s">
        <v>116</v>
      </c>
      <c r="E120" s="14">
        <v>1604294.7999999998</v>
      </c>
      <c r="F120" s="14">
        <v>863759.3054764322</v>
      </c>
      <c r="G120" s="14">
        <v>1012155.3900000001</v>
      </c>
      <c r="H120" s="14">
        <v>0</v>
      </c>
      <c r="I120" s="13">
        <f t="shared" si="1"/>
        <v>3480209.4954764321</v>
      </c>
    </row>
    <row r="121" spans="1:9" ht="15.75" x14ac:dyDescent="0.25">
      <c r="A121" s="8"/>
      <c r="B121" s="8"/>
      <c r="C121" s="9"/>
      <c r="D121" s="12" t="s">
        <v>117</v>
      </c>
      <c r="E121" s="14">
        <v>647266.4</v>
      </c>
      <c r="F121" s="14">
        <v>1324914.7158417422</v>
      </c>
      <c r="G121" s="14">
        <v>393226.54</v>
      </c>
      <c r="H121" s="14">
        <v>0</v>
      </c>
      <c r="I121" s="13">
        <f t="shared" si="1"/>
        <v>2365407.6558417422</v>
      </c>
    </row>
    <row r="122" spans="1:9" ht="15.75" x14ac:dyDescent="0.25">
      <c r="A122" s="8"/>
      <c r="B122" s="8"/>
      <c r="C122" s="9"/>
      <c r="D122" s="12" t="s">
        <v>118</v>
      </c>
      <c r="E122" s="14">
        <v>701330.90000000014</v>
      </c>
      <c r="F122" s="14">
        <v>945000.0115665301</v>
      </c>
      <c r="G122" s="14">
        <v>818292.85</v>
      </c>
      <c r="H122" s="14">
        <v>0</v>
      </c>
      <c r="I122" s="13">
        <f t="shared" si="1"/>
        <v>2464623.7615665304</v>
      </c>
    </row>
    <row r="123" spans="1:9" ht="15.75" x14ac:dyDescent="0.25">
      <c r="A123" s="8"/>
      <c r="B123" s="8"/>
      <c r="C123" s="9"/>
      <c r="D123" s="12" t="s">
        <v>119</v>
      </c>
      <c r="E123" s="14">
        <v>870540.27</v>
      </c>
      <c r="F123" s="14">
        <v>1736287.935343452</v>
      </c>
      <c r="G123" s="14">
        <v>229948.22</v>
      </c>
      <c r="H123" s="14">
        <v>0</v>
      </c>
      <c r="I123" s="13">
        <f t="shared" si="1"/>
        <v>2836776.4253434525</v>
      </c>
    </row>
    <row r="124" spans="1:9" ht="15.75" x14ac:dyDescent="0.25">
      <c r="A124" s="8"/>
      <c r="B124" s="8"/>
      <c r="C124" s="9"/>
      <c r="D124" s="12" t="s">
        <v>120</v>
      </c>
      <c r="E124" s="14">
        <v>76093.75</v>
      </c>
      <c r="F124" s="14">
        <v>0</v>
      </c>
      <c r="G124" s="14">
        <v>1719193.5300000003</v>
      </c>
      <c r="H124" s="14">
        <v>3126768.3350000004</v>
      </c>
      <c r="I124" s="13">
        <f t="shared" si="1"/>
        <v>4922055.6150000002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6517143.2300000004</v>
      </c>
      <c r="H125" s="14">
        <v>1060921.24</v>
      </c>
      <c r="I125" s="13">
        <f t="shared" si="1"/>
        <v>7578064.4700000007</v>
      </c>
    </row>
    <row r="126" spans="1:9" ht="15.75" x14ac:dyDescent="0.25">
      <c r="A126" s="8"/>
      <c r="B126" s="8"/>
      <c r="C126" s="9"/>
      <c r="D126" s="12" t="s">
        <v>122</v>
      </c>
      <c r="E126" s="14">
        <v>8837.08</v>
      </c>
      <c r="F126" s="14">
        <v>0</v>
      </c>
      <c r="G126" s="14">
        <v>2289713.8199999998</v>
      </c>
      <c r="H126" s="14">
        <v>0</v>
      </c>
      <c r="I126" s="13">
        <f t="shared" si="1"/>
        <v>2298550.9</v>
      </c>
    </row>
    <row r="127" spans="1:9" ht="15.75" x14ac:dyDescent="0.25">
      <c r="A127" s="8"/>
      <c r="B127" s="8"/>
      <c r="C127" s="9"/>
      <c r="D127" s="12" t="s">
        <v>123</v>
      </c>
      <c r="E127" s="14">
        <v>990316.37999999989</v>
      </c>
      <c r="F127" s="14">
        <v>365994.83782989002</v>
      </c>
      <c r="G127" s="14">
        <v>18297710.91</v>
      </c>
      <c r="H127" s="14">
        <v>0</v>
      </c>
      <c r="I127" s="13">
        <f t="shared" si="1"/>
        <v>19654022.127829891</v>
      </c>
    </row>
    <row r="128" spans="1:9" ht="15.75" x14ac:dyDescent="0.25">
      <c r="A128" s="8"/>
      <c r="B128" s="8"/>
      <c r="C128" s="9"/>
      <c r="D128" s="12" t="s">
        <v>124</v>
      </c>
      <c r="E128" s="14">
        <v>2008874.5699999998</v>
      </c>
      <c r="F128" s="14">
        <v>1046747.1508931341</v>
      </c>
      <c r="G128" s="14">
        <v>977197.3600000001</v>
      </c>
      <c r="H128" s="14">
        <v>0</v>
      </c>
      <c r="I128" s="13">
        <f t="shared" si="1"/>
        <v>4032819.0808931338</v>
      </c>
    </row>
    <row r="129" spans="1:9" ht="15.75" x14ac:dyDescent="0.25">
      <c r="A129" s="8"/>
      <c r="B129" s="8"/>
      <c r="C129" s="9"/>
      <c r="D129" s="12" t="s">
        <v>125</v>
      </c>
      <c r="E129" s="14">
        <v>464752.31000000006</v>
      </c>
      <c r="F129" s="14">
        <v>552658.90657190408</v>
      </c>
      <c r="G129" s="14">
        <v>457321.27999999997</v>
      </c>
      <c r="H129" s="14">
        <v>0</v>
      </c>
      <c r="I129" s="13">
        <f t="shared" si="1"/>
        <v>1474732.496571904</v>
      </c>
    </row>
    <row r="130" spans="1:9" ht="15.75" x14ac:dyDescent="0.25">
      <c r="A130" s="8"/>
      <c r="B130" s="8"/>
      <c r="C130" s="9"/>
      <c r="D130" s="12" t="s">
        <v>126</v>
      </c>
      <c r="E130" s="14">
        <v>445563.58999999991</v>
      </c>
      <c r="F130" s="14">
        <v>973548.18332715624</v>
      </c>
      <c r="G130" s="14">
        <v>114358.22999999998</v>
      </c>
      <c r="H130" s="14">
        <v>0</v>
      </c>
      <c r="I130" s="13">
        <f t="shared" si="1"/>
        <v>1533470.0033271562</v>
      </c>
    </row>
    <row r="131" spans="1:9" ht="15.75" x14ac:dyDescent="0.25">
      <c r="A131" s="8"/>
      <c r="B131" s="8"/>
      <c r="C131" s="9"/>
      <c r="D131" s="12" t="s">
        <v>127</v>
      </c>
      <c r="E131" s="14">
        <v>2806668.5599999996</v>
      </c>
      <c r="F131" s="14">
        <v>5320873.7354734568</v>
      </c>
      <c r="G131" s="14">
        <v>3819328.7900000005</v>
      </c>
      <c r="H131" s="14">
        <v>0</v>
      </c>
      <c r="I131" s="13">
        <f t="shared" si="1"/>
        <v>11946871.085473457</v>
      </c>
    </row>
    <row r="132" spans="1:9" ht="15.75" x14ac:dyDescent="0.25">
      <c r="A132" s="8"/>
      <c r="B132" s="8"/>
      <c r="C132" s="9"/>
      <c r="D132" s="12" t="s">
        <v>128</v>
      </c>
      <c r="E132" s="14">
        <v>757358.02000000025</v>
      </c>
      <c r="F132" s="14">
        <v>3264696.9298384022</v>
      </c>
      <c r="G132" s="14">
        <v>70567.16</v>
      </c>
      <c r="H132" s="14">
        <v>0</v>
      </c>
      <c r="I132" s="13">
        <f t="shared" si="1"/>
        <v>4092622.1098384028</v>
      </c>
    </row>
    <row r="133" spans="1:9" ht="15.75" x14ac:dyDescent="0.25">
      <c r="A133" s="8"/>
      <c r="B133" s="8"/>
      <c r="C133" s="9"/>
      <c r="D133" s="12" t="s">
        <v>129</v>
      </c>
      <c r="E133" s="14">
        <v>480957.06</v>
      </c>
      <c r="F133" s="14">
        <v>0</v>
      </c>
      <c r="G133" s="14">
        <v>9256670.7499999981</v>
      </c>
      <c r="H133" s="14">
        <v>2563611.9799999995</v>
      </c>
      <c r="I133" s="13">
        <f t="shared" si="1"/>
        <v>12301239.789999999</v>
      </c>
    </row>
    <row r="134" spans="1:9" ht="15.75" x14ac:dyDescent="0.25">
      <c r="A134" s="8"/>
      <c r="B134" s="8"/>
      <c r="C134" s="9"/>
      <c r="D134" s="12" t="s">
        <v>130</v>
      </c>
      <c r="E134" s="14">
        <v>67764.83</v>
      </c>
      <c r="F134" s="14">
        <v>161045.38744374603</v>
      </c>
      <c r="G134" s="14">
        <v>21229.48</v>
      </c>
      <c r="H134" s="14">
        <v>0</v>
      </c>
      <c r="I134" s="13">
        <f t="shared" si="1"/>
        <v>250039.69744374606</v>
      </c>
    </row>
    <row r="135" spans="1:9" ht="15.75" x14ac:dyDescent="0.25">
      <c r="A135" s="8"/>
      <c r="B135" s="8"/>
      <c r="C135" s="9"/>
      <c r="D135" s="12" t="s">
        <v>131</v>
      </c>
      <c r="E135" s="14">
        <v>612913.53</v>
      </c>
      <c r="F135" s="14">
        <v>2034942.7865320803</v>
      </c>
      <c r="G135" s="14">
        <v>199814.16000000003</v>
      </c>
      <c r="H135" s="14">
        <v>0</v>
      </c>
      <c r="I135" s="13">
        <f t="shared" si="1"/>
        <v>2847670.4765320802</v>
      </c>
    </row>
    <row r="136" spans="1:9" ht="15.75" x14ac:dyDescent="0.25">
      <c r="A136" s="8"/>
      <c r="B136" s="8"/>
      <c r="C136" s="9"/>
      <c r="D136" s="12" t="s">
        <v>132</v>
      </c>
      <c r="E136" s="14">
        <v>2222002.23</v>
      </c>
      <c r="F136" s="14">
        <v>2459508.2866126443</v>
      </c>
      <c r="G136" s="14">
        <v>1701790.7</v>
      </c>
      <c r="H136" s="14">
        <v>0</v>
      </c>
      <c r="I136" s="13">
        <f t="shared" si="1"/>
        <v>6383301.2166126445</v>
      </c>
    </row>
    <row r="137" spans="1:9" ht="15.75" x14ac:dyDescent="0.25">
      <c r="A137" s="8"/>
      <c r="B137" s="8"/>
      <c r="C137" s="9"/>
      <c r="D137" s="12" t="s">
        <v>133</v>
      </c>
      <c r="E137" s="14">
        <v>1685808.79</v>
      </c>
      <c r="F137" s="14">
        <v>4132113.3116436605</v>
      </c>
      <c r="G137" s="14">
        <v>2211437.0499999998</v>
      </c>
      <c r="H137" s="14">
        <v>0</v>
      </c>
      <c r="I137" s="13">
        <f t="shared" si="1"/>
        <v>8029359.1516436609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3312027.85</v>
      </c>
      <c r="H138" s="14">
        <v>0</v>
      </c>
      <c r="I138" s="13">
        <f t="shared" ref="I138:I144" si="2">SUM(E138:H138)</f>
        <v>3312027.85</v>
      </c>
    </row>
    <row r="139" spans="1:9" ht="15.75" x14ac:dyDescent="0.25">
      <c r="A139" s="8"/>
      <c r="B139" s="8"/>
      <c r="C139" s="9"/>
      <c r="D139" s="12" t="s">
        <v>135</v>
      </c>
      <c r="E139" s="14">
        <v>141882.75</v>
      </c>
      <c r="F139" s="14">
        <v>579005.17373664002</v>
      </c>
      <c r="G139" s="14">
        <v>269017.26</v>
      </c>
      <c r="H139" s="14">
        <v>0</v>
      </c>
      <c r="I139" s="13">
        <f t="shared" si="2"/>
        <v>989905.18373664003</v>
      </c>
    </row>
    <row r="140" spans="1:9" ht="15.75" x14ac:dyDescent="0.25">
      <c r="A140" s="8"/>
      <c r="B140" s="8"/>
      <c r="C140" s="9"/>
      <c r="D140" s="12" t="s">
        <v>136</v>
      </c>
      <c r="E140" s="14">
        <v>1475399.5899999996</v>
      </c>
      <c r="F140" s="14">
        <v>4106494.630345392</v>
      </c>
      <c r="G140" s="14">
        <v>1860531.9300000002</v>
      </c>
      <c r="H140" s="14">
        <v>0</v>
      </c>
      <c r="I140" s="13">
        <f t="shared" si="2"/>
        <v>7442426.1503453925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5746603.7700000005</v>
      </c>
      <c r="H141" s="14">
        <v>281873</v>
      </c>
      <c r="I141" s="13">
        <f t="shared" si="2"/>
        <v>6028476.7700000005</v>
      </c>
    </row>
    <row r="142" spans="1:9" ht="15.75" x14ac:dyDescent="0.25">
      <c r="A142" s="8"/>
      <c r="B142" s="8"/>
      <c r="C142" s="9"/>
      <c r="D142" s="12" t="s">
        <v>138</v>
      </c>
      <c r="E142" s="14">
        <v>37851.909999999996</v>
      </c>
      <c r="F142" s="14">
        <v>0</v>
      </c>
      <c r="G142" s="14">
        <v>815397.75999999989</v>
      </c>
      <c r="H142" s="14">
        <v>0</v>
      </c>
      <c r="I142" s="13">
        <f t="shared" si="2"/>
        <v>853249.66999999993</v>
      </c>
    </row>
    <row r="143" spans="1:9" ht="15.75" x14ac:dyDescent="0.25">
      <c r="A143" s="8"/>
      <c r="B143" s="8"/>
      <c r="C143" s="9"/>
      <c r="D143" s="12" t="s">
        <v>139</v>
      </c>
      <c r="E143" s="14">
        <v>100931.14000000001</v>
      </c>
      <c r="F143" s="14">
        <v>3795394.231440864</v>
      </c>
      <c r="G143" s="14">
        <v>177921.31000000003</v>
      </c>
      <c r="H143" s="14">
        <v>0</v>
      </c>
      <c r="I143" s="13">
        <f t="shared" si="2"/>
        <v>4074246.6814408642</v>
      </c>
    </row>
    <row r="144" spans="1:9" ht="15.75" x14ac:dyDescent="0.25">
      <c r="A144" s="8"/>
      <c r="B144" s="8"/>
      <c r="C144" s="9"/>
      <c r="D144" s="12" t="s">
        <v>140</v>
      </c>
      <c r="E144" s="14">
        <v>1162025.2500000002</v>
      </c>
      <c r="F144" s="14">
        <v>461155.41036531009</v>
      </c>
      <c r="G144" s="14">
        <v>1007813.54</v>
      </c>
      <c r="H144" s="14">
        <v>0</v>
      </c>
      <c r="I144" s="13">
        <f t="shared" si="2"/>
        <v>2630994.2003653105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110865256.85000007</v>
      </c>
      <c r="F145" s="22">
        <f>SUM(F10:F144)</f>
        <v>191461195.53560942</v>
      </c>
      <c r="G145" s="22">
        <f>SUM(G10:G144)</f>
        <v>225112029.98999989</v>
      </c>
      <c r="H145" s="22">
        <f>SUM(H10:H144)</f>
        <v>7033174.5549999997</v>
      </c>
      <c r="I145" s="22">
        <f>SUM(I10:I144)</f>
        <v>534471656.9306097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160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429418.21999999991</v>
      </c>
      <c r="F10" s="16">
        <v>3689430.9572799895</v>
      </c>
      <c r="G10" s="16">
        <v>645124.42000000004</v>
      </c>
      <c r="H10" s="16">
        <v>0</v>
      </c>
      <c r="I10" s="13">
        <f t="shared" ref="I10:I73" si="0">SUM(E10:H10)</f>
        <v>4763973.5972799892</v>
      </c>
    </row>
    <row r="11" spans="1:9" ht="15.75" x14ac:dyDescent="0.25">
      <c r="A11" s="8"/>
      <c r="B11" s="8"/>
      <c r="C11" s="9"/>
      <c r="D11" s="12" t="s">
        <v>7</v>
      </c>
      <c r="E11" s="16">
        <v>1217787.3500000001</v>
      </c>
      <c r="F11" s="16">
        <v>2070792.8469628796</v>
      </c>
      <c r="G11" s="16">
        <v>608646.29</v>
      </c>
      <c r="H11" s="16">
        <v>0</v>
      </c>
      <c r="I11" s="13">
        <f t="shared" si="0"/>
        <v>3897226.48696288</v>
      </c>
    </row>
    <row r="12" spans="1:9" ht="15.75" x14ac:dyDescent="0.25">
      <c r="A12" s="8"/>
      <c r="B12" s="8"/>
      <c r="C12" s="9"/>
      <c r="D12" s="12" t="s">
        <v>8</v>
      </c>
      <c r="E12" s="16">
        <v>392119.89000000013</v>
      </c>
      <c r="F12" s="16">
        <v>750728.21024870989</v>
      </c>
      <c r="G12" s="16">
        <v>496619.54000000004</v>
      </c>
      <c r="H12" s="16">
        <v>0</v>
      </c>
      <c r="I12" s="13">
        <f t="shared" si="0"/>
        <v>1639467.6402487101</v>
      </c>
    </row>
    <row r="13" spans="1:9" ht="15.75" x14ac:dyDescent="0.25">
      <c r="A13" s="8"/>
      <c r="B13" s="8"/>
      <c r="C13" s="9"/>
      <c r="D13" s="12" t="s">
        <v>9</v>
      </c>
      <c r="E13" s="16">
        <v>277213.30999999994</v>
      </c>
      <c r="F13" s="16">
        <v>19862.183866289997</v>
      </c>
      <c r="G13" s="16">
        <v>4109334.7099999995</v>
      </c>
      <c r="H13" s="16">
        <v>0</v>
      </c>
      <c r="I13" s="13">
        <f t="shared" si="0"/>
        <v>4406410.2038662899</v>
      </c>
    </row>
    <row r="14" spans="1:9" ht="15.75" x14ac:dyDescent="0.25">
      <c r="A14" s="8"/>
      <c r="B14" s="8"/>
      <c r="C14" s="9"/>
      <c r="D14" s="12" t="s">
        <v>10</v>
      </c>
      <c r="E14" s="16">
        <v>887188.32</v>
      </c>
      <c r="F14" s="16">
        <v>834142.45583189989</v>
      </c>
      <c r="G14" s="16">
        <v>899321.08000000007</v>
      </c>
      <c r="H14" s="16">
        <v>0</v>
      </c>
      <c r="I14" s="13">
        <f t="shared" si="0"/>
        <v>2620651.8558318997</v>
      </c>
    </row>
    <row r="15" spans="1:9" ht="15.75" x14ac:dyDescent="0.25">
      <c r="A15" s="8"/>
      <c r="B15" s="8"/>
      <c r="C15" s="9"/>
      <c r="D15" s="12" t="s">
        <v>11</v>
      </c>
      <c r="E15" s="16">
        <v>231109.08</v>
      </c>
      <c r="F15" s="16">
        <v>4640.8590027599994</v>
      </c>
      <c r="G15" s="16">
        <v>4561857.8099999996</v>
      </c>
      <c r="H15" s="16">
        <v>0</v>
      </c>
      <c r="I15" s="13">
        <f t="shared" si="0"/>
        <v>4797607.7490027593</v>
      </c>
    </row>
    <row r="16" spans="1:9" ht="15.75" x14ac:dyDescent="0.25">
      <c r="A16" s="8"/>
      <c r="B16" s="8"/>
      <c r="C16" s="9"/>
      <c r="D16" s="12" t="s">
        <v>12</v>
      </c>
      <c r="E16" s="16">
        <v>1296678.1399999999</v>
      </c>
      <c r="F16" s="16">
        <v>3977406.6483840896</v>
      </c>
      <c r="G16" s="16">
        <v>1176284.4200000002</v>
      </c>
      <c r="H16" s="16">
        <v>0</v>
      </c>
      <c r="I16" s="13">
        <f t="shared" si="0"/>
        <v>6450369.2083840892</v>
      </c>
    </row>
    <row r="17" spans="1:9" ht="15.75" x14ac:dyDescent="0.25">
      <c r="A17" s="8"/>
      <c r="B17" s="8"/>
      <c r="C17" s="9"/>
      <c r="D17" s="12" t="s">
        <v>13</v>
      </c>
      <c r="E17" s="16">
        <v>2882857.23</v>
      </c>
      <c r="F17" s="16">
        <v>3793365.418976129</v>
      </c>
      <c r="G17" s="16">
        <v>2127388.67</v>
      </c>
      <c r="H17" s="16">
        <v>0</v>
      </c>
      <c r="I17" s="13">
        <f t="shared" si="0"/>
        <v>8803611.3189761285</v>
      </c>
    </row>
    <row r="18" spans="1:9" ht="15.75" x14ac:dyDescent="0.25">
      <c r="A18" s="8"/>
      <c r="B18" s="8"/>
      <c r="C18" s="9"/>
      <c r="D18" s="12" t="s">
        <v>14</v>
      </c>
      <c r="E18" s="16">
        <v>261065.38</v>
      </c>
      <c r="F18" s="16">
        <v>297915.44135627995</v>
      </c>
      <c r="G18" s="16">
        <v>9343011.0699999984</v>
      </c>
      <c r="H18" s="16">
        <v>0</v>
      </c>
      <c r="I18" s="13">
        <f t="shared" si="0"/>
        <v>9901991.8913562782</v>
      </c>
    </row>
    <row r="19" spans="1:9" ht="15.75" x14ac:dyDescent="0.25">
      <c r="A19" s="8"/>
      <c r="B19" s="8"/>
      <c r="C19" s="9"/>
      <c r="D19" s="12" t="s">
        <v>15</v>
      </c>
      <c r="E19" s="16">
        <v>2637370.19</v>
      </c>
      <c r="F19" s="16">
        <v>2843374.6544559295</v>
      </c>
      <c r="G19" s="16">
        <v>1542965.51</v>
      </c>
      <c r="H19" s="16">
        <v>0</v>
      </c>
      <c r="I19" s="13">
        <f t="shared" si="0"/>
        <v>7023710.3544559292</v>
      </c>
    </row>
    <row r="20" spans="1:9" ht="15.75" x14ac:dyDescent="0.25">
      <c r="A20" s="8"/>
      <c r="B20" s="8"/>
      <c r="C20" s="9"/>
      <c r="D20" s="12" t="s">
        <v>16</v>
      </c>
      <c r="E20" s="16">
        <v>1331460.3</v>
      </c>
      <c r="F20" s="16">
        <v>790452.57798128971</v>
      </c>
      <c r="G20" s="16">
        <v>653059.31000000006</v>
      </c>
      <c r="H20" s="16">
        <v>0</v>
      </c>
      <c r="I20" s="13">
        <f t="shared" si="0"/>
        <v>2774972.1879812898</v>
      </c>
    </row>
    <row r="21" spans="1:9" ht="15.75" x14ac:dyDescent="0.25">
      <c r="A21" s="8"/>
      <c r="B21" s="8"/>
      <c r="C21" s="9"/>
      <c r="D21" s="12" t="s">
        <v>17</v>
      </c>
      <c r="E21" s="16">
        <v>1316196.8599999999</v>
      </c>
      <c r="F21" s="16">
        <v>3401455.2661758894</v>
      </c>
      <c r="G21" s="16">
        <v>571104.01</v>
      </c>
      <c r="H21" s="16">
        <v>0</v>
      </c>
      <c r="I21" s="13">
        <f t="shared" si="0"/>
        <v>5288756.1361758895</v>
      </c>
    </row>
    <row r="22" spans="1:9" ht="15.75" x14ac:dyDescent="0.25">
      <c r="A22" s="8"/>
      <c r="B22" s="8"/>
      <c r="C22" s="9"/>
      <c r="D22" s="12" t="s">
        <v>18</v>
      </c>
      <c r="E22" s="16">
        <v>124014.02</v>
      </c>
      <c r="F22" s="16">
        <v>145650.24280676997</v>
      </c>
      <c r="G22" s="16">
        <v>3646305.5799999996</v>
      </c>
      <c r="H22" s="16">
        <v>0</v>
      </c>
      <c r="I22" s="13">
        <f t="shared" si="0"/>
        <v>3915969.8428067695</v>
      </c>
    </row>
    <row r="23" spans="1:9" ht="15.75" x14ac:dyDescent="0.25">
      <c r="A23" s="8"/>
      <c r="B23" s="8"/>
      <c r="C23" s="9"/>
      <c r="D23" s="12" t="s">
        <v>19</v>
      </c>
      <c r="E23" s="16">
        <v>81039.990000000005</v>
      </c>
      <c r="F23" s="16">
        <v>54287.660349449994</v>
      </c>
      <c r="G23" s="16">
        <v>1229880.3699999996</v>
      </c>
      <c r="H23" s="16">
        <v>0</v>
      </c>
      <c r="I23" s="13">
        <f t="shared" si="0"/>
        <v>1365208.0203494497</v>
      </c>
    </row>
    <row r="24" spans="1:9" ht="15.75" x14ac:dyDescent="0.25">
      <c r="A24" s="8"/>
      <c r="B24" s="8"/>
      <c r="C24" s="9"/>
      <c r="D24" s="12" t="s">
        <v>20</v>
      </c>
      <c r="E24" s="16">
        <v>1679462.9899999998</v>
      </c>
      <c r="F24" s="16">
        <v>2086031.4884644798</v>
      </c>
      <c r="G24" s="16">
        <v>1378396.76</v>
      </c>
      <c r="H24" s="16">
        <v>0</v>
      </c>
      <c r="I24" s="13">
        <f t="shared" si="0"/>
        <v>5143891.2384644793</v>
      </c>
    </row>
    <row r="25" spans="1:9" ht="15.75" x14ac:dyDescent="0.25">
      <c r="A25" s="8"/>
      <c r="B25" s="8"/>
      <c r="C25" s="9"/>
      <c r="D25" s="12" t="s">
        <v>21</v>
      </c>
      <c r="E25" s="16">
        <v>2032289.4999999998</v>
      </c>
      <c r="F25" s="16">
        <v>1549129.1251041298</v>
      </c>
      <c r="G25" s="16">
        <v>1310236.8600000001</v>
      </c>
      <c r="H25" s="16">
        <v>0</v>
      </c>
      <c r="I25" s="13">
        <f t="shared" si="0"/>
        <v>4891655.4851041296</v>
      </c>
    </row>
    <row r="26" spans="1:9" ht="15.75" x14ac:dyDescent="0.25">
      <c r="A26" s="8"/>
      <c r="B26" s="8"/>
      <c r="C26" s="9"/>
      <c r="D26" s="12" t="s">
        <v>22</v>
      </c>
      <c r="E26" s="16">
        <v>1513691.6700000004</v>
      </c>
      <c r="F26" s="16">
        <v>887114.05168802978</v>
      </c>
      <c r="G26" s="16">
        <v>670309.35000000009</v>
      </c>
      <c r="H26" s="16">
        <v>0</v>
      </c>
      <c r="I26" s="13">
        <f t="shared" si="0"/>
        <v>3071115.0716880304</v>
      </c>
    </row>
    <row r="27" spans="1:9" ht="15.75" x14ac:dyDescent="0.25">
      <c r="A27" s="8"/>
      <c r="B27" s="8"/>
      <c r="C27" s="9"/>
      <c r="D27" s="12" t="s">
        <v>23</v>
      </c>
      <c r="E27" s="16">
        <v>415581.83999999991</v>
      </c>
      <c r="F27" s="16">
        <v>152265.19854950995</v>
      </c>
      <c r="G27" s="16">
        <v>1893716.64</v>
      </c>
      <c r="H27" s="16">
        <v>0</v>
      </c>
      <c r="I27" s="13">
        <f t="shared" si="0"/>
        <v>2461563.6785495095</v>
      </c>
    </row>
    <row r="28" spans="1:9" ht="15.75" x14ac:dyDescent="0.25">
      <c r="A28" s="8"/>
      <c r="B28" s="8"/>
      <c r="C28" s="9"/>
      <c r="D28" s="12" t="s">
        <v>24</v>
      </c>
      <c r="E28" s="16">
        <v>888602.96</v>
      </c>
      <c r="F28" s="16">
        <v>721601.62501496985</v>
      </c>
      <c r="G28" s="16">
        <v>1038979.6099999998</v>
      </c>
      <c r="H28" s="16">
        <v>0</v>
      </c>
      <c r="I28" s="13">
        <f t="shared" si="0"/>
        <v>2649184.1950149694</v>
      </c>
    </row>
    <row r="29" spans="1:9" ht="15.75" x14ac:dyDescent="0.25">
      <c r="A29" s="8"/>
      <c r="B29" s="8"/>
      <c r="C29" s="9"/>
      <c r="D29" s="12" t="s">
        <v>25</v>
      </c>
      <c r="E29" s="16">
        <v>657547.83999999985</v>
      </c>
      <c r="F29" s="16">
        <v>403823.99979239993</v>
      </c>
      <c r="G29" s="16">
        <v>387095.73000000004</v>
      </c>
      <c r="H29" s="16">
        <v>0</v>
      </c>
      <c r="I29" s="13">
        <f t="shared" si="0"/>
        <v>1448467.5697923996</v>
      </c>
    </row>
    <row r="30" spans="1:9" ht="15.75" x14ac:dyDescent="0.25">
      <c r="A30" s="8"/>
      <c r="B30" s="8"/>
      <c r="C30" s="9"/>
      <c r="D30" s="12" t="s">
        <v>26</v>
      </c>
      <c r="E30" s="16">
        <v>1346146.02</v>
      </c>
      <c r="F30" s="16">
        <v>2178052.1031684596</v>
      </c>
      <c r="G30" s="16">
        <v>986669.5</v>
      </c>
      <c r="H30" s="16">
        <v>0</v>
      </c>
      <c r="I30" s="13">
        <f t="shared" si="0"/>
        <v>4510867.6231684592</v>
      </c>
    </row>
    <row r="31" spans="1:9" ht="15.75" x14ac:dyDescent="0.25">
      <c r="A31" s="8"/>
      <c r="B31" s="8"/>
      <c r="C31" s="9"/>
      <c r="D31" s="12" t="s">
        <v>27</v>
      </c>
      <c r="E31" s="16">
        <v>1059431.44</v>
      </c>
      <c r="F31" s="16">
        <v>2257483.5219955496</v>
      </c>
      <c r="G31" s="16">
        <v>637721.9</v>
      </c>
      <c r="H31" s="16">
        <v>0</v>
      </c>
      <c r="I31" s="13">
        <f t="shared" si="0"/>
        <v>3954636.8619955494</v>
      </c>
    </row>
    <row r="32" spans="1:9" ht="15.75" x14ac:dyDescent="0.25">
      <c r="A32" s="8"/>
      <c r="B32" s="8"/>
      <c r="C32" s="9"/>
      <c r="D32" s="12" t="s">
        <v>28</v>
      </c>
      <c r="E32" s="16">
        <v>671753.27</v>
      </c>
      <c r="F32" s="16">
        <v>761984.02499420987</v>
      </c>
      <c r="G32" s="16">
        <v>341570.03</v>
      </c>
      <c r="H32" s="16">
        <v>0</v>
      </c>
      <c r="I32" s="13">
        <f t="shared" si="0"/>
        <v>1775307.3249942099</v>
      </c>
    </row>
    <row r="33" spans="1:9" ht="15.75" x14ac:dyDescent="0.25">
      <c r="A33" s="8"/>
      <c r="B33" s="8"/>
      <c r="C33" s="9"/>
      <c r="D33" s="12" t="s">
        <v>29</v>
      </c>
      <c r="E33" s="16">
        <v>214704.43</v>
      </c>
      <c r="F33" s="16">
        <v>1151920.0810544698</v>
      </c>
      <c r="G33" s="16">
        <v>337945.92</v>
      </c>
      <c r="H33" s="16">
        <v>0</v>
      </c>
      <c r="I33" s="13">
        <f t="shared" si="0"/>
        <v>1704570.4310544697</v>
      </c>
    </row>
    <row r="34" spans="1:9" ht="15.75" x14ac:dyDescent="0.25">
      <c r="A34" s="8"/>
      <c r="B34" s="8"/>
      <c r="C34" s="9"/>
      <c r="D34" s="12" t="s">
        <v>30</v>
      </c>
      <c r="E34" s="16">
        <v>2145355.35</v>
      </c>
      <c r="F34" s="16">
        <v>1653063.5868002695</v>
      </c>
      <c r="G34" s="16">
        <v>1998566.9800000002</v>
      </c>
      <c r="H34" s="16">
        <v>0</v>
      </c>
      <c r="I34" s="13">
        <f t="shared" si="0"/>
        <v>5796985.9168002699</v>
      </c>
    </row>
    <row r="35" spans="1:9" ht="15.75" x14ac:dyDescent="0.25">
      <c r="A35" s="8"/>
      <c r="B35" s="8"/>
      <c r="C35" s="9"/>
      <c r="D35" s="12" t="s">
        <v>31</v>
      </c>
      <c r="E35" s="16">
        <v>1282855.5799999998</v>
      </c>
      <c r="F35" s="16">
        <v>3039987.7631027093</v>
      </c>
      <c r="G35" s="16">
        <v>1111827.3899999999</v>
      </c>
      <c r="H35" s="16">
        <v>0</v>
      </c>
      <c r="I35" s="13">
        <f t="shared" si="0"/>
        <v>5434670.7331027091</v>
      </c>
    </row>
    <row r="36" spans="1:9" ht="15.75" x14ac:dyDescent="0.25">
      <c r="A36" s="8"/>
      <c r="B36" s="8"/>
      <c r="C36" s="9"/>
      <c r="D36" s="12" t="s">
        <v>32</v>
      </c>
      <c r="E36" s="16">
        <v>978768.1399999999</v>
      </c>
      <c r="F36" s="16">
        <v>1508071.3762401596</v>
      </c>
      <c r="G36" s="16">
        <v>2353578.3199999994</v>
      </c>
      <c r="H36" s="16">
        <v>0</v>
      </c>
      <c r="I36" s="13">
        <f t="shared" si="0"/>
        <v>4840417.8362401593</v>
      </c>
    </row>
    <row r="37" spans="1:9" ht="15.75" x14ac:dyDescent="0.25">
      <c r="A37" s="8"/>
      <c r="B37" s="8"/>
      <c r="C37" s="9"/>
      <c r="D37" s="12" t="s">
        <v>33</v>
      </c>
      <c r="E37" s="16">
        <v>569955.61</v>
      </c>
      <c r="F37" s="16">
        <v>1054600.5751010699</v>
      </c>
      <c r="G37" s="16">
        <v>614343.05000000005</v>
      </c>
      <c r="H37" s="16">
        <v>0</v>
      </c>
      <c r="I37" s="13">
        <f t="shared" si="0"/>
        <v>2238899.2351010703</v>
      </c>
    </row>
    <row r="38" spans="1:9" ht="15.75" x14ac:dyDescent="0.25">
      <c r="A38" s="8"/>
      <c r="B38" s="8"/>
      <c r="C38" s="9"/>
      <c r="D38" s="12" t="s">
        <v>34</v>
      </c>
      <c r="E38" s="16">
        <v>951844.47999999986</v>
      </c>
      <c r="F38" s="16">
        <v>1812601.7733391798</v>
      </c>
      <c r="G38" s="16">
        <v>642179.5199999999</v>
      </c>
      <c r="H38" s="16">
        <v>0</v>
      </c>
      <c r="I38" s="13">
        <f t="shared" si="0"/>
        <v>3406625.7733391798</v>
      </c>
    </row>
    <row r="39" spans="1:9" ht="15.75" x14ac:dyDescent="0.25">
      <c r="A39" s="8"/>
      <c r="B39" s="8"/>
      <c r="C39" s="9"/>
      <c r="D39" s="12" t="s">
        <v>35</v>
      </c>
      <c r="E39" s="16">
        <v>466374.52999999997</v>
      </c>
      <c r="F39" s="16">
        <v>2838075.7632065094</v>
      </c>
      <c r="G39" s="16">
        <v>828612.62</v>
      </c>
      <c r="H39" s="16">
        <v>0</v>
      </c>
      <c r="I39" s="13">
        <f t="shared" si="0"/>
        <v>4133062.9132065093</v>
      </c>
    </row>
    <row r="40" spans="1:9" ht="15.75" x14ac:dyDescent="0.25">
      <c r="A40" s="8"/>
      <c r="B40" s="8"/>
      <c r="C40" s="9"/>
      <c r="D40" s="12" t="s">
        <v>36</v>
      </c>
      <c r="E40" s="16">
        <v>143076.30000000002</v>
      </c>
      <c r="F40" s="16">
        <v>148957.72067813997</v>
      </c>
      <c r="G40" s="16">
        <v>452358.22</v>
      </c>
      <c r="H40" s="16">
        <v>0</v>
      </c>
      <c r="I40" s="13">
        <f t="shared" si="0"/>
        <v>744392.24067813996</v>
      </c>
    </row>
    <row r="41" spans="1:9" ht="15.75" x14ac:dyDescent="0.25">
      <c r="A41" s="8"/>
      <c r="B41" s="8"/>
      <c r="C41" s="9"/>
      <c r="D41" s="12" t="s">
        <v>37</v>
      </c>
      <c r="E41" s="16">
        <v>1575371.0999999996</v>
      </c>
      <c r="F41" s="16">
        <v>2667939.7941687591</v>
      </c>
      <c r="G41" s="16">
        <v>1358585.77</v>
      </c>
      <c r="H41" s="16">
        <v>0</v>
      </c>
      <c r="I41" s="13">
        <f t="shared" si="0"/>
        <v>5601896.6641687583</v>
      </c>
    </row>
    <row r="42" spans="1:9" ht="15.75" x14ac:dyDescent="0.25">
      <c r="A42" s="8"/>
      <c r="B42" s="8"/>
      <c r="C42" s="9"/>
      <c r="D42" s="12" t="s">
        <v>38</v>
      </c>
      <c r="E42" s="16">
        <v>757207.13000000012</v>
      </c>
      <c r="F42" s="16">
        <v>2634830.3821789199</v>
      </c>
      <c r="G42" s="16">
        <v>473499.06</v>
      </c>
      <c r="H42" s="16">
        <v>0</v>
      </c>
      <c r="I42" s="13">
        <f t="shared" si="0"/>
        <v>3865536.5721789203</v>
      </c>
    </row>
    <row r="43" spans="1:9" ht="15.75" x14ac:dyDescent="0.25">
      <c r="A43" s="8"/>
      <c r="B43" s="8"/>
      <c r="C43" s="9"/>
      <c r="D43" s="12" t="s">
        <v>39</v>
      </c>
      <c r="E43" s="16">
        <v>399225.67000000004</v>
      </c>
      <c r="F43" s="16">
        <v>980450.73088532966</v>
      </c>
      <c r="G43" s="16">
        <v>576090.43999999994</v>
      </c>
      <c r="H43" s="16">
        <v>0</v>
      </c>
      <c r="I43" s="13">
        <f t="shared" si="0"/>
        <v>1955766.8408853295</v>
      </c>
    </row>
    <row r="44" spans="1:9" ht="15.75" x14ac:dyDescent="0.25">
      <c r="A44" s="8"/>
      <c r="B44" s="8"/>
      <c r="C44" s="9"/>
      <c r="D44" s="12" t="s">
        <v>40</v>
      </c>
      <c r="E44" s="16">
        <v>8746.869999999999</v>
      </c>
      <c r="F44" s="16">
        <v>75465.908709059993</v>
      </c>
      <c r="G44" s="16">
        <v>794719.61999999988</v>
      </c>
      <c r="H44" s="16">
        <v>0</v>
      </c>
      <c r="I44" s="13">
        <f t="shared" si="0"/>
        <v>878932.39870905993</v>
      </c>
    </row>
    <row r="45" spans="1:9" ht="15.75" x14ac:dyDescent="0.25">
      <c r="A45" s="8"/>
      <c r="B45" s="8"/>
      <c r="C45" s="9"/>
      <c r="D45" s="12" t="s">
        <v>41</v>
      </c>
      <c r="E45" s="16">
        <v>614761.95000000007</v>
      </c>
      <c r="F45" s="16">
        <v>21853.597244339995</v>
      </c>
      <c r="G45" s="16">
        <v>2199607.39</v>
      </c>
      <c r="H45" s="16">
        <v>0</v>
      </c>
      <c r="I45" s="13">
        <f t="shared" si="0"/>
        <v>2836222.9372443403</v>
      </c>
    </row>
    <row r="46" spans="1:9" ht="15.75" x14ac:dyDescent="0.25">
      <c r="A46" s="8"/>
      <c r="B46" s="8"/>
      <c r="C46" s="9"/>
      <c r="D46" s="12" t="s">
        <v>42</v>
      </c>
      <c r="E46" s="16">
        <v>147642.58000000002</v>
      </c>
      <c r="F46" s="16">
        <v>72816.463084349976</v>
      </c>
      <c r="G46" s="16">
        <v>4563545.75</v>
      </c>
      <c r="H46" s="16">
        <v>0</v>
      </c>
      <c r="I46" s="13">
        <f t="shared" si="0"/>
        <v>4784004.7930843504</v>
      </c>
    </row>
    <row r="47" spans="1:9" ht="15.75" x14ac:dyDescent="0.25">
      <c r="A47" s="8"/>
      <c r="B47" s="8"/>
      <c r="C47" s="9"/>
      <c r="D47" s="12" t="s">
        <v>43</v>
      </c>
      <c r="E47" s="16">
        <v>1090888.5599999998</v>
      </c>
      <c r="F47" s="16">
        <v>520347.6573654298</v>
      </c>
      <c r="G47" s="16">
        <v>491310.83</v>
      </c>
      <c r="H47" s="16">
        <v>0</v>
      </c>
      <c r="I47" s="13">
        <f t="shared" si="0"/>
        <v>2102547.0473654298</v>
      </c>
    </row>
    <row r="48" spans="1:9" ht="15.75" x14ac:dyDescent="0.25">
      <c r="A48" s="8"/>
      <c r="B48" s="8"/>
      <c r="C48" s="9"/>
      <c r="D48" s="12" t="s">
        <v>44</v>
      </c>
      <c r="E48" s="16">
        <v>476559.62000000005</v>
      </c>
      <c r="F48" s="16">
        <v>72816.463084349976</v>
      </c>
      <c r="G48" s="16">
        <v>1591842.77</v>
      </c>
      <c r="H48" s="16">
        <v>0</v>
      </c>
      <c r="I48" s="13">
        <f t="shared" si="0"/>
        <v>2141218.85308435</v>
      </c>
    </row>
    <row r="49" spans="1:9" ht="15.75" x14ac:dyDescent="0.25">
      <c r="A49" s="8"/>
      <c r="B49" s="8"/>
      <c r="C49" s="9"/>
      <c r="D49" s="12" t="s">
        <v>45</v>
      </c>
      <c r="E49" s="16">
        <v>524004.07000000007</v>
      </c>
      <c r="F49" s="16">
        <v>86721.723454559979</v>
      </c>
      <c r="G49" s="16">
        <v>2629778.88</v>
      </c>
      <c r="H49" s="16">
        <v>0</v>
      </c>
      <c r="I49" s="13">
        <f t="shared" si="0"/>
        <v>3240504.6734545599</v>
      </c>
    </row>
    <row r="50" spans="1:9" ht="15.75" x14ac:dyDescent="0.25">
      <c r="A50" s="8"/>
      <c r="B50" s="8"/>
      <c r="C50" s="9"/>
      <c r="D50" s="12" t="s">
        <v>46</v>
      </c>
      <c r="E50" s="16">
        <v>370603.92999999993</v>
      </c>
      <c r="F50" s="16">
        <v>1019517.06637125</v>
      </c>
      <c r="G50" s="16">
        <v>235102.37999999995</v>
      </c>
      <c r="H50" s="16">
        <v>0</v>
      </c>
      <c r="I50" s="13">
        <f t="shared" si="0"/>
        <v>1625223.3763712498</v>
      </c>
    </row>
    <row r="51" spans="1:9" ht="15.75" x14ac:dyDescent="0.25">
      <c r="A51" s="8"/>
      <c r="B51" s="8"/>
      <c r="C51" s="9"/>
      <c r="D51" s="12" t="s">
        <v>47</v>
      </c>
      <c r="E51" s="16">
        <v>828847.10999999987</v>
      </c>
      <c r="F51" s="16">
        <v>1523968.0499884197</v>
      </c>
      <c r="G51" s="16">
        <v>738401.3</v>
      </c>
      <c r="H51" s="16">
        <v>0</v>
      </c>
      <c r="I51" s="13">
        <f t="shared" si="0"/>
        <v>3091216.4599884199</v>
      </c>
    </row>
    <row r="52" spans="1:9" ht="15.75" x14ac:dyDescent="0.25">
      <c r="A52" s="8"/>
      <c r="B52" s="8"/>
      <c r="C52" s="9"/>
      <c r="D52" s="12" t="s">
        <v>48</v>
      </c>
      <c r="E52" s="16">
        <v>609723.68999999994</v>
      </c>
      <c r="F52" s="16">
        <v>1535881.8969805795</v>
      </c>
      <c r="G52" s="16">
        <v>247388.83999999994</v>
      </c>
      <c r="H52" s="16">
        <v>0</v>
      </c>
      <c r="I52" s="13">
        <f t="shared" si="0"/>
        <v>2392994.4269805793</v>
      </c>
    </row>
    <row r="53" spans="1:9" ht="15.75" x14ac:dyDescent="0.25">
      <c r="A53" s="8"/>
      <c r="B53" s="8"/>
      <c r="C53" s="9"/>
      <c r="D53" s="12" t="s">
        <v>49</v>
      </c>
      <c r="E53" s="16">
        <v>911923.71000000008</v>
      </c>
      <c r="F53" s="16">
        <v>1052609.1617230198</v>
      </c>
      <c r="G53" s="16">
        <v>1061511.81</v>
      </c>
      <c r="H53" s="16">
        <v>0</v>
      </c>
      <c r="I53" s="13">
        <f t="shared" si="0"/>
        <v>3026044.68172302</v>
      </c>
    </row>
    <row r="54" spans="1:9" ht="15.75" x14ac:dyDescent="0.25">
      <c r="A54" s="8"/>
      <c r="B54" s="8"/>
      <c r="C54" s="9"/>
      <c r="D54" s="12" t="s">
        <v>50</v>
      </c>
      <c r="E54" s="16">
        <v>1624187.4200000004</v>
      </c>
      <c r="F54" s="16">
        <v>966545.47051511973</v>
      </c>
      <c r="G54" s="16">
        <v>576725.52000000014</v>
      </c>
      <c r="H54" s="16">
        <v>0</v>
      </c>
      <c r="I54" s="13">
        <f t="shared" si="0"/>
        <v>3167458.4105151203</v>
      </c>
    </row>
    <row r="55" spans="1:9" ht="15.75" x14ac:dyDescent="0.25">
      <c r="A55" s="8"/>
      <c r="B55" s="8"/>
      <c r="C55" s="9"/>
      <c r="D55" s="12" t="s">
        <v>51</v>
      </c>
      <c r="E55" s="16">
        <v>338573.76</v>
      </c>
      <c r="F55" s="16">
        <v>2032401.8603616897</v>
      </c>
      <c r="G55" s="16">
        <v>43594.99</v>
      </c>
      <c r="H55" s="16">
        <v>0</v>
      </c>
      <c r="I55" s="13">
        <f t="shared" si="0"/>
        <v>2414570.6103616897</v>
      </c>
    </row>
    <row r="56" spans="1:9" ht="15.75" x14ac:dyDescent="0.25">
      <c r="A56" s="8"/>
      <c r="B56" s="8"/>
      <c r="C56" s="9"/>
      <c r="D56" s="12" t="s">
        <v>52</v>
      </c>
      <c r="E56" s="16">
        <v>593441.05999999982</v>
      </c>
      <c r="F56" s="16">
        <v>2462720.3164011892</v>
      </c>
      <c r="G56" s="16">
        <v>322085.93000000005</v>
      </c>
      <c r="H56" s="16">
        <v>0</v>
      </c>
      <c r="I56" s="13">
        <f t="shared" si="0"/>
        <v>3378247.306401189</v>
      </c>
    </row>
    <row r="57" spans="1:9" ht="15.75" x14ac:dyDescent="0.25">
      <c r="A57" s="8"/>
      <c r="B57" s="8"/>
      <c r="C57" s="9"/>
      <c r="D57" s="12" t="s">
        <v>53</v>
      </c>
      <c r="E57" s="16">
        <v>133750.02000000002</v>
      </c>
      <c r="F57" s="16">
        <v>728216.58075770992</v>
      </c>
      <c r="G57" s="16">
        <v>304353.89999999997</v>
      </c>
      <c r="H57" s="16">
        <v>0</v>
      </c>
      <c r="I57" s="13">
        <f t="shared" si="0"/>
        <v>1166320.5007577098</v>
      </c>
    </row>
    <row r="58" spans="1:9" ht="15.75" x14ac:dyDescent="0.25">
      <c r="A58" s="8"/>
      <c r="B58" s="8"/>
      <c r="C58" s="9"/>
      <c r="D58" s="12" t="s">
        <v>54</v>
      </c>
      <c r="E58" s="16">
        <v>277516.78999999998</v>
      </c>
      <c r="F58" s="16">
        <v>783837.62223854987</v>
      </c>
      <c r="G58" s="16">
        <v>47631.900000000009</v>
      </c>
      <c r="H58" s="16">
        <v>0</v>
      </c>
      <c r="I58" s="13">
        <f t="shared" si="0"/>
        <v>1108986.3122385498</v>
      </c>
    </row>
    <row r="59" spans="1:9" ht="15.75" x14ac:dyDescent="0.25">
      <c r="A59" s="8"/>
      <c r="B59" s="8"/>
      <c r="C59" s="9"/>
      <c r="D59" s="12" t="s">
        <v>55</v>
      </c>
      <c r="E59" s="16">
        <v>609945.80000000005</v>
      </c>
      <c r="F59" s="16">
        <v>1324030.1468321995</v>
      </c>
      <c r="G59" s="16">
        <v>883697.84000000008</v>
      </c>
      <c r="H59" s="16">
        <v>0</v>
      </c>
      <c r="I59" s="13">
        <f t="shared" si="0"/>
        <v>2817673.7868321994</v>
      </c>
    </row>
    <row r="60" spans="1:9" ht="15.75" x14ac:dyDescent="0.25">
      <c r="A60" s="8"/>
      <c r="B60" s="8"/>
      <c r="C60" s="9"/>
      <c r="D60" s="12" t="s">
        <v>56</v>
      </c>
      <c r="E60" s="16">
        <v>227692.88</v>
      </c>
      <c r="F60" s="16">
        <v>801050.36048012984</v>
      </c>
      <c r="G60" s="16">
        <v>307713.49</v>
      </c>
      <c r="H60" s="16">
        <v>0</v>
      </c>
      <c r="I60" s="13">
        <f t="shared" si="0"/>
        <v>1336456.7304801298</v>
      </c>
    </row>
    <row r="61" spans="1:9" ht="15.75" x14ac:dyDescent="0.25">
      <c r="A61" s="8"/>
      <c r="B61" s="8"/>
      <c r="C61" s="9"/>
      <c r="D61" s="12" t="s">
        <v>57</v>
      </c>
      <c r="E61" s="16">
        <v>650467.73</v>
      </c>
      <c r="F61" s="16">
        <v>1343892.3306984897</v>
      </c>
      <c r="G61" s="16">
        <v>404960.82000000007</v>
      </c>
      <c r="H61" s="16">
        <v>0</v>
      </c>
      <c r="I61" s="13">
        <f t="shared" si="0"/>
        <v>2399320.88069849</v>
      </c>
    </row>
    <row r="62" spans="1:9" ht="15.75" x14ac:dyDescent="0.25">
      <c r="A62" s="8"/>
      <c r="B62" s="8"/>
      <c r="C62" s="9"/>
      <c r="D62" s="12" t="s">
        <v>58</v>
      </c>
      <c r="E62" s="16">
        <v>1956676.3800000004</v>
      </c>
      <c r="F62" s="16">
        <v>1499482.3237574399</v>
      </c>
      <c r="G62" s="16">
        <v>19767594.369999997</v>
      </c>
      <c r="H62" s="16">
        <v>0</v>
      </c>
      <c r="I62" s="13">
        <f t="shared" si="0"/>
        <v>23223753.073757436</v>
      </c>
    </row>
    <row r="63" spans="1:9" ht="15.75" x14ac:dyDescent="0.25">
      <c r="A63" s="8"/>
      <c r="B63" s="8"/>
      <c r="C63" s="9"/>
      <c r="D63" s="12" t="s">
        <v>59</v>
      </c>
      <c r="E63" s="16">
        <v>545258.58000000007</v>
      </c>
      <c r="F63" s="16">
        <v>165512.42667305996</v>
      </c>
      <c r="G63" s="16">
        <v>1192341.71</v>
      </c>
      <c r="H63" s="16">
        <v>0</v>
      </c>
      <c r="I63" s="13">
        <f t="shared" si="0"/>
        <v>1903112.7166730599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6648807.6899999995</v>
      </c>
      <c r="H64" s="16">
        <v>0</v>
      </c>
      <c r="I64" s="13">
        <f t="shared" si="0"/>
        <v>6648807.6899999995</v>
      </c>
    </row>
    <row r="65" spans="1:9" ht="15.75" x14ac:dyDescent="0.25">
      <c r="A65" s="8"/>
      <c r="B65" s="8"/>
      <c r="C65" s="9"/>
      <c r="D65" s="12" t="s">
        <v>61</v>
      </c>
      <c r="E65" s="16">
        <v>1300802.31</v>
      </c>
      <c r="F65" s="16">
        <v>1959585.3972773396</v>
      </c>
      <c r="G65" s="16">
        <v>423389.12</v>
      </c>
      <c r="H65" s="16">
        <v>0</v>
      </c>
      <c r="I65" s="13">
        <f t="shared" si="0"/>
        <v>3683776.82727734</v>
      </c>
    </row>
    <row r="66" spans="1:9" ht="15.75" x14ac:dyDescent="0.25">
      <c r="A66" s="8"/>
      <c r="B66" s="8"/>
      <c r="C66" s="9"/>
      <c r="D66" s="12" t="s">
        <v>62</v>
      </c>
      <c r="E66" s="16">
        <v>4606755.7</v>
      </c>
      <c r="F66" s="16">
        <v>3895983.8161789491</v>
      </c>
      <c r="G66" s="16">
        <v>1426094.2999999998</v>
      </c>
      <c r="H66" s="16">
        <v>0</v>
      </c>
      <c r="I66" s="13">
        <f t="shared" si="0"/>
        <v>9928833.8161789477</v>
      </c>
    </row>
    <row r="67" spans="1:9" ht="15.75" x14ac:dyDescent="0.25">
      <c r="A67" s="8"/>
      <c r="B67" s="8"/>
      <c r="C67" s="9"/>
      <c r="D67" s="12" t="s">
        <v>63</v>
      </c>
      <c r="E67" s="16">
        <v>874780.81</v>
      </c>
      <c r="F67" s="16">
        <v>1800687.9263470196</v>
      </c>
      <c r="G67" s="16">
        <v>606274.73999999987</v>
      </c>
      <c r="H67" s="16">
        <v>0</v>
      </c>
      <c r="I67" s="13">
        <f t="shared" si="0"/>
        <v>3281743.4763470194</v>
      </c>
    </row>
    <row r="68" spans="1:9" ht="15.75" x14ac:dyDescent="0.25">
      <c r="A68" s="8"/>
      <c r="B68" s="8"/>
      <c r="C68" s="9"/>
      <c r="D68" s="12" t="s">
        <v>64</v>
      </c>
      <c r="E68" s="16">
        <v>991364.7899999998</v>
      </c>
      <c r="F68" s="16">
        <v>761325.99274754978</v>
      </c>
      <c r="G68" s="16">
        <v>177788.12</v>
      </c>
      <c r="H68" s="16">
        <v>0</v>
      </c>
      <c r="I68" s="13">
        <f t="shared" si="0"/>
        <v>1930478.9027475496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1813033.0499999998</v>
      </c>
      <c r="H69" s="16">
        <v>0</v>
      </c>
      <c r="I69" s="13">
        <f t="shared" si="0"/>
        <v>1813033.0499999998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2903686.0799999991</v>
      </c>
      <c r="H70" s="16">
        <v>0</v>
      </c>
      <c r="I70" s="13">
        <f t="shared" si="0"/>
        <v>2903686.0799999991</v>
      </c>
    </row>
    <row r="71" spans="1:9" ht="15.75" x14ac:dyDescent="0.25">
      <c r="A71" s="8"/>
      <c r="B71" s="8"/>
      <c r="C71" s="9"/>
      <c r="D71" s="12" t="s">
        <v>67</v>
      </c>
      <c r="E71" s="16">
        <v>3144.03</v>
      </c>
      <c r="F71" s="16">
        <v>19862.183866289997</v>
      </c>
      <c r="G71" s="16">
        <v>2161188.9499999997</v>
      </c>
      <c r="H71" s="16">
        <v>0</v>
      </c>
      <c r="I71" s="13">
        <f t="shared" si="0"/>
        <v>2184195.1638662899</v>
      </c>
    </row>
    <row r="72" spans="1:9" ht="15.75" x14ac:dyDescent="0.25">
      <c r="A72" s="8"/>
      <c r="B72" s="8"/>
      <c r="C72" s="9"/>
      <c r="D72" s="12" t="s">
        <v>68</v>
      </c>
      <c r="E72" s="16">
        <v>1750538.1199999999</v>
      </c>
      <c r="F72" s="16">
        <v>1236650.3911309796</v>
      </c>
      <c r="G72" s="16">
        <v>4088611.1199999992</v>
      </c>
      <c r="H72" s="16">
        <v>0</v>
      </c>
      <c r="I72" s="13">
        <f t="shared" si="0"/>
        <v>7075799.6311309785</v>
      </c>
    </row>
    <row r="73" spans="1:9" ht="15.75" x14ac:dyDescent="0.25">
      <c r="A73" s="8"/>
      <c r="B73" s="8"/>
      <c r="C73" s="9"/>
      <c r="D73" s="12" t="s">
        <v>69</v>
      </c>
      <c r="E73" s="16">
        <v>15977.15</v>
      </c>
      <c r="F73" s="16">
        <v>0</v>
      </c>
      <c r="G73" s="16">
        <v>1816118.23</v>
      </c>
      <c r="H73" s="16">
        <v>0</v>
      </c>
      <c r="I73" s="13">
        <f t="shared" si="0"/>
        <v>1832095.38</v>
      </c>
    </row>
    <row r="74" spans="1:9" ht="15.75" x14ac:dyDescent="0.25">
      <c r="A74" s="8"/>
      <c r="B74" s="8"/>
      <c r="C74" s="9"/>
      <c r="D74" s="12" t="s">
        <v>70</v>
      </c>
      <c r="E74" s="16">
        <v>87827.290000000008</v>
      </c>
      <c r="F74" s="16">
        <v>104592.49394279999</v>
      </c>
      <c r="G74" s="16">
        <v>10162511.470000001</v>
      </c>
      <c r="H74" s="16">
        <v>0</v>
      </c>
      <c r="I74" s="13">
        <f t="shared" ref="I74:I137" si="1">SUM(E74:H74)</f>
        <v>10354931.253942801</v>
      </c>
    </row>
    <row r="75" spans="1:9" ht="15.75" x14ac:dyDescent="0.25">
      <c r="A75" s="8"/>
      <c r="B75" s="8"/>
      <c r="C75" s="9"/>
      <c r="D75" s="12" t="s">
        <v>71</v>
      </c>
      <c r="E75" s="16">
        <v>1098883.24</v>
      </c>
      <c r="F75" s="16">
        <v>406473.44541710994</v>
      </c>
      <c r="G75" s="16">
        <v>20658526.529999997</v>
      </c>
      <c r="H75" s="16">
        <v>0</v>
      </c>
      <c r="I75" s="13">
        <f t="shared" si="1"/>
        <v>22163883.215417106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4990516.9999999991</v>
      </c>
      <c r="H76" s="16">
        <v>0</v>
      </c>
      <c r="I76" s="13">
        <f t="shared" si="1"/>
        <v>4990516.9999999991</v>
      </c>
    </row>
    <row r="77" spans="1:9" ht="15.75" x14ac:dyDescent="0.25">
      <c r="A77" s="8"/>
      <c r="B77" s="8"/>
      <c r="C77" s="9"/>
      <c r="D77" s="12" t="s">
        <v>73</v>
      </c>
      <c r="E77" s="16">
        <v>404722.33000000007</v>
      </c>
      <c r="F77" s="16">
        <v>2015847.1543667694</v>
      </c>
      <c r="G77" s="16">
        <v>406659.97000000003</v>
      </c>
      <c r="H77" s="16">
        <v>0</v>
      </c>
      <c r="I77" s="13">
        <f t="shared" si="1"/>
        <v>2827229.4543667696</v>
      </c>
    </row>
    <row r="78" spans="1:9" ht="15.75" x14ac:dyDescent="0.25">
      <c r="A78" s="8"/>
      <c r="B78" s="8"/>
      <c r="C78" s="9"/>
      <c r="D78" s="12" t="s">
        <v>74</v>
      </c>
      <c r="E78" s="16">
        <v>1110296.01</v>
      </c>
      <c r="F78" s="16">
        <v>2045631.7718471698</v>
      </c>
      <c r="G78" s="16">
        <v>652082.32999999996</v>
      </c>
      <c r="H78" s="16">
        <v>0</v>
      </c>
      <c r="I78" s="13">
        <f t="shared" si="1"/>
        <v>3808010.1118471697</v>
      </c>
    </row>
    <row r="79" spans="1:9" ht="15.75" x14ac:dyDescent="0.25">
      <c r="A79" s="8"/>
      <c r="B79" s="8"/>
      <c r="C79" s="9"/>
      <c r="D79" s="12" t="s">
        <v>75</v>
      </c>
      <c r="E79" s="16">
        <v>698588.73000000033</v>
      </c>
      <c r="F79" s="16">
        <v>1148595.2865450298</v>
      </c>
      <c r="G79" s="16">
        <v>934320.01</v>
      </c>
      <c r="H79" s="16">
        <v>0</v>
      </c>
      <c r="I79" s="13">
        <f t="shared" si="1"/>
        <v>2781504.0265450301</v>
      </c>
    </row>
    <row r="80" spans="1:9" ht="15.75" x14ac:dyDescent="0.25">
      <c r="A80" s="8"/>
      <c r="B80" s="8"/>
      <c r="C80" s="9"/>
      <c r="D80" s="12" t="s">
        <v>76</v>
      </c>
      <c r="E80" s="16">
        <v>680800.14999999991</v>
      </c>
      <c r="F80" s="16">
        <v>607069.38081998983</v>
      </c>
      <c r="G80" s="16">
        <v>179737.38</v>
      </c>
      <c r="H80" s="16">
        <v>0</v>
      </c>
      <c r="I80" s="13">
        <f t="shared" si="1"/>
        <v>1467606.9108199896</v>
      </c>
    </row>
    <row r="81" spans="1:9" ht="15.75" x14ac:dyDescent="0.25">
      <c r="A81" s="8"/>
      <c r="B81" s="8"/>
      <c r="C81" s="9"/>
      <c r="D81" s="12" t="s">
        <v>77</v>
      </c>
      <c r="E81" s="16">
        <v>3482154.77</v>
      </c>
      <c r="F81" s="16">
        <v>3662953.817670959</v>
      </c>
      <c r="G81" s="16">
        <v>2137318.8500000006</v>
      </c>
      <c r="H81" s="16">
        <v>0</v>
      </c>
      <c r="I81" s="13">
        <f t="shared" si="1"/>
        <v>9282427.437670961</v>
      </c>
    </row>
    <row r="82" spans="1:9" ht="15.75" x14ac:dyDescent="0.25">
      <c r="A82" s="8"/>
      <c r="B82" s="8"/>
      <c r="C82" s="9"/>
      <c r="D82" s="12" t="s">
        <v>78</v>
      </c>
      <c r="E82" s="16">
        <v>1829053.5299999998</v>
      </c>
      <c r="F82" s="16">
        <v>2538844.2573569091</v>
      </c>
      <c r="G82" s="16">
        <v>2749384.7699999996</v>
      </c>
      <c r="H82" s="16">
        <v>0</v>
      </c>
      <c r="I82" s="13">
        <f t="shared" si="1"/>
        <v>7117282.5573569089</v>
      </c>
    </row>
    <row r="83" spans="1:9" ht="15.75" x14ac:dyDescent="0.25">
      <c r="A83" s="8"/>
      <c r="B83" s="8"/>
      <c r="C83" s="9"/>
      <c r="D83" s="12" t="s">
        <v>79</v>
      </c>
      <c r="E83" s="16">
        <v>746316.3600000001</v>
      </c>
      <c r="F83" s="16">
        <v>1042686.7281089099</v>
      </c>
      <c r="G83" s="16">
        <v>1129994.9599999997</v>
      </c>
      <c r="H83" s="16">
        <v>0</v>
      </c>
      <c r="I83" s="13">
        <f t="shared" si="1"/>
        <v>2918998.0481089097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8423654.5800000001</v>
      </c>
      <c r="H84" s="16">
        <v>0</v>
      </c>
      <c r="I84" s="13">
        <f t="shared" si="1"/>
        <v>8423654.5800000001</v>
      </c>
    </row>
    <row r="85" spans="1:9" ht="15.75" x14ac:dyDescent="0.25">
      <c r="A85" s="8"/>
      <c r="B85" s="8"/>
      <c r="C85" s="9"/>
      <c r="D85" s="12" t="s">
        <v>81</v>
      </c>
      <c r="E85" s="16">
        <v>1001390.39</v>
      </c>
      <c r="F85" s="16">
        <v>324392.58096530993</v>
      </c>
      <c r="G85" s="16">
        <v>2856438.5100000002</v>
      </c>
      <c r="H85" s="16">
        <v>0</v>
      </c>
      <c r="I85" s="13">
        <f t="shared" si="1"/>
        <v>4182221.4809653102</v>
      </c>
    </row>
    <row r="86" spans="1:9" ht="15.75" x14ac:dyDescent="0.25">
      <c r="A86" s="8"/>
      <c r="B86" s="8"/>
      <c r="C86" s="9"/>
      <c r="D86" s="12" t="s">
        <v>82</v>
      </c>
      <c r="E86" s="16">
        <v>766747.17999999993</v>
      </c>
      <c r="F86" s="16">
        <v>1347217.1252079296</v>
      </c>
      <c r="G86" s="16">
        <v>642625.09000000008</v>
      </c>
      <c r="H86" s="16">
        <v>0</v>
      </c>
      <c r="I86" s="13">
        <f t="shared" si="1"/>
        <v>2756589.3952079294</v>
      </c>
    </row>
    <row r="87" spans="1:9" ht="15.75" x14ac:dyDescent="0.25">
      <c r="A87" s="8"/>
      <c r="B87" s="8"/>
      <c r="C87" s="9"/>
      <c r="D87" s="12" t="s">
        <v>83</v>
      </c>
      <c r="E87" s="16">
        <v>299306.31</v>
      </c>
      <c r="F87" s="16">
        <v>1774210.7867379896</v>
      </c>
      <c r="G87" s="16">
        <v>321437.03000000003</v>
      </c>
      <c r="H87" s="16">
        <v>0</v>
      </c>
      <c r="I87" s="13">
        <f t="shared" si="1"/>
        <v>2394954.1267379895</v>
      </c>
    </row>
    <row r="88" spans="1:9" ht="15.75" x14ac:dyDescent="0.25">
      <c r="A88" s="8"/>
      <c r="B88" s="8"/>
      <c r="C88" s="9"/>
      <c r="D88" s="12" t="s">
        <v>84</v>
      </c>
      <c r="E88" s="16">
        <v>410474.49999999994</v>
      </c>
      <c r="F88" s="16">
        <v>0</v>
      </c>
      <c r="G88" s="16">
        <v>9216449.9699999988</v>
      </c>
      <c r="H88" s="16">
        <v>0</v>
      </c>
      <c r="I88" s="13">
        <f t="shared" si="1"/>
        <v>9626924.4699999988</v>
      </c>
    </row>
    <row r="89" spans="1:9" ht="15.75" x14ac:dyDescent="0.25">
      <c r="A89" s="8"/>
      <c r="B89" s="8"/>
      <c r="C89" s="9"/>
      <c r="D89" s="12" t="s">
        <v>85</v>
      </c>
      <c r="E89" s="16">
        <v>530224.02999999991</v>
      </c>
      <c r="F89" s="16">
        <v>1739785.3102548299</v>
      </c>
      <c r="G89" s="16">
        <v>448413.58999999997</v>
      </c>
      <c r="H89" s="16">
        <v>0</v>
      </c>
      <c r="I89" s="13">
        <f t="shared" si="1"/>
        <v>2718422.9302548296</v>
      </c>
    </row>
    <row r="90" spans="1:9" ht="15.75" x14ac:dyDescent="0.25">
      <c r="A90" s="8"/>
      <c r="B90" s="8"/>
      <c r="C90" s="9"/>
      <c r="D90" s="12" t="s">
        <v>86</v>
      </c>
      <c r="E90" s="16">
        <v>1325285.7</v>
      </c>
      <c r="F90" s="16">
        <v>450180.63990578987</v>
      </c>
      <c r="G90" s="16">
        <v>519419.97000000003</v>
      </c>
      <c r="H90" s="16">
        <v>0</v>
      </c>
      <c r="I90" s="13">
        <f t="shared" si="1"/>
        <v>2294886.3099057898</v>
      </c>
    </row>
    <row r="91" spans="1:9" ht="15.75" x14ac:dyDescent="0.25">
      <c r="A91" s="8"/>
      <c r="B91" s="8"/>
      <c r="C91" s="9"/>
      <c r="D91" s="12" t="s">
        <v>87</v>
      </c>
      <c r="E91" s="16">
        <v>645894.88000000024</v>
      </c>
      <c r="F91" s="16">
        <v>1026790.0543606498</v>
      </c>
      <c r="G91" s="16">
        <v>1301776.18</v>
      </c>
      <c r="H91" s="16">
        <v>0</v>
      </c>
      <c r="I91" s="13">
        <f t="shared" si="1"/>
        <v>2974461.1143606501</v>
      </c>
    </row>
    <row r="92" spans="1:9" ht="15.75" x14ac:dyDescent="0.25">
      <c r="A92" s="8"/>
      <c r="B92" s="8"/>
      <c r="C92" s="9"/>
      <c r="D92" s="12" t="s">
        <v>88</v>
      </c>
      <c r="E92" s="16">
        <v>75739.819999999992</v>
      </c>
      <c r="F92" s="16">
        <v>141667.41605066997</v>
      </c>
      <c r="G92" s="16">
        <v>3173201.2199999993</v>
      </c>
      <c r="H92" s="16">
        <v>0</v>
      </c>
      <c r="I92" s="13">
        <f t="shared" si="1"/>
        <v>3390608.4560506693</v>
      </c>
    </row>
    <row r="93" spans="1:9" ht="15.75" x14ac:dyDescent="0.25">
      <c r="A93" s="8"/>
      <c r="B93" s="8"/>
      <c r="C93" s="9"/>
      <c r="D93" s="12" t="s">
        <v>89</v>
      </c>
      <c r="E93" s="16">
        <v>1058357.3699999999</v>
      </c>
      <c r="F93" s="16">
        <v>1185012.1764062399</v>
      </c>
      <c r="G93" s="16">
        <v>510365.47000000009</v>
      </c>
      <c r="H93" s="16">
        <v>0</v>
      </c>
      <c r="I93" s="13">
        <f t="shared" si="1"/>
        <v>2753735.0164062399</v>
      </c>
    </row>
    <row r="94" spans="1:9" ht="15.75" x14ac:dyDescent="0.25">
      <c r="A94" s="8"/>
      <c r="B94" s="8"/>
      <c r="C94" s="9"/>
      <c r="D94" s="12" t="s">
        <v>90</v>
      </c>
      <c r="E94" s="16">
        <v>20419.330000000002</v>
      </c>
      <c r="F94" s="16">
        <v>0</v>
      </c>
      <c r="G94" s="16">
        <v>91052.39</v>
      </c>
      <c r="H94" s="16">
        <v>0</v>
      </c>
      <c r="I94" s="13">
        <f t="shared" si="1"/>
        <v>111471.72</v>
      </c>
    </row>
    <row r="95" spans="1:9" ht="15.75" x14ac:dyDescent="0.25">
      <c r="A95" s="8"/>
      <c r="B95" s="8"/>
      <c r="C95" s="9"/>
      <c r="D95" s="12" t="s">
        <v>91</v>
      </c>
      <c r="E95" s="16">
        <v>234533.32</v>
      </c>
      <c r="F95" s="16">
        <v>36416.889861209995</v>
      </c>
      <c r="G95" s="16">
        <v>3093084.3300000005</v>
      </c>
      <c r="H95" s="16">
        <v>0</v>
      </c>
      <c r="I95" s="13">
        <f t="shared" si="1"/>
        <v>3364034.5398612106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6409732.3000000017</v>
      </c>
      <c r="H96" s="16">
        <v>0</v>
      </c>
      <c r="I96" s="13">
        <f t="shared" si="1"/>
        <v>6409732.3000000017</v>
      </c>
    </row>
    <row r="97" spans="1:9" ht="15.75" x14ac:dyDescent="0.25">
      <c r="A97" s="8"/>
      <c r="B97" s="8"/>
      <c r="C97" s="9"/>
      <c r="D97" s="12" t="s">
        <v>93</v>
      </c>
      <c r="E97" s="16">
        <v>509501.17</v>
      </c>
      <c r="F97" s="16">
        <v>1635192.8163120295</v>
      </c>
      <c r="G97" s="16">
        <v>384712.81000000006</v>
      </c>
      <c r="H97" s="16">
        <v>0</v>
      </c>
      <c r="I97" s="13">
        <f t="shared" si="1"/>
        <v>2529406.7963120295</v>
      </c>
    </row>
    <row r="98" spans="1:9" ht="15.75" x14ac:dyDescent="0.25">
      <c r="A98" s="8"/>
      <c r="B98" s="8"/>
      <c r="C98" s="9"/>
      <c r="D98" s="12" t="s">
        <v>94</v>
      </c>
      <c r="E98" s="16">
        <v>1746750.6199999999</v>
      </c>
      <c r="F98" s="16">
        <v>2150899.6146746995</v>
      </c>
      <c r="G98" s="16">
        <v>3136387.81</v>
      </c>
      <c r="H98" s="16">
        <v>0</v>
      </c>
      <c r="I98" s="13">
        <f t="shared" si="1"/>
        <v>7034038.0446747001</v>
      </c>
    </row>
    <row r="99" spans="1:9" ht="15.75" x14ac:dyDescent="0.25">
      <c r="A99" s="8"/>
      <c r="B99" s="8"/>
      <c r="C99" s="9"/>
      <c r="D99" s="12" t="s">
        <v>95</v>
      </c>
      <c r="E99" s="16">
        <v>2480601.96</v>
      </c>
      <c r="F99" s="16">
        <v>4098553.8483218094</v>
      </c>
      <c r="G99" s="16">
        <v>1514804.8699999999</v>
      </c>
      <c r="H99" s="16">
        <v>0</v>
      </c>
      <c r="I99" s="13">
        <f t="shared" si="1"/>
        <v>8093960.6783218095</v>
      </c>
    </row>
    <row r="100" spans="1:9" ht="15.75" x14ac:dyDescent="0.25">
      <c r="A100" s="8"/>
      <c r="B100" s="8"/>
      <c r="C100" s="9"/>
      <c r="D100" s="12" t="s">
        <v>96</v>
      </c>
      <c r="E100" s="16">
        <v>2150246.23</v>
      </c>
      <c r="F100" s="16">
        <v>4213086.0925167892</v>
      </c>
      <c r="G100" s="16">
        <v>2794686.3400000003</v>
      </c>
      <c r="H100" s="16">
        <v>0</v>
      </c>
      <c r="I100" s="13">
        <f t="shared" si="1"/>
        <v>9158018.6625167895</v>
      </c>
    </row>
    <row r="101" spans="1:9" ht="15.75" x14ac:dyDescent="0.25">
      <c r="A101" s="8"/>
      <c r="B101" s="8"/>
      <c r="C101" s="9"/>
      <c r="D101" s="12" t="s">
        <v>97</v>
      </c>
      <c r="E101" s="16">
        <v>400246.30000000005</v>
      </c>
      <c r="F101" s="16">
        <v>5502673.4462277591</v>
      </c>
      <c r="G101" s="16">
        <v>66363.3</v>
      </c>
      <c r="H101" s="16">
        <v>0</v>
      </c>
      <c r="I101" s="13">
        <f t="shared" si="1"/>
        <v>5969283.0462277588</v>
      </c>
    </row>
    <row r="102" spans="1:9" ht="15.75" x14ac:dyDescent="0.25">
      <c r="A102" s="8"/>
      <c r="B102" s="8"/>
      <c r="C102" s="9"/>
      <c r="D102" s="12" t="s">
        <v>98</v>
      </c>
      <c r="E102" s="16">
        <v>1223654.23</v>
      </c>
      <c r="F102" s="16">
        <v>2381280.1675579799</v>
      </c>
      <c r="G102" s="16">
        <v>1437579.0000000002</v>
      </c>
      <c r="H102" s="16">
        <v>0</v>
      </c>
      <c r="I102" s="13">
        <f t="shared" si="1"/>
        <v>5042513.3975579804</v>
      </c>
    </row>
    <row r="103" spans="1:9" ht="15.75" x14ac:dyDescent="0.25">
      <c r="A103" s="8"/>
      <c r="B103" s="8"/>
      <c r="C103" s="9"/>
      <c r="D103" s="12" t="s">
        <v>99</v>
      </c>
      <c r="E103" s="16">
        <v>282500.64999999997</v>
      </c>
      <c r="F103" s="16">
        <v>751386.24249536986</v>
      </c>
      <c r="G103" s="16">
        <v>266014.63</v>
      </c>
      <c r="H103" s="16">
        <v>0</v>
      </c>
      <c r="I103" s="13">
        <f t="shared" si="1"/>
        <v>1299901.5224953699</v>
      </c>
    </row>
    <row r="104" spans="1:9" ht="15.75" x14ac:dyDescent="0.25">
      <c r="A104" s="8"/>
      <c r="B104" s="8"/>
      <c r="C104" s="9"/>
      <c r="D104" s="12" t="s">
        <v>100</v>
      </c>
      <c r="E104" s="16">
        <v>2357103.6800000002</v>
      </c>
      <c r="F104" s="16">
        <v>1373036.2325702999</v>
      </c>
      <c r="G104" s="16">
        <v>3389149.27</v>
      </c>
      <c r="H104" s="16">
        <v>0</v>
      </c>
      <c r="I104" s="13">
        <f t="shared" si="1"/>
        <v>7119289.1825703001</v>
      </c>
    </row>
    <row r="105" spans="1:9" ht="15.75" x14ac:dyDescent="0.25">
      <c r="A105" s="8"/>
      <c r="B105" s="8"/>
      <c r="C105" s="9"/>
      <c r="D105" s="12" t="s">
        <v>101</v>
      </c>
      <c r="E105" s="16">
        <v>425757.15000000008</v>
      </c>
      <c r="F105" s="16">
        <v>2039016.8161044295</v>
      </c>
      <c r="G105" s="16">
        <v>18845.219999999998</v>
      </c>
      <c r="H105" s="16">
        <v>0</v>
      </c>
      <c r="I105" s="13">
        <f t="shared" si="1"/>
        <v>2483619.1861044299</v>
      </c>
    </row>
    <row r="106" spans="1:9" ht="15.75" x14ac:dyDescent="0.25">
      <c r="A106" s="8"/>
      <c r="B106" s="8"/>
      <c r="C106" s="9"/>
      <c r="D106" s="12" t="s">
        <v>102</v>
      </c>
      <c r="E106" s="16">
        <v>876709.85000000009</v>
      </c>
      <c r="F106" s="16">
        <v>125788.05894047995</v>
      </c>
      <c r="G106" s="16">
        <v>5623615.7000000011</v>
      </c>
      <c r="H106" s="16">
        <v>0</v>
      </c>
      <c r="I106" s="13">
        <f t="shared" si="1"/>
        <v>6626113.6089404812</v>
      </c>
    </row>
    <row r="107" spans="1:9" ht="15.75" x14ac:dyDescent="0.25">
      <c r="A107" s="8"/>
      <c r="B107" s="8"/>
      <c r="C107" s="9"/>
      <c r="D107" s="12" t="s">
        <v>103</v>
      </c>
      <c r="E107" s="16">
        <v>82539.680000000008</v>
      </c>
      <c r="F107" s="16">
        <v>0</v>
      </c>
      <c r="G107" s="16">
        <v>1136359.5799999998</v>
      </c>
      <c r="H107" s="16">
        <v>0</v>
      </c>
      <c r="I107" s="13">
        <f t="shared" si="1"/>
        <v>1218899.2599999998</v>
      </c>
    </row>
    <row r="108" spans="1:9" ht="15.75" x14ac:dyDescent="0.25">
      <c r="A108" s="8"/>
      <c r="B108" s="8"/>
      <c r="C108" s="9"/>
      <c r="D108" s="12" t="s">
        <v>104</v>
      </c>
      <c r="E108" s="16">
        <v>102488.36000000002</v>
      </c>
      <c r="F108" s="16">
        <v>0</v>
      </c>
      <c r="G108" s="16">
        <v>909251.12</v>
      </c>
      <c r="H108" s="16">
        <v>0</v>
      </c>
      <c r="I108" s="13">
        <f t="shared" si="1"/>
        <v>1011739.48</v>
      </c>
    </row>
    <row r="109" spans="1:9" ht="15.75" x14ac:dyDescent="0.25">
      <c r="A109" s="8"/>
      <c r="B109" s="8"/>
      <c r="C109" s="9"/>
      <c r="D109" s="12" t="s">
        <v>105</v>
      </c>
      <c r="E109" s="16">
        <v>384085.41</v>
      </c>
      <c r="F109" s="16">
        <v>3374978.126566859</v>
      </c>
      <c r="G109" s="16">
        <v>391161.93000000005</v>
      </c>
      <c r="H109" s="16">
        <v>0</v>
      </c>
      <c r="I109" s="13">
        <f t="shared" si="1"/>
        <v>4150225.4665668593</v>
      </c>
    </row>
    <row r="110" spans="1:9" ht="15.75" x14ac:dyDescent="0.25">
      <c r="A110" s="8"/>
      <c r="B110" s="8"/>
      <c r="C110" s="9"/>
      <c r="D110" s="12" t="s">
        <v>106</v>
      </c>
      <c r="E110" s="16">
        <v>350883.94</v>
      </c>
      <c r="F110" s="16">
        <v>906300.88666958991</v>
      </c>
      <c r="G110" s="16">
        <v>389706.28</v>
      </c>
      <c r="H110" s="16">
        <v>0</v>
      </c>
      <c r="I110" s="13">
        <f t="shared" si="1"/>
        <v>1646891.1066695899</v>
      </c>
    </row>
    <row r="111" spans="1:9" ht="15.75" x14ac:dyDescent="0.25">
      <c r="A111" s="8"/>
      <c r="B111" s="8"/>
      <c r="C111" s="9"/>
      <c r="D111" s="12" t="s">
        <v>107</v>
      </c>
      <c r="E111" s="16">
        <v>4310.37</v>
      </c>
      <c r="F111" s="16">
        <v>12571.879238819998</v>
      </c>
      <c r="G111" s="16">
        <v>6669287.7999999998</v>
      </c>
      <c r="H111" s="16">
        <v>0</v>
      </c>
      <c r="I111" s="13">
        <f t="shared" si="1"/>
        <v>6686170.0492388196</v>
      </c>
    </row>
    <row r="112" spans="1:9" ht="15.75" x14ac:dyDescent="0.25">
      <c r="A112" s="8"/>
      <c r="B112" s="8"/>
      <c r="C112" s="9"/>
      <c r="D112" s="12" t="s">
        <v>108</v>
      </c>
      <c r="E112" s="16">
        <v>889065.44</v>
      </c>
      <c r="F112" s="16">
        <v>860619.59544092976</v>
      </c>
      <c r="G112" s="16">
        <v>787452.53999999992</v>
      </c>
      <c r="H112" s="16">
        <v>0</v>
      </c>
      <c r="I112" s="13">
        <f t="shared" si="1"/>
        <v>2537137.5754409297</v>
      </c>
    </row>
    <row r="113" spans="1:9" ht="15.75" x14ac:dyDescent="0.25">
      <c r="A113" s="8"/>
      <c r="B113" s="8"/>
      <c r="C113" s="9"/>
      <c r="D113" s="12" t="s">
        <v>109</v>
      </c>
      <c r="E113" s="16">
        <v>467097.9200000001</v>
      </c>
      <c r="F113" s="16">
        <v>2072126.2280942695</v>
      </c>
      <c r="G113" s="16">
        <v>529400.6</v>
      </c>
      <c r="H113" s="16">
        <v>0</v>
      </c>
      <c r="I113" s="13">
        <f t="shared" si="1"/>
        <v>3068624.7480942695</v>
      </c>
    </row>
    <row r="114" spans="1:9" ht="15.75" x14ac:dyDescent="0.25">
      <c r="A114" s="8"/>
      <c r="B114" s="8"/>
      <c r="C114" s="9"/>
      <c r="D114" s="12" t="s">
        <v>110</v>
      </c>
      <c r="E114" s="16">
        <v>776489.91999999993</v>
      </c>
      <c r="F114" s="16">
        <v>2376656.6251932895</v>
      </c>
      <c r="G114" s="16">
        <v>1045840.3900000002</v>
      </c>
      <c r="H114" s="16">
        <v>0</v>
      </c>
      <c r="I114" s="13">
        <f t="shared" si="1"/>
        <v>4198986.93519329</v>
      </c>
    </row>
    <row r="115" spans="1:9" ht="15.75" x14ac:dyDescent="0.25">
      <c r="A115" s="8"/>
      <c r="B115" s="8"/>
      <c r="C115" s="9"/>
      <c r="D115" s="12" t="s">
        <v>111</v>
      </c>
      <c r="E115" s="16">
        <v>2105469.63</v>
      </c>
      <c r="F115" s="16">
        <v>1175089.7427921297</v>
      </c>
      <c r="G115" s="16">
        <v>1121974.47</v>
      </c>
      <c r="H115" s="16">
        <v>0</v>
      </c>
      <c r="I115" s="13">
        <f t="shared" si="1"/>
        <v>4402533.8427921291</v>
      </c>
    </row>
    <row r="116" spans="1:9" ht="15.75" x14ac:dyDescent="0.25">
      <c r="A116" s="8"/>
      <c r="B116" s="8"/>
      <c r="C116" s="9"/>
      <c r="D116" s="12" t="s">
        <v>112</v>
      </c>
      <c r="E116" s="16">
        <v>584165.88000000012</v>
      </c>
      <c r="F116" s="16">
        <v>1525959.4633664698</v>
      </c>
      <c r="G116" s="16">
        <v>216349.01999999996</v>
      </c>
      <c r="H116" s="16">
        <v>0</v>
      </c>
      <c r="I116" s="13">
        <f t="shared" si="1"/>
        <v>2326474.3633664702</v>
      </c>
    </row>
    <row r="117" spans="1:9" ht="15.75" x14ac:dyDescent="0.25">
      <c r="A117" s="8"/>
      <c r="B117" s="8"/>
      <c r="C117" s="9"/>
      <c r="D117" s="12" t="s">
        <v>113</v>
      </c>
      <c r="E117" s="16">
        <v>410590.29999999987</v>
      </c>
      <c r="F117" s="16">
        <v>1178397.2206634998</v>
      </c>
      <c r="G117" s="16">
        <v>803365.61</v>
      </c>
      <c r="H117" s="16">
        <v>0</v>
      </c>
      <c r="I117" s="13">
        <f t="shared" si="1"/>
        <v>2392353.1306634997</v>
      </c>
    </row>
    <row r="118" spans="1:9" ht="15.75" x14ac:dyDescent="0.25">
      <c r="A118" s="8"/>
      <c r="B118" s="8"/>
      <c r="C118" s="9"/>
      <c r="D118" s="12" t="s">
        <v>114</v>
      </c>
      <c r="E118" s="16">
        <v>1090830.4699999997</v>
      </c>
      <c r="F118" s="16">
        <v>1840412.2940795994</v>
      </c>
      <c r="G118" s="16">
        <v>1022512.0599999999</v>
      </c>
      <c r="H118" s="16">
        <v>0</v>
      </c>
      <c r="I118" s="13">
        <f t="shared" si="1"/>
        <v>3953754.8240795992</v>
      </c>
    </row>
    <row r="119" spans="1:9" ht="15.75" x14ac:dyDescent="0.25">
      <c r="A119" s="8"/>
      <c r="B119" s="8"/>
      <c r="C119" s="9"/>
      <c r="D119" s="12" t="s">
        <v>115</v>
      </c>
      <c r="E119" s="16">
        <v>139723.63</v>
      </c>
      <c r="F119" s="16">
        <v>178742.33815853996</v>
      </c>
      <c r="G119" s="16">
        <v>661457.72</v>
      </c>
      <c r="H119" s="16">
        <v>0</v>
      </c>
      <c r="I119" s="13">
        <f t="shared" si="1"/>
        <v>979923.68815853994</v>
      </c>
    </row>
    <row r="120" spans="1:9" ht="15.75" x14ac:dyDescent="0.25">
      <c r="A120" s="8"/>
      <c r="B120" s="8"/>
      <c r="C120" s="9"/>
      <c r="D120" s="12" t="s">
        <v>116</v>
      </c>
      <c r="E120" s="16">
        <v>1265554.57</v>
      </c>
      <c r="F120" s="16">
        <v>781188.17661383981</v>
      </c>
      <c r="G120" s="16">
        <v>921515.41</v>
      </c>
      <c r="H120" s="16">
        <v>0</v>
      </c>
      <c r="I120" s="13">
        <f t="shared" si="1"/>
        <v>2968258.1566138398</v>
      </c>
    </row>
    <row r="121" spans="1:9" ht="15.75" x14ac:dyDescent="0.25">
      <c r="A121" s="8"/>
      <c r="B121" s="8"/>
      <c r="C121" s="9"/>
      <c r="D121" s="12" t="s">
        <v>117</v>
      </c>
      <c r="E121" s="16">
        <v>684463.26</v>
      </c>
      <c r="F121" s="16">
        <v>1198259.4045297897</v>
      </c>
      <c r="G121" s="16">
        <v>573500.73</v>
      </c>
      <c r="H121" s="16">
        <v>0</v>
      </c>
      <c r="I121" s="13">
        <f t="shared" si="1"/>
        <v>2456223.3945297897</v>
      </c>
    </row>
    <row r="122" spans="1:9" ht="15.75" x14ac:dyDescent="0.25">
      <c r="A122" s="8"/>
      <c r="B122" s="8"/>
      <c r="C122" s="9"/>
      <c r="D122" s="12" t="s">
        <v>118</v>
      </c>
      <c r="E122" s="16">
        <v>1004304.29</v>
      </c>
      <c r="F122" s="16">
        <v>854662.67194484989</v>
      </c>
      <c r="G122" s="16">
        <v>694313.1</v>
      </c>
      <c r="H122" s="16">
        <v>0</v>
      </c>
      <c r="I122" s="13">
        <f t="shared" si="1"/>
        <v>2553280.0619448498</v>
      </c>
    </row>
    <row r="123" spans="1:9" ht="15.75" x14ac:dyDescent="0.25">
      <c r="A123" s="8"/>
      <c r="B123" s="8"/>
      <c r="C123" s="9"/>
      <c r="D123" s="12" t="s">
        <v>119</v>
      </c>
      <c r="E123" s="16">
        <v>700010.61</v>
      </c>
      <c r="F123" s="16">
        <v>1570307.3734637396</v>
      </c>
      <c r="G123" s="16">
        <v>244047.46000000002</v>
      </c>
      <c r="H123" s="16">
        <v>0</v>
      </c>
      <c r="I123" s="13">
        <f t="shared" si="1"/>
        <v>2514365.4434637395</v>
      </c>
    </row>
    <row r="124" spans="1:9" ht="15.75" x14ac:dyDescent="0.25">
      <c r="A124" s="8"/>
      <c r="B124" s="8"/>
      <c r="C124" s="9"/>
      <c r="D124" s="12" t="s">
        <v>120</v>
      </c>
      <c r="E124" s="16">
        <v>39952.720000000001</v>
      </c>
      <c r="F124" s="16">
        <v>0</v>
      </c>
      <c r="G124" s="16">
        <v>2456144.8400000003</v>
      </c>
      <c r="H124" s="16">
        <v>718163.2</v>
      </c>
      <c r="I124" s="13">
        <f t="shared" si="1"/>
        <v>3214260.7600000007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8691149.3200000003</v>
      </c>
      <c r="H125" s="16">
        <v>67720.895000000004</v>
      </c>
      <c r="I125" s="13">
        <f t="shared" si="1"/>
        <v>8758870.2149999999</v>
      </c>
    </row>
    <row r="126" spans="1:9" ht="15.75" x14ac:dyDescent="0.25">
      <c r="A126" s="8"/>
      <c r="B126" s="8"/>
      <c r="C126" s="9"/>
      <c r="D126" s="12" t="s">
        <v>122</v>
      </c>
      <c r="E126" s="16">
        <v>47691.33</v>
      </c>
      <c r="F126" s="16">
        <v>0</v>
      </c>
      <c r="G126" s="16">
        <v>3478264.6700000004</v>
      </c>
      <c r="H126" s="16">
        <v>0</v>
      </c>
      <c r="I126" s="13">
        <f t="shared" si="1"/>
        <v>3525956.0000000005</v>
      </c>
    </row>
    <row r="127" spans="1:9" ht="15.75" x14ac:dyDescent="0.25">
      <c r="A127" s="8"/>
      <c r="B127" s="8"/>
      <c r="C127" s="9"/>
      <c r="D127" s="12" t="s">
        <v>123</v>
      </c>
      <c r="E127" s="16">
        <v>666825.92000000004</v>
      </c>
      <c r="F127" s="16">
        <v>331007.53670804988</v>
      </c>
      <c r="G127" s="16">
        <v>10323523.559999999</v>
      </c>
      <c r="H127" s="16">
        <v>0</v>
      </c>
      <c r="I127" s="13">
        <f t="shared" si="1"/>
        <v>11321357.016708048</v>
      </c>
    </row>
    <row r="128" spans="1:9" ht="15.75" x14ac:dyDescent="0.25">
      <c r="A128" s="8"/>
      <c r="B128" s="8"/>
      <c r="C128" s="9"/>
      <c r="D128" s="12" t="s">
        <v>124</v>
      </c>
      <c r="E128" s="16">
        <v>1023213.0100000001</v>
      </c>
      <c r="F128" s="16">
        <v>946683.28664882982</v>
      </c>
      <c r="G128" s="16">
        <v>1220188.51</v>
      </c>
      <c r="H128" s="16">
        <v>0</v>
      </c>
      <c r="I128" s="13">
        <f t="shared" si="1"/>
        <v>3190084.80664883</v>
      </c>
    </row>
    <row r="129" spans="1:9" ht="15.75" x14ac:dyDescent="0.25">
      <c r="A129" s="8"/>
      <c r="B129" s="8"/>
      <c r="C129" s="9"/>
      <c r="D129" s="12" t="s">
        <v>125</v>
      </c>
      <c r="E129" s="16">
        <v>323968.42999999993</v>
      </c>
      <c r="F129" s="16">
        <v>499827.44125247991</v>
      </c>
      <c r="G129" s="16">
        <v>640861.41</v>
      </c>
      <c r="H129" s="16">
        <v>0</v>
      </c>
      <c r="I129" s="13">
        <f t="shared" si="1"/>
        <v>1464657.2812524799</v>
      </c>
    </row>
    <row r="130" spans="1:9" ht="15.75" x14ac:dyDescent="0.25">
      <c r="A130" s="8"/>
      <c r="B130" s="8"/>
      <c r="C130" s="9"/>
      <c r="D130" s="12" t="s">
        <v>126</v>
      </c>
      <c r="E130" s="16">
        <v>452174.48</v>
      </c>
      <c r="F130" s="16">
        <v>880481.7793072199</v>
      </c>
      <c r="G130" s="16">
        <v>290792.59999999998</v>
      </c>
      <c r="H130" s="16">
        <v>0</v>
      </c>
      <c r="I130" s="13">
        <f t="shared" si="1"/>
        <v>1623448.8593072197</v>
      </c>
    </row>
    <row r="131" spans="1:9" ht="15.75" x14ac:dyDescent="0.25">
      <c r="A131" s="8"/>
      <c r="B131" s="8"/>
      <c r="C131" s="9"/>
      <c r="D131" s="12" t="s">
        <v>127</v>
      </c>
      <c r="E131" s="16">
        <v>2070899.5999999999</v>
      </c>
      <c r="F131" s="16">
        <v>4812224.4531007186</v>
      </c>
      <c r="G131" s="16">
        <v>5879426.2400000002</v>
      </c>
      <c r="H131" s="16">
        <v>0</v>
      </c>
      <c r="I131" s="13">
        <f t="shared" si="1"/>
        <v>12762550.293100718</v>
      </c>
    </row>
    <row r="132" spans="1:9" ht="15.75" x14ac:dyDescent="0.25">
      <c r="A132" s="8"/>
      <c r="B132" s="8"/>
      <c r="C132" s="9"/>
      <c r="D132" s="12" t="s">
        <v>128</v>
      </c>
      <c r="E132" s="16">
        <v>1117202.03</v>
      </c>
      <c r="F132" s="16">
        <v>2952608.0074014897</v>
      </c>
      <c r="G132" s="16">
        <v>140459.21</v>
      </c>
      <c r="H132" s="16">
        <v>0</v>
      </c>
      <c r="I132" s="13">
        <f t="shared" si="1"/>
        <v>4210269.2474014899</v>
      </c>
    </row>
    <row r="133" spans="1:9" ht="15.75" x14ac:dyDescent="0.25">
      <c r="A133" s="8"/>
      <c r="B133" s="8"/>
      <c r="C133" s="9"/>
      <c r="D133" s="12" t="s">
        <v>129</v>
      </c>
      <c r="E133" s="16">
        <v>513615.51000000013</v>
      </c>
      <c r="F133" s="16">
        <v>0</v>
      </c>
      <c r="G133" s="16">
        <v>6606917.919999999</v>
      </c>
      <c r="H133" s="16">
        <v>689905.03</v>
      </c>
      <c r="I133" s="13">
        <f t="shared" si="1"/>
        <v>7810438.459999999</v>
      </c>
    </row>
    <row r="134" spans="1:9" ht="15.75" x14ac:dyDescent="0.25">
      <c r="A134" s="8"/>
      <c r="B134" s="8"/>
      <c r="C134" s="9"/>
      <c r="D134" s="12" t="s">
        <v>130</v>
      </c>
      <c r="E134" s="16">
        <v>40183.079999999994</v>
      </c>
      <c r="F134" s="16">
        <v>145650.24280676997</v>
      </c>
      <c r="G134" s="16">
        <v>17019.710000000003</v>
      </c>
      <c r="H134" s="16">
        <v>0</v>
      </c>
      <c r="I134" s="13">
        <f t="shared" si="1"/>
        <v>202853.03280676994</v>
      </c>
    </row>
    <row r="135" spans="1:9" ht="15.75" x14ac:dyDescent="0.25">
      <c r="A135" s="8"/>
      <c r="B135" s="8"/>
      <c r="C135" s="9"/>
      <c r="D135" s="12" t="s">
        <v>131</v>
      </c>
      <c r="E135" s="16">
        <v>524898.61</v>
      </c>
      <c r="F135" s="16">
        <v>1840412.2940795994</v>
      </c>
      <c r="G135" s="16">
        <v>367418.74</v>
      </c>
      <c r="H135" s="16">
        <v>0</v>
      </c>
      <c r="I135" s="13">
        <f t="shared" si="1"/>
        <v>2732729.6440795995</v>
      </c>
    </row>
    <row r="136" spans="1:9" ht="15.75" x14ac:dyDescent="0.25">
      <c r="A136" s="8"/>
      <c r="B136" s="8"/>
      <c r="C136" s="9"/>
      <c r="D136" s="12" t="s">
        <v>132</v>
      </c>
      <c r="E136" s="16">
        <v>1706724.25</v>
      </c>
      <c r="F136" s="16">
        <v>2224391.4266437795</v>
      </c>
      <c r="G136" s="16">
        <v>2859182.04</v>
      </c>
      <c r="H136" s="16">
        <v>0</v>
      </c>
      <c r="I136" s="13">
        <f t="shared" si="1"/>
        <v>6790297.7166437795</v>
      </c>
    </row>
    <row r="137" spans="1:9" ht="15.75" x14ac:dyDescent="0.25">
      <c r="A137" s="8"/>
      <c r="B137" s="8"/>
      <c r="C137" s="9"/>
      <c r="D137" s="12" t="s">
        <v>133</v>
      </c>
      <c r="E137" s="16">
        <v>2025944.35</v>
      </c>
      <c r="F137" s="16">
        <v>3737103.6618866995</v>
      </c>
      <c r="G137" s="16">
        <v>3335690.4100000006</v>
      </c>
      <c r="H137" s="16">
        <v>0</v>
      </c>
      <c r="I137" s="13">
        <f t="shared" si="1"/>
        <v>9098738.4218866993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4206862.67</v>
      </c>
      <c r="H138" s="16">
        <v>0</v>
      </c>
      <c r="I138" s="13">
        <f t="shared" ref="I138:I144" si="2">SUM(E138:H138)</f>
        <v>4206862.67</v>
      </c>
    </row>
    <row r="139" spans="1:9" ht="15.75" x14ac:dyDescent="0.25">
      <c r="A139" s="8"/>
      <c r="B139" s="8"/>
      <c r="C139" s="9"/>
      <c r="D139" s="12" t="s">
        <v>135</v>
      </c>
      <c r="E139" s="16">
        <v>200627.25999999998</v>
      </c>
      <c r="F139" s="16">
        <v>523655.13523679989</v>
      </c>
      <c r="G139" s="16">
        <v>445121.22999999992</v>
      </c>
      <c r="H139" s="16">
        <v>0</v>
      </c>
      <c r="I139" s="13">
        <f t="shared" si="2"/>
        <v>1169403.6252367997</v>
      </c>
    </row>
    <row r="140" spans="1:9" ht="15.75" x14ac:dyDescent="0.25">
      <c r="A140" s="8"/>
      <c r="B140" s="8"/>
      <c r="C140" s="9"/>
      <c r="D140" s="12" t="s">
        <v>136</v>
      </c>
      <c r="E140" s="16">
        <v>1892996.3000000003</v>
      </c>
      <c r="F140" s="16">
        <v>3713934.0001490396</v>
      </c>
      <c r="G140" s="16">
        <v>1443093.3999999997</v>
      </c>
      <c r="H140" s="16">
        <v>0</v>
      </c>
      <c r="I140" s="13">
        <f t="shared" si="2"/>
        <v>7050023.7001490397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7085680.5999999996</v>
      </c>
      <c r="H141" s="16">
        <v>37332.119999999995</v>
      </c>
      <c r="I141" s="13">
        <f t="shared" si="2"/>
        <v>7123012.7199999997</v>
      </c>
    </row>
    <row r="142" spans="1:9" ht="15.75" x14ac:dyDescent="0.25">
      <c r="A142" s="8"/>
      <c r="B142" s="8"/>
      <c r="C142" s="9"/>
      <c r="D142" s="12" t="s">
        <v>138</v>
      </c>
      <c r="E142" s="16">
        <v>47915.369999999995</v>
      </c>
      <c r="F142" s="16">
        <v>0</v>
      </c>
      <c r="G142" s="16">
        <v>990096.15999999992</v>
      </c>
      <c r="H142" s="16">
        <v>0</v>
      </c>
      <c r="I142" s="13">
        <f t="shared" si="2"/>
        <v>1038011.5299999999</v>
      </c>
    </row>
    <row r="143" spans="1:9" ht="15.75" x14ac:dyDescent="0.25">
      <c r="A143" s="8"/>
      <c r="B143" s="8"/>
      <c r="C143" s="9"/>
      <c r="D143" s="12" t="s">
        <v>139</v>
      </c>
      <c r="E143" s="16">
        <v>97548.949999999983</v>
      </c>
      <c r="F143" s="16">
        <v>3432573.2647876795</v>
      </c>
      <c r="G143" s="16">
        <v>188649.13</v>
      </c>
      <c r="H143" s="16">
        <v>0</v>
      </c>
      <c r="I143" s="13">
        <f t="shared" si="2"/>
        <v>3718771.3447876796</v>
      </c>
    </row>
    <row r="144" spans="1:9" ht="15.75" x14ac:dyDescent="0.25">
      <c r="A144" s="8"/>
      <c r="B144" s="8"/>
      <c r="C144" s="9"/>
      <c r="D144" s="12" t="s">
        <v>140</v>
      </c>
      <c r="E144" s="16">
        <v>1314141.04</v>
      </c>
      <c r="F144" s="16">
        <v>417071.22791594994</v>
      </c>
      <c r="G144" s="16">
        <v>1493203.5799999998</v>
      </c>
      <c r="H144" s="16">
        <v>0</v>
      </c>
      <c r="I144" s="13">
        <f t="shared" si="2"/>
        <v>3224415.8479159498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109308022.55000003</v>
      </c>
      <c r="F145" s="22">
        <f>SUM(F10:F144)</f>
        <v>173158449.67976388</v>
      </c>
      <c r="G145" s="22">
        <f>SUM(G10:G144)</f>
        <v>291390192.5200001</v>
      </c>
      <c r="H145" s="22">
        <f>SUM(H10:H144)</f>
        <v>1513121.2450000001</v>
      </c>
      <c r="I145" s="22">
        <f>SUM(I10:I144)</f>
        <v>575369785.99476397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162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7258556.0000000009</v>
      </c>
      <c r="F10" s="16">
        <v>15109351.88770812</v>
      </c>
      <c r="G10" s="16">
        <v>538881.76</v>
      </c>
      <c r="H10" s="16">
        <v>0</v>
      </c>
      <c r="I10" s="13">
        <f t="shared" ref="I10:I73" si="0">SUM(E10:H10)</f>
        <v>22906789.647708122</v>
      </c>
    </row>
    <row r="11" spans="1:9" ht="15.75" x14ac:dyDescent="0.25">
      <c r="A11" s="8"/>
      <c r="B11" s="8"/>
      <c r="C11" s="9"/>
      <c r="D11" s="12" t="s">
        <v>7</v>
      </c>
      <c r="E11" s="16">
        <v>12030605.08</v>
      </c>
      <c r="F11" s="16">
        <v>8480532.139942307</v>
      </c>
      <c r="G11" s="16">
        <v>455103.22000000003</v>
      </c>
      <c r="H11" s="16">
        <v>0</v>
      </c>
      <c r="I11" s="13">
        <f t="shared" si="0"/>
        <v>20966240.439942308</v>
      </c>
    </row>
    <row r="12" spans="1:9" ht="15.75" x14ac:dyDescent="0.25">
      <c r="A12" s="8"/>
      <c r="B12" s="8"/>
      <c r="C12" s="9"/>
      <c r="D12" s="12" t="s">
        <v>8</v>
      </c>
      <c r="E12" s="16">
        <v>11247664.310000004</v>
      </c>
      <c r="F12" s="16">
        <v>3074462.3851260943</v>
      </c>
      <c r="G12" s="16">
        <v>249245.92000000004</v>
      </c>
      <c r="H12" s="16">
        <v>0</v>
      </c>
      <c r="I12" s="13">
        <f t="shared" si="0"/>
        <v>14571372.615126098</v>
      </c>
    </row>
    <row r="13" spans="1:9" ht="15.75" x14ac:dyDescent="0.25">
      <c r="A13" s="8"/>
      <c r="B13" s="8"/>
      <c r="C13" s="9"/>
      <c r="D13" s="12" t="s">
        <v>9</v>
      </c>
      <c r="E13" s="16">
        <v>2528088.7999999998</v>
      </c>
      <c r="F13" s="16">
        <v>81341.737728407024</v>
      </c>
      <c r="G13" s="16">
        <v>4246080.370000001</v>
      </c>
      <c r="H13" s="16">
        <v>0</v>
      </c>
      <c r="I13" s="13">
        <f t="shared" si="0"/>
        <v>6855510.9077284075</v>
      </c>
    </row>
    <row r="14" spans="1:9" ht="15.75" x14ac:dyDescent="0.25">
      <c r="A14" s="8"/>
      <c r="B14" s="8"/>
      <c r="C14" s="9"/>
      <c r="D14" s="12" t="s">
        <v>10</v>
      </c>
      <c r="E14" s="16">
        <v>17993308.139999997</v>
      </c>
      <c r="F14" s="16">
        <v>3416069.3168067713</v>
      </c>
      <c r="G14" s="16">
        <v>693021.28</v>
      </c>
      <c r="H14" s="16">
        <v>0</v>
      </c>
      <c r="I14" s="13">
        <f t="shared" si="0"/>
        <v>22102398.736806769</v>
      </c>
    </row>
    <row r="15" spans="1:9" ht="15.75" x14ac:dyDescent="0.25">
      <c r="A15" s="8"/>
      <c r="B15" s="8"/>
      <c r="C15" s="9"/>
      <c r="D15" s="12" t="s">
        <v>11</v>
      </c>
      <c r="E15" s="16">
        <v>633280.7699999999</v>
      </c>
      <c r="F15" s="16">
        <v>19005.741683708005</v>
      </c>
      <c r="G15" s="16">
        <v>4240586.05</v>
      </c>
      <c r="H15" s="16">
        <v>0</v>
      </c>
      <c r="I15" s="13">
        <f t="shared" si="0"/>
        <v>4892872.5616837079</v>
      </c>
    </row>
    <row r="16" spans="1:9" ht="15.75" x14ac:dyDescent="0.25">
      <c r="A16" s="8"/>
      <c r="B16" s="8"/>
      <c r="C16" s="9"/>
      <c r="D16" s="12" t="s">
        <v>12</v>
      </c>
      <c r="E16" s="16">
        <v>17853341.340000004</v>
      </c>
      <c r="F16" s="16">
        <v>16288700.709350152</v>
      </c>
      <c r="G16" s="16">
        <v>767774.94000000006</v>
      </c>
      <c r="H16" s="16">
        <v>0</v>
      </c>
      <c r="I16" s="13">
        <f t="shared" si="0"/>
        <v>34909816.989350155</v>
      </c>
    </row>
    <row r="17" spans="1:9" ht="15.75" x14ac:dyDescent="0.25">
      <c r="A17" s="8"/>
      <c r="B17" s="8"/>
      <c r="C17" s="9"/>
      <c r="D17" s="12" t="s">
        <v>13</v>
      </c>
      <c r="E17" s="16">
        <v>39956703.190000013</v>
      </c>
      <c r="F17" s="16">
        <v>15534995.40108728</v>
      </c>
      <c r="G17" s="16">
        <v>1860084.6300000001</v>
      </c>
      <c r="H17" s="16">
        <v>0</v>
      </c>
      <c r="I17" s="13">
        <f t="shared" si="0"/>
        <v>57351783.221087299</v>
      </c>
    </row>
    <row r="18" spans="1:9" ht="15.75" x14ac:dyDescent="0.25">
      <c r="A18" s="8"/>
      <c r="B18" s="8"/>
      <c r="C18" s="9"/>
      <c r="D18" s="12" t="s">
        <v>14</v>
      </c>
      <c r="E18" s="16">
        <v>3778717.8700000006</v>
      </c>
      <c r="F18" s="16">
        <v>1220055.1489795244</v>
      </c>
      <c r="G18" s="16">
        <v>9358454.6400000006</v>
      </c>
      <c r="H18" s="16">
        <v>0</v>
      </c>
      <c r="I18" s="13">
        <f t="shared" si="0"/>
        <v>14357227.658979526</v>
      </c>
    </row>
    <row r="19" spans="1:9" ht="15.75" x14ac:dyDescent="0.25">
      <c r="A19" s="8"/>
      <c r="B19" s="8"/>
      <c r="C19" s="9"/>
      <c r="D19" s="12" t="s">
        <v>15</v>
      </c>
      <c r="E19" s="16">
        <v>39346262.899999999</v>
      </c>
      <c r="F19" s="16">
        <v>11644491.711653622</v>
      </c>
      <c r="G19" s="16">
        <v>1509022.3799999997</v>
      </c>
      <c r="H19" s="16">
        <v>0</v>
      </c>
      <c r="I19" s="13">
        <f t="shared" si="0"/>
        <v>52499776.991653621</v>
      </c>
    </row>
    <row r="20" spans="1:9" ht="15.75" x14ac:dyDescent="0.25">
      <c r="A20" s="8"/>
      <c r="B20" s="8"/>
      <c r="C20" s="9"/>
      <c r="D20" s="12" t="s">
        <v>16</v>
      </c>
      <c r="E20" s="16">
        <v>12162093.179999998</v>
      </c>
      <c r="F20" s="16">
        <v>3237145.8605829077</v>
      </c>
      <c r="G20" s="16">
        <v>700320.64000000013</v>
      </c>
      <c r="H20" s="16">
        <v>0</v>
      </c>
      <c r="I20" s="13">
        <f t="shared" si="0"/>
        <v>16099559.680582907</v>
      </c>
    </row>
    <row r="21" spans="1:9" ht="15.75" x14ac:dyDescent="0.25">
      <c r="A21" s="8"/>
      <c r="B21" s="8"/>
      <c r="C21" s="9"/>
      <c r="D21" s="12" t="s">
        <v>17</v>
      </c>
      <c r="E21" s="16">
        <v>19094203.589999996</v>
      </c>
      <c r="F21" s="16">
        <v>13930003.06606609</v>
      </c>
      <c r="G21" s="16">
        <v>471798.03</v>
      </c>
      <c r="H21" s="16">
        <v>0</v>
      </c>
      <c r="I21" s="13">
        <f t="shared" si="0"/>
        <v>33496004.686066087</v>
      </c>
    </row>
    <row r="22" spans="1:9" ht="15.75" x14ac:dyDescent="0.25">
      <c r="A22" s="8"/>
      <c r="B22" s="8"/>
      <c r="C22" s="9"/>
      <c r="D22" s="12" t="s">
        <v>18</v>
      </c>
      <c r="E22" s="16">
        <v>393710.89</v>
      </c>
      <c r="F22" s="16">
        <v>596482.43769279122</v>
      </c>
      <c r="G22" s="16">
        <v>2741030.8400000003</v>
      </c>
      <c r="H22" s="16">
        <v>0</v>
      </c>
      <c r="I22" s="13">
        <f t="shared" si="0"/>
        <v>3731224.1676927917</v>
      </c>
    </row>
    <row r="23" spans="1:9" ht="15.75" x14ac:dyDescent="0.25">
      <c r="A23" s="8"/>
      <c r="B23" s="8"/>
      <c r="C23" s="9"/>
      <c r="D23" s="12" t="s">
        <v>19</v>
      </c>
      <c r="E23" s="16">
        <v>470560.42999999993</v>
      </c>
      <c r="F23" s="16">
        <v>222324.62753143505</v>
      </c>
      <c r="G23" s="16">
        <v>2623173.63</v>
      </c>
      <c r="H23" s="16">
        <v>0</v>
      </c>
      <c r="I23" s="13">
        <f t="shared" si="0"/>
        <v>3316058.6875314349</v>
      </c>
    </row>
    <row r="24" spans="1:9" ht="15.75" x14ac:dyDescent="0.25">
      <c r="A24" s="8"/>
      <c r="B24" s="8"/>
      <c r="C24" s="9"/>
      <c r="D24" s="12" t="s">
        <v>20</v>
      </c>
      <c r="E24" s="16">
        <v>15980294.889999999</v>
      </c>
      <c r="F24" s="16">
        <v>8542939.0529335849</v>
      </c>
      <c r="G24" s="16">
        <v>1149058.05</v>
      </c>
      <c r="H24" s="16">
        <v>0</v>
      </c>
      <c r="I24" s="13">
        <f t="shared" si="0"/>
        <v>25672291.992933583</v>
      </c>
    </row>
    <row r="25" spans="1:9" ht="15.75" x14ac:dyDescent="0.25">
      <c r="A25" s="8"/>
      <c r="B25" s="8"/>
      <c r="C25" s="9"/>
      <c r="D25" s="12" t="s">
        <v>21</v>
      </c>
      <c r="E25" s="16">
        <v>14379371.75</v>
      </c>
      <c r="F25" s="16">
        <v>6344159.1241896804</v>
      </c>
      <c r="G25" s="16">
        <v>1061583.17</v>
      </c>
      <c r="H25" s="16">
        <v>0</v>
      </c>
      <c r="I25" s="13">
        <f t="shared" si="0"/>
        <v>21785114.044189684</v>
      </c>
    </row>
    <row r="26" spans="1:9" ht="15.75" x14ac:dyDescent="0.25">
      <c r="A26" s="8"/>
      <c r="B26" s="8"/>
      <c r="C26" s="9"/>
      <c r="D26" s="12" t="s">
        <v>22</v>
      </c>
      <c r="E26" s="16">
        <v>8446387.8200000003</v>
      </c>
      <c r="F26" s="16">
        <v>3633004.2563980501</v>
      </c>
      <c r="G26" s="16">
        <v>665915.34000000008</v>
      </c>
      <c r="H26" s="16">
        <v>0</v>
      </c>
      <c r="I26" s="13">
        <f t="shared" si="0"/>
        <v>12745307.41639805</v>
      </c>
    </row>
    <row r="27" spans="1:9" ht="15.75" x14ac:dyDescent="0.25">
      <c r="A27" s="8"/>
      <c r="B27" s="8"/>
      <c r="C27" s="9"/>
      <c r="D27" s="12" t="s">
        <v>23</v>
      </c>
      <c r="E27" s="16">
        <v>4880089.129999999</v>
      </c>
      <c r="F27" s="16">
        <v>623572.71128673316</v>
      </c>
      <c r="G27" s="16">
        <v>1581987.2000000002</v>
      </c>
      <c r="H27" s="16">
        <v>0</v>
      </c>
      <c r="I27" s="13">
        <f t="shared" si="0"/>
        <v>7085649.0412867321</v>
      </c>
    </row>
    <row r="28" spans="1:9" ht="15.75" x14ac:dyDescent="0.25">
      <c r="A28" s="8"/>
      <c r="B28" s="8"/>
      <c r="C28" s="9"/>
      <c r="D28" s="12" t="s">
        <v>24</v>
      </c>
      <c r="E28" s="16">
        <v>7330666.7000000002</v>
      </c>
      <c r="F28" s="16">
        <v>2955180.0809768522</v>
      </c>
      <c r="G28" s="16">
        <v>920247.46</v>
      </c>
      <c r="H28" s="16">
        <v>0</v>
      </c>
      <c r="I28" s="13">
        <f t="shared" si="0"/>
        <v>11206094.240976851</v>
      </c>
    </row>
    <row r="29" spans="1:9" ht="15.75" x14ac:dyDescent="0.25">
      <c r="A29" s="8"/>
      <c r="B29" s="8"/>
      <c r="C29" s="9"/>
      <c r="D29" s="12" t="s">
        <v>25</v>
      </c>
      <c r="E29" s="16">
        <v>7370759.4299999988</v>
      </c>
      <c r="F29" s="16">
        <v>1653783.1942689202</v>
      </c>
      <c r="G29" s="16">
        <v>342344.55000000005</v>
      </c>
      <c r="H29" s="16">
        <v>0</v>
      </c>
      <c r="I29" s="13">
        <f t="shared" si="0"/>
        <v>9366887.17426892</v>
      </c>
    </row>
    <row r="30" spans="1:9" ht="15.75" x14ac:dyDescent="0.25">
      <c r="A30" s="8"/>
      <c r="B30" s="8"/>
      <c r="C30" s="9"/>
      <c r="D30" s="12" t="s">
        <v>26</v>
      </c>
      <c r="E30" s="16">
        <v>14405584.34</v>
      </c>
      <c r="F30" s="16">
        <v>8919791.7070650198</v>
      </c>
      <c r="G30" s="16">
        <v>745263.55999999982</v>
      </c>
      <c r="H30" s="16">
        <v>0</v>
      </c>
      <c r="I30" s="13">
        <f t="shared" si="0"/>
        <v>24070639.607065018</v>
      </c>
    </row>
    <row r="31" spans="1:9" ht="15.75" x14ac:dyDescent="0.25">
      <c r="A31" s="8"/>
      <c r="B31" s="8"/>
      <c r="C31" s="9"/>
      <c r="D31" s="12" t="s">
        <v>27</v>
      </c>
      <c r="E31" s="16">
        <v>14207133.529999999</v>
      </c>
      <c r="F31" s="16">
        <v>9245087.7410320677</v>
      </c>
      <c r="G31" s="16">
        <v>564842</v>
      </c>
      <c r="H31" s="16">
        <v>0</v>
      </c>
      <c r="I31" s="13">
        <f t="shared" si="0"/>
        <v>24017063.271032065</v>
      </c>
    </row>
    <row r="32" spans="1:9" ht="15.75" x14ac:dyDescent="0.25">
      <c r="A32" s="8"/>
      <c r="B32" s="8"/>
      <c r="C32" s="9"/>
      <c r="D32" s="12" t="s">
        <v>28</v>
      </c>
      <c r="E32" s="16">
        <v>11768868.27</v>
      </c>
      <c r="F32" s="16">
        <v>3120558.4004037436</v>
      </c>
      <c r="G32" s="16">
        <v>605575.36</v>
      </c>
      <c r="H32" s="16">
        <v>0</v>
      </c>
      <c r="I32" s="13">
        <f t="shared" si="0"/>
        <v>15495002.030403743</v>
      </c>
    </row>
    <row r="33" spans="1:9" ht="15.75" x14ac:dyDescent="0.25">
      <c r="A33" s="8"/>
      <c r="B33" s="8"/>
      <c r="C33" s="9"/>
      <c r="D33" s="12" t="s">
        <v>29</v>
      </c>
      <c r="E33" s="16">
        <v>3050575.560000001</v>
      </c>
      <c r="F33" s="16">
        <v>4717466.2035147017</v>
      </c>
      <c r="G33" s="16">
        <v>199335.56000000003</v>
      </c>
      <c r="H33" s="16">
        <v>0</v>
      </c>
      <c r="I33" s="13">
        <f t="shared" si="0"/>
        <v>7967377.3235147027</v>
      </c>
    </row>
    <row r="34" spans="1:9" ht="15.75" x14ac:dyDescent="0.25">
      <c r="A34" s="8"/>
      <c r="B34" s="8"/>
      <c r="C34" s="9"/>
      <c r="D34" s="12" t="s">
        <v>30</v>
      </c>
      <c r="E34" s="16">
        <v>34248693.890000001</v>
      </c>
      <c r="F34" s="16">
        <v>6769802.6375688426</v>
      </c>
      <c r="G34" s="16">
        <v>1877517.91</v>
      </c>
      <c r="H34" s="16">
        <v>0</v>
      </c>
      <c r="I34" s="13">
        <f t="shared" si="0"/>
        <v>42896014.437568843</v>
      </c>
    </row>
    <row r="35" spans="1:9" ht="15.75" x14ac:dyDescent="0.25">
      <c r="A35" s="8"/>
      <c r="B35" s="8"/>
      <c r="C35" s="9"/>
      <c r="D35" s="12" t="s">
        <v>31</v>
      </c>
      <c r="E35" s="16">
        <v>12170167.9</v>
      </c>
      <c r="F35" s="16">
        <v>12449682.723134296</v>
      </c>
      <c r="G35" s="16">
        <v>909419.41999999981</v>
      </c>
      <c r="H35" s="16">
        <v>0</v>
      </c>
      <c r="I35" s="13">
        <f t="shared" si="0"/>
        <v>25529270.043134294</v>
      </c>
    </row>
    <row r="36" spans="1:9" ht="15.75" x14ac:dyDescent="0.25">
      <c r="A36" s="8"/>
      <c r="B36" s="8"/>
      <c r="C36" s="9"/>
      <c r="D36" s="12" t="s">
        <v>32</v>
      </c>
      <c r="E36" s="16">
        <v>14710262.819999998</v>
      </c>
      <c r="F36" s="16">
        <v>6176015.0438461294</v>
      </c>
      <c r="G36" s="16">
        <v>2204427.71</v>
      </c>
      <c r="H36" s="16">
        <v>0</v>
      </c>
      <c r="I36" s="13">
        <f t="shared" si="0"/>
        <v>23090705.573846128</v>
      </c>
    </row>
    <row r="37" spans="1:9" ht="15.75" x14ac:dyDescent="0.25">
      <c r="A37" s="8"/>
      <c r="B37" s="8"/>
      <c r="C37" s="9"/>
      <c r="D37" s="12" t="s">
        <v>33</v>
      </c>
      <c r="E37" s="16">
        <v>15963248.99</v>
      </c>
      <c r="F37" s="16">
        <v>4318912.9637294821</v>
      </c>
      <c r="G37" s="16">
        <v>565091.54</v>
      </c>
      <c r="H37" s="16">
        <v>0</v>
      </c>
      <c r="I37" s="13">
        <f t="shared" si="0"/>
        <v>20847253.49372948</v>
      </c>
    </row>
    <row r="38" spans="1:9" ht="15.75" x14ac:dyDescent="0.25">
      <c r="A38" s="8"/>
      <c r="B38" s="8"/>
      <c r="C38" s="9"/>
      <c r="D38" s="12" t="s">
        <v>34</v>
      </c>
      <c r="E38" s="16">
        <v>10929502.359999999</v>
      </c>
      <c r="F38" s="16">
        <v>7423160.4664195962</v>
      </c>
      <c r="G38" s="16">
        <v>839123.48</v>
      </c>
      <c r="H38" s="16">
        <v>0</v>
      </c>
      <c r="I38" s="13">
        <f t="shared" si="0"/>
        <v>19191786.306419596</v>
      </c>
    </row>
    <row r="39" spans="1:9" ht="15.75" x14ac:dyDescent="0.25">
      <c r="A39" s="8"/>
      <c r="B39" s="8"/>
      <c r="C39" s="9"/>
      <c r="D39" s="12" t="s">
        <v>35</v>
      </c>
      <c r="E39" s="16">
        <v>9737233.7399999965</v>
      </c>
      <c r="F39" s="16">
        <v>11622791.125999834</v>
      </c>
      <c r="G39" s="16">
        <v>598089.35000000009</v>
      </c>
      <c r="H39" s="16">
        <v>0</v>
      </c>
      <c r="I39" s="13">
        <f t="shared" si="0"/>
        <v>21958114.215999834</v>
      </c>
    </row>
    <row r="40" spans="1:9" ht="15.75" x14ac:dyDescent="0.25">
      <c r="A40" s="8"/>
      <c r="B40" s="8"/>
      <c r="C40" s="9"/>
      <c r="D40" s="12" t="s">
        <v>36</v>
      </c>
      <c r="E40" s="16">
        <v>1093031.4100000001</v>
      </c>
      <c r="F40" s="16">
        <v>610027.57448976219</v>
      </c>
      <c r="G40" s="16">
        <v>470637.12000000005</v>
      </c>
      <c r="H40" s="16">
        <v>0</v>
      </c>
      <c r="I40" s="13">
        <f t="shared" si="0"/>
        <v>2173696.1044897623</v>
      </c>
    </row>
    <row r="41" spans="1:9" ht="15.75" x14ac:dyDescent="0.25">
      <c r="A41" s="8"/>
      <c r="B41" s="8"/>
      <c r="C41" s="9"/>
      <c r="D41" s="12" t="s">
        <v>37</v>
      </c>
      <c r="E41" s="16">
        <v>18685710.68</v>
      </c>
      <c r="F41" s="16">
        <v>10926032.125841511</v>
      </c>
      <c r="G41" s="16">
        <v>1355825.46</v>
      </c>
      <c r="H41" s="16">
        <v>0</v>
      </c>
      <c r="I41" s="13">
        <f t="shared" si="0"/>
        <v>30967568.265841514</v>
      </c>
    </row>
    <row r="42" spans="1:9" ht="15.75" x14ac:dyDescent="0.25">
      <c r="A42" s="8"/>
      <c r="B42" s="8"/>
      <c r="C42" s="9"/>
      <c r="D42" s="12" t="s">
        <v>38</v>
      </c>
      <c r="E42" s="16">
        <v>13980255.32</v>
      </c>
      <c r="F42" s="16">
        <v>10790438.923978638</v>
      </c>
      <c r="G42" s="16">
        <v>422194.93999999994</v>
      </c>
      <c r="H42" s="16">
        <v>0</v>
      </c>
      <c r="I42" s="13">
        <f t="shared" si="0"/>
        <v>25192889.18397864</v>
      </c>
    </row>
    <row r="43" spans="1:9" ht="15.75" x14ac:dyDescent="0.25">
      <c r="A43" s="8"/>
      <c r="B43" s="8"/>
      <c r="C43" s="9"/>
      <c r="D43" s="12" t="s">
        <v>39</v>
      </c>
      <c r="E43" s="16">
        <v>3553185.68</v>
      </c>
      <c r="F43" s="16">
        <v>4015246.5984696397</v>
      </c>
      <c r="G43" s="16">
        <v>597930.68000000005</v>
      </c>
      <c r="H43" s="16">
        <v>0</v>
      </c>
      <c r="I43" s="13">
        <f t="shared" si="0"/>
        <v>8166362.9584696395</v>
      </c>
    </row>
    <row r="44" spans="1:9" ht="15.75" x14ac:dyDescent="0.25">
      <c r="A44" s="8"/>
      <c r="B44" s="8"/>
      <c r="C44" s="9"/>
      <c r="D44" s="12" t="s">
        <v>40</v>
      </c>
      <c r="E44" s="16">
        <v>15601.27</v>
      </c>
      <c r="F44" s="16">
        <v>309056.0531999981</v>
      </c>
      <c r="G44" s="16">
        <v>660138.15</v>
      </c>
      <c r="H44" s="16">
        <v>0</v>
      </c>
      <c r="I44" s="13">
        <f t="shared" si="0"/>
        <v>984795.47319999814</v>
      </c>
    </row>
    <row r="45" spans="1:9" ht="15.75" x14ac:dyDescent="0.25">
      <c r="A45" s="8"/>
      <c r="B45" s="8"/>
      <c r="C45" s="9"/>
      <c r="D45" s="12" t="s">
        <v>41</v>
      </c>
      <c r="E45" s="16">
        <v>11068316.379999999</v>
      </c>
      <c r="F45" s="16">
        <v>89497.186585222022</v>
      </c>
      <c r="G45" s="16">
        <v>2367536.5300000003</v>
      </c>
      <c r="H45" s="16">
        <v>0</v>
      </c>
      <c r="I45" s="13">
        <f t="shared" si="0"/>
        <v>13525350.096585222</v>
      </c>
    </row>
    <row r="46" spans="1:9" ht="15.75" x14ac:dyDescent="0.25">
      <c r="A46" s="8"/>
      <c r="B46" s="8"/>
      <c r="C46" s="9"/>
      <c r="D46" s="12" t="s">
        <v>42</v>
      </c>
      <c r="E46" s="16">
        <v>1759911.7000000002</v>
      </c>
      <c r="F46" s="16">
        <v>298205.76037310506</v>
      </c>
      <c r="G46" s="16">
        <v>3095533.4499999997</v>
      </c>
      <c r="H46" s="16">
        <v>0</v>
      </c>
      <c r="I46" s="13">
        <f t="shared" si="0"/>
        <v>5153650.9103731047</v>
      </c>
    </row>
    <row r="47" spans="1:9" ht="15.75" x14ac:dyDescent="0.25">
      <c r="A47" s="8"/>
      <c r="B47" s="8"/>
      <c r="C47" s="9"/>
      <c r="D47" s="12" t="s">
        <v>43</v>
      </c>
      <c r="E47" s="16">
        <v>7012819.0100000007</v>
      </c>
      <c r="F47" s="16">
        <v>2130983.3278124696</v>
      </c>
      <c r="G47" s="16">
        <v>424701.21</v>
      </c>
      <c r="H47" s="16">
        <v>0</v>
      </c>
      <c r="I47" s="13">
        <f t="shared" si="0"/>
        <v>9568503.5478124712</v>
      </c>
    </row>
    <row r="48" spans="1:9" ht="15.75" x14ac:dyDescent="0.25">
      <c r="A48" s="8"/>
      <c r="B48" s="8"/>
      <c r="C48" s="9"/>
      <c r="D48" s="12" t="s">
        <v>44</v>
      </c>
      <c r="E48" s="16">
        <v>5193929.32</v>
      </c>
      <c r="F48" s="16">
        <v>298205.76037310506</v>
      </c>
      <c r="G48" s="16">
        <v>1367686.4600000002</v>
      </c>
      <c r="H48" s="16">
        <v>0</v>
      </c>
      <c r="I48" s="13">
        <f t="shared" si="0"/>
        <v>6859821.5403731056</v>
      </c>
    </row>
    <row r="49" spans="1:9" ht="15.75" x14ac:dyDescent="0.25">
      <c r="A49" s="8"/>
      <c r="B49" s="8"/>
      <c r="C49" s="9"/>
      <c r="D49" s="12" t="s">
        <v>45</v>
      </c>
      <c r="E49" s="16">
        <v>1645828.97</v>
      </c>
      <c r="F49" s="16">
        <v>355152.06847764808</v>
      </c>
      <c r="G49" s="16">
        <v>2453473.8699999996</v>
      </c>
      <c r="H49" s="16">
        <v>0</v>
      </c>
      <c r="I49" s="13">
        <f t="shared" si="0"/>
        <v>4454454.9084776472</v>
      </c>
    </row>
    <row r="50" spans="1:9" ht="15.75" x14ac:dyDescent="0.25">
      <c r="A50" s="8"/>
      <c r="B50" s="8"/>
      <c r="C50" s="9"/>
      <c r="D50" s="12" t="s">
        <v>46</v>
      </c>
      <c r="E50" s="16">
        <v>8878167.5300000012</v>
      </c>
      <c r="F50" s="16">
        <v>4175235.2299563759</v>
      </c>
      <c r="G50" s="16">
        <v>235648.67</v>
      </c>
      <c r="H50" s="16">
        <v>0</v>
      </c>
      <c r="I50" s="13">
        <f t="shared" si="0"/>
        <v>13289051.429956377</v>
      </c>
    </row>
    <row r="51" spans="1:9" ht="15.75" x14ac:dyDescent="0.25">
      <c r="A51" s="8"/>
      <c r="B51" s="8"/>
      <c r="C51" s="9"/>
      <c r="D51" s="12" t="s">
        <v>47</v>
      </c>
      <c r="E51" s="16">
        <v>11447577.350000001</v>
      </c>
      <c r="F51" s="16">
        <v>6241116.8008074872</v>
      </c>
      <c r="G51" s="16">
        <v>695394.5</v>
      </c>
      <c r="H51" s="16">
        <v>0</v>
      </c>
      <c r="I51" s="13">
        <f t="shared" si="0"/>
        <v>18384088.650807489</v>
      </c>
    </row>
    <row r="52" spans="1:9" ht="15.75" x14ac:dyDescent="0.25">
      <c r="A52" s="8"/>
      <c r="B52" s="8"/>
      <c r="C52" s="9"/>
      <c r="D52" s="12" t="s">
        <v>48</v>
      </c>
      <c r="E52" s="16">
        <v>8271010.3800000008</v>
      </c>
      <c r="F52" s="16">
        <v>6289907.6600552145</v>
      </c>
      <c r="G52" s="16">
        <v>204398.74</v>
      </c>
      <c r="H52" s="16">
        <v>0</v>
      </c>
      <c r="I52" s="13">
        <f t="shared" si="0"/>
        <v>14765316.780055216</v>
      </c>
    </row>
    <row r="53" spans="1:9" ht="15.75" x14ac:dyDescent="0.25">
      <c r="A53" s="8"/>
      <c r="B53" s="8"/>
      <c r="C53" s="9"/>
      <c r="D53" s="12" t="s">
        <v>49</v>
      </c>
      <c r="E53" s="16">
        <v>12690085.699999999</v>
      </c>
      <c r="F53" s="16">
        <v>4310757.5148726664</v>
      </c>
      <c r="G53" s="16">
        <v>1073357.2199999997</v>
      </c>
      <c r="H53" s="16">
        <v>0</v>
      </c>
      <c r="I53" s="13">
        <f t="shared" si="0"/>
        <v>18074200.434872665</v>
      </c>
    </row>
    <row r="54" spans="1:9" ht="15.75" x14ac:dyDescent="0.25">
      <c r="A54" s="8"/>
      <c r="B54" s="8"/>
      <c r="C54" s="9"/>
      <c r="D54" s="12" t="s">
        <v>50</v>
      </c>
      <c r="E54" s="16">
        <v>9813050.0200000014</v>
      </c>
      <c r="F54" s="16">
        <v>3958300.2903650966</v>
      </c>
      <c r="G54" s="16">
        <v>545225.15999999992</v>
      </c>
      <c r="H54" s="16">
        <v>0</v>
      </c>
      <c r="I54" s="13">
        <f t="shared" si="0"/>
        <v>14316575.470365098</v>
      </c>
    </row>
    <row r="55" spans="1:9" ht="15.75" x14ac:dyDescent="0.25">
      <c r="A55" s="8"/>
      <c r="B55" s="8"/>
      <c r="C55" s="9"/>
      <c r="D55" s="12" t="s">
        <v>51</v>
      </c>
      <c r="E55" s="16">
        <v>4104753.57</v>
      </c>
      <c r="F55" s="16">
        <v>8323309.2693722285</v>
      </c>
      <c r="G55" s="16">
        <v>52015.29</v>
      </c>
      <c r="H55" s="16">
        <v>0</v>
      </c>
      <c r="I55" s="13">
        <f t="shared" si="0"/>
        <v>12480078.129372228</v>
      </c>
    </row>
    <row r="56" spans="1:9" ht="15.75" x14ac:dyDescent="0.25">
      <c r="A56" s="8"/>
      <c r="B56" s="8"/>
      <c r="C56" s="9"/>
      <c r="D56" s="12" t="s">
        <v>52</v>
      </c>
      <c r="E56" s="16">
        <v>10841400.229999999</v>
      </c>
      <c r="F56" s="16">
        <v>10085595.391910078</v>
      </c>
      <c r="G56" s="16">
        <v>241595.42</v>
      </c>
      <c r="H56" s="16">
        <v>0</v>
      </c>
      <c r="I56" s="13">
        <f t="shared" si="0"/>
        <v>21168591.041910078</v>
      </c>
    </row>
    <row r="57" spans="1:9" ht="15.75" x14ac:dyDescent="0.25">
      <c r="A57" s="8"/>
      <c r="B57" s="8"/>
      <c r="C57" s="9"/>
      <c r="D57" s="12" t="s">
        <v>53</v>
      </c>
      <c r="E57" s="16">
        <v>2481706.9099999997</v>
      </c>
      <c r="F57" s="16">
        <v>2982270.3545707939</v>
      </c>
      <c r="G57" s="16">
        <v>234498.71000000005</v>
      </c>
      <c r="H57" s="16">
        <v>0</v>
      </c>
      <c r="I57" s="13">
        <f t="shared" si="0"/>
        <v>5698475.9745707931</v>
      </c>
    </row>
    <row r="58" spans="1:9" ht="15.75" x14ac:dyDescent="0.25">
      <c r="A58" s="8"/>
      <c r="B58" s="8"/>
      <c r="C58" s="9"/>
      <c r="D58" s="12" t="s">
        <v>54</v>
      </c>
      <c r="E58" s="16">
        <v>3266818.5</v>
      </c>
      <c r="F58" s="16">
        <v>3210055.5869889655</v>
      </c>
      <c r="G58" s="16">
        <v>76511.23</v>
      </c>
      <c r="H58" s="16">
        <v>0</v>
      </c>
      <c r="I58" s="13">
        <f t="shared" si="0"/>
        <v>6553385.3169889655</v>
      </c>
    </row>
    <row r="59" spans="1:9" ht="15.75" x14ac:dyDescent="0.25">
      <c r="A59" s="8"/>
      <c r="B59" s="8"/>
      <c r="C59" s="9"/>
      <c r="D59" s="12" t="s">
        <v>55</v>
      </c>
      <c r="E59" s="16">
        <v>6538724.8000000007</v>
      </c>
      <c r="F59" s="16">
        <v>5422309.7355832607</v>
      </c>
      <c r="G59" s="16">
        <v>663200.26</v>
      </c>
      <c r="H59" s="16">
        <v>0</v>
      </c>
      <c r="I59" s="13">
        <f t="shared" si="0"/>
        <v>12624234.795583261</v>
      </c>
    </row>
    <row r="60" spans="1:9" ht="15.75" x14ac:dyDescent="0.25">
      <c r="A60" s="8"/>
      <c r="B60" s="8"/>
      <c r="C60" s="9"/>
      <c r="D60" s="12" t="s">
        <v>56</v>
      </c>
      <c r="E60" s="16">
        <v>4592612.62</v>
      </c>
      <c r="F60" s="16">
        <v>3280547.0318904794</v>
      </c>
      <c r="G60" s="16">
        <v>249085.95</v>
      </c>
      <c r="H60" s="16">
        <v>0</v>
      </c>
      <c r="I60" s="13">
        <f t="shared" si="0"/>
        <v>8122245.6018904792</v>
      </c>
    </row>
    <row r="61" spans="1:9" ht="15.75" x14ac:dyDescent="0.25">
      <c r="A61" s="8"/>
      <c r="B61" s="8"/>
      <c r="C61" s="9"/>
      <c r="D61" s="12" t="s">
        <v>57</v>
      </c>
      <c r="E61" s="16">
        <v>13634240.070000002</v>
      </c>
      <c r="F61" s="16">
        <v>5503651.4733116692</v>
      </c>
      <c r="G61" s="16">
        <v>307254.82999999996</v>
      </c>
      <c r="H61" s="16">
        <v>0</v>
      </c>
      <c r="I61" s="13">
        <f t="shared" si="0"/>
        <v>19445146.373311669</v>
      </c>
    </row>
    <row r="62" spans="1:9" ht="15.75" x14ac:dyDescent="0.25">
      <c r="A62" s="8"/>
      <c r="B62" s="8"/>
      <c r="C62" s="9"/>
      <c r="D62" s="12" t="s">
        <v>58</v>
      </c>
      <c r="E62" s="16">
        <v>13310641.030000001</v>
      </c>
      <c r="F62" s="16">
        <v>6140840.2383419536</v>
      </c>
      <c r="G62" s="16">
        <v>19350364.849999998</v>
      </c>
      <c r="H62" s="16">
        <v>0</v>
      </c>
      <c r="I62" s="13">
        <f t="shared" si="0"/>
        <v>38801846.118341953</v>
      </c>
    </row>
    <row r="63" spans="1:9" ht="15.75" x14ac:dyDescent="0.25">
      <c r="A63" s="8"/>
      <c r="B63" s="8"/>
      <c r="C63" s="9"/>
      <c r="D63" s="12" t="s">
        <v>59</v>
      </c>
      <c r="E63" s="16">
        <v>3584659.0500000003</v>
      </c>
      <c r="F63" s="16">
        <v>677824.17542119813</v>
      </c>
      <c r="G63" s="16">
        <v>1038046.0500000002</v>
      </c>
      <c r="H63" s="16">
        <v>0</v>
      </c>
      <c r="I63" s="13">
        <f t="shared" si="0"/>
        <v>5300529.2754211985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6480147.0099999998</v>
      </c>
      <c r="H64" s="16">
        <v>0</v>
      </c>
      <c r="I64" s="13">
        <f t="shared" si="0"/>
        <v>6480147.0099999998</v>
      </c>
    </row>
    <row r="65" spans="1:9" ht="15.75" x14ac:dyDescent="0.25">
      <c r="A65" s="8"/>
      <c r="B65" s="8"/>
      <c r="C65" s="9"/>
      <c r="D65" s="12" t="s">
        <v>61</v>
      </c>
      <c r="E65" s="16">
        <v>11133540.309999997</v>
      </c>
      <c r="F65" s="16">
        <v>8025103.5089991251</v>
      </c>
      <c r="G65" s="16">
        <v>386407.39999999997</v>
      </c>
      <c r="H65" s="16">
        <v>0</v>
      </c>
      <c r="I65" s="13">
        <f t="shared" si="0"/>
        <v>19545051.218999121</v>
      </c>
    </row>
    <row r="66" spans="1:9" ht="15.75" x14ac:dyDescent="0.25">
      <c r="A66" s="8"/>
      <c r="B66" s="8"/>
      <c r="C66" s="9"/>
      <c r="D66" s="12" t="s">
        <v>62</v>
      </c>
      <c r="E66" s="16">
        <v>48069654.899999999</v>
      </c>
      <c r="F66" s="16">
        <v>15955249.226526288</v>
      </c>
      <c r="G66" s="16">
        <v>1189067.4600000002</v>
      </c>
      <c r="H66" s="16">
        <v>0</v>
      </c>
      <c r="I66" s="13">
        <f t="shared" si="0"/>
        <v>65213971.58652629</v>
      </c>
    </row>
    <row r="67" spans="1:9" ht="15.75" x14ac:dyDescent="0.25">
      <c r="A67" s="8"/>
      <c r="B67" s="8"/>
      <c r="C67" s="9"/>
      <c r="D67" s="12" t="s">
        <v>63</v>
      </c>
      <c r="E67" s="16">
        <v>9804651.3999999985</v>
      </c>
      <c r="F67" s="16">
        <v>7374369.607171868</v>
      </c>
      <c r="G67" s="16">
        <v>558900.7699999999</v>
      </c>
      <c r="H67" s="16">
        <v>0</v>
      </c>
      <c r="I67" s="13">
        <f t="shared" si="0"/>
        <v>17737921.777171865</v>
      </c>
    </row>
    <row r="68" spans="1:9" ht="15.75" x14ac:dyDescent="0.25">
      <c r="A68" s="8"/>
      <c r="B68" s="8"/>
      <c r="C68" s="9"/>
      <c r="D68" s="12" t="s">
        <v>64</v>
      </c>
      <c r="E68" s="16">
        <v>8976955.5399999991</v>
      </c>
      <c r="F68" s="16">
        <v>3117863.5564336656</v>
      </c>
      <c r="G68" s="16">
        <v>214004.44</v>
      </c>
      <c r="H68" s="16">
        <v>0</v>
      </c>
      <c r="I68" s="13">
        <f t="shared" si="0"/>
        <v>12308823.536433665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1660796.1900000002</v>
      </c>
      <c r="H69" s="16">
        <v>0</v>
      </c>
      <c r="I69" s="13">
        <f t="shared" si="0"/>
        <v>1660796.1900000002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2689461.3800000004</v>
      </c>
      <c r="H70" s="16">
        <v>0</v>
      </c>
      <c r="I70" s="13">
        <f t="shared" si="0"/>
        <v>2689461.3800000004</v>
      </c>
    </row>
    <row r="71" spans="1:9" ht="15.75" x14ac:dyDescent="0.25">
      <c r="A71" s="8"/>
      <c r="B71" s="8"/>
      <c r="C71" s="9"/>
      <c r="D71" s="12" t="s">
        <v>67</v>
      </c>
      <c r="E71" s="16">
        <v>56003.75</v>
      </c>
      <c r="F71" s="16">
        <v>81341.737728407024</v>
      </c>
      <c r="G71" s="16">
        <v>2453304.9699999997</v>
      </c>
      <c r="H71" s="16">
        <v>0</v>
      </c>
      <c r="I71" s="13">
        <f t="shared" si="0"/>
        <v>2590650.4577284069</v>
      </c>
    </row>
    <row r="72" spans="1:9" ht="15.75" x14ac:dyDescent="0.25">
      <c r="A72" s="8"/>
      <c r="B72" s="8"/>
      <c r="C72" s="9"/>
      <c r="D72" s="12" t="s">
        <v>68</v>
      </c>
      <c r="E72" s="16">
        <v>16613587.169999998</v>
      </c>
      <c r="F72" s="16">
        <v>5064462.8231355362</v>
      </c>
      <c r="G72" s="16">
        <v>3311791.8100000005</v>
      </c>
      <c r="H72" s="16">
        <v>0</v>
      </c>
      <c r="I72" s="13">
        <f t="shared" si="0"/>
        <v>24989841.803135537</v>
      </c>
    </row>
    <row r="73" spans="1:9" ht="15.75" x14ac:dyDescent="0.25">
      <c r="A73" s="8"/>
      <c r="B73" s="8"/>
      <c r="C73" s="9"/>
      <c r="D73" s="12" t="s">
        <v>69</v>
      </c>
      <c r="E73" s="16">
        <v>8107.0499999999993</v>
      </c>
      <c r="F73" s="16">
        <v>0</v>
      </c>
      <c r="G73" s="16">
        <v>1601152.91</v>
      </c>
      <c r="H73" s="16">
        <v>0</v>
      </c>
      <c r="I73" s="13">
        <f t="shared" si="0"/>
        <v>1609259.96</v>
      </c>
    </row>
    <row r="74" spans="1:9" ht="15.75" x14ac:dyDescent="0.25">
      <c r="A74" s="8"/>
      <c r="B74" s="8"/>
      <c r="C74" s="9"/>
      <c r="D74" s="12" t="s">
        <v>70</v>
      </c>
      <c r="E74" s="16">
        <v>2186302.11</v>
      </c>
      <c r="F74" s="16">
        <v>428338.35734924016</v>
      </c>
      <c r="G74" s="16">
        <v>10360402.82</v>
      </c>
      <c r="H74" s="16">
        <v>0</v>
      </c>
      <c r="I74" s="13">
        <f t="shared" ref="I74:I137" si="1">SUM(E74:H74)</f>
        <v>12975043.287349241</v>
      </c>
    </row>
    <row r="75" spans="1:9" ht="15.75" x14ac:dyDescent="0.25">
      <c r="A75" s="8"/>
      <c r="B75" s="8"/>
      <c r="C75" s="9"/>
      <c r="D75" s="12" t="s">
        <v>71</v>
      </c>
      <c r="E75" s="16">
        <v>5382957.2400000012</v>
      </c>
      <c r="F75" s="16">
        <v>1664633.4870958133</v>
      </c>
      <c r="G75" s="16">
        <v>18138901.440000001</v>
      </c>
      <c r="H75" s="16">
        <v>0</v>
      </c>
      <c r="I75" s="13">
        <f t="shared" si="1"/>
        <v>25186492.167095818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5092798.9300000006</v>
      </c>
      <c r="H76" s="16">
        <v>0</v>
      </c>
      <c r="I76" s="13">
        <f t="shared" si="1"/>
        <v>5092798.9300000006</v>
      </c>
    </row>
    <row r="77" spans="1:9" ht="15.75" x14ac:dyDescent="0.25">
      <c r="A77" s="8"/>
      <c r="B77" s="8"/>
      <c r="C77" s="9"/>
      <c r="D77" s="12" t="s">
        <v>73</v>
      </c>
      <c r="E77" s="16">
        <v>6108283.71</v>
      </c>
      <c r="F77" s="16">
        <v>8255512.6684407927</v>
      </c>
      <c r="G77" s="16">
        <v>263315.55</v>
      </c>
      <c r="H77" s="16">
        <v>0</v>
      </c>
      <c r="I77" s="13">
        <f t="shared" si="1"/>
        <v>14627111.928440794</v>
      </c>
    </row>
    <row r="78" spans="1:9" ht="15.75" x14ac:dyDescent="0.25">
      <c r="A78" s="8"/>
      <c r="B78" s="8"/>
      <c r="C78" s="9"/>
      <c r="D78" s="12" t="s">
        <v>74</v>
      </c>
      <c r="E78" s="16">
        <v>11184003.66</v>
      </c>
      <c r="F78" s="16">
        <v>8377489.8165601138</v>
      </c>
      <c r="G78" s="16">
        <v>505399.27000000014</v>
      </c>
      <c r="H78" s="16">
        <v>0</v>
      </c>
      <c r="I78" s="13">
        <f t="shared" si="1"/>
        <v>20066892.746560115</v>
      </c>
    </row>
    <row r="79" spans="1:9" ht="15.75" x14ac:dyDescent="0.25">
      <c r="A79" s="8"/>
      <c r="B79" s="8"/>
      <c r="C79" s="9"/>
      <c r="D79" s="12" t="s">
        <v>75</v>
      </c>
      <c r="E79" s="16">
        <v>13415614.639999999</v>
      </c>
      <c r="F79" s="16">
        <v>4703850.1497711502</v>
      </c>
      <c r="G79" s="16">
        <v>614708.68000000005</v>
      </c>
      <c r="H79" s="16">
        <v>0</v>
      </c>
      <c r="I79" s="13">
        <f t="shared" si="1"/>
        <v>18734173.469771147</v>
      </c>
    </row>
    <row r="80" spans="1:9" ht="15.75" x14ac:dyDescent="0.25">
      <c r="A80" s="8"/>
      <c r="B80" s="8"/>
      <c r="C80" s="9"/>
      <c r="D80" s="12" t="s">
        <v>76</v>
      </c>
      <c r="E80" s="16">
        <v>4830614.63</v>
      </c>
      <c r="F80" s="16">
        <v>2486135.3962901174</v>
      </c>
      <c r="G80" s="16">
        <v>70310.540000000008</v>
      </c>
      <c r="H80" s="16">
        <v>0</v>
      </c>
      <c r="I80" s="13">
        <f t="shared" si="1"/>
        <v>7387060.5662901169</v>
      </c>
    </row>
    <row r="81" spans="1:9" ht="15.75" x14ac:dyDescent="0.25">
      <c r="A81" s="8"/>
      <c r="B81" s="8"/>
      <c r="C81" s="9"/>
      <c r="D81" s="12" t="s">
        <v>77</v>
      </c>
      <c r="E81" s="16">
        <v>33878900.960000001</v>
      </c>
      <c r="F81" s="16">
        <v>15000919.876385769</v>
      </c>
      <c r="G81" s="16">
        <v>1367787.94</v>
      </c>
      <c r="H81" s="16">
        <v>0</v>
      </c>
      <c r="I81" s="13">
        <f t="shared" si="1"/>
        <v>50247608.776385769</v>
      </c>
    </row>
    <row r="82" spans="1:9" ht="15.75" x14ac:dyDescent="0.25">
      <c r="A82" s="8"/>
      <c r="B82" s="8"/>
      <c r="C82" s="9"/>
      <c r="D82" s="12" t="s">
        <v>78</v>
      </c>
      <c r="E82" s="16">
        <v>38265392.439999998</v>
      </c>
      <c r="F82" s="16">
        <v>10397346.289080156</v>
      </c>
      <c r="G82" s="16">
        <v>1029674.6600000001</v>
      </c>
      <c r="H82" s="16">
        <v>0</v>
      </c>
      <c r="I82" s="13">
        <f t="shared" si="1"/>
        <v>49692413.389080152</v>
      </c>
    </row>
    <row r="83" spans="1:9" ht="15.75" x14ac:dyDescent="0.25">
      <c r="A83" s="8"/>
      <c r="B83" s="8"/>
      <c r="C83" s="9"/>
      <c r="D83" s="12" t="s">
        <v>79</v>
      </c>
      <c r="E83" s="16">
        <v>8223796.7200000007</v>
      </c>
      <c r="F83" s="16">
        <v>4270122.1044817548</v>
      </c>
      <c r="G83" s="16">
        <v>900560.6100000001</v>
      </c>
      <c r="H83" s="16">
        <v>0</v>
      </c>
      <c r="I83" s="13">
        <f t="shared" si="1"/>
        <v>13394479.434481755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6781171.040000001</v>
      </c>
      <c r="H84" s="16">
        <v>0</v>
      </c>
      <c r="I84" s="13">
        <f t="shared" si="1"/>
        <v>6781171.040000001</v>
      </c>
    </row>
    <row r="85" spans="1:9" ht="15.75" x14ac:dyDescent="0.25">
      <c r="A85" s="8"/>
      <c r="B85" s="8"/>
      <c r="C85" s="9"/>
      <c r="D85" s="12" t="s">
        <v>81</v>
      </c>
      <c r="E85" s="16">
        <v>10282771.32</v>
      </c>
      <c r="F85" s="16">
        <v>1328487.1603018732</v>
      </c>
      <c r="G85" s="16">
        <v>2721072.5</v>
      </c>
      <c r="H85" s="16">
        <v>0</v>
      </c>
      <c r="I85" s="13">
        <f t="shared" si="1"/>
        <v>14332330.980301874</v>
      </c>
    </row>
    <row r="86" spans="1:9" ht="15.75" x14ac:dyDescent="0.25">
      <c r="A86" s="8"/>
      <c r="B86" s="8"/>
      <c r="C86" s="9"/>
      <c r="D86" s="12" t="s">
        <v>82</v>
      </c>
      <c r="E86" s="16">
        <v>5929094.9499999993</v>
      </c>
      <c r="F86" s="16">
        <v>5517267.5270552197</v>
      </c>
      <c r="G86" s="16">
        <v>320688.43</v>
      </c>
      <c r="H86" s="16">
        <v>0</v>
      </c>
      <c r="I86" s="13">
        <f t="shared" si="1"/>
        <v>11767050.907055218</v>
      </c>
    </row>
    <row r="87" spans="1:9" ht="15.75" x14ac:dyDescent="0.25">
      <c r="A87" s="8"/>
      <c r="B87" s="8"/>
      <c r="C87" s="9"/>
      <c r="D87" s="12" t="s">
        <v>83</v>
      </c>
      <c r="E87" s="16">
        <v>3305597.3100000005</v>
      </c>
      <c r="F87" s="16">
        <v>7265937.5958495177</v>
      </c>
      <c r="G87" s="16">
        <v>219663.09999999998</v>
      </c>
      <c r="H87" s="16">
        <v>0</v>
      </c>
      <c r="I87" s="13">
        <f t="shared" si="1"/>
        <v>10791198.005849518</v>
      </c>
    </row>
    <row r="88" spans="1:9" ht="15.75" x14ac:dyDescent="0.25">
      <c r="A88" s="8"/>
      <c r="B88" s="8"/>
      <c r="C88" s="9"/>
      <c r="D88" s="12" t="s">
        <v>84</v>
      </c>
      <c r="E88" s="16">
        <v>2346286.9700000002</v>
      </c>
      <c r="F88" s="16">
        <v>0</v>
      </c>
      <c r="G88" s="16">
        <v>6118378.1899999995</v>
      </c>
      <c r="H88" s="16">
        <v>0</v>
      </c>
      <c r="I88" s="13">
        <f t="shared" si="1"/>
        <v>8464665.1600000001</v>
      </c>
    </row>
    <row r="89" spans="1:9" ht="15.75" x14ac:dyDescent="0.25">
      <c r="A89" s="8"/>
      <c r="B89" s="8"/>
      <c r="C89" s="9"/>
      <c r="D89" s="12" t="s">
        <v>85</v>
      </c>
      <c r="E89" s="16">
        <v>5141847.2200000007</v>
      </c>
      <c r="F89" s="16">
        <v>7124954.7060464909</v>
      </c>
      <c r="G89" s="16">
        <v>497672.42</v>
      </c>
      <c r="H89" s="16">
        <v>0</v>
      </c>
      <c r="I89" s="13">
        <f t="shared" si="1"/>
        <v>12764474.346046491</v>
      </c>
    </row>
    <row r="90" spans="1:9" ht="15.75" x14ac:dyDescent="0.25">
      <c r="A90" s="8"/>
      <c r="B90" s="8"/>
      <c r="C90" s="9"/>
      <c r="D90" s="12" t="s">
        <v>86</v>
      </c>
      <c r="E90" s="16">
        <v>4642892.8900000006</v>
      </c>
      <c r="F90" s="16">
        <v>1843627.8602662575</v>
      </c>
      <c r="G90" s="16">
        <v>407630.28</v>
      </c>
      <c r="H90" s="16">
        <v>0</v>
      </c>
      <c r="I90" s="13">
        <f t="shared" si="1"/>
        <v>6894151.0302662579</v>
      </c>
    </row>
    <row r="91" spans="1:9" ht="15.75" x14ac:dyDescent="0.25">
      <c r="A91" s="8"/>
      <c r="B91" s="8"/>
      <c r="C91" s="9"/>
      <c r="D91" s="12" t="s">
        <v>87</v>
      </c>
      <c r="E91" s="16">
        <v>6368453.7300000023</v>
      </c>
      <c r="F91" s="16">
        <v>4205020.3475203961</v>
      </c>
      <c r="G91" s="16">
        <v>1187817.8600000001</v>
      </c>
      <c r="H91" s="16">
        <v>0</v>
      </c>
      <c r="I91" s="13">
        <f t="shared" si="1"/>
        <v>11761291.937520398</v>
      </c>
    </row>
    <row r="92" spans="1:9" ht="15.75" x14ac:dyDescent="0.25">
      <c r="A92" s="8"/>
      <c r="B92" s="8"/>
      <c r="C92" s="9"/>
      <c r="D92" s="12" t="s">
        <v>88</v>
      </c>
      <c r="E92" s="16">
        <v>983840.46000000008</v>
      </c>
      <c r="F92" s="16">
        <v>580171.539979161</v>
      </c>
      <c r="G92" s="16">
        <v>2736921.9800000004</v>
      </c>
      <c r="H92" s="16">
        <v>0</v>
      </c>
      <c r="I92" s="13">
        <f t="shared" si="1"/>
        <v>4300933.9799791612</v>
      </c>
    </row>
    <row r="93" spans="1:9" ht="15.75" x14ac:dyDescent="0.25">
      <c r="A93" s="8"/>
      <c r="B93" s="8"/>
      <c r="C93" s="9"/>
      <c r="D93" s="12" t="s">
        <v>89</v>
      </c>
      <c r="E93" s="16">
        <v>11771547.200000001</v>
      </c>
      <c r="F93" s="16">
        <v>4852988.4884309936</v>
      </c>
      <c r="G93" s="16">
        <v>515486.5500000001</v>
      </c>
      <c r="H93" s="16">
        <v>0</v>
      </c>
      <c r="I93" s="13">
        <f t="shared" si="1"/>
        <v>17140022.238430995</v>
      </c>
    </row>
    <row r="94" spans="1:9" ht="15.75" x14ac:dyDescent="0.25">
      <c r="A94" s="8"/>
      <c r="B94" s="8"/>
      <c r="C94" s="9"/>
      <c r="D94" s="12" t="s">
        <v>90</v>
      </c>
      <c r="E94" s="16">
        <v>136567.53</v>
      </c>
      <c r="F94" s="16">
        <v>0</v>
      </c>
      <c r="G94" s="16">
        <v>86354.459999999992</v>
      </c>
      <c r="H94" s="16">
        <v>0</v>
      </c>
      <c r="I94" s="13">
        <f t="shared" si="1"/>
        <v>222921.99</v>
      </c>
    </row>
    <row r="95" spans="1:9" ht="15.75" x14ac:dyDescent="0.25">
      <c r="A95" s="8"/>
      <c r="B95" s="8"/>
      <c r="C95" s="9"/>
      <c r="D95" s="12" t="s">
        <v>91</v>
      </c>
      <c r="E95" s="16">
        <v>1158764.99</v>
      </c>
      <c r="F95" s="16">
        <v>149138.33865984302</v>
      </c>
      <c r="G95" s="16">
        <v>3013104.71</v>
      </c>
      <c r="H95" s="16">
        <v>0</v>
      </c>
      <c r="I95" s="13">
        <f t="shared" si="1"/>
        <v>4321008.0386598427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6734560.8500000006</v>
      </c>
      <c r="H96" s="16">
        <v>0</v>
      </c>
      <c r="I96" s="13">
        <f t="shared" si="1"/>
        <v>6734560.8500000006</v>
      </c>
    </row>
    <row r="97" spans="1:9" ht="15.75" x14ac:dyDescent="0.25">
      <c r="A97" s="8"/>
      <c r="B97" s="8"/>
      <c r="C97" s="9"/>
      <c r="D97" s="12" t="s">
        <v>93</v>
      </c>
      <c r="E97" s="16">
        <v>3521446.6099999994</v>
      </c>
      <c r="F97" s="16">
        <v>6696616.3486972507</v>
      </c>
      <c r="G97" s="16">
        <v>314314.58999999997</v>
      </c>
      <c r="H97" s="16">
        <v>0</v>
      </c>
      <c r="I97" s="13">
        <f t="shared" si="1"/>
        <v>10532377.54869725</v>
      </c>
    </row>
    <row r="98" spans="1:9" ht="15.75" x14ac:dyDescent="0.25">
      <c r="A98" s="8"/>
      <c r="B98" s="8"/>
      <c r="C98" s="9"/>
      <c r="D98" s="12" t="s">
        <v>94</v>
      </c>
      <c r="E98" s="16">
        <v>16316388.789999999</v>
      </c>
      <c r="F98" s="16">
        <v>8808593.9348260108</v>
      </c>
      <c r="G98" s="16">
        <v>2838566.8200000003</v>
      </c>
      <c r="H98" s="16">
        <v>0</v>
      </c>
      <c r="I98" s="13">
        <f t="shared" si="1"/>
        <v>27963549.544826008</v>
      </c>
    </row>
    <row r="99" spans="1:9" ht="15.75" x14ac:dyDescent="0.25">
      <c r="A99" s="8"/>
      <c r="B99" s="8"/>
      <c r="C99" s="9"/>
      <c r="D99" s="12" t="s">
        <v>95</v>
      </c>
      <c r="E99" s="16">
        <v>21668596.329999998</v>
      </c>
      <c r="F99" s="16">
        <v>16784835.667630829</v>
      </c>
      <c r="G99" s="16">
        <v>1438869.1099999999</v>
      </c>
      <c r="H99" s="16">
        <v>0</v>
      </c>
      <c r="I99" s="13">
        <f t="shared" si="1"/>
        <v>39892301.107630827</v>
      </c>
    </row>
    <row r="100" spans="1:9" ht="15.75" x14ac:dyDescent="0.25">
      <c r="A100" s="8"/>
      <c r="B100" s="8"/>
      <c r="C100" s="9"/>
      <c r="D100" s="12" t="s">
        <v>96</v>
      </c>
      <c r="E100" s="16">
        <v>19487204.5</v>
      </c>
      <c r="F100" s="16">
        <v>17253880.35231756</v>
      </c>
      <c r="G100" s="16">
        <v>2591542.14</v>
      </c>
      <c r="H100" s="16">
        <v>0</v>
      </c>
      <c r="I100" s="13">
        <f t="shared" si="1"/>
        <v>39332626.992317557</v>
      </c>
    </row>
    <row r="101" spans="1:9" ht="15.75" x14ac:dyDescent="0.25">
      <c r="A101" s="8"/>
      <c r="B101" s="8"/>
      <c r="C101" s="9"/>
      <c r="D101" s="12" t="s">
        <v>97</v>
      </c>
      <c r="E101" s="16">
        <v>623997.48</v>
      </c>
      <c r="F101" s="16">
        <v>22535136.281151213</v>
      </c>
      <c r="G101" s="16">
        <v>45739.619999999995</v>
      </c>
      <c r="H101" s="16">
        <v>0</v>
      </c>
      <c r="I101" s="13">
        <f t="shared" si="1"/>
        <v>23204873.381151214</v>
      </c>
    </row>
    <row r="102" spans="1:9" ht="15.75" x14ac:dyDescent="0.25">
      <c r="A102" s="8"/>
      <c r="B102" s="8"/>
      <c r="C102" s="9"/>
      <c r="D102" s="12" t="s">
        <v>98</v>
      </c>
      <c r="E102" s="16">
        <v>25574469.259999994</v>
      </c>
      <c r="F102" s="16">
        <v>9752072.9921396375</v>
      </c>
      <c r="G102" s="16">
        <v>1248621.42</v>
      </c>
      <c r="H102" s="16">
        <v>0</v>
      </c>
      <c r="I102" s="13">
        <f t="shared" si="1"/>
        <v>36575163.67213963</v>
      </c>
    </row>
    <row r="103" spans="1:9" ht="15.75" x14ac:dyDescent="0.25">
      <c r="A103" s="8"/>
      <c r="B103" s="8"/>
      <c r="C103" s="9"/>
      <c r="D103" s="12" t="s">
        <v>99</v>
      </c>
      <c r="E103" s="16">
        <v>9686595.4299999978</v>
      </c>
      <c r="F103" s="16">
        <v>3077157.2290961714</v>
      </c>
      <c r="G103" s="16">
        <v>510785.45</v>
      </c>
      <c r="H103" s="16">
        <v>0</v>
      </c>
      <c r="I103" s="13">
        <f t="shared" si="1"/>
        <v>13274538.109096169</v>
      </c>
    </row>
    <row r="104" spans="1:9" ht="15.75" x14ac:dyDescent="0.25">
      <c r="A104" s="8"/>
      <c r="B104" s="8"/>
      <c r="C104" s="9"/>
      <c r="D104" s="12" t="s">
        <v>100</v>
      </c>
      <c r="E104" s="16">
        <v>41922645.089999996</v>
      </c>
      <c r="F104" s="16">
        <v>5623004.6944074919</v>
      </c>
      <c r="G104" s="16">
        <v>2892751.92</v>
      </c>
      <c r="H104" s="16">
        <v>0</v>
      </c>
      <c r="I104" s="13">
        <f t="shared" si="1"/>
        <v>50438401.704407491</v>
      </c>
    </row>
    <row r="105" spans="1:9" ht="15.75" x14ac:dyDescent="0.25">
      <c r="A105" s="8"/>
      <c r="B105" s="8"/>
      <c r="C105" s="9"/>
      <c r="D105" s="12" t="s">
        <v>101</v>
      </c>
      <c r="E105" s="16">
        <v>5459346.4500000011</v>
      </c>
      <c r="F105" s="16">
        <v>8350399.5429661702</v>
      </c>
      <c r="G105" s="16">
        <v>29159.960000000003</v>
      </c>
      <c r="H105" s="16">
        <v>0</v>
      </c>
      <c r="I105" s="13">
        <f t="shared" si="1"/>
        <v>13838905.952966172</v>
      </c>
    </row>
    <row r="106" spans="1:9" ht="15.75" x14ac:dyDescent="0.25">
      <c r="A106" s="8"/>
      <c r="B106" s="8"/>
      <c r="C106" s="9"/>
      <c r="D106" s="12" t="s">
        <v>102</v>
      </c>
      <c r="E106" s="16">
        <v>8504987.0500000007</v>
      </c>
      <c r="F106" s="16">
        <v>515140.69996438408</v>
      </c>
      <c r="G106" s="16">
        <v>5000458.8000000007</v>
      </c>
      <c r="H106" s="16">
        <v>0</v>
      </c>
      <c r="I106" s="13">
        <f t="shared" si="1"/>
        <v>14020586.549964385</v>
      </c>
    </row>
    <row r="107" spans="1:9" ht="15.75" x14ac:dyDescent="0.25">
      <c r="A107" s="8"/>
      <c r="B107" s="8"/>
      <c r="C107" s="9"/>
      <c r="D107" s="12" t="s">
        <v>103</v>
      </c>
      <c r="E107" s="16">
        <v>11189.17</v>
      </c>
      <c r="F107" s="16">
        <v>0</v>
      </c>
      <c r="G107" s="16">
        <v>1624631.8699999999</v>
      </c>
      <c r="H107" s="16">
        <v>0</v>
      </c>
      <c r="I107" s="13">
        <f t="shared" si="1"/>
        <v>1635821.0399999998</v>
      </c>
    </row>
    <row r="108" spans="1:9" ht="15.75" x14ac:dyDescent="0.25">
      <c r="A108" s="8"/>
      <c r="B108" s="8"/>
      <c r="C108" s="9"/>
      <c r="D108" s="12" t="s">
        <v>104</v>
      </c>
      <c r="E108" s="16">
        <v>145887.06</v>
      </c>
      <c r="F108" s="16">
        <v>0</v>
      </c>
      <c r="G108" s="16">
        <v>854136.37</v>
      </c>
      <c r="H108" s="16">
        <v>0</v>
      </c>
      <c r="I108" s="13">
        <f t="shared" si="1"/>
        <v>1000023.4299999999</v>
      </c>
    </row>
    <row r="109" spans="1:9" ht="15.75" x14ac:dyDescent="0.25">
      <c r="A109" s="8"/>
      <c r="B109" s="8"/>
      <c r="C109" s="9"/>
      <c r="D109" s="12" t="s">
        <v>105</v>
      </c>
      <c r="E109" s="16">
        <v>2977884.09</v>
      </c>
      <c r="F109" s="16">
        <v>13821571.054743739</v>
      </c>
      <c r="G109" s="16">
        <v>330450.84999999998</v>
      </c>
      <c r="H109" s="16">
        <v>0</v>
      </c>
      <c r="I109" s="13">
        <f t="shared" si="1"/>
        <v>17129905.994743742</v>
      </c>
    </row>
    <row r="110" spans="1:9" ht="15.75" x14ac:dyDescent="0.25">
      <c r="A110" s="8"/>
      <c r="B110" s="8"/>
      <c r="C110" s="9"/>
      <c r="D110" s="12" t="s">
        <v>106</v>
      </c>
      <c r="E110" s="16">
        <v>3282598.5800000005</v>
      </c>
      <c r="F110" s="16">
        <v>3711580.2332097981</v>
      </c>
      <c r="G110" s="16">
        <v>307294.16000000003</v>
      </c>
      <c r="H110" s="16">
        <v>0</v>
      </c>
      <c r="I110" s="13">
        <f t="shared" si="1"/>
        <v>7301472.9732097983</v>
      </c>
    </row>
    <row r="111" spans="1:9" ht="15.75" x14ac:dyDescent="0.25">
      <c r="A111" s="8"/>
      <c r="B111" s="8"/>
      <c r="C111" s="9"/>
      <c r="D111" s="12" t="s">
        <v>107</v>
      </c>
      <c r="E111" s="16">
        <v>56081.12999999999</v>
      </c>
      <c r="F111" s="16">
        <v>51485.703217806018</v>
      </c>
      <c r="G111" s="16">
        <v>7374316.5099999998</v>
      </c>
      <c r="H111" s="16">
        <v>0</v>
      </c>
      <c r="I111" s="13">
        <f t="shared" si="1"/>
        <v>7481883.343217806</v>
      </c>
    </row>
    <row r="112" spans="1:9" ht="15.75" x14ac:dyDescent="0.25">
      <c r="A112" s="8"/>
      <c r="B112" s="8"/>
      <c r="C112" s="9"/>
      <c r="D112" s="12" t="s">
        <v>108</v>
      </c>
      <c r="E112" s="16">
        <v>12232957.27</v>
      </c>
      <c r="F112" s="16">
        <v>3524501.3281291192</v>
      </c>
      <c r="G112" s="16">
        <v>626220.38000000012</v>
      </c>
      <c r="H112" s="16">
        <v>0</v>
      </c>
      <c r="I112" s="13">
        <f t="shared" si="1"/>
        <v>16383678.978129121</v>
      </c>
    </row>
    <row r="113" spans="1:9" ht="15.75" x14ac:dyDescent="0.25">
      <c r="A113" s="8"/>
      <c r="B113" s="8"/>
      <c r="C113" s="9"/>
      <c r="D113" s="12" t="s">
        <v>109</v>
      </c>
      <c r="E113" s="16">
        <v>7781917.0200000005</v>
      </c>
      <c r="F113" s="16">
        <v>8485992.7448290419</v>
      </c>
      <c r="G113" s="16">
        <v>709108.5900000002</v>
      </c>
      <c r="H113" s="16">
        <v>0</v>
      </c>
      <c r="I113" s="13">
        <f t="shared" si="1"/>
        <v>16977018.354829043</v>
      </c>
    </row>
    <row r="114" spans="1:9" ht="15.75" x14ac:dyDescent="0.25">
      <c r="A114" s="8"/>
      <c r="B114" s="8"/>
      <c r="C114" s="9"/>
      <c r="D114" s="12" t="s">
        <v>110</v>
      </c>
      <c r="E114" s="16">
        <v>22292600.809999999</v>
      </c>
      <c r="F114" s="16">
        <v>9733138.1674025096</v>
      </c>
      <c r="G114" s="16">
        <v>890421.47</v>
      </c>
      <c r="H114" s="16">
        <v>0</v>
      </c>
      <c r="I114" s="13">
        <f t="shared" si="1"/>
        <v>32916160.447402507</v>
      </c>
    </row>
    <row r="115" spans="1:9" ht="15.75" x14ac:dyDescent="0.25">
      <c r="A115" s="8"/>
      <c r="B115" s="8"/>
      <c r="C115" s="9"/>
      <c r="D115" s="12" t="s">
        <v>111</v>
      </c>
      <c r="E115" s="16">
        <v>38720326.960000001</v>
      </c>
      <c r="F115" s="16">
        <v>4812353.0780400801</v>
      </c>
      <c r="G115" s="16">
        <v>1172437.9400000002</v>
      </c>
      <c r="H115" s="16">
        <v>0</v>
      </c>
      <c r="I115" s="13">
        <f t="shared" si="1"/>
        <v>44705117.978040077</v>
      </c>
    </row>
    <row r="116" spans="1:9" ht="15.75" x14ac:dyDescent="0.25">
      <c r="A116" s="8"/>
      <c r="B116" s="8"/>
      <c r="C116" s="9"/>
      <c r="D116" s="12" t="s">
        <v>112</v>
      </c>
      <c r="E116" s="16">
        <v>6545152.0099999998</v>
      </c>
      <c r="F116" s="16">
        <v>6249272.2496643038</v>
      </c>
      <c r="G116" s="16">
        <v>149557.18999999997</v>
      </c>
      <c r="H116" s="16">
        <v>0</v>
      </c>
      <c r="I116" s="13">
        <f t="shared" si="1"/>
        <v>12943981.449664304</v>
      </c>
    </row>
    <row r="117" spans="1:9" ht="15.75" x14ac:dyDescent="0.25">
      <c r="A117" s="8"/>
      <c r="B117" s="8"/>
      <c r="C117" s="9"/>
      <c r="D117" s="12" t="s">
        <v>113</v>
      </c>
      <c r="E117" s="16">
        <v>4493137.75</v>
      </c>
      <c r="F117" s="16">
        <v>4825898.214837051</v>
      </c>
      <c r="G117" s="16">
        <v>736955.79000000015</v>
      </c>
      <c r="H117" s="16">
        <v>0</v>
      </c>
      <c r="I117" s="13">
        <f t="shared" si="1"/>
        <v>10055991.754837053</v>
      </c>
    </row>
    <row r="118" spans="1:9" ht="15.75" x14ac:dyDescent="0.25">
      <c r="A118" s="8"/>
      <c r="B118" s="8"/>
      <c r="C118" s="9"/>
      <c r="D118" s="12" t="s">
        <v>114</v>
      </c>
      <c r="E118" s="16">
        <v>9795856.3900000006</v>
      </c>
      <c r="F118" s="16">
        <v>7537053.0826286813</v>
      </c>
      <c r="G118" s="16">
        <v>839024.25</v>
      </c>
      <c r="H118" s="16">
        <v>0</v>
      </c>
      <c r="I118" s="13">
        <f t="shared" si="1"/>
        <v>18171933.722628683</v>
      </c>
    </row>
    <row r="119" spans="1:9" ht="15.75" x14ac:dyDescent="0.25">
      <c r="A119" s="8"/>
      <c r="B119" s="8"/>
      <c r="C119" s="9"/>
      <c r="D119" s="12" t="s">
        <v>115</v>
      </c>
      <c r="E119" s="16">
        <v>2339136.1499999994</v>
      </c>
      <c r="F119" s="16">
        <v>732004.72260908224</v>
      </c>
      <c r="G119" s="16">
        <v>280541.36</v>
      </c>
      <c r="H119" s="16">
        <v>0</v>
      </c>
      <c r="I119" s="13">
        <f t="shared" si="1"/>
        <v>3351682.2326090815</v>
      </c>
    </row>
    <row r="120" spans="1:9" ht="15.75" x14ac:dyDescent="0.25">
      <c r="A120" s="8"/>
      <c r="B120" s="8"/>
      <c r="C120" s="9"/>
      <c r="D120" s="12" t="s">
        <v>116</v>
      </c>
      <c r="E120" s="16">
        <v>30052800.240000002</v>
      </c>
      <c r="F120" s="16">
        <v>3199205.2941620732</v>
      </c>
      <c r="G120" s="16">
        <v>868157.78</v>
      </c>
      <c r="H120" s="16">
        <v>0</v>
      </c>
      <c r="I120" s="13">
        <f t="shared" si="1"/>
        <v>34120163.314162076</v>
      </c>
    </row>
    <row r="121" spans="1:9" ht="15.75" x14ac:dyDescent="0.25">
      <c r="A121" s="8"/>
      <c r="B121" s="8"/>
      <c r="C121" s="9"/>
      <c r="D121" s="12" t="s">
        <v>117</v>
      </c>
      <c r="E121" s="16">
        <v>9094441.2400000021</v>
      </c>
      <c r="F121" s="16">
        <v>4907239.9525654577</v>
      </c>
      <c r="G121" s="16">
        <v>587809.43000000005</v>
      </c>
      <c r="H121" s="16">
        <v>0</v>
      </c>
      <c r="I121" s="13">
        <f t="shared" si="1"/>
        <v>14589490.622565459</v>
      </c>
    </row>
    <row r="122" spans="1:9" ht="15.75" x14ac:dyDescent="0.25">
      <c r="A122" s="8"/>
      <c r="B122" s="8"/>
      <c r="C122" s="9"/>
      <c r="D122" s="12" t="s">
        <v>118</v>
      </c>
      <c r="E122" s="16">
        <v>11585800.040000003</v>
      </c>
      <c r="F122" s="16">
        <v>3500105.8985052556</v>
      </c>
      <c r="G122" s="16">
        <v>761499.77000000014</v>
      </c>
      <c r="H122" s="16">
        <v>0</v>
      </c>
      <c r="I122" s="13">
        <f t="shared" si="1"/>
        <v>15847405.708505258</v>
      </c>
    </row>
    <row r="123" spans="1:9" ht="15.75" x14ac:dyDescent="0.25">
      <c r="A123" s="8"/>
      <c r="B123" s="8"/>
      <c r="C123" s="9"/>
      <c r="D123" s="12" t="s">
        <v>119</v>
      </c>
      <c r="E123" s="16">
        <v>10261762.369999999</v>
      </c>
      <c r="F123" s="16">
        <v>6430890.5498582423</v>
      </c>
      <c r="G123" s="16">
        <v>216716.36</v>
      </c>
      <c r="H123" s="16">
        <v>0</v>
      </c>
      <c r="I123" s="13">
        <f t="shared" si="1"/>
        <v>16909369.279858243</v>
      </c>
    </row>
    <row r="124" spans="1:9" ht="15.75" x14ac:dyDescent="0.25">
      <c r="A124" s="8"/>
      <c r="B124" s="8"/>
      <c r="C124" s="9"/>
      <c r="D124" s="12" t="s">
        <v>120</v>
      </c>
      <c r="E124" s="16">
        <v>293794.87</v>
      </c>
      <c r="F124" s="16">
        <v>0</v>
      </c>
      <c r="G124" s="16">
        <v>2180044.87</v>
      </c>
      <c r="H124" s="16">
        <v>498164.57999999984</v>
      </c>
      <c r="I124" s="13">
        <f t="shared" si="1"/>
        <v>2972004.3200000003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8602725.6600000001</v>
      </c>
      <c r="H125" s="16">
        <v>57620.08</v>
      </c>
      <c r="I125" s="13">
        <f t="shared" si="1"/>
        <v>8660345.7400000002</v>
      </c>
    </row>
    <row r="126" spans="1:9" ht="15.75" x14ac:dyDescent="0.25">
      <c r="A126" s="8"/>
      <c r="B126" s="8"/>
      <c r="C126" s="9"/>
      <c r="D126" s="12" t="s">
        <v>122</v>
      </c>
      <c r="E126" s="16">
        <v>195474.16999999998</v>
      </c>
      <c r="F126" s="16">
        <v>0</v>
      </c>
      <c r="G126" s="16">
        <v>3192033.8799999994</v>
      </c>
      <c r="H126" s="16">
        <v>0</v>
      </c>
      <c r="I126" s="13">
        <f t="shared" si="1"/>
        <v>3387508.0499999993</v>
      </c>
    </row>
    <row r="127" spans="1:9" ht="15.75" x14ac:dyDescent="0.25">
      <c r="A127" s="8"/>
      <c r="B127" s="8"/>
      <c r="C127" s="9"/>
      <c r="D127" s="12" t="s">
        <v>123</v>
      </c>
      <c r="E127" s="16">
        <v>6362554.5200000005</v>
      </c>
      <c r="F127" s="16">
        <v>1355577.4338958152</v>
      </c>
      <c r="G127" s="16">
        <v>12314731.639999999</v>
      </c>
      <c r="H127" s="16">
        <v>0</v>
      </c>
      <c r="I127" s="13">
        <f t="shared" si="1"/>
        <v>20032863.593895815</v>
      </c>
    </row>
    <row r="128" spans="1:9" ht="15.75" x14ac:dyDescent="0.25">
      <c r="A128" s="8"/>
      <c r="B128" s="8"/>
      <c r="C128" s="9"/>
      <c r="D128" s="12" t="s">
        <v>124</v>
      </c>
      <c r="E128" s="16">
        <v>13411425.390000002</v>
      </c>
      <c r="F128" s="16">
        <v>3876958.55263669</v>
      </c>
      <c r="G128" s="16">
        <v>1252345.9899999998</v>
      </c>
      <c r="H128" s="16">
        <v>0</v>
      </c>
      <c r="I128" s="13">
        <f t="shared" si="1"/>
        <v>18540729.932636689</v>
      </c>
    </row>
    <row r="129" spans="1:9" ht="15.75" x14ac:dyDescent="0.25">
      <c r="A129" s="8"/>
      <c r="B129" s="8"/>
      <c r="C129" s="9"/>
      <c r="D129" s="12" t="s">
        <v>125</v>
      </c>
      <c r="E129" s="16">
        <v>3956325.4699999997</v>
      </c>
      <c r="F129" s="16">
        <v>2046946.7461139846</v>
      </c>
      <c r="G129" s="16">
        <v>618227.88000000012</v>
      </c>
      <c r="H129" s="16">
        <v>0</v>
      </c>
      <c r="I129" s="13">
        <f t="shared" si="1"/>
        <v>6621500.0961139845</v>
      </c>
    </row>
    <row r="130" spans="1:9" ht="15.75" x14ac:dyDescent="0.25">
      <c r="A130" s="8"/>
      <c r="B130" s="8"/>
      <c r="C130" s="9"/>
      <c r="D130" s="12" t="s">
        <v>126</v>
      </c>
      <c r="E130" s="16">
        <v>4021554.7199999993</v>
      </c>
      <c r="F130" s="16">
        <v>3605843.0658575268</v>
      </c>
      <c r="G130" s="16">
        <v>206098.36000000002</v>
      </c>
      <c r="H130" s="16">
        <v>0</v>
      </c>
      <c r="I130" s="13">
        <f t="shared" si="1"/>
        <v>7833496.1458575269</v>
      </c>
    </row>
    <row r="131" spans="1:9" ht="15.75" x14ac:dyDescent="0.25">
      <c r="A131" s="8"/>
      <c r="B131" s="8"/>
      <c r="C131" s="9"/>
      <c r="D131" s="12" t="s">
        <v>127</v>
      </c>
      <c r="E131" s="16">
        <v>38001228.670000002</v>
      </c>
      <c r="F131" s="16">
        <v>19707535.787073579</v>
      </c>
      <c r="G131" s="16">
        <v>5394622.790000001</v>
      </c>
      <c r="H131" s="16">
        <v>0</v>
      </c>
      <c r="I131" s="13">
        <f t="shared" si="1"/>
        <v>63103387.247073583</v>
      </c>
    </row>
    <row r="132" spans="1:9" ht="15.75" x14ac:dyDescent="0.25">
      <c r="A132" s="8"/>
      <c r="B132" s="8"/>
      <c r="C132" s="9"/>
      <c r="D132" s="12" t="s">
        <v>128</v>
      </c>
      <c r="E132" s="16">
        <v>7615231.6900000004</v>
      </c>
      <c r="F132" s="16">
        <v>12091835.81068657</v>
      </c>
      <c r="G132" s="16">
        <v>64495.72</v>
      </c>
      <c r="H132" s="16">
        <v>0</v>
      </c>
      <c r="I132" s="13">
        <f t="shared" si="1"/>
        <v>19771563.22068657</v>
      </c>
    </row>
    <row r="133" spans="1:9" ht="15.75" x14ac:dyDescent="0.25">
      <c r="A133" s="8"/>
      <c r="B133" s="8"/>
      <c r="C133" s="9"/>
      <c r="D133" s="12" t="s">
        <v>129</v>
      </c>
      <c r="E133" s="16">
        <v>5275728.2500000009</v>
      </c>
      <c r="F133" s="16">
        <v>0</v>
      </c>
      <c r="G133" s="16">
        <v>6741346.5099999998</v>
      </c>
      <c r="H133" s="16">
        <v>563737.52500000002</v>
      </c>
      <c r="I133" s="13">
        <f t="shared" si="1"/>
        <v>12580812.285000002</v>
      </c>
    </row>
    <row r="134" spans="1:9" ht="15.75" x14ac:dyDescent="0.25">
      <c r="A134" s="8"/>
      <c r="B134" s="8"/>
      <c r="C134" s="9"/>
      <c r="D134" s="12" t="s">
        <v>130</v>
      </c>
      <c r="E134" s="16">
        <v>1475778.68</v>
      </c>
      <c r="F134" s="16">
        <v>596482.43769279122</v>
      </c>
      <c r="G134" s="16">
        <v>24034.019999999997</v>
      </c>
      <c r="H134" s="16">
        <v>0</v>
      </c>
      <c r="I134" s="13">
        <f t="shared" si="1"/>
        <v>2096295.1376927912</v>
      </c>
    </row>
    <row r="135" spans="1:9" ht="15.75" x14ac:dyDescent="0.25">
      <c r="A135" s="8"/>
      <c r="B135" s="8"/>
      <c r="C135" s="9"/>
      <c r="D135" s="12" t="s">
        <v>131</v>
      </c>
      <c r="E135" s="16">
        <v>4952909.5299999993</v>
      </c>
      <c r="F135" s="16">
        <v>7537053.0826286813</v>
      </c>
      <c r="G135" s="16">
        <v>268701.08999999997</v>
      </c>
      <c r="H135" s="16">
        <v>0</v>
      </c>
      <c r="I135" s="13">
        <f t="shared" si="1"/>
        <v>12758663.70262868</v>
      </c>
    </row>
    <row r="136" spans="1:9" ht="15.75" x14ac:dyDescent="0.25">
      <c r="A136" s="8"/>
      <c r="B136" s="8"/>
      <c r="C136" s="9"/>
      <c r="D136" s="12" t="s">
        <v>132</v>
      </c>
      <c r="E136" s="16">
        <v>29835394.529999997</v>
      </c>
      <c r="F136" s="16">
        <v>9109565.4561157767</v>
      </c>
      <c r="G136" s="16">
        <v>2170148.73</v>
      </c>
      <c r="H136" s="16">
        <v>0</v>
      </c>
      <c r="I136" s="13">
        <f t="shared" si="1"/>
        <v>41115108.716115773</v>
      </c>
    </row>
    <row r="137" spans="1:9" ht="15.75" x14ac:dyDescent="0.25">
      <c r="A137" s="8"/>
      <c r="B137" s="8"/>
      <c r="C137" s="9"/>
      <c r="D137" s="12" t="s">
        <v>133</v>
      </c>
      <c r="E137" s="16">
        <v>32366627.77</v>
      </c>
      <c r="F137" s="16">
        <v>15304586.241645614</v>
      </c>
      <c r="G137" s="16">
        <v>2402949.9000000004</v>
      </c>
      <c r="H137" s="16">
        <v>0</v>
      </c>
      <c r="I137" s="13">
        <f t="shared" si="1"/>
        <v>50074163.911645614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3983079.7800000003</v>
      </c>
      <c r="H138" s="16">
        <v>0</v>
      </c>
      <c r="I138" s="13">
        <f t="shared" ref="I138:I144" si="2">SUM(E138:H138)</f>
        <v>3983079.7800000003</v>
      </c>
    </row>
    <row r="139" spans="1:9" ht="15.75" x14ac:dyDescent="0.25">
      <c r="A139" s="8"/>
      <c r="B139" s="8"/>
      <c r="C139" s="9"/>
      <c r="D139" s="12" t="s">
        <v>135</v>
      </c>
      <c r="E139" s="16">
        <v>3306690.6199999996</v>
      </c>
      <c r="F139" s="16">
        <v>2144528.4646094409</v>
      </c>
      <c r="G139" s="16">
        <v>252690.45</v>
      </c>
      <c r="H139" s="16">
        <v>0</v>
      </c>
      <c r="I139" s="13">
        <f t="shared" si="2"/>
        <v>5703909.5346094407</v>
      </c>
    </row>
    <row r="140" spans="1:9" ht="15.75" x14ac:dyDescent="0.25">
      <c r="A140" s="8"/>
      <c r="B140" s="8"/>
      <c r="C140" s="9"/>
      <c r="D140" s="12" t="s">
        <v>136</v>
      </c>
      <c r="E140" s="16">
        <v>17171410.710000001</v>
      </c>
      <c r="F140" s="16">
        <v>15209699.367120236</v>
      </c>
      <c r="G140" s="16">
        <v>1220975.32</v>
      </c>
      <c r="H140" s="16">
        <v>0</v>
      </c>
      <c r="I140" s="13">
        <f t="shared" si="2"/>
        <v>33602085.397120237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6253409.4000000004</v>
      </c>
      <c r="H141" s="16">
        <v>48605.340000000004</v>
      </c>
      <c r="I141" s="13">
        <f t="shared" si="2"/>
        <v>6302014.7400000002</v>
      </c>
    </row>
    <row r="142" spans="1:9" ht="15.75" x14ac:dyDescent="0.25">
      <c r="A142" s="8"/>
      <c r="B142" s="8"/>
      <c r="C142" s="9"/>
      <c r="D142" s="12" t="s">
        <v>138</v>
      </c>
      <c r="E142" s="16">
        <v>81213.53</v>
      </c>
      <c r="F142" s="16">
        <v>0</v>
      </c>
      <c r="G142" s="16">
        <v>1095014.3800000001</v>
      </c>
      <c r="H142" s="16">
        <v>0</v>
      </c>
      <c r="I142" s="13">
        <f t="shared" si="2"/>
        <v>1176227.9100000001</v>
      </c>
    </row>
    <row r="143" spans="1:9" ht="15.75" x14ac:dyDescent="0.25">
      <c r="A143" s="8"/>
      <c r="B143" s="8"/>
      <c r="C143" s="9"/>
      <c r="D143" s="12" t="s">
        <v>139</v>
      </c>
      <c r="E143" s="16">
        <v>1556811.25</v>
      </c>
      <c r="F143" s="16">
        <v>14057440.819072146</v>
      </c>
      <c r="G143" s="16">
        <v>104425.18000000001</v>
      </c>
      <c r="H143" s="16">
        <v>0</v>
      </c>
      <c r="I143" s="13">
        <f t="shared" si="2"/>
        <v>15718677.249072146</v>
      </c>
    </row>
    <row r="144" spans="1:9" ht="15.75" x14ac:dyDescent="0.25">
      <c r="A144" s="8"/>
      <c r="B144" s="8"/>
      <c r="C144" s="9"/>
      <c r="D144" s="12" t="s">
        <v>140</v>
      </c>
      <c r="E144" s="16">
        <v>14512830.099999996</v>
      </c>
      <c r="F144" s="16">
        <v>1708034.6584033857</v>
      </c>
      <c r="G144" s="16">
        <v>1511044.7400000002</v>
      </c>
      <c r="H144" s="16">
        <v>0</v>
      </c>
      <c r="I144" s="13">
        <f t="shared" si="2"/>
        <v>17731909.498403382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1340824195.6500001</v>
      </c>
      <c r="F145" s="22">
        <f>SUM(F10:F144)</f>
        <v>709136985.84846604</v>
      </c>
      <c r="G145" s="22">
        <f>SUM(G10:G144)</f>
        <v>268789308.07999998</v>
      </c>
      <c r="H145" s="22">
        <f>SUM(H10:H144)</f>
        <v>1168127.5249999999</v>
      </c>
      <c r="I145" s="22">
        <f>SUM(I10:I144)</f>
        <v>2319918617.103466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965305.43000000017</v>
      </c>
      <c r="F10" s="16">
        <v>4639297.1164121777</v>
      </c>
      <c r="G10" s="16">
        <v>570978.36</v>
      </c>
      <c r="H10" s="16">
        <v>0</v>
      </c>
      <c r="I10" s="13">
        <f t="shared" ref="I10:I73" si="0">SUM(E10:H10)</f>
        <v>6175580.9064121777</v>
      </c>
    </row>
    <row r="11" spans="1:9" ht="15.75" x14ac:dyDescent="0.25">
      <c r="A11" s="8"/>
      <c r="B11" s="8"/>
      <c r="C11" s="9"/>
      <c r="D11" s="12" t="s">
        <v>7</v>
      </c>
      <c r="E11" s="16">
        <v>1057099.4200000002</v>
      </c>
      <c r="F11" s="16">
        <v>2603930.9028524477</v>
      </c>
      <c r="G11" s="16">
        <v>533132.42000000004</v>
      </c>
      <c r="H11" s="16">
        <v>0</v>
      </c>
      <c r="I11" s="13">
        <f t="shared" si="0"/>
        <v>4194162.7428524476</v>
      </c>
    </row>
    <row r="12" spans="1:9" ht="15.75" x14ac:dyDescent="0.25">
      <c r="A12" s="8"/>
      <c r="B12" s="8"/>
      <c r="C12" s="9"/>
      <c r="D12" s="12" t="s">
        <v>8</v>
      </c>
      <c r="E12" s="16">
        <v>805176.3899999999</v>
      </c>
      <c r="F12" s="16">
        <v>944007.69694409077</v>
      </c>
      <c r="G12" s="16">
        <v>609380.68000000005</v>
      </c>
      <c r="H12" s="16">
        <v>0</v>
      </c>
      <c r="I12" s="13">
        <f t="shared" si="0"/>
        <v>2358564.7669440908</v>
      </c>
    </row>
    <row r="13" spans="1:9" ht="15.75" x14ac:dyDescent="0.25">
      <c r="A13" s="8"/>
      <c r="B13" s="8"/>
      <c r="C13" s="9"/>
      <c r="D13" s="12" t="s">
        <v>9</v>
      </c>
      <c r="E13" s="16">
        <v>167355.45000000001</v>
      </c>
      <c r="F13" s="16">
        <v>24975.822397408992</v>
      </c>
      <c r="G13" s="16">
        <v>4905960.0199999996</v>
      </c>
      <c r="H13" s="16">
        <v>0</v>
      </c>
      <c r="I13" s="13">
        <f t="shared" si="0"/>
        <v>5098291.2923974087</v>
      </c>
    </row>
    <row r="14" spans="1:9" ht="15.75" x14ac:dyDescent="0.25">
      <c r="A14" s="8"/>
      <c r="B14" s="8"/>
      <c r="C14" s="9"/>
      <c r="D14" s="12" t="s">
        <v>10</v>
      </c>
      <c r="E14" s="16">
        <v>1091175.1500000001</v>
      </c>
      <c r="F14" s="16">
        <v>1048897.44104899</v>
      </c>
      <c r="G14" s="16">
        <v>935935.27</v>
      </c>
      <c r="H14" s="16">
        <v>0</v>
      </c>
      <c r="I14" s="13">
        <f t="shared" si="0"/>
        <v>3076007.8610489904</v>
      </c>
    </row>
    <row r="15" spans="1:9" ht="15.75" x14ac:dyDescent="0.25">
      <c r="A15" s="8"/>
      <c r="B15" s="8"/>
      <c r="C15" s="9"/>
      <c r="D15" s="12" t="s">
        <v>11</v>
      </c>
      <c r="E15" s="16">
        <v>222118.53</v>
      </c>
      <c r="F15" s="16">
        <v>5835.6760265959983</v>
      </c>
      <c r="G15" s="16">
        <v>5067224.3999999994</v>
      </c>
      <c r="H15" s="16">
        <v>0</v>
      </c>
      <c r="I15" s="13">
        <f t="shared" si="0"/>
        <v>5295178.6060265955</v>
      </c>
    </row>
    <row r="16" spans="1:9" ht="15.75" x14ac:dyDescent="0.25">
      <c r="A16" s="8"/>
      <c r="B16" s="8"/>
      <c r="C16" s="9"/>
      <c r="D16" s="12" t="s">
        <v>12</v>
      </c>
      <c r="E16" s="16">
        <v>1769100.92</v>
      </c>
      <c r="F16" s="16">
        <v>5001413.878808788</v>
      </c>
      <c r="G16" s="16">
        <v>702799.22</v>
      </c>
      <c r="H16" s="16">
        <v>0</v>
      </c>
      <c r="I16" s="13">
        <f t="shared" si="0"/>
        <v>7473314.0188087877</v>
      </c>
    </row>
    <row r="17" spans="1:9" ht="15.75" x14ac:dyDescent="0.25">
      <c r="A17" s="8"/>
      <c r="B17" s="8"/>
      <c r="C17" s="9"/>
      <c r="D17" s="12" t="s">
        <v>13</v>
      </c>
      <c r="E17" s="16">
        <v>2433834.5000000009</v>
      </c>
      <c r="F17" s="16">
        <v>4769990.1295152716</v>
      </c>
      <c r="G17" s="16">
        <v>1841425.1500000001</v>
      </c>
      <c r="H17" s="16">
        <v>0</v>
      </c>
      <c r="I17" s="13">
        <f t="shared" si="0"/>
        <v>9045249.779515272</v>
      </c>
    </row>
    <row r="18" spans="1:9" ht="15.75" x14ac:dyDescent="0.25">
      <c r="A18" s="8"/>
      <c r="B18" s="8"/>
      <c r="C18" s="9"/>
      <c r="D18" s="12" t="s">
        <v>14</v>
      </c>
      <c r="E18" s="16">
        <v>209119.49</v>
      </c>
      <c r="F18" s="16">
        <v>374615.56105058792</v>
      </c>
      <c r="G18" s="16">
        <v>10362339.310000001</v>
      </c>
      <c r="H18" s="16">
        <v>0</v>
      </c>
      <c r="I18" s="13">
        <f t="shared" si="0"/>
        <v>10946074.361050589</v>
      </c>
    </row>
    <row r="19" spans="1:9" ht="15.75" x14ac:dyDescent="0.25">
      <c r="A19" s="8"/>
      <c r="B19" s="8"/>
      <c r="C19" s="9"/>
      <c r="D19" s="12" t="s">
        <v>15</v>
      </c>
      <c r="E19" s="16">
        <v>2421938.37</v>
      </c>
      <c r="F19" s="16">
        <v>3575418.5369068524</v>
      </c>
      <c r="G19" s="16">
        <v>1448512.33</v>
      </c>
      <c r="H19" s="16">
        <v>0</v>
      </c>
      <c r="I19" s="13">
        <f t="shared" si="0"/>
        <v>7445869.2369068526</v>
      </c>
    </row>
    <row r="20" spans="1:9" ht="15.75" x14ac:dyDescent="0.25">
      <c r="A20" s="8"/>
      <c r="B20" s="8"/>
      <c r="C20" s="9"/>
      <c r="D20" s="12" t="s">
        <v>16</v>
      </c>
      <c r="E20" s="16">
        <v>1372085.9999999998</v>
      </c>
      <c r="F20" s="16">
        <v>993959.34173890878</v>
      </c>
      <c r="G20" s="16">
        <v>1252539.2599999998</v>
      </c>
      <c r="H20" s="16">
        <v>0</v>
      </c>
      <c r="I20" s="13">
        <f t="shared" si="0"/>
        <v>3618584.6017389083</v>
      </c>
    </row>
    <row r="21" spans="1:9" ht="15.75" x14ac:dyDescent="0.25">
      <c r="A21" s="8"/>
      <c r="B21" s="8"/>
      <c r="C21" s="9"/>
      <c r="D21" s="12" t="s">
        <v>17</v>
      </c>
      <c r="E21" s="16">
        <v>1322578.03</v>
      </c>
      <c r="F21" s="16">
        <v>4277180.3540155683</v>
      </c>
      <c r="G21" s="16">
        <v>470099.32</v>
      </c>
      <c r="H21" s="16">
        <v>0</v>
      </c>
      <c r="I21" s="13">
        <f t="shared" si="0"/>
        <v>6069857.7040155688</v>
      </c>
    </row>
    <row r="22" spans="1:9" ht="15.75" x14ac:dyDescent="0.25">
      <c r="A22" s="8"/>
      <c r="B22" s="8"/>
      <c r="C22" s="9"/>
      <c r="D22" s="12" t="s">
        <v>18</v>
      </c>
      <c r="E22" s="16">
        <v>120509.90000000001</v>
      </c>
      <c r="F22" s="16">
        <v>183148.77261081699</v>
      </c>
      <c r="G22" s="16">
        <v>2900722.61</v>
      </c>
      <c r="H22" s="16">
        <v>0</v>
      </c>
      <c r="I22" s="13">
        <f t="shared" si="0"/>
        <v>3204381.2826108169</v>
      </c>
    </row>
    <row r="23" spans="1:9" ht="15.75" x14ac:dyDescent="0.25">
      <c r="A23" s="8"/>
      <c r="B23" s="8"/>
      <c r="C23" s="9"/>
      <c r="D23" s="12" t="s">
        <v>19</v>
      </c>
      <c r="E23" s="16">
        <v>3916230.2600000002</v>
      </c>
      <c r="F23" s="16">
        <v>68264.344564845</v>
      </c>
      <c r="G23" s="16">
        <v>3392840.76</v>
      </c>
      <c r="H23" s="16">
        <v>0</v>
      </c>
      <c r="I23" s="13">
        <f t="shared" si="0"/>
        <v>7377335.3645648453</v>
      </c>
    </row>
    <row r="24" spans="1:9" ht="15.75" x14ac:dyDescent="0.25">
      <c r="A24" s="8"/>
      <c r="B24" s="8"/>
      <c r="C24" s="9"/>
      <c r="D24" s="12" t="s">
        <v>20</v>
      </c>
      <c r="E24" s="16">
        <v>1658083.3299999998</v>
      </c>
      <c r="F24" s="16">
        <v>2623092.8241338073</v>
      </c>
      <c r="G24" s="16">
        <v>956334.2100000002</v>
      </c>
      <c r="H24" s="16">
        <v>0</v>
      </c>
      <c r="I24" s="13">
        <f t="shared" si="0"/>
        <v>5237510.3641338069</v>
      </c>
    </row>
    <row r="25" spans="1:9" ht="15.75" x14ac:dyDescent="0.25">
      <c r="A25" s="8"/>
      <c r="B25" s="8"/>
      <c r="C25" s="9"/>
      <c r="D25" s="12" t="s">
        <v>21</v>
      </c>
      <c r="E25" s="16">
        <v>996347.6399999999</v>
      </c>
      <c r="F25" s="16">
        <v>1947961.7226240726</v>
      </c>
      <c r="G25" s="16">
        <v>1580286.3299999998</v>
      </c>
      <c r="H25" s="16">
        <v>0</v>
      </c>
      <c r="I25" s="13">
        <f t="shared" si="0"/>
        <v>4524595.6926240725</v>
      </c>
    </row>
    <row r="26" spans="1:9" ht="15.75" x14ac:dyDescent="0.25">
      <c r="A26" s="8"/>
      <c r="B26" s="8"/>
      <c r="C26" s="9"/>
      <c r="D26" s="12" t="s">
        <v>22</v>
      </c>
      <c r="E26" s="16">
        <v>1280068.0000000002</v>
      </c>
      <c r="F26" s="16">
        <v>1115506.8924122627</v>
      </c>
      <c r="G26" s="16">
        <v>667988.57999999996</v>
      </c>
      <c r="H26" s="16">
        <v>0</v>
      </c>
      <c r="I26" s="13">
        <f t="shared" si="0"/>
        <v>3063563.472412263</v>
      </c>
    </row>
    <row r="27" spans="1:9" ht="15.75" x14ac:dyDescent="0.25">
      <c r="A27" s="8"/>
      <c r="B27" s="8"/>
      <c r="C27" s="9"/>
      <c r="D27" s="12" t="s">
        <v>23</v>
      </c>
      <c r="E27" s="16">
        <v>481229.86000000004</v>
      </c>
      <c r="F27" s="16">
        <v>191466.78843977096</v>
      </c>
      <c r="G27" s="16">
        <v>11654113.110000001</v>
      </c>
      <c r="H27" s="16">
        <v>0</v>
      </c>
      <c r="I27" s="13">
        <f t="shared" si="0"/>
        <v>12326809.758439772</v>
      </c>
    </row>
    <row r="28" spans="1:9" ht="15.75" x14ac:dyDescent="0.25">
      <c r="A28" s="8"/>
      <c r="B28" s="8"/>
      <c r="C28" s="9"/>
      <c r="D28" s="12" t="s">
        <v>24</v>
      </c>
      <c r="E28" s="16">
        <v>1053362.3599999999</v>
      </c>
      <c r="F28" s="16">
        <v>907382.29740403686</v>
      </c>
      <c r="G28" s="16">
        <v>1499724.8100000003</v>
      </c>
      <c r="H28" s="16">
        <v>0</v>
      </c>
      <c r="I28" s="13">
        <f t="shared" si="0"/>
        <v>3460469.4674040368</v>
      </c>
    </row>
    <row r="29" spans="1:9" ht="15.75" x14ac:dyDescent="0.25">
      <c r="A29" s="8"/>
      <c r="B29" s="8"/>
      <c r="C29" s="9"/>
      <c r="D29" s="12" t="s">
        <v>25</v>
      </c>
      <c r="E29" s="16">
        <v>489637.29999999981</v>
      </c>
      <c r="F29" s="16">
        <v>507790.91395603982</v>
      </c>
      <c r="G29" s="16">
        <v>411903.01</v>
      </c>
      <c r="H29" s="16">
        <v>0</v>
      </c>
      <c r="I29" s="13">
        <f t="shared" si="0"/>
        <v>1409331.2239560396</v>
      </c>
    </row>
    <row r="30" spans="1:9" ht="15.75" x14ac:dyDescent="0.25">
      <c r="A30" s="8"/>
      <c r="B30" s="8"/>
      <c r="C30" s="9"/>
      <c r="D30" s="12" t="s">
        <v>26</v>
      </c>
      <c r="E30" s="16">
        <v>835249.36999999988</v>
      </c>
      <c r="F30" s="16">
        <v>2738804.6987805651</v>
      </c>
      <c r="G30" s="16">
        <v>1137396.8099999998</v>
      </c>
      <c r="H30" s="16">
        <v>0</v>
      </c>
      <c r="I30" s="13">
        <f t="shared" si="0"/>
        <v>4711450.8787805643</v>
      </c>
    </row>
    <row r="31" spans="1:9" ht="15.75" x14ac:dyDescent="0.25">
      <c r="A31" s="8"/>
      <c r="B31" s="8"/>
      <c r="C31" s="9"/>
      <c r="D31" s="12" t="s">
        <v>27</v>
      </c>
      <c r="E31" s="16">
        <v>1153569.9799999997</v>
      </c>
      <c r="F31" s="16">
        <v>2838686.2134596542</v>
      </c>
      <c r="G31" s="16">
        <v>800344.55999999994</v>
      </c>
      <c r="H31" s="16">
        <v>0</v>
      </c>
      <c r="I31" s="13">
        <f t="shared" si="0"/>
        <v>4792600.7534596538</v>
      </c>
    </row>
    <row r="32" spans="1:9" ht="15.75" x14ac:dyDescent="0.25">
      <c r="A32" s="8"/>
      <c r="B32" s="8"/>
      <c r="C32" s="9"/>
      <c r="D32" s="12" t="s">
        <v>28</v>
      </c>
      <c r="E32" s="16">
        <v>683105.47000000009</v>
      </c>
      <c r="F32" s="16">
        <v>958161.38879964082</v>
      </c>
      <c r="G32" s="16">
        <v>425859.31</v>
      </c>
      <c r="H32" s="16">
        <v>0</v>
      </c>
      <c r="I32" s="13">
        <f t="shared" si="0"/>
        <v>2067126.1687996411</v>
      </c>
    </row>
    <row r="33" spans="1:9" ht="15.75" x14ac:dyDescent="0.25">
      <c r="A33" s="8"/>
      <c r="B33" s="8"/>
      <c r="C33" s="9"/>
      <c r="D33" s="12" t="s">
        <v>29</v>
      </c>
      <c r="E33" s="16">
        <v>204630.77</v>
      </c>
      <c r="F33" s="16">
        <v>1448488.8244969866</v>
      </c>
      <c r="G33" s="16">
        <v>191135.73</v>
      </c>
      <c r="H33" s="16">
        <v>0</v>
      </c>
      <c r="I33" s="13">
        <f t="shared" si="0"/>
        <v>1844255.3244969866</v>
      </c>
    </row>
    <row r="34" spans="1:9" ht="15.75" x14ac:dyDescent="0.25">
      <c r="A34" s="8"/>
      <c r="B34" s="8"/>
      <c r="C34" s="9"/>
      <c r="D34" s="12" t="s">
        <v>30</v>
      </c>
      <c r="E34" s="16">
        <v>1450472.4399999997</v>
      </c>
      <c r="F34" s="16">
        <v>2078654.7357271663</v>
      </c>
      <c r="G34" s="16">
        <v>2147141.8800000004</v>
      </c>
      <c r="H34" s="16">
        <v>0</v>
      </c>
      <c r="I34" s="13">
        <f t="shared" si="0"/>
        <v>5676269.0557271671</v>
      </c>
    </row>
    <row r="35" spans="1:9" ht="15.75" x14ac:dyDescent="0.25">
      <c r="A35" s="8"/>
      <c r="B35" s="8"/>
      <c r="C35" s="9"/>
      <c r="D35" s="12" t="s">
        <v>31</v>
      </c>
      <c r="E35" s="16">
        <v>1640014.1700000002</v>
      </c>
      <c r="F35" s="16">
        <v>3822650.87125749</v>
      </c>
      <c r="G35" s="16">
        <v>1444529.84</v>
      </c>
      <c r="H35" s="16">
        <v>0</v>
      </c>
      <c r="I35" s="13">
        <f t="shared" si="0"/>
        <v>6907194.8812574903</v>
      </c>
    </row>
    <row r="36" spans="1:9" ht="15.75" x14ac:dyDescent="0.25">
      <c r="A36" s="8"/>
      <c r="B36" s="8"/>
      <c r="C36" s="9"/>
      <c r="D36" s="12" t="s">
        <v>32</v>
      </c>
      <c r="E36" s="16">
        <v>733405.77999999991</v>
      </c>
      <c r="F36" s="16">
        <v>1896333.4097171356</v>
      </c>
      <c r="G36" s="16">
        <v>2248581.06</v>
      </c>
      <c r="H36" s="16">
        <v>0</v>
      </c>
      <c r="I36" s="13">
        <f t="shared" si="0"/>
        <v>4878320.249717135</v>
      </c>
    </row>
    <row r="37" spans="1:9" ht="15.75" x14ac:dyDescent="0.25">
      <c r="A37" s="8"/>
      <c r="B37" s="8"/>
      <c r="C37" s="9"/>
      <c r="D37" s="12" t="s">
        <v>33</v>
      </c>
      <c r="E37" s="16">
        <v>487180.25999999995</v>
      </c>
      <c r="F37" s="16">
        <v>1326113.8272228469</v>
      </c>
      <c r="G37" s="16">
        <v>846554.5299999998</v>
      </c>
      <c r="H37" s="16">
        <v>0</v>
      </c>
      <c r="I37" s="13">
        <f t="shared" si="0"/>
        <v>2659848.6172228465</v>
      </c>
    </row>
    <row r="38" spans="1:9" ht="15.75" x14ac:dyDescent="0.25">
      <c r="A38" s="8"/>
      <c r="B38" s="8"/>
      <c r="C38" s="9"/>
      <c r="D38" s="12" t="s">
        <v>34</v>
      </c>
      <c r="E38" s="16">
        <v>990865.67000000016</v>
      </c>
      <c r="F38" s="16">
        <v>2279266.9865966775</v>
      </c>
      <c r="G38" s="16">
        <v>635742.76</v>
      </c>
      <c r="H38" s="16">
        <v>0</v>
      </c>
      <c r="I38" s="13">
        <f t="shared" si="0"/>
        <v>3905875.4165966772</v>
      </c>
    </row>
    <row r="39" spans="1:9" ht="15.75" x14ac:dyDescent="0.25">
      <c r="A39" s="8"/>
      <c r="B39" s="8"/>
      <c r="C39" s="9"/>
      <c r="D39" s="12" t="s">
        <v>35</v>
      </c>
      <c r="E39" s="16">
        <v>524541.64</v>
      </c>
      <c r="F39" s="16">
        <v>3568755.4142794702</v>
      </c>
      <c r="G39" s="16">
        <v>798696.2</v>
      </c>
      <c r="H39" s="16">
        <v>0</v>
      </c>
      <c r="I39" s="13">
        <f t="shared" si="0"/>
        <v>4891993.2542794701</v>
      </c>
    </row>
    <row r="40" spans="1:9" ht="15.75" x14ac:dyDescent="0.25">
      <c r="A40" s="8"/>
      <c r="B40" s="8"/>
      <c r="C40" s="9"/>
      <c r="D40" s="12" t="s">
        <v>36</v>
      </c>
      <c r="E40" s="16">
        <v>236827.66999999998</v>
      </c>
      <c r="F40" s="16">
        <v>187307.78052529396</v>
      </c>
      <c r="G40" s="16">
        <v>581204.62</v>
      </c>
      <c r="H40" s="16">
        <v>0</v>
      </c>
      <c r="I40" s="13">
        <f t="shared" si="0"/>
        <v>1005340.0705252939</v>
      </c>
    </row>
    <row r="41" spans="1:9" ht="15.75" x14ac:dyDescent="0.25">
      <c r="A41" s="8"/>
      <c r="B41" s="8"/>
      <c r="C41" s="9"/>
      <c r="D41" s="12" t="s">
        <v>37</v>
      </c>
      <c r="E41" s="16">
        <v>2507615.65</v>
      </c>
      <c r="F41" s="16">
        <v>3354816.9181551952</v>
      </c>
      <c r="G41" s="16">
        <v>1484176.6599999997</v>
      </c>
      <c r="H41" s="16">
        <v>0</v>
      </c>
      <c r="I41" s="13">
        <f t="shared" si="0"/>
        <v>7346609.2281551957</v>
      </c>
    </row>
    <row r="42" spans="1:9" ht="15.75" x14ac:dyDescent="0.25">
      <c r="A42" s="8"/>
      <c r="B42" s="8"/>
      <c r="C42" s="9"/>
      <c r="D42" s="12" t="s">
        <v>38</v>
      </c>
      <c r="E42" s="16">
        <v>1200510.1099999999</v>
      </c>
      <c r="F42" s="16">
        <v>3313183.2891893312</v>
      </c>
      <c r="G42" s="16">
        <v>551062.6</v>
      </c>
      <c r="H42" s="16">
        <v>0</v>
      </c>
      <c r="I42" s="13">
        <f t="shared" si="0"/>
        <v>5064755.9991893303</v>
      </c>
    </row>
    <row r="43" spans="1:9" ht="15.75" x14ac:dyDescent="0.25">
      <c r="A43" s="8"/>
      <c r="B43" s="8"/>
      <c r="C43" s="9"/>
      <c r="D43" s="12" t="s">
        <v>39</v>
      </c>
      <c r="E43" s="16">
        <v>673180.99</v>
      </c>
      <c r="F43" s="16">
        <v>1232873.6602605926</v>
      </c>
      <c r="G43" s="16">
        <v>531646.34000000008</v>
      </c>
      <c r="H43" s="16">
        <v>0</v>
      </c>
      <c r="I43" s="13">
        <f t="shared" si="0"/>
        <v>2437700.9902605927</v>
      </c>
    </row>
    <row r="44" spans="1:9" ht="15.75" x14ac:dyDescent="0.25">
      <c r="A44" s="8"/>
      <c r="B44" s="8"/>
      <c r="C44" s="9"/>
      <c r="D44" s="12" t="s">
        <v>40</v>
      </c>
      <c r="E44" s="16">
        <v>5283.0199999999995</v>
      </c>
      <c r="F44" s="16">
        <v>94895.060163825983</v>
      </c>
      <c r="G44" s="16">
        <v>600114.42000000004</v>
      </c>
      <c r="H44" s="16">
        <v>0</v>
      </c>
      <c r="I44" s="13">
        <f t="shared" si="0"/>
        <v>700292.50016382604</v>
      </c>
    </row>
    <row r="45" spans="1:9" ht="15.75" x14ac:dyDescent="0.25">
      <c r="A45" s="8"/>
      <c r="B45" s="8"/>
      <c r="C45" s="9"/>
      <c r="D45" s="12" t="s">
        <v>41</v>
      </c>
      <c r="E45" s="16">
        <v>822566.57</v>
      </c>
      <c r="F45" s="16">
        <v>27479.937110313993</v>
      </c>
      <c r="G45" s="16">
        <v>2905859.46</v>
      </c>
      <c r="H45" s="16">
        <v>0</v>
      </c>
      <c r="I45" s="13">
        <f t="shared" si="0"/>
        <v>3755905.9671103139</v>
      </c>
    </row>
    <row r="46" spans="1:9" ht="15.75" x14ac:dyDescent="0.25">
      <c r="A46" s="8"/>
      <c r="B46" s="8"/>
      <c r="C46" s="9"/>
      <c r="D46" s="12" t="s">
        <v>42</v>
      </c>
      <c r="E46" s="16">
        <v>269820.89</v>
      </c>
      <c r="F46" s="16">
        <v>91563.498850134987</v>
      </c>
      <c r="G46" s="16">
        <v>4227511.25</v>
      </c>
      <c r="H46" s="16">
        <v>0</v>
      </c>
      <c r="I46" s="13">
        <f t="shared" si="0"/>
        <v>4588895.6388501348</v>
      </c>
    </row>
    <row r="47" spans="1:9" ht="15.75" x14ac:dyDescent="0.25">
      <c r="A47" s="8"/>
      <c r="B47" s="8"/>
      <c r="C47" s="9"/>
      <c r="D47" s="12" t="s">
        <v>43</v>
      </c>
      <c r="E47" s="16">
        <v>1021309.8400000002</v>
      </c>
      <c r="F47" s="16">
        <v>654314.28702680278</v>
      </c>
      <c r="G47" s="16">
        <v>835948.8400000002</v>
      </c>
      <c r="H47" s="16">
        <v>0</v>
      </c>
      <c r="I47" s="13">
        <f t="shared" si="0"/>
        <v>2511572.9670268032</v>
      </c>
    </row>
    <row r="48" spans="1:9" ht="15.75" x14ac:dyDescent="0.25">
      <c r="A48" s="8"/>
      <c r="B48" s="8"/>
      <c r="C48" s="9"/>
      <c r="D48" s="12" t="s">
        <v>44</v>
      </c>
      <c r="E48" s="16">
        <v>615596.49000000011</v>
      </c>
      <c r="F48" s="16">
        <v>91563.498850134987</v>
      </c>
      <c r="G48" s="16">
        <v>1306713.0099999998</v>
      </c>
      <c r="H48" s="16">
        <v>0</v>
      </c>
      <c r="I48" s="13">
        <f t="shared" si="0"/>
        <v>2013872.9988501349</v>
      </c>
    </row>
    <row r="49" spans="1:9" ht="15.75" x14ac:dyDescent="0.25">
      <c r="A49" s="8"/>
      <c r="B49" s="8"/>
      <c r="C49" s="9"/>
      <c r="D49" s="12" t="s">
        <v>45</v>
      </c>
      <c r="E49" s="16">
        <v>137096.44000000003</v>
      </c>
      <c r="F49" s="16">
        <v>109048.75201937597</v>
      </c>
      <c r="G49" s="16">
        <v>3221719.97</v>
      </c>
      <c r="H49" s="16">
        <v>0</v>
      </c>
      <c r="I49" s="13">
        <f t="shared" si="0"/>
        <v>3467865.1620193762</v>
      </c>
    </row>
    <row r="50" spans="1:9" ht="15.75" x14ac:dyDescent="0.25">
      <c r="A50" s="8"/>
      <c r="B50" s="8"/>
      <c r="C50" s="9"/>
      <c r="D50" s="12" t="s">
        <v>46</v>
      </c>
      <c r="E50" s="16">
        <v>654075.27</v>
      </c>
      <c r="F50" s="16">
        <v>1281997.8584546247</v>
      </c>
      <c r="G50" s="16">
        <v>308307.07</v>
      </c>
      <c r="H50" s="16">
        <v>0</v>
      </c>
      <c r="I50" s="13">
        <f t="shared" si="0"/>
        <v>2244380.1984546245</v>
      </c>
    </row>
    <row r="51" spans="1:9" ht="15.75" x14ac:dyDescent="0.25">
      <c r="A51" s="8"/>
      <c r="B51" s="8"/>
      <c r="C51" s="9"/>
      <c r="D51" s="12" t="s">
        <v>47</v>
      </c>
      <c r="E51" s="16">
        <v>709211.68</v>
      </c>
      <c r="F51" s="16">
        <v>1916322.7775992816</v>
      </c>
      <c r="G51" s="16">
        <v>691641.76</v>
      </c>
      <c r="H51" s="16">
        <v>0</v>
      </c>
      <c r="I51" s="13">
        <f t="shared" si="0"/>
        <v>3317176.217599282</v>
      </c>
    </row>
    <row r="52" spans="1:9" ht="15.75" x14ac:dyDescent="0.25">
      <c r="A52" s="8"/>
      <c r="B52" s="8"/>
      <c r="C52" s="9"/>
      <c r="D52" s="12" t="s">
        <v>48</v>
      </c>
      <c r="E52" s="16">
        <v>1044837.06</v>
      </c>
      <c r="F52" s="16">
        <v>1931303.9160556174</v>
      </c>
      <c r="G52" s="16">
        <v>188208.35</v>
      </c>
      <c r="H52" s="16">
        <v>0</v>
      </c>
      <c r="I52" s="13">
        <f t="shared" si="0"/>
        <v>3164349.3260556175</v>
      </c>
    </row>
    <row r="53" spans="1:9" ht="15.75" x14ac:dyDescent="0.25">
      <c r="A53" s="8"/>
      <c r="B53" s="8"/>
      <c r="C53" s="9"/>
      <c r="D53" s="12" t="s">
        <v>49</v>
      </c>
      <c r="E53" s="16">
        <v>1265921.6199999999</v>
      </c>
      <c r="F53" s="16">
        <v>1323609.7125099415</v>
      </c>
      <c r="G53" s="16">
        <v>1297903.04</v>
      </c>
      <c r="H53" s="16">
        <v>0</v>
      </c>
      <c r="I53" s="13">
        <f t="shared" si="0"/>
        <v>3887434.3725099415</v>
      </c>
    </row>
    <row r="54" spans="1:9" ht="15.75" x14ac:dyDescent="0.25">
      <c r="A54" s="8"/>
      <c r="B54" s="8"/>
      <c r="C54" s="9"/>
      <c r="D54" s="12" t="s">
        <v>50</v>
      </c>
      <c r="E54" s="16">
        <v>1788742.4400000002</v>
      </c>
      <c r="F54" s="16">
        <v>1215388.4070913517</v>
      </c>
      <c r="G54" s="16">
        <v>444170.70999999996</v>
      </c>
      <c r="H54" s="16">
        <v>0</v>
      </c>
      <c r="I54" s="13">
        <f t="shared" si="0"/>
        <v>3448301.5570913516</v>
      </c>
    </row>
    <row r="55" spans="1:9" ht="15.75" x14ac:dyDescent="0.25">
      <c r="A55" s="8"/>
      <c r="B55" s="8"/>
      <c r="C55" s="9"/>
      <c r="D55" s="12" t="s">
        <v>51</v>
      </c>
      <c r="E55" s="16">
        <v>240146.90999999997</v>
      </c>
      <c r="F55" s="16">
        <v>2555655.9261697484</v>
      </c>
      <c r="G55" s="16">
        <v>35085.300000000003</v>
      </c>
      <c r="H55" s="16">
        <v>0</v>
      </c>
      <c r="I55" s="13">
        <f t="shared" si="0"/>
        <v>2830888.1361697484</v>
      </c>
    </row>
    <row r="56" spans="1:9" ht="15.75" x14ac:dyDescent="0.25">
      <c r="A56" s="8"/>
      <c r="B56" s="8"/>
      <c r="C56" s="9"/>
      <c r="D56" s="12" t="s">
        <v>52</v>
      </c>
      <c r="E56" s="16">
        <v>1107227.68</v>
      </c>
      <c r="F56" s="16">
        <v>3096762.4532626984</v>
      </c>
      <c r="G56" s="16">
        <v>340761.07</v>
      </c>
      <c r="H56" s="16">
        <v>0</v>
      </c>
      <c r="I56" s="13">
        <f t="shared" si="0"/>
        <v>4544751.2032626988</v>
      </c>
    </row>
    <row r="57" spans="1:9" ht="15.75" x14ac:dyDescent="0.25">
      <c r="A57" s="8"/>
      <c r="B57" s="8"/>
      <c r="C57" s="9"/>
      <c r="D57" s="12" t="s">
        <v>53</v>
      </c>
      <c r="E57" s="16">
        <v>155007.18999999997</v>
      </c>
      <c r="F57" s="16">
        <v>915700.31323299091</v>
      </c>
      <c r="G57" s="16">
        <v>258772.52999999997</v>
      </c>
      <c r="H57" s="16">
        <v>0</v>
      </c>
      <c r="I57" s="13">
        <f t="shared" si="0"/>
        <v>1329480.0332329909</v>
      </c>
    </row>
    <row r="58" spans="1:9" ht="15.75" x14ac:dyDescent="0.25">
      <c r="A58" s="8"/>
      <c r="B58" s="8"/>
      <c r="C58" s="9"/>
      <c r="D58" s="12" t="s">
        <v>54</v>
      </c>
      <c r="E58" s="16">
        <v>292062.16000000003</v>
      </c>
      <c r="F58" s="16">
        <v>985641.32590995473</v>
      </c>
      <c r="G58" s="16">
        <v>20873.73</v>
      </c>
      <c r="H58" s="16">
        <v>0</v>
      </c>
      <c r="I58" s="13">
        <f t="shared" si="0"/>
        <v>1298577.2159099546</v>
      </c>
    </row>
    <row r="59" spans="1:9" ht="15.75" x14ac:dyDescent="0.25">
      <c r="A59" s="8"/>
      <c r="B59" s="8"/>
      <c r="C59" s="9"/>
      <c r="D59" s="12" t="s">
        <v>55</v>
      </c>
      <c r="E59" s="16">
        <v>1214709.75</v>
      </c>
      <c r="F59" s="16">
        <v>1664909.6604236194</v>
      </c>
      <c r="G59" s="16">
        <v>578764.38</v>
      </c>
      <c r="H59" s="16">
        <v>0</v>
      </c>
      <c r="I59" s="13">
        <f t="shared" si="0"/>
        <v>3458383.7904236196</v>
      </c>
    </row>
    <row r="60" spans="1:9" ht="15.75" x14ac:dyDescent="0.25">
      <c r="A60" s="8"/>
      <c r="B60" s="8"/>
      <c r="C60" s="9"/>
      <c r="D60" s="12" t="s">
        <v>56</v>
      </c>
      <c r="E60" s="16">
        <v>264851.28999999998</v>
      </c>
      <c r="F60" s="16">
        <v>1007285.5869936727</v>
      </c>
      <c r="G60" s="16">
        <v>325047.64</v>
      </c>
      <c r="H60" s="16">
        <v>0</v>
      </c>
      <c r="I60" s="13">
        <f t="shared" si="0"/>
        <v>1597184.5169936726</v>
      </c>
    </row>
    <row r="61" spans="1:9" ht="15.75" x14ac:dyDescent="0.25">
      <c r="A61" s="8"/>
      <c r="B61" s="8"/>
      <c r="C61" s="9"/>
      <c r="D61" s="12" t="s">
        <v>57</v>
      </c>
      <c r="E61" s="16">
        <v>1210417.0899999999</v>
      </c>
      <c r="F61" s="16">
        <v>1689885.4828210287</v>
      </c>
      <c r="G61" s="16">
        <v>341827.43999999994</v>
      </c>
      <c r="H61" s="16">
        <v>0</v>
      </c>
      <c r="I61" s="13">
        <f t="shared" si="0"/>
        <v>3242130.0128210285</v>
      </c>
    </row>
    <row r="62" spans="1:9" ht="15.75" x14ac:dyDescent="0.25">
      <c r="A62" s="8"/>
      <c r="B62" s="8"/>
      <c r="C62" s="9"/>
      <c r="D62" s="12" t="s">
        <v>58</v>
      </c>
      <c r="E62" s="16">
        <v>944115.84000000008</v>
      </c>
      <c r="F62" s="16">
        <v>1885533.0540858237</v>
      </c>
      <c r="G62" s="16">
        <v>19771287.509999998</v>
      </c>
      <c r="H62" s="16">
        <v>0</v>
      </c>
      <c r="I62" s="13">
        <f t="shared" si="0"/>
        <v>22600936.404085822</v>
      </c>
    </row>
    <row r="63" spans="1:9" ht="15.75" x14ac:dyDescent="0.25">
      <c r="A63" s="8"/>
      <c r="B63" s="8"/>
      <c r="C63" s="9"/>
      <c r="D63" s="12" t="s">
        <v>59</v>
      </c>
      <c r="E63" s="16">
        <v>404005.89999999991</v>
      </c>
      <c r="F63" s="16">
        <v>208124.59500822597</v>
      </c>
      <c r="G63" s="16">
        <v>1261871.5799999998</v>
      </c>
      <c r="H63" s="16">
        <v>0</v>
      </c>
      <c r="I63" s="13">
        <f t="shared" si="0"/>
        <v>1874002.0750082256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6968104.6400000006</v>
      </c>
      <c r="H64" s="16">
        <v>0</v>
      </c>
      <c r="I64" s="13">
        <f t="shared" si="0"/>
        <v>6968104.6400000006</v>
      </c>
    </row>
    <row r="65" spans="1:9" ht="15.75" x14ac:dyDescent="0.25">
      <c r="A65" s="8"/>
      <c r="B65" s="8"/>
      <c r="C65" s="9"/>
      <c r="D65" s="12" t="s">
        <v>61</v>
      </c>
      <c r="E65" s="16">
        <v>1582725.8799999997</v>
      </c>
      <c r="F65" s="16">
        <v>2464092.4273196133</v>
      </c>
      <c r="G65" s="16">
        <v>467810.86000000004</v>
      </c>
      <c r="H65" s="16">
        <v>0</v>
      </c>
      <c r="I65" s="13">
        <f t="shared" si="0"/>
        <v>4514629.1673196135</v>
      </c>
    </row>
    <row r="66" spans="1:9" ht="15.75" x14ac:dyDescent="0.25">
      <c r="A66" s="8"/>
      <c r="B66" s="8"/>
      <c r="C66" s="9"/>
      <c r="D66" s="12" t="s">
        <v>62</v>
      </c>
      <c r="E66" s="16">
        <v>3412743.44</v>
      </c>
      <c r="F66" s="16">
        <v>4899028.2494167946</v>
      </c>
      <c r="G66" s="16">
        <v>1177259.6499999999</v>
      </c>
      <c r="H66" s="16">
        <v>0</v>
      </c>
      <c r="I66" s="13">
        <f t="shared" si="0"/>
        <v>9489031.3394167945</v>
      </c>
    </row>
    <row r="67" spans="1:9" ht="15.75" x14ac:dyDescent="0.25">
      <c r="A67" s="8"/>
      <c r="B67" s="8"/>
      <c r="C67" s="9"/>
      <c r="D67" s="12" t="s">
        <v>63</v>
      </c>
      <c r="E67" s="16">
        <v>793934.81</v>
      </c>
      <c r="F67" s="16">
        <v>2264285.8481403417</v>
      </c>
      <c r="G67" s="16">
        <v>435714.78</v>
      </c>
      <c r="H67" s="16">
        <v>0</v>
      </c>
      <c r="I67" s="13">
        <f t="shared" si="0"/>
        <v>3493935.438140342</v>
      </c>
    </row>
    <row r="68" spans="1:9" ht="15.75" x14ac:dyDescent="0.25">
      <c r="A68" s="8"/>
      <c r="B68" s="8"/>
      <c r="C68" s="9"/>
      <c r="D68" s="12" t="s">
        <v>64</v>
      </c>
      <c r="E68" s="16">
        <v>641007.74000000011</v>
      </c>
      <c r="F68" s="16">
        <v>957333.94219885475</v>
      </c>
      <c r="G68" s="16">
        <v>215782.01</v>
      </c>
      <c r="H68" s="16">
        <v>0</v>
      </c>
      <c r="I68" s="13">
        <f t="shared" si="0"/>
        <v>1814123.6921988549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1846381.06</v>
      </c>
      <c r="H69" s="16">
        <v>0</v>
      </c>
      <c r="I69" s="13">
        <f t="shared" si="0"/>
        <v>1846381.06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3216220.79</v>
      </c>
      <c r="H70" s="16">
        <v>0</v>
      </c>
      <c r="I70" s="13">
        <f t="shared" si="0"/>
        <v>3216220.79</v>
      </c>
    </row>
    <row r="71" spans="1:9" ht="15.75" x14ac:dyDescent="0.25">
      <c r="A71" s="8"/>
      <c r="B71" s="8"/>
      <c r="C71" s="9"/>
      <c r="D71" s="12" t="s">
        <v>67</v>
      </c>
      <c r="E71" s="16">
        <v>2061.19</v>
      </c>
      <c r="F71" s="16">
        <v>24975.822397408992</v>
      </c>
      <c r="G71" s="16">
        <v>2143248.5</v>
      </c>
      <c r="H71" s="16">
        <v>0</v>
      </c>
      <c r="I71" s="13">
        <f t="shared" si="0"/>
        <v>2170285.512397409</v>
      </c>
    </row>
    <row r="72" spans="1:9" ht="15.75" x14ac:dyDescent="0.25">
      <c r="A72" s="8"/>
      <c r="B72" s="8"/>
      <c r="C72" s="9"/>
      <c r="D72" s="12" t="s">
        <v>68</v>
      </c>
      <c r="E72" s="16">
        <v>1087923.9100000001</v>
      </c>
      <c r="F72" s="16">
        <v>1555033.4618034577</v>
      </c>
      <c r="G72" s="16">
        <v>4154261.9199999995</v>
      </c>
      <c r="H72" s="16">
        <v>0</v>
      </c>
      <c r="I72" s="13">
        <f t="shared" si="0"/>
        <v>6797219.2918034568</v>
      </c>
    </row>
    <row r="73" spans="1:9" ht="15.75" x14ac:dyDescent="0.25">
      <c r="A73" s="8"/>
      <c r="B73" s="8"/>
      <c r="C73" s="9"/>
      <c r="D73" s="12" t="s">
        <v>69</v>
      </c>
      <c r="E73" s="16">
        <v>119958.24</v>
      </c>
      <c r="F73" s="16">
        <v>0</v>
      </c>
      <c r="G73" s="16">
        <v>2032299.1700000002</v>
      </c>
      <c r="H73" s="16">
        <v>0</v>
      </c>
      <c r="I73" s="13">
        <f t="shared" si="0"/>
        <v>2152257.41</v>
      </c>
    </row>
    <row r="74" spans="1:9" ht="15.75" x14ac:dyDescent="0.25">
      <c r="A74" s="8"/>
      <c r="B74" s="8"/>
      <c r="C74" s="9"/>
      <c r="D74" s="12" t="s">
        <v>70</v>
      </c>
      <c r="E74" s="16">
        <v>97612.11</v>
      </c>
      <c r="F74" s="16">
        <v>131520.45970387998</v>
      </c>
      <c r="G74" s="16">
        <v>11589329.000000002</v>
      </c>
      <c r="H74" s="16">
        <v>0</v>
      </c>
      <c r="I74" s="13">
        <f t="shared" ref="I74:I137" si="1">SUM(E74:H74)</f>
        <v>11818461.569703883</v>
      </c>
    </row>
    <row r="75" spans="1:9" ht="15.75" x14ac:dyDescent="0.25">
      <c r="A75" s="8"/>
      <c r="B75" s="8"/>
      <c r="C75" s="9"/>
      <c r="D75" s="12" t="s">
        <v>71</v>
      </c>
      <c r="E75" s="16">
        <v>816557.75999999978</v>
      </c>
      <c r="F75" s="16">
        <v>511122.4752697309</v>
      </c>
      <c r="G75" s="16">
        <v>19372537.52</v>
      </c>
      <c r="H75" s="16">
        <v>0</v>
      </c>
      <c r="I75" s="13">
        <f t="shared" si="1"/>
        <v>20700217.755269729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5254920.6500000004</v>
      </c>
      <c r="H76" s="16">
        <v>0</v>
      </c>
      <c r="I76" s="13">
        <f t="shared" si="1"/>
        <v>5254920.6500000004</v>
      </c>
    </row>
    <row r="77" spans="1:9" ht="15.75" x14ac:dyDescent="0.25">
      <c r="A77" s="8"/>
      <c r="B77" s="8"/>
      <c r="C77" s="9"/>
      <c r="D77" s="12" t="s">
        <v>73</v>
      </c>
      <c r="E77" s="16">
        <v>318780.73000000004</v>
      </c>
      <c r="F77" s="16">
        <v>2534839.1116868164</v>
      </c>
      <c r="G77" s="16">
        <v>354035.43</v>
      </c>
      <c r="H77" s="16">
        <v>0</v>
      </c>
      <c r="I77" s="13">
        <f t="shared" si="1"/>
        <v>3207655.2716868166</v>
      </c>
    </row>
    <row r="78" spans="1:9" ht="15.75" x14ac:dyDescent="0.25">
      <c r="A78" s="8"/>
      <c r="B78" s="8"/>
      <c r="C78" s="9"/>
      <c r="D78" s="12" t="s">
        <v>74</v>
      </c>
      <c r="E78" s="16">
        <v>1288143.73</v>
      </c>
      <c r="F78" s="16">
        <v>2572291.9578276565</v>
      </c>
      <c r="G78" s="16">
        <v>515404.81</v>
      </c>
      <c r="H78" s="16">
        <v>0</v>
      </c>
      <c r="I78" s="13">
        <f t="shared" si="1"/>
        <v>4375840.4978276566</v>
      </c>
    </row>
    <row r="79" spans="1:9" ht="15.75" x14ac:dyDescent="0.25">
      <c r="A79" s="8"/>
      <c r="B79" s="8"/>
      <c r="C79" s="9"/>
      <c r="D79" s="12" t="s">
        <v>75</v>
      </c>
      <c r="E79" s="16">
        <v>726371.54</v>
      </c>
      <c r="F79" s="16">
        <v>1444308.0416719627</v>
      </c>
      <c r="G79" s="16">
        <v>790381.64000000013</v>
      </c>
      <c r="H79" s="16">
        <v>0</v>
      </c>
      <c r="I79" s="13">
        <f t="shared" si="1"/>
        <v>2961061.2216719626</v>
      </c>
    </row>
    <row r="80" spans="1:9" ht="15.75" x14ac:dyDescent="0.25">
      <c r="A80" s="8"/>
      <c r="B80" s="8"/>
      <c r="C80" s="9"/>
      <c r="D80" s="12" t="s">
        <v>76</v>
      </c>
      <c r="E80" s="16">
        <v>1228097.4499999997</v>
      </c>
      <c r="F80" s="16">
        <v>763363.0390461788</v>
      </c>
      <c r="G80" s="16">
        <v>168099.37999999998</v>
      </c>
      <c r="H80" s="16">
        <v>0</v>
      </c>
      <c r="I80" s="13">
        <f t="shared" si="1"/>
        <v>2159559.8690461786</v>
      </c>
    </row>
    <row r="81" spans="1:9" ht="15.75" x14ac:dyDescent="0.25">
      <c r="A81" s="8"/>
      <c r="B81" s="8"/>
      <c r="C81" s="9"/>
      <c r="D81" s="12" t="s">
        <v>77</v>
      </c>
      <c r="E81" s="16">
        <v>3061978.8400000003</v>
      </c>
      <c r="F81" s="16">
        <v>4606003.2781858146</v>
      </c>
      <c r="G81" s="16">
        <v>2004195.83</v>
      </c>
      <c r="H81" s="16">
        <v>0</v>
      </c>
      <c r="I81" s="13">
        <f t="shared" si="1"/>
        <v>9672177.9481858145</v>
      </c>
    </row>
    <row r="82" spans="1:9" ht="15.75" x14ac:dyDescent="0.25">
      <c r="A82" s="8"/>
      <c r="B82" s="8"/>
      <c r="C82" s="9"/>
      <c r="D82" s="12" t="s">
        <v>78</v>
      </c>
      <c r="E82" s="16">
        <v>8842888.0100000016</v>
      </c>
      <c r="F82" s="16">
        <v>3192484.9600273101</v>
      </c>
      <c r="G82" s="16">
        <v>1146010.23</v>
      </c>
      <c r="H82" s="16">
        <v>0</v>
      </c>
      <c r="I82" s="13">
        <f t="shared" si="1"/>
        <v>13181383.200027313</v>
      </c>
    </row>
    <row r="83" spans="1:9" ht="15.75" x14ac:dyDescent="0.25">
      <c r="A83" s="8"/>
      <c r="B83" s="8"/>
      <c r="C83" s="9"/>
      <c r="D83" s="12" t="s">
        <v>79</v>
      </c>
      <c r="E83" s="16">
        <v>1062248.5799999998</v>
      </c>
      <c r="F83" s="16">
        <v>1311132.6887665107</v>
      </c>
      <c r="G83" s="16">
        <v>1240082.2900000005</v>
      </c>
      <c r="H83" s="16">
        <v>0</v>
      </c>
      <c r="I83" s="13">
        <f t="shared" si="1"/>
        <v>3613463.5587665108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8460970.9099999983</v>
      </c>
      <c r="H84" s="16">
        <v>0</v>
      </c>
      <c r="I84" s="13">
        <f t="shared" si="1"/>
        <v>8460970.9099999983</v>
      </c>
    </row>
    <row r="85" spans="1:9" ht="15.75" x14ac:dyDescent="0.25">
      <c r="A85" s="8"/>
      <c r="B85" s="8"/>
      <c r="C85" s="9"/>
      <c r="D85" s="12" t="s">
        <v>81</v>
      </c>
      <c r="E85" s="16">
        <v>851493.68999999983</v>
      </c>
      <c r="F85" s="16">
        <v>407909.39927695092</v>
      </c>
      <c r="G85" s="16">
        <v>3383327.3</v>
      </c>
      <c r="H85" s="16">
        <v>0</v>
      </c>
      <c r="I85" s="13">
        <f t="shared" si="1"/>
        <v>4642730.3892769506</v>
      </c>
    </row>
    <row r="86" spans="1:9" ht="15.75" x14ac:dyDescent="0.25">
      <c r="A86" s="8"/>
      <c r="B86" s="8"/>
      <c r="C86" s="9"/>
      <c r="D86" s="12" t="s">
        <v>82</v>
      </c>
      <c r="E86" s="16">
        <v>699920.66</v>
      </c>
      <c r="F86" s="16">
        <v>1694066.2656460525</v>
      </c>
      <c r="G86" s="16">
        <v>433624.41</v>
      </c>
      <c r="H86" s="16">
        <v>0</v>
      </c>
      <c r="I86" s="13">
        <f t="shared" si="1"/>
        <v>2827611.3356460528</v>
      </c>
    </row>
    <row r="87" spans="1:9" ht="15.75" x14ac:dyDescent="0.25">
      <c r="A87" s="8"/>
      <c r="B87" s="8"/>
      <c r="C87" s="9"/>
      <c r="D87" s="12" t="s">
        <v>83</v>
      </c>
      <c r="E87" s="16">
        <v>473009.2699999999</v>
      </c>
      <c r="F87" s="16">
        <v>2230992.0099139782</v>
      </c>
      <c r="G87" s="16">
        <v>238292.57</v>
      </c>
      <c r="H87" s="16">
        <v>0</v>
      </c>
      <c r="I87" s="13">
        <f t="shared" si="1"/>
        <v>2942293.849913978</v>
      </c>
    </row>
    <row r="88" spans="1:9" ht="15.75" x14ac:dyDescent="0.25">
      <c r="A88" s="8"/>
      <c r="B88" s="8"/>
      <c r="C88" s="9"/>
      <c r="D88" s="12" t="s">
        <v>84</v>
      </c>
      <c r="E88" s="16">
        <v>582023.72</v>
      </c>
      <c r="F88" s="16">
        <v>0</v>
      </c>
      <c r="G88" s="16">
        <v>2839598.0400000005</v>
      </c>
      <c r="H88" s="16">
        <v>0</v>
      </c>
      <c r="I88" s="13">
        <f t="shared" si="1"/>
        <v>3421621.7600000007</v>
      </c>
    </row>
    <row r="89" spans="1:9" ht="15.75" x14ac:dyDescent="0.25">
      <c r="A89" s="8"/>
      <c r="B89" s="8"/>
      <c r="C89" s="9"/>
      <c r="D89" s="12" t="s">
        <v>85</v>
      </c>
      <c r="E89" s="16">
        <v>637481.61</v>
      </c>
      <c r="F89" s="16">
        <v>2187703.4877465428</v>
      </c>
      <c r="G89" s="16">
        <v>476433.4</v>
      </c>
      <c r="H89" s="16">
        <v>0</v>
      </c>
      <c r="I89" s="13">
        <f t="shared" si="1"/>
        <v>3301618.4977465426</v>
      </c>
    </row>
    <row r="90" spans="1:9" ht="15.75" x14ac:dyDescent="0.25">
      <c r="A90" s="8"/>
      <c r="B90" s="8"/>
      <c r="C90" s="9"/>
      <c r="D90" s="12" t="s">
        <v>86</v>
      </c>
      <c r="E90" s="16">
        <v>235299.67000000004</v>
      </c>
      <c r="F90" s="16">
        <v>566082.34949035884</v>
      </c>
      <c r="G90" s="16">
        <v>499626.22</v>
      </c>
      <c r="H90" s="16">
        <v>0</v>
      </c>
      <c r="I90" s="13">
        <f t="shared" si="1"/>
        <v>1301008.2394903589</v>
      </c>
    </row>
    <row r="91" spans="1:9" ht="15.75" x14ac:dyDescent="0.25">
      <c r="A91" s="8"/>
      <c r="B91" s="8"/>
      <c r="C91" s="9"/>
      <c r="D91" s="12" t="s">
        <v>87</v>
      </c>
      <c r="E91" s="16">
        <v>687632.09999999986</v>
      </c>
      <c r="F91" s="16">
        <v>1291143.3208843647</v>
      </c>
      <c r="G91" s="16">
        <v>1204953.3799999999</v>
      </c>
      <c r="H91" s="16">
        <v>0</v>
      </c>
      <c r="I91" s="13">
        <f t="shared" si="1"/>
        <v>3183728.8008843642</v>
      </c>
    </row>
    <row r="92" spans="1:9" ht="15.75" x14ac:dyDescent="0.25">
      <c r="A92" s="8"/>
      <c r="B92" s="8"/>
      <c r="C92" s="9"/>
      <c r="D92" s="12" t="s">
        <v>88</v>
      </c>
      <c r="E92" s="16">
        <v>114215.37</v>
      </c>
      <c r="F92" s="16">
        <v>178140.54318500694</v>
      </c>
      <c r="G92" s="16">
        <v>3213344.65</v>
      </c>
      <c r="H92" s="16">
        <v>0</v>
      </c>
      <c r="I92" s="13">
        <f t="shared" si="1"/>
        <v>3505700.5631850068</v>
      </c>
    </row>
    <row r="93" spans="1:9" ht="15.75" x14ac:dyDescent="0.25">
      <c r="A93" s="8"/>
      <c r="B93" s="8"/>
      <c r="C93" s="9"/>
      <c r="D93" s="12" t="s">
        <v>89</v>
      </c>
      <c r="E93" s="16">
        <v>632158.20999999985</v>
      </c>
      <c r="F93" s="16">
        <v>1490100.6785523039</v>
      </c>
      <c r="G93" s="16">
        <v>444831.97000000003</v>
      </c>
      <c r="H93" s="16">
        <v>0</v>
      </c>
      <c r="I93" s="13">
        <f t="shared" si="1"/>
        <v>2567090.8585523041</v>
      </c>
    </row>
    <row r="94" spans="1:9" ht="15.75" x14ac:dyDescent="0.25">
      <c r="A94" s="8"/>
      <c r="B94" s="8"/>
      <c r="C94" s="9"/>
      <c r="D94" s="12" t="s">
        <v>90</v>
      </c>
      <c r="E94" s="16">
        <v>45162.66</v>
      </c>
      <c r="F94" s="16">
        <v>0</v>
      </c>
      <c r="G94" s="16">
        <v>189492.43999999997</v>
      </c>
      <c r="H94" s="16">
        <v>0</v>
      </c>
      <c r="I94" s="13">
        <f t="shared" si="1"/>
        <v>234655.09999999998</v>
      </c>
    </row>
    <row r="95" spans="1:9" ht="15.75" x14ac:dyDescent="0.25">
      <c r="A95" s="8"/>
      <c r="B95" s="8"/>
      <c r="C95" s="9"/>
      <c r="D95" s="12" t="s">
        <v>91</v>
      </c>
      <c r="E95" s="16">
        <v>347975.48</v>
      </c>
      <c r="F95" s="16">
        <v>45792.636880340986</v>
      </c>
      <c r="G95" s="16">
        <v>3661381.61</v>
      </c>
      <c r="H95" s="16">
        <v>0</v>
      </c>
      <c r="I95" s="13">
        <f t="shared" si="1"/>
        <v>4055149.7268803408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6571010.5800000001</v>
      </c>
      <c r="H96" s="16">
        <v>0</v>
      </c>
      <c r="I96" s="13">
        <f t="shared" si="1"/>
        <v>6571010.5800000001</v>
      </c>
    </row>
    <row r="97" spans="1:9" ht="15.75" x14ac:dyDescent="0.25">
      <c r="A97" s="8"/>
      <c r="B97" s="8"/>
      <c r="C97" s="9"/>
      <c r="D97" s="12" t="s">
        <v>93</v>
      </c>
      <c r="E97" s="16">
        <v>438535.86000000004</v>
      </c>
      <c r="F97" s="16">
        <v>2056183.0280426624</v>
      </c>
      <c r="G97" s="16">
        <v>437155.3</v>
      </c>
      <c r="H97" s="16">
        <v>0</v>
      </c>
      <c r="I97" s="13">
        <f t="shared" si="1"/>
        <v>2931874.1880426621</v>
      </c>
    </row>
    <row r="98" spans="1:9" ht="15.75" x14ac:dyDescent="0.25">
      <c r="A98" s="8"/>
      <c r="B98" s="8"/>
      <c r="C98" s="9"/>
      <c r="D98" s="12" t="s">
        <v>94</v>
      </c>
      <c r="E98" s="16">
        <v>1445714.48</v>
      </c>
      <c r="F98" s="16">
        <v>2704661.6390428692</v>
      </c>
      <c r="G98" s="16">
        <v>2841177.08</v>
      </c>
      <c r="H98" s="16">
        <v>0</v>
      </c>
      <c r="I98" s="13">
        <f t="shared" si="1"/>
        <v>6991553.1990428697</v>
      </c>
    </row>
    <row r="99" spans="1:9" ht="15.75" x14ac:dyDescent="0.25">
      <c r="A99" s="8"/>
      <c r="B99" s="8"/>
      <c r="C99" s="9"/>
      <c r="D99" s="12" t="s">
        <v>95</v>
      </c>
      <c r="E99" s="16">
        <v>4426837.6500000004</v>
      </c>
      <c r="F99" s="16">
        <v>5153751.1529956004</v>
      </c>
      <c r="G99" s="16">
        <v>1488689.06</v>
      </c>
      <c r="H99" s="16">
        <v>0</v>
      </c>
      <c r="I99" s="13">
        <f t="shared" si="1"/>
        <v>11069277.8629956</v>
      </c>
    </row>
    <row r="100" spans="1:9" ht="15.75" x14ac:dyDescent="0.25">
      <c r="A100" s="8"/>
      <c r="B100" s="8"/>
      <c r="C100" s="9"/>
      <c r="D100" s="12" t="s">
        <v>96</v>
      </c>
      <c r="E100" s="16">
        <v>1608115.2999999998</v>
      </c>
      <c r="F100" s="16">
        <v>5297770.4113534577</v>
      </c>
      <c r="G100" s="16">
        <v>2524756.7100000004</v>
      </c>
      <c r="H100" s="16">
        <v>0</v>
      </c>
      <c r="I100" s="13">
        <f t="shared" si="1"/>
        <v>9430642.4213534575</v>
      </c>
    </row>
    <row r="101" spans="1:9" ht="15.75" x14ac:dyDescent="0.25">
      <c r="A101" s="8"/>
      <c r="B101" s="8"/>
      <c r="C101" s="9"/>
      <c r="D101" s="12" t="s">
        <v>97</v>
      </c>
      <c r="E101" s="16">
        <v>133917.45000000001</v>
      </c>
      <c r="F101" s="16">
        <v>6919369.7746990938</v>
      </c>
      <c r="G101" s="16">
        <v>113389.31999999999</v>
      </c>
      <c r="H101" s="16">
        <v>0</v>
      </c>
      <c r="I101" s="13">
        <f t="shared" si="1"/>
        <v>7166676.5446990943</v>
      </c>
    </row>
    <row r="102" spans="1:9" ht="15.75" x14ac:dyDescent="0.25">
      <c r="A102" s="8"/>
      <c r="B102" s="8"/>
      <c r="C102" s="9"/>
      <c r="D102" s="12" t="s">
        <v>98</v>
      </c>
      <c r="E102" s="16">
        <v>1826360.44</v>
      </c>
      <c r="F102" s="16">
        <v>2994355.0489601577</v>
      </c>
      <c r="G102" s="16">
        <v>1236911.44</v>
      </c>
      <c r="H102" s="16">
        <v>0</v>
      </c>
      <c r="I102" s="13">
        <f t="shared" si="1"/>
        <v>6057626.9289601576</v>
      </c>
    </row>
    <row r="103" spans="1:9" ht="15.75" x14ac:dyDescent="0.25">
      <c r="A103" s="8"/>
      <c r="B103" s="8"/>
      <c r="C103" s="9"/>
      <c r="D103" s="12" t="s">
        <v>99</v>
      </c>
      <c r="E103" s="16">
        <v>432457.13</v>
      </c>
      <c r="F103" s="16">
        <v>944835.14354487672</v>
      </c>
      <c r="G103" s="16">
        <v>425480.92</v>
      </c>
      <c r="H103" s="16">
        <v>0</v>
      </c>
      <c r="I103" s="13">
        <f t="shared" si="1"/>
        <v>1802773.1935448768</v>
      </c>
    </row>
    <row r="104" spans="1:9" ht="15.75" x14ac:dyDescent="0.25">
      <c r="A104" s="8"/>
      <c r="B104" s="8"/>
      <c r="C104" s="9"/>
      <c r="D104" s="12" t="s">
        <v>100</v>
      </c>
      <c r="E104" s="16">
        <v>3132621.4699999988</v>
      </c>
      <c r="F104" s="16">
        <v>1726532.6572716297</v>
      </c>
      <c r="G104" s="16">
        <v>3363808.3200000008</v>
      </c>
      <c r="H104" s="16">
        <v>0</v>
      </c>
      <c r="I104" s="13">
        <f t="shared" si="1"/>
        <v>8222962.4472716283</v>
      </c>
    </row>
    <row r="105" spans="1:9" ht="15.75" x14ac:dyDescent="0.25">
      <c r="A105" s="8"/>
      <c r="B105" s="8"/>
      <c r="C105" s="9"/>
      <c r="D105" s="12" t="s">
        <v>101</v>
      </c>
      <c r="E105" s="16">
        <v>425495.14</v>
      </c>
      <c r="F105" s="16">
        <v>2563973.941998702</v>
      </c>
      <c r="G105" s="16">
        <v>20169.350000000002</v>
      </c>
      <c r="H105" s="16">
        <v>0</v>
      </c>
      <c r="I105" s="13">
        <f t="shared" si="1"/>
        <v>3009638.4319987022</v>
      </c>
    </row>
    <row r="106" spans="1:9" ht="15.75" x14ac:dyDescent="0.25">
      <c r="A106" s="8"/>
      <c r="B106" s="8"/>
      <c r="C106" s="9"/>
      <c r="D106" s="12" t="s">
        <v>102</v>
      </c>
      <c r="E106" s="16">
        <v>1156458.5100000002</v>
      </c>
      <c r="F106" s="16">
        <v>158172.95021340798</v>
      </c>
      <c r="G106" s="16">
        <v>16902912.550000001</v>
      </c>
      <c r="H106" s="16">
        <v>0</v>
      </c>
      <c r="I106" s="13">
        <f t="shared" si="1"/>
        <v>18217544.010213409</v>
      </c>
    </row>
    <row r="107" spans="1:9" ht="15.75" x14ac:dyDescent="0.25">
      <c r="A107" s="8"/>
      <c r="B107" s="8"/>
      <c r="C107" s="9"/>
      <c r="D107" s="12" t="s">
        <v>103</v>
      </c>
      <c r="E107" s="16">
        <v>11264.9</v>
      </c>
      <c r="F107" s="16">
        <v>0</v>
      </c>
      <c r="G107" s="16">
        <v>1115588.0900000003</v>
      </c>
      <c r="H107" s="16">
        <v>0</v>
      </c>
      <c r="I107" s="13">
        <f t="shared" si="1"/>
        <v>1126852.9900000002</v>
      </c>
    </row>
    <row r="108" spans="1:9" ht="15.75" x14ac:dyDescent="0.25">
      <c r="A108" s="8"/>
      <c r="B108" s="8"/>
      <c r="C108" s="9"/>
      <c r="D108" s="12" t="s">
        <v>104</v>
      </c>
      <c r="E108" s="16">
        <v>64790.58</v>
      </c>
      <c r="F108" s="16">
        <v>0</v>
      </c>
      <c r="G108" s="16">
        <v>752000.19000000006</v>
      </c>
      <c r="H108" s="16">
        <v>0</v>
      </c>
      <c r="I108" s="13">
        <f t="shared" si="1"/>
        <v>816790.77</v>
      </c>
    </row>
    <row r="109" spans="1:9" ht="15.75" x14ac:dyDescent="0.25">
      <c r="A109" s="8"/>
      <c r="B109" s="8"/>
      <c r="C109" s="9"/>
      <c r="D109" s="12" t="s">
        <v>105</v>
      </c>
      <c r="E109" s="16">
        <v>300872.29000000004</v>
      </c>
      <c r="F109" s="16">
        <v>4243886.5157892043</v>
      </c>
      <c r="G109" s="16">
        <v>410943.05000000005</v>
      </c>
      <c r="H109" s="16">
        <v>0</v>
      </c>
      <c r="I109" s="13">
        <f t="shared" si="1"/>
        <v>4955701.8557892041</v>
      </c>
    </row>
    <row r="110" spans="1:9" ht="15.75" x14ac:dyDescent="0.25">
      <c r="A110" s="8"/>
      <c r="B110" s="8"/>
      <c r="C110" s="9"/>
      <c r="D110" s="12" t="s">
        <v>106</v>
      </c>
      <c r="E110" s="16">
        <v>435624.65</v>
      </c>
      <c r="F110" s="16">
        <v>1139633.4932983387</v>
      </c>
      <c r="G110" s="16">
        <v>322922.2</v>
      </c>
      <c r="H110" s="16">
        <v>0</v>
      </c>
      <c r="I110" s="13">
        <f t="shared" si="1"/>
        <v>1898180.3432983386</v>
      </c>
    </row>
    <row r="111" spans="1:9" ht="15.75" x14ac:dyDescent="0.25">
      <c r="A111" s="8"/>
      <c r="B111" s="8"/>
      <c r="C111" s="9"/>
      <c r="D111" s="12" t="s">
        <v>107</v>
      </c>
      <c r="E111" s="16">
        <v>78080.719999999987</v>
      </c>
      <c r="F111" s="16">
        <v>15808.585057121996</v>
      </c>
      <c r="G111" s="16">
        <v>8114055.1799999997</v>
      </c>
      <c r="H111" s="16">
        <v>0</v>
      </c>
      <c r="I111" s="13">
        <f t="shared" si="1"/>
        <v>8207944.4850571221</v>
      </c>
    </row>
    <row r="112" spans="1:9" ht="15.75" x14ac:dyDescent="0.25">
      <c r="A112" s="8"/>
      <c r="B112" s="8"/>
      <c r="C112" s="9"/>
      <c r="D112" s="12" t="s">
        <v>108</v>
      </c>
      <c r="E112" s="16">
        <v>1306153.6599999999</v>
      </c>
      <c r="F112" s="16">
        <v>1082191.2792753528</v>
      </c>
      <c r="G112" s="16">
        <v>686049.36</v>
      </c>
      <c r="H112" s="16">
        <v>0</v>
      </c>
      <c r="I112" s="13">
        <f t="shared" si="1"/>
        <v>3074394.2992753526</v>
      </c>
    </row>
    <row r="113" spans="1:9" ht="15.75" x14ac:dyDescent="0.25">
      <c r="A113" s="8"/>
      <c r="B113" s="8"/>
      <c r="C113" s="9"/>
      <c r="D113" s="12" t="s">
        <v>109</v>
      </c>
      <c r="E113" s="16">
        <v>355995.31999999995</v>
      </c>
      <c r="F113" s="16">
        <v>2605607.5709645664</v>
      </c>
      <c r="G113" s="16">
        <v>1005269.6900000001</v>
      </c>
      <c r="H113" s="16">
        <v>0</v>
      </c>
      <c r="I113" s="13">
        <f t="shared" si="1"/>
        <v>3966872.5809645662</v>
      </c>
    </row>
    <row r="114" spans="1:9" ht="15.75" x14ac:dyDescent="0.25">
      <c r="A114" s="8"/>
      <c r="B114" s="8"/>
      <c r="C114" s="9"/>
      <c r="D114" s="12" t="s">
        <v>110</v>
      </c>
      <c r="E114" s="16">
        <v>1054716.45</v>
      </c>
      <c r="F114" s="16">
        <v>2988541.1478441088</v>
      </c>
      <c r="G114" s="16">
        <v>962760.82999999984</v>
      </c>
      <c r="H114" s="16">
        <v>0</v>
      </c>
      <c r="I114" s="13">
        <f t="shared" si="1"/>
        <v>5006018.427844109</v>
      </c>
    </row>
    <row r="115" spans="1:9" ht="15.75" x14ac:dyDescent="0.25">
      <c r="A115" s="8"/>
      <c r="B115" s="8"/>
      <c r="C115" s="9"/>
      <c r="D115" s="12" t="s">
        <v>111</v>
      </c>
      <c r="E115" s="16">
        <v>2386236.35</v>
      </c>
      <c r="F115" s="16">
        <v>1477623.6548088726</v>
      </c>
      <c r="G115" s="16">
        <v>1361061.4799999997</v>
      </c>
      <c r="H115" s="16">
        <v>0</v>
      </c>
      <c r="I115" s="13">
        <f t="shared" si="1"/>
        <v>5224921.4848088725</v>
      </c>
    </row>
    <row r="116" spans="1:9" ht="15.75" x14ac:dyDescent="0.25">
      <c r="A116" s="8"/>
      <c r="B116" s="8"/>
      <c r="C116" s="9"/>
      <c r="D116" s="12" t="s">
        <v>112</v>
      </c>
      <c r="E116" s="16">
        <v>556126.77</v>
      </c>
      <c r="F116" s="16">
        <v>1918826.8923121868</v>
      </c>
      <c r="G116" s="16">
        <v>203721.67999999996</v>
      </c>
      <c r="H116" s="16">
        <v>0</v>
      </c>
      <c r="I116" s="13">
        <f t="shared" si="1"/>
        <v>2678675.342312187</v>
      </c>
    </row>
    <row r="117" spans="1:9" ht="15.75" x14ac:dyDescent="0.25">
      <c r="A117" s="8"/>
      <c r="B117" s="8"/>
      <c r="C117" s="9"/>
      <c r="D117" s="12" t="s">
        <v>113</v>
      </c>
      <c r="E117" s="16">
        <v>418323.5</v>
      </c>
      <c r="F117" s="16">
        <v>1481782.6627233496</v>
      </c>
      <c r="G117" s="16">
        <v>916217.62</v>
      </c>
      <c r="H117" s="16">
        <v>0</v>
      </c>
      <c r="I117" s="13">
        <f t="shared" si="1"/>
        <v>2816323.7827233495</v>
      </c>
    </row>
    <row r="118" spans="1:9" ht="15.75" x14ac:dyDescent="0.25">
      <c r="A118" s="8"/>
      <c r="B118" s="8"/>
      <c r="C118" s="9"/>
      <c r="D118" s="12" t="s">
        <v>114</v>
      </c>
      <c r="E118" s="16">
        <v>948209.1100000001</v>
      </c>
      <c r="F118" s="16">
        <v>2314237.4929351597</v>
      </c>
      <c r="G118" s="16">
        <v>760268.31</v>
      </c>
      <c r="H118" s="16">
        <v>0</v>
      </c>
      <c r="I118" s="13">
        <f t="shared" si="1"/>
        <v>4022714.9129351596</v>
      </c>
    </row>
    <row r="119" spans="1:9" ht="15.75" x14ac:dyDescent="0.25">
      <c r="A119" s="8"/>
      <c r="B119" s="8"/>
      <c r="C119" s="9"/>
      <c r="D119" s="12" t="s">
        <v>115</v>
      </c>
      <c r="E119" s="16">
        <v>246138.59</v>
      </c>
      <c r="F119" s="16">
        <v>224760.62666613396</v>
      </c>
      <c r="G119" s="16">
        <v>349548.33</v>
      </c>
      <c r="H119" s="16">
        <v>0</v>
      </c>
      <c r="I119" s="13">
        <f t="shared" si="1"/>
        <v>820447.54666613392</v>
      </c>
    </row>
    <row r="120" spans="1:9" ht="15.75" x14ac:dyDescent="0.25">
      <c r="A120" s="8"/>
      <c r="B120" s="8"/>
      <c r="C120" s="9"/>
      <c r="D120" s="12" t="s">
        <v>116</v>
      </c>
      <c r="E120" s="16">
        <v>1280410.8700000001</v>
      </c>
      <c r="F120" s="16">
        <v>982309.76459626388</v>
      </c>
      <c r="G120" s="16">
        <v>1294713.83</v>
      </c>
      <c r="H120" s="16">
        <v>0</v>
      </c>
      <c r="I120" s="13">
        <f t="shared" si="1"/>
        <v>3557434.4645962641</v>
      </c>
    </row>
    <row r="121" spans="1:9" ht="15.75" x14ac:dyDescent="0.25">
      <c r="A121" s="8"/>
      <c r="B121" s="8"/>
      <c r="C121" s="9"/>
      <c r="D121" s="12" t="s">
        <v>117</v>
      </c>
      <c r="E121" s="16">
        <v>803834.95000000007</v>
      </c>
      <c r="F121" s="16">
        <v>1506758.4851207584</v>
      </c>
      <c r="G121" s="16">
        <v>553291.6</v>
      </c>
      <c r="H121" s="16">
        <v>0</v>
      </c>
      <c r="I121" s="13">
        <f t="shared" si="1"/>
        <v>2863885.0351207587</v>
      </c>
    </row>
    <row r="122" spans="1:9" ht="15.75" x14ac:dyDescent="0.25">
      <c r="A122" s="8"/>
      <c r="B122" s="8"/>
      <c r="C122" s="9"/>
      <c r="D122" s="12" t="s">
        <v>118</v>
      </c>
      <c r="E122" s="16">
        <v>1065669.5200000003</v>
      </c>
      <c r="F122" s="16">
        <v>1074700.7100471847</v>
      </c>
      <c r="G122" s="16">
        <v>735602.26</v>
      </c>
      <c r="H122" s="16">
        <v>0</v>
      </c>
      <c r="I122" s="13">
        <f t="shared" si="1"/>
        <v>2875972.4900471848</v>
      </c>
    </row>
    <row r="123" spans="1:9" ht="15.75" x14ac:dyDescent="0.25">
      <c r="A123" s="8"/>
      <c r="B123" s="8"/>
      <c r="C123" s="9"/>
      <c r="D123" s="12" t="s">
        <v>119</v>
      </c>
      <c r="E123" s="16">
        <v>562023.58000000007</v>
      </c>
      <c r="F123" s="16">
        <v>1974592.4382230535</v>
      </c>
      <c r="G123" s="16">
        <v>268396.95999999996</v>
      </c>
      <c r="H123" s="16">
        <v>0</v>
      </c>
      <c r="I123" s="13">
        <f t="shared" si="1"/>
        <v>2805012.9782230537</v>
      </c>
    </row>
    <row r="124" spans="1:9" ht="15.75" x14ac:dyDescent="0.25">
      <c r="A124" s="8"/>
      <c r="B124" s="8"/>
      <c r="C124" s="9"/>
      <c r="D124" s="12" t="s">
        <v>120</v>
      </c>
      <c r="E124" s="16">
        <v>53309.83</v>
      </c>
      <c r="F124" s="16">
        <v>0</v>
      </c>
      <c r="G124" s="16">
        <v>2307082.1100000003</v>
      </c>
      <c r="H124" s="16">
        <v>2482742.8099999996</v>
      </c>
      <c r="I124" s="13">
        <f t="shared" si="1"/>
        <v>4843134.75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9445704.3100000005</v>
      </c>
      <c r="H125" s="16">
        <v>186377.595</v>
      </c>
      <c r="I125" s="13">
        <f t="shared" si="1"/>
        <v>9632081.9050000012</v>
      </c>
    </row>
    <row r="126" spans="1:9" ht="15.75" x14ac:dyDescent="0.25">
      <c r="A126" s="8"/>
      <c r="B126" s="8"/>
      <c r="C126" s="9"/>
      <c r="D126" s="12" t="s">
        <v>122</v>
      </c>
      <c r="E126" s="16">
        <v>305342.3</v>
      </c>
      <c r="F126" s="16">
        <v>0</v>
      </c>
      <c r="G126" s="16">
        <v>3593847.5500000003</v>
      </c>
      <c r="H126" s="16">
        <v>0</v>
      </c>
      <c r="I126" s="13">
        <f t="shared" si="1"/>
        <v>3899189.85</v>
      </c>
    </row>
    <row r="127" spans="1:9" ht="15.75" x14ac:dyDescent="0.25">
      <c r="A127" s="8"/>
      <c r="B127" s="8"/>
      <c r="C127" s="9"/>
      <c r="D127" s="12" t="s">
        <v>123</v>
      </c>
      <c r="E127" s="16">
        <v>1123021.5000000002</v>
      </c>
      <c r="F127" s="16">
        <v>416227.41510590486</v>
      </c>
      <c r="G127" s="16">
        <v>14771520.440000001</v>
      </c>
      <c r="H127" s="16">
        <v>0</v>
      </c>
      <c r="I127" s="13">
        <f t="shared" si="1"/>
        <v>16310769.355105907</v>
      </c>
    </row>
    <row r="128" spans="1:9" ht="15.75" x14ac:dyDescent="0.25">
      <c r="A128" s="8"/>
      <c r="B128" s="8"/>
      <c r="C128" s="9"/>
      <c r="D128" s="12" t="s">
        <v>124</v>
      </c>
      <c r="E128" s="16">
        <v>802210.13000000012</v>
      </c>
      <c r="F128" s="16">
        <v>1190412.5846939427</v>
      </c>
      <c r="G128" s="16">
        <v>1978345.31</v>
      </c>
      <c r="H128" s="16">
        <v>0</v>
      </c>
      <c r="I128" s="13">
        <f t="shared" si="1"/>
        <v>3970968.0246939426</v>
      </c>
    </row>
    <row r="129" spans="1:9" ht="15.75" x14ac:dyDescent="0.25">
      <c r="A129" s="8"/>
      <c r="B129" s="8"/>
      <c r="C129" s="9"/>
      <c r="D129" s="12" t="s">
        <v>125</v>
      </c>
      <c r="E129" s="16">
        <v>432770.04999999993</v>
      </c>
      <c r="F129" s="16">
        <v>628511.01802860794</v>
      </c>
      <c r="G129" s="16">
        <v>710439.47000000009</v>
      </c>
      <c r="H129" s="16">
        <v>0</v>
      </c>
      <c r="I129" s="13">
        <f t="shared" si="1"/>
        <v>1771720.5380286081</v>
      </c>
    </row>
    <row r="130" spans="1:9" ht="15.75" x14ac:dyDescent="0.25">
      <c r="A130" s="8"/>
      <c r="B130" s="8"/>
      <c r="C130" s="9"/>
      <c r="D130" s="12" t="s">
        <v>126</v>
      </c>
      <c r="E130" s="16">
        <v>402989.01000000007</v>
      </c>
      <c r="F130" s="16">
        <v>1107167.1016727618</v>
      </c>
      <c r="G130" s="16">
        <v>218121.14</v>
      </c>
      <c r="H130" s="16">
        <v>0</v>
      </c>
      <c r="I130" s="13">
        <f t="shared" si="1"/>
        <v>1728277.251672762</v>
      </c>
    </row>
    <row r="131" spans="1:9" ht="15.75" x14ac:dyDescent="0.25">
      <c r="A131" s="8"/>
      <c r="B131" s="8"/>
      <c r="C131" s="9"/>
      <c r="D131" s="12" t="s">
        <v>127</v>
      </c>
      <c r="E131" s="16">
        <v>1955100.8</v>
      </c>
      <c r="F131" s="16">
        <v>6051160.5413691113</v>
      </c>
      <c r="G131" s="16">
        <v>5803932.4099999992</v>
      </c>
      <c r="H131" s="16">
        <v>0</v>
      </c>
      <c r="I131" s="13">
        <f t="shared" si="1"/>
        <v>13810193.751369111</v>
      </c>
    </row>
    <row r="132" spans="1:9" ht="15.75" x14ac:dyDescent="0.25">
      <c r="A132" s="8"/>
      <c r="B132" s="8"/>
      <c r="C132" s="9"/>
      <c r="D132" s="12" t="s">
        <v>128</v>
      </c>
      <c r="E132" s="16">
        <v>698324.82000000018</v>
      </c>
      <c r="F132" s="16">
        <v>3712774.6726373285</v>
      </c>
      <c r="G132" s="16">
        <v>94745.3</v>
      </c>
      <c r="H132" s="16">
        <v>0</v>
      </c>
      <c r="I132" s="13">
        <f t="shared" si="1"/>
        <v>4505844.7926373286</v>
      </c>
    </row>
    <row r="133" spans="1:9" ht="15.75" x14ac:dyDescent="0.25">
      <c r="A133" s="8"/>
      <c r="B133" s="8"/>
      <c r="C133" s="9"/>
      <c r="D133" s="12" t="s">
        <v>129</v>
      </c>
      <c r="E133" s="16">
        <v>515553.85</v>
      </c>
      <c r="F133" s="16">
        <v>0</v>
      </c>
      <c r="G133" s="16">
        <v>5794538.9100000011</v>
      </c>
      <c r="H133" s="16">
        <v>1348454.8800000001</v>
      </c>
      <c r="I133" s="13">
        <f t="shared" si="1"/>
        <v>7658547.6400000006</v>
      </c>
    </row>
    <row r="134" spans="1:9" ht="15.75" x14ac:dyDescent="0.25">
      <c r="A134" s="8"/>
      <c r="B134" s="8"/>
      <c r="C134" s="9"/>
      <c r="D134" s="12" t="s">
        <v>130</v>
      </c>
      <c r="E134" s="16">
        <v>30680.25</v>
      </c>
      <c r="F134" s="16">
        <v>183148.77261081699</v>
      </c>
      <c r="G134" s="16">
        <v>11508.540000000003</v>
      </c>
      <c r="H134" s="16">
        <v>0</v>
      </c>
      <c r="I134" s="13">
        <f t="shared" si="1"/>
        <v>225337.562610817</v>
      </c>
    </row>
    <row r="135" spans="1:9" ht="15.75" x14ac:dyDescent="0.25">
      <c r="A135" s="8"/>
      <c r="B135" s="8"/>
      <c r="C135" s="9"/>
      <c r="D135" s="12" t="s">
        <v>131</v>
      </c>
      <c r="E135" s="16">
        <v>850320.26</v>
      </c>
      <c r="F135" s="16">
        <v>2314237.4929351597</v>
      </c>
      <c r="G135" s="16">
        <v>307282.73</v>
      </c>
      <c r="H135" s="16">
        <v>0</v>
      </c>
      <c r="I135" s="13">
        <f t="shared" si="1"/>
        <v>3471840.4829351599</v>
      </c>
    </row>
    <row r="136" spans="1:9" ht="15.75" x14ac:dyDescent="0.25">
      <c r="A136" s="8"/>
      <c r="B136" s="8"/>
      <c r="C136" s="9"/>
      <c r="D136" s="12" t="s">
        <v>132</v>
      </c>
      <c r="E136" s="16">
        <v>2351639.7799999998</v>
      </c>
      <c r="F136" s="16">
        <v>2797074.3594043371</v>
      </c>
      <c r="G136" s="16">
        <v>2334892.4699999997</v>
      </c>
      <c r="H136" s="16">
        <v>0</v>
      </c>
      <c r="I136" s="13">
        <f t="shared" si="1"/>
        <v>7483606.6094043367</v>
      </c>
    </row>
    <row r="137" spans="1:9" ht="15.75" x14ac:dyDescent="0.25">
      <c r="A137" s="8"/>
      <c r="B137" s="8"/>
      <c r="C137" s="9"/>
      <c r="D137" s="12" t="s">
        <v>133</v>
      </c>
      <c r="E137" s="16">
        <v>1497422.14</v>
      </c>
      <c r="F137" s="16">
        <v>4699243.4451480694</v>
      </c>
      <c r="G137" s="16">
        <v>3588442.9500000011</v>
      </c>
      <c r="H137" s="16">
        <v>0</v>
      </c>
      <c r="I137" s="13">
        <f t="shared" si="1"/>
        <v>9785108.5351480693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3949163.9199999995</v>
      </c>
      <c r="H138" s="16">
        <v>0</v>
      </c>
      <c r="I138" s="13">
        <f t="shared" ref="I138:I144" si="2">SUM(E138:H138)</f>
        <v>3949163.9199999995</v>
      </c>
    </row>
    <row r="139" spans="1:9" ht="15.75" x14ac:dyDescent="0.25">
      <c r="A139" s="8"/>
      <c r="B139" s="8"/>
      <c r="C139" s="9"/>
      <c r="D139" s="12" t="s">
        <v>135</v>
      </c>
      <c r="E139" s="16">
        <v>1049637.57</v>
      </c>
      <c r="F139" s="16">
        <v>658473.29494127992</v>
      </c>
      <c r="G139" s="16">
        <v>542029.73</v>
      </c>
      <c r="H139" s="16">
        <v>0</v>
      </c>
      <c r="I139" s="13">
        <f t="shared" si="2"/>
        <v>2250140.5949412799</v>
      </c>
    </row>
    <row r="140" spans="1:9" ht="15.75" x14ac:dyDescent="0.25">
      <c r="A140" s="8"/>
      <c r="B140" s="8"/>
      <c r="C140" s="9"/>
      <c r="D140" s="12" t="s">
        <v>136</v>
      </c>
      <c r="E140" s="16">
        <v>1443126.0500000003</v>
      </c>
      <c r="F140" s="16">
        <v>4670108.6148361834</v>
      </c>
      <c r="G140" s="16">
        <v>1214483.47</v>
      </c>
      <c r="H140" s="16">
        <v>0</v>
      </c>
      <c r="I140" s="13">
        <f t="shared" si="2"/>
        <v>7327718.1348361829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7024362.8599999994</v>
      </c>
      <c r="H141" s="16">
        <v>66492.259999999995</v>
      </c>
      <c r="I141" s="13">
        <f t="shared" si="2"/>
        <v>7090855.1199999992</v>
      </c>
    </row>
    <row r="142" spans="1:9" ht="15.75" x14ac:dyDescent="0.25">
      <c r="A142" s="8"/>
      <c r="B142" s="8"/>
      <c r="C142" s="9"/>
      <c r="D142" s="12" t="s">
        <v>138</v>
      </c>
      <c r="E142" s="16">
        <v>52312.959999999999</v>
      </c>
      <c r="F142" s="16">
        <v>0</v>
      </c>
      <c r="G142" s="16">
        <v>1214573.77</v>
      </c>
      <c r="H142" s="16">
        <v>0</v>
      </c>
      <c r="I142" s="13">
        <f t="shared" si="2"/>
        <v>1266886.73</v>
      </c>
    </row>
    <row r="143" spans="1:9" ht="15.75" x14ac:dyDescent="0.25">
      <c r="A143" s="8"/>
      <c r="B143" s="8"/>
      <c r="C143" s="9"/>
      <c r="D143" s="12" t="s">
        <v>139</v>
      </c>
      <c r="E143" s="16">
        <v>257176.52</v>
      </c>
      <c r="F143" s="16">
        <v>4316309.8682685271</v>
      </c>
      <c r="G143" s="16">
        <v>75349.11</v>
      </c>
      <c r="H143" s="16">
        <v>0</v>
      </c>
      <c r="I143" s="13">
        <f t="shared" si="2"/>
        <v>4648835.498268527</v>
      </c>
    </row>
    <row r="144" spans="1:9" ht="15.75" x14ac:dyDescent="0.25">
      <c r="A144" s="8"/>
      <c r="B144" s="8"/>
      <c r="C144" s="9"/>
      <c r="D144" s="12" t="s">
        <v>140</v>
      </c>
      <c r="E144" s="16">
        <v>1263650.58</v>
      </c>
      <c r="F144" s="16">
        <v>524448.720524495</v>
      </c>
      <c r="G144" s="16">
        <v>1361651.69</v>
      </c>
      <c r="H144" s="16">
        <v>0</v>
      </c>
      <c r="I144" s="13">
        <f t="shared" si="2"/>
        <v>3149750.990524495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123695511.46999997</v>
      </c>
      <c r="F145" s="22">
        <f>SUM(F10:F144)</f>
        <v>217739132.56096941</v>
      </c>
      <c r="G145" s="22">
        <f>SUM(G10:G144)</f>
        <v>316768547.66000038</v>
      </c>
      <c r="H145" s="22">
        <f>SUM(H10:H144)</f>
        <v>4084067.5449999999</v>
      </c>
      <c r="I145" s="22">
        <f>SUM(I10:I144)</f>
        <v>662287259.23596919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tabSelected="1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8134446.3900000006</v>
      </c>
      <c r="F10" s="16">
        <v>14294716.224914964</v>
      </c>
      <c r="G10" s="16">
        <v>721013.71000000008</v>
      </c>
      <c r="H10" s="16">
        <v>0</v>
      </c>
      <c r="I10" s="13">
        <f>SUM(E10:H10)</f>
        <v>23150176.324914966</v>
      </c>
    </row>
    <row r="11" spans="1:9" ht="15.75" x14ac:dyDescent="0.25">
      <c r="A11" s="8"/>
      <c r="B11" s="8"/>
      <c r="C11" s="9"/>
      <c r="D11" s="12" t="s">
        <v>7</v>
      </c>
      <c r="E11" s="16">
        <v>14581115.25</v>
      </c>
      <c r="F11" s="16">
        <v>8023295.8552886359</v>
      </c>
      <c r="G11" s="16">
        <v>428001.08999999997</v>
      </c>
      <c r="H11" s="16">
        <v>0</v>
      </c>
      <c r="I11" s="13">
        <f t="shared" ref="I11:I73" si="0">SUM(E11:H11)</f>
        <v>23032412.195288636</v>
      </c>
    </row>
    <row r="12" spans="1:9" ht="15.75" x14ac:dyDescent="0.25">
      <c r="A12" s="8"/>
      <c r="B12" s="8"/>
      <c r="C12" s="9"/>
      <c r="D12" s="12" t="s">
        <v>8</v>
      </c>
      <c r="E12" s="16">
        <v>12812142.759999996</v>
      </c>
      <c r="F12" s="16">
        <v>2908699.7024211292</v>
      </c>
      <c r="G12" s="16">
        <v>302379.69</v>
      </c>
      <c r="H12" s="16">
        <v>0</v>
      </c>
      <c r="I12" s="13">
        <f t="shared" si="0"/>
        <v>16023222.152421124</v>
      </c>
    </row>
    <row r="13" spans="1:9" ht="15.75" x14ac:dyDescent="0.25">
      <c r="A13" s="8"/>
      <c r="B13" s="8"/>
      <c r="C13" s="9"/>
      <c r="D13" s="12" t="s">
        <v>9</v>
      </c>
      <c r="E13" s="16">
        <v>2157371.6799999997</v>
      </c>
      <c r="F13" s="16">
        <v>76956.11742386996</v>
      </c>
      <c r="G13" s="16">
        <v>4720908.04</v>
      </c>
      <c r="H13" s="16">
        <v>0</v>
      </c>
      <c r="I13" s="13">
        <f t="shared" si="0"/>
        <v>6955235.8374238703</v>
      </c>
    </row>
    <row r="14" spans="1:9" ht="15.75" x14ac:dyDescent="0.25">
      <c r="A14" s="8"/>
      <c r="B14" s="8"/>
      <c r="C14" s="9"/>
      <c r="D14" s="12" t="s">
        <v>10</v>
      </c>
      <c r="E14" s="16">
        <v>16498943.109999998</v>
      </c>
      <c r="F14" s="16">
        <v>3231888.5582456989</v>
      </c>
      <c r="G14" s="16">
        <v>893941.48000000021</v>
      </c>
      <c r="H14" s="16">
        <v>0</v>
      </c>
      <c r="I14" s="13">
        <f t="shared" si="0"/>
        <v>20624773.148245696</v>
      </c>
    </row>
    <row r="15" spans="1:9" ht="15.75" x14ac:dyDescent="0.25">
      <c r="A15" s="8"/>
      <c r="B15" s="8"/>
      <c r="C15" s="9"/>
      <c r="D15" s="12" t="s">
        <v>11</v>
      </c>
      <c r="E15" s="16">
        <v>527816.46</v>
      </c>
      <c r="F15" s="16">
        <v>17981.028308279994</v>
      </c>
      <c r="G15" s="16">
        <v>5492448.209999999</v>
      </c>
      <c r="H15" s="16">
        <v>0</v>
      </c>
      <c r="I15" s="13">
        <f t="shared" si="0"/>
        <v>6038245.6983082788</v>
      </c>
    </row>
    <row r="16" spans="1:9" ht="15.75" x14ac:dyDescent="0.25">
      <c r="A16" s="8"/>
      <c r="B16" s="8"/>
      <c r="C16" s="9"/>
      <c r="D16" s="12" t="s">
        <v>12</v>
      </c>
      <c r="E16" s="16">
        <v>19075702.000000004</v>
      </c>
      <c r="F16" s="16">
        <v>15410479.287477266</v>
      </c>
      <c r="G16" s="16">
        <v>729740.83</v>
      </c>
      <c r="H16" s="16">
        <v>0</v>
      </c>
      <c r="I16" s="13">
        <f t="shared" si="0"/>
        <v>35215922.117477268</v>
      </c>
    </row>
    <row r="17" spans="1:9" ht="15.75" x14ac:dyDescent="0.25">
      <c r="A17" s="8"/>
      <c r="B17" s="8"/>
      <c r="C17" s="9"/>
      <c r="D17" s="12" t="s">
        <v>13</v>
      </c>
      <c r="E17" s="16">
        <v>40432807.150000013</v>
      </c>
      <c r="F17" s="16">
        <v>14697410.746953383</v>
      </c>
      <c r="G17" s="16">
        <v>1974290.2899999998</v>
      </c>
      <c r="H17" s="16">
        <v>0</v>
      </c>
      <c r="I17" s="13">
        <f t="shared" si="0"/>
        <v>57104508.186953396</v>
      </c>
    </row>
    <row r="18" spans="1:9" ht="15.75" x14ac:dyDescent="0.25">
      <c r="A18" s="8"/>
      <c r="B18" s="8"/>
      <c r="C18" s="9"/>
      <c r="D18" s="12" t="s">
        <v>14</v>
      </c>
      <c r="E18" s="16">
        <v>4111350.5200000009</v>
      </c>
      <c r="F18" s="16">
        <v>1154274.6679688394</v>
      </c>
      <c r="G18" s="16">
        <v>9315679.209999999</v>
      </c>
      <c r="H18" s="16">
        <v>0</v>
      </c>
      <c r="I18" s="13">
        <f t="shared" si="0"/>
        <v>14581304.39796884</v>
      </c>
    </row>
    <row r="19" spans="1:9" ht="15.75" x14ac:dyDescent="0.25">
      <c r="A19" s="8"/>
      <c r="B19" s="8"/>
      <c r="C19" s="9"/>
      <c r="D19" s="12" t="s">
        <v>15</v>
      </c>
      <c r="E19" s="16">
        <v>38935803.580000006</v>
      </c>
      <c r="F19" s="16">
        <v>11016667.414892785</v>
      </c>
      <c r="G19" s="16">
        <v>1278976.05</v>
      </c>
      <c r="H19" s="16">
        <v>0</v>
      </c>
      <c r="I19" s="13">
        <f t="shared" si="0"/>
        <v>51231447.044892788</v>
      </c>
    </row>
    <row r="20" spans="1:9" ht="15.75" x14ac:dyDescent="0.25">
      <c r="A20" s="8"/>
      <c r="B20" s="8"/>
      <c r="C20" s="9"/>
      <c r="D20" s="12" t="s">
        <v>16</v>
      </c>
      <c r="E20" s="16">
        <v>13379679.049999999</v>
      </c>
      <c r="F20" s="16">
        <v>3062611.9372688686</v>
      </c>
      <c r="G20" s="16">
        <v>699214.28999999992</v>
      </c>
      <c r="H20" s="16">
        <v>0</v>
      </c>
      <c r="I20" s="13">
        <f t="shared" si="0"/>
        <v>17141505.277268868</v>
      </c>
    </row>
    <row r="21" spans="1:9" ht="15.75" x14ac:dyDescent="0.25">
      <c r="A21" s="8"/>
      <c r="B21" s="8"/>
      <c r="C21" s="9"/>
      <c r="D21" s="12" t="s">
        <v>17</v>
      </c>
      <c r="E21" s="16">
        <v>19160450.789999999</v>
      </c>
      <c r="F21" s="16">
        <v>13178953.162352664</v>
      </c>
      <c r="G21" s="16">
        <v>547435.17999999993</v>
      </c>
      <c r="H21" s="16">
        <v>0</v>
      </c>
      <c r="I21" s="13">
        <f t="shared" si="0"/>
        <v>32886839.132352665</v>
      </c>
    </row>
    <row r="22" spans="1:9" ht="15.75" x14ac:dyDescent="0.25">
      <c r="A22" s="8"/>
      <c r="B22" s="8"/>
      <c r="C22" s="9"/>
      <c r="D22" s="12" t="s">
        <v>18</v>
      </c>
      <c r="E22" s="16">
        <v>887528.7</v>
      </c>
      <c r="F22" s="16">
        <v>564322.49664530985</v>
      </c>
      <c r="G22" s="16">
        <v>2989286.4600000004</v>
      </c>
      <c r="H22" s="16">
        <v>0</v>
      </c>
      <c r="I22" s="13">
        <f t="shared" si="0"/>
        <v>4441137.6566453101</v>
      </c>
    </row>
    <row r="23" spans="1:9" ht="15.75" x14ac:dyDescent="0.25">
      <c r="A23" s="8"/>
      <c r="B23" s="8"/>
      <c r="C23" s="9"/>
      <c r="D23" s="12" t="s">
        <v>19</v>
      </c>
      <c r="E23" s="16">
        <v>1038951.1400000001</v>
      </c>
      <c r="F23" s="16">
        <v>210337.77517334995</v>
      </c>
      <c r="G23" s="16">
        <v>1083641.1499999999</v>
      </c>
      <c r="H23" s="16">
        <v>0</v>
      </c>
      <c r="I23" s="13">
        <f t="shared" si="0"/>
        <v>2332930.0651733503</v>
      </c>
    </row>
    <row r="24" spans="1:9" ht="15.75" x14ac:dyDescent="0.25">
      <c r="A24" s="8"/>
      <c r="B24" s="8"/>
      <c r="C24" s="9"/>
      <c r="D24" s="12" t="s">
        <v>20</v>
      </c>
      <c r="E24" s="16">
        <v>18361312.499999996</v>
      </c>
      <c r="F24" s="16">
        <v>8082338.037793437</v>
      </c>
      <c r="G24" s="16">
        <v>1031880.37</v>
      </c>
      <c r="H24" s="16">
        <v>0</v>
      </c>
      <c r="I24" s="13">
        <f t="shared" si="0"/>
        <v>27475530.907793436</v>
      </c>
    </row>
    <row r="25" spans="1:9" ht="15.75" x14ac:dyDescent="0.25">
      <c r="A25" s="8"/>
      <c r="B25" s="8"/>
      <c r="C25" s="9"/>
      <c r="D25" s="12" t="s">
        <v>21</v>
      </c>
      <c r="E25" s="16">
        <v>14032254.200000001</v>
      </c>
      <c r="F25" s="16">
        <v>6002107.5053373873</v>
      </c>
      <c r="G25" s="16">
        <v>1079335.23</v>
      </c>
      <c r="H25" s="16">
        <v>0</v>
      </c>
      <c r="I25" s="13">
        <f t="shared" si="0"/>
        <v>21113696.935337391</v>
      </c>
    </row>
    <row r="26" spans="1:9" ht="15.75" x14ac:dyDescent="0.25">
      <c r="A26" s="8"/>
      <c r="B26" s="8"/>
      <c r="C26" s="9"/>
      <c r="D26" s="12" t="s">
        <v>22</v>
      </c>
      <c r="E26" s="16">
        <v>7838591.8899999997</v>
      </c>
      <c r="F26" s="16">
        <v>3437127.2358390889</v>
      </c>
      <c r="G26" s="16">
        <v>602940.62</v>
      </c>
      <c r="H26" s="16">
        <v>0</v>
      </c>
      <c r="I26" s="13">
        <f t="shared" si="0"/>
        <v>11878659.745839087</v>
      </c>
    </row>
    <row r="27" spans="1:9" ht="15.75" x14ac:dyDescent="0.25">
      <c r="A27" s="8"/>
      <c r="B27" s="8"/>
      <c r="C27" s="9"/>
      <c r="D27" s="12" t="s">
        <v>23</v>
      </c>
      <c r="E27" s="16">
        <v>4273905.7300000004</v>
      </c>
      <c r="F27" s="16">
        <v>589952.17132352979</v>
      </c>
      <c r="G27" s="16">
        <v>2288341.15</v>
      </c>
      <c r="H27" s="16">
        <v>0</v>
      </c>
      <c r="I27" s="13">
        <f t="shared" si="0"/>
        <v>7152199.0513235293</v>
      </c>
    </row>
    <row r="28" spans="1:9" ht="15.75" x14ac:dyDescent="0.25">
      <c r="A28" s="8"/>
      <c r="B28" s="8"/>
      <c r="C28" s="9"/>
      <c r="D28" s="12" t="s">
        <v>24</v>
      </c>
      <c r="E28" s="16">
        <v>7341064.1099999985</v>
      </c>
      <c r="F28" s="16">
        <v>2795848.6217699093</v>
      </c>
      <c r="G28" s="16">
        <v>1468340.25</v>
      </c>
      <c r="H28" s="16">
        <v>0</v>
      </c>
      <c r="I28" s="13">
        <f t="shared" si="0"/>
        <v>11605252.981769908</v>
      </c>
    </row>
    <row r="29" spans="1:9" ht="15.75" x14ac:dyDescent="0.25">
      <c r="A29" s="8"/>
      <c r="B29" s="8"/>
      <c r="C29" s="9"/>
      <c r="D29" s="12" t="s">
        <v>25</v>
      </c>
      <c r="E29" s="16">
        <v>6925184.3500000006</v>
      </c>
      <c r="F29" s="16">
        <v>1564617.8363771993</v>
      </c>
      <c r="G29" s="16">
        <v>418370.41999999993</v>
      </c>
      <c r="H29" s="16">
        <v>0</v>
      </c>
      <c r="I29" s="13">
        <f t="shared" si="0"/>
        <v>8908172.6063771993</v>
      </c>
    </row>
    <row r="30" spans="1:9" ht="15.75" x14ac:dyDescent="0.25">
      <c r="A30" s="8"/>
      <c r="B30" s="8"/>
      <c r="C30" s="9"/>
      <c r="D30" s="12" t="s">
        <v>26</v>
      </c>
      <c r="E30" s="16">
        <v>13973845.4</v>
      </c>
      <c r="F30" s="16">
        <v>8438872.3080553766</v>
      </c>
      <c r="G30" s="16">
        <v>893248.91999999993</v>
      </c>
      <c r="H30" s="16">
        <v>0</v>
      </c>
      <c r="I30" s="13">
        <f t="shared" si="0"/>
        <v>23305966.628055379</v>
      </c>
    </row>
    <row r="31" spans="1:9" ht="15.75" x14ac:dyDescent="0.25">
      <c r="A31" s="8"/>
      <c r="B31" s="8"/>
      <c r="C31" s="9"/>
      <c r="D31" s="12" t="s">
        <v>27</v>
      </c>
      <c r="E31" s="16">
        <v>13541731.83</v>
      </c>
      <c r="F31" s="16">
        <v>8746629.6843616478</v>
      </c>
      <c r="G31" s="16">
        <v>588763.46000000008</v>
      </c>
      <c r="H31" s="16">
        <v>0</v>
      </c>
      <c r="I31" s="13">
        <f t="shared" si="0"/>
        <v>22877124.974361651</v>
      </c>
    </row>
    <row r="32" spans="1:9" ht="15.75" x14ac:dyDescent="0.25">
      <c r="A32" s="8"/>
      <c r="B32" s="8"/>
      <c r="C32" s="9"/>
      <c r="D32" s="12" t="s">
        <v>28</v>
      </c>
      <c r="E32" s="16">
        <v>11777979.609999999</v>
      </c>
      <c r="F32" s="16">
        <v>2952310.4054076285</v>
      </c>
      <c r="G32" s="16">
        <v>308841.18</v>
      </c>
      <c r="H32" s="16">
        <v>0</v>
      </c>
      <c r="I32" s="13">
        <f t="shared" si="0"/>
        <v>15039131.195407627</v>
      </c>
    </row>
    <row r="33" spans="1:9" ht="15.75" x14ac:dyDescent="0.25">
      <c r="A33" s="8"/>
      <c r="B33" s="8"/>
      <c r="C33" s="9"/>
      <c r="D33" s="12" t="s">
        <v>29</v>
      </c>
      <c r="E33" s="16">
        <v>3666451.08</v>
      </c>
      <c r="F33" s="16">
        <v>4463119.343638408</v>
      </c>
      <c r="G33" s="16">
        <v>225168.95</v>
      </c>
      <c r="H33" s="16">
        <v>0</v>
      </c>
      <c r="I33" s="13">
        <f t="shared" si="0"/>
        <v>8354739.3736384083</v>
      </c>
    </row>
    <row r="34" spans="1:9" ht="15.75" x14ac:dyDescent="0.25">
      <c r="A34" s="8"/>
      <c r="B34" s="8"/>
      <c r="C34" s="9"/>
      <c r="D34" s="12" t="s">
        <v>30</v>
      </c>
      <c r="E34" s="16">
        <v>33163702.91</v>
      </c>
      <c r="F34" s="16">
        <v>6404802.027375808</v>
      </c>
      <c r="G34" s="16">
        <v>1878159.0599999998</v>
      </c>
      <c r="H34" s="16">
        <v>0</v>
      </c>
      <c r="I34" s="13">
        <f t="shared" si="0"/>
        <v>41446663.997375809</v>
      </c>
    </row>
    <row r="35" spans="1:9" ht="15.75" x14ac:dyDescent="0.25">
      <c r="A35" s="8"/>
      <c r="B35" s="8"/>
      <c r="C35" s="9"/>
      <c r="D35" s="12" t="s">
        <v>31</v>
      </c>
      <c r="E35" s="16">
        <v>12370265.169999996</v>
      </c>
      <c r="F35" s="16">
        <v>11778445.755983127</v>
      </c>
      <c r="G35" s="16">
        <v>1116955.4300000002</v>
      </c>
      <c r="H35" s="16">
        <v>0</v>
      </c>
      <c r="I35" s="13">
        <f t="shared" si="0"/>
        <v>25265666.355983123</v>
      </c>
    </row>
    <row r="36" spans="1:9" ht="15.75" x14ac:dyDescent="0.25">
      <c r="A36" s="8"/>
      <c r="B36" s="8"/>
      <c r="C36" s="9"/>
      <c r="D36" s="12" t="s">
        <v>32</v>
      </c>
      <c r="E36" s="16">
        <v>15799517.020000001</v>
      </c>
      <c r="F36" s="16">
        <v>5843029.0795204779</v>
      </c>
      <c r="G36" s="16">
        <v>2239256.66</v>
      </c>
      <c r="H36" s="16">
        <v>0</v>
      </c>
      <c r="I36" s="13">
        <f t="shared" si="0"/>
        <v>23881802.759520479</v>
      </c>
    </row>
    <row r="37" spans="1:9" ht="15.75" x14ac:dyDescent="0.25">
      <c r="A37" s="8"/>
      <c r="B37" s="8"/>
      <c r="C37" s="9"/>
      <c r="D37" s="12" t="s">
        <v>33</v>
      </c>
      <c r="E37" s="16">
        <v>15152803.579999996</v>
      </c>
      <c r="F37" s="16">
        <v>4086054.4962782091</v>
      </c>
      <c r="G37" s="16">
        <v>643093.11999999988</v>
      </c>
      <c r="H37" s="16">
        <v>0</v>
      </c>
      <c r="I37" s="13">
        <f t="shared" si="0"/>
        <v>19881951.196278207</v>
      </c>
    </row>
    <row r="38" spans="1:9" ht="15.75" x14ac:dyDescent="0.25">
      <c r="A38" s="8"/>
      <c r="B38" s="8"/>
      <c r="C38" s="9"/>
      <c r="D38" s="12" t="s">
        <v>34</v>
      </c>
      <c r="E38" s="16">
        <v>12843050.379999997</v>
      </c>
      <c r="F38" s="16">
        <v>7022933.4221675368</v>
      </c>
      <c r="G38" s="16">
        <v>583641.44999999995</v>
      </c>
      <c r="H38" s="16">
        <v>0</v>
      </c>
      <c r="I38" s="13">
        <f t="shared" si="0"/>
        <v>20449625.252167534</v>
      </c>
    </row>
    <row r="39" spans="1:9" ht="15.75" x14ac:dyDescent="0.25">
      <c r="A39" s="8"/>
      <c r="B39" s="8"/>
      <c r="C39" s="9"/>
      <c r="D39" s="12" t="s">
        <v>35</v>
      </c>
      <c r="E39" s="16">
        <v>9632632.8299999982</v>
      </c>
      <c r="F39" s="16">
        <v>10996136.837794526</v>
      </c>
      <c r="G39" s="16">
        <v>765177.86</v>
      </c>
      <c r="H39" s="16">
        <v>0</v>
      </c>
      <c r="I39" s="13">
        <f t="shared" si="0"/>
        <v>21393947.527794525</v>
      </c>
    </row>
    <row r="40" spans="1:9" ht="15.75" x14ac:dyDescent="0.25">
      <c r="A40" s="8"/>
      <c r="B40" s="8"/>
      <c r="C40" s="9"/>
      <c r="D40" s="12" t="s">
        <v>36</v>
      </c>
      <c r="E40" s="16">
        <v>993292.65000000014</v>
      </c>
      <c r="F40" s="16">
        <v>577137.3339844197</v>
      </c>
      <c r="G40" s="16">
        <v>466413.72000000009</v>
      </c>
      <c r="H40" s="16">
        <v>0</v>
      </c>
      <c r="I40" s="13">
        <f t="shared" si="0"/>
        <v>2036843.7039844198</v>
      </c>
    </row>
    <row r="41" spans="1:9" ht="15.75" x14ac:dyDescent="0.25">
      <c r="A41" s="8"/>
      <c r="B41" s="8"/>
      <c r="C41" s="9"/>
      <c r="D41" s="12" t="s">
        <v>37</v>
      </c>
      <c r="E41" s="16">
        <v>20495099.830000002</v>
      </c>
      <c r="F41" s="16">
        <v>10336944.288806278</v>
      </c>
      <c r="G41" s="16">
        <v>1814977.0300000003</v>
      </c>
      <c r="H41" s="16">
        <v>0</v>
      </c>
      <c r="I41" s="13">
        <f t="shared" si="0"/>
        <v>32647021.148806281</v>
      </c>
    </row>
    <row r="42" spans="1:9" ht="15.75" x14ac:dyDescent="0.25">
      <c r="A42" s="8"/>
      <c r="B42" s="8"/>
      <c r="C42" s="9"/>
      <c r="D42" s="12" t="s">
        <v>38</v>
      </c>
      <c r="E42" s="16">
        <v>15537566.020000001</v>
      </c>
      <c r="F42" s="16">
        <v>10208661.728636757</v>
      </c>
      <c r="G42" s="16">
        <v>519788.2699999999</v>
      </c>
      <c r="H42" s="16">
        <v>0</v>
      </c>
      <c r="I42" s="13">
        <f t="shared" si="0"/>
        <v>26266016.018636759</v>
      </c>
    </row>
    <row r="43" spans="1:9" ht="15.75" x14ac:dyDescent="0.25">
      <c r="A43" s="8"/>
      <c r="B43" s="8"/>
      <c r="C43" s="9"/>
      <c r="D43" s="12" t="s">
        <v>39</v>
      </c>
      <c r="E43" s="16">
        <v>3604052.5799999996</v>
      </c>
      <c r="F43" s="16">
        <v>3798760.6036809883</v>
      </c>
      <c r="G43" s="16">
        <v>516166.24999999988</v>
      </c>
      <c r="H43" s="16">
        <v>0</v>
      </c>
      <c r="I43" s="13">
        <f t="shared" si="0"/>
        <v>7918979.4336809879</v>
      </c>
    </row>
    <row r="44" spans="1:9" ht="15.75" x14ac:dyDescent="0.25">
      <c r="A44" s="8"/>
      <c r="B44" s="8"/>
      <c r="C44" s="9"/>
      <c r="D44" s="12" t="s">
        <v>40</v>
      </c>
      <c r="E44" s="16">
        <v>9268.24</v>
      </c>
      <c r="F44" s="16">
        <v>292392.99017717992</v>
      </c>
      <c r="G44" s="16">
        <v>1035083.59</v>
      </c>
      <c r="H44" s="16">
        <v>0</v>
      </c>
      <c r="I44" s="13">
        <f t="shared" si="0"/>
        <v>1336744.8201771798</v>
      </c>
    </row>
    <row r="45" spans="1:9" ht="15.75" x14ac:dyDescent="0.25">
      <c r="A45" s="8"/>
      <c r="B45" s="8"/>
      <c r="C45" s="9"/>
      <c r="D45" s="12" t="s">
        <v>41</v>
      </c>
      <c r="E45" s="16">
        <v>4767421.0500000007</v>
      </c>
      <c r="F45" s="16">
        <v>84671.857183019965</v>
      </c>
      <c r="G45" s="16">
        <v>3143274.2300000004</v>
      </c>
      <c r="H45" s="16">
        <v>0</v>
      </c>
      <c r="I45" s="13">
        <f t="shared" si="0"/>
        <v>7995367.1371830208</v>
      </c>
    </row>
    <row r="46" spans="1:9" ht="15.75" x14ac:dyDescent="0.25">
      <c r="A46" s="8"/>
      <c r="B46" s="8"/>
      <c r="C46" s="9"/>
      <c r="D46" s="12" t="s">
        <v>42</v>
      </c>
      <c r="E46" s="16">
        <v>1260233.03</v>
      </c>
      <c r="F46" s="16">
        <v>282127.70162804989</v>
      </c>
      <c r="G46" s="16">
        <v>2795560.92</v>
      </c>
      <c r="H46" s="16">
        <v>0</v>
      </c>
      <c r="I46" s="13">
        <f t="shared" si="0"/>
        <v>4337921.65162805</v>
      </c>
    </row>
    <row r="47" spans="1:9" ht="15.75" x14ac:dyDescent="0.25">
      <c r="A47" s="8"/>
      <c r="B47" s="8"/>
      <c r="C47" s="9"/>
      <c r="D47" s="12" t="s">
        <v>43</v>
      </c>
      <c r="E47" s="16">
        <v>7509768.7100000009</v>
      </c>
      <c r="F47" s="16">
        <v>2016089.2523712893</v>
      </c>
      <c r="G47" s="16">
        <v>635895.24999999988</v>
      </c>
      <c r="H47" s="16">
        <v>0</v>
      </c>
      <c r="I47" s="13">
        <f t="shared" si="0"/>
        <v>10161753.21237129</v>
      </c>
    </row>
    <row r="48" spans="1:9" ht="15.75" x14ac:dyDescent="0.25">
      <c r="A48" s="8"/>
      <c r="B48" s="8"/>
      <c r="C48" s="9"/>
      <c r="D48" s="12" t="s">
        <v>44</v>
      </c>
      <c r="E48" s="16">
        <v>4371816.3900000006</v>
      </c>
      <c r="F48" s="16">
        <v>282127.70162804989</v>
      </c>
      <c r="G48" s="16">
        <v>1610030.2499999998</v>
      </c>
      <c r="H48" s="16">
        <v>0</v>
      </c>
      <c r="I48" s="13">
        <f t="shared" si="0"/>
        <v>6263974.3416280504</v>
      </c>
    </row>
    <row r="49" spans="1:9" ht="15.75" x14ac:dyDescent="0.25">
      <c r="A49" s="8"/>
      <c r="B49" s="8"/>
      <c r="C49" s="9"/>
      <c r="D49" s="12" t="s">
        <v>45</v>
      </c>
      <c r="E49" s="16">
        <v>2023265.5500000003</v>
      </c>
      <c r="F49" s="16">
        <v>336003.69316367985</v>
      </c>
      <c r="G49" s="16">
        <v>3266393.35</v>
      </c>
      <c r="H49" s="16">
        <v>0</v>
      </c>
      <c r="I49" s="13">
        <f t="shared" si="0"/>
        <v>5625662.5931636803</v>
      </c>
    </row>
    <row r="50" spans="1:9" ht="15.75" x14ac:dyDescent="0.25">
      <c r="A50" s="8"/>
      <c r="B50" s="8"/>
      <c r="C50" s="9"/>
      <c r="D50" s="12" t="s">
        <v>46</v>
      </c>
      <c r="E50" s="16">
        <v>7966687.2500000009</v>
      </c>
      <c r="F50" s="16">
        <v>3950123.2897387482</v>
      </c>
      <c r="G50" s="16">
        <v>307960.58</v>
      </c>
      <c r="H50" s="16">
        <v>0</v>
      </c>
      <c r="I50" s="13">
        <f t="shared" si="0"/>
        <v>12224771.119738748</v>
      </c>
    </row>
    <row r="51" spans="1:9" ht="15.75" x14ac:dyDescent="0.25">
      <c r="A51" s="8"/>
      <c r="B51" s="8"/>
      <c r="C51" s="9"/>
      <c r="D51" s="12" t="s">
        <v>47</v>
      </c>
      <c r="E51" s="16">
        <v>12165898.549999997</v>
      </c>
      <c r="F51" s="16">
        <v>5904620.810815257</v>
      </c>
      <c r="G51" s="16">
        <v>937968.99</v>
      </c>
      <c r="H51" s="16">
        <v>0</v>
      </c>
      <c r="I51" s="13">
        <f t="shared" si="0"/>
        <v>19008488.350815251</v>
      </c>
    </row>
    <row r="52" spans="1:9" ht="15.75" x14ac:dyDescent="0.25">
      <c r="A52" s="8"/>
      <c r="B52" s="8"/>
      <c r="C52" s="9"/>
      <c r="D52" s="12" t="s">
        <v>48</v>
      </c>
      <c r="E52" s="16">
        <v>7543778.2999999998</v>
      </c>
      <c r="F52" s="16">
        <v>5950781.0625917381</v>
      </c>
      <c r="G52" s="16">
        <v>180037.21</v>
      </c>
      <c r="H52" s="16">
        <v>0</v>
      </c>
      <c r="I52" s="13">
        <f t="shared" si="0"/>
        <v>13674596.572591739</v>
      </c>
    </row>
    <row r="53" spans="1:9" ht="15.75" x14ac:dyDescent="0.25">
      <c r="A53" s="8"/>
      <c r="B53" s="8"/>
      <c r="C53" s="9"/>
      <c r="D53" s="12" t="s">
        <v>49</v>
      </c>
      <c r="E53" s="16">
        <v>15095141.060000002</v>
      </c>
      <c r="F53" s="16">
        <v>4078338.7565190578</v>
      </c>
      <c r="G53" s="16">
        <v>772047.61</v>
      </c>
      <c r="H53" s="16">
        <v>0</v>
      </c>
      <c r="I53" s="13">
        <f t="shared" si="0"/>
        <v>19945527.426519059</v>
      </c>
    </row>
    <row r="54" spans="1:9" ht="15.75" x14ac:dyDescent="0.25">
      <c r="A54" s="8"/>
      <c r="B54" s="8"/>
      <c r="C54" s="9"/>
      <c r="D54" s="12" t="s">
        <v>50</v>
      </c>
      <c r="E54" s="16">
        <v>9989847.8300000001</v>
      </c>
      <c r="F54" s="16">
        <v>3744884.6121453587</v>
      </c>
      <c r="G54" s="16">
        <v>518161.99</v>
      </c>
      <c r="H54" s="16">
        <v>0</v>
      </c>
      <c r="I54" s="13">
        <f t="shared" si="0"/>
        <v>14252894.432145359</v>
      </c>
    </row>
    <row r="55" spans="1:9" ht="15.75" x14ac:dyDescent="0.25">
      <c r="A55" s="8"/>
      <c r="B55" s="8"/>
      <c r="C55" s="9"/>
      <c r="D55" s="12" t="s">
        <v>51</v>
      </c>
      <c r="E55" s="16">
        <v>4288708.9399999995</v>
      </c>
      <c r="F55" s="16">
        <v>7874549.8114100676</v>
      </c>
      <c r="G55" s="16">
        <v>22733.370000000003</v>
      </c>
      <c r="H55" s="16">
        <v>0</v>
      </c>
      <c r="I55" s="13">
        <f t="shared" si="0"/>
        <v>12185992.121410066</v>
      </c>
    </row>
    <row r="56" spans="1:9" ht="15.75" x14ac:dyDescent="0.25">
      <c r="A56" s="8"/>
      <c r="B56" s="8"/>
      <c r="C56" s="9"/>
      <c r="D56" s="12" t="s">
        <v>52</v>
      </c>
      <c r="E56" s="16">
        <v>10054745.92</v>
      </c>
      <c r="F56" s="16">
        <v>9541820.5332785659</v>
      </c>
      <c r="G56" s="16">
        <v>271772.46999999997</v>
      </c>
      <c r="H56" s="16">
        <v>0</v>
      </c>
      <c r="I56" s="13">
        <f t="shared" si="0"/>
        <v>19868338.923278563</v>
      </c>
    </row>
    <row r="57" spans="1:9" ht="15.75" x14ac:dyDescent="0.25">
      <c r="A57" s="8"/>
      <c r="B57" s="8"/>
      <c r="C57" s="9"/>
      <c r="D57" s="12" t="s">
        <v>53</v>
      </c>
      <c r="E57" s="16">
        <v>2238031.1500000004</v>
      </c>
      <c r="F57" s="16">
        <v>2821478.2964481292</v>
      </c>
      <c r="G57" s="16">
        <v>248808.84999999995</v>
      </c>
      <c r="H57" s="16">
        <v>0</v>
      </c>
      <c r="I57" s="13">
        <f t="shared" si="0"/>
        <v>5308318.2964481292</v>
      </c>
    </row>
    <row r="58" spans="1:9" ht="15.75" x14ac:dyDescent="0.25">
      <c r="A58" s="8"/>
      <c r="B58" s="8"/>
      <c r="C58" s="9"/>
      <c r="D58" s="12" t="s">
        <v>54</v>
      </c>
      <c r="E58" s="16">
        <v>3919793.1900000004</v>
      </c>
      <c r="F58" s="16">
        <v>3036982.2625906491</v>
      </c>
      <c r="G58" s="16">
        <v>37514.51</v>
      </c>
      <c r="H58" s="16">
        <v>0</v>
      </c>
      <c r="I58" s="13">
        <f t="shared" si="0"/>
        <v>6994289.9625906497</v>
      </c>
    </row>
    <row r="59" spans="1:9" ht="15.75" x14ac:dyDescent="0.25">
      <c r="A59" s="8"/>
      <c r="B59" s="8"/>
      <c r="C59" s="9"/>
      <c r="D59" s="12" t="s">
        <v>55</v>
      </c>
      <c r="E59" s="16">
        <v>7288618.2199999988</v>
      </c>
      <c r="F59" s="16">
        <v>5129960.5389965978</v>
      </c>
      <c r="G59" s="16">
        <v>717723.94</v>
      </c>
      <c r="H59" s="16">
        <v>0</v>
      </c>
      <c r="I59" s="13">
        <f t="shared" si="0"/>
        <v>13136302.698996596</v>
      </c>
    </row>
    <row r="60" spans="1:9" ht="15.75" x14ac:dyDescent="0.25">
      <c r="A60" s="8"/>
      <c r="B60" s="8"/>
      <c r="C60" s="9"/>
      <c r="D60" s="12" t="s">
        <v>56</v>
      </c>
      <c r="E60" s="16">
        <v>4752132.24</v>
      </c>
      <c r="F60" s="16">
        <v>3103673.0914653889</v>
      </c>
      <c r="G60" s="16">
        <v>202805.92000000004</v>
      </c>
      <c r="H60" s="16">
        <v>0</v>
      </c>
      <c r="I60" s="13">
        <f t="shared" si="0"/>
        <v>8058611.2514653895</v>
      </c>
    </row>
    <row r="61" spans="1:9" ht="15.75" x14ac:dyDescent="0.25">
      <c r="A61" s="8"/>
      <c r="B61" s="8"/>
      <c r="C61" s="9"/>
      <c r="D61" s="12" t="s">
        <v>57</v>
      </c>
      <c r="E61" s="16">
        <v>14774535.250000002</v>
      </c>
      <c r="F61" s="16">
        <v>5206916.6564204684</v>
      </c>
      <c r="G61" s="16">
        <v>587716.44000000006</v>
      </c>
      <c r="H61" s="16">
        <v>0</v>
      </c>
      <c r="I61" s="13">
        <f t="shared" si="0"/>
        <v>20569168.346420471</v>
      </c>
    </row>
    <row r="62" spans="1:9" ht="15.75" x14ac:dyDescent="0.25">
      <c r="A62" s="8"/>
      <c r="B62" s="8"/>
      <c r="C62" s="9"/>
      <c r="D62" s="12" t="s">
        <v>58</v>
      </c>
      <c r="E62" s="16">
        <v>13555657.979999997</v>
      </c>
      <c r="F62" s="16">
        <v>5809750.7584723188</v>
      </c>
      <c r="G62" s="16">
        <v>19954306.25</v>
      </c>
      <c r="H62" s="16">
        <v>0</v>
      </c>
      <c r="I62" s="13">
        <f t="shared" si="0"/>
        <v>39319714.988472313</v>
      </c>
    </row>
    <row r="63" spans="1:9" ht="15.75" x14ac:dyDescent="0.25">
      <c r="A63" s="8"/>
      <c r="B63" s="8"/>
      <c r="C63" s="9"/>
      <c r="D63" s="12" t="s">
        <v>59</v>
      </c>
      <c r="E63" s="16">
        <v>3484756.41</v>
      </c>
      <c r="F63" s="16">
        <v>641278.61406917975</v>
      </c>
      <c r="G63" s="16">
        <v>1383424.59</v>
      </c>
      <c r="H63" s="16">
        <v>0</v>
      </c>
      <c r="I63" s="13">
        <f t="shared" si="0"/>
        <v>5509459.6140691796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6475092.9200000009</v>
      </c>
      <c r="H64" s="16">
        <v>0</v>
      </c>
      <c r="I64" s="13">
        <f t="shared" si="0"/>
        <v>6475092.9200000009</v>
      </c>
    </row>
    <row r="65" spans="1:9" ht="15.75" x14ac:dyDescent="0.25">
      <c r="A65" s="8"/>
      <c r="B65" s="8"/>
      <c r="C65" s="9"/>
      <c r="D65" s="12" t="s">
        <v>61</v>
      </c>
      <c r="E65" s="16">
        <v>12147881.400000002</v>
      </c>
      <c r="F65" s="16">
        <v>7592422.1097820178</v>
      </c>
      <c r="G65" s="16">
        <v>466898.29999999993</v>
      </c>
      <c r="H65" s="16">
        <v>0</v>
      </c>
      <c r="I65" s="13">
        <f t="shared" si="0"/>
        <v>20207201.809782021</v>
      </c>
    </row>
    <row r="66" spans="1:9" ht="15.75" x14ac:dyDescent="0.25">
      <c r="A66" s="8"/>
      <c r="B66" s="8"/>
      <c r="C66" s="9"/>
      <c r="D66" s="12" t="s">
        <v>62</v>
      </c>
      <c r="E66" s="16">
        <v>49968955.039999999</v>
      </c>
      <c r="F66" s="16">
        <v>15095006.171411842</v>
      </c>
      <c r="G66" s="16">
        <v>1153477.52</v>
      </c>
      <c r="H66" s="16">
        <v>0</v>
      </c>
      <c r="I66" s="13">
        <f t="shared" si="0"/>
        <v>66217438.731411844</v>
      </c>
    </row>
    <row r="67" spans="1:9" ht="15.75" x14ac:dyDescent="0.25">
      <c r="A67" s="8"/>
      <c r="B67" s="8"/>
      <c r="C67" s="9"/>
      <c r="D67" s="12" t="s">
        <v>63</v>
      </c>
      <c r="E67" s="16">
        <v>9754726.9599999972</v>
      </c>
      <c r="F67" s="16">
        <v>6976773.1703910576</v>
      </c>
      <c r="G67" s="16">
        <v>433328.99</v>
      </c>
      <c r="H67" s="16">
        <v>0</v>
      </c>
      <c r="I67" s="13">
        <f t="shared" si="0"/>
        <v>17164829.120391052</v>
      </c>
    </row>
    <row r="68" spans="1:9" ht="15.75" x14ac:dyDescent="0.25">
      <c r="A68" s="8"/>
      <c r="B68" s="8"/>
      <c r="C68" s="9"/>
      <c r="D68" s="12" t="s">
        <v>64</v>
      </c>
      <c r="E68" s="16">
        <v>11664343.520000001</v>
      </c>
      <c r="F68" s="16">
        <v>2949760.8566176491</v>
      </c>
      <c r="G68" s="16">
        <v>254967.71000000002</v>
      </c>
      <c r="H68" s="16">
        <v>0</v>
      </c>
      <c r="I68" s="13">
        <f t="shared" si="0"/>
        <v>14869072.086617652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1607862.8199999998</v>
      </c>
      <c r="H69" s="16">
        <v>0</v>
      </c>
      <c r="I69" s="13">
        <f t="shared" si="0"/>
        <v>1607862.8199999998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3268826.9699999997</v>
      </c>
      <c r="H70" s="16">
        <v>0</v>
      </c>
      <c r="I70" s="13">
        <f t="shared" si="0"/>
        <v>3268826.9699999997</v>
      </c>
    </row>
    <row r="71" spans="1:9" ht="15.75" x14ac:dyDescent="0.25">
      <c r="A71" s="8"/>
      <c r="B71" s="8"/>
      <c r="C71" s="9"/>
      <c r="D71" s="12" t="s">
        <v>67</v>
      </c>
      <c r="E71" s="16">
        <v>214.23</v>
      </c>
      <c r="F71" s="16">
        <v>76956.11742386996</v>
      </c>
      <c r="G71" s="16">
        <v>1984429.73</v>
      </c>
      <c r="H71" s="16">
        <v>0</v>
      </c>
      <c r="I71" s="13">
        <f t="shared" si="0"/>
        <v>2061600.0774238699</v>
      </c>
    </row>
    <row r="72" spans="1:9" ht="15.75" x14ac:dyDescent="0.25">
      <c r="A72" s="8"/>
      <c r="B72" s="8"/>
      <c r="C72" s="9"/>
      <c r="D72" s="12" t="s">
        <v>68</v>
      </c>
      <c r="E72" s="16">
        <v>17451435.169999994</v>
      </c>
      <c r="F72" s="16">
        <v>4791407.2970429379</v>
      </c>
      <c r="G72" s="16">
        <v>3643959.69</v>
      </c>
      <c r="H72" s="16">
        <v>0</v>
      </c>
      <c r="I72" s="13">
        <f t="shared" si="0"/>
        <v>25886802.157042932</v>
      </c>
    </row>
    <row r="73" spans="1:9" ht="15.75" x14ac:dyDescent="0.25">
      <c r="A73" s="8"/>
      <c r="B73" s="8"/>
      <c r="C73" s="9"/>
      <c r="D73" s="12" t="s">
        <v>69</v>
      </c>
      <c r="E73" s="16">
        <v>155233.60000000001</v>
      </c>
      <c r="F73" s="16">
        <v>0</v>
      </c>
      <c r="G73" s="16">
        <v>2038799.5399999998</v>
      </c>
      <c r="H73" s="16">
        <v>0</v>
      </c>
      <c r="I73" s="13">
        <f t="shared" si="0"/>
        <v>2194033.1399999997</v>
      </c>
    </row>
    <row r="74" spans="1:9" ht="15.75" x14ac:dyDescent="0.25">
      <c r="A74" s="8"/>
      <c r="B74" s="8"/>
      <c r="C74" s="9"/>
      <c r="D74" s="12" t="s">
        <v>70</v>
      </c>
      <c r="E74" s="16">
        <v>2057248.09</v>
      </c>
      <c r="F74" s="16">
        <v>405244.07082839985</v>
      </c>
      <c r="G74" s="16">
        <v>10167425.460000001</v>
      </c>
      <c r="H74" s="16">
        <v>0</v>
      </c>
      <c r="I74" s="13">
        <f t="shared" ref="I74:I137" si="1">SUM(E74:H74)</f>
        <v>12629917.620828401</v>
      </c>
    </row>
    <row r="75" spans="1:9" ht="15.75" x14ac:dyDescent="0.25">
      <c r="A75" s="8"/>
      <c r="B75" s="8"/>
      <c r="C75" s="9"/>
      <c r="D75" s="12" t="s">
        <v>71</v>
      </c>
      <c r="E75" s="16">
        <v>5159117.8500000006</v>
      </c>
      <c r="F75" s="16">
        <v>1574883.1249263294</v>
      </c>
      <c r="G75" s="16">
        <v>19864341.509999998</v>
      </c>
      <c r="H75" s="16">
        <v>0</v>
      </c>
      <c r="I75" s="13">
        <f t="shared" si="1"/>
        <v>26598342.484926328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5513496.5300000003</v>
      </c>
      <c r="H76" s="16">
        <v>0</v>
      </c>
      <c r="I76" s="13">
        <f t="shared" si="1"/>
        <v>5513496.5300000003</v>
      </c>
    </row>
    <row r="77" spans="1:9" ht="15.75" x14ac:dyDescent="0.25">
      <c r="A77" s="8"/>
      <c r="B77" s="8"/>
      <c r="C77" s="9"/>
      <c r="D77" s="12" t="s">
        <v>73</v>
      </c>
      <c r="E77" s="16">
        <v>6134694.3999999994</v>
      </c>
      <c r="F77" s="16">
        <v>7810408.5313253067</v>
      </c>
      <c r="G77" s="16">
        <v>377598.79000000004</v>
      </c>
      <c r="H77" s="16">
        <v>0</v>
      </c>
      <c r="I77" s="13">
        <f t="shared" si="1"/>
        <v>14322701.721325304</v>
      </c>
    </row>
    <row r="78" spans="1:9" ht="15.75" x14ac:dyDescent="0.25">
      <c r="A78" s="8"/>
      <c r="B78" s="8"/>
      <c r="C78" s="9"/>
      <c r="D78" s="12" t="s">
        <v>74</v>
      </c>
      <c r="E78" s="16">
        <v>12972592.93</v>
      </c>
      <c r="F78" s="16">
        <v>7925809.1607665084</v>
      </c>
      <c r="G78" s="16">
        <v>557699.01</v>
      </c>
      <c r="H78" s="16">
        <v>0</v>
      </c>
      <c r="I78" s="13">
        <f t="shared" si="1"/>
        <v>21456101.10076651</v>
      </c>
    </row>
    <row r="79" spans="1:9" ht="15.75" x14ac:dyDescent="0.25">
      <c r="A79" s="8"/>
      <c r="B79" s="8"/>
      <c r="C79" s="9"/>
      <c r="D79" s="12" t="s">
        <v>75</v>
      </c>
      <c r="E79" s="16">
        <v>13304651.239999998</v>
      </c>
      <c r="F79" s="16">
        <v>4450237.4129100889</v>
      </c>
      <c r="G79" s="16">
        <v>454300.79</v>
      </c>
      <c r="H79" s="16">
        <v>0</v>
      </c>
      <c r="I79" s="13">
        <f t="shared" si="1"/>
        <v>18209189.442910086</v>
      </c>
    </row>
    <row r="80" spans="1:9" ht="15.75" x14ac:dyDescent="0.25">
      <c r="A80" s="8"/>
      <c r="B80" s="8"/>
      <c r="C80" s="9"/>
      <c r="D80" s="12" t="s">
        <v>76</v>
      </c>
      <c r="E80" s="16">
        <v>4545725.5999999996</v>
      </c>
      <c r="F80" s="16">
        <v>2352092.9455349692</v>
      </c>
      <c r="G80" s="16">
        <v>74025.259999999995</v>
      </c>
      <c r="H80" s="16">
        <v>0</v>
      </c>
      <c r="I80" s="13">
        <f t="shared" si="1"/>
        <v>6971843.8055349682</v>
      </c>
    </row>
    <row r="81" spans="1:9" ht="15.75" x14ac:dyDescent="0.25">
      <c r="A81" s="8"/>
      <c r="B81" s="8"/>
      <c r="C81" s="9"/>
      <c r="D81" s="12" t="s">
        <v>77</v>
      </c>
      <c r="E81" s="16">
        <v>31280921.810000002</v>
      </c>
      <c r="F81" s="16">
        <v>14192130.432812873</v>
      </c>
      <c r="G81" s="16">
        <v>1341510.1200000001</v>
      </c>
      <c r="H81" s="16">
        <v>0</v>
      </c>
      <c r="I81" s="13">
        <f t="shared" si="1"/>
        <v>46814562.362812869</v>
      </c>
    </row>
    <row r="82" spans="1:9" ht="15.75" x14ac:dyDescent="0.25">
      <c r="A82" s="8"/>
      <c r="B82" s="8"/>
      <c r="C82" s="9"/>
      <c r="D82" s="12" t="s">
        <v>78</v>
      </c>
      <c r="E82" s="16">
        <v>41902365.649999991</v>
      </c>
      <c r="F82" s="16">
        <v>9836763.0722457245</v>
      </c>
      <c r="G82" s="16">
        <v>550295.89</v>
      </c>
      <c r="H82" s="16">
        <v>0</v>
      </c>
      <c r="I82" s="13">
        <f t="shared" si="1"/>
        <v>52289424.612245716</v>
      </c>
    </row>
    <row r="83" spans="1:9" ht="15.75" x14ac:dyDescent="0.25">
      <c r="A83" s="8"/>
      <c r="B83" s="8"/>
      <c r="C83" s="9"/>
      <c r="D83" s="12" t="s">
        <v>79</v>
      </c>
      <c r="E83" s="16">
        <v>8642953.5699999984</v>
      </c>
      <c r="F83" s="16">
        <v>4039894.2445017286</v>
      </c>
      <c r="G83" s="16">
        <v>899096.58000000007</v>
      </c>
      <c r="H83" s="16">
        <v>0</v>
      </c>
      <c r="I83" s="13">
        <f t="shared" si="1"/>
        <v>13581944.394501727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8679333.6999999993</v>
      </c>
      <c r="H84" s="16">
        <v>0</v>
      </c>
      <c r="I84" s="13">
        <f t="shared" si="1"/>
        <v>8679333.6999999993</v>
      </c>
    </row>
    <row r="85" spans="1:9" ht="15.75" x14ac:dyDescent="0.25">
      <c r="A85" s="8"/>
      <c r="B85" s="8"/>
      <c r="C85" s="9"/>
      <c r="D85" s="12" t="s">
        <v>81</v>
      </c>
      <c r="E85" s="16">
        <v>9810929.870000001</v>
      </c>
      <c r="F85" s="16">
        <v>1256860.4600709295</v>
      </c>
      <c r="G85" s="16">
        <v>3285559.39</v>
      </c>
      <c r="H85" s="16">
        <v>0</v>
      </c>
      <c r="I85" s="13">
        <f t="shared" si="1"/>
        <v>14353349.720070932</v>
      </c>
    </row>
    <row r="86" spans="1:9" ht="15.75" x14ac:dyDescent="0.25">
      <c r="A86" s="8"/>
      <c r="B86" s="8"/>
      <c r="C86" s="9"/>
      <c r="D86" s="12" t="s">
        <v>82</v>
      </c>
      <c r="E86" s="16">
        <v>6081158.7799999993</v>
      </c>
      <c r="F86" s="16">
        <v>5219798.5871487875</v>
      </c>
      <c r="G86" s="16">
        <v>379659.85000000009</v>
      </c>
      <c r="H86" s="16">
        <v>0</v>
      </c>
      <c r="I86" s="13">
        <f t="shared" si="1"/>
        <v>11680617.217148786</v>
      </c>
    </row>
    <row r="87" spans="1:9" ht="15.75" x14ac:dyDescent="0.25">
      <c r="A87" s="8"/>
      <c r="B87" s="8"/>
      <c r="C87" s="9"/>
      <c r="D87" s="12" t="s">
        <v>83</v>
      </c>
      <c r="E87" s="16">
        <v>4191340.1899999995</v>
      </c>
      <c r="F87" s="16">
        <v>6874187.3782889666</v>
      </c>
      <c r="G87" s="16">
        <v>225267.04</v>
      </c>
      <c r="H87" s="16">
        <v>0</v>
      </c>
      <c r="I87" s="13">
        <f t="shared" si="1"/>
        <v>11290794.608288966</v>
      </c>
    </row>
    <row r="88" spans="1:9" ht="15.75" x14ac:dyDescent="0.25">
      <c r="A88" s="8"/>
      <c r="B88" s="8"/>
      <c r="C88" s="9"/>
      <c r="D88" s="12" t="s">
        <v>84</v>
      </c>
      <c r="E88" s="16">
        <v>2361149.6199999996</v>
      </c>
      <c r="F88" s="16">
        <v>0</v>
      </c>
      <c r="G88" s="16">
        <v>2537655.29</v>
      </c>
      <c r="H88" s="16">
        <v>0</v>
      </c>
      <c r="I88" s="13">
        <f t="shared" si="1"/>
        <v>4898804.91</v>
      </c>
    </row>
    <row r="89" spans="1:9" ht="15.75" x14ac:dyDescent="0.25">
      <c r="A89" s="8"/>
      <c r="B89" s="8"/>
      <c r="C89" s="9"/>
      <c r="D89" s="12" t="s">
        <v>85</v>
      </c>
      <c r="E89" s="16">
        <v>6364402.5700000003</v>
      </c>
      <c r="F89" s="16">
        <v>6740805.720539487</v>
      </c>
      <c r="G89" s="16">
        <v>386288.82999999996</v>
      </c>
      <c r="H89" s="16">
        <v>0</v>
      </c>
      <c r="I89" s="13">
        <f t="shared" si="1"/>
        <v>13491497.120539488</v>
      </c>
    </row>
    <row r="90" spans="1:9" ht="15.75" x14ac:dyDescent="0.25">
      <c r="A90" s="8"/>
      <c r="B90" s="8"/>
      <c r="C90" s="9"/>
      <c r="D90" s="12" t="s">
        <v>86</v>
      </c>
      <c r="E90" s="16">
        <v>1937584.4699999997</v>
      </c>
      <c r="F90" s="16">
        <v>1744226.8392923691</v>
      </c>
      <c r="G90" s="16">
        <v>447817.43999999994</v>
      </c>
      <c r="H90" s="16">
        <v>0</v>
      </c>
      <c r="I90" s="13">
        <f t="shared" si="1"/>
        <v>4129628.7492923685</v>
      </c>
    </row>
    <row r="91" spans="1:9" ht="15.75" x14ac:dyDescent="0.25">
      <c r="A91" s="8"/>
      <c r="B91" s="8"/>
      <c r="C91" s="9"/>
      <c r="D91" s="12" t="s">
        <v>87</v>
      </c>
      <c r="E91" s="16">
        <v>7614285.8299999991</v>
      </c>
      <c r="F91" s="16">
        <v>3978302.5132069481</v>
      </c>
      <c r="G91" s="16">
        <v>1185342.68</v>
      </c>
      <c r="H91" s="16">
        <v>0</v>
      </c>
      <c r="I91" s="13">
        <f t="shared" si="1"/>
        <v>12777931.023206947</v>
      </c>
    </row>
    <row r="92" spans="1:9" ht="15.75" x14ac:dyDescent="0.25">
      <c r="A92" s="8"/>
      <c r="B92" s="8"/>
      <c r="C92" s="9"/>
      <c r="D92" s="12" t="s">
        <v>88</v>
      </c>
      <c r="E92" s="16">
        <v>1339297.3799999999</v>
      </c>
      <c r="F92" s="16">
        <v>548891.01712700981</v>
      </c>
      <c r="G92" s="16">
        <v>3212530.4000000004</v>
      </c>
      <c r="H92" s="16">
        <v>0</v>
      </c>
      <c r="I92" s="13">
        <f t="shared" si="1"/>
        <v>5100718.7971270103</v>
      </c>
    </row>
    <row r="93" spans="1:9" ht="15.75" x14ac:dyDescent="0.25">
      <c r="A93" s="8"/>
      <c r="B93" s="8"/>
      <c r="C93" s="9"/>
      <c r="D93" s="12" t="s">
        <v>89</v>
      </c>
      <c r="E93" s="16">
        <v>13348788.689999998</v>
      </c>
      <c r="F93" s="16">
        <v>4591334.8104187185</v>
      </c>
      <c r="G93" s="16">
        <v>580000.22999999986</v>
      </c>
      <c r="H93" s="16">
        <v>0</v>
      </c>
      <c r="I93" s="13">
        <f t="shared" si="1"/>
        <v>18520123.730418716</v>
      </c>
    </row>
    <row r="94" spans="1:9" ht="15.75" x14ac:dyDescent="0.25">
      <c r="A94" s="8"/>
      <c r="B94" s="8"/>
      <c r="C94" s="9"/>
      <c r="D94" s="12" t="s">
        <v>90</v>
      </c>
      <c r="E94" s="16">
        <v>79279.5</v>
      </c>
      <c r="F94" s="16">
        <v>0</v>
      </c>
      <c r="G94" s="16">
        <v>95970.059999999983</v>
      </c>
      <c r="H94" s="16">
        <v>0</v>
      </c>
      <c r="I94" s="13">
        <f t="shared" si="1"/>
        <v>175249.56</v>
      </c>
    </row>
    <row r="95" spans="1:9" ht="15.75" x14ac:dyDescent="0.25">
      <c r="A95" s="8"/>
      <c r="B95" s="8"/>
      <c r="C95" s="9"/>
      <c r="D95" s="12" t="s">
        <v>91</v>
      </c>
      <c r="E95" s="16">
        <v>1285451.6299999999</v>
      </c>
      <c r="F95" s="16">
        <v>141097.39750862995</v>
      </c>
      <c r="G95" s="16">
        <v>3561483.8099999996</v>
      </c>
      <c r="H95" s="16">
        <v>0</v>
      </c>
      <c r="I95" s="13">
        <f t="shared" si="1"/>
        <v>4988032.83750863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6724080.7700000005</v>
      </c>
      <c r="H96" s="16">
        <v>0</v>
      </c>
      <c r="I96" s="13">
        <f t="shared" si="1"/>
        <v>6724080.7700000005</v>
      </c>
    </row>
    <row r="97" spans="1:9" ht="15.75" x14ac:dyDescent="0.25">
      <c r="A97" s="8"/>
      <c r="B97" s="8"/>
      <c r="C97" s="9"/>
      <c r="D97" s="12" t="s">
        <v>93</v>
      </c>
      <c r="E97" s="16">
        <v>4459724.58</v>
      </c>
      <c r="F97" s="16">
        <v>6335561.6497110873</v>
      </c>
      <c r="G97" s="16">
        <v>363935.42000000004</v>
      </c>
      <c r="H97" s="16">
        <v>0</v>
      </c>
      <c r="I97" s="13">
        <f t="shared" si="1"/>
        <v>11159221.649711087</v>
      </c>
    </row>
    <row r="98" spans="1:9" ht="15.75" x14ac:dyDescent="0.25">
      <c r="A98" s="8"/>
      <c r="B98" s="8"/>
      <c r="C98" s="9"/>
      <c r="D98" s="12" t="s">
        <v>94</v>
      </c>
      <c r="E98" s="16">
        <v>16879687.890000001</v>
      </c>
      <c r="F98" s="16">
        <v>8333669.8737740973</v>
      </c>
      <c r="G98" s="16">
        <v>2613188.8499999996</v>
      </c>
      <c r="H98" s="16">
        <v>0</v>
      </c>
      <c r="I98" s="13">
        <f t="shared" si="1"/>
        <v>27826546.613774098</v>
      </c>
    </row>
    <row r="99" spans="1:9" ht="15.75" x14ac:dyDescent="0.25">
      <c r="A99" s="8"/>
      <c r="B99" s="8"/>
      <c r="C99" s="9"/>
      <c r="D99" s="12" t="s">
        <v>95</v>
      </c>
      <c r="E99" s="16">
        <v>23328875.299999997</v>
      </c>
      <c r="F99" s="16">
        <v>15879864.638390426</v>
      </c>
      <c r="G99" s="16">
        <v>1407842.7900000003</v>
      </c>
      <c r="H99" s="16">
        <v>0</v>
      </c>
      <c r="I99" s="13">
        <f t="shared" si="1"/>
        <v>40616582.728390418</v>
      </c>
    </row>
    <row r="100" spans="1:9" ht="15.75" x14ac:dyDescent="0.25">
      <c r="A100" s="8"/>
      <c r="B100" s="8"/>
      <c r="C100" s="9"/>
      <c r="D100" s="12" t="s">
        <v>96</v>
      </c>
      <c r="E100" s="16">
        <v>24396001.52</v>
      </c>
      <c r="F100" s="16">
        <v>16323620.314625366</v>
      </c>
      <c r="G100" s="16">
        <v>3267525.2100000004</v>
      </c>
      <c r="H100" s="16">
        <v>0</v>
      </c>
      <c r="I100" s="13">
        <f t="shared" si="1"/>
        <v>43987147.044625364</v>
      </c>
    </row>
    <row r="101" spans="1:9" ht="15.75" x14ac:dyDescent="0.25">
      <c r="A101" s="8"/>
      <c r="B101" s="8"/>
      <c r="C101" s="9"/>
      <c r="D101" s="12" t="s">
        <v>97</v>
      </c>
      <c r="E101" s="16">
        <v>375681.79000000004</v>
      </c>
      <c r="F101" s="16">
        <v>21320132.102483273</v>
      </c>
      <c r="G101" s="16">
        <v>101210.98000000001</v>
      </c>
      <c r="H101" s="16">
        <v>0</v>
      </c>
      <c r="I101" s="13">
        <f t="shared" si="1"/>
        <v>21797024.872483272</v>
      </c>
    </row>
    <row r="102" spans="1:9" ht="15.75" x14ac:dyDescent="0.25">
      <c r="A102" s="8"/>
      <c r="B102" s="8"/>
      <c r="C102" s="9"/>
      <c r="D102" s="12" t="s">
        <v>98</v>
      </c>
      <c r="E102" s="16">
        <v>26033587.099999998</v>
      </c>
      <c r="F102" s="16">
        <v>9226280.3238239363</v>
      </c>
      <c r="G102" s="16">
        <v>1221462.3999999999</v>
      </c>
      <c r="H102" s="16">
        <v>0</v>
      </c>
      <c r="I102" s="13">
        <f t="shared" si="1"/>
        <v>36481329.823823936</v>
      </c>
    </row>
    <row r="103" spans="1:9" ht="15.75" x14ac:dyDescent="0.25">
      <c r="A103" s="8"/>
      <c r="B103" s="8"/>
      <c r="C103" s="9"/>
      <c r="D103" s="12" t="s">
        <v>99</v>
      </c>
      <c r="E103" s="16">
        <v>8265445.3600000003</v>
      </c>
      <c r="F103" s="16">
        <v>2911249.2512111091</v>
      </c>
      <c r="G103" s="16">
        <v>203243.14999999997</v>
      </c>
      <c r="H103" s="16">
        <v>0</v>
      </c>
      <c r="I103" s="13">
        <f t="shared" si="1"/>
        <v>11379937.76121111</v>
      </c>
    </row>
    <row r="104" spans="1:9" ht="15.75" x14ac:dyDescent="0.25">
      <c r="A104" s="8"/>
      <c r="B104" s="8"/>
      <c r="C104" s="9"/>
      <c r="D104" s="12" t="s">
        <v>100</v>
      </c>
      <c r="E104" s="16">
        <v>43173783.359999992</v>
      </c>
      <c r="F104" s="16">
        <v>5319834.8304608986</v>
      </c>
      <c r="G104" s="16">
        <v>3172266.07</v>
      </c>
      <c r="H104" s="16">
        <v>0</v>
      </c>
      <c r="I104" s="13">
        <f t="shared" si="1"/>
        <v>51665884.260460891</v>
      </c>
    </row>
    <row r="105" spans="1:9" ht="15.75" x14ac:dyDescent="0.25">
      <c r="A105" s="8"/>
      <c r="B105" s="8"/>
      <c r="C105" s="9"/>
      <c r="D105" s="12" t="s">
        <v>101</v>
      </c>
      <c r="E105" s="16">
        <v>6374216</v>
      </c>
      <c r="F105" s="16">
        <v>7900179.4860882862</v>
      </c>
      <c r="G105" s="16">
        <v>34931.320000000007</v>
      </c>
      <c r="H105" s="16">
        <v>0</v>
      </c>
      <c r="I105" s="13">
        <f t="shared" si="1"/>
        <v>14309326.806088287</v>
      </c>
    </row>
    <row r="106" spans="1:9" ht="15.75" x14ac:dyDescent="0.25">
      <c r="A106" s="8"/>
      <c r="B106" s="8"/>
      <c r="C106" s="9"/>
      <c r="D106" s="12" t="s">
        <v>102</v>
      </c>
      <c r="E106" s="16">
        <v>6738376.4700000007</v>
      </c>
      <c r="F106" s="16">
        <v>487366.37922143983</v>
      </c>
      <c r="G106" s="16">
        <v>4885142.7700000005</v>
      </c>
      <c r="H106" s="16">
        <v>0</v>
      </c>
      <c r="I106" s="13">
        <f t="shared" si="1"/>
        <v>12110885.619221441</v>
      </c>
    </row>
    <row r="107" spans="1:9" ht="15.75" x14ac:dyDescent="0.25">
      <c r="A107" s="8"/>
      <c r="B107" s="8"/>
      <c r="C107" s="9"/>
      <c r="D107" s="12" t="s">
        <v>103</v>
      </c>
      <c r="E107" s="16">
        <v>11264.75</v>
      </c>
      <c r="F107" s="16">
        <v>0</v>
      </c>
      <c r="G107" s="16">
        <v>1408120.5700000003</v>
      </c>
      <c r="H107" s="16">
        <v>0</v>
      </c>
      <c r="I107" s="13">
        <f t="shared" si="1"/>
        <v>1419385.3200000003</v>
      </c>
    </row>
    <row r="108" spans="1:9" ht="15.75" x14ac:dyDescent="0.25">
      <c r="A108" s="8"/>
      <c r="B108" s="8"/>
      <c r="C108" s="9"/>
      <c r="D108" s="12" t="s">
        <v>104</v>
      </c>
      <c r="E108" s="16">
        <v>388575.63</v>
      </c>
      <c r="F108" s="16">
        <v>0</v>
      </c>
      <c r="G108" s="16">
        <v>1250754.6599999997</v>
      </c>
      <c r="H108" s="16">
        <v>0</v>
      </c>
      <c r="I108" s="13">
        <f t="shared" si="1"/>
        <v>1639330.2899999996</v>
      </c>
    </row>
    <row r="109" spans="1:9" ht="15.75" x14ac:dyDescent="0.25">
      <c r="A109" s="8"/>
      <c r="B109" s="8"/>
      <c r="C109" s="9"/>
      <c r="D109" s="12" t="s">
        <v>105</v>
      </c>
      <c r="E109" s="16">
        <v>2639932.9899999993</v>
      </c>
      <c r="F109" s="16">
        <v>13076367.370250575</v>
      </c>
      <c r="G109" s="16">
        <v>354186.82</v>
      </c>
      <c r="H109" s="16">
        <v>0</v>
      </c>
      <c r="I109" s="13">
        <f t="shared" si="1"/>
        <v>16070487.180250574</v>
      </c>
    </row>
    <row r="110" spans="1:9" ht="15.75" x14ac:dyDescent="0.25">
      <c r="A110" s="8"/>
      <c r="B110" s="8"/>
      <c r="C110" s="9"/>
      <c r="D110" s="12" t="s">
        <v>106</v>
      </c>
      <c r="E110" s="16">
        <v>3632595.61</v>
      </c>
      <c r="F110" s="16">
        <v>3511466.7110837684</v>
      </c>
      <c r="G110" s="16">
        <v>218938.85</v>
      </c>
      <c r="H110" s="16">
        <v>0</v>
      </c>
      <c r="I110" s="13">
        <f t="shared" si="1"/>
        <v>7363001.1710837679</v>
      </c>
    </row>
    <row r="111" spans="1:9" ht="15.75" x14ac:dyDescent="0.25">
      <c r="A111" s="8"/>
      <c r="B111" s="8"/>
      <c r="C111" s="9"/>
      <c r="D111" s="12" t="s">
        <v>107</v>
      </c>
      <c r="E111" s="16">
        <v>55879.15</v>
      </c>
      <c r="F111" s="16">
        <v>48709.800566459984</v>
      </c>
      <c r="G111" s="16">
        <v>8619779.0000000019</v>
      </c>
      <c r="H111" s="16">
        <v>0</v>
      </c>
      <c r="I111" s="13">
        <f t="shared" si="1"/>
        <v>8724367.9505664613</v>
      </c>
    </row>
    <row r="112" spans="1:9" ht="15.75" x14ac:dyDescent="0.25">
      <c r="A112" s="8"/>
      <c r="B112" s="8"/>
      <c r="C112" s="9"/>
      <c r="D112" s="12" t="s">
        <v>108</v>
      </c>
      <c r="E112" s="16">
        <v>10813660.430000003</v>
      </c>
      <c r="F112" s="16">
        <v>3334474.3503477885</v>
      </c>
      <c r="G112" s="16">
        <v>605421.54</v>
      </c>
      <c r="H112" s="16">
        <v>0</v>
      </c>
      <c r="I112" s="13">
        <f t="shared" si="1"/>
        <v>14753556.320347793</v>
      </c>
    </row>
    <row r="113" spans="1:9" ht="15.75" x14ac:dyDescent="0.25">
      <c r="A113" s="8"/>
      <c r="B113" s="8"/>
      <c r="C113" s="9"/>
      <c r="D113" s="12" t="s">
        <v>109</v>
      </c>
      <c r="E113" s="16">
        <v>8054351.6499999994</v>
      </c>
      <c r="F113" s="16">
        <v>8028462.046257806</v>
      </c>
      <c r="G113" s="16">
        <v>655851.02</v>
      </c>
      <c r="H113" s="16">
        <v>0</v>
      </c>
      <c r="I113" s="13">
        <f t="shared" si="1"/>
        <v>16738664.716257805</v>
      </c>
    </row>
    <row r="114" spans="1:9" ht="15.75" x14ac:dyDescent="0.25">
      <c r="A114" s="8"/>
      <c r="B114" s="8"/>
      <c r="C114" s="9"/>
      <c r="D114" s="12" t="s">
        <v>110</v>
      </c>
      <c r="E114" s="16">
        <v>21458730.560000006</v>
      </c>
      <c r="F114" s="16">
        <v>9208366.3889048677</v>
      </c>
      <c r="G114" s="16">
        <v>902140.86999999988</v>
      </c>
      <c r="H114" s="16">
        <v>0</v>
      </c>
      <c r="I114" s="13">
        <f t="shared" si="1"/>
        <v>31569237.818904873</v>
      </c>
    </row>
    <row r="115" spans="1:9" ht="15.75" x14ac:dyDescent="0.25">
      <c r="A115" s="8"/>
      <c r="B115" s="8"/>
      <c r="C115" s="9"/>
      <c r="D115" s="12" t="s">
        <v>111</v>
      </c>
      <c r="E115" s="16">
        <v>36623300.829999998</v>
      </c>
      <c r="F115" s="16">
        <v>4552890.2984013883</v>
      </c>
      <c r="G115" s="16">
        <v>1163745.1600000001</v>
      </c>
      <c r="H115" s="16">
        <v>0</v>
      </c>
      <c r="I115" s="13">
        <f t="shared" si="1"/>
        <v>42339936.28840138</v>
      </c>
    </row>
    <row r="116" spans="1:9" ht="15.75" x14ac:dyDescent="0.25">
      <c r="A116" s="8"/>
      <c r="B116" s="8"/>
      <c r="C116" s="9"/>
      <c r="D116" s="12" t="s">
        <v>112</v>
      </c>
      <c r="E116" s="16">
        <v>6148045.9400000004</v>
      </c>
      <c r="F116" s="16">
        <v>5912336.5505744088</v>
      </c>
      <c r="G116" s="16">
        <v>154022.21999999997</v>
      </c>
      <c r="H116" s="16">
        <v>0</v>
      </c>
      <c r="I116" s="13">
        <f t="shared" si="1"/>
        <v>12214404.710574409</v>
      </c>
    </row>
    <row r="117" spans="1:9" ht="15.75" x14ac:dyDescent="0.25">
      <c r="A117" s="8"/>
      <c r="B117" s="8"/>
      <c r="C117" s="9"/>
      <c r="D117" s="12" t="s">
        <v>113</v>
      </c>
      <c r="E117" s="16">
        <v>5356145.8900000015</v>
      </c>
      <c r="F117" s="16">
        <v>4565705.1357404981</v>
      </c>
      <c r="G117" s="16">
        <v>648036.63</v>
      </c>
      <c r="H117" s="16">
        <v>0</v>
      </c>
      <c r="I117" s="13">
        <f t="shared" si="1"/>
        <v>10569887.655740501</v>
      </c>
    </row>
    <row r="118" spans="1:9" ht="15.75" x14ac:dyDescent="0.25">
      <c r="A118" s="8"/>
      <c r="B118" s="8"/>
      <c r="C118" s="9"/>
      <c r="D118" s="12" t="s">
        <v>114</v>
      </c>
      <c r="E118" s="16">
        <v>9305472.209999999</v>
      </c>
      <c r="F118" s="16">
        <v>7130685.405238797</v>
      </c>
      <c r="G118" s="16">
        <v>746545.89</v>
      </c>
      <c r="H118" s="16">
        <v>0</v>
      </c>
      <c r="I118" s="13">
        <f t="shared" si="1"/>
        <v>17182703.505238798</v>
      </c>
    </row>
    <row r="119" spans="1:9" ht="15.75" x14ac:dyDescent="0.25">
      <c r="A119" s="8"/>
      <c r="B119" s="8"/>
      <c r="C119" s="9"/>
      <c r="D119" s="12" t="s">
        <v>115</v>
      </c>
      <c r="E119" s="16">
        <v>2617653.9700000002</v>
      </c>
      <c r="F119" s="16">
        <v>692537.96342561976</v>
      </c>
      <c r="G119" s="16">
        <v>421319.33999999997</v>
      </c>
      <c r="H119" s="16">
        <v>0</v>
      </c>
      <c r="I119" s="13">
        <f t="shared" si="1"/>
        <v>3731511.27342562</v>
      </c>
    </row>
    <row r="120" spans="1:9" ht="15.75" x14ac:dyDescent="0.25">
      <c r="A120" s="8"/>
      <c r="B120" s="8"/>
      <c r="C120" s="9"/>
      <c r="D120" s="12" t="s">
        <v>116</v>
      </c>
      <c r="E120" s="16">
        <v>28658906.250000004</v>
      </c>
      <c r="F120" s="16">
        <v>3026716.9740415192</v>
      </c>
      <c r="G120" s="16">
        <v>922225.14999999991</v>
      </c>
      <c r="H120" s="16">
        <v>0</v>
      </c>
      <c r="I120" s="13">
        <f t="shared" si="1"/>
        <v>32607848.37404152</v>
      </c>
    </row>
    <row r="121" spans="1:9" ht="15.75" x14ac:dyDescent="0.25">
      <c r="A121" s="8"/>
      <c r="B121" s="8"/>
      <c r="C121" s="9"/>
      <c r="D121" s="12" t="s">
        <v>117</v>
      </c>
      <c r="E121" s="16">
        <v>10547229.560000002</v>
      </c>
      <c r="F121" s="16">
        <v>4642661.2531643678</v>
      </c>
      <c r="G121" s="16">
        <v>512569.83999999997</v>
      </c>
      <c r="H121" s="16">
        <v>0</v>
      </c>
      <c r="I121" s="13">
        <f t="shared" si="1"/>
        <v>15702460.65316437</v>
      </c>
    </row>
    <row r="122" spans="1:9" ht="15.75" x14ac:dyDescent="0.25">
      <c r="A122" s="8"/>
      <c r="B122" s="8"/>
      <c r="C122" s="9"/>
      <c r="D122" s="12" t="s">
        <v>118</v>
      </c>
      <c r="E122" s="16">
        <v>11492946.780000003</v>
      </c>
      <c r="F122" s="16">
        <v>3311394.2244595489</v>
      </c>
      <c r="G122" s="16">
        <v>627099.41999999993</v>
      </c>
      <c r="H122" s="16">
        <v>0</v>
      </c>
      <c r="I122" s="13">
        <f t="shared" si="1"/>
        <v>15431440.424459552</v>
      </c>
    </row>
    <row r="123" spans="1:9" ht="15.75" x14ac:dyDescent="0.25">
      <c r="A123" s="8"/>
      <c r="B123" s="8"/>
      <c r="C123" s="9"/>
      <c r="D123" s="12" t="s">
        <v>119</v>
      </c>
      <c r="E123" s="16">
        <v>11671687.199999999</v>
      </c>
      <c r="F123" s="16">
        <v>6084162.7203412177</v>
      </c>
      <c r="G123" s="16">
        <v>325561.68999999994</v>
      </c>
      <c r="H123" s="16">
        <v>0</v>
      </c>
      <c r="I123" s="13">
        <f t="shared" si="1"/>
        <v>18081411.610341217</v>
      </c>
    </row>
    <row r="124" spans="1:9" ht="15.75" x14ac:dyDescent="0.25">
      <c r="A124" s="8"/>
      <c r="B124" s="8"/>
      <c r="C124" s="9"/>
      <c r="D124" s="12" t="s">
        <v>120</v>
      </c>
      <c r="E124" s="16">
        <v>199063.62</v>
      </c>
      <c r="F124" s="16">
        <v>0</v>
      </c>
      <c r="G124" s="16">
        <v>2287718.4099999997</v>
      </c>
      <c r="H124" s="16">
        <v>35344885.06499999</v>
      </c>
      <c r="I124" s="13">
        <f t="shared" si="1"/>
        <v>37831667.094999991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8283900.3399999999</v>
      </c>
      <c r="H125" s="16">
        <v>6803183.8899999997</v>
      </c>
      <c r="I125" s="13">
        <f t="shared" si="1"/>
        <v>15087084.23</v>
      </c>
    </row>
    <row r="126" spans="1:9" ht="15.75" x14ac:dyDescent="0.25">
      <c r="A126" s="8"/>
      <c r="B126" s="8"/>
      <c r="C126" s="9"/>
      <c r="D126" s="12" t="s">
        <v>122</v>
      </c>
      <c r="E126" s="16">
        <v>135917.05000000002</v>
      </c>
      <c r="F126" s="16">
        <v>0</v>
      </c>
      <c r="G126" s="16">
        <v>3872016.3199999994</v>
      </c>
      <c r="H126" s="16">
        <v>0</v>
      </c>
      <c r="I126" s="13">
        <f t="shared" si="1"/>
        <v>4007933.3699999992</v>
      </c>
    </row>
    <row r="127" spans="1:9" ht="15.75" x14ac:dyDescent="0.25">
      <c r="A127" s="8"/>
      <c r="B127" s="8"/>
      <c r="C127" s="9"/>
      <c r="D127" s="12" t="s">
        <v>123</v>
      </c>
      <c r="E127" s="16">
        <v>6648281.4600000009</v>
      </c>
      <c r="F127" s="16">
        <v>1282490.1347491494</v>
      </c>
      <c r="G127" s="16">
        <v>2859705.2099999995</v>
      </c>
      <c r="H127" s="16">
        <v>0</v>
      </c>
      <c r="I127" s="13">
        <f t="shared" si="1"/>
        <v>10790476.80474915</v>
      </c>
    </row>
    <row r="128" spans="1:9" ht="15.75" x14ac:dyDescent="0.25">
      <c r="A128" s="8"/>
      <c r="B128" s="8"/>
      <c r="C128" s="9"/>
      <c r="D128" s="12" t="s">
        <v>124</v>
      </c>
      <c r="E128" s="16">
        <v>13498322.360000001</v>
      </c>
      <c r="F128" s="16">
        <v>3667928.4947214886</v>
      </c>
      <c r="G128" s="16">
        <v>2124282.92</v>
      </c>
      <c r="H128" s="16">
        <v>0</v>
      </c>
      <c r="I128" s="13">
        <f t="shared" si="1"/>
        <v>19290533.774721488</v>
      </c>
    </row>
    <row r="129" spans="1:9" ht="15.75" x14ac:dyDescent="0.25">
      <c r="A129" s="8"/>
      <c r="B129" s="8"/>
      <c r="C129" s="9"/>
      <c r="D129" s="12" t="s">
        <v>125</v>
      </c>
      <c r="E129" s="16">
        <v>4494491.76</v>
      </c>
      <c r="F129" s="16">
        <v>1936583.586157439</v>
      </c>
      <c r="G129" s="16">
        <v>883962.73999999987</v>
      </c>
      <c r="H129" s="16">
        <v>0</v>
      </c>
      <c r="I129" s="13">
        <f t="shared" si="1"/>
        <v>7315038.0861574393</v>
      </c>
    </row>
    <row r="130" spans="1:9" ht="15.75" x14ac:dyDescent="0.25">
      <c r="A130" s="8"/>
      <c r="B130" s="8"/>
      <c r="C130" s="9"/>
      <c r="D130" s="12" t="s">
        <v>126</v>
      </c>
      <c r="E130" s="16">
        <v>3736752.09</v>
      </c>
      <c r="F130" s="16">
        <v>3411430.4677716587</v>
      </c>
      <c r="G130" s="16">
        <v>263177.44000000006</v>
      </c>
      <c r="H130" s="16">
        <v>0</v>
      </c>
      <c r="I130" s="13">
        <f t="shared" si="1"/>
        <v>7411359.9977716589</v>
      </c>
    </row>
    <row r="131" spans="1:9" ht="15.75" x14ac:dyDescent="0.25">
      <c r="A131" s="8"/>
      <c r="B131" s="8"/>
      <c r="C131" s="9"/>
      <c r="D131" s="12" t="s">
        <v>127</v>
      </c>
      <c r="E131" s="16">
        <v>36815186.140000001</v>
      </c>
      <c r="F131" s="16">
        <v>18644984.487902153</v>
      </c>
      <c r="G131" s="16">
        <v>5922388.1299999999</v>
      </c>
      <c r="H131" s="16">
        <v>0</v>
      </c>
      <c r="I131" s="13">
        <f t="shared" si="1"/>
        <v>61382558.757902153</v>
      </c>
    </row>
    <row r="132" spans="1:9" ht="15.75" x14ac:dyDescent="0.25">
      <c r="A132" s="8"/>
      <c r="B132" s="8"/>
      <c r="C132" s="9"/>
      <c r="D132" s="12" t="s">
        <v>128</v>
      </c>
      <c r="E132" s="16">
        <v>7723677.1899999985</v>
      </c>
      <c r="F132" s="16">
        <v>11439892.514029466</v>
      </c>
      <c r="G132" s="16">
        <v>58611.64</v>
      </c>
      <c r="H132" s="16">
        <v>0</v>
      </c>
      <c r="I132" s="13">
        <f t="shared" si="1"/>
        <v>19222181.344029464</v>
      </c>
    </row>
    <row r="133" spans="1:9" ht="15.75" x14ac:dyDescent="0.25">
      <c r="A133" s="8"/>
      <c r="B133" s="8"/>
      <c r="C133" s="9"/>
      <c r="D133" s="12" t="s">
        <v>129</v>
      </c>
      <c r="E133" s="16">
        <v>5721528.9200000009</v>
      </c>
      <c r="F133" s="16">
        <v>0</v>
      </c>
      <c r="G133" s="16">
        <v>6228508.8099999996</v>
      </c>
      <c r="H133" s="16">
        <v>20450883.48</v>
      </c>
      <c r="I133" s="13">
        <f t="shared" si="1"/>
        <v>32400921.210000001</v>
      </c>
    </row>
    <row r="134" spans="1:9" ht="15.75" x14ac:dyDescent="0.25">
      <c r="A134" s="8"/>
      <c r="B134" s="8"/>
      <c r="C134" s="9"/>
      <c r="D134" s="12" t="s">
        <v>130</v>
      </c>
      <c r="E134" s="16">
        <v>1234294.77</v>
      </c>
      <c r="F134" s="16">
        <v>564322.49664530985</v>
      </c>
      <c r="G134" s="16">
        <v>11937.609999999999</v>
      </c>
      <c r="H134" s="16">
        <v>0</v>
      </c>
      <c r="I134" s="13">
        <f t="shared" si="1"/>
        <v>1810554.8766453101</v>
      </c>
    </row>
    <row r="135" spans="1:9" ht="15.75" x14ac:dyDescent="0.25">
      <c r="A135" s="8"/>
      <c r="B135" s="8"/>
      <c r="C135" s="9"/>
      <c r="D135" s="12" t="s">
        <v>131</v>
      </c>
      <c r="E135" s="16">
        <v>3992915.88</v>
      </c>
      <c r="F135" s="16">
        <v>7130685.405238797</v>
      </c>
      <c r="G135" s="16">
        <v>229796.44000000003</v>
      </c>
      <c r="H135" s="16">
        <v>0</v>
      </c>
      <c r="I135" s="13">
        <f t="shared" si="1"/>
        <v>11353397.725238796</v>
      </c>
    </row>
    <row r="136" spans="1:9" ht="15.75" x14ac:dyDescent="0.25">
      <c r="A136" s="8"/>
      <c r="B136" s="8"/>
      <c r="C136" s="9"/>
      <c r="D136" s="12" t="s">
        <v>132</v>
      </c>
      <c r="E136" s="16">
        <v>28810646.730000008</v>
      </c>
      <c r="F136" s="16">
        <v>8618414.2175813373</v>
      </c>
      <c r="G136" s="16">
        <v>2271867.9099999997</v>
      </c>
      <c r="H136" s="16">
        <v>0</v>
      </c>
      <c r="I136" s="13">
        <f t="shared" si="1"/>
        <v>39700928.85758134</v>
      </c>
    </row>
    <row r="137" spans="1:9" ht="15.75" x14ac:dyDescent="0.25">
      <c r="A137" s="8"/>
      <c r="B137" s="8"/>
      <c r="C137" s="9"/>
      <c r="D137" s="12" t="s">
        <v>133</v>
      </c>
      <c r="E137" s="16">
        <v>31840562.460000008</v>
      </c>
      <c r="F137" s="16">
        <v>14479424.325410096</v>
      </c>
      <c r="G137" s="16">
        <v>2640297.9900000002</v>
      </c>
      <c r="H137" s="16">
        <v>0</v>
      </c>
      <c r="I137" s="13">
        <f t="shared" si="1"/>
        <v>48960284.775410108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4599301.4300000006</v>
      </c>
      <c r="H138" s="16">
        <v>0</v>
      </c>
      <c r="I138" s="13">
        <f t="shared" ref="I138:I144" si="2">SUM(E138:H138)</f>
        <v>4599301.4300000006</v>
      </c>
    </row>
    <row r="139" spans="1:9" ht="15.75" x14ac:dyDescent="0.25">
      <c r="A139" s="8"/>
      <c r="B139" s="8"/>
      <c r="C139" s="9"/>
      <c r="D139" s="12" t="s">
        <v>135</v>
      </c>
      <c r="E139" s="16">
        <v>3894832.8999999994</v>
      </c>
      <c r="F139" s="16">
        <v>2028904.0897103993</v>
      </c>
      <c r="G139" s="16">
        <v>392624.13</v>
      </c>
      <c r="H139" s="16">
        <v>0</v>
      </c>
      <c r="I139" s="13">
        <f t="shared" si="2"/>
        <v>6316361.1197103988</v>
      </c>
    </row>
    <row r="140" spans="1:9" ht="15.75" x14ac:dyDescent="0.25">
      <c r="A140" s="8"/>
      <c r="B140" s="8"/>
      <c r="C140" s="9"/>
      <c r="D140" s="12" t="s">
        <v>136</v>
      </c>
      <c r="E140" s="16">
        <v>19724759.429999996</v>
      </c>
      <c r="F140" s="16">
        <v>14389653.370647116</v>
      </c>
      <c r="G140" s="16">
        <v>1245820.0299999998</v>
      </c>
      <c r="H140" s="16">
        <v>0</v>
      </c>
      <c r="I140" s="13">
        <f t="shared" si="2"/>
        <v>35360232.830647111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7983076.5000000009</v>
      </c>
      <c r="H141" s="16">
        <v>1868229.3900000004</v>
      </c>
      <c r="I141" s="13">
        <f t="shared" si="2"/>
        <v>9851305.8900000006</v>
      </c>
    </row>
    <row r="142" spans="1:9" ht="15.75" x14ac:dyDescent="0.25">
      <c r="A142" s="8"/>
      <c r="B142" s="8"/>
      <c r="C142" s="9"/>
      <c r="D142" s="12" t="s">
        <v>138</v>
      </c>
      <c r="E142" s="16">
        <v>39658.01</v>
      </c>
      <c r="F142" s="16">
        <v>0</v>
      </c>
      <c r="G142" s="16">
        <v>1384562.29</v>
      </c>
      <c r="H142" s="16">
        <v>0</v>
      </c>
      <c r="I142" s="13">
        <f t="shared" si="2"/>
        <v>1424220.3</v>
      </c>
    </row>
    <row r="143" spans="1:9" ht="15.75" x14ac:dyDescent="0.25">
      <c r="A143" s="8"/>
      <c r="B143" s="8"/>
      <c r="C143" s="9"/>
      <c r="D143" s="12" t="s">
        <v>139</v>
      </c>
      <c r="E143" s="16">
        <v>1363304.26</v>
      </c>
      <c r="F143" s="16">
        <v>13299519.982763035</v>
      </c>
      <c r="G143" s="16">
        <v>91902.260000000009</v>
      </c>
      <c r="H143" s="16">
        <v>0</v>
      </c>
      <c r="I143" s="13">
        <f t="shared" si="2"/>
        <v>14754726.502763035</v>
      </c>
    </row>
    <row r="144" spans="1:9" ht="15.75" x14ac:dyDescent="0.25">
      <c r="A144" s="8"/>
      <c r="B144" s="8"/>
      <c r="C144" s="9"/>
      <c r="D144" s="12" t="s">
        <v>140</v>
      </c>
      <c r="E144" s="16">
        <v>13623616.409999998</v>
      </c>
      <c r="F144" s="16">
        <v>1615944.2791228495</v>
      </c>
      <c r="G144" s="16">
        <v>1557620.9700000002</v>
      </c>
      <c r="H144" s="16">
        <v>0</v>
      </c>
      <c r="I144" s="13">
        <f t="shared" si="2"/>
        <v>16797181.659122847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1364674817.3100002</v>
      </c>
      <c r="F145" s="22">
        <f>SUM(F10:F144)</f>
        <v>670903163.32774162</v>
      </c>
      <c r="G145" s="22">
        <f>SUM(G10:G144)</f>
        <v>273683606.15999997</v>
      </c>
      <c r="H145" s="22">
        <f>SUM(H10:H144)</f>
        <v>64467181.824999988</v>
      </c>
      <c r="I145" s="22">
        <f>SUM(I10:I144)</f>
        <v>2373728768.6227412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2.83203125" style="2" customWidth="1"/>
    <col min="10" max="10" width="17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168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f>+Enero!E10+Febrero!E10+Marzo!E10+Abril!E10+Mayo!E10+Junio!E10+Julio!E10+Agosto!E10+Septiembre!E10+Octubre!E10+Noviembre!E10+Diciembre!E10</f>
        <v>38867263.509999998</v>
      </c>
      <c r="F10" s="14">
        <f>+Enero!F10+Febrero!F10+Marzo!F10+Abril!F10+Mayo!F10+Junio!F10+Julio!F10+Agosto!F10+Septiembre!F10+Octubre!F10+Noviembre!F10+Diciembre!F10</f>
        <v>81307197.397619799</v>
      </c>
      <c r="G10" s="14">
        <f>+Enero!G10+Febrero!G10+Marzo!G10+Abril!G10+Mayo!G10+Junio!G10+Julio!G10+Agosto!G10+Septiembre!G10+Octubre!G10+Noviembre!G10+Diciembre!G10</f>
        <v>5860684.6799999997</v>
      </c>
      <c r="H10" s="14">
        <f>+Enero!H10+Febrero!H10+Marzo!H10+Abril!H10+Mayo!H10+Junio!H10+Julio!H10+Agosto!H10+Septiembre!H10+Octubre!H10+Noviembre!H10+Diciembre!H10</f>
        <v>0</v>
      </c>
      <c r="I10" s="13">
        <f t="shared" ref="I10:I41" si="0">SUM(E10:H10)</f>
        <v>126035145.58761981</v>
      </c>
    </row>
    <row r="11" spans="1:9" ht="15.75" x14ac:dyDescent="0.25">
      <c r="A11" s="8"/>
      <c r="B11" s="8"/>
      <c r="C11" s="9"/>
      <c r="D11" s="12" t="s">
        <v>7</v>
      </c>
      <c r="E11" s="14">
        <f>+Enero!E11+Febrero!E11+Marzo!E11+Abril!E11+Mayo!E11+Junio!E11+Julio!E11+Agosto!E11+Septiembre!E11+Octubre!E11+Noviembre!E11+Diciembre!E11</f>
        <v>63560677.119999997</v>
      </c>
      <c r="F11" s="14">
        <f>+Enero!F11+Febrero!F11+Marzo!F11+Abril!F11+Mayo!F11+Junio!F11+Julio!F11+Agosto!F11+Septiembre!F11+Octubre!F11+Noviembre!F11+Diciembre!F11</f>
        <v>45635861.439598694</v>
      </c>
      <c r="G11" s="14">
        <f>+Enero!G11+Febrero!G11+Marzo!G11+Abril!G11+Mayo!G11+Junio!G11+Julio!G11+Agosto!G11+Septiembre!G11+Octubre!G11+Noviembre!G11+Diciembre!G11</f>
        <v>5565628.9000000004</v>
      </c>
      <c r="H11" s="14">
        <f>+Enero!H11+Febrero!H11+Marzo!H11+Abril!H11+Mayo!H11+Junio!H11+Julio!H11+Agosto!H11+Septiembre!H11+Octubre!H11+Noviembre!H11+Diciembre!H11</f>
        <v>0</v>
      </c>
      <c r="I11" s="13">
        <f t="shared" si="0"/>
        <v>114762167.45959869</v>
      </c>
    </row>
    <row r="12" spans="1:9" ht="15.75" x14ac:dyDescent="0.25">
      <c r="A12" s="8"/>
      <c r="B12" s="8"/>
      <c r="C12" s="9"/>
      <c r="D12" s="12" t="s">
        <v>8</v>
      </c>
      <c r="E12" s="14">
        <f>+Enero!E12+Febrero!E12+Marzo!E12+Abril!E12+Mayo!E12+Junio!E12+Julio!E12+Agosto!E12+Septiembre!E12+Octubre!E12+Noviembre!E12+Diciembre!E12</f>
        <v>58359982.609999999</v>
      </c>
      <c r="F12" s="14">
        <f>+Enero!F12+Febrero!F12+Marzo!F12+Abril!F12+Mayo!F12+Junio!F12+Julio!F12+Agosto!F12+Septiembre!F12+Octubre!F12+Noviembre!F12+Diciembre!F12</f>
        <v>16544448.349697195</v>
      </c>
      <c r="G12" s="14">
        <f>+Enero!G12+Febrero!G12+Marzo!G12+Abril!G12+Mayo!G12+Junio!G12+Julio!G12+Agosto!G12+Septiembre!G12+Octubre!G12+Noviembre!G12+Diciembre!G12</f>
        <v>4437588.49</v>
      </c>
      <c r="H12" s="14">
        <f>+Enero!H12+Febrero!H12+Marzo!H12+Abril!H12+Mayo!H12+Junio!H12+Julio!H12+Agosto!H12+Septiembre!H12+Octubre!H12+Noviembre!H12+Diciembre!H12</f>
        <v>0</v>
      </c>
      <c r="I12" s="13">
        <f t="shared" si="0"/>
        <v>79342019.449697182</v>
      </c>
    </row>
    <row r="13" spans="1:9" ht="15.75" x14ac:dyDescent="0.25">
      <c r="A13" s="8"/>
      <c r="B13" s="8"/>
      <c r="C13" s="9"/>
      <c r="D13" s="12" t="s">
        <v>9</v>
      </c>
      <c r="E13" s="14">
        <f>+Enero!E13+Febrero!E13+Marzo!E13+Abril!E13+Mayo!E13+Junio!E13+Julio!E13+Agosto!E13+Septiembre!E13+Octubre!E13+Noviembre!E13+Diciembre!E13</f>
        <v>11348936.079999998</v>
      </c>
      <c r="F13" s="14">
        <f>+Enero!F13+Febrero!F13+Marzo!F13+Abril!F13+Mayo!F13+Junio!F13+Julio!F13+Agosto!F13+Septiembre!F13+Octubre!F13+Noviembre!F13+Diciembre!F13</f>
        <v>437721.41961871489</v>
      </c>
      <c r="G13" s="14">
        <f>+Enero!G13+Febrero!G13+Marzo!G13+Abril!G13+Mayo!G13+Junio!G13+Julio!G13+Agosto!G13+Septiembre!G13+Octubre!G13+Noviembre!G13+Diciembre!G13</f>
        <v>48930568.449999996</v>
      </c>
      <c r="H13" s="14">
        <f>+Enero!H13+Febrero!H13+Marzo!H13+Abril!H13+Mayo!H13+Junio!H13+Julio!H13+Agosto!H13+Septiembre!H13+Octubre!H13+Noviembre!H13+Diciembre!H13</f>
        <v>0</v>
      </c>
      <c r="I13" s="13">
        <f t="shared" si="0"/>
        <v>60717225.949618712</v>
      </c>
    </row>
    <row r="14" spans="1:9" ht="15.75" x14ac:dyDescent="0.25">
      <c r="A14" s="8"/>
      <c r="B14" s="8"/>
      <c r="C14" s="9"/>
      <c r="D14" s="12" t="s">
        <v>10</v>
      </c>
      <c r="E14" s="14">
        <f>+Enero!E14+Febrero!E14+Marzo!E14+Abril!E14+Mayo!E14+Junio!E14+Julio!E14+Agosto!E14+Septiembre!E14+Octubre!E14+Noviembre!E14+Diciembre!E14</f>
        <v>82535789.079999998</v>
      </c>
      <c r="F14" s="14">
        <f>+Enero!F14+Febrero!F14+Marzo!F14+Abril!F14+Mayo!F14+Junio!F14+Julio!F14+Agosto!F14+Septiembre!F14+Octubre!F14+Noviembre!F14+Diciembre!F14</f>
        <v>18382720.388552438</v>
      </c>
      <c r="G14" s="14">
        <f>+Enero!G14+Febrero!G14+Marzo!G14+Abril!G14+Mayo!G14+Junio!G14+Julio!G14+Agosto!G14+Septiembre!G14+Octubre!G14+Noviembre!G14+Diciembre!G14</f>
        <v>8669417.120000001</v>
      </c>
      <c r="H14" s="14">
        <f>+Enero!H14+Febrero!H14+Marzo!H14+Abril!H14+Mayo!H14+Junio!H14+Julio!H14+Agosto!H14+Septiembre!H14+Octubre!H14+Noviembre!H14+Diciembre!H14</f>
        <v>0</v>
      </c>
      <c r="I14" s="13">
        <f t="shared" si="0"/>
        <v>109587926.58855245</v>
      </c>
    </row>
    <row r="15" spans="1:9" ht="15.75" x14ac:dyDescent="0.25">
      <c r="A15" s="8"/>
      <c r="B15" s="8"/>
      <c r="C15" s="9"/>
      <c r="D15" s="12" t="s">
        <v>11</v>
      </c>
      <c r="E15" s="14">
        <f>+Enero!E15+Febrero!E15+Marzo!E15+Abril!E15+Mayo!E15+Junio!E15+Julio!E15+Agosto!E15+Septiembre!E15+Octubre!E15+Noviembre!E15+Diciembre!E15</f>
        <v>4622856.379999999</v>
      </c>
      <c r="F15" s="14">
        <f>+Enero!F15+Febrero!F15+Marzo!F15+Abril!F15+Mayo!F15+Junio!F15+Julio!F15+Agosto!F15+Septiembre!F15+Octubre!F15+Noviembre!F15+Diciembre!F15</f>
        <v>102272.249800761</v>
      </c>
      <c r="G15" s="14">
        <f>+Enero!G15+Febrero!G15+Marzo!G15+Abril!G15+Mayo!G15+Junio!G15+Julio!G15+Agosto!G15+Septiembre!G15+Octubre!G15+Noviembre!G15+Diciembre!G15</f>
        <v>54199645.5</v>
      </c>
      <c r="H15" s="14">
        <f>+Enero!H15+Febrero!H15+Marzo!H15+Abril!H15+Mayo!H15+Junio!H15+Julio!H15+Agosto!H15+Septiembre!H15+Octubre!H15+Noviembre!H15+Diciembre!H15</f>
        <v>0</v>
      </c>
      <c r="I15" s="13">
        <f t="shared" si="0"/>
        <v>58924774.129800759</v>
      </c>
    </row>
    <row r="16" spans="1:9" ht="15.75" x14ac:dyDescent="0.25">
      <c r="A16" s="8"/>
      <c r="B16" s="8"/>
      <c r="C16" s="9"/>
      <c r="D16" s="12" t="s">
        <v>12</v>
      </c>
      <c r="E16" s="14">
        <f>+Enero!E16+Febrero!E16+Marzo!E16+Abril!E16+Mayo!E16+Junio!E16+Julio!E16+Agosto!E16+Septiembre!E16+Octubre!E16+Noviembre!E16+Diciembre!E16</f>
        <v>87376447.099999994</v>
      </c>
      <c r="F16" s="14">
        <f>+Enero!F16+Febrero!F16+Marzo!F16+Abril!F16+Mayo!F16+Junio!F16+Julio!F16+Agosto!F16+Septiembre!F16+Octubre!F16+Noviembre!F16+Diciembre!F16</f>
        <v>87653567.094337404</v>
      </c>
      <c r="G16" s="14">
        <f>+Enero!G16+Febrero!G16+Marzo!G16+Abril!G16+Mayo!G16+Junio!G16+Julio!G16+Agosto!G16+Septiembre!G16+Octubre!G16+Noviembre!G16+Diciembre!G16</f>
        <v>9326031.9700000007</v>
      </c>
      <c r="H16" s="14">
        <f>+Enero!H16+Febrero!H16+Marzo!H16+Abril!H16+Mayo!H16+Junio!H16+Julio!H16+Agosto!H16+Septiembre!H16+Octubre!H16+Noviembre!H16+Diciembre!H16</f>
        <v>0</v>
      </c>
      <c r="I16" s="13">
        <f t="shared" si="0"/>
        <v>184356046.1643374</v>
      </c>
    </row>
    <row r="17" spans="1:9" ht="15.75" x14ac:dyDescent="0.25">
      <c r="A17" s="8"/>
      <c r="B17" s="8"/>
      <c r="C17" s="9"/>
      <c r="D17" s="12" t="s">
        <v>13</v>
      </c>
      <c r="E17" s="14">
        <f>+Enero!E17+Febrero!E17+Marzo!E17+Abril!E17+Mayo!E17+Junio!E17+Julio!E17+Agosto!E17+Septiembre!E17+Octubre!E17+Noviembre!E17+Diciembre!E17</f>
        <v>180199063.94000003</v>
      </c>
      <c r="F17" s="14">
        <f>+Enero!F17+Febrero!F17+Marzo!F17+Abril!F17+Mayo!F17+Junio!F17+Julio!F17+Agosto!F17+Septiembre!F17+Octubre!F17+Noviembre!F17+Diciembre!F17</f>
        <v>83554578.227677494</v>
      </c>
      <c r="G17" s="14">
        <f>+Enero!G17+Febrero!G17+Marzo!G17+Abril!G17+Mayo!G17+Junio!G17+Julio!G17+Agosto!G17+Septiembre!G17+Octubre!G17+Noviembre!G17+Diciembre!G17</f>
        <v>20249417.07</v>
      </c>
      <c r="H17" s="14">
        <f>+Enero!H17+Febrero!H17+Marzo!H17+Abril!H17+Mayo!H17+Junio!H17+Julio!H17+Agosto!H17+Septiembre!H17+Octubre!H17+Noviembre!H17+Diciembre!H17</f>
        <v>0</v>
      </c>
      <c r="I17" s="13">
        <f t="shared" si="0"/>
        <v>284003059.23767751</v>
      </c>
    </row>
    <row r="18" spans="1:9" ht="15.75" x14ac:dyDescent="0.25">
      <c r="A18" s="8"/>
      <c r="B18" s="8"/>
      <c r="C18" s="9"/>
      <c r="D18" s="12" t="s">
        <v>14</v>
      </c>
      <c r="E18" s="14">
        <f>+Enero!E18+Febrero!E18+Marzo!E18+Abril!E18+Mayo!E18+Junio!E18+Julio!E18+Agosto!E18+Septiembre!E18+Octubre!E18+Noviembre!E18+Diciembre!E18</f>
        <v>24797215.080000002</v>
      </c>
      <c r="F18" s="14">
        <f>+Enero!F18+Febrero!F18+Marzo!F18+Abril!F18+Mayo!F18+Junio!F18+Julio!F18+Agosto!F18+Septiembre!F18+Octubre!F18+Noviembre!F18+Diciembre!F18</f>
        <v>6565418.5322193662</v>
      </c>
      <c r="G18" s="14">
        <f>+Enero!G18+Febrero!G18+Marzo!G18+Abril!G18+Mayo!G18+Junio!G18+Julio!G18+Agosto!G18+Septiembre!G18+Octubre!G18+Noviembre!G18+Diciembre!G18</f>
        <v>99893417.73999998</v>
      </c>
      <c r="H18" s="14">
        <f>+Enero!H18+Febrero!H18+Marzo!H18+Abril!H18+Mayo!H18+Junio!H18+Julio!H18+Agosto!H18+Septiembre!H18+Octubre!H18+Noviembre!H18+Diciembre!H18</f>
        <v>0</v>
      </c>
      <c r="I18" s="13">
        <f t="shared" si="0"/>
        <v>131256051.35221934</v>
      </c>
    </row>
    <row r="19" spans="1:9" ht="15.75" x14ac:dyDescent="0.25">
      <c r="A19" s="8"/>
      <c r="B19" s="8"/>
      <c r="C19" s="9"/>
      <c r="D19" s="12" t="s">
        <v>15</v>
      </c>
      <c r="E19" s="14">
        <f>+Enero!E19+Febrero!E19+Marzo!E19+Abril!E19+Mayo!E19+Junio!E19+Julio!E19+Agosto!E19+Septiembre!E19+Octubre!E19+Noviembre!E19+Diciembre!E19</f>
        <v>170116608.58000001</v>
      </c>
      <c r="F19" s="14">
        <f>+Enero!F19+Febrero!F19+Marzo!F19+Abril!F19+Mayo!F19+Junio!F19+Julio!F19+Agosto!F19+Septiembre!F19+Octubre!F19+Noviembre!F19+Diciembre!F19</f>
        <v>62661920.468000166</v>
      </c>
      <c r="G19" s="14">
        <f>+Enero!G19+Febrero!G19+Marzo!G19+Abril!G19+Mayo!G19+Junio!G19+Julio!G19+Agosto!G19+Septiembre!G19+Octubre!G19+Noviembre!G19+Diciembre!G19</f>
        <v>15682709.039999999</v>
      </c>
      <c r="H19" s="14">
        <f>+Enero!H19+Febrero!H19+Marzo!H19+Abril!H19+Mayo!H19+Junio!H19+Julio!H19+Agosto!H19+Septiembre!H19+Octubre!H19+Noviembre!H19+Diciembre!H19</f>
        <v>0</v>
      </c>
      <c r="I19" s="13">
        <f t="shared" si="0"/>
        <v>248461238.08800018</v>
      </c>
    </row>
    <row r="20" spans="1:9" ht="15.75" x14ac:dyDescent="0.25">
      <c r="A20" s="8"/>
      <c r="B20" s="8"/>
      <c r="C20" s="9"/>
      <c r="D20" s="12" t="s">
        <v>16</v>
      </c>
      <c r="E20" s="14">
        <f>+Enero!E20+Febrero!E20+Marzo!E20+Abril!E20+Mayo!E20+Junio!E20+Julio!E20+Agosto!E20+Septiembre!E20+Octubre!E20+Noviembre!E20+Diciembre!E20</f>
        <v>66479903.940000005</v>
      </c>
      <c r="F20" s="14">
        <f>+Enero!F20+Febrero!F20+Marzo!F20+Abril!F20+Mayo!F20+Junio!F20+Julio!F20+Agosto!F20+Septiembre!F20+Octubre!F20+Noviembre!F20+Diciembre!F20</f>
        <v>17417017.431598227</v>
      </c>
      <c r="G20" s="14">
        <f>+Enero!G20+Febrero!G20+Marzo!G20+Abril!G20+Mayo!G20+Junio!G20+Julio!G20+Agosto!G20+Septiembre!G20+Octubre!G20+Noviembre!G20+Diciembre!G20</f>
        <v>8198087.330000001</v>
      </c>
      <c r="H20" s="14">
        <f>+Enero!H20+Febrero!H20+Marzo!H20+Abril!H20+Mayo!H20+Junio!H20+Julio!H20+Agosto!H20+Septiembre!H20+Octubre!H20+Noviembre!H20+Diciembre!H20</f>
        <v>0</v>
      </c>
      <c r="I20" s="13">
        <f t="shared" si="0"/>
        <v>92095008.701598227</v>
      </c>
    </row>
    <row r="21" spans="1:9" ht="15.75" x14ac:dyDescent="0.25">
      <c r="A21" s="8"/>
      <c r="B21" s="8"/>
      <c r="C21" s="9"/>
      <c r="D21" s="12" t="s">
        <v>17</v>
      </c>
      <c r="E21" s="14">
        <f>+Enero!E21+Febrero!E21+Marzo!E21+Abril!E21+Mayo!E21+Junio!E21+Julio!E21+Agosto!E21+Septiembre!E21+Octubre!E21+Noviembre!E21+Diciembre!E21</f>
        <v>87228134.659999967</v>
      </c>
      <c r="F21" s="14">
        <f>+Enero!F21+Febrero!F21+Marzo!F21+Abril!F21+Mayo!F21+Junio!F21+Julio!F21+Agosto!F21+Septiembre!F21+Octubre!F21+Noviembre!F21+Diciembre!F21</f>
        <v>74960827.700902194</v>
      </c>
      <c r="G21" s="14">
        <f>+Enero!G21+Febrero!G21+Marzo!G21+Abril!G21+Mayo!G21+Junio!G21+Julio!G21+Agosto!G21+Septiembre!G21+Octubre!G21+Noviembre!G21+Diciembre!G21</f>
        <v>5817812.8899999997</v>
      </c>
      <c r="H21" s="14">
        <f>+Enero!H21+Febrero!H21+Marzo!H21+Abril!H21+Mayo!H21+Junio!H21+Julio!H21+Agosto!H21+Septiembre!H21+Octubre!H21+Noviembre!H21+Diciembre!H21</f>
        <v>0</v>
      </c>
      <c r="I21" s="13">
        <f t="shared" si="0"/>
        <v>168006775.25090215</v>
      </c>
    </row>
    <row r="22" spans="1:9" ht="15.75" x14ac:dyDescent="0.25">
      <c r="A22" s="8"/>
      <c r="B22" s="8"/>
      <c r="C22" s="9"/>
      <c r="D22" s="12" t="s">
        <v>18</v>
      </c>
      <c r="E22" s="14">
        <f>+Enero!E22+Febrero!E22+Marzo!E22+Abril!E22+Mayo!E22+Junio!E22+Julio!E22+Agosto!E22+Septiembre!E22+Octubre!E22+Noviembre!E22+Diciembre!E22</f>
        <v>4481048.03</v>
      </c>
      <c r="F22" s="14">
        <f>+Enero!F22+Febrero!F22+Marzo!F22+Abril!F22+Mayo!F22+Junio!F22+Julio!F22+Agosto!F22+Septiembre!F22+Octubre!F22+Noviembre!F22+Diciembre!F22</f>
        <v>3209819.288426586</v>
      </c>
      <c r="G22" s="14">
        <f>+Enero!G22+Febrero!G22+Marzo!G22+Abril!G22+Mayo!G22+Junio!G22+Julio!G22+Agosto!G22+Septiembre!G22+Octubre!G22+Noviembre!G22+Diciembre!G22</f>
        <v>35610608.909999996</v>
      </c>
      <c r="H22" s="14">
        <f>+Enero!H22+Febrero!H22+Marzo!H22+Abril!H22+Mayo!H22+Junio!H22+Julio!H22+Agosto!H22+Septiembre!H22+Octubre!H22+Noviembre!H22+Diciembre!H22</f>
        <v>0</v>
      </c>
      <c r="I22" s="13">
        <f t="shared" si="0"/>
        <v>43301476.228426583</v>
      </c>
    </row>
    <row r="23" spans="1:9" ht="15.75" x14ac:dyDescent="0.25">
      <c r="A23" s="8"/>
      <c r="B23" s="8"/>
      <c r="C23" s="9"/>
      <c r="D23" s="12" t="s">
        <v>19</v>
      </c>
      <c r="E23" s="14">
        <f>+Enero!E23+Febrero!E23+Marzo!E23+Abril!E23+Mayo!E23+Junio!E23+Julio!E23+Agosto!E23+Septiembre!E23+Octubre!E23+Noviembre!E23+Diciembre!E23</f>
        <v>6807779.4199999999</v>
      </c>
      <c r="F23" s="14">
        <f>+Enero!F23+Febrero!F23+Marzo!F23+Abril!F23+Mayo!F23+Junio!F23+Julio!F23+Agosto!F23+Septiembre!F23+Octubre!F23+Noviembre!F23+Diciembre!F23</f>
        <v>1196382.37101983</v>
      </c>
      <c r="G23" s="14">
        <f>+Enero!G23+Febrero!G23+Marzo!G23+Abril!G23+Mayo!G23+Junio!G23+Julio!G23+Agosto!G23+Septiembre!G23+Octubre!G23+Noviembre!G23+Diciembre!G23</f>
        <v>26852569.740000002</v>
      </c>
      <c r="H23" s="14">
        <f>+Enero!H23+Febrero!H23+Marzo!H23+Abril!H23+Mayo!H23+Junio!H23+Julio!H23+Agosto!H23+Septiembre!H23+Octubre!H23+Noviembre!H23+Diciembre!H23</f>
        <v>0</v>
      </c>
      <c r="I23" s="13">
        <f t="shared" si="0"/>
        <v>34856731.531019829</v>
      </c>
    </row>
    <row r="24" spans="1:9" ht="15.75" x14ac:dyDescent="0.25">
      <c r="A24" s="8"/>
      <c r="B24" s="8"/>
      <c r="C24" s="9"/>
      <c r="D24" s="12" t="s">
        <v>20</v>
      </c>
      <c r="E24" s="14">
        <f>+Enero!E24+Febrero!E24+Marzo!E24+Abril!E24+Mayo!E24+Junio!E24+Julio!E24+Agosto!E24+Septiembre!E24+Octubre!E24+Noviembre!E24+Diciembre!E24</f>
        <v>85803014.719999999</v>
      </c>
      <c r="F24" s="14">
        <f>+Enero!F24+Febrero!F24+Marzo!F24+Abril!F24+Mayo!F24+Junio!F24+Julio!F24+Agosto!F24+Septiembre!F24+Octubre!F24+Noviembre!F24+Diciembre!F24</f>
        <v>45971686.860801466</v>
      </c>
      <c r="G24" s="14">
        <f>+Enero!G24+Febrero!G24+Marzo!G24+Abril!G24+Mayo!G24+Junio!G24+Julio!G24+Agosto!G24+Septiembre!G24+Octubre!G24+Noviembre!G24+Diciembre!G24</f>
        <v>12802294.450000001</v>
      </c>
      <c r="H24" s="14">
        <f>+Enero!H24+Febrero!H24+Marzo!H24+Abril!H24+Mayo!H24+Junio!H24+Julio!H24+Agosto!H24+Septiembre!H24+Octubre!H24+Noviembre!H24+Diciembre!H24</f>
        <v>0</v>
      </c>
      <c r="I24" s="13">
        <f t="shared" si="0"/>
        <v>144576996.03080145</v>
      </c>
    </row>
    <row r="25" spans="1:9" ht="15.75" x14ac:dyDescent="0.25">
      <c r="A25" s="8"/>
      <c r="B25" s="8"/>
      <c r="C25" s="9"/>
      <c r="D25" s="12" t="s">
        <v>21</v>
      </c>
      <c r="E25" s="14">
        <f>+Enero!E25+Febrero!E25+Marzo!E25+Abril!E25+Mayo!E25+Junio!E25+Julio!E25+Agosto!E25+Septiembre!E25+Octubre!E25+Noviembre!E25+Diciembre!E25</f>
        <v>67484768.010000005</v>
      </c>
      <c r="F25" s="14">
        <f>+Enero!F25+Febrero!F25+Marzo!F25+Abril!F25+Mayo!F25+Junio!F25+Julio!F25+Agosto!F25+Septiembre!F25+Octubre!F25+Noviembre!F25+Diciembre!F25</f>
        <v>34139504.417183325</v>
      </c>
      <c r="G25" s="14">
        <f>+Enero!G25+Febrero!G25+Marzo!G25+Abril!G25+Mayo!G25+Junio!G25+Julio!G25+Agosto!G25+Septiembre!G25+Octubre!G25+Noviembre!G25+Diciembre!G25</f>
        <v>13454411.870000001</v>
      </c>
      <c r="H25" s="14">
        <f>+Enero!H25+Febrero!H25+Marzo!H25+Abril!H25+Mayo!H25+Junio!H25+Julio!H25+Agosto!H25+Septiembre!H25+Octubre!H25+Noviembre!H25+Diciembre!H25</f>
        <v>0</v>
      </c>
      <c r="I25" s="13">
        <f t="shared" si="0"/>
        <v>115078684.29718333</v>
      </c>
    </row>
    <row r="26" spans="1:9" ht="15.75" x14ac:dyDescent="0.25">
      <c r="A26" s="8"/>
      <c r="B26" s="8"/>
      <c r="C26" s="9"/>
      <c r="D26" s="12" t="s">
        <v>22</v>
      </c>
      <c r="E26" s="14">
        <f>+Enero!E26+Febrero!E26+Marzo!E26+Abril!E26+Mayo!E26+Junio!E26+Julio!E26+Agosto!E26+Septiembre!E26+Octubre!E26+Noviembre!E26+Diciembre!E26</f>
        <v>39940448.880000003</v>
      </c>
      <c r="F26" s="14">
        <f>+Enero!F26+Febrero!F26+Marzo!F26+Abril!F26+Mayo!F26+Junio!F26+Julio!F26+Agosto!F26+Septiembre!F26+Octubre!F26+Noviembre!F26+Diciembre!F26</f>
        <v>19550099.389907081</v>
      </c>
      <c r="G26" s="14">
        <f>+Enero!G26+Febrero!G26+Marzo!G26+Abril!G26+Mayo!G26+Junio!G26+Julio!G26+Agosto!G26+Septiembre!G26+Octubre!G26+Noviembre!G26+Diciembre!G26</f>
        <v>6583048.3799999999</v>
      </c>
      <c r="H26" s="14">
        <f>+Enero!H26+Febrero!H26+Marzo!H26+Abril!H26+Mayo!H26+Junio!H26+Julio!H26+Agosto!H26+Septiembre!H26+Octubre!H26+Noviembre!H26+Diciembre!H26</f>
        <v>0</v>
      </c>
      <c r="I26" s="13">
        <f t="shared" si="0"/>
        <v>66073596.64990709</v>
      </c>
    </row>
    <row r="27" spans="1:9" ht="15.75" x14ac:dyDescent="0.25">
      <c r="A27" s="8"/>
      <c r="B27" s="8"/>
      <c r="C27" s="9"/>
      <c r="D27" s="12" t="s">
        <v>23</v>
      </c>
      <c r="E27" s="14">
        <f>+Enero!E27+Febrero!E27+Marzo!E27+Abril!E27+Mayo!E27+Junio!E27+Julio!E27+Agosto!E27+Septiembre!E27+Octubre!E27+Noviembre!E27+Diciembre!E27</f>
        <v>22568924.190000001</v>
      </c>
      <c r="F27" s="14">
        <f>+Enero!F27+Febrero!F27+Marzo!F27+Abril!F27+Mayo!F27+Junio!F27+Julio!F27+Agosto!F27+Septiembre!F27+Octubre!F27+Noviembre!F27+Diciembre!F27</f>
        <v>3355599.2437927807</v>
      </c>
      <c r="G27" s="14">
        <f>+Enero!G27+Febrero!G27+Marzo!G27+Abril!G27+Mayo!G27+Junio!G27+Julio!G27+Agosto!G27+Septiembre!G27+Octubre!G27+Noviembre!G27+Diciembre!G27</f>
        <v>30587739.420000002</v>
      </c>
      <c r="H27" s="14">
        <f>+Enero!H27+Febrero!H27+Marzo!H27+Abril!H27+Mayo!H27+Junio!H27+Julio!H27+Agosto!H27+Septiembre!H27+Octubre!H27+Noviembre!H27+Diciembre!H27</f>
        <v>0</v>
      </c>
      <c r="I27" s="13">
        <f t="shared" si="0"/>
        <v>56512262.853792787</v>
      </c>
    </row>
    <row r="28" spans="1:9" ht="15.75" x14ac:dyDescent="0.25">
      <c r="A28" s="8"/>
      <c r="B28" s="8"/>
      <c r="C28" s="9"/>
      <c r="D28" s="12" t="s">
        <v>24</v>
      </c>
      <c r="E28" s="14">
        <f>+Enero!E28+Febrero!E28+Marzo!E28+Abril!E28+Mayo!E28+Junio!E28+Julio!E28+Agosto!E28+Septiembre!E28+Octubre!E28+Noviembre!E28+Diciembre!E28</f>
        <v>40166600.399999999</v>
      </c>
      <c r="F28" s="14">
        <f>+Enero!F28+Febrero!F28+Marzo!F28+Abril!F28+Mayo!F28+Junio!F28+Julio!F28+Agosto!F28+Septiembre!F28+Octubre!F28+Noviembre!F28+Diciembre!F28</f>
        <v>15902563.983997088</v>
      </c>
      <c r="G28" s="14">
        <f>+Enero!G28+Febrero!G28+Marzo!G28+Abril!G28+Mayo!G28+Junio!G28+Julio!G28+Agosto!G28+Septiembre!G28+Octubre!G28+Noviembre!G28+Diciembre!G28</f>
        <v>11928162.310000001</v>
      </c>
      <c r="H28" s="14">
        <f>+Enero!H28+Febrero!H28+Marzo!H28+Abril!H28+Mayo!H28+Junio!H28+Julio!H28+Agosto!H28+Septiembre!H28+Octubre!H28+Noviembre!H28+Diciembre!H28</f>
        <v>0</v>
      </c>
      <c r="I28" s="13">
        <f t="shared" si="0"/>
        <v>67997326.693997085</v>
      </c>
    </row>
    <row r="29" spans="1:9" ht="15.75" x14ac:dyDescent="0.25">
      <c r="A29" s="8"/>
      <c r="B29" s="8"/>
      <c r="C29" s="9"/>
      <c r="D29" s="12" t="s">
        <v>25</v>
      </c>
      <c r="E29" s="14">
        <f>+Enero!E29+Febrero!E29+Marzo!E29+Abril!E29+Mayo!E29+Junio!E29+Julio!E29+Agosto!E29+Septiembre!E29+Octubre!E29+Noviembre!E29+Diciembre!E29</f>
        <v>33920708.5</v>
      </c>
      <c r="F29" s="14">
        <f>+Enero!F29+Febrero!F29+Marzo!F29+Abril!F29+Mayo!F29+Junio!F29+Julio!F29+Agosto!F29+Septiembre!F29+Octubre!F29+Noviembre!F29+Diciembre!F29</f>
        <v>8899424.0321590044</v>
      </c>
      <c r="G29" s="14">
        <f>+Enero!G29+Febrero!G29+Marzo!G29+Abril!G29+Mayo!G29+Junio!G29+Julio!G29+Agosto!G29+Septiembre!G29+Octubre!G29+Noviembre!G29+Diciembre!G29</f>
        <v>4142340.0600000005</v>
      </c>
      <c r="H29" s="14">
        <f>+Enero!H29+Febrero!H29+Marzo!H29+Abril!H29+Mayo!H29+Junio!H29+Julio!H29+Agosto!H29+Septiembre!H29+Octubre!H29+Noviembre!H29+Diciembre!H29</f>
        <v>0</v>
      </c>
      <c r="I29" s="13">
        <f t="shared" si="0"/>
        <v>46962472.592159003</v>
      </c>
    </row>
    <row r="30" spans="1:9" ht="15.75" x14ac:dyDescent="0.25">
      <c r="A30" s="8"/>
      <c r="B30" s="8"/>
      <c r="C30" s="9"/>
      <c r="D30" s="12" t="s">
        <v>26</v>
      </c>
      <c r="E30" s="14">
        <f>+Enero!E30+Febrero!E30+Marzo!E30+Abril!E30+Mayo!E30+Junio!E30+Julio!E30+Agosto!E30+Septiembre!E30+Octubre!E30+Noviembre!E30+Diciembre!E30</f>
        <v>69272590.920000002</v>
      </c>
      <c r="F30" s="14">
        <f>+Enero!F30+Febrero!F30+Marzo!F30+Abril!F30+Mayo!F30+Junio!F30+Julio!F30+Agosto!F30+Septiembre!F30+Octubre!F30+Noviembre!F30+Diciembre!F30</f>
        <v>47999622.811973162</v>
      </c>
      <c r="G30" s="14">
        <f>+Enero!G30+Febrero!G30+Marzo!G30+Abril!G30+Mayo!G30+Junio!G30+Julio!G30+Agosto!G30+Septiembre!G30+Octubre!G30+Noviembre!G30+Diciembre!G30</f>
        <v>9877811.3200000003</v>
      </c>
      <c r="H30" s="14">
        <f>+Enero!H30+Febrero!H30+Marzo!H30+Abril!H30+Mayo!H30+Junio!H30+Julio!H30+Agosto!H30+Septiembre!H30+Octubre!H30+Noviembre!H30+Diciembre!H30</f>
        <v>0</v>
      </c>
      <c r="I30" s="13">
        <f t="shared" si="0"/>
        <v>127150025.05197316</v>
      </c>
    </row>
    <row r="31" spans="1:9" ht="15.75" x14ac:dyDescent="0.25">
      <c r="A31" s="8"/>
      <c r="B31" s="8"/>
      <c r="C31" s="9"/>
      <c r="D31" s="12" t="s">
        <v>27</v>
      </c>
      <c r="E31" s="14">
        <f>+Enero!E31+Febrero!E31+Marzo!E31+Abril!E31+Mayo!E31+Junio!E31+Julio!E31+Agosto!E31+Septiembre!E31+Octubre!E31+Noviembre!E31+Diciembre!E31</f>
        <v>64133996.969999991</v>
      </c>
      <c r="F31" s="14">
        <f>+Enero!F31+Febrero!F31+Marzo!F31+Abril!F31+Mayo!F31+Junio!F31+Julio!F31+Agosto!F31+Septiembre!F31+Octubre!F31+Noviembre!F31+Diciembre!F31</f>
        <v>49750126.9369279</v>
      </c>
      <c r="G31" s="14">
        <f>+Enero!G31+Febrero!G31+Marzo!G31+Abril!G31+Mayo!G31+Junio!G31+Julio!G31+Agosto!G31+Septiembre!G31+Octubre!G31+Noviembre!G31+Diciembre!G31</f>
        <v>6646328.9899999993</v>
      </c>
      <c r="H31" s="14">
        <f>+Enero!H31+Febrero!H31+Marzo!H31+Abril!H31+Mayo!H31+Junio!H31+Julio!H31+Agosto!H31+Septiembre!H31+Octubre!H31+Noviembre!H31+Diciembre!H31</f>
        <v>0</v>
      </c>
      <c r="I31" s="13">
        <f t="shared" si="0"/>
        <v>120530452.89692788</v>
      </c>
    </row>
    <row r="32" spans="1:9" ht="15.75" x14ac:dyDescent="0.25">
      <c r="A32" s="8"/>
      <c r="B32" s="8"/>
      <c r="C32" s="9"/>
      <c r="D32" s="12" t="s">
        <v>28</v>
      </c>
      <c r="E32" s="14">
        <f>+Enero!E32+Febrero!E32+Marzo!E32+Abril!E32+Mayo!E32+Junio!E32+Julio!E32+Agosto!E32+Septiembre!E32+Octubre!E32+Noviembre!E32+Diciembre!E32</f>
        <v>50825436.140000001</v>
      </c>
      <c r="F32" s="14">
        <f>+Enero!F32+Febrero!F32+Marzo!F32+Abril!F32+Mayo!F32+Junio!F32+Julio!F32+Agosto!F32+Septiembre!F32+Octubre!F32+Noviembre!F32+Diciembre!F32</f>
        <v>16792505.856999457</v>
      </c>
      <c r="G32" s="14">
        <f>+Enero!G32+Febrero!G32+Marzo!G32+Abril!G32+Mayo!G32+Junio!G32+Julio!G32+Agosto!G32+Septiembre!G32+Octubre!G32+Noviembre!G32+Diciembre!G32</f>
        <v>4583786.5799999991</v>
      </c>
      <c r="H32" s="14">
        <f>+Enero!H32+Febrero!H32+Marzo!H32+Abril!H32+Mayo!H32+Junio!H32+Julio!H32+Agosto!H32+Septiembre!H32+Octubre!H32+Noviembre!H32+Diciembre!H32</f>
        <v>0</v>
      </c>
      <c r="I32" s="13">
        <f t="shared" si="0"/>
        <v>72201728.576999456</v>
      </c>
    </row>
    <row r="33" spans="1:9" ht="15.75" x14ac:dyDescent="0.25">
      <c r="A33" s="8"/>
      <c r="B33" s="8"/>
      <c r="C33" s="9"/>
      <c r="D33" s="12" t="s">
        <v>29</v>
      </c>
      <c r="E33" s="14">
        <f>+Enero!E33+Febrero!E33+Marzo!E33+Abril!E33+Mayo!E33+Junio!E33+Julio!E33+Agosto!E33+Septiembre!E33+Octubre!E33+Noviembre!E33+Diciembre!E33</f>
        <v>15842295.889999999</v>
      </c>
      <c r="F33" s="14">
        <f>+Enero!F33+Febrero!F33+Marzo!F33+Abril!F33+Mayo!F33+Junio!F33+Julio!F33+Agosto!F33+Septiembre!F33+Octubre!F33+Noviembre!F33+Diciembre!F33</f>
        <v>25385860.340390522</v>
      </c>
      <c r="G33" s="14">
        <f>+Enero!G33+Febrero!G33+Marzo!G33+Abril!G33+Mayo!G33+Junio!G33+Julio!G33+Agosto!G33+Septiembre!G33+Octubre!G33+Noviembre!G33+Diciembre!G33</f>
        <v>2564394.13</v>
      </c>
      <c r="H33" s="14">
        <f>+Enero!H33+Febrero!H33+Marzo!H33+Abril!H33+Mayo!H33+Junio!H33+Julio!H33+Agosto!H33+Septiembre!H33+Octubre!H33+Noviembre!H33+Diciembre!H33</f>
        <v>0</v>
      </c>
      <c r="I33" s="13">
        <f t="shared" si="0"/>
        <v>43792550.360390522</v>
      </c>
    </row>
    <row r="34" spans="1:9" ht="15.75" x14ac:dyDescent="0.25">
      <c r="A34" s="8"/>
      <c r="B34" s="8"/>
      <c r="C34" s="9"/>
      <c r="D34" s="12" t="s">
        <v>30</v>
      </c>
      <c r="E34" s="14">
        <f>+Enero!E34+Febrero!E34+Marzo!E34+Abril!E34+Mayo!E34+Junio!E34+Julio!E34+Agosto!E34+Septiembre!E34+Octubre!E34+Noviembre!E34+Diciembre!E34</f>
        <v>148744112.34</v>
      </c>
      <c r="F34" s="14">
        <f>+Enero!F34+Febrero!F34+Marzo!F34+Abril!F34+Mayo!F34+Junio!F34+Julio!F34+Agosto!F34+Septiembre!F34+Octubre!F34+Noviembre!F34+Diciembre!F34</f>
        <v>36429996.909422226</v>
      </c>
      <c r="G34" s="14">
        <f>+Enero!G34+Febrero!G34+Marzo!G34+Abril!G34+Mayo!G34+Junio!G34+Julio!G34+Agosto!G34+Septiembre!G34+Octubre!G34+Noviembre!G34+Diciembre!G34</f>
        <v>19264230.789999999</v>
      </c>
      <c r="H34" s="14">
        <f>+Enero!H34+Febrero!H34+Marzo!H34+Abril!H34+Mayo!H34+Junio!H34+Julio!H34+Agosto!H34+Septiembre!H34+Octubre!H34+Noviembre!H34+Diciembre!H34</f>
        <v>0</v>
      </c>
      <c r="I34" s="13">
        <f t="shared" si="0"/>
        <v>204438340.03942221</v>
      </c>
    </row>
    <row r="35" spans="1:9" ht="15.75" x14ac:dyDescent="0.25">
      <c r="A35" s="8"/>
      <c r="B35" s="8"/>
      <c r="C35" s="9"/>
      <c r="D35" s="12" t="s">
        <v>31</v>
      </c>
      <c r="E35" s="14">
        <f>+Enero!E35+Febrero!E35+Marzo!E35+Abril!E35+Mayo!E35+Junio!E35+Julio!E35+Agosto!E35+Septiembre!E35+Octubre!E35+Noviembre!E35+Diciembre!E35</f>
        <v>61396824.359999992</v>
      </c>
      <c r="F35" s="14">
        <f>+Enero!F35+Febrero!F35+Marzo!F35+Abril!F35+Mayo!F35+Junio!F35+Julio!F35+Agosto!F35+Septiembre!F35+Octubre!F35+Noviembre!F35+Diciembre!F35</f>
        <v>66805763.195857473</v>
      </c>
      <c r="G35" s="14">
        <f>+Enero!G35+Febrero!G35+Marzo!G35+Abril!G35+Mayo!G35+Junio!G35+Julio!G35+Agosto!G35+Septiembre!G35+Octubre!G35+Noviembre!G35+Diciembre!G35</f>
        <v>12274231.409999998</v>
      </c>
      <c r="H35" s="14">
        <f>+Enero!H35+Febrero!H35+Marzo!H35+Abril!H35+Mayo!H35+Junio!H35+Julio!H35+Agosto!H35+Septiembre!H35+Octubre!H35+Noviembre!H35+Diciembre!H35</f>
        <v>0</v>
      </c>
      <c r="I35" s="13">
        <f t="shared" si="0"/>
        <v>140476818.96585748</v>
      </c>
    </row>
    <row r="36" spans="1:9" ht="15.75" x14ac:dyDescent="0.25">
      <c r="A36" s="8"/>
      <c r="B36" s="8"/>
      <c r="C36" s="9"/>
      <c r="D36" s="12" t="s">
        <v>32</v>
      </c>
      <c r="E36" s="14">
        <f>+Enero!E36+Febrero!E36+Marzo!E36+Abril!E36+Mayo!E36+Junio!E36+Julio!E36+Agosto!E36+Septiembre!E36+Octubre!E36+Noviembre!E36+Diciembre!E36</f>
        <v>74086782.600000009</v>
      </c>
      <c r="F36" s="14">
        <f>+Enero!F36+Febrero!F36+Marzo!F36+Abril!F36+Mayo!F36+Junio!F36+Julio!F36+Agosto!F36+Septiembre!F36+Octubre!F36+Noviembre!F36+Diciembre!F36</f>
        <v>33234681.956895892</v>
      </c>
      <c r="G36" s="14">
        <f>+Enero!G36+Febrero!G36+Marzo!G36+Abril!G36+Mayo!G36+Junio!G36+Julio!G36+Agosto!G36+Septiembre!G36+Octubre!G36+Noviembre!G36+Diciembre!G36</f>
        <v>23244691.73</v>
      </c>
      <c r="H36" s="14">
        <f>+Enero!H36+Febrero!H36+Marzo!H36+Abril!H36+Mayo!H36+Junio!H36+Julio!H36+Agosto!H36+Septiembre!H36+Octubre!H36+Noviembre!H36+Diciembre!H36</f>
        <v>0</v>
      </c>
      <c r="I36" s="13">
        <f t="shared" si="0"/>
        <v>130566156.2868959</v>
      </c>
    </row>
    <row r="37" spans="1:9" ht="15.75" x14ac:dyDescent="0.25">
      <c r="A37" s="8"/>
      <c r="B37" s="8"/>
      <c r="C37" s="9"/>
      <c r="D37" s="12" t="s">
        <v>33</v>
      </c>
      <c r="E37" s="14">
        <f>+Enero!E37+Febrero!E37+Marzo!E37+Abril!E37+Mayo!E37+Junio!E37+Julio!E37+Agosto!E37+Septiembre!E37+Octubre!E37+Noviembre!E37+Diciembre!E37</f>
        <v>66330345.43999999</v>
      </c>
      <c r="F37" s="14">
        <f>+Enero!F37+Febrero!F37+Marzo!F37+Abril!F37+Mayo!F37+Junio!F37+Julio!F37+Agosto!F37+Septiembre!F37+Octubre!F37+Noviembre!F37+Diciembre!F37</f>
        <v>23172776.768734049</v>
      </c>
      <c r="G37" s="14">
        <f>+Enero!G37+Febrero!G37+Marzo!G37+Abril!G37+Mayo!G37+Junio!G37+Julio!G37+Agosto!G37+Septiembre!G37+Octubre!G37+Noviembre!G37+Diciembre!G37</f>
        <v>7027752.0200000005</v>
      </c>
      <c r="H37" s="14">
        <f>+Enero!H37+Febrero!H37+Marzo!H37+Abril!H37+Mayo!H37+Junio!H37+Julio!H37+Agosto!H37+Septiembre!H37+Octubre!H37+Noviembre!H37+Diciembre!H37</f>
        <v>0</v>
      </c>
      <c r="I37" s="13">
        <f t="shared" si="0"/>
        <v>96530874.228734031</v>
      </c>
    </row>
    <row r="38" spans="1:9" ht="15.75" x14ac:dyDescent="0.25">
      <c r="A38" s="8"/>
      <c r="B38" s="8"/>
      <c r="C38" s="9"/>
      <c r="D38" s="12" t="s">
        <v>34</v>
      </c>
      <c r="E38" s="14">
        <f>+Enero!E38+Febrero!E38+Marzo!E38+Abril!E38+Mayo!E38+Junio!E38+Julio!E38+Agosto!E38+Septiembre!E38+Octubre!E38+Noviembre!E38+Diciembre!E38</f>
        <v>56384157.719999999</v>
      </c>
      <c r="F38" s="14">
        <f>+Enero!F38+Febrero!F38+Marzo!F38+Abril!F38+Mayo!F38+Junio!F38+Julio!F38+Agosto!F38+Septiembre!F38+Octubre!F38+Noviembre!F38+Diciembre!F38</f>
        <v>39945885.746616758</v>
      </c>
      <c r="G38" s="14">
        <f>+Enero!G38+Febrero!G38+Marzo!G38+Abril!G38+Mayo!G38+Junio!G38+Julio!G38+Agosto!G38+Septiembre!G38+Octubre!G38+Noviembre!G38+Diciembre!G38</f>
        <v>6862929.2700000005</v>
      </c>
      <c r="H38" s="14">
        <f>+Enero!H38+Febrero!H38+Marzo!H38+Abril!H38+Mayo!H38+Junio!H38+Julio!H38+Agosto!H38+Septiembre!H38+Octubre!H38+Noviembre!H38+Diciembre!H38</f>
        <v>0</v>
      </c>
      <c r="I38" s="13">
        <f t="shared" si="0"/>
        <v>103192972.73661675</v>
      </c>
    </row>
    <row r="39" spans="1:9" ht="15.75" x14ac:dyDescent="0.25">
      <c r="A39" s="8"/>
      <c r="B39" s="8"/>
      <c r="C39" s="9"/>
      <c r="D39" s="12" t="s">
        <v>35</v>
      </c>
      <c r="E39" s="14">
        <f>+Enero!E39+Febrero!E39+Marzo!E39+Abril!E39+Mayo!E39+Junio!E39+Julio!E39+Agosto!E39+Septiembre!E39+Octubre!E39+Noviembre!E39+Diciembre!E39</f>
        <v>45825749.049999997</v>
      </c>
      <c r="F39" s="14">
        <f>+Enero!F39+Febrero!F39+Marzo!F39+Abril!F39+Mayo!F39+Junio!F39+Julio!F39+Agosto!F39+Septiembre!F39+Octubre!F39+Noviembre!F39+Diciembre!F39</f>
        <v>62545143.882299162</v>
      </c>
      <c r="G39" s="14">
        <f>+Enero!G39+Febrero!G39+Marzo!G39+Abril!G39+Mayo!G39+Junio!G39+Julio!G39+Agosto!G39+Septiembre!G39+Octubre!G39+Noviembre!G39+Diciembre!G39</f>
        <v>8318693.8100000005</v>
      </c>
      <c r="H39" s="14">
        <f>+Enero!H39+Febrero!H39+Marzo!H39+Abril!H39+Mayo!H39+Junio!H39+Julio!H39+Agosto!H39+Septiembre!H39+Octubre!H39+Noviembre!H39+Diciembre!H39</f>
        <v>0</v>
      </c>
      <c r="I39" s="13">
        <f t="shared" si="0"/>
        <v>116689586.74229917</v>
      </c>
    </row>
    <row r="40" spans="1:9" ht="15.75" x14ac:dyDescent="0.25">
      <c r="A40" s="8"/>
      <c r="B40" s="8"/>
      <c r="C40" s="9"/>
      <c r="D40" s="12" t="s">
        <v>36</v>
      </c>
      <c r="E40" s="14">
        <f>+Enero!E40+Febrero!E40+Marzo!E40+Abril!E40+Mayo!E40+Junio!E40+Julio!E40+Agosto!E40+Septiembre!E40+Octubre!E40+Noviembre!E40+Diciembre!E40</f>
        <v>5203785.5200000014</v>
      </c>
      <c r="F40" s="14">
        <f>+Enero!F40+Febrero!F40+Marzo!F40+Abril!F40+Mayo!F40+Junio!F40+Julio!F40+Agosto!F40+Septiembre!F40+Octubre!F40+Noviembre!F40+Diciembre!F40</f>
        <v>3282711.9171773368</v>
      </c>
      <c r="G40" s="14">
        <f>+Enero!G40+Febrero!G40+Marzo!G40+Abril!G40+Mayo!G40+Junio!G40+Julio!G40+Agosto!G40+Septiembre!G40+Octubre!G40+Noviembre!G40+Diciembre!G40</f>
        <v>6601496.2899999991</v>
      </c>
      <c r="H40" s="14">
        <f>+Enero!H40+Febrero!H40+Marzo!H40+Abril!H40+Mayo!H40+Junio!H40+Julio!H40+Agosto!H40+Septiembre!H40+Octubre!H40+Noviembre!H40+Diciembre!H40</f>
        <v>0</v>
      </c>
      <c r="I40" s="13">
        <f t="shared" si="0"/>
        <v>15087993.727177337</v>
      </c>
    </row>
    <row r="41" spans="1:9" ht="15.75" x14ac:dyDescent="0.25">
      <c r="A41" s="8"/>
      <c r="B41" s="8"/>
      <c r="C41" s="9"/>
      <c r="D41" s="12" t="s">
        <v>37</v>
      </c>
      <c r="E41" s="14">
        <f>+Enero!E41+Febrero!E41+Marzo!E41+Abril!E41+Mayo!E41+Junio!E41+Julio!E41+Agosto!E41+Septiembre!E41+Octubre!E41+Noviembre!E41+Diciembre!E41</f>
        <v>98632010.040000007</v>
      </c>
      <c r="F41" s="14">
        <f>+Enero!F41+Febrero!F41+Marzo!F41+Abril!F41+Mayo!F41+Junio!F41+Julio!F41+Agosto!F41+Septiembre!F41+Octubre!F41+Noviembre!F41+Diciembre!F41</f>
        <v>58740273.351203233</v>
      </c>
      <c r="G41" s="14">
        <f>+Enero!G41+Febrero!G41+Marzo!G41+Abril!G41+Mayo!G41+Junio!G41+Julio!G41+Agosto!G41+Septiembre!G41+Octubre!G41+Noviembre!G41+Diciembre!G41</f>
        <v>16561604.68</v>
      </c>
      <c r="H41" s="14">
        <f>+Enero!H41+Febrero!H41+Marzo!H41+Abril!H41+Mayo!H41+Junio!H41+Julio!H41+Agosto!H41+Septiembre!H41+Octubre!H41+Noviembre!H41+Diciembre!H41</f>
        <v>0</v>
      </c>
      <c r="I41" s="13">
        <f t="shared" si="0"/>
        <v>173933888.07120323</v>
      </c>
    </row>
    <row r="42" spans="1:9" ht="15.75" x14ac:dyDescent="0.25">
      <c r="A42" s="8"/>
      <c r="B42" s="8"/>
      <c r="C42" s="9"/>
      <c r="D42" s="12" t="s">
        <v>38</v>
      </c>
      <c r="E42" s="14">
        <f>+Enero!E42+Febrero!E42+Marzo!E42+Abril!E42+Mayo!E42+Junio!E42+Julio!E42+Agosto!E42+Septiembre!E42+Octubre!E42+Noviembre!E42+Diciembre!E42</f>
        <v>69822860.629999995</v>
      </c>
      <c r="F42" s="14">
        <f>+Enero!F42+Febrero!F42+Marzo!F42+Abril!F42+Mayo!F42+Junio!F42+Julio!F42+Agosto!F42+Septiembre!F42+Octubre!F42+Noviembre!F42+Diciembre!F42</f>
        <v>58084941.102200828</v>
      </c>
      <c r="G42" s="14">
        <f>+Enero!G42+Febrero!G42+Marzo!G42+Abril!G42+Mayo!G42+Junio!G42+Julio!G42+Agosto!G42+Septiembre!G42+Octubre!G42+Noviembre!G42+Diciembre!G42</f>
        <v>5864814.7199999988</v>
      </c>
      <c r="H42" s="14">
        <f>+Enero!H42+Febrero!H42+Marzo!H42+Abril!H42+Mayo!H42+Junio!H42+Julio!H42+Agosto!H42+Septiembre!H42+Octubre!H42+Noviembre!H42+Diciembre!H42</f>
        <v>0</v>
      </c>
      <c r="I42" s="13">
        <f t="shared" ref="I42:I73" si="1">SUM(E42:H42)</f>
        <v>133772616.45220083</v>
      </c>
    </row>
    <row r="43" spans="1:9" ht="15.75" x14ac:dyDescent="0.25">
      <c r="A43" s="8"/>
      <c r="B43" s="8"/>
      <c r="C43" s="9"/>
      <c r="D43" s="12" t="s">
        <v>39</v>
      </c>
      <c r="E43" s="14">
        <f>+Enero!E43+Febrero!E43+Marzo!E43+Abril!E43+Mayo!E43+Junio!E43+Julio!E43+Agosto!E43+Septiembre!E43+Octubre!E43+Noviembre!E43+Diciembre!E43</f>
        <v>16526330.610000001</v>
      </c>
      <c r="F43" s="14">
        <f>+Enero!F43+Febrero!F43+Marzo!F43+Abril!F43+Mayo!F43+Junio!F43+Julio!F43+Agosto!F43+Septiembre!F43+Octubre!F43+Noviembre!F43+Diciembre!F43</f>
        <v>21607044.012879271</v>
      </c>
      <c r="G43" s="14">
        <f>+Enero!G43+Febrero!G43+Marzo!G43+Abril!G43+Mayo!G43+Junio!G43+Julio!G43+Agosto!G43+Septiembre!G43+Octubre!G43+Noviembre!G43+Diciembre!G43</f>
        <v>6754141.879999999</v>
      </c>
      <c r="H43" s="14">
        <f>+Enero!H43+Febrero!H43+Marzo!H43+Abril!H43+Mayo!H43+Junio!H43+Julio!H43+Agosto!H43+Septiembre!H43+Octubre!H43+Noviembre!H43+Diciembre!H43</f>
        <v>0</v>
      </c>
      <c r="I43" s="13">
        <f t="shared" si="1"/>
        <v>44887516.502879277</v>
      </c>
    </row>
    <row r="44" spans="1:9" ht="15.75" x14ac:dyDescent="0.25">
      <c r="A44" s="8"/>
      <c r="B44" s="8"/>
      <c r="C44" s="9"/>
      <c r="D44" s="12" t="s">
        <v>40</v>
      </c>
      <c r="E44" s="14">
        <f>+Enero!E44+Febrero!E44+Marzo!E44+Abril!E44+Mayo!E44+Junio!E44+Julio!E44+Agosto!E44+Septiembre!E44+Octubre!E44+Noviembre!E44+Diciembre!E44</f>
        <v>361121.31999999995</v>
      </c>
      <c r="F44" s="14">
        <f>+Enero!F44+Febrero!F44+Marzo!F44+Abril!F44+Mayo!F44+Junio!F44+Julio!F44+Agosto!F44+Septiembre!F44+Octubre!F44+Noviembre!F44+Diciembre!F44</f>
        <v>1663107.1603037317</v>
      </c>
      <c r="G44" s="14">
        <f>+Enero!G44+Febrero!G44+Marzo!G44+Abril!G44+Mayo!G44+Junio!G44+Julio!G44+Agosto!G44+Septiembre!G44+Octubre!G44+Noviembre!G44+Diciembre!G44</f>
        <v>7977193.8500000006</v>
      </c>
      <c r="H44" s="14">
        <f>+Enero!H44+Febrero!H44+Marzo!H44+Abril!H44+Mayo!H44+Junio!H44+Julio!H44+Agosto!H44+Septiembre!H44+Octubre!H44+Noviembre!H44+Diciembre!H44</f>
        <v>0</v>
      </c>
      <c r="I44" s="13">
        <f t="shared" si="1"/>
        <v>10001422.330303732</v>
      </c>
    </row>
    <row r="45" spans="1:9" ht="15.75" x14ac:dyDescent="0.25">
      <c r="A45" s="8"/>
      <c r="B45" s="8"/>
      <c r="C45" s="9"/>
      <c r="D45" s="12" t="s">
        <v>41</v>
      </c>
      <c r="E45" s="14">
        <f>+Enero!E45+Febrero!E45+Marzo!E45+Abril!E45+Mayo!E45+Junio!E45+Julio!E45+Agosto!E45+Septiembre!E45+Octubre!E45+Noviembre!E45+Diciembre!E45</f>
        <v>33147365.709999997</v>
      </c>
      <c r="F45" s="14">
        <f>+Enero!F45+Febrero!F45+Marzo!F45+Abril!F45+Mayo!F45+Junio!F45+Julio!F45+Agosto!F45+Septiembre!F45+Octubre!F45+Noviembre!F45+Diciembre!F45</f>
        <v>481605.37656897196</v>
      </c>
      <c r="G45" s="14">
        <f>+Enero!G45+Febrero!G45+Marzo!G45+Abril!G45+Mayo!G45+Junio!G45+Julio!G45+Agosto!G45+Septiembre!G45+Octubre!G45+Noviembre!G45+Diciembre!G45</f>
        <v>30033344.500000004</v>
      </c>
      <c r="H45" s="14">
        <f>+Enero!H45+Febrero!H45+Marzo!H45+Abril!H45+Mayo!H45+Junio!H45+Julio!H45+Agosto!H45+Septiembre!H45+Octubre!H45+Noviembre!H45+Diciembre!H45</f>
        <v>0</v>
      </c>
      <c r="I45" s="13">
        <f t="shared" si="1"/>
        <v>63662315.586568967</v>
      </c>
    </row>
    <row r="46" spans="1:9" ht="15.75" x14ac:dyDescent="0.25">
      <c r="A46" s="8"/>
      <c r="B46" s="8"/>
      <c r="C46" s="9"/>
      <c r="D46" s="12" t="s">
        <v>42</v>
      </c>
      <c r="E46" s="14">
        <f>+Enero!E46+Febrero!E46+Marzo!E46+Abril!E46+Mayo!E46+Junio!E46+Julio!E46+Agosto!E46+Septiembre!E46+Octubre!E46+Noviembre!E46+Diciembre!E46</f>
        <v>6973026.1699999999</v>
      </c>
      <c r="F46" s="14">
        <f>+Enero!F46+Febrero!F46+Marzo!F46+Abril!F46+Mayo!F46+Junio!F46+Julio!F46+Agosto!F46+Septiembre!F46+Octubre!F46+Noviembre!F46+Diciembre!F46</f>
        <v>1604718.8674532275</v>
      </c>
      <c r="G46" s="14">
        <f>+Enero!G46+Febrero!G46+Marzo!G46+Abril!G46+Mayo!G46+Junio!G46+Julio!G46+Agosto!G46+Septiembre!G46+Octubre!G46+Noviembre!G46+Diciembre!G46</f>
        <v>39374176.930000007</v>
      </c>
      <c r="H46" s="14">
        <f>+Enero!H46+Febrero!H46+Marzo!H46+Abril!H46+Mayo!H46+Junio!H46+Julio!H46+Agosto!H46+Septiembre!H46+Octubre!H46+Noviembre!H46+Diciembre!H46</f>
        <v>0</v>
      </c>
      <c r="I46" s="13">
        <f t="shared" si="1"/>
        <v>47951921.967453234</v>
      </c>
    </row>
    <row r="47" spans="1:9" ht="15.75" x14ac:dyDescent="0.25">
      <c r="A47" s="8"/>
      <c r="B47" s="8"/>
      <c r="C47" s="9"/>
      <c r="D47" s="12" t="s">
        <v>43</v>
      </c>
      <c r="E47" s="14">
        <f>+Enero!E47+Febrero!E47+Marzo!E47+Abril!E47+Mayo!E47+Junio!E47+Julio!E47+Agosto!E47+Septiembre!E47+Octubre!E47+Noviembre!E47+Diciembre!E47</f>
        <v>44372243.720000006</v>
      </c>
      <c r="F47" s="14">
        <f>+Enero!F47+Febrero!F47+Marzo!F47+Abril!F47+Mayo!F47+Junio!F47+Julio!F47+Agosto!F47+Septiembre!F47+Octubre!F47+Noviembre!F47+Diciembre!F47</f>
        <v>11449283.975623919</v>
      </c>
      <c r="G47" s="14">
        <f>+Enero!G47+Febrero!G47+Marzo!G47+Abril!G47+Mayo!G47+Junio!G47+Julio!G47+Agosto!G47+Septiembre!G47+Octubre!G47+Noviembre!G47+Diciembre!G47</f>
        <v>7133008.96</v>
      </c>
      <c r="H47" s="14">
        <f>+Enero!H47+Febrero!H47+Marzo!H47+Abril!H47+Mayo!H47+Junio!H47+Julio!H47+Agosto!H47+Septiembre!H47+Octubre!H47+Noviembre!H47+Diciembre!H47</f>
        <v>0</v>
      </c>
      <c r="I47" s="13">
        <f t="shared" si="1"/>
        <v>62954536.655623928</v>
      </c>
    </row>
    <row r="48" spans="1:9" ht="15.75" x14ac:dyDescent="0.25">
      <c r="A48" s="8"/>
      <c r="B48" s="8"/>
      <c r="C48" s="9"/>
      <c r="D48" s="12" t="s">
        <v>44</v>
      </c>
      <c r="E48" s="14">
        <f>+Enero!E48+Febrero!E48+Marzo!E48+Abril!E48+Mayo!E48+Junio!E48+Julio!E48+Agosto!E48+Septiembre!E48+Octubre!E48+Noviembre!E48+Diciembre!E48</f>
        <v>26431906.069999997</v>
      </c>
      <c r="F48" s="14">
        <f>+Enero!F48+Febrero!F48+Marzo!F48+Abril!F48+Mayo!F48+Junio!F48+Julio!F48+Agosto!F48+Septiembre!F48+Octubre!F48+Noviembre!F48+Diciembre!F48</f>
        <v>1604718.8674532275</v>
      </c>
      <c r="G48" s="14">
        <f>+Enero!G48+Febrero!G48+Marzo!G48+Abril!G48+Mayo!G48+Junio!G48+Julio!G48+Agosto!G48+Septiembre!G48+Octubre!G48+Noviembre!G48+Diciembre!G48</f>
        <v>16337896.389999999</v>
      </c>
      <c r="H48" s="14">
        <f>+Enero!H48+Febrero!H48+Marzo!H48+Abril!H48+Mayo!H48+Junio!H48+Julio!H48+Agosto!H48+Septiembre!H48+Octubre!H48+Noviembre!H48+Diciembre!H48</f>
        <v>0</v>
      </c>
      <c r="I48" s="13">
        <f t="shared" si="1"/>
        <v>44374521.327453226</v>
      </c>
    </row>
    <row r="49" spans="1:9" ht="15.75" x14ac:dyDescent="0.25">
      <c r="A49" s="8"/>
      <c r="B49" s="8"/>
      <c r="C49" s="9"/>
      <c r="D49" s="12" t="s">
        <v>45</v>
      </c>
      <c r="E49" s="14">
        <f>+Enero!E49+Febrero!E49+Marzo!E49+Abril!E49+Mayo!E49+Junio!E49+Julio!E49+Agosto!E49+Septiembre!E49+Octubre!E49+Noviembre!E49+Diciembre!E49</f>
        <v>9321040.4600000009</v>
      </c>
      <c r="F49" s="14">
        <f>+Enero!F49+Febrero!F49+Marzo!F49+Abril!F49+Mayo!F49+Junio!F49+Julio!F49+Agosto!F49+Septiembre!F49+Octubre!F49+Noviembre!F49+Diciembre!F49</f>
        <v>1911164.6676059947</v>
      </c>
      <c r="G49" s="14">
        <f>+Enero!G49+Febrero!G49+Marzo!G49+Abril!G49+Mayo!G49+Junio!G49+Julio!G49+Agosto!G49+Septiembre!G49+Octubre!G49+Noviembre!G49+Diciembre!G49</f>
        <v>31594088.800000001</v>
      </c>
      <c r="H49" s="14">
        <f>+Enero!H49+Febrero!H49+Marzo!H49+Abril!H49+Mayo!H49+Junio!H49+Julio!H49+Agosto!H49+Septiembre!H49+Octubre!H49+Noviembre!H49+Diciembre!H49</f>
        <v>0</v>
      </c>
      <c r="I49" s="13">
        <f t="shared" si="1"/>
        <v>42826293.927605994</v>
      </c>
    </row>
    <row r="50" spans="1:9" ht="15.75" x14ac:dyDescent="0.25">
      <c r="A50" s="8"/>
      <c r="B50" s="8"/>
      <c r="C50" s="9"/>
      <c r="D50" s="12" t="s">
        <v>46</v>
      </c>
      <c r="E50" s="14">
        <f>+Enero!E50+Febrero!E50+Marzo!E50+Abril!E50+Mayo!E50+Junio!E50+Julio!E50+Agosto!E50+Septiembre!E50+Octubre!E50+Noviembre!E50+Diciembre!E50</f>
        <v>37231584.000000007</v>
      </c>
      <c r="F50" s="14">
        <f>+Enero!F50+Febrero!F50+Marzo!F50+Abril!F50+Mayo!F50+Junio!F50+Julio!F50+Agosto!F50+Septiembre!F50+Octubre!F50+Noviembre!F50+Diciembre!F50</f>
        <v>22411726.860609185</v>
      </c>
      <c r="G50" s="14">
        <f>+Enero!G50+Febrero!G50+Marzo!G50+Abril!G50+Mayo!G50+Junio!G50+Julio!G50+Agosto!G50+Septiembre!G50+Octubre!G50+Noviembre!G50+Diciembre!G50</f>
        <v>3075353.9099999997</v>
      </c>
      <c r="H50" s="14">
        <f>+Enero!H50+Febrero!H50+Marzo!H50+Abril!H50+Mayo!H50+Junio!H50+Julio!H50+Agosto!H50+Septiembre!H50+Octubre!H50+Noviembre!H50+Diciembre!H50</f>
        <v>0</v>
      </c>
      <c r="I50" s="13">
        <f t="shared" si="1"/>
        <v>62718664.770609185</v>
      </c>
    </row>
    <row r="51" spans="1:9" ht="15.75" x14ac:dyDescent="0.25">
      <c r="A51" s="8"/>
      <c r="B51" s="8"/>
      <c r="C51" s="9"/>
      <c r="D51" s="12" t="s">
        <v>47</v>
      </c>
      <c r="E51" s="14">
        <f>+Enero!E51+Febrero!E51+Marzo!E51+Abril!E51+Mayo!E51+Junio!E51+Julio!E51+Agosto!E51+Septiembre!E51+Octubre!E51+Noviembre!E51+Diciembre!E51</f>
        <v>54152809.68999999</v>
      </c>
      <c r="F51" s="14">
        <f>+Enero!F51+Febrero!F51+Marzo!F51+Abril!F51+Mayo!F51+Junio!F51+Julio!F51+Agosto!F51+Septiembre!F51+Octubre!F51+Noviembre!F51+Diciembre!F51</f>
        <v>33585006.411863603</v>
      </c>
      <c r="G51" s="14">
        <f>+Enero!G51+Febrero!G51+Marzo!G51+Abril!G51+Mayo!G51+Junio!G51+Julio!G51+Agosto!G51+Septiembre!G51+Octubre!G51+Noviembre!G51+Diciembre!G51</f>
        <v>9181853.2699999996</v>
      </c>
      <c r="H51" s="14">
        <f>+Enero!H51+Febrero!H51+Marzo!H51+Abril!H51+Mayo!H51+Junio!H51+Julio!H51+Agosto!H51+Septiembre!H51+Octubre!H51+Noviembre!H51+Diciembre!H51</f>
        <v>0</v>
      </c>
      <c r="I51" s="13">
        <f t="shared" si="1"/>
        <v>96919669.371863589</v>
      </c>
    </row>
    <row r="52" spans="1:9" ht="15.75" x14ac:dyDescent="0.25">
      <c r="A52" s="8"/>
      <c r="B52" s="8"/>
      <c r="C52" s="9"/>
      <c r="D52" s="12" t="s">
        <v>48</v>
      </c>
      <c r="E52" s="14">
        <f>+Enero!E52+Febrero!E52+Marzo!E52+Abril!E52+Mayo!E52+Junio!E52+Julio!E52+Agosto!E52+Septiembre!E52+Octubre!E52+Noviembre!E52+Diciembre!E52</f>
        <v>36294544.119999997</v>
      </c>
      <c r="F52" s="14">
        <f>+Enero!F52+Febrero!F52+Marzo!F52+Abril!F52+Mayo!F52+Junio!F52+Julio!F52+Agosto!F52+Septiembre!F52+Octubre!F52+Noviembre!F52+Diciembre!F52</f>
        <v>33847562.952930801</v>
      </c>
      <c r="G52" s="14">
        <f>+Enero!G52+Febrero!G52+Marzo!G52+Abril!G52+Mayo!G52+Junio!G52+Julio!G52+Agosto!G52+Septiembre!G52+Octubre!G52+Noviembre!G52+Diciembre!G52</f>
        <v>2708795.78</v>
      </c>
      <c r="H52" s="14">
        <f>+Enero!H52+Febrero!H52+Marzo!H52+Abril!H52+Mayo!H52+Junio!H52+Julio!H52+Agosto!H52+Septiembre!H52+Octubre!H52+Noviembre!H52+Diciembre!H52</f>
        <v>0</v>
      </c>
      <c r="I52" s="13">
        <f t="shared" si="1"/>
        <v>72850902.852930799</v>
      </c>
    </row>
    <row r="53" spans="1:9" ht="15.75" x14ac:dyDescent="0.25">
      <c r="A53" s="8"/>
      <c r="B53" s="8"/>
      <c r="C53" s="9"/>
      <c r="D53" s="12" t="s">
        <v>49</v>
      </c>
      <c r="E53" s="14">
        <f>+Enero!E53+Febrero!E53+Marzo!E53+Abril!E53+Mayo!E53+Junio!E53+Julio!E53+Agosto!E53+Septiembre!E53+Octubre!E53+Noviembre!E53+Diciembre!E53</f>
        <v>66061254.599999987</v>
      </c>
      <c r="F53" s="14">
        <f>+Enero!F53+Febrero!F53+Marzo!F53+Abril!F53+Mayo!F53+Junio!F53+Julio!F53+Agosto!F53+Septiembre!F53+Octubre!F53+Noviembre!F53+Diciembre!F53</f>
        <v>23197263.846567553</v>
      </c>
      <c r="G53" s="14">
        <f>+Enero!G53+Febrero!G53+Marzo!G53+Abril!G53+Mayo!G53+Junio!G53+Julio!G53+Agosto!G53+Septiembre!G53+Octubre!G53+Noviembre!G53+Diciembre!G53</f>
        <v>11598931.009999998</v>
      </c>
      <c r="H53" s="14">
        <f>+Enero!H53+Febrero!H53+Marzo!H53+Abril!H53+Mayo!H53+Junio!H53+Julio!H53+Agosto!H53+Septiembre!H53+Octubre!H53+Noviembre!H53+Diciembre!H53</f>
        <v>0</v>
      </c>
      <c r="I53" s="13">
        <f t="shared" si="1"/>
        <v>100857449.45656753</v>
      </c>
    </row>
    <row r="54" spans="1:9" ht="15.75" x14ac:dyDescent="0.25">
      <c r="A54" s="8"/>
      <c r="B54" s="8"/>
      <c r="C54" s="9"/>
      <c r="D54" s="12" t="s">
        <v>50</v>
      </c>
      <c r="E54" s="14">
        <f>+Enero!E54+Febrero!E54+Marzo!E54+Abril!E54+Mayo!E54+Junio!E54+Julio!E54+Agosto!E54+Septiembre!E54+Octubre!E54+Noviembre!E54+Diciembre!E54</f>
        <v>49606458.949999996</v>
      </c>
      <c r="F54" s="14">
        <f>+Enero!F54+Febrero!F54+Marzo!F54+Abril!F54+Mayo!F54+Junio!F54+Julio!F54+Agosto!F54+Septiembre!F54+Octubre!F54+Noviembre!F54+Diciembre!F54</f>
        <v>21300603.514861807</v>
      </c>
      <c r="G54" s="14">
        <f>+Enero!G54+Febrero!G54+Marzo!G54+Abril!G54+Mayo!G54+Junio!G54+Julio!G54+Agosto!G54+Septiembre!G54+Octubre!G54+Noviembre!G54+Diciembre!G54</f>
        <v>6300609.0200000005</v>
      </c>
      <c r="H54" s="14">
        <f>+Enero!H54+Febrero!H54+Marzo!H54+Abril!H54+Mayo!H54+Junio!H54+Julio!H54+Agosto!H54+Septiembre!H54+Octubre!H54+Noviembre!H54+Diciembre!H54</f>
        <v>0</v>
      </c>
      <c r="I54" s="13">
        <f t="shared" si="1"/>
        <v>77207671.484861806</v>
      </c>
    </row>
    <row r="55" spans="1:9" ht="15.75" x14ac:dyDescent="0.25">
      <c r="A55" s="8"/>
      <c r="B55" s="8"/>
      <c r="C55" s="9"/>
      <c r="D55" s="12" t="s">
        <v>51</v>
      </c>
      <c r="E55" s="14">
        <f>+Enero!E55+Febrero!E55+Marzo!E55+Abril!E55+Mayo!E55+Junio!E55+Julio!E55+Agosto!E55+Septiembre!E55+Octubre!E55+Noviembre!E55+Diciembre!E55</f>
        <v>19218331.259999998</v>
      </c>
      <c r="F55" s="14">
        <f>+Enero!F55+Febrero!F55+Marzo!F55+Abril!F55+Mayo!F55+Junio!F55+Julio!F55+Agosto!F55+Septiembre!F55+Octubre!F55+Noviembre!F55+Diciembre!F55</f>
        <v>44773382.810500808</v>
      </c>
      <c r="G55" s="14">
        <f>+Enero!G55+Febrero!G55+Marzo!G55+Abril!G55+Mayo!G55+Junio!G55+Julio!G55+Agosto!G55+Septiembre!G55+Octubre!G55+Noviembre!G55+Diciembre!G55</f>
        <v>434503.76999999996</v>
      </c>
      <c r="H55" s="14">
        <f>+Enero!H55+Febrero!H55+Marzo!H55+Abril!H55+Mayo!H55+Junio!H55+Julio!H55+Agosto!H55+Septiembre!H55+Octubre!H55+Noviembre!H55+Diciembre!H55</f>
        <v>0</v>
      </c>
      <c r="I55" s="13">
        <f t="shared" si="1"/>
        <v>64426217.840500809</v>
      </c>
    </row>
    <row r="56" spans="1:9" ht="15.75" x14ac:dyDescent="0.25">
      <c r="A56" s="8"/>
      <c r="B56" s="8"/>
      <c r="C56" s="9"/>
      <c r="D56" s="12" t="s">
        <v>52</v>
      </c>
      <c r="E56" s="14">
        <f>+Enero!E56+Febrero!E56+Marzo!E56+Abril!E56+Mayo!E56+Junio!E56+Julio!E56+Agosto!E56+Septiembre!E56+Octubre!E56+Noviembre!E56+Diciembre!E56</f>
        <v>47228160.649999999</v>
      </c>
      <c r="F56" s="14">
        <f>+Enero!F56+Febrero!F56+Marzo!F56+Abril!F56+Mayo!F56+Junio!F56+Julio!F56+Agosto!F56+Septiembre!F56+Octubre!F56+Noviembre!F56+Diciembre!F56</f>
        <v>54192624.070250362</v>
      </c>
      <c r="G56" s="14">
        <f>+Enero!G56+Febrero!G56+Marzo!G56+Abril!G56+Mayo!G56+Junio!G56+Julio!G56+Agosto!G56+Septiembre!G56+Octubre!G56+Noviembre!G56+Diciembre!G56</f>
        <v>3263620.41</v>
      </c>
      <c r="H56" s="14">
        <f>+Enero!H56+Febrero!H56+Marzo!H56+Abril!H56+Mayo!H56+Junio!H56+Julio!H56+Agosto!H56+Septiembre!H56+Octubre!H56+Noviembre!H56+Diciembre!H56</f>
        <v>0</v>
      </c>
      <c r="I56" s="13">
        <f t="shared" si="1"/>
        <v>104684405.13025036</v>
      </c>
    </row>
    <row r="57" spans="1:9" ht="15.75" x14ac:dyDescent="0.25">
      <c r="A57" s="8"/>
      <c r="B57" s="8"/>
      <c r="C57" s="9"/>
      <c r="D57" s="12" t="s">
        <v>53</v>
      </c>
      <c r="E57" s="14">
        <f>+Enero!E57+Febrero!E57+Marzo!E57+Abril!E57+Mayo!E57+Junio!E57+Julio!E57+Agosto!E57+Septiembre!E57+Octubre!E57+Noviembre!E57+Diciembre!E57</f>
        <v>12424910.07</v>
      </c>
      <c r="F57" s="14">
        <f>+Enero!F57+Febrero!F57+Marzo!F57+Abril!F57+Mayo!F57+Junio!F57+Julio!F57+Agosto!F57+Septiembre!F57+Octubre!F57+Noviembre!F57+Diciembre!F57</f>
        <v>16048343.939363282</v>
      </c>
      <c r="G57" s="14">
        <f>+Enero!G57+Febrero!G57+Marzo!G57+Abril!G57+Mayo!G57+Junio!G57+Julio!G57+Agosto!G57+Septiembre!G57+Octubre!G57+Noviembre!G57+Diciembre!G57</f>
        <v>3058462.4</v>
      </c>
      <c r="H57" s="14">
        <f>+Enero!H57+Febrero!H57+Marzo!H57+Abril!H57+Mayo!H57+Junio!H57+Julio!H57+Agosto!H57+Septiembre!H57+Octubre!H57+Noviembre!H57+Diciembre!H57</f>
        <v>0</v>
      </c>
      <c r="I57" s="13">
        <f t="shared" si="1"/>
        <v>31531716.409363281</v>
      </c>
    </row>
    <row r="58" spans="1:9" ht="15.75" x14ac:dyDescent="0.25">
      <c r="A58" s="8"/>
      <c r="B58" s="8"/>
      <c r="C58" s="9"/>
      <c r="D58" s="12" t="s">
        <v>54</v>
      </c>
      <c r="E58" s="14">
        <f>+Enero!E58+Febrero!E58+Marzo!E58+Abril!E58+Mayo!E58+Junio!E58+Julio!E58+Agosto!E58+Septiembre!E58+Octubre!E58+Noviembre!E58+Diciembre!E58</f>
        <v>16259095.210000001</v>
      </c>
      <c r="F58" s="14">
        <f>+Enero!F58+Febrero!F58+Marzo!F58+Abril!F58+Mayo!F58+Junio!F58+Julio!F58+Agosto!F58+Septiembre!F58+Octubre!F58+Noviembre!F58+Diciembre!F58</f>
        <v>17274111.23356843</v>
      </c>
      <c r="G58" s="14">
        <f>+Enero!G58+Febrero!G58+Marzo!G58+Abril!G58+Mayo!G58+Junio!G58+Julio!G58+Agosto!G58+Septiembre!G58+Octubre!G58+Noviembre!G58+Diciembre!G58</f>
        <v>812575.67999999993</v>
      </c>
      <c r="H58" s="14">
        <f>+Enero!H58+Febrero!H58+Marzo!H58+Abril!H58+Mayo!H58+Junio!H58+Julio!H58+Agosto!H58+Septiembre!H58+Octubre!H58+Noviembre!H58+Diciembre!H58</f>
        <v>0</v>
      </c>
      <c r="I58" s="13">
        <f t="shared" si="1"/>
        <v>34345782.123568431</v>
      </c>
    </row>
    <row r="59" spans="1:9" ht="15.75" x14ac:dyDescent="0.25">
      <c r="A59" s="8"/>
      <c r="B59" s="8"/>
      <c r="C59" s="9"/>
      <c r="D59" s="12" t="s">
        <v>55</v>
      </c>
      <c r="E59" s="14">
        <f>+Enero!E59+Febrero!E59+Marzo!E59+Abril!E59+Mayo!E59+Junio!E59+Julio!E59+Agosto!E59+Septiembre!E59+Octubre!E59+Noviembre!E59+Diciembre!E59</f>
        <v>34404688.060000002</v>
      </c>
      <c r="F59" s="14">
        <f>+Enero!F59+Febrero!F59+Marzo!F59+Abril!F59+Mayo!F59+Junio!F59+Julio!F59+Agosto!F59+Septiembre!F59+Octubre!F59+Noviembre!F59+Diciembre!F59</f>
        <v>29178804.752417184</v>
      </c>
      <c r="G59" s="14">
        <f>+Enero!G59+Febrero!G59+Marzo!G59+Abril!G59+Mayo!G59+Junio!G59+Julio!G59+Agosto!G59+Septiembre!G59+Octubre!G59+Noviembre!G59+Diciembre!G59</f>
        <v>7855042.3000000007</v>
      </c>
      <c r="H59" s="14">
        <f>+Enero!H59+Febrero!H59+Marzo!H59+Abril!H59+Mayo!H59+Junio!H59+Julio!H59+Agosto!H59+Septiembre!H59+Octubre!H59+Noviembre!H59+Diciembre!H59</f>
        <v>0</v>
      </c>
      <c r="I59" s="13">
        <f t="shared" si="1"/>
        <v>71438535.112417191</v>
      </c>
    </row>
    <row r="60" spans="1:9" ht="15.75" x14ac:dyDescent="0.25">
      <c r="A60" s="8"/>
      <c r="B60" s="8"/>
      <c r="C60" s="9"/>
      <c r="D60" s="12" t="s">
        <v>56</v>
      </c>
      <c r="E60" s="14">
        <f>+Enero!E60+Febrero!E60+Marzo!E60+Abril!E60+Mayo!E60+Junio!E60+Julio!E60+Agosto!E60+Septiembre!E60+Octubre!E60+Noviembre!E60+Diciembre!E60</f>
        <v>21490853.890000001</v>
      </c>
      <c r="F60" s="14">
        <f>+Enero!F60+Febrero!F60+Marzo!F60+Abril!F60+Mayo!F60+Junio!F60+Julio!F60+Agosto!F60+Septiembre!F60+Octubre!F60+Noviembre!F60+Diciembre!F60</f>
        <v>17653439.058201332</v>
      </c>
      <c r="G60" s="14">
        <f>+Enero!G60+Febrero!G60+Marzo!G60+Abril!G60+Mayo!G60+Junio!G60+Julio!G60+Agosto!G60+Septiembre!G60+Octubre!G60+Noviembre!G60+Diciembre!G60</f>
        <v>2660858.41</v>
      </c>
      <c r="H60" s="14">
        <f>+Enero!H60+Febrero!H60+Marzo!H60+Abril!H60+Mayo!H60+Junio!H60+Julio!H60+Agosto!H60+Septiembre!H60+Octubre!H60+Noviembre!H60+Diciembre!H60</f>
        <v>0</v>
      </c>
      <c r="I60" s="13">
        <f t="shared" si="1"/>
        <v>41805151.358201325</v>
      </c>
    </row>
    <row r="61" spans="1:9" ht="15.75" x14ac:dyDescent="0.25">
      <c r="A61" s="8"/>
      <c r="B61" s="8"/>
      <c r="C61" s="9"/>
      <c r="D61" s="12" t="s">
        <v>57</v>
      </c>
      <c r="E61" s="14">
        <f>+Enero!E61+Febrero!E61+Marzo!E61+Abril!E61+Mayo!E61+Junio!E61+Julio!E61+Agosto!E61+Septiembre!E61+Octubre!E61+Noviembre!E61+Diciembre!E61</f>
        <v>65313929.560000002</v>
      </c>
      <c r="F61" s="14">
        <f>+Enero!F61+Febrero!F61+Marzo!F61+Abril!F61+Mayo!F61+Junio!F61+Julio!F61+Agosto!F61+Septiembre!F61+Octubre!F61+Noviembre!F61+Diciembre!F61</f>
        <v>29616526.17203591</v>
      </c>
      <c r="G61" s="14">
        <f>+Enero!G61+Febrero!G61+Marzo!G61+Abril!G61+Mayo!G61+Junio!G61+Julio!G61+Agosto!G61+Septiembre!G61+Octubre!G61+Noviembre!G61+Diciembre!G61</f>
        <v>4366008.1100000003</v>
      </c>
      <c r="H61" s="14">
        <f>+Enero!H61+Febrero!H61+Marzo!H61+Abril!H61+Mayo!H61+Junio!H61+Julio!H61+Agosto!H61+Septiembre!H61+Octubre!H61+Noviembre!H61+Diciembre!H61</f>
        <v>0</v>
      </c>
      <c r="I61" s="13">
        <f t="shared" si="1"/>
        <v>99296463.842035905</v>
      </c>
    </row>
    <row r="62" spans="1:9" ht="15.75" x14ac:dyDescent="0.25">
      <c r="A62" s="8"/>
      <c r="B62" s="8"/>
      <c r="C62" s="9"/>
      <c r="D62" s="12" t="s">
        <v>58</v>
      </c>
      <c r="E62" s="14">
        <f>+Enero!E62+Febrero!E62+Marzo!E62+Abril!E62+Mayo!E62+Junio!E62+Julio!E62+Agosto!E62+Septiembre!E62+Octubre!E62+Noviembre!E62+Diciembre!E62</f>
        <v>65538039.609999999</v>
      </c>
      <c r="F62" s="14">
        <f>+Enero!F62+Febrero!F62+Marzo!F62+Abril!F62+Mayo!F62+Junio!F62+Julio!F62+Agosto!F62+Septiembre!F62+Octubre!F62+Noviembre!F62+Diciembre!F62</f>
        <v>33045394.29596426</v>
      </c>
      <c r="G62" s="14">
        <f>+Enero!G62+Febrero!G62+Marzo!G62+Abril!G62+Mayo!G62+Junio!G62+Julio!G62+Agosto!G62+Septiembre!G62+Octubre!G62+Noviembre!G62+Diciembre!G62</f>
        <v>226624232.99000001</v>
      </c>
      <c r="H62" s="14">
        <f>+Enero!H62+Febrero!H62+Marzo!H62+Abril!H62+Mayo!H62+Junio!H62+Julio!H62+Agosto!H62+Septiembre!H62+Octubre!H62+Noviembre!H62+Diciembre!H62</f>
        <v>0</v>
      </c>
      <c r="I62" s="13">
        <f t="shared" si="1"/>
        <v>325207666.89596426</v>
      </c>
    </row>
    <row r="63" spans="1:9" ht="15.75" x14ac:dyDescent="0.25">
      <c r="A63" s="8"/>
      <c r="B63" s="8"/>
      <c r="C63" s="9"/>
      <c r="D63" s="12" t="s">
        <v>59</v>
      </c>
      <c r="E63" s="14">
        <f>+Enero!E63+Febrero!E63+Marzo!E63+Abril!E63+Mayo!E63+Junio!E63+Julio!E63+Agosto!E63+Septiembre!E63+Octubre!E63+Noviembre!E63+Diciembre!E63</f>
        <v>19305955.140000001</v>
      </c>
      <c r="F63" s="14">
        <f>+Enero!F63+Febrero!F63+Marzo!F63+Abril!F63+Mayo!F63+Junio!F63+Julio!F63+Agosto!F63+Septiembre!F63+Octubre!F63+Noviembre!F63+Diciembre!F63</f>
        <v>3647540.7080453001</v>
      </c>
      <c r="G63" s="14">
        <f>+Enero!G63+Febrero!G63+Marzo!G63+Abril!G63+Mayo!G63+Junio!G63+Julio!G63+Agosto!G63+Septiembre!G63+Octubre!G63+Noviembre!G63+Diciembre!G63</f>
        <v>11415697</v>
      </c>
      <c r="H63" s="14">
        <f>+Enero!H63+Febrero!H63+Marzo!H63+Abril!H63+Mayo!H63+Junio!H63+Julio!H63+Agosto!H63+Septiembre!H63+Octubre!H63+Noviembre!H63+Diciembre!H63</f>
        <v>0</v>
      </c>
      <c r="I63" s="13">
        <f t="shared" si="1"/>
        <v>34369192.848045304</v>
      </c>
    </row>
    <row r="64" spans="1:9" ht="15.75" x14ac:dyDescent="0.25">
      <c r="A64" s="8"/>
      <c r="B64" s="8"/>
      <c r="C64" s="9"/>
      <c r="D64" s="12" t="s">
        <v>60</v>
      </c>
      <c r="E64" s="14">
        <f>+Enero!E64+Febrero!E64+Marzo!E64+Abril!E64+Mayo!E64+Junio!E64+Julio!E64+Agosto!E64+Septiembre!E64+Octubre!E64+Noviembre!E64+Diciembre!E64</f>
        <v>0</v>
      </c>
      <c r="F64" s="14">
        <f>+Enero!F64+Febrero!F64+Marzo!F64+Abril!F64+Mayo!F64+Junio!F64+Julio!F64+Agosto!F64+Septiembre!F64+Octubre!F64+Noviembre!F64+Diciembre!F64</f>
        <v>0</v>
      </c>
      <c r="G64" s="14">
        <f>+Enero!G64+Febrero!G64+Marzo!G64+Abril!G64+Mayo!G64+Junio!G64+Julio!G64+Agosto!G64+Septiembre!G64+Octubre!G64+Noviembre!G64+Diciembre!G64</f>
        <v>70590386.929999992</v>
      </c>
      <c r="H64" s="14">
        <f>+Enero!H64+Febrero!H64+Marzo!H64+Abril!H64+Mayo!H64+Junio!H64+Julio!H64+Agosto!H64+Septiembre!H64+Octubre!H64+Noviembre!H64+Diciembre!H64</f>
        <v>0</v>
      </c>
      <c r="I64" s="13">
        <f t="shared" si="1"/>
        <v>70590386.929999992</v>
      </c>
    </row>
    <row r="65" spans="1:9" ht="15.75" x14ac:dyDescent="0.25">
      <c r="A65" s="8"/>
      <c r="B65" s="8"/>
      <c r="C65" s="9"/>
      <c r="D65" s="12" t="s">
        <v>61</v>
      </c>
      <c r="E65" s="14">
        <f>+Enero!E65+Febrero!E65+Marzo!E65+Abril!E65+Mayo!E65+Junio!E65+Julio!E65+Agosto!E65+Septiembre!E65+Octubre!E65+Noviembre!E65+Diciembre!E65</f>
        <v>57099224.010000005</v>
      </c>
      <c r="F65" s="14">
        <f>+Enero!F65+Febrero!F65+Marzo!F65+Abril!F65+Mayo!F65+Junio!F65+Julio!F65+Agosto!F65+Septiembre!F65+Octubre!F65+Noviembre!F65+Diciembre!F65</f>
        <v>43185084.656093359</v>
      </c>
      <c r="G65" s="14">
        <f>+Enero!G65+Febrero!G65+Marzo!G65+Abril!G65+Mayo!G65+Junio!G65+Julio!G65+Agosto!G65+Septiembre!G65+Octubre!G65+Noviembre!G65+Diciembre!G65</f>
        <v>4718027.95</v>
      </c>
      <c r="H65" s="14">
        <f>+Enero!H65+Febrero!H65+Marzo!H65+Abril!H65+Mayo!H65+Junio!H65+Julio!H65+Agosto!H65+Septiembre!H65+Octubre!H65+Noviembre!H65+Diciembre!H65</f>
        <v>0</v>
      </c>
      <c r="I65" s="13">
        <f t="shared" si="1"/>
        <v>105002336.61609337</v>
      </c>
    </row>
    <row r="66" spans="1:9" ht="15.75" x14ac:dyDescent="0.25">
      <c r="A66" s="8"/>
      <c r="B66" s="8"/>
      <c r="C66" s="9"/>
      <c r="D66" s="12" t="s">
        <v>62</v>
      </c>
      <c r="E66" s="14">
        <f>+Enero!E66+Febrero!E66+Marzo!E66+Abril!E66+Mayo!E66+Junio!E66+Julio!E66+Agosto!E66+Septiembre!E66+Octubre!E66+Noviembre!E66+Diciembre!E66</f>
        <v>225294349.28999996</v>
      </c>
      <c r="F66" s="14">
        <f>+Enero!F66+Febrero!F66+Marzo!F66+Abril!F66+Mayo!F66+Junio!F66+Julio!F66+Agosto!F66+Septiembre!F66+Octubre!F66+Noviembre!F66+Diciembre!F66</f>
        <v>85859184.31456773</v>
      </c>
      <c r="G66" s="14">
        <f>+Enero!G66+Febrero!G66+Marzo!G66+Abril!G66+Mayo!G66+Junio!G66+Julio!G66+Agosto!G66+Septiembre!G66+Octubre!G66+Noviembre!G66+Diciembre!G66</f>
        <v>12784434.01</v>
      </c>
      <c r="H66" s="14">
        <f>+Enero!H66+Febrero!H66+Marzo!H66+Abril!H66+Mayo!H66+Junio!H66+Julio!H66+Agosto!H66+Septiembre!H66+Octubre!H66+Noviembre!H66+Diciembre!H66</f>
        <v>0</v>
      </c>
      <c r="I66" s="13">
        <f t="shared" si="1"/>
        <v>323937967.6145677</v>
      </c>
    </row>
    <row r="67" spans="1:9" ht="15.75" x14ac:dyDescent="0.25">
      <c r="A67" s="8"/>
      <c r="B67" s="8"/>
      <c r="C67" s="9"/>
      <c r="D67" s="12" t="s">
        <v>63</v>
      </c>
      <c r="E67" s="14">
        <f>+Enero!E67+Febrero!E67+Marzo!E67+Abril!E67+Mayo!E67+Junio!E67+Julio!E67+Agosto!E67+Septiembre!E67+Octubre!E67+Noviembre!E67+Diciembre!E67</f>
        <v>47868082.179999992</v>
      </c>
      <c r="F67" s="14">
        <f>+Enero!F67+Febrero!F67+Marzo!F67+Abril!F67+Mayo!F67+Junio!F67+Julio!F67+Agosto!F67+Septiembre!F67+Octubre!F67+Noviembre!F67+Diciembre!F67</f>
        <v>39683329.205549553</v>
      </c>
      <c r="G67" s="14">
        <f>+Enero!G67+Febrero!G67+Marzo!G67+Abril!G67+Mayo!G67+Junio!G67+Julio!G67+Agosto!G67+Septiembre!G67+Octubre!G67+Noviembre!G67+Diciembre!G67</f>
        <v>5584491.1299999999</v>
      </c>
      <c r="H67" s="14">
        <f>+Enero!H67+Febrero!H67+Marzo!H67+Abril!H67+Mayo!H67+Junio!H67+Julio!H67+Agosto!H67+Septiembre!H67+Octubre!H67+Noviembre!H67+Diciembre!H67</f>
        <v>0</v>
      </c>
      <c r="I67" s="13">
        <f t="shared" si="1"/>
        <v>93135902.515549541</v>
      </c>
    </row>
    <row r="68" spans="1:9" ht="15.75" x14ac:dyDescent="0.25">
      <c r="A68" s="8"/>
      <c r="B68" s="8"/>
      <c r="C68" s="9"/>
      <c r="D68" s="12" t="s">
        <v>64</v>
      </c>
      <c r="E68" s="14">
        <f>+Enero!E68+Febrero!E68+Marzo!E68+Abril!E68+Mayo!E68+Junio!E68+Julio!E68+Agosto!E68+Septiembre!E68+Octubre!E68+Noviembre!E68+Diciembre!E68</f>
        <v>50051030.250000007</v>
      </c>
      <c r="F68" s="14">
        <f>+Enero!F68+Febrero!F68+Marzo!F68+Abril!F68+Mayo!F68+Junio!F68+Julio!F68+Agosto!F68+Septiembre!F68+Octubre!F68+Noviembre!F68+Diciembre!F68</f>
        <v>16778001.521099206</v>
      </c>
      <c r="G68" s="14">
        <f>+Enero!G68+Febrero!G68+Marzo!G68+Abril!G68+Mayo!G68+Junio!G68+Julio!G68+Agosto!G68+Septiembre!G68+Octubre!G68+Noviembre!G68+Diciembre!G68</f>
        <v>2838661.51</v>
      </c>
      <c r="H68" s="14">
        <f>+Enero!H68+Febrero!H68+Marzo!H68+Abril!H68+Mayo!H68+Junio!H68+Julio!H68+Agosto!H68+Septiembre!H68+Octubre!H68+Noviembre!H68+Diciembre!H68</f>
        <v>0</v>
      </c>
      <c r="I68" s="13">
        <f t="shared" si="1"/>
        <v>69667693.281099215</v>
      </c>
    </row>
    <row r="69" spans="1:9" ht="15.75" x14ac:dyDescent="0.25">
      <c r="A69" s="8"/>
      <c r="B69" s="8"/>
      <c r="C69" s="9"/>
      <c r="D69" s="12" t="s">
        <v>65</v>
      </c>
      <c r="E69" s="14">
        <f>+Enero!E69+Febrero!E69+Marzo!E69+Abril!E69+Mayo!E69+Junio!E69+Julio!E69+Agosto!E69+Septiembre!E69+Octubre!E69+Noviembre!E69+Diciembre!E69</f>
        <v>0</v>
      </c>
      <c r="F69" s="14">
        <f>+Enero!F69+Febrero!F69+Marzo!F69+Abril!F69+Mayo!F69+Junio!F69+Julio!F69+Agosto!F69+Septiembre!F69+Octubre!F69+Noviembre!F69+Diciembre!F69</f>
        <v>0</v>
      </c>
      <c r="G69" s="14">
        <f>+Enero!G69+Febrero!G69+Marzo!G69+Abril!G69+Mayo!G69+Junio!G69+Julio!G69+Agosto!G69+Septiembre!G69+Octubre!G69+Noviembre!G69+Diciembre!G69</f>
        <v>20084314.68</v>
      </c>
      <c r="H69" s="14">
        <f>+Enero!H69+Febrero!H69+Marzo!H69+Abril!H69+Mayo!H69+Junio!H69+Julio!H69+Agosto!H69+Septiembre!H69+Octubre!H69+Noviembre!H69+Diciembre!H69</f>
        <v>0</v>
      </c>
      <c r="I69" s="13">
        <f t="shared" si="1"/>
        <v>20084314.68</v>
      </c>
    </row>
    <row r="70" spans="1:9" ht="15.75" x14ac:dyDescent="0.25">
      <c r="A70" s="8"/>
      <c r="B70" s="8"/>
      <c r="C70" s="9"/>
      <c r="D70" s="12" t="s">
        <v>66</v>
      </c>
      <c r="E70" s="14">
        <f>+Enero!E70+Febrero!E70+Marzo!E70+Abril!E70+Mayo!E70+Junio!E70+Julio!E70+Agosto!E70+Septiembre!E70+Octubre!E70+Noviembre!E70+Diciembre!E70</f>
        <v>0</v>
      </c>
      <c r="F70" s="14">
        <f>+Enero!F70+Febrero!F70+Marzo!F70+Abril!F70+Mayo!F70+Junio!F70+Julio!F70+Agosto!F70+Septiembre!F70+Octubre!F70+Noviembre!F70+Diciembre!F70</f>
        <v>0</v>
      </c>
      <c r="G70" s="14">
        <f>+Enero!G70+Febrero!G70+Marzo!G70+Abril!G70+Mayo!G70+Junio!G70+Julio!G70+Agosto!G70+Septiembre!G70+Octubre!G70+Noviembre!G70+Diciembre!G70</f>
        <v>30871957.969999995</v>
      </c>
      <c r="H70" s="14">
        <f>+Enero!H70+Febrero!H70+Marzo!H70+Abril!H70+Mayo!H70+Junio!H70+Julio!H70+Agosto!H70+Septiembre!H70+Octubre!H70+Noviembre!H70+Diciembre!H70</f>
        <v>0</v>
      </c>
      <c r="I70" s="13">
        <f t="shared" si="1"/>
        <v>30871957.969999995</v>
      </c>
    </row>
    <row r="71" spans="1:9" ht="15.75" x14ac:dyDescent="0.25">
      <c r="A71" s="8"/>
      <c r="B71" s="8"/>
      <c r="C71" s="9"/>
      <c r="D71" s="12" t="s">
        <v>67</v>
      </c>
      <c r="E71" s="14">
        <f>+Enero!E71+Febrero!E71+Marzo!E71+Abril!E71+Mayo!E71+Junio!E71+Julio!E71+Agosto!E71+Septiembre!E71+Octubre!E71+Noviembre!E71+Diciembre!E71</f>
        <v>286084.90999999997</v>
      </c>
      <c r="F71" s="14">
        <f>+Enero!F71+Febrero!F71+Marzo!F71+Abril!F71+Mayo!F71+Junio!F71+Julio!F71+Agosto!F71+Septiembre!F71+Octubre!F71+Noviembre!F71+Diciembre!F71</f>
        <v>437721.41961871489</v>
      </c>
      <c r="G71" s="14">
        <f>+Enero!G71+Febrero!G71+Marzo!G71+Abril!G71+Mayo!G71+Junio!G71+Julio!G71+Agosto!G71+Septiembre!G71+Octubre!G71+Noviembre!G71+Diciembre!G71</f>
        <v>21450796.640000001</v>
      </c>
      <c r="H71" s="14">
        <f>+Enero!H71+Febrero!H71+Marzo!H71+Abril!H71+Mayo!H71+Junio!H71+Julio!H71+Agosto!H71+Septiembre!H71+Octubre!H71+Noviembre!H71+Diciembre!H71</f>
        <v>0</v>
      </c>
      <c r="I71" s="13">
        <f t="shared" si="1"/>
        <v>22174602.969618715</v>
      </c>
    </row>
    <row r="72" spans="1:9" ht="15.75" x14ac:dyDescent="0.25">
      <c r="A72" s="8"/>
      <c r="B72" s="8"/>
      <c r="C72" s="9"/>
      <c r="D72" s="12" t="s">
        <v>68</v>
      </c>
      <c r="E72" s="14">
        <f>+Enero!E72+Febrero!E72+Marzo!E72+Abril!E72+Mayo!E72+Junio!E72+Julio!E72+Agosto!E72+Septiembre!E72+Octubre!E72+Noviembre!E72+Diciembre!E72</f>
        <v>82451964.649999976</v>
      </c>
      <c r="F72" s="14">
        <f>+Enero!F72+Febrero!F72+Marzo!F72+Abril!F72+Mayo!F72+Junio!F72+Julio!F72+Agosto!F72+Septiembre!F72+Octubre!F72+Noviembre!F72+Diciembre!F72</f>
        <v>27253141.05104626</v>
      </c>
      <c r="G72" s="14">
        <f>+Enero!G72+Febrero!G72+Marzo!G72+Abril!G72+Mayo!G72+Junio!G72+Julio!G72+Agosto!G72+Septiembre!G72+Octubre!G72+Noviembre!G72+Diciembre!G72</f>
        <v>39726331.979999997</v>
      </c>
      <c r="H72" s="14">
        <f>+Enero!H72+Febrero!H72+Marzo!H72+Abril!H72+Mayo!H72+Junio!H72+Julio!H72+Agosto!H72+Septiembre!H72+Octubre!H72+Noviembre!H72+Diciembre!H72</f>
        <v>0</v>
      </c>
      <c r="I72" s="13">
        <f t="shared" si="1"/>
        <v>149431437.68104622</v>
      </c>
    </row>
    <row r="73" spans="1:9" ht="15.75" x14ac:dyDescent="0.25">
      <c r="A73" s="8"/>
      <c r="B73" s="8"/>
      <c r="C73" s="9"/>
      <c r="D73" s="12" t="s">
        <v>69</v>
      </c>
      <c r="E73" s="14">
        <f>+Enero!E73+Febrero!E73+Marzo!E73+Abril!E73+Mayo!E73+Junio!E73+Julio!E73+Agosto!E73+Septiembre!E73+Octubre!E73+Noviembre!E73+Diciembre!E73</f>
        <v>599328.9</v>
      </c>
      <c r="F73" s="14">
        <f>+Enero!F73+Febrero!F73+Marzo!F73+Abril!F73+Mayo!F73+Junio!F73+Julio!F73+Agosto!F73+Septiembre!F73+Octubre!F73+Noviembre!F73+Diciembre!F73</f>
        <v>0</v>
      </c>
      <c r="G73" s="14">
        <f>+Enero!G73+Febrero!G73+Marzo!G73+Abril!G73+Mayo!G73+Junio!G73+Julio!G73+Agosto!G73+Septiembre!G73+Octubre!G73+Noviembre!G73+Diciembre!G73</f>
        <v>23850361.160000004</v>
      </c>
      <c r="H73" s="14">
        <f>+Enero!H73+Febrero!H73+Marzo!H73+Abril!H73+Mayo!H73+Junio!H73+Julio!H73+Agosto!H73+Septiembre!H73+Octubre!H73+Noviembre!H73+Diciembre!H73</f>
        <v>0</v>
      </c>
      <c r="I73" s="13">
        <f t="shared" si="1"/>
        <v>24449690.060000002</v>
      </c>
    </row>
    <row r="74" spans="1:9" ht="15.75" x14ac:dyDescent="0.25">
      <c r="A74" s="8"/>
      <c r="B74" s="8"/>
      <c r="C74" s="9"/>
      <c r="D74" s="12" t="s">
        <v>70</v>
      </c>
      <c r="E74" s="14">
        <f>+Enero!E74+Febrero!E74+Marzo!E74+Abril!E74+Mayo!E74+Junio!E74+Julio!E74+Agosto!E74+Septiembre!E74+Octubre!E74+Noviembre!E74+Diciembre!E74</f>
        <v>9175436.370000001</v>
      </c>
      <c r="F74" s="14">
        <f>+Enero!F74+Febrero!F74+Marzo!F74+Abril!F74+Mayo!F74+Junio!F74+Julio!F74+Agosto!F74+Septiembre!F74+Octubre!F74+Noviembre!F74+Diciembre!F74</f>
        <v>2304996.8281391459</v>
      </c>
      <c r="G74" s="14">
        <f>+Enero!G74+Febrero!G74+Marzo!G74+Abril!G74+Mayo!G74+Junio!G74+Julio!G74+Agosto!G74+Septiembre!G74+Octubre!G74+Noviembre!G74+Diciembre!G74</f>
        <v>116084845.81999999</v>
      </c>
      <c r="H74" s="14">
        <f>+Enero!H74+Febrero!H74+Marzo!H74+Abril!H74+Mayo!H74+Junio!H74+Julio!H74+Agosto!H74+Septiembre!H74+Octubre!H74+Noviembre!H74+Diciembre!H74</f>
        <v>0</v>
      </c>
      <c r="I74" s="13">
        <f t="shared" ref="I74:I105" si="2">SUM(E74:H74)</f>
        <v>127565279.01813914</v>
      </c>
    </row>
    <row r="75" spans="1:9" ht="15.75" x14ac:dyDescent="0.25">
      <c r="A75" s="8"/>
      <c r="B75" s="8"/>
      <c r="C75" s="9"/>
      <c r="D75" s="12" t="s">
        <v>71</v>
      </c>
      <c r="E75" s="14">
        <f>+Enero!E75+Febrero!E75+Marzo!E75+Abril!E75+Mayo!E75+Junio!E75+Julio!E75+Agosto!E75+Septiembre!E75+Octubre!E75+Noviembre!E75+Diciembre!E75</f>
        <v>30932733.560000002</v>
      </c>
      <c r="F75" s="14">
        <f>+Enero!F75+Febrero!F75+Marzo!F75+Abril!F75+Mayo!F75+Junio!F75+Julio!F75+Agosto!F75+Septiembre!F75+Octubre!F75+Noviembre!F75+Diciembre!F75</f>
        <v>8957812.3250095099</v>
      </c>
      <c r="G75" s="14">
        <f>+Enero!G75+Febrero!G75+Marzo!G75+Abril!G75+Mayo!G75+Junio!G75+Julio!G75+Agosto!G75+Septiembre!G75+Octubre!G75+Noviembre!G75+Diciembre!G75</f>
        <v>212937113.04999998</v>
      </c>
      <c r="H75" s="14">
        <f>+Enero!H75+Febrero!H75+Marzo!H75+Abril!H75+Mayo!H75+Junio!H75+Julio!H75+Agosto!H75+Septiembre!H75+Octubre!H75+Noviembre!H75+Diciembre!H75</f>
        <v>0</v>
      </c>
      <c r="I75" s="13">
        <f t="shared" si="2"/>
        <v>252827658.93500948</v>
      </c>
    </row>
    <row r="76" spans="1:9" ht="15.75" x14ac:dyDescent="0.25">
      <c r="A76" s="8"/>
      <c r="B76" s="8"/>
      <c r="C76" s="9"/>
      <c r="D76" s="12" t="s">
        <v>72</v>
      </c>
      <c r="E76" s="14">
        <f>+Enero!E76+Febrero!E76+Marzo!E76+Abril!E76+Mayo!E76+Junio!E76+Julio!E76+Agosto!E76+Septiembre!E76+Octubre!E76+Noviembre!E76+Diciembre!E76</f>
        <v>0</v>
      </c>
      <c r="F76" s="14">
        <f>+Enero!F76+Febrero!F76+Marzo!F76+Abril!F76+Mayo!F76+Junio!F76+Julio!F76+Agosto!F76+Septiembre!F76+Octubre!F76+Noviembre!F76+Diciembre!F76</f>
        <v>0</v>
      </c>
      <c r="G76" s="14">
        <f>+Enero!G76+Febrero!G76+Marzo!G76+Abril!G76+Mayo!G76+Junio!G76+Julio!G76+Agosto!G76+Septiembre!G76+Octubre!G76+Noviembre!G76+Diciembre!G76</f>
        <v>59164718.459999993</v>
      </c>
      <c r="H76" s="14">
        <f>+Enero!H76+Febrero!H76+Marzo!H76+Abril!H76+Mayo!H76+Junio!H76+Julio!H76+Agosto!H76+Septiembre!H76+Octubre!H76+Noviembre!H76+Diciembre!H76</f>
        <v>0</v>
      </c>
      <c r="I76" s="13">
        <f t="shared" si="2"/>
        <v>59164718.459999993</v>
      </c>
    </row>
    <row r="77" spans="1:9" ht="15.75" x14ac:dyDescent="0.25">
      <c r="A77" s="8"/>
      <c r="B77" s="8"/>
      <c r="C77" s="9"/>
      <c r="D77" s="12" t="s">
        <v>73</v>
      </c>
      <c r="E77" s="14">
        <f>+Enero!E77+Febrero!E77+Marzo!E77+Abril!E77+Mayo!E77+Junio!E77+Julio!E77+Agosto!E77+Septiembre!E77+Octubre!E77+Noviembre!E77+Diciembre!E77</f>
        <v>28101196.059999999</v>
      </c>
      <c r="F77" s="14">
        <f>+Enero!F77+Febrero!F77+Marzo!F77+Abril!F77+Mayo!F77+Junio!F77+Julio!F77+Agosto!F77+Septiembre!F77+Octubre!F77+Noviembre!F77+Diciembre!F77</f>
        <v>44424974.732678622</v>
      </c>
      <c r="G77" s="14">
        <f>+Enero!G77+Febrero!G77+Marzo!G77+Abril!G77+Mayo!G77+Junio!G77+Julio!G77+Agosto!G77+Septiembre!G77+Octubre!G77+Noviembre!G77+Diciembre!G77</f>
        <v>4166428.81</v>
      </c>
      <c r="H77" s="14">
        <f>+Enero!H77+Febrero!H77+Marzo!H77+Abril!H77+Mayo!H77+Junio!H77+Julio!H77+Agosto!H77+Septiembre!H77+Octubre!H77+Noviembre!H77+Diciembre!H77</f>
        <v>0</v>
      </c>
      <c r="I77" s="13">
        <f t="shared" si="2"/>
        <v>76692599.602678627</v>
      </c>
    </row>
    <row r="78" spans="1:9" ht="15.75" x14ac:dyDescent="0.25">
      <c r="A78" s="8"/>
      <c r="B78" s="8"/>
      <c r="C78" s="9"/>
      <c r="D78" s="12" t="s">
        <v>74</v>
      </c>
      <c r="E78" s="14">
        <f>+Enero!E78+Febrero!E78+Marzo!E78+Abril!E78+Mayo!E78+Junio!E78+Julio!E78+Agosto!E78+Septiembre!E78+Octubre!E78+Noviembre!E78+Diciembre!E78</f>
        <v>55679518.140000001</v>
      </c>
      <c r="F78" s="14">
        <f>+Enero!F78+Febrero!F78+Marzo!F78+Abril!F78+Mayo!F78+Junio!F78+Julio!F78+Agosto!F78+Septiembre!F78+Octubre!F78+Noviembre!F78+Diciembre!F78</f>
        <v>45081368.736414284</v>
      </c>
      <c r="G78" s="14">
        <f>+Enero!G78+Febrero!G78+Marzo!G78+Abril!G78+Mayo!G78+Junio!G78+Julio!G78+Agosto!G78+Septiembre!G78+Octubre!G78+Noviembre!G78+Diciembre!G78</f>
        <v>6109727.379999999</v>
      </c>
      <c r="H78" s="14">
        <f>+Enero!H78+Febrero!H78+Marzo!H78+Abril!H78+Mayo!H78+Junio!H78+Julio!H78+Agosto!H78+Septiembre!H78+Octubre!H78+Noviembre!H78+Diciembre!H78</f>
        <v>0</v>
      </c>
      <c r="I78" s="13">
        <f t="shared" si="2"/>
        <v>106870614.25641428</v>
      </c>
    </row>
    <row r="79" spans="1:9" ht="15.75" x14ac:dyDescent="0.25">
      <c r="A79" s="8"/>
      <c r="B79" s="8"/>
      <c r="C79" s="9"/>
      <c r="D79" s="12" t="s">
        <v>75</v>
      </c>
      <c r="E79" s="14">
        <f>+Enero!E79+Febrero!E79+Marzo!E79+Abril!E79+Mayo!E79+Junio!E79+Julio!E79+Agosto!E79+Septiembre!E79+Octubre!E79+Noviembre!E79+Diciembre!E79</f>
        <v>55952836.399999991</v>
      </c>
      <c r="F79" s="14">
        <f>+Enero!F79+Febrero!F79+Marzo!F79+Abril!F79+Mayo!F79+Junio!F79+Julio!F79+Agosto!F79+Septiembre!F79+Octubre!F79+Noviembre!F79+Diciembre!F79</f>
        <v>25312596.762390252</v>
      </c>
      <c r="G79" s="14">
        <f>+Enero!G79+Febrero!G79+Marzo!G79+Abril!G79+Mayo!G79+Junio!G79+Julio!G79+Agosto!G79+Septiembre!G79+Octubre!G79+Noviembre!G79+Diciembre!G79</f>
        <v>7506851.8299999991</v>
      </c>
      <c r="H79" s="14">
        <f>+Enero!H79+Febrero!H79+Marzo!H79+Abril!H79+Mayo!H79+Junio!H79+Julio!H79+Agosto!H79+Septiembre!H79+Octubre!H79+Noviembre!H79+Diciembre!H79</f>
        <v>0</v>
      </c>
      <c r="I79" s="13">
        <f t="shared" si="2"/>
        <v>88772284.992390245</v>
      </c>
    </row>
    <row r="80" spans="1:9" ht="15.75" x14ac:dyDescent="0.25">
      <c r="A80" s="8"/>
      <c r="B80" s="8"/>
      <c r="C80" s="9"/>
      <c r="D80" s="12" t="s">
        <v>76</v>
      </c>
      <c r="E80" s="14">
        <f>+Enero!E80+Febrero!E80+Marzo!E80+Abril!E80+Mayo!E80+Junio!E80+Julio!E80+Agosto!E80+Septiembre!E80+Octubre!E80+Noviembre!E80+Diciembre!E80</f>
        <v>23972970.710000001</v>
      </c>
      <c r="F80" s="14">
        <f>+Enero!F80+Febrero!F80+Marzo!F80+Abril!F80+Mayo!F80+Junio!F80+Julio!F80+Agosto!F80+Septiembre!F80+Octubre!F80+Noviembre!F80+Diciembre!F80</f>
        <v>13378518.320356172</v>
      </c>
      <c r="G80" s="14">
        <f>+Enero!G80+Febrero!G80+Marzo!G80+Abril!G80+Mayo!G80+Junio!G80+Julio!G80+Agosto!G80+Septiembre!G80+Octubre!G80+Noviembre!G80+Diciembre!G80</f>
        <v>1198688.6199999999</v>
      </c>
      <c r="H80" s="14">
        <f>+Enero!H80+Febrero!H80+Marzo!H80+Abril!H80+Mayo!H80+Junio!H80+Julio!H80+Agosto!H80+Septiembre!H80+Octubre!H80+Noviembre!H80+Diciembre!H80</f>
        <v>0</v>
      </c>
      <c r="I80" s="13">
        <f t="shared" si="2"/>
        <v>38550177.650356166</v>
      </c>
    </row>
    <row r="81" spans="1:9" ht="15.75" x14ac:dyDescent="0.25">
      <c r="A81" s="8"/>
      <c r="B81" s="8"/>
      <c r="C81" s="9"/>
      <c r="D81" s="12" t="s">
        <v>77</v>
      </c>
      <c r="E81" s="14">
        <f>+Enero!E81+Febrero!E81+Marzo!E81+Abril!E81+Mayo!E81+Junio!E81+Julio!E81+Agosto!E81+Septiembre!E81+Octubre!E81+Noviembre!E81+Diciembre!E81</f>
        <v>144886779.06</v>
      </c>
      <c r="F81" s="14">
        <f>+Enero!F81+Febrero!F81+Marzo!F81+Abril!F81+Mayo!F81+Junio!F81+Julio!F81+Agosto!F81+Septiembre!F81+Octubre!F81+Noviembre!F81+Diciembre!F81</f>
        <v>80723696.022634894</v>
      </c>
      <c r="G81" s="14">
        <f>+Enero!G81+Febrero!G81+Marzo!G81+Abril!G81+Mayo!G81+Junio!G81+Julio!G81+Agosto!G81+Septiembre!G81+Octubre!G81+Noviembre!G81+Diciembre!G81</f>
        <v>16973490.290000003</v>
      </c>
      <c r="H81" s="14">
        <f>+Enero!H81+Febrero!H81+Marzo!H81+Abril!H81+Mayo!H81+Junio!H81+Julio!H81+Agosto!H81+Septiembre!H81+Octubre!H81+Noviembre!H81+Diciembre!H81</f>
        <v>0</v>
      </c>
      <c r="I81" s="13">
        <f t="shared" si="2"/>
        <v>242583965.37263489</v>
      </c>
    </row>
    <row r="82" spans="1:9" ht="15.75" x14ac:dyDescent="0.25">
      <c r="A82" s="8"/>
      <c r="B82" s="8"/>
      <c r="C82" s="9"/>
      <c r="D82" s="12" t="s">
        <v>78</v>
      </c>
      <c r="E82" s="14">
        <f>+Enero!E82+Febrero!E82+Marzo!E82+Abril!E82+Mayo!E82+Junio!E82+Julio!E82+Agosto!E82+Septiembre!E82+Octubre!E82+Noviembre!E82+Diciembre!E82</f>
        <v>184085932.93000001</v>
      </c>
      <c r="F82" s="14">
        <f>+Enero!F82+Febrero!F82+Marzo!F82+Abril!F82+Mayo!F82+Junio!F82+Julio!F82+Agosto!F82+Septiembre!F82+Octubre!F82+Noviembre!F82+Diciembre!F82</f>
        <v>55950716.678279296</v>
      </c>
      <c r="G82" s="14">
        <f>+Enero!G82+Febrero!G82+Marzo!G82+Abril!G82+Mayo!G82+Junio!G82+Julio!G82+Agosto!G82+Septiembre!G82+Octubre!G82+Noviembre!G82+Diciembre!G82</f>
        <v>12249436.950000003</v>
      </c>
      <c r="H82" s="14">
        <f>+Enero!H82+Febrero!H82+Marzo!H82+Abril!H82+Mayo!H82+Junio!H82+Julio!H82+Agosto!H82+Septiembre!H82+Octubre!H82+Noviembre!H82+Diciembre!H82</f>
        <v>0</v>
      </c>
      <c r="I82" s="13">
        <f t="shared" si="2"/>
        <v>252286086.55827928</v>
      </c>
    </row>
    <row r="83" spans="1:9" ht="15.75" x14ac:dyDescent="0.25">
      <c r="A83" s="8"/>
      <c r="B83" s="8"/>
      <c r="C83" s="9"/>
      <c r="D83" s="12" t="s">
        <v>79</v>
      </c>
      <c r="E83" s="14">
        <f>+Enero!E83+Febrero!E83+Marzo!E83+Abril!E83+Mayo!E83+Junio!E83+Julio!E83+Agosto!E83+Septiembre!E83+Octubre!E83+Noviembre!E83+Diciembre!E83</f>
        <v>40692824.060000002</v>
      </c>
      <c r="F83" s="14">
        <f>+Enero!F83+Febrero!F83+Marzo!F83+Abril!F83+Mayo!F83+Junio!F83+Julio!F83+Agosto!F83+Septiembre!F83+Octubre!F83+Noviembre!F83+Diciembre!F83</f>
        <v>22978591.262450609</v>
      </c>
      <c r="G83" s="14">
        <f>+Enero!G83+Febrero!G83+Marzo!G83+Abril!G83+Mayo!G83+Junio!G83+Julio!G83+Agosto!G83+Septiembre!G83+Octubre!G83+Noviembre!G83+Diciembre!G83</f>
        <v>11386817.450000001</v>
      </c>
      <c r="H83" s="14">
        <f>+Enero!H83+Febrero!H83+Marzo!H83+Abril!H83+Mayo!H83+Junio!H83+Julio!H83+Agosto!H83+Septiembre!H83+Octubre!H83+Noviembre!H83+Diciembre!H83</f>
        <v>0</v>
      </c>
      <c r="I83" s="13">
        <f t="shared" si="2"/>
        <v>75058232.772450611</v>
      </c>
    </row>
    <row r="84" spans="1:9" ht="15.75" x14ac:dyDescent="0.25">
      <c r="A84" s="8"/>
      <c r="B84" s="8"/>
      <c r="C84" s="9"/>
      <c r="D84" s="12" t="s">
        <v>80</v>
      </c>
      <c r="E84" s="14">
        <f>+Enero!E84+Febrero!E84+Marzo!E84+Abril!E84+Mayo!E84+Junio!E84+Julio!E84+Agosto!E84+Septiembre!E84+Octubre!E84+Noviembre!E84+Diciembre!E84</f>
        <v>0</v>
      </c>
      <c r="F84" s="14">
        <f>+Enero!F84+Febrero!F84+Marzo!F84+Abril!F84+Mayo!F84+Junio!F84+Julio!F84+Agosto!F84+Septiembre!F84+Octubre!F84+Noviembre!F84+Diciembre!F84</f>
        <v>0</v>
      </c>
      <c r="G84" s="14">
        <f>+Enero!G84+Febrero!G84+Marzo!G84+Abril!G84+Mayo!G84+Junio!G84+Julio!G84+Agosto!G84+Septiembre!G84+Octubre!G84+Noviembre!G84+Diciembre!G84</f>
        <v>91401016.200000003</v>
      </c>
      <c r="H84" s="14">
        <f>+Enero!H84+Febrero!H84+Marzo!H84+Abril!H84+Mayo!H84+Junio!H84+Julio!H84+Agosto!H84+Septiembre!H84+Octubre!H84+Noviembre!H84+Diciembre!H84</f>
        <v>0</v>
      </c>
      <c r="I84" s="13">
        <f t="shared" si="2"/>
        <v>91401016.200000003</v>
      </c>
    </row>
    <row r="85" spans="1:9" ht="15.75" x14ac:dyDescent="0.25">
      <c r="A85" s="8"/>
      <c r="B85" s="8"/>
      <c r="C85" s="9"/>
      <c r="D85" s="12" t="s">
        <v>81</v>
      </c>
      <c r="E85" s="14">
        <f>+Enero!E85+Febrero!E85+Marzo!E85+Abril!E85+Mayo!E85+Junio!E85+Julio!E85+Agosto!E85+Septiembre!E85+Octubre!E85+Noviembre!E85+Diciembre!E85</f>
        <v>50148908.260000005</v>
      </c>
      <c r="F85" s="14">
        <f>+Enero!F85+Febrero!F85+Marzo!F85+Abril!F85+Mayo!F85+Junio!F85+Julio!F85+Agosto!F85+Septiembre!F85+Octubre!F85+Noviembre!F85+Diciembre!F85</f>
        <v>7148919.907204276</v>
      </c>
      <c r="G85" s="14">
        <f>+Enero!G85+Febrero!G85+Marzo!G85+Abril!G85+Mayo!G85+Junio!G85+Julio!G85+Agosto!G85+Septiembre!G85+Octubre!G85+Noviembre!G85+Diciembre!G85</f>
        <v>34790031.979999997</v>
      </c>
      <c r="H85" s="14">
        <f>+Enero!H85+Febrero!H85+Marzo!H85+Abril!H85+Mayo!H85+Junio!H85+Julio!H85+Agosto!H85+Septiembre!H85+Octubre!H85+Noviembre!H85+Diciembre!H85</f>
        <v>0</v>
      </c>
      <c r="I85" s="13">
        <f t="shared" si="2"/>
        <v>92087860.14720428</v>
      </c>
    </row>
    <row r="86" spans="1:9" ht="15.75" x14ac:dyDescent="0.25">
      <c r="A86" s="8"/>
      <c r="B86" s="8"/>
      <c r="C86" s="9"/>
      <c r="D86" s="12" t="s">
        <v>82</v>
      </c>
      <c r="E86" s="14">
        <f>+Enero!E86+Febrero!E86+Marzo!E86+Abril!E86+Mayo!E86+Junio!E86+Julio!E86+Agosto!E86+Septiembre!E86+Octubre!E86+Noviembre!E86+Diciembre!E86</f>
        <v>31722577.57</v>
      </c>
      <c r="F86" s="14">
        <f>+Enero!F86+Febrero!F86+Marzo!F86+Abril!F86+Mayo!F86+Junio!F86+Julio!F86+Agosto!F86+Septiembre!F86+Octubre!F86+Noviembre!F86+Diciembre!F86</f>
        <v>29689795.052171476</v>
      </c>
      <c r="G86" s="14">
        <f>+Enero!G86+Febrero!G86+Marzo!G86+Abril!G86+Mayo!G86+Junio!G86+Julio!G86+Agosto!G86+Septiembre!G86+Octubre!G86+Noviembre!G86+Diciembre!G86</f>
        <v>4021358.790000001</v>
      </c>
      <c r="H86" s="14">
        <f>+Enero!H86+Febrero!H86+Marzo!H86+Abril!H86+Mayo!H86+Junio!H86+Julio!H86+Agosto!H86+Septiembre!H86+Octubre!H86+Noviembre!H86+Diciembre!H86</f>
        <v>0</v>
      </c>
      <c r="I86" s="13">
        <f t="shared" si="2"/>
        <v>65433731.412171476</v>
      </c>
    </row>
    <row r="87" spans="1:9" ht="15.75" x14ac:dyDescent="0.25">
      <c r="A87" s="8"/>
      <c r="B87" s="8"/>
      <c r="C87" s="9"/>
      <c r="D87" s="12" t="s">
        <v>83</v>
      </c>
      <c r="E87" s="14">
        <f>+Enero!E87+Febrero!E87+Marzo!E87+Abril!E87+Mayo!E87+Junio!E87+Julio!E87+Agosto!E87+Septiembre!E87+Octubre!E87+Noviembre!E87+Diciembre!E87</f>
        <v>19747571.93</v>
      </c>
      <c r="F87" s="14">
        <f>+Enero!F87+Febrero!F87+Marzo!F87+Abril!F87+Mayo!F87+Junio!F87+Julio!F87+Agosto!F87+Septiembre!F87+Octubre!F87+Noviembre!F87+Diciembre!F87</f>
        <v>39099827.83056464</v>
      </c>
      <c r="G87" s="14">
        <f>+Enero!G87+Febrero!G87+Marzo!G87+Abril!G87+Mayo!G87+Junio!G87+Julio!G87+Agosto!G87+Septiembre!G87+Octubre!G87+Noviembre!G87+Diciembre!G87</f>
        <v>2542475.2899999996</v>
      </c>
      <c r="H87" s="14">
        <f>+Enero!H87+Febrero!H87+Marzo!H87+Abril!H87+Mayo!H87+Junio!H87+Julio!H87+Agosto!H87+Septiembre!H87+Octubre!H87+Noviembre!H87+Diciembre!H87</f>
        <v>0</v>
      </c>
      <c r="I87" s="13">
        <f t="shared" si="2"/>
        <v>61389875.050564639</v>
      </c>
    </row>
    <row r="88" spans="1:9" ht="15.75" x14ac:dyDescent="0.25">
      <c r="A88" s="8"/>
      <c r="B88" s="8"/>
      <c r="C88" s="9"/>
      <c r="D88" s="12" t="s">
        <v>84</v>
      </c>
      <c r="E88" s="14">
        <f>+Enero!E88+Febrero!E88+Marzo!E88+Abril!E88+Mayo!E88+Junio!E88+Julio!E88+Agosto!E88+Septiembre!E88+Octubre!E88+Noviembre!E88+Diciembre!E88</f>
        <v>11577152.390000001</v>
      </c>
      <c r="F88" s="14">
        <f>+Enero!F88+Febrero!F88+Marzo!F88+Abril!F88+Mayo!F88+Junio!F88+Julio!F88+Agosto!F88+Septiembre!F88+Octubre!F88+Noviembre!F88+Diciembre!F88</f>
        <v>0</v>
      </c>
      <c r="G88" s="14">
        <f>+Enero!G88+Febrero!G88+Marzo!G88+Abril!G88+Mayo!G88+Junio!G88+Julio!G88+Agosto!G88+Septiembre!G88+Octubre!G88+Noviembre!G88+Diciembre!G88</f>
        <v>48994500.989999995</v>
      </c>
      <c r="H88" s="14">
        <f>+Enero!H88+Febrero!H88+Marzo!H88+Abril!H88+Mayo!H88+Junio!H88+Julio!H88+Agosto!H88+Septiembre!H88+Octubre!H88+Noviembre!H88+Diciembre!H88</f>
        <v>0</v>
      </c>
      <c r="I88" s="13">
        <f t="shared" si="2"/>
        <v>60571653.379999995</v>
      </c>
    </row>
    <row r="89" spans="1:9" ht="15.75" x14ac:dyDescent="0.25">
      <c r="A89" s="8"/>
      <c r="B89" s="8"/>
      <c r="C89" s="9"/>
      <c r="D89" s="12" t="s">
        <v>85</v>
      </c>
      <c r="E89" s="14">
        <f>+Enero!E89+Febrero!E89+Marzo!E89+Abril!E89+Mayo!E89+Junio!E89+Julio!E89+Agosto!E89+Septiembre!E89+Octubre!E89+Noviembre!E89+Diciembre!E89</f>
        <v>30234294.5</v>
      </c>
      <c r="F89" s="14">
        <f>+Enero!F89+Febrero!F89+Marzo!F89+Abril!F89+Mayo!F89+Junio!F89+Julio!F89+Agosto!F89+Septiembre!F89+Octubre!F89+Noviembre!F89+Diciembre!F89</f>
        <v>38341161.57702823</v>
      </c>
      <c r="G89" s="14">
        <f>+Enero!G89+Febrero!G89+Marzo!G89+Abril!G89+Mayo!G89+Junio!G89+Julio!G89+Agosto!G89+Septiembre!G89+Octubre!G89+Noviembre!G89+Diciembre!G89</f>
        <v>5918704.830000001</v>
      </c>
      <c r="H89" s="14">
        <f>+Enero!H89+Febrero!H89+Marzo!H89+Abril!H89+Mayo!H89+Junio!H89+Julio!H89+Agosto!H89+Septiembre!H89+Octubre!H89+Noviembre!H89+Diciembre!H89</f>
        <v>0</v>
      </c>
      <c r="I89" s="13">
        <f t="shared" si="2"/>
        <v>74494160.907028228</v>
      </c>
    </row>
    <row r="90" spans="1:9" ht="15.75" x14ac:dyDescent="0.25">
      <c r="A90" s="8"/>
      <c r="B90" s="8"/>
      <c r="C90" s="9"/>
      <c r="D90" s="12" t="s">
        <v>86</v>
      </c>
      <c r="E90" s="14">
        <f>+Enero!E90+Febrero!E90+Marzo!E90+Abril!E90+Mayo!E90+Junio!E90+Julio!E90+Agosto!E90+Septiembre!E90+Octubre!E90+Noviembre!E90+Diciembre!E90</f>
        <v>14868855.010000002</v>
      </c>
      <c r="F90" s="14">
        <f>+Enero!F90+Febrero!F90+Marzo!F90+Abril!F90+Mayo!F90+Junio!F90+Julio!F90+Agosto!F90+Septiembre!F90+Octubre!F90+Noviembre!F90+Diciembre!F90</f>
        <v>9921017.776012145</v>
      </c>
      <c r="G90" s="14">
        <f>+Enero!G90+Febrero!G90+Marzo!G90+Abril!G90+Mayo!G90+Junio!G90+Julio!G90+Agosto!G90+Septiembre!G90+Octubre!G90+Noviembre!G90+Diciembre!G90</f>
        <v>5496308.0700000003</v>
      </c>
      <c r="H90" s="14">
        <f>+Enero!H90+Febrero!H90+Marzo!H90+Abril!H90+Mayo!H90+Junio!H90+Julio!H90+Agosto!H90+Septiembre!H90+Octubre!H90+Noviembre!H90+Diciembre!H90</f>
        <v>0</v>
      </c>
      <c r="I90" s="13">
        <f t="shared" si="2"/>
        <v>30286180.856012147</v>
      </c>
    </row>
    <row r="91" spans="1:9" ht="15.75" x14ac:dyDescent="0.25">
      <c r="A91" s="8"/>
      <c r="B91" s="8"/>
      <c r="C91" s="9"/>
      <c r="D91" s="12" t="s">
        <v>87</v>
      </c>
      <c r="E91" s="14">
        <f>+Enero!E91+Febrero!E91+Marzo!E91+Abril!E91+Mayo!E91+Junio!E91+Julio!E91+Agosto!E91+Septiembre!E91+Octubre!E91+Noviembre!E91+Diciembre!E91</f>
        <v>34423557.920000002</v>
      </c>
      <c r="F91" s="14">
        <f>+Enero!F91+Febrero!F91+Marzo!F91+Abril!F91+Mayo!F91+Junio!F91+Julio!F91+Agosto!F91+Septiembre!F91+Octubre!F91+Noviembre!F91+Diciembre!F91</f>
        <v>22628266.807482898</v>
      </c>
      <c r="G91" s="14">
        <f>+Enero!G91+Febrero!G91+Marzo!G91+Abril!G91+Mayo!G91+Junio!G91+Julio!G91+Agosto!G91+Septiembre!G91+Octubre!G91+Noviembre!G91+Diciembre!G91</f>
        <v>14212871.140000001</v>
      </c>
      <c r="H91" s="14">
        <f>+Enero!H91+Febrero!H91+Marzo!H91+Abril!H91+Mayo!H91+Junio!H91+Julio!H91+Agosto!H91+Septiembre!H91+Octubre!H91+Noviembre!H91+Diciembre!H91</f>
        <v>0</v>
      </c>
      <c r="I91" s="13">
        <f t="shared" si="2"/>
        <v>71264695.867482901</v>
      </c>
    </row>
    <row r="92" spans="1:9" ht="15.75" x14ac:dyDescent="0.25">
      <c r="A92" s="8"/>
      <c r="B92" s="8"/>
      <c r="C92" s="9"/>
      <c r="D92" s="12" t="s">
        <v>88</v>
      </c>
      <c r="E92" s="14">
        <f>+Enero!E92+Febrero!E92+Marzo!E92+Abril!E92+Mayo!E92+Junio!E92+Julio!E92+Agosto!E92+Septiembre!E92+Octubre!E92+Noviembre!E92+Diciembre!E92</f>
        <v>4934113.62</v>
      </c>
      <c r="F92" s="14">
        <f>+Enero!F92+Febrero!F92+Marzo!F92+Abril!F92+Mayo!F92+Junio!F92+Julio!F92+Agosto!F92+Septiembre!F92+Octubre!F92+Noviembre!F92+Diciembre!F92</f>
        <v>3122051.3745260714</v>
      </c>
      <c r="G92" s="14">
        <f>+Enero!G92+Febrero!G92+Marzo!G92+Abril!G92+Mayo!G92+Junio!G92+Julio!G92+Agosto!G92+Septiembre!G92+Octubre!G92+Noviembre!G92+Diciembre!G92</f>
        <v>33806102.93</v>
      </c>
      <c r="H92" s="14">
        <f>+Enero!H92+Febrero!H92+Marzo!H92+Abril!H92+Mayo!H92+Junio!H92+Julio!H92+Agosto!H92+Septiembre!H92+Octubre!H92+Noviembre!H92+Diciembre!H92</f>
        <v>0</v>
      </c>
      <c r="I92" s="13">
        <f t="shared" si="2"/>
        <v>41862267.924526073</v>
      </c>
    </row>
    <row r="93" spans="1:9" ht="15.75" x14ac:dyDescent="0.25">
      <c r="A93" s="8"/>
      <c r="B93" s="8"/>
      <c r="C93" s="9"/>
      <c r="D93" s="12" t="s">
        <v>89</v>
      </c>
      <c r="E93" s="14">
        <f>+Enero!E93+Febrero!E93+Marzo!E93+Abril!E93+Mayo!E93+Junio!E93+Julio!E93+Agosto!E93+Septiembre!E93+Octubre!E93+Noviembre!E93+Diciembre!E93</f>
        <v>58851396.549999997</v>
      </c>
      <c r="F93" s="14">
        <f>+Enero!F93+Febrero!F93+Marzo!F93+Abril!F93+Mayo!F93+Junio!F93+Julio!F93+Agosto!F93+Septiembre!F93+Octubre!F93+Noviembre!F93+Diciembre!F93</f>
        <v>26103646.641396049</v>
      </c>
      <c r="G93" s="14">
        <f>+Enero!G93+Febrero!G93+Marzo!G93+Abril!G93+Mayo!G93+Junio!G93+Julio!G93+Agosto!G93+Septiembre!G93+Octubre!G93+Noviembre!G93+Diciembre!G93</f>
        <v>5320002.1599999992</v>
      </c>
      <c r="H93" s="14">
        <f>+Enero!H93+Febrero!H93+Marzo!H93+Abril!H93+Mayo!H93+Junio!H93+Julio!H93+Agosto!H93+Septiembre!H93+Octubre!H93+Noviembre!H93+Diciembre!H93</f>
        <v>0</v>
      </c>
      <c r="I93" s="13">
        <f t="shared" si="2"/>
        <v>90275045.351396039</v>
      </c>
    </row>
    <row r="94" spans="1:9" ht="15.75" x14ac:dyDescent="0.25">
      <c r="A94" s="8"/>
      <c r="B94" s="8"/>
      <c r="C94" s="9"/>
      <c r="D94" s="12" t="s">
        <v>90</v>
      </c>
      <c r="E94" s="14">
        <f>+Enero!E94+Febrero!E94+Marzo!E94+Abril!E94+Mayo!E94+Junio!E94+Julio!E94+Agosto!E94+Septiembre!E94+Octubre!E94+Noviembre!E94+Diciembre!E94</f>
        <v>606542.14</v>
      </c>
      <c r="F94" s="14">
        <f>+Enero!F94+Febrero!F94+Marzo!F94+Abril!F94+Mayo!F94+Junio!F94+Julio!F94+Agosto!F94+Septiembre!F94+Octubre!F94+Noviembre!F94+Diciembre!F94</f>
        <v>0</v>
      </c>
      <c r="G94" s="14">
        <f>+Enero!G94+Febrero!G94+Marzo!G94+Abril!G94+Mayo!G94+Junio!G94+Julio!G94+Agosto!G94+Septiembre!G94+Octubre!G94+Noviembre!G94+Diciembre!G94</f>
        <v>2297946.4000000004</v>
      </c>
      <c r="H94" s="14">
        <f>+Enero!H94+Febrero!H94+Marzo!H94+Abril!H94+Mayo!H94+Junio!H94+Julio!H94+Agosto!H94+Septiembre!H94+Octubre!H94+Noviembre!H94+Diciembre!H94</f>
        <v>0</v>
      </c>
      <c r="I94" s="13">
        <f t="shared" si="2"/>
        <v>2904488.5400000005</v>
      </c>
    </row>
    <row r="95" spans="1:9" ht="15.75" x14ac:dyDescent="0.25">
      <c r="A95" s="8"/>
      <c r="B95" s="8"/>
      <c r="C95" s="9"/>
      <c r="D95" s="12" t="s">
        <v>91</v>
      </c>
      <c r="E95" s="14">
        <f>+Enero!E95+Febrero!E95+Marzo!E95+Abril!E95+Mayo!E95+Junio!E95+Julio!E95+Agosto!E95+Septiembre!E95+Octubre!E95+Noviembre!E95+Diciembre!E95</f>
        <v>8061469.6900000004</v>
      </c>
      <c r="F95" s="14">
        <f>+Enero!F95+Febrero!F95+Marzo!F95+Abril!F95+Mayo!F95+Junio!F95+Julio!F95+Agosto!F95+Septiembre!F95+Octubre!F95+Noviembre!F95+Diciembre!F95</f>
        <v>802550.21048667876</v>
      </c>
      <c r="G95" s="14">
        <f>+Enero!G95+Febrero!G95+Marzo!G95+Abril!G95+Mayo!G95+Junio!G95+Julio!G95+Agosto!G95+Septiembre!G95+Octubre!G95+Noviembre!G95+Diciembre!G95</f>
        <v>36406796.290000007</v>
      </c>
      <c r="H95" s="14">
        <f>+Enero!H95+Febrero!H95+Marzo!H95+Abril!H95+Mayo!H95+Junio!H95+Julio!H95+Agosto!H95+Septiembre!H95+Octubre!H95+Noviembre!H95+Diciembre!H95</f>
        <v>0</v>
      </c>
      <c r="I95" s="13">
        <f t="shared" si="2"/>
        <v>45270816.190486684</v>
      </c>
    </row>
    <row r="96" spans="1:9" ht="15.75" x14ac:dyDescent="0.25">
      <c r="A96" s="8"/>
      <c r="B96" s="8"/>
      <c r="C96" s="9"/>
      <c r="D96" s="12" t="s">
        <v>92</v>
      </c>
      <c r="E96" s="14">
        <f>+Enero!E96+Febrero!E96+Marzo!E96+Abril!E96+Mayo!E96+Junio!E96+Julio!E96+Agosto!E96+Septiembre!E96+Octubre!E96+Noviembre!E96+Diciembre!E96</f>
        <v>0</v>
      </c>
      <c r="F96" s="14">
        <f>+Enero!F96+Febrero!F96+Marzo!F96+Abril!F96+Mayo!F96+Junio!F96+Julio!F96+Agosto!F96+Septiembre!F96+Octubre!F96+Noviembre!F96+Diciembre!F96</f>
        <v>0</v>
      </c>
      <c r="G96" s="14">
        <f>+Enero!G96+Febrero!G96+Marzo!G96+Abril!G96+Mayo!G96+Junio!G96+Julio!G96+Agosto!G96+Septiembre!G96+Octubre!G96+Noviembre!G96+Diciembre!G96</f>
        <v>71275487.480000004</v>
      </c>
      <c r="H96" s="14">
        <f>+Enero!H96+Febrero!H96+Marzo!H96+Abril!H96+Mayo!H96+Junio!H96+Julio!H96+Agosto!H96+Septiembre!H96+Octubre!H96+Noviembre!H96+Diciembre!H96</f>
        <v>0</v>
      </c>
      <c r="I96" s="13">
        <f t="shared" si="2"/>
        <v>71275487.480000004</v>
      </c>
    </row>
    <row r="97" spans="1:9" ht="15.75" x14ac:dyDescent="0.25">
      <c r="A97" s="8"/>
      <c r="B97" s="8"/>
      <c r="C97" s="9"/>
      <c r="D97" s="12" t="s">
        <v>93</v>
      </c>
      <c r="E97" s="14">
        <f>+Enero!E97+Febrero!E97+Marzo!E97+Abril!E97+Mayo!E97+Junio!E97+Julio!E97+Agosto!E97+Septiembre!E97+Octubre!E97+Noviembre!E97+Diciembre!E97</f>
        <v>21293678.539999999</v>
      </c>
      <c r="F97" s="14">
        <f>+Enero!F97+Febrero!F97+Marzo!F97+Abril!F97+Mayo!F97+Junio!F97+Julio!F97+Agosto!F97+Septiembre!F97+Octubre!F97+Noviembre!F97+Diciembre!F97</f>
        <v>36036164.748889074</v>
      </c>
      <c r="G97" s="14">
        <f>+Enero!G97+Febrero!G97+Marzo!G97+Abril!G97+Mayo!G97+Junio!G97+Julio!G97+Agosto!G97+Septiembre!G97+Octubre!G97+Noviembre!G97+Diciembre!G97</f>
        <v>4289777.59</v>
      </c>
      <c r="H97" s="14">
        <f>+Enero!H97+Febrero!H97+Marzo!H97+Abril!H97+Mayo!H97+Junio!H97+Julio!H97+Agosto!H97+Septiembre!H97+Octubre!H97+Noviembre!H97+Diciembre!H97</f>
        <v>0</v>
      </c>
      <c r="I97" s="13">
        <f t="shared" si="2"/>
        <v>61619620.878889069</v>
      </c>
    </row>
    <row r="98" spans="1:9" ht="15.75" x14ac:dyDescent="0.25">
      <c r="A98" s="8"/>
      <c r="B98" s="8"/>
      <c r="C98" s="9"/>
      <c r="D98" s="12" t="s">
        <v>94</v>
      </c>
      <c r="E98" s="14">
        <f>+Enero!E98+Febrero!E98+Marzo!E98+Abril!E98+Mayo!E98+Junio!E98+Julio!E98+Agosto!E98+Septiembre!E98+Octubre!E98+Noviembre!E98+Diciembre!E98</f>
        <v>84373137.260000005</v>
      </c>
      <c r="F98" s="14">
        <f>+Enero!F98+Febrero!F98+Marzo!F98+Abril!F98+Mayo!F98+Junio!F98+Julio!F98+Agosto!F98+Septiembre!F98+Octubre!F98+Noviembre!F98+Diciembre!F98</f>
        <v>47401246.151838489</v>
      </c>
      <c r="G98" s="14">
        <f>+Enero!G98+Febrero!G98+Marzo!G98+Abril!G98+Mayo!G98+Junio!G98+Julio!G98+Agosto!G98+Septiembre!G98+Octubre!G98+Noviembre!G98+Diciembre!G98</f>
        <v>33819635.829999998</v>
      </c>
      <c r="H98" s="14">
        <f>+Enero!H98+Febrero!H98+Marzo!H98+Abril!H98+Mayo!H98+Junio!H98+Julio!H98+Agosto!H98+Septiembre!H98+Octubre!H98+Noviembre!H98+Diciembre!H98</f>
        <v>0</v>
      </c>
      <c r="I98" s="13">
        <f t="shared" si="2"/>
        <v>165594019.24183851</v>
      </c>
    </row>
    <row r="99" spans="1:9" ht="15.75" x14ac:dyDescent="0.25">
      <c r="A99" s="8"/>
      <c r="B99" s="8"/>
      <c r="C99" s="9"/>
      <c r="D99" s="12" t="s">
        <v>95</v>
      </c>
      <c r="E99" s="14">
        <f>+Enero!E99+Febrero!E99+Marzo!E99+Abril!E99+Mayo!E99+Junio!E99+Julio!E99+Agosto!E99+Septiembre!E99+Octubre!E99+Noviembre!E99+Diciembre!E99</f>
        <v>116838780.70999999</v>
      </c>
      <c r="F99" s="14">
        <f>+Enero!F99+Febrero!F99+Marzo!F99+Abril!F99+Mayo!F99+Junio!F99+Julio!F99+Agosto!F99+Septiembre!F99+Octubre!F99+Noviembre!F99+Diciembre!F99</f>
        <v>90323398.015479818</v>
      </c>
      <c r="G99" s="14">
        <f>+Enero!G99+Febrero!G99+Marzo!G99+Abril!G99+Mayo!G99+Junio!G99+Julio!G99+Agosto!G99+Septiembre!G99+Octubre!G99+Noviembre!G99+Diciembre!G99</f>
        <v>16209036.449999999</v>
      </c>
      <c r="H99" s="14">
        <f>+Enero!H99+Febrero!H99+Marzo!H99+Abril!H99+Mayo!H99+Junio!H99+Julio!H99+Agosto!H99+Septiembre!H99+Octubre!H99+Noviembre!H99+Diciembre!H99</f>
        <v>0</v>
      </c>
      <c r="I99" s="13">
        <f t="shared" si="2"/>
        <v>223371215.1754798</v>
      </c>
    </row>
    <row r="100" spans="1:9" ht="15.75" x14ac:dyDescent="0.25">
      <c r="A100" s="8"/>
      <c r="B100" s="8"/>
      <c r="C100" s="9"/>
      <c r="D100" s="12" t="s">
        <v>96</v>
      </c>
      <c r="E100" s="14">
        <f>+Enero!E100+Febrero!E100+Marzo!E100+Abril!E100+Mayo!E100+Junio!E100+Julio!E100+Agosto!E100+Septiembre!E100+Octubre!E100+Noviembre!E100+Diciembre!E100</f>
        <v>105322406.96999998</v>
      </c>
      <c r="F100" s="14">
        <f>+Enero!F100+Febrero!F100+Marzo!F100+Abril!F100+Mayo!F100+Junio!F100+Julio!F100+Agosto!F100+Septiembre!F100+Octubre!F100+Noviembre!F100+Diciembre!F100</f>
        <v>92812539.72239475</v>
      </c>
      <c r="G100" s="14">
        <f>+Enero!G100+Febrero!G100+Marzo!G100+Abril!G100+Mayo!G100+Junio!G100+Julio!G100+Agosto!G100+Septiembre!G100+Octubre!G100+Noviembre!G100+Diciembre!G100</f>
        <v>31036952.280000005</v>
      </c>
      <c r="H100" s="14">
        <f>+Enero!H100+Febrero!H100+Marzo!H100+Abril!H100+Mayo!H100+Junio!H100+Julio!H100+Agosto!H100+Septiembre!H100+Octubre!H100+Noviembre!H100+Diciembre!H100</f>
        <v>0</v>
      </c>
      <c r="I100" s="13">
        <f t="shared" si="2"/>
        <v>229171898.97239473</v>
      </c>
    </row>
    <row r="101" spans="1:9" ht="15.75" x14ac:dyDescent="0.25">
      <c r="A101" s="8"/>
      <c r="B101" s="8"/>
      <c r="C101" s="9"/>
      <c r="D101" s="12" t="s">
        <v>97</v>
      </c>
      <c r="E101" s="14">
        <f>+Enero!E101+Febrero!E101+Marzo!E101+Abril!E101+Mayo!E101+Junio!E101+Julio!E101+Agosto!E101+Septiembre!E101+Octubre!E101+Noviembre!E101+Diciembre!E101</f>
        <v>4049269.31</v>
      </c>
      <c r="F101" s="14">
        <f>+Enero!F101+Febrero!F101+Marzo!F101+Abril!F101+Mayo!F101+Junio!F101+Julio!F101+Agosto!F101+Septiembre!F101+Octubre!F101+Noviembre!F101+Diciembre!F101</f>
        <v>121267195.32234606</v>
      </c>
      <c r="G101" s="14">
        <f>+Enero!G101+Febrero!G101+Marzo!G101+Abril!G101+Mayo!G101+Junio!G101+Julio!G101+Agosto!G101+Septiembre!G101+Octubre!G101+Noviembre!G101+Diciembre!G101</f>
        <v>801095.59</v>
      </c>
      <c r="H101" s="14">
        <f>+Enero!H101+Febrero!H101+Marzo!H101+Abril!H101+Mayo!H101+Junio!H101+Julio!H101+Agosto!H101+Septiembre!H101+Octubre!H101+Noviembre!H101+Diciembre!H101</f>
        <v>0</v>
      </c>
      <c r="I101" s="13">
        <f t="shared" si="2"/>
        <v>126117560.22234607</v>
      </c>
    </row>
    <row r="102" spans="1:9" ht="15.75" x14ac:dyDescent="0.25">
      <c r="A102" s="8"/>
      <c r="B102" s="8"/>
      <c r="C102" s="9"/>
      <c r="D102" s="12" t="s">
        <v>98</v>
      </c>
      <c r="E102" s="14">
        <f>+Enero!E102+Febrero!E102+Marzo!E102+Abril!E102+Mayo!E102+Junio!E102+Julio!E102+Agosto!E102+Septiembre!E102+Octubre!E102+Noviembre!E102+Diciembre!E102</f>
        <v>117475468.86999999</v>
      </c>
      <c r="F102" s="14">
        <f>+Enero!F102+Febrero!F102+Marzo!F102+Abril!F102+Mayo!F102+Junio!F102+Julio!F102+Agosto!F102+Septiembre!F102+Octubre!F102+Noviembre!F102+Diciembre!F102</f>
        <v>52473621.948362276</v>
      </c>
      <c r="G102" s="14">
        <f>+Enero!G102+Febrero!G102+Marzo!G102+Abril!G102+Mayo!G102+Junio!G102+Julio!G102+Agosto!G102+Septiembre!G102+Octubre!G102+Noviembre!G102+Diciembre!G102</f>
        <v>14374093.429999998</v>
      </c>
      <c r="H102" s="14">
        <f>+Enero!H102+Febrero!H102+Marzo!H102+Abril!H102+Mayo!H102+Junio!H102+Julio!H102+Agosto!H102+Septiembre!H102+Octubre!H102+Noviembre!H102+Diciembre!H102</f>
        <v>0</v>
      </c>
      <c r="I102" s="13">
        <f t="shared" si="2"/>
        <v>184323184.24836227</v>
      </c>
    </row>
    <row r="103" spans="1:9" ht="15.75" x14ac:dyDescent="0.25">
      <c r="A103" s="8"/>
      <c r="B103" s="8"/>
      <c r="C103" s="9"/>
      <c r="D103" s="12" t="s">
        <v>99</v>
      </c>
      <c r="E103" s="14">
        <f>+Enero!E103+Febrero!E103+Marzo!E103+Abril!E103+Mayo!E103+Junio!E103+Julio!E103+Agosto!E103+Septiembre!E103+Octubre!E103+Noviembre!E103+Diciembre!E103</f>
        <v>36563037.729999997</v>
      </c>
      <c r="F103" s="14">
        <f>+Enero!F103+Febrero!F103+Marzo!F103+Abril!F103+Mayo!F103+Junio!F103+Julio!F103+Agosto!F103+Septiembre!F103+Octubre!F103+Noviembre!F103+Diciembre!F103</f>
        <v>16558952.685597438</v>
      </c>
      <c r="G103" s="14">
        <f>+Enero!G103+Febrero!G103+Marzo!G103+Abril!G103+Mayo!G103+Junio!G103+Julio!G103+Agosto!G103+Septiembre!G103+Octubre!G103+Noviembre!G103+Diciembre!G103</f>
        <v>2998817.07</v>
      </c>
      <c r="H103" s="14">
        <f>+Enero!H103+Febrero!H103+Marzo!H103+Abril!H103+Mayo!H103+Junio!H103+Julio!H103+Agosto!H103+Septiembre!H103+Octubre!H103+Noviembre!H103+Diciembre!H103</f>
        <v>0</v>
      </c>
      <c r="I103" s="13">
        <f t="shared" si="2"/>
        <v>56120807.485597439</v>
      </c>
    </row>
    <row r="104" spans="1:9" ht="15.75" x14ac:dyDescent="0.25">
      <c r="A104" s="8"/>
      <c r="B104" s="8"/>
      <c r="C104" s="9"/>
      <c r="D104" s="12" t="s">
        <v>100</v>
      </c>
      <c r="E104" s="14">
        <f>+Enero!E104+Febrero!E104+Marzo!E104+Abril!E104+Mayo!E104+Junio!E104+Julio!E104+Agosto!E104+Septiembre!E104+Octubre!E104+Noviembre!E104+Diciembre!E104</f>
        <v>194190051.39000002</v>
      </c>
      <c r="F104" s="14">
        <f>+Enero!F104+Febrero!F104+Marzo!F104+Abril!F104+Mayo!F104+Junio!F104+Julio!F104+Agosto!F104+Septiembre!F104+Octubre!F104+Noviembre!F104+Diciembre!F104</f>
        <v>30258792.091256149</v>
      </c>
      <c r="G104" s="14">
        <f>+Enero!G104+Febrero!G104+Marzo!G104+Abril!G104+Mayo!G104+Junio!G104+Julio!G104+Agosto!G104+Septiembre!G104+Octubre!G104+Noviembre!G104+Diciembre!G104</f>
        <v>33292483.829999998</v>
      </c>
      <c r="H104" s="14">
        <f>+Enero!H104+Febrero!H104+Marzo!H104+Abril!H104+Mayo!H104+Junio!H104+Julio!H104+Agosto!H104+Septiembre!H104+Octubre!H104+Noviembre!H104+Diciembre!H104</f>
        <v>0</v>
      </c>
      <c r="I104" s="13">
        <f t="shared" si="2"/>
        <v>257741327.31125617</v>
      </c>
    </row>
    <row r="105" spans="1:9" ht="15.75" x14ac:dyDescent="0.25">
      <c r="A105" s="8"/>
      <c r="B105" s="8"/>
      <c r="C105" s="9"/>
      <c r="D105" s="12" t="s">
        <v>101</v>
      </c>
      <c r="E105" s="14">
        <f>+Enero!E105+Febrero!E105+Marzo!E105+Abril!E105+Mayo!E105+Junio!E105+Julio!E105+Agosto!E105+Septiembre!E105+Octubre!E105+Noviembre!E105+Diciembre!E105</f>
        <v>27543102.949999999</v>
      </c>
      <c r="F105" s="14">
        <f>+Enero!F105+Febrero!F105+Marzo!F105+Abril!F105+Mayo!F105+Junio!F105+Julio!F105+Agosto!F105+Septiembre!F105+Octubre!F105+Noviembre!F105+Diciembre!F105</f>
        <v>44935588.781048082</v>
      </c>
      <c r="G105" s="14">
        <f>+Enero!G105+Febrero!G105+Marzo!G105+Abril!G105+Mayo!G105+Junio!G105+Julio!G105+Agosto!G105+Septiembre!G105+Octubre!G105+Noviembre!G105+Diciembre!G105</f>
        <v>359372.01</v>
      </c>
      <c r="H105" s="14">
        <f>+Enero!H105+Febrero!H105+Marzo!H105+Abril!H105+Mayo!H105+Junio!H105+Julio!H105+Agosto!H105+Septiembre!H105+Octubre!H105+Noviembre!H105+Diciembre!H105</f>
        <v>0</v>
      </c>
      <c r="I105" s="13">
        <f t="shared" si="2"/>
        <v>72838063.741048083</v>
      </c>
    </row>
    <row r="106" spans="1:9" ht="15.75" x14ac:dyDescent="0.25">
      <c r="A106" s="8"/>
      <c r="B106" s="8"/>
      <c r="C106" s="9"/>
      <c r="D106" s="12" t="s">
        <v>102</v>
      </c>
      <c r="E106" s="14">
        <f>+Enero!E106+Febrero!E106+Marzo!E106+Abril!E106+Mayo!E106+Junio!E106+Julio!E106+Agosto!E106+Septiembre!E106+Octubre!E106+Noviembre!E106+Diciembre!E106</f>
        <v>35930259.810000002</v>
      </c>
      <c r="F106" s="14">
        <f>+Enero!F106+Febrero!F106+Marzo!F106+Abril!F106+Mayo!F106+Junio!F106+Julio!F106+Agosto!F106+Septiembre!F106+Octubre!F106+Noviembre!F106+Diciembre!F106</f>
        <v>2772097.8688078709</v>
      </c>
      <c r="G106" s="14">
        <f>+Enero!G106+Febrero!G106+Marzo!G106+Abril!G106+Mayo!G106+Junio!G106+Julio!G106+Agosto!G106+Septiembre!G106+Octubre!G106+Noviembre!G106+Diciembre!G106</f>
        <v>68032046.539999992</v>
      </c>
      <c r="H106" s="14">
        <f>+Enero!H106+Febrero!H106+Marzo!H106+Abril!H106+Mayo!H106+Junio!H106+Julio!H106+Agosto!H106+Septiembre!H106+Octubre!H106+Noviembre!H106+Diciembre!H106</f>
        <v>0</v>
      </c>
      <c r="I106" s="13">
        <f t="shared" ref="I106:I137" si="3">SUM(E106:H106)</f>
        <v>106734404.21880786</v>
      </c>
    </row>
    <row r="107" spans="1:9" ht="15.75" x14ac:dyDescent="0.25">
      <c r="A107" s="8"/>
      <c r="B107" s="8"/>
      <c r="C107" s="9"/>
      <c r="D107" s="12" t="s">
        <v>103</v>
      </c>
      <c r="E107" s="14">
        <f>+Enero!E107+Febrero!E107+Marzo!E107+Abril!E107+Mayo!E107+Junio!E107+Julio!E107+Agosto!E107+Septiembre!E107+Octubre!E107+Noviembre!E107+Diciembre!E107</f>
        <v>430975.48000000004</v>
      </c>
      <c r="F107" s="14">
        <f>+Enero!F107+Febrero!F107+Marzo!F107+Abril!F107+Mayo!F107+Junio!F107+Julio!F107+Agosto!F107+Septiembre!F107+Octubre!F107+Noviembre!F107+Diciembre!F107</f>
        <v>0</v>
      </c>
      <c r="G107" s="14">
        <f>+Enero!G107+Febrero!G107+Marzo!G107+Abril!G107+Mayo!G107+Junio!G107+Julio!G107+Agosto!G107+Septiembre!G107+Octubre!G107+Noviembre!G107+Diciembre!G107</f>
        <v>17415757.699999996</v>
      </c>
      <c r="H107" s="14">
        <f>+Enero!H107+Febrero!H107+Marzo!H107+Abril!H107+Mayo!H107+Junio!H107+Julio!H107+Agosto!H107+Septiembre!H107+Octubre!H107+Noviembre!H107+Diciembre!H107</f>
        <v>0</v>
      </c>
      <c r="I107" s="13">
        <f t="shared" si="3"/>
        <v>17846733.179999996</v>
      </c>
    </row>
    <row r="108" spans="1:9" ht="15.75" x14ac:dyDescent="0.25">
      <c r="A108" s="8"/>
      <c r="B108" s="8"/>
      <c r="C108" s="9"/>
      <c r="D108" s="12" t="s">
        <v>104</v>
      </c>
      <c r="E108" s="14">
        <f>+Enero!E108+Febrero!E108+Marzo!E108+Abril!E108+Mayo!E108+Junio!E108+Julio!E108+Agosto!E108+Septiembre!E108+Octubre!E108+Noviembre!E108+Diciembre!E108</f>
        <v>3243820.0300000007</v>
      </c>
      <c r="F108" s="14">
        <f>+Enero!F108+Febrero!F108+Marzo!F108+Abril!F108+Mayo!F108+Junio!F108+Julio!F108+Agosto!F108+Septiembre!F108+Octubre!F108+Noviembre!F108+Diciembre!F108</f>
        <v>0</v>
      </c>
      <c r="G108" s="14">
        <f>+Enero!G108+Febrero!G108+Marzo!G108+Abril!G108+Mayo!G108+Junio!G108+Julio!G108+Agosto!G108+Septiembre!G108+Octubre!G108+Noviembre!G108+Diciembre!G108</f>
        <v>8891521.75</v>
      </c>
      <c r="H108" s="14">
        <f>+Enero!H108+Febrero!H108+Marzo!H108+Abril!H108+Mayo!H108+Junio!H108+Julio!H108+Agosto!H108+Septiembre!H108+Octubre!H108+Noviembre!H108+Diciembre!H108</f>
        <v>0</v>
      </c>
      <c r="I108" s="13">
        <f t="shared" si="3"/>
        <v>12135341.780000001</v>
      </c>
    </row>
    <row r="109" spans="1:9" ht="15.75" x14ac:dyDescent="0.25">
      <c r="A109" s="8"/>
      <c r="B109" s="8"/>
      <c r="C109" s="9"/>
      <c r="D109" s="12" t="s">
        <v>105</v>
      </c>
      <c r="E109" s="14">
        <f>+Enero!E109+Febrero!E109+Marzo!E109+Abril!E109+Mayo!E109+Junio!E109+Julio!E109+Agosto!E109+Septiembre!E109+Octubre!E109+Noviembre!E109+Diciembre!E109</f>
        <v>14979333.419999998</v>
      </c>
      <c r="F109" s="14">
        <f>+Enero!F109+Febrero!F109+Marzo!F109+Abril!F109+Mayo!F109+Junio!F109+Julio!F109+Agosto!F109+Septiembre!F109+Octubre!F109+Noviembre!F109+Diciembre!F109</f>
        <v>74347761.619445458</v>
      </c>
      <c r="G109" s="14">
        <f>+Enero!G109+Febrero!G109+Marzo!G109+Abril!G109+Mayo!G109+Junio!G109+Julio!G109+Agosto!G109+Septiembre!G109+Octubre!G109+Noviembre!G109+Diciembre!G109</f>
        <v>4152060.0799999996</v>
      </c>
      <c r="H109" s="14">
        <f>+Enero!H109+Febrero!H109+Marzo!H109+Abril!H109+Mayo!H109+Junio!H109+Julio!H109+Agosto!H109+Septiembre!H109+Octubre!H109+Noviembre!H109+Diciembre!H109</f>
        <v>0</v>
      </c>
      <c r="I109" s="13">
        <f t="shared" si="3"/>
        <v>93479155.119445458</v>
      </c>
    </row>
    <row r="110" spans="1:9" ht="15.75" x14ac:dyDescent="0.25">
      <c r="A110" s="8"/>
      <c r="B110" s="8"/>
      <c r="C110" s="9"/>
      <c r="D110" s="12" t="s">
        <v>106</v>
      </c>
      <c r="E110" s="14">
        <f>+Enero!E110+Febrero!E110+Marzo!E110+Abril!E110+Mayo!E110+Junio!E110+Julio!E110+Agosto!E110+Septiembre!E110+Octubre!E110+Noviembre!E110+Diciembre!E110</f>
        <v>16343284.109999999</v>
      </c>
      <c r="F110" s="14">
        <f>+Enero!F110+Febrero!F110+Marzo!F110+Abril!F110+Mayo!F110+Junio!F110+Julio!F110+Agosto!F110+Septiembre!F110+Octubre!F110+Noviembre!F110+Diciembre!F110</f>
        <v>19941731.853823721</v>
      </c>
      <c r="G110" s="14">
        <f>+Enero!G110+Febrero!G110+Marzo!G110+Abril!G110+Mayo!G110+Junio!G110+Julio!G110+Agosto!G110+Septiembre!G110+Octubre!G110+Noviembre!G110+Diciembre!G110</f>
        <v>3266156.5000000005</v>
      </c>
      <c r="H110" s="14">
        <f>+Enero!H110+Febrero!H110+Marzo!H110+Abril!H110+Mayo!H110+Junio!H110+Julio!H110+Agosto!H110+Septiembre!H110+Octubre!H110+Noviembre!H110+Diciembre!H110</f>
        <v>0</v>
      </c>
      <c r="I110" s="13">
        <f t="shared" si="3"/>
        <v>39551172.463823721</v>
      </c>
    </row>
    <row r="111" spans="1:9" ht="15.75" x14ac:dyDescent="0.25">
      <c r="A111" s="8"/>
      <c r="B111" s="8"/>
      <c r="C111" s="9"/>
      <c r="D111" s="12" t="s">
        <v>107</v>
      </c>
      <c r="E111" s="14">
        <f>+Enero!E111+Febrero!E111+Marzo!E111+Abril!E111+Mayo!E111+Junio!E111+Julio!E111+Agosto!E111+Septiembre!E111+Octubre!E111+Noviembre!E111+Diciembre!E111</f>
        <v>482243.2699999999</v>
      </c>
      <c r="F111" s="14">
        <f>+Enero!F111+Febrero!F111+Marzo!F111+Abril!F111+Mayo!F111+Junio!F111+Julio!F111+Agosto!F111+Septiembre!F111+Octubre!F111+Noviembre!F111+Diciembre!F111</f>
        <v>277060.87696744996</v>
      </c>
      <c r="G111" s="14">
        <f>+Enero!G111+Febrero!G111+Marzo!G111+Abril!G111+Mayo!G111+Junio!G111+Julio!G111+Agosto!G111+Septiembre!G111+Octubre!G111+Noviembre!G111+Diciembre!G111</f>
        <v>84040310.069999993</v>
      </c>
      <c r="H111" s="14">
        <f>+Enero!H111+Febrero!H111+Marzo!H111+Abril!H111+Mayo!H111+Junio!H111+Julio!H111+Agosto!H111+Septiembre!H111+Octubre!H111+Noviembre!H111+Diciembre!H111</f>
        <v>0</v>
      </c>
      <c r="I111" s="13">
        <f t="shared" si="3"/>
        <v>84799614.216967449</v>
      </c>
    </row>
    <row r="112" spans="1:9" ht="15.75" x14ac:dyDescent="0.25">
      <c r="A112" s="8"/>
      <c r="B112" s="8"/>
      <c r="C112" s="9"/>
      <c r="D112" s="12" t="s">
        <v>108</v>
      </c>
      <c r="E112" s="14">
        <f>+Enero!E112+Febrero!E112+Marzo!E112+Abril!E112+Mayo!E112+Junio!E112+Julio!E112+Agosto!E112+Septiembre!E112+Octubre!E112+Noviembre!E112+Diciembre!E112</f>
        <v>58342348.600000009</v>
      </c>
      <c r="F112" s="14">
        <f>+Enero!F112+Febrero!F112+Marzo!F112+Abril!F112+Mayo!F112+Junio!F112+Julio!F112+Agosto!F112+Septiembre!F112+Octubre!F112+Noviembre!F112+Diciembre!F112</f>
        <v>18966221.763537344</v>
      </c>
      <c r="G112" s="14">
        <f>+Enero!G112+Febrero!G112+Marzo!G112+Abril!G112+Mayo!G112+Junio!G112+Julio!G112+Agosto!G112+Septiembre!G112+Octubre!G112+Noviembre!G112+Diciembre!G112</f>
        <v>8164859.4400000004</v>
      </c>
      <c r="H112" s="14">
        <f>+Enero!H112+Febrero!H112+Marzo!H112+Abril!H112+Mayo!H112+Junio!H112+Julio!H112+Agosto!H112+Septiembre!H112+Octubre!H112+Noviembre!H112+Diciembre!H112</f>
        <v>0</v>
      </c>
      <c r="I112" s="13">
        <f t="shared" si="3"/>
        <v>85473429.803537354</v>
      </c>
    </row>
    <row r="113" spans="1:9" ht="15.75" x14ac:dyDescent="0.25">
      <c r="A113" s="8"/>
      <c r="B113" s="8"/>
      <c r="C113" s="9"/>
      <c r="D113" s="12" t="s">
        <v>109</v>
      </c>
      <c r="E113" s="14">
        <f>+Enero!E113+Febrero!E113+Marzo!E113+Abril!E113+Mayo!E113+Junio!E113+Julio!E113+Agosto!E113+Septiembre!E113+Octubre!E113+Noviembre!E113+Diciembre!E113</f>
        <v>38754536.270000003</v>
      </c>
      <c r="F113" s="14">
        <f>+Enero!F113+Febrero!F113+Marzo!F113+Abril!F113+Mayo!F113+Junio!F113+Julio!F113+Agosto!F113+Septiembre!F113+Octubre!F113+Noviembre!F113+Diciembre!F113</f>
        <v>45665246.362784013</v>
      </c>
      <c r="G113" s="14">
        <f>+Enero!G113+Febrero!G113+Marzo!G113+Abril!G113+Mayo!G113+Junio!G113+Julio!G113+Agosto!G113+Septiembre!G113+Octubre!G113+Noviembre!G113+Diciembre!G113</f>
        <v>5948720.9800000004</v>
      </c>
      <c r="H113" s="14">
        <f>+Enero!H113+Febrero!H113+Marzo!H113+Abril!H113+Mayo!H113+Junio!H113+Julio!H113+Agosto!H113+Septiembre!H113+Octubre!H113+Noviembre!H113+Diciembre!H113</f>
        <v>0</v>
      </c>
      <c r="I113" s="13">
        <f t="shared" si="3"/>
        <v>90368503.612784013</v>
      </c>
    </row>
    <row r="114" spans="1:9" ht="15.75" x14ac:dyDescent="0.25">
      <c r="A114" s="8"/>
      <c r="B114" s="8"/>
      <c r="C114" s="9"/>
      <c r="D114" s="12" t="s">
        <v>110</v>
      </c>
      <c r="E114" s="14">
        <f>+Enero!E114+Febrero!E114+Marzo!E114+Abril!E114+Mayo!E114+Junio!E114+Julio!E114+Agosto!E114+Septiembre!E114+Octubre!E114+Noviembre!E114+Diciembre!E114</f>
        <v>91762536.400000006</v>
      </c>
      <c r="F114" s="14">
        <f>+Enero!F114+Febrero!F114+Marzo!F114+Abril!F114+Mayo!F114+Junio!F114+Julio!F114+Agosto!F114+Septiembre!F114+Octubre!F114+Noviembre!F114+Diciembre!F114</f>
        <v>52376444.850369573</v>
      </c>
      <c r="G114" s="14">
        <f>+Enero!G114+Febrero!G114+Marzo!G114+Abril!G114+Mayo!G114+Junio!G114+Julio!G114+Agosto!G114+Septiembre!G114+Octubre!G114+Noviembre!G114+Diciembre!G114</f>
        <v>9615918.5099999998</v>
      </c>
      <c r="H114" s="14">
        <f>+Enero!H114+Febrero!H114+Marzo!H114+Abril!H114+Mayo!H114+Junio!H114+Julio!H114+Agosto!H114+Septiembre!H114+Octubre!H114+Noviembre!H114+Diciembre!H114</f>
        <v>0</v>
      </c>
      <c r="I114" s="13">
        <f t="shared" si="3"/>
        <v>153754899.76036957</v>
      </c>
    </row>
    <row r="115" spans="1:9" ht="15.75" x14ac:dyDescent="0.25">
      <c r="A115" s="8"/>
      <c r="B115" s="8"/>
      <c r="C115" s="9"/>
      <c r="D115" s="12" t="s">
        <v>111</v>
      </c>
      <c r="E115" s="14">
        <f>+Enero!E115+Febrero!E115+Marzo!E115+Abril!E115+Mayo!E115+Junio!E115+Julio!E115+Agosto!E115+Septiembre!E115+Octubre!E115+Noviembre!E115+Diciembre!E115</f>
        <v>163781675.06</v>
      </c>
      <c r="F115" s="14">
        <f>+Enero!F115+Febrero!F115+Marzo!F115+Abril!F115+Mayo!F115+Junio!F115+Julio!F115+Agosto!F115+Septiembre!F115+Octubre!F115+Noviembre!F115+Diciembre!F115</f>
        <v>25896474.388759982</v>
      </c>
      <c r="G115" s="14">
        <f>+Enero!G115+Febrero!G115+Marzo!G115+Abril!G115+Mayo!G115+Junio!G115+Julio!G115+Agosto!G115+Septiembre!G115+Octubre!G115+Noviembre!G115+Diciembre!G115</f>
        <v>13166439.139999999</v>
      </c>
      <c r="H115" s="14">
        <f>+Enero!H115+Febrero!H115+Marzo!H115+Abril!H115+Mayo!H115+Junio!H115+Julio!H115+Agosto!H115+Septiembre!H115+Octubre!H115+Noviembre!H115+Diciembre!H115</f>
        <v>0</v>
      </c>
      <c r="I115" s="13">
        <f t="shared" si="3"/>
        <v>202844588.58875996</v>
      </c>
    </row>
    <row r="116" spans="1:9" ht="15.75" x14ac:dyDescent="0.25">
      <c r="A116" s="8"/>
      <c r="B116" s="8"/>
      <c r="C116" s="9"/>
      <c r="D116" s="12" t="s">
        <v>112</v>
      </c>
      <c r="E116" s="14">
        <f>+Enero!E116+Febrero!E116+Marzo!E116+Abril!E116+Mayo!E116+Junio!E116+Julio!E116+Agosto!E116+Septiembre!E116+Octubre!E116+Noviembre!E116+Diciembre!E116</f>
        <v>29272187.710000001</v>
      </c>
      <c r="F116" s="14">
        <f>+Enero!F116+Febrero!F116+Marzo!F116+Abril!F116+Mayo!F116+Junio!F116+Julio!F116+Agosto!F116+Septiembre!F116+Octubre!F116+Noviembre!F116+Diciembre!F116</f>
        <v>33628895.670949176</v>
      </c>
      <c r="G116" s="14">
        <f>+Enero!G116+Febrero!G116+Marzo!G116+Abril!G116+Mayo!G116+Junio!G116+Julio!G116+Agosto!G116+Septiembre!G116+Octubre!G116+Noviembre!G116+Diciembre!G116</f>
        <v>2466846.7300000004</v>
      </c>
      <c r="H116" s="14">
        <f>+Enero!H116+Febrero!H116+Marzo!H116+Abril!H116+Mayo!H116+Junio!H116+Julio!H116+Agosto!H116+Septiembre!H116+Octubre!H116+Noviembre!H116+Diciembre!H116</f>
        <v>0</v>
      </c>
      <c r="I116" s="13">
        <f t="shared" si="3"/>
        <v>65367930.110949174</v>
      </c>
    </row>
    <row r="117" spans="1:9" ht="15.75" x14ac:dyDescent="0.25">
      <c r="A117" s="8"/>
      <c r="B117" s="8"/>
      <c r="C117" s="9"/>
      <c r="D117" s="12" t="s">
        <v>113</v>
      </c>
      <c r="E117" s="14">
        <f>+Enero!E117+Febrero!E117+Marzo!E117+Abril!E117+Mayo!E117+Junio!E117+Julio!E117+Agosto!E117+Septiembre!E117+Octubre!E117+Noviembre!E117+Diciembre!E117</f>
        <v>26595328</v>
      </c>
      <c r="F117" s="14">
        <f>+Enero!F117+Febrero!F117+Marzo!F117+Abril!F117+Mayo!F117+Junio!F117+Julio!F117+Agosto!F117+Septiembre!F117+Octubre!F117+Noviembre!F117+Diciembre!F117</f>
        <v>25969361.715375431</v>
      </c>
      <c r="G117" s="14">
        <f>+Enero!G117+Febrero!G117+Marzo!G117+Abril!G117+Mayo!G117+Junio!G117+Julio!G117+Agosto!G117+Septiembre!G117+Octubre!G117+Noviembre!G117+Diciembre!G117</f>
        <v>8818865.9600000009</v>
      </c>
      <c r="H117" s="14">
        <f>+Enero!H117+Febrero!H117+Marzo!H117+Abril!H117+Mayo!H117+Junio!H117+Julio!H117+Agosto!H117+Septiembre!H117+Octubre!H117+Noviembre!H117+Diciembre!H117</f>
        <v>0</v>
      </c>
      <c r="I117" s="13">
        <f t="shared" si="3"/>
        <v>61383555.675375432</v>
      </c>
    </row>
    <row r="118" spans="1:9" ht="15.75" x14ac:dyDescent="0.25">
      <c r="A118" s="8"/>
      <c r="B118" s="8"/>
      <c r="C118" s="9"/>
      <c r="D118" s="12" t="s">
        <v>114</v>
      </c>
      <c r="E118" s="14">
        <f>+Enero!E118+Febrero!E118+Marzo!E118+Abril!E118+Mayo!E118+Junio!E118+Julio!E118+Agosto!E118+Septiembre!E118+Octubre!E118+Noviembre!E118+Diciembre!E118</f>
        <v>48292321.850000001</v>
      </c>
      <c r="F118" s="14">
        <f>+Enero!F118+Febrero!F118+Marzo!F118+Abril!F118+Mayo!F118+Junio!F118+Julio!F118+Agosto!F118+Septiembre!F118+Octubre!F118+Noviembre!F118+Diciembre!F118</f>
        <v>40558766.742651679</v>
      </c>
      <c r="G118" s="14">
        <f>+Enero!G118+Febrero!G118+Marzo!G118+Abril!G118+Mayo!G118+Junio!G118+Julio!G118+Agosto!G118+Septiembre!G118+Octubre!G118+Noviembre!G118+Diciembre!G118</f>
        <v>9178444.6899999995</v>
      </c>
      <c r="H118" s="14">
        <f>+Enero!H118+Febrero!H118+Marzo!H118+Abril!H118+Mayo!H118+Junio!H118+Julio!H118+Agosto!H118+Septiembre!H118+Octubre!H118+Noviembre!H118+Diciembre!H118</f>
        <v>0</v>
      </c>
      <c r="I118" s="13">
        <f t="shared" si="3"/>
        <v>98029533.282651678</v>
      </c>
    </row>
    <row r="119" spans="1:9" ht="15.75" x14ac:dyDescent="0.25">
      <c r="A119" s="8"/>
      <c r="B119" s="8"/>
      <c r="C119" s="9"/>
      <c r="D119" s="12" t="s">
        <v>115</v>
      </c>
      <c r="E119" s="14">
        <f>+Enero!E119+Febrero!E119+Marzo!E119+Abril!E119+Mayo!E119+Junio!E119+Julio!E119+Agosto!E119+Septiembre!E119+Octubre!E119+Noviembre!E119+Diciembre!E119</f>
        <v>11366992.450000001</v>
      </c>
      <c r="F119" s="14">
        <f>+Enero!F119+Febrero!F119+Marzo!F119+Abril!F119+Mayo!F119+Junio!F119+Julio!F119+Agosto!F119+Septiembre!F119+Octubre!F119+Noviembre!F119+Diciembre!F119</f>
        <v>3939100.6187776905</v>
      </c>
      <c r="G119" s="14">
        <f>+Enero!G119+Febrero!G119+Marzo!G119+Abril!G119+Mayo!G119+Junio!G119+Julio!G119+Agosto!G119+Septiembre!G119+Octubre!G119+Noviembre!G119+Diciembre!G119</f>
        <v>4392366.8600000003</v>
      </c>
      <c r="H119" s="14">
        <f>+Enero!H119+Febrero!H119+Marzo!H119+Abril!H119+Mayo!H119+Junio!H119+Julio!H119+Agosto!H119+Septiembre!H119+Octubre!H119+Noviembre!H119+Diciembre!H119</f>
        <v>0</v>
      </c>
      <c r="I119" s="13">
        <f t="shared" si="3"/>
        <v>19698459.928777691</v>
      </c>
    </row>
    <row r="120" spans="1:9" ht="15.75" x14ac:dyDescent="0.25">
      <c r="A120" s="8"/>
      <c r="B120" s="8"/>
      <c r="C120" s="9"/>
      <c r="D120" s="12" t="s">
        <v>116</v>
      </c>
      <c r="E120" s="14">
        <f>+Enero!E120+Febrero!E120+Marzo!E120+Abril!E120+Mayo!E120+Junio!E120+Julio!E120+Agosto!E120+Septiembre!E120+Octubre!E120+Noviembre!E120+Diciembre!E120</f>
        <v>126264766.61</v>
      </c>
      <c r="F120" s="14">
        <f>+Enero!F120+Febrero!F120+Marzo!F120+Abril!F120+Mayo!F120+Junio!F120+Julio!F120+Agosto!F120+Septiembre!F120+Octubre!F120+Noviembre!F120+Diciembre!F120</f>
        <v>17215722.940717924</v>
      </c>
      <c r="G120" s="14">
        <f>+Enero!G120+Febrero!G120+Marzo!G120+Abril!G120+Mayo!G120+Junio!G120+Julio!G120+Agosto!G120+Septiembre!G120+Octubre!G120+Noviembre!G120+Diciembre!G120</f>
        <v>10583031.680000002</v>
      </c>
      <c r="H120" s="14">
        <f>+Enero!H120+Febrero!H120+Marzo!H120+Abril!H120+Mayo!H120+Junio!H120+Julio!H120+Agosto!H120+Septiembre!H120+Octubre!H120+Noviembre!H120+Diciembre!H120</f>
        <v>0</v>
      </c>
      <c r="I120" s="13">
        <f t="shared" si="3"/>
        <v>154063521.23071793</v>
      </c>
    </row>
    <row r="121" spans="1:9" ht="15.75" x14ac:dyDescent="0.25">
      <c r="A121" s="8"/>
      <c r="B121" s="8"/>
      <c r="C121" s="9"/>
      <c r="D121" s="12" t="s">
        <v>117</v>
      </c>
      <c r="E121" s="14">
        <f>+Enero!E121+Febrero!E121+Marzo!E121+Abril!E121+Mayo!E121+Junio!E121+Julio!E121+Agosto!E121+Septiembre!E121+Octubre!E121+Noviembre!E121+Diciembre!E121</f>
        <v>46328858.070000008</v>
      </c>
      <c r="F121" s="14">
        <f>+Enero!F121+Febrero!F121+Marzo!F121+Abril!F121+Mayo!F121+Junio!F121+Julio!F121+Agosto!F121+Septiembre!F121+Octubre!F121+Noviembre!F121+Diciembre!F121</f>
        <v>26394967.755817644</v>
      </c>
      <c r="G121" s="14">
        <f>+Enero!G121+Febrero!G121+Marzo!G121+Abril!G121+Mayo!G121+Junio!G121+Julio!G121+Agosto!G121+Septiembre!G121+Octubre!G121+Noviembre!G121+Diciembre!G121</f>
        <v>6025195.9499999993</v>
      </c>
      <c r="H121" s="14">
        <f>+Enero!H121+Febrero!H121+Marzo!H121+Abril!H121+Mayo!H121+Junio!H121+Julio!H121+Agosto!H121+Septiembre!H121+Octubre!H121+Noviembre!H121+Diciembre!H121</f>
        <v>0</v>
      </c>
      <c r="I121" s="13">
        <f t="shared" si="3"/>
        <v>78749021.775817648</v>
      </c>
    </row>
    <row r="122" spans="1:9" ht="15.75" x14ac:dyDescent="0.25">
      <c r="A122" s="8"/>
      <c r="B122" s="8"/>
      <c r="C122" s="9"/>
      <c r="D122" s="12" t="s">
        <v>118</v>
      </c>
      <c r="E122" s="14">
        <f>+Enero!E122+Febrero!E122+Marzo!E122+Abril!E122+Mayo!E122+Junio!E122+Julio!E122+Agosto!E122+Septiembre!E122+Octubre!E122+Noviembre!E122+Diciembre!E122</f>
        <v>50449022.970000006</v>
      </c>
      <c r="F122" s="14">
        <f>+Enero!F122+Febrero!F122+Marzo!F122+Abril!F122+Mayo!F122+Junio!F122+Julio!F122+Agosto!F122+Septiembre!F122+Octubre!F122+Noviembre!F122+Diciembre!F122</f>
        <v>18834946.144071396</v>
      </c>
      <c r="G122" s="14">
        <f>+Enero!G122+Febrero!G122+Marzo!G122+Abril!G122+Mayo!G122+Junio!G122+Julio!G122+Agosto!G122+Septiembre!G122+Octubre!G122+Noviembre!G122+Diciembre!G122</f>
        <v>11145340.77</v>
      </c>
      <c r="H122" s="14">
        <f>+Enero!H122+Febrero!H122+Marzo!H122+Abril!H122+Mayo!H122+Junio!H122+Julio!H122+Agosto!H122+Septiembre!H122+Octubre!H122+Noviembre!H122+Diciembre!H122</f>
        <v>0</v>
      </c>
      <c r="I122" s="13">
        <f t="shared" si="3"/>
        <v>80429309.884071395</v>
      </c>
    </row>
    <row r="123" spans="1:9" ht="15.75" x14ac:dyDescent="0.25">
      <c r="A123" s="8"/>
      <c r="B123" s="8"/>
      <c r="C123" s="9"/>
      <c r="D123" s="12" t="s">
        <v>119</v>
      </c>
      <c r="E123" s="14">
        <f>+Enero!E123+Febrero!E123+Marzo!E123+Abril!E123+Mayo!E123+Junio!E123+Julio!E123+Agosto!E123+Septiembre!E123+Octubre!E123+Noviembre!E123+Diciembre!E123</f>
        <v>52389298.640000001</v>
      </c>
      <c r="F123" s="14">
        <f>+Enero!F123+Febrero!F123+Marzo!F123+Abril!F123+Mayo!F123+Junio!F123+Julio!F123+Agosto!F123+Septiembre!F123+Octubre!F123+Noviembre!F123+Diciembre!F123</f>
        <v>34606229.206467226</v>
      </c>
      <c r="G123" s="14">
        <f>+Enero!G123+Febrero!G123+Marzo!G123+Abril!G123+Mayo!G123+Junio!G123+Julio!G123+Agosto!G123+Septiembre!G123+Octubre!G123+Noviembre!G123+Diciembre!G123</f>
        <v>3134248.5999999996</v>
      </c>
      <c r="H123" s="14">
        <f>+Enero!H123+Febrero!H123+Marzo!H123+Abril!H123+Mayo!H123+Junio!H123+Julio!H123+Agosto!H123+Septiembre!H123+Octubre!H123+Noviembre!H123+Diciembre!H123</f>
        <v>0</v>
      </c>
      <c r="I123" s="13">
        <f t="shared" si="3"/>
        <v>90129776.446467221</v>
      </c>
    </row>
    <row r="124" spans="1:9" ht="15.75" x14ac:dyDescent="0.25">
      <c r="A124" s="8"/>
      <c r="B124" s="8"/>
      <c r="C124" s="9"/>
      <c r="D124" s="12" t="s">
        <v>120</v>
      </c>
      <c r="E124" s="14">
        <f>+Enero!E124+Febrero!E124+Marzo!E124+Abril!E124+Mayo!E124+Junio!E124+Julio!E124+Agosto!E124+Septiembre!E124+Octubre!E124+Noviembre!E124+Diciembre!E124</f>
        <v>1461601.3599999999</v>
      </c>
      <c r="F124" s="14">
        <f>+Enero!F124+Febrero!F124+Marzo!F124+Abril!F124+Mayo!F124+Junio!F124+Julio!F124+Agosto!F124+Septiembre!F124+Octubre!F124+Noviembre!F124+Diciembre!F124</f>
        <v>0</v>
      </c>
      <c r="G124" s="14">
        <f>+Enero!G124+Febrero!G124+Marzo!G124+Abril!G124+Mayo!G124+Junio!G124+Julio!G124+Agosto!G124+Septiembre!G124+Octubre!G124+Noviembre!G124+Diciembre!G124</f>
        <v>26433203.110000003</v>
      </c>
      <c r="H124" s="14">
        <f>+Enero!H124+Febrero!H124+Marzo!H124+Abril!H124+Mayo!H124+Junio!H124+Julio!H124+Agosto!H124+Septiembre!H124+Octubre!H124+Noviembre!H124+Diciembre!H124</f>
        <v>99026811.049999982</v>
      </c>
      <c r="I124" s="13">
        <f t="shared" si="3"/>
        <v>126921615.51999998</v>
      </c>
    </row>
    <row r="125" spans="1:9" ht="15.75" x14ac:dyDescent="0.25">
      <c r="A125" s="8"/>
      <c r="B125" s="8"/>
      <c r="C125" s="9"/>
      <c r="D125" s="12" t="s">
        <v>121</v>
      </c>
      <c r="E125" s="14">
        <f>+Enero!E125+Febrero!E125+Marzo!E125+Abril!E125+Mayo!E125+Junio!E125+Julio!E125+Agosto!E125+Septiembre!E125+Octubre!E125+Noviembre!E125+Diciembre!E125</f>
        <v>0</v>
      </c>
      <c r="F125" s="14">
        <f>+Enero!F125+Febrero!F125+Marzo!F125+Abril!F125+Mayo!F125+Junio!F125+Julio!F125+Agosto!F125+Septiembre!F125+Octubre!F125+Noviembre!F125+Diciembre!F125</f>
        <v>0</v>
      </c>
      <c r="G125" s="14">
        <f>+Enero!G125+Febrero!G125+Marzo!G125+Abril!G125+Mayo!G125+Junio!G125+Julio!G125+Agosto!G125+Septiembre!G125+Octubre!G125+Noviembre!G125+Diciembre!G125</f>
        <v>92328587.500000015</v>
      </c>
      <c r="H125" s="14">
        <f>+Enero!H125+Febrero!H125+Marzo!H125+Abril!H125+Mayo!H125+Junio!H125+Julio!H125+Agosto!H125+Septiembre!H125+Octubre!H125+Noviembre!H125+Diciembre!H125</f>
        <v>18591064.814999998</v>
      </c>
      <c r="I125" s="13">
        <f t="shared" si="3"/>
        <v>110919652.31500001</v>
      </c>
    </row>
    <row r="126" spans="1:9" ht="15.75" x14ac:dyDescent="0.25">
      <c r="A126" s="8"/>
      <c r="B126" s="8"/>
      <c r="C126" s="9"/>
      <c r="D126" s="12" t="s">
        <v>122</v>
      </c>
      <c r="E126" s="14">
        <f>+Enero!E126+Febrero!E126+Marzo!E126+Abril!E126+Mayo!E126+Junio!E126+Julio!E126+Agosto!E126+Septiembre!E126+Octubre!E126+Noviembre!E126+Diciembre!E126</f>
        <v>929695.98</v>
      </c>
      <c r="F126" s="14">
        <f>+Enero!F126+Febrero!F126+Marzo!F126+Abril!F126+Mayo!F126+Junio!F126+Julio!F126+Agosto!F126+Septiembre!F126+Octubre!F126+Noviembre!F126+Diciembre!F126</f>
        <v>0</v>
      </c>
      <c r="G126" s="14">
        <f>+Enero!G126+Febrero!G126+Marzo!G126+Abril!G126+Mayo!G126+Junio!G126+Julio!G126+Agosto!G126+Septiembre!G126+Octubre!G126+Noviembre!G126+Diciembre!G126</f>
        <v>37131526.950000003</v>
      </c>
      <c r="H126" s="14">
        <f>+Enero!H126+Febrero!H126+Marzo!H126+Abril!H126+Mayo!H126+Junio!H126+Julio!H126+Agosto!H126+Septiembre!H126+Octubre!H126+Noviembre!H126+Diciembre!H126</f>
        <v>0</v>
      </c>
      <c r="I126" s="13">
        <f t="shared" si="3"/>
        <v>38061222.93</v>
      </c>
    </row>
    <row r="127" spans="1:9" ht="15.75" x14ac:dyDescent="0.25">
      <c r="A127" s="8"/>
      <c r="B127" s="8"/>
      <c r="C127" s="9"/>
      <c r="D127" s="12" t="s">
        <v>123</v>
      </c>
      <c r="E127" s="14">
        <f>+Enero!E127+Febrero!E127+Marzo!E127+Abril!E127+Mayo!E127+Junio!E127+Julio!E127+Agosto!E127+Septiembre!E127+Octubre!E127+Noviembre!E127+Diciembre!E127</f>
        <v>32783035.239999998</v>
      </c>
      <c r="F127" s="14">
        <f>+Enero!F127+Febrero!F127+Marzo!F127+Abril!F127+Mayo!F127+Junio!F127+Julio!F127+Agosto!F127+Septiembre!F127+Octubre!F127+Noviembre!F127+Diciembre!F127</f>
        <v>7294699.8625704702</v>
      </c>
      <c r="G127" s="14">
        <f>+Enero!G127+Febrero!G127+Marzo!G127+Abril!G127+Mayo!G127+Junio!G127+Julio!G127+Agosto!G127+Septiembre!G127+Octubre!G127+Noviembre!G127+Diciembre!G127</f>
        <v>131265068.57999998</v>
      </c>
      <c r="H127" s="14">
        <f>+Enero!H127+Febrero!H127+Marzo!H127+Abril!H127+Mayo!H127+Junio!H127+Julio!H127+Agosto!H127+Septiembre!H127+Octubre!H127+Noviembre!H127+Diciembre!H127</f>
        <v>0</v>
      </c>
      <c r="I127" s="13">
        <f t="shared" si="3"/>
        <v>171342803.68257046</v>
      </c>
    </row>
    <row r="128" spans="1:9" ht="15.75" x14ac:dyDescent="0.25">
      <c r="A128" s="8"/>
      <c r="B128" s="8"/>
      <c r="C128" s="9"/>
      <c r="D128" s="12" t="s">
        <v>124</v>
      </c>
      <c r="E128" s="14">
        <f>+Enero!E128+Febrero!E128+Marzo!E128+Abril!E128+Mayo!E128+Junio!E128+Julio!E128+Agosto!E128+Septiembre!E128+Octubre!E128+Noviembre!E128+Diciembre!E128</f>
        <v>67019137.280000009</v>
      </c>
      <c r="F128" s="14">
        <f>+Enero!F128+Febrero!F128+Marzo!F128+Abril!F128+Mayo!F128+Junio!F128+Julio!F128+Agosto!F128+Septiembre!F128+Octubre!F128+Noviembre!F128+Diciembre!F128</f>
        <v>20889573.044378534</v>
      </c>
      <c r="G128" s="14">
        <f>+Enero!G128+Febrero!G128+Marzo!G128+Abril!G128+Mayo!G128+Junio!G128+Julio!G128+Agosto!G128+Septiembre!G128+Octubre!G128+Noviembre!G128+Diciembre!G128</f>
        <v>15204599.32</v>
      </c>
      <c r="H128" s="14">
        <f>+Enero!H128+Febrero!H128+Marzo!H128+Abril!H128+Mayo!H128+Junio!H128+Julio!H128+Agosto!H128+Septiembre!H128+Octubre!H128+Noviembre!H128+Diciembre!H128</f>
        <v>0</v>
      </c>
      <c r="I128" s="13">
        <f t="shared" si="3"/>
        <v>103113309.64437854</v>
      </c>
    </row>
    <row r="129" spans="1:9" ht="15.75" x14ac:dyDescent="0.25">
      <c r="A129" s="8"/>
      <c r="B129" s="8"/>
      <c r="C129" s="9"/>
      <c r="D129" s="12" t="s">
        <v>125</v>
      </c>
      <c r="E129" s="14">
        <f>+Enero!E129+Febrero!E129+Marzo!E129+Abril!E129+Mayo!E129+Junio!E129+Julio!E129+Agosto!E129+Septiembre!E129+Octubre!E129+Noviembre!E129+Diciembre!E129</f>
        <v>23380402.950000003</v>
      </c>
      <c r="F129" s="14">
        <f>+Enero!F129+Febrero!F129+Marzo!F129+Abril!F129+Mayo!F129+Junio!F129+Julio!F129+Agosto!F129+Septiembre!F129+Octubre!F129+Noviembre!F129+Diciembre!F129</f>
        <v>11015133.199366523</v>
      </c>
      <c r="G129" s="14">
        <f>+Enero!G129+Febrero!G129+Marzo!G129+Abril!G129+Mayo!G129+Junio!G129+Julio!G129+Agosto!G129+Septiembre!G129+Octubre!G129+Noviembre!G129+Diciembre!G129</f>
        <v>7805906.7600000007</v>
      </c>
      <c r="H129" s="14">
        <f>+Enero!H129+Febrero!H129+Marzo!H129+Abril!H129+Mayo!H129+Junio!H129+Julio!H129+Agosto!H129+Septiembre!H129+Octubre!H129+Noviembre!H129+Diciembre!H129</f>
        <v>0</v>
      </c>
      <c r="I129" s="13">
        <f t="shared" si="3"/>
        <v>42201442.909366526</v>
      </c>
    </row>
    <row r="130" spans="1:9" ht="15.75" x14ac:dyDescent="0.25">
      <c r="A130" s="8"/>
      <c r="B130" s="8"/>
      <c r="C130" s="9"/>
      <c r="D130" s="12" t="s">
        <v>126</v>
      </c>
      <c r="E130" s="14">
        <f>+Enero!E130+Febrero!E130+Marzo!E130+Abril!E130+Mayo!E130+Junio!E130+Julio!E130+Agosto!E130+Septiembre!E130+Octubre!E130+Noviembre!E130+Diciembre!E130</f>
        <v>18172266.140000001</v>
      </c>
      <c r="F130" s="14">
        <f>+Enero!F130+Febrero!F130+Marzo!F130+Abril!F130+Mayo!F130+Junio!F130+Julio!F130+Agosto!F130+Septiembre!F130+Octubre!F130+Noviembre!F130+Diciembre!F130</f>
        <v>19403943.183156066</v>
      </c>
      <c r="G130" s="14">
        <f>+Enero!G130+Febrero!G130+Marzo!G130+Abril!G130+Mayo!G130+Junio!G130+Julio!G130+Agosto!G130+Septiembre!G130+Octubre!G130+Noviembre!G130+Diciembre!G130</f>
        <v>2681737.06</v>
      </c>
      <c r="H130" s="14">
        <f>+Enero!H130+Febrero!H130+Marzo!H130+Abril!H130+Mayo!H130+Junio!H130+Julio!H130+Agosto!H130+Septiembre!H130+Octubre!H130+Noviembre!H130+Diciembre!H130</f>
        <v>0</v>
      </c>
      <c r="I130" s="13">
        <f t="shared" si="3"/>
        <v>40257946.383156069</v>
      </c>
    </row>
    <row r="131" spans="1:9" ht="15.75" x14ac:dyDescent="0.25">
      <c r="A131" s="8"/>
      <c r="B131" s="8"/>
      <c r="C131" s="9"/>
      <c r="D131" s="12" t="s">
        <v>127</v>
      </c>
      <c r="E131" s="14">
        <f>+Enero!E131+Febrero!E131+Marzo!E131+Abril!E131+Mayo!E131+Junio!E131+Julio!E131+Agosto!E131+Septiembre!E131+Octubre!E131+Noviembre!E131+Diciembre!E131</f>
        <v>165260792.79999998</v>
      </c>
      <c r="F131" s="14">
        <f>+Enero!F131+Febrero!F131+Marzo!F131+Abril!F131+Mayo!F131+Junio!F131+Julio!F131+Agosto!F131+Septiembre!F131+Octubre!F131+Noviembre!F131+Diciembre!F131</f>
        <v>106051173.37231021</v>
      </c>
      <c r="G131" s="14">
        <f>+Enero!G131+Febrero!G131+Marzo!G131+Abril!G131+Mayo!G131+Junio!G131+Julio!G131+Agosto!G131+Septiembre!G131+Octubre!G131+Noviembre!G131+Diciembre!G131</f>
        <v>60394901.519999996</v>
      </c>
      <c r="H131" s="14">
        <f>+Enero!H131+Febrero!H131+Marzo!H131+Abril!H131+Mayo!H131+Junio!H131+Julio!H131+Agosto!H131+Septiembre!H131+Octubre!H131+Noviembre!H131+Diciembre!H131</f>
        <v>0</v>
      </c>
      <c r="I131" s="13">
        <f t="shared" si="3"/>
        <v>331706867.69231015</v>
      </c>
    </row>
    <row r="132" spans="1:9" ht="15.75" x14ac:dyDescent="0.25">
      <c r="A132" s="8"/>
      <c r="B132" s="8"/>
      <c r="C132" s="9"/>
      <c r="D132" s="12" t="s">
        <v>128</v>
      </c>
      <c r="E132" s="14">
        <f>+Enero!E132+Febrero!E132+Marzo!E132+Abril!E132+Mayo!E132+Junio!E132+Julio!E132+Agosto!E132+Septiembre!E132+Octubre!E132+Noviembre!E132+Diciembre!E132</f>
        <v>36822912.020000003</v>
      </c>
      <c r="F132" s="14">
        <f>+Enero!F132+Febrero!F132+Marzo!F132+Abril!F132+Mayo!F132+Junio!F132+Julio!F132+Agosto!F132+Septiembre!F132+Octubre!F132+Noviembre!F132+Diciembre!F132</f>
        <v>65069189.545940079</v>
      </c>
      <c r="G132" s="14">
        <f>+Enero!G132+Febrero!G132+Marzo!G132+Abril!G132+Mayo!G132+Junio!G132+Julio!G132+Agosto!G132+Septiembre!G132+Octubre!G132+Noviembre!G132+Diciembre!G132</f>
        <v>1404501.09</v>
      </c>
      <c r="H132" s="14">
        <f>+Enero!H132+Febrero!H132+Marzo!H132+Abril!H132+Mayo!H132+Junio!H132+Julio!H132+Agosto!H132+Septiembre!H132+Octubre!H132+Noviembre!H132+Diciembre!H132</f>
        <v>0</v>
      </c>
      <c r="I132" s="13">
        <f t="shared" si="3"/>
        <v>103296602.65594009</v>
      </c>
    </row>
    <row r="133" spans="1:9" ht="15.75" x14ac:dyDescent="0.25">
      <c r="A133" s="8"/>
      <c r="B133" s="8"/>
      <c r="C133" s="9"/>
      <c r="D133" s="12" t="s">
        <v>129</v>
      </c>
      <c r="E133" s="14">
        <f>+Enero!E133+Febrero!E133+Marzo!E133+Abril!E133+Mayo!E133+Junio!E133+Julio!E133+Agosto!E133+Septiembre!E133+Octubre!E133+Noviembre!E133+Diciembre!E133</f>
        <v>25342687.030000005</v>
      </c>
      <c r="F133" s="14">
        <f>+Enero!F133+Febrero!F133+Marzo!F133+Abril!F133+Mayo!F133+Junio!F133+Julio!F133+Agosto!F133+Septiembre!F133+Octubre!F133+Noviembre!F133+Diciembre!F133</f>
        <v>0</v>
      </c>
      <c r="G133" s="14">
        <f>+Enero!G133+Febrero!G133+Marzo!G133+Abril!G133+Mayo!G133+Junio!G133+Julio!G133+Agosto!G133+Septiembre!G133+Octubre!G133+Noviembre!G133+Diciembre!G133</f>
        <v>84268984.609999999</v>
      </c>
      <c r="H133" s="14">
        <f>+Enero!H133+Febrero!H133+Marzo!H133+Abril!H133+Mayo!H133+Junio!H133+Julio!H133+Agosto!H133+Septiembre!H133+Octubre!H133+Noviembre!H133+Diciembre!H133</f>
        <v>60232025.069999993</v>
      </c>
      <c r="I133" s="13">
        <f t="shared" si="3"/>
        <v>169843696.70999998</v>
      </c>
    </row>
    <row r="134" spans="1:9" ht="15.75" x14ac:dyDescent="0.25">
      <c r="A134" s="8"/>
      <c r="B134" s="8"/>
      <c r="C134" s="9"/>
      <c r="D134" s="12" t="s">
        <v>130</v>
      </c>
      <c r="E134" s="14">
        <f>+Enero!E134+Febrero!E134+Marzo!E134+Abril!E134+Mayo!E134+Junio!E134+Julio!E134+Agosto!E134+Septiembre!E134+Octubre!E134+Noviembre!E134+Diciembre!E134</f>
        <v>6035219.75</v>
      </c>
      <c r="F134" s="14">
        <f>+Enero!F134+Febrero!F134+Marzo!F134+Abril!F134+Mayo!F134+Junio!F134+Julio!F134+Agosto!F134+Septiembre!F134+Octubre!F134+Noviembre!F134+Diciembre!F134</f>
        <v>3209819.288426586</v>
      </c>
      <c r="G134" s="14">
        <f>+Enero!G134+Febrero!G134+Marzo!G134+Abril!G134+Mayo!G134+Junio!G134+Julio!G134+Agosto!G134+Septiembre!G134+Octubre!G134+Noviembre!G134+Diciembre!G134</f>
        <v>231932.24999999997</v>
      </c>
      <c r="H134" s="14">
        <f>+Enero!H134+Febrero!H134+Marzo!H134+Abril!H134+Mayo!H134+Junio!H134+Julio!H134+Agosto!H134+Septiembre!H134+Octubre!H134+Noviembre!H134+Diciembre!H134</f>
        <v>0</v>
      </c>
      <c r="I134" s="13">
        <f t="shared" si="3"/>
        <v>9476971.2884265855</v>
      </c>
    </row>
    <row r="135" spans="1:9" ht="15.75" x14ac:dyDescent="0.25">
      <c r="A135" s="8"/>
      <c r="B135" s="8"/>
      <c r="C135" s="9"/>
      <c r="D135" s="12" t="s">
        <v>131</v>
      </c>
      <c r="E135" s="14">
        <f>+Enero!E135+Febrero!E135+Marzo!E135+Abril!E135+Mayo!E135+Junio!E135+Julio!E135+Agosto!E135+Septiembre!E135+Octubre!E135+Noviembre!E135+Diciembre!E135</f>
        <v>21616730.59</v>
      </c>
      <c r="F135" s="14">
        <f>+Enero!F135+Febrero!F135+Marzo!F135+Abril!F135+Mayo!F135+Junio!F135+Julio!F135+Agosto!F135+Septiembre!F135+Octubre!F135+Noviembre!F135+Diciembre!F135</f>
        <v>40558766.742651679</v>
      </c>
      <c r="G135" s="14">
        <f>+Enero!G135+Febrero!G135+Marzo!G135+Abril!G135+Mayo!G135+Junio!G135+Julio!G135+Agosto!G135+Septiembre!G135+Octubre!G135+Noviembre!G135+Diciembre!G135</f>
        <v>3320526.76</v>
      </c>
      <c r="H135" s="14">
        <f>+Enero!H135+Febrero!H135+Marzo!H135+Abril!H135+Mayo!H135+Junio!H135+Julio!H135+Agosto!H135+Septiembre!H135+Octubre!H135+Noviembre!H135+Diciembre!H135</f>
        <v>0</v>
      </c>
      <c r="I135" s="13">
        <f t="shared" si="3"/>
        <v>65496024.092651673</v>
      </c>
    </row>
    <row r="136" spans="1:9" ht="15.75" x14ac:dyDescent="0.25">
      <c r="A136" s="8"/>
      <c r="B136" s="8"/>
      <c r="C136" s="9"/>
      <c r="D136" s="12" t="s">
        <v>132</v>
      </c>
      <c r="E136" s="14">
        <f>+Enero!E136+Febrero!E136+Marzo!E136+Abril!E136+Mayo!E136+Junio!E136+Julio!E136+Agosto!E136+Septiembre!E136+Octubre!E136+Noviembre!E136+Diciembre!E136</f>
        <v>133193353.15000001</v>
      </c>
      <c r="F136" s="14">
        <f>+Enero!F136+Febrero!F136+Marzo!F136+Abril!F136+Mayo!F136+Junio!F136+Julio!F136+Agosto!F136+Septiembre!F136+Octubre!F136+Noviembre!F136+Diciembre!F136</f>
        <v>49020845.606576793</v>
      </c>
      <c r="G136" s="14">
        <f>+Enero!G136+Febrero!G136+Marzo!G136+Abril!G136+Mayo!G136+Junio!G136+Julio!G136+Agosto!G136+Septiembre!G136+Octubre!G136+Noviembre!G136+Diciembre!G136</f>
        <v>23526672.149999999</v>
      </c>
      <c r="H136" s="14">
        <f>+Enero!H136+Febrero!H136+Marzo!H136+Abril!H136+Mayo!H136+Junio!H136+Julio!H136+Agosto!H136+Septiembre!H136+Octubre!H136+Noviembre!H136+Diciembre!H136</f>
        <v>0</v>
      </c>
      <c r="I136" s="13">
        <f t="shared" si="3"/>
        <v>205740870.90657681</v>
      </c>
    </row>
    <row r="137" spans="1:9" ht="15.75" x14ac:dyDescent="0.25">
      <c r="A137" s="8"/>
      <c r="B137" s="8"/>
      <c r="C137" s="9"/>
      <c r="D137" s="12" t="s">
        <v>133</v>
      </c>
      <c r="E137" s="14">
        <f>+Enero!E137+Febrero!E137+Marzo!E137+Abril!E137+Mayo!E137+Junio!E137+Julio!E137+Agosto!E137+Septiembre!E137+Octubre!E137+Noviembre!E137+Diciembre!E137</f>
        <v>143083046.72000003</v>
      </c>
      <c r="F137" s="14">
        <f>+Enero!F137+Febrero!F137+Marzo!F137+Abril!F137+Mayo!F137+Junio!F137+Julio!F137+Agosto!F137+Septiembre!F137+Octubre!F137+Noviembre!F137+Diciembre!F137</f>
        <v>82283479.782675222</v>
      </c>
      <c r="G137" s="14">
        <f>+Enero!G137+Febrero!G137+Marzo!G137+Abril!G137+Mayo!G137+Junio!G137+Julio!G137+Agosto!G137+Septiembre!G137+Octubre!G137+Noviembre!G137+Diciembre!G137</f>
        <v>32873496.040000007</v>
      </c>
      <c r="H137" s="14">
        <f>+Enero!H137+Febrero!H137+Marzo!H137+Abril!H137+Mayo!H137+Junio!H137+Julio!H137+Agosto!H137+Septiembre!H137+Octubre!H137+Noviembre!H137+Diciembre!H137</f>
        <v>0</v>
      </c>
      <c r="I137" s="13">
        <f t="shared" si="3"/>
        <v>258240022.54267526</v>
      </c>
    </row>
    <row r="138" spans="1:9" ht="15.75" x14ac:dyDescent="0.25">
      <c r="A138" s="8"/>
      <c r="B138" s="8"/>
      <c r="C138" s="9"/>
      <c r="D138" s="12" t="s">
        <v>134</v>
      </c>
      <c r="E138" s="14">
        <f>+Enero!E138+Febrero!E138+Marzo!E138+Abril!E138+Mayo!E138+Junio!E138+Julio!E138+Agosto!E138+Septiembre!E138+Octubre!E138+Noviembre!E138+Diciembre!E138</f>
        <v>0</v>
      </c>
      <c r="F138" s="14">
        <f>+Enero!F138+Febrero!F138+Marzo!F138+Abril!F138+Mayo!F138+Junio!F138+Julio!F138+Agosto!F138+Septiembre!F138+Octubre!F138+Noviembre!F138+Diciembre!F138</f>
        <v>0</v>
      </c>
      <c r="G138" s="14">
        <f>+Enero!G138+Febrero!G138+Marzo!G138+Abril!G138+Mayo!G138+Junio!G138+Julio!G138+Agosto!G138+Septiembre!G138+Octubre!G138+Noviembre!G138+Diciembre!G138</f>
        <v>49316246.940000005</v>
      </c>
      <c r="H138" s="14">
        <f>+Enero!H138+Febrero!H138+Marzo!H138+Abril!H138+Mayo!H138+Junio!H138+Julio!H138+Agosto!H138+Septiembre!H138+Octubre!H138+Noviembre!H138+Diciembre!H138</f>
        <v>0</v>
      </c>
      <c r="I138" s="13">
        <f t="shared" ref="I138:I144" si="4">SUM(E138:H138)</f>
        <v>49316246.940000005</v>
      </c>
    </row>
    <row r="139" spans="1:9" ht="15.75" x14ac:dyDescent="0.25">
      <c r="A139" s="8"/>
      <c r="B139" s="8"/>
      <c r="C139" s="9"/>
      <c r="D139" s="12" t="s">
        <v>135</v>
      </c>
      <c r="E139" s="14">
        <f>+Enero!E139+Febrero!E139+Marzo!E139+Abril!E139+Mayo!E139+Junio!E139+Julio!E139+Agosto!E139+Septiembre!E139+Octubre!E139+Noviembre!E139+Diciembre!E139</f>
        <v>18484441.529999997</v>
      </c>
      <c r="F139" s="14">
        <f>+Enero!F139+Febrero!F139+Marzo!F139+Abril!F139+Mayo!F139+Junio!F139+Julio!F139+Agosto!F139+Septiembre!F139+Octubre!F139+Noviembre!F139+Diciembre!F139</f>
        <v>11540246.28150093</v>
      </c>
      <c r="G139" s="14">
        <f>+Enero!G139+Febrero!G139+Marzo!G139+Abril!G139+Mayo!G139+Junio!G139+Julio!G139+Agosto!G139+Septiembre!G139+Octubre!G139+Noviembre!G139+Diciembre!G139</f>
        <v>4081587.8100000005</v>
      </c>
      <c r="H139" s="14">
        <f>+Enero!H139+Febrero!H139+Marzo!H139+Abril!H139+Mayo!H139+Junio!H139+Julio!H139+Agosto!H139+Septiembre!H139+Octubre!H139+Noviembre!H139+Diciembre!H139</f>
        <v>0</v>
      </c>
      <c r="I139" s="13">
        <f t="shared" si="4"/>
        <v>34106275.621500932</v>
      </c>
    </row>
    <row r="140" spans="1:9" ht="15.75" x14ac:dyDescent="0.25">
      <c r="A140" s="8"/>
      <c r="B140" s="8"/>
      <c r="C140" s="9"/>
      <c r="D140" s="12" t="s">
        <v>136</v>
      </c>
      <c r="E140" s="14">
        <f>+Enero!E140+Febrero!E140+Marzo!E140+Abril!E140+Mayo!E140+Junio!E140+Julio!E140+Agosto!E140+Septiembre!E140+Octubre!E140+Noviembre!E140+Diciembre!E140</f>
        <v>85166838.519999981</v>
      </c>
      <c r="F140" s="14">
        <f>+Enero!F140+Febrero!F140+Marzo!F140+Abril!F140+Mayo!F140+Junio!F140+Julio!F140+Agosto!F140+Septiembre!F140+Octubre!F140+Noviembre!F140+Diciembre!F140</f>
        <v>81847191.067039281</v>
      </c>
      <c r="G140" s="14">
        <f>+Enero!G140+Febrero!G140+Marzo!G140+Abril!G140+Mayo!G140+Junio!G140+Julio!G140+Agosto!G140+Septiembre!G140+Octubre!G140+Noviembre!G140+Diciembre!G140</f>
        <v>14420904.680000002</v>
      </c>
      <c r="H140" s="14">
        <f>+Enero!H140+Febrero!H140+Marzo!H140+Abril!H140+Mayo!H140+Junio!H140+Julio!H140+Agosto!H140+Septiembre!H140+Octubre!H140+Noviembre!H140+Diciembre!H140</f>
        <v>0</v>
      </c>
      <c r="I140" s="13">
        <f t="shared" si="4"/>
        <v>181434934.26703927</v>
      </c>
    </row>
    <row r="141" spans="1:9" ht="15.75" x14ac:dyDescent="0.25">
      <c r="A141" s="8"/>
      <c r="B141" s="8"/>
      <c r="C141" s="9"/>
      <c r="D141" s="12" t="s">
        <v>137</v>
      </c>
      <c r="E141" s="14">
        <f>+Enero!E141+Febrero!E141+Marzo!E141+Abril!E141+Mayo!E141+Junio!E141+Julio!E141+Agosto!E141+Septiembre!E141+Octubre!E141+Noviembre!E141+Diciembre!E141</f>
        <v>0</v>
      </c>
      <c r="F141" s="14">
        <f>+Enero!F141+Febrero!F141+Marzo!F141+Abril!F141+Mayo!F141+Junio!F141+Julio!F141+Agosto!F141+Septiembre!F141+Octubre!F141+Noviembre!F141+Diciembre!F141</f>
        <v>0</v>
      </c>
      <c r="G141" s="14">
        <f>+Enero!G141+Febrero!G141+Marzo!G141+Abril!G141+Mayo!G141+Junio!G141+Julio!G141+Agosto!G141+Septiembre!G141+Octubre!G141+Noviembre!G141+Diciembre!G141</f>
        <v>67275312.230000004</v>
      </c>
      <c r="H141" s="14">
        <f>+Enero!H141+Febrero!H141+Marzo!H141+Abril!H141+Mayo!H141+Junio!H141+Julio!H141+Agosto!H141+Septiembre!H141+Octubre!H141+Noviembre!H141+Diciembre!H141</f>
        <v>5739451.9750000006</v>
      </c>
      <c r="I141" s="13">
        <f t="shared" si="4"/>
        <v>73014764.204999998</v>
      </c>
    </row>
    <row r="142" spans="1:9" ht="15.75" x14ac:dyDescent="0.25">
      <c r="A142" s="8"/>
      <c r="B142" s="8"/>
      <c r="C142" s="9"/>
      <c r="D142" s="12" t="s">
        <v>138</v>
      </c>
      <c r="E142" s="14">
        <f>+Enero!E142+Febrero!E142+Marzo!E142+Abril!E142+Mayo!E142+Junio!E142+Julio!E142+Agosto!E142+Septiembre!E142+Octubre!E142+Noviembre!E142+Diciembre!E142</f>
        <v>579425.21</v>
      </c>
      <c r="F142" s="14">
        <f>+Enero!F142+Febrero!F142+Marzo!F142+Abril!F142+Mayo!F142+Junio!F142+Julio!F142+Agosto!F142+Septiembre!F142+Octubre!F142+Noviembre!F142+Diciembre!F142</f>
        <v>0</v>
      </c>
      <c r="G142" s="14">
        <f>+Enero!G142+Febrero!G142+Marzo!G142+Abril!G142+Mayo!G142+Junio!G142+Julio!G142+Agosto!G142+Septiembre!G142+Octubre!G142+Noviembre!G142+Diciembre!G142</f>
        <v>15894632.789999999</v>
      </c>
      <c r="H142" s="14">
        <f>+Enero!H142+Febrero!H142+Marzo!H142+Abril!H142+Mayo!H142+Junio!H142+Julio!H142+Agosto!H142+Septiembre!H142+Octubre!H142+Noviembre!H142+Diciembre!H142</f>
        <v>0</v>
      </c>
      <c r="I142" s="13">
        <f t="shared" si="4"/>
        <v>16474058</v>
      </c>
    </row>
    <row r="143" spans="1:9" ht="15.75" x14ac:dyDescent="0.25">
      <c r="A143" s="8"/>
      <c r="B143" s="8"/>
      <c r="C143" s="9"/>
      <c r="D143" s="12" t="s">
        <v>139</v>
      </c>
      <c r="E143" s="14">
        <f>+Enero!E143+Febrero!E143+Marzo!E143+Abril!E143+Mayo!E143+Junio!E143+Julio!E143+Agosto!E143+Septiembre!E143+Octubre!E143+Noviembre!E143+Diciembre!E143</f>
        <v>7792045.1199999982</v>
      </c>
      <c r="F143" s="14">
        <f>+Enero!F143+Febrero!F143+Marzo!F143+Abril!F143+Mayo!F143+Junio!F143+Julio!F143+Agosto!F143+Septiembre!F143+Octubre!F143+Noviembre!F143+Diciembre!F143</f>
        <v>75646601.32568787</v>
      </c>
      <c r="G143" s="14">
        <f>+Enero!G143+Febrero!G143+Marzo!G143+Abril!G143+Mayo!G143+Junio!G143+Julio!G143+Agosto!G143+Septiembre!G143+Octubre!G143+Noviembre!G143+Diciembre!G143</f>
        <v>1749967.51</v>
      </c>
      <c r="H143" s="14">
        <f>+Enero!H143+Febrero!H143+Marzo!H143+Abril!H143+Mayo!H143+Junio!H143+Julio!H143+Agosto!H143+Septiembre!H143+Octubre!H143+Noviembre!H143+Diciembre!H143</f>
        <v>0</v>
      </c>
      <c r="I143" s="13">
        <f t="shared" si="4"/>
        <v>85188613.955687881</v>
      </c>
    </row>
    <row r="144" spans="1:9" ht="15.75" x14ac:dyDescent="0.25">
      <c r="A144" s="8"/>
      <c r="B144" s="8"/>
      <c r="C144" s="9"/>
      <c r="D144" s="12" t="s">
        <v>140</v>
      </c>
      <c r="E144" s="14">
        <f>+Enero!E144+Febrero!E144+Marzo!E144+Abril!E144+Mayo!E144+Junio!E144+Julio!E144+Agosto!E144+Septiembre!E144+Octubre!E144+Noviembre!E144+Diciembre!E144</f>
        <v>57514857.399999991</v>
      </c>
      <c r="F144" s="14">
        <f>+Enero!F144+Febrero!F144+Marzo!F144+Abril!F144+Mayo!F144+Junio!F144+Julio!F144+Agosto!F144+Septiembre!F144+Octubre!F144+Noviembre!F144+Diciembre!F144</f>
        <v>9191360.1942762192</v>
      </c>
      <c r="G144" s="14">
        <f>+Enero!G144+Febrero!G144+Marzo!G144+Abril!G144+Mayo!G144+Junio!G144+Julio!G144+Agosto!G144+Septiembre!G144+Octubre!G144+Noviembre!G144+Diciembre!G144</f>
        <v>16862911.919999998</v>
      </c>
      <c r="H144" s="14">
        <f>+Enero!H144+Febrero!H144+Marzo!H144+Abril!H144+Mayo!H144+Junio!H144+Julio!H144+Agosto!H144+Septiembre!H144+Octubre!H144+Noviembre!H144+Diciembre!H144</f>
        <v>0</v>
      </c>
      <c r="I144" s="13">
        <f t="shared" si="4"/>
        <v>83569129.514276206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6354434709.0499992</v>
      </c>
      <c r="F145" s="22">
        <f>SUM(F10:F144)</f>
        <v>3815360417.9749675</v>
      </c>
      <c r="G145" s="22">
        <f>SUM(G10:G144)</f>
        <v>3131899434.210001</v>
      </c>
      <c r="H145" s="22">
        <f>SUM(H10:H144)</f>
        <v>183589352.90999997</v>
      </c>
      <c r="I145" s="22">
        <f>SUM(I10:I144)</f>
        <v>13485283914.144968</v>
      </c>
    </row>
  </sheetData>
  <customSheetViews>
    <customSheetView guid="{F1F511AB-5865-40AB-8DB4-DDEDE7CBB603}" scale="80" showGridLines="0" fitToPage="1">
      <selection activeCell="I20" sqref="I20"/>
      <pageMargins left="0" right="0" top="0.19685039370078741" bottom="0.43307086614173229" header="0.15748031496062992" footer="0"/>
      <printOptions horizontalCentered="1"/>
      <pageSetup paperSize="9" scale="86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M10" sqref="M10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&amp;C&amp;"Arial,Negrita"&amp;K09-023MINISTERIO DE ECONOMÍA - 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3"/>
  <headerFooter alignWithMargins="0">
    <oddFooter>&amp;C&amp;"Arial,Normal"&amp;9Subsecretaría de Coordinación Económica y Estadística
MINISTERIO DE HACIENDA Y FINANZAS&amp;R&amp;P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2021-02-02T11:49:13Z</cp:lastPrinted>
  <dcterms:created xsi:type="dcterms:W3CDTF">2012-05-08T13:32:03Z</dcterms:created>
  <dcterms:modified xsi:type="dcterms:W3CDTF">2023-01-06T11:57:34Z</dcterms:modified>
</cp:coreProperties>
</file>