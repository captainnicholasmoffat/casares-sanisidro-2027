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rverArchivos\finanzas municipales\Tareas\Cierres Mensuales\web\2023\12-Diciembre\"/>
    </mc:Choice>
  </mc:AlternateContent>
  <bookViews>
    <workbookView xWindow="-165" yWindow="-495" windowWidth="15525" windowHeight="6435" firstSheet="4" activeTab="11"/>
  </bookViews>
  <sheets>
    <sheet name="Enero" sheetId="1" r:id="rId1"/>
    <sheet name="Febrero" sheetId="21" r:id="rId2"/>
    <sheet name="Marzo" sheetId="22" r:id="rId3"/>
    <sheet name="Abril" sheetId="23" r:id="rId4"/>
    <sheet name="Mayo" sheetId="24" r:id="rId5"/>
    <sheet name="Junio" sheetId="35" r:id="rId6"/>
    <sheet name="Julio" sheetId="36" r:id="rId7"/>
    <sheet name="Agosto" sheetId="37" r:id="rId8"/>
    <sheet name="Septiembre" sheetId="38" r:id="rId9"/>
    <sheet name="Octubre" sheetId="39" r:id="rId10"/>
    <sheet name="Noviembre" sheetId="40" r:id="rId11"/>
    <sheet name="Diciembre" sheetId="41" r:id="rId12"/>
    <sheet name="Acumulado" sheetId="18" r:id="rId13"/>
  </sheets>
  <externalReferences>
    <externalReference r:id="rId14"/>
    <externalReference r:id="rId15"/>
    <externalReference r:id="rId16"/>
  </externalReferences>
  <definedNames>
    <definedName name="\a">'[1]2001'!$P$1:$Q$3</definedName>
    <definedName name="_Fill" localSheetId="3" hidden="1">#REF!</definedName>
    <definedName name="_Fill" localSheetId="12" hidden="1">#REF!</definedName>
    <definedName name="_Fill" localSheetId="7" hidden="1">#REF!</definedName>
    <definedName name="_Fill" localSheetId="11" hidden="1">#REF!</definedName>
    <definedName name="_Fill" localSheetId="0" hidden="1">#REF!</definedName>
    <definedName name="_Fill" localSheetId="1" hidden="1">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4" hidden="1">#REF!</definedName>
    <definedName name="_Fill" localSheetId="10" hidden="1">#REF!</definedName>
    <definedName name="_Fill" localSheetId="9" hidden="1">#REF!</definedName>
    <definedName name="_Fill" localSheetId="8" hidden="1">#REF!</definedName>
    <definedName name="_Fill" hidden="1">#REF!</definedName>
    <definedName name="_xlnm._FilterDatabase" localSheetId="3" hidden="1">Abril!$B$9:$G$145</definedName>
    <definedName name="_xlnm._FilterDatabase" localSheetId="12" hidden="1">Acumulado!$B$9:$G$145</definedName>
    <definedName name="_xlnm._FilterDatabase" localSheetId="7" hidden="1">Agosto!$B$9:$G$145</definedName>
    <definedName name="_xlnm._FilterDatabase" localSheetId="11" hidden="1">Diciembre!$B$9:$G$145</definedName>
    <definedName name="_xlnm._FilterDatabase" localSheetId="0" hidden="1">Enero!$B$9:$G$145</definedName>
    <definedName name="_xlnm._FilterDatabase" localSheetId="1" hidden="1">Febrero!$B$9:$G$145</definedName>
    <definedName name="_xlnm._FilterDatabase" localSheetId="6" hidden="1">Julio!$B$9:$G$145</definedName>
    <definedName name="_xlnm._FilterDatabase" localSheetId="5" hidden="1">Junio!$B$9:$G$145</definedName>
    <definedName name="_xlnm._FilterDatabase" localSheetId="2" hidden="1">Marzo!$B$9:$G$145</definedName>
    <definedName name="_xlnm._FilterDatabase" localSheetId="4" hidden="1">Mayo!$B$9:$G$145</definedName>
    <definedName name="_xlnm._FilterDatabase" localSheetId="10" hidden="1">Noviembre!$B$9:$G$145</definedName>
    <definedName name="_xlnm._FilterDatabase" localSheetId="9" hidden="1">Octubre!$B$9:$G$145</definedName>
    <definedName name="_xlnm._FilterDatabase" localSheetId="8" hidden="1">Septiembre!$B$9:$G$145</definedName>
    <definedName name="_Key1" localSheetId="3" hidden="1">[2]REDE02!#REF!</definedName>
    <definedName name="_Key1" localSheetId="12" hidden="1">[2]REDE02!#REF!</definedName>
    <definedName name="_Key1" localSheetId="7" hidden="1">[2]REDE02!#REF!</definedName>
    <definedName name="_Key1" localSheetId="11" hidden="1">[2]REDE02!#REF!</definedName>
    <definedName name="_Key1" localSheetId="0" hidden="1">[2]REDE02!#REF!</definedName>
    <definedName name="_Key1" localSheetId="1" hidden="1">[2]REDE02!#REF!</definedName>
    <definedName name="_Key1" localSheetId="6" hidden="1">[2]REDE02!#REF!</definedName>
    <definedName name="_Key1" localSheetId="5" hidden="1">[2]REDE02!#REF!</definedName>
    <definedName name="_Key1" localSheetId="2" hidden="1">[2]REDE02!#REF!</definedName>
    <definedName name="_Key1" localSheetId="4" hidden="1">[2]REDE02!#REF!</definedName>
    <definedName name="_Key1" localSheetId="10" hidden="1">[2]REDE02!#REF!</definedName>
    <definedName name="_Key1" localSheetId="9" hidden="1">[2]REDE02!#REF!</definedName>
    <definedName name="_Key1" localSheetId="8" hidden="1">[2]REDE02!#REF!</definedName>
    <definedName name="_Key1" hidden="1">[2]REDE02!#REF!</definedName>
    <definedName name="_Order1" hidden="1">255</definedName>
    <definedName name="_Sort" localSheetId="3" hidden="1">#REF!</definedName>
    <definedName name="_Sort" localSheetId="12" hidden="1">#REF!</definedName>
    <definedName name="_Sort" localSheetId="7" hidden="1">#REF!</definedName>
    <definedName name="_Sort" localSheetId="11" hidden="1">#REF!</definedName>
    <definedName name="_Sort" localSheetId="0" hidden="1">#REF!</definedName>
    <definedName name="_Sort" localSheetId="1" hidden="1">#REF!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4" hidden="1">#REF!</definedName>
    <definedName name="_Sort" localSheetId="10" hidden="1">#REF!</definedName>
    <definedName name="_Sort" localSheetId="9" hidden="1">#REF!</definedName>
    <definedName name="_Sort" localSheetId="8" hidden="1">#REF!</definedName>
    <definedName name="_Sort" hidden="1">#REF!</definedName>
    <definedName name="_xlnm.Print_Area" localSheetId="3">Abril!$D$1:$I$145</definedName>
    <definedName name="_xlnm.Print_Area" localSheetId="12">Acumulado!$D$1:$I$145</definedName>
    <definedName name="_xlnm.Print_Area" localSheetId="7">Agosto!$D$1:$I$145</definedName>
    <definedName name="_xlnm.Print_Area" localSheetId="11">Diciembre!$D$1:$I$145</definedName>
    <definedName name="_xlnm.Print_Area" localSheetId="0">Enero!$D$1:$I$145</definedName>
    <definedName name="_xlnm.Print_Area" localSheetId="1">Febrero!$D$1:$I$145</definedName>
    <definedName name="_xlnm.Print_Area" localSheetId="6">Julio!$D$1:$I$145</definedName>
    <definedName name="_xlnm.Print_Area" localSheetId="5">Junio!$D$1:$I$145</definedName>
    <definedName name="_xlnm.Print_Area" localSheetId="2">Marzo!$D$1:$I$145</definedName>
    <definedName name="_xlnm.Print_Area" localSheetId="4">Mayo!$D$1:$I$145</definedName>
    <definedName name="_xlnm.Print_Area" localSheetId="10">Noviembre!$D$1:$I$145</definedName>
    <definedName name="_xlnm.Print_Area" localSheetId="9">Octubre!$D$1:$I$145</definedName>
    <definedName name="_xlnm.Print_Area" localSheetId="8">Septiembre!$D$1:$I$145</definedName>
    <definedName name="contador" localSheetId="3">#REF!</definedName>
    <definedName name="contador" localSheetId="12">#REF!</definedName>
    <definedName name="contador" localSheetId="7">#REF!</definedName>
    <definedName name="contador" localSheetId="11">#REF!</definedName>
    <definedName name="contador" localSheetId="0">#REF!</definedName>
    <definedName name="contador" localSheetId="1">#REF!</definedName>
    <definedName name="contador" localSheetId="6">#REF!</definedName>
    <definedName name="contador" localSheetId="5">#REF!</definedName>
    <definedName name="contador" localSheetId="2">#REF!</definedName>
    <definedName name="contador" localSheetId="4">#REF!</definedName>
    <definedName name="contador" localSheetId="10">#REF!</definedName>
    <definedName name="contador" localSheetId="9">#REF!</definedName>
    <definedName name="contador" localSheetId="8">#REF!</definedName>
    <definedName name="contador">#REF!</definedName>
    <definedName name="FSA" localSheetId="3" hidden="1">'[3]Rec. y Transf.ENERO-04'!#REF!</definedName>
    <definedName name="FSA" localSheetId="12" hidden="1">'[3]Rec. y Transf.ENERO-04'!#REF!</definedName>
    <definedName name="FSA" localSheetId="7" hidden="1">'[3]Rec. y Transf.ENERO-04'!#REF!</definedName>
    <definedName name="FSA" localSheetId="11" hidden="1">'[3]Rec. y Transf.ENERO-04'!#REF!</definedName>
    <definedName name="FSA" localSheetId="0" hidden="1">'[3]Rec. y Transf.ENERO-04'!#REF!</definedName>
    <definedName name="FSA" localSheetId="1" hidden="1">'[3]Rec. y Transf.ENERO-04'!#REF!</definedName>
    <definedName name="FSA" localSheetId="6" hidden="1">'[3]Rec. y Transf.ENERO-04'!#REF!</definedName>
    <definedName name="FSA" localSheetId="5" hidden="1">'[3]Rec. y Transf.ENERO-04'!#REF!</definedName>
    <definedName name="FSA" localSheetId="2" hidden="1">'[3]Rec. y Transf.ENERO-04'!#REF!</definedName>
    <definedName name="FSA" localSheetId="4" hidden="1">'[3]Rec. y Transf.ENERO-04'!#REF!</definedName>
    <definedName name="FSA" localSheetId="10" hidden="1">'[3]Rec. y Transf.ENERO-04'!#REF!</definedName>
    <definedName name="FSA" localSheetId="9" hidden="1">'[3]Rec. y Transf.ENERO-04'!#REF!</definedName>
    <definedName name="FSA" localSheetId="8" hidden="1">'[3]Rec. y Transf.ENERO-04'!#REF!</definedName>
    <definedName name="FSA" hidden="1">'[3]Rec. y Transf.ENERO-04'!#REF!</definedName>
    <definedName name="h" localSheetId="3">#REF!</definedName>
    <definedName name="h" localSheetId="7">#REF!</definedName>
    <definedName name="h" localSheetId="11">#REF!</definedName>
    <definedName name="h" localSheetId="1">#REF!</definedName>
    <definedName name="h" localSheetId="6">#REF!</definedName>
    <definedName name="h" localSheetId="5">#REF!</definedName>
    <definedName name="h" localSheetId="2">#REF!</definedName>
    <definedName name="h" localSheetId="4">#REF!</definedName>
    <definedName name="h" localSheetId="10">#REF!</definedName>
    <definedName name="h" localSheetId="9">#REF!</definedName>
    <definedName name="h" localSheetId="8">#REF!</definedName>
    <definedName name="h">#REF!</definedName>
    <definedName name="Junio" localSheetId="3" hidden="1">#REF!</definedName>
    <definedName name="Junio" localSheetId="7" hidden="1">#REF!</definedName>
    <definedName name="Junio" localSheetId="11" hidden="1">#REF!</definedName>
    <definedName name="Junio" localSheetId="1" hidden="1">#REF!</definedName>
    <definedName name="Junio" localSheetId="6" hidden="1">#REF!</definedName>
    <definedName name="Junio" localSheetId="5" hidden="1">#REF!</definedName>
    <definedName name="Junio" localSheetId="2" hidden="1">#REF!</definedName>
    <definedName name="Junio" localSheetId="4" hidden="1">#REF!</definedName>
    <definedName name="Junio" localSheetId="10" hidden="1">#REF!</definedName>
    <definedName name="Junio" localSheetId="9" hidden="1">#REF!</definedName>
    <definedName name="Junio" localSheetId="8" hidden="1">#REF!</definedName>
    <definedName name="Junio" hidden="1">#REF!</definedName>
    <definedName name="_xlnm.Print_Titles" localSheetId="3">Abril!$D:$D,Abril!$1:$9</definedName>
    <definedName name="_xlnm.Print_Titles" localSheetId="12">Acumulado!$D:$D,Acumulado!$1:$9</definedName>
    <definedName name="_xlnm.Print_Titles" localSheetId="7">Agosto!$D:$D,Agosto!$1:$9</definedName>
    <definedName name="_xlnm.Print_Titles" localSheetId="11">Diciembre!$D:$D,Diciembre!$1:$9</definedName>
    <definedName name="_xlnm.Print_Titles" localSheetId="0">Enero!$D:$D,Enero!$1:$9</definedName>
    <definedName name="_xlnm.Print_Titles" localSheetId="1">Febrero!$D:$D,Febrero!$1:$9</definedName>
    <definedName name="_xlnm.Print_Titles" localSheetId="6">Julio!$D:$D,Julio!$1:$9</definedName>
    <definedName name="_xlnm.Print_Titles" localSheetId="5">Junio!$D:$D,Junio!$1:$9</definedName>
    <definedName name="_xlnm.Print_Titles" localSheetId="2">Marzo!$D:$D,Marzo!$1:$9</definedName>
    <definedName name="_xlnm.Print_Titles" localSheetId="4">Mayo!$D:$D,Mayo!$1:$9</definedName>
    <definedName name="_xlnm.Print_Titles" localSheetId="10">Noviembre!$D:$D,Noviembre!$1:$9</definedName>
    <definedName name="_xlnm.Print_Titles" localSheetId="9">Octubre!$D:$D,Octubre!$1:$9</definedName>
    <definedName name="_xlnm.Print_Titles" localSheetId="8">Septiembre!$D:$D,Septiembre!$1:$9</definedName>
    <definedName name="Z_1154F945_E781_4016_ADEC_250E9B61A614_.wvu.FilterData" localSheetId="3" hidden="1">Abril!$B$9:$G$145</definedName>
    <definedName name="Z_1154F945_E781_4016_ADEC_250E9B61A614_.wvu.FilterData" localSheetId="12" hidden="1">Acumulado!$B$9:$G$145</definedName>
    <definedName name="Z_1154F945_E781_4016_ADEC_250E9B61A614_.wvu.FilterData" localSheetId="7" hidden="1">Agosto!$B$9:$G$145</definedName>
    <definedName name="Z_1154F945_E781_4016_ADEC_250E9B61A614_.wvu.FilterData" localSheetId="11" hidden="1">Diciembre!$B$9:$G$145</definedName>
    <definedName name="Z_1154F945_E781_4016_ADEC_250E9B61A614_.wvu.FilterData" localSheetId="0" hidden="1">Enero!$B$9:$G$145</definedName>
    <definedName name="Z_1154F945_E781_4016_ADEC_250E9B61A614_.wvu.FilterData" localSheetId="1" hidden="1">Febrero!$B$9:$G$145</definedName>
    <definedName name="Z_1154F945_E781_4016_ADEC_250E9B61A614_.wvu.FilterData" localSheetId="6" hidden="1">Julio!$B$9:$G$145</definedName>
    <definedName name="Z_1154F945_E781_4016_ADEC_250E9B61A614_.wvu.FilterData" localSheetId="5" hidden="1">Junio!$B$9:$G$145</definedName>
    <definedName name="Z_1154F945_E781_4016_ADEC_250E9B61A614_.wvu.FilterData" localSheetId="2" hidden="1">Marzo!$B$9:$G$145</definedName>
    <definedName name="Z_1154F945_E781_4016_ADEC_250E9B61A614_.wvu.FilterData" localSheetId="4" hidden="1">Mayo!$B$9:$G$145</definedName>
    <definedName name="Z_1154F945_E781_4016_ADEC_250E9B61A614_.wvu.FilterData" localSheetId="10" hidden="1">Noviembre!$B$9:$G$145</definedName>
    <definedName name="Z_1154F945_E781_4016_ADEC_250E9B61A614_.wvu.FilterData" localSheetId="9" hidden="1">Octubre!$B$9:$G$145</definedName>
    <definedName name="Z_1154F945_E781_4016_ADEC_250E9B61A614_.wvu.FilterData" localSheetId="8" hidden="1">Septiembre!$B$9:$G$145</definedName>
    <definedName name="Z_1154F945_E781_4016_ADEC_250E9B61A614_.wvu.PrintArea" localSheetId="3" hidden="1">Abril!$D$1:$I$145</definedName>
    <definedName name="Z_1154F945_E781_4016_ADEC_250E9B61A614_.wvu.PrintArea" localSheetId="12" hidden="1">Acumulado!$D$1:$I$145</definedName>
    <definedName name="Z_1154F945_E781_4016_ADEC_250E9B61A614_.wvu.PrintArea" localSheetId="7" hidden="1">Agosto!$D$1:$I$145</definedName>
    <definedName name="Z_1154F945_E781_4016_ADEC_250E9B61A614_.wvu.PrintArea" localSheetId="11" hidden="1">Diciembre!$D$1:$I$145</definedName>
    <definedName name="Z_1154F945_E781_4016_ADEC_250E9B61A614_.wvu.PrintArea" localSheetId="0" hidden="1">Enero!$D$1:$I$145</definedName>
    <definedName name="Z_1154F945_E781_4016_ADEC_250E9B61A614_.wvu.PrintArea" localSheetId="1" hidden="1">Febrero!$D$1:$I$145</definedName>
    <definedName name="Z_1154F945_E781_4016_ADEC_250E9B61A614_.wvu.PrintArea" localSheetId="6" hidden="1">Julio!$D$1:$I$145</definedName>
    <definedName name="Z_1154F945_E781_4016_ADEC_250E9B61A614_.wvu.PrintArea" localSheetId="5" hidden="1">Junio!$D$1:$I$145</definedName>
    <definedName name="Z_1154F945_E781_4016_ADEC_250E9B61A614_.wvu.PrintArea" localSheetId="2" hidden="1">Marzo!$D$1:$I$145</definedName>
    <definedName name="Z_1154F945_E781_4016_ADEC_250E9B61A614_.wvu.PrintArea" localSheetId="4" hidden="1">Mayo!$D$1:$I$145</definedName>
    <definedName name="Z_1154F945_E781_4016_ADEC_250E9B61A614_.wvu.PrintArea" localSheetId="10" hidden="1">Noviembre!$D$1:$I$145</definedName>
    <definedName name="Z_1154F945_E781_4016_ADEC_250E9B61A614_.wvu.PrintArea" localSheetId="9" hidden="1">Octubre!$D$1:$I$145</definedName>
    <definedName name="Z_1154F945_E781_4016_ADEC_250E9B61A614_.wvu.PrintArea" localSheetId="8" hidden="1">Septiembre!$D$1:$I$145</definedName>
    <definedName name="Z_1154F945_E781_4016_ADEC_250E9B61A614_.wvu.PrintTitles" localSheetId="3" hidden="1">Abril!$D:$D,Abril!$1:$9</definedName>
    <definedName name="Z_1154F945_E781_4016_ADEC_250E9B61A614_.wvu.PrintTitles" localSheetId="12" hidden="1">Acumulado!$D:$D,Acumulado!$1:$9</definedName>
    <definedName name="Z_1154F945_E781_4016_ADEC_250E9B61A614_.wvu.PrintTitles" localSheetId="7" hidden="1">Agosto!$D:$D,Agosto!$1:$9</definedName>
    <definedName name="Z_1154F945_E781_4016_ADEC_250E9B61A614_.wvu.PrintTitles" localSheetId="11" hidden="1">Diciembre!$D:$D,Diciembre!$1:$9</definedName>
    <definedName name="Z_1154F945_E781_4016_ADEC_250E9B61A614_.wvu.PrintTitles" localSheetId="0" hidden="1">Enero!$D:$D,Enero!$1:$9</definedName>
    <definedName name="Z_1154F945_E781_4016_ADEC_250E9B61A614_.wvu.PrintTitles" localSheetId="1" hidden="1">Febrero!$D:$D,Febrero!$1:$9</definedName>
    <definedName name="Z_1154F945_E781_4016_ADEC_250E9B61A614_.wvu.PrintTitles" localSheetId="6" hidden="1">Julio!$D:$D,Julio!$1:$9</definedName>
    <definedName name="Z_1154F945_E781_4016_ADEC_250E9B61A614_.wvu.PrintTitles" localSheetId="5" hidden="1">Junio!$D:$D,Junio!$1:$9</definedName>
    <definedName name="Z_1154F945_E781_4016_ADEC_250E9B61A614_.wvu.PrintTitles" localSheetId="2" hidden="1">Marzo!$D:$D,Marzo!$1:$9</definedName>
    <definedName name="Z_1154F945_E781_4016_ADEC_250E9B61A614_.wvu.PrintTitles" localSheetId="4" hidden="1">Mayo!$D:$D,Mayo!$1:$9</definedName>
    <definedName name="Z_1154F945_E781_4016_ADEC_250E9B61A614_.wvu.PrintTitles" localSheetId="10" hidden="1">Noviembre!$D:$D,Noviembre!$1:$9</definedName>
    <definedName name="Z_1154F945_E781_4016_ADEC_250E9B61A614_.wvu.PrintTitles" localSheetId="9" hidden="1">Octubre!$D:$D,Octubre!$1:$9</definedName>
    <definedName name="Z_1154F945_E781_4016_ADEC_250E9B61A614_.wvu.PrintTitles" localSheetId="8" hidden="1">Septiembre!$D:$D,Septiembre!$1:$9</definedName>
    <definedName name="Z_F1F511AB_5865_40AB_8DB4_DDEDE7CBB603_.wvu.FilterData" localSheetId="3" hidden="1">Abril!$B$9:$G$145</definedName>
    <definedName name="Z_F1F511AB_5865_40AB_8DB4_DDEDE7CBB603_.wvu.FilterData" localSheetId="12" hidden="1">Acumulado!$B$9:$G$145</definedName>
    <definedName name="Z_F1F511AB_5865_40AB_8DB4_DDEDE7CBB603_.wvu.FilterData" localSheetId="7" hidden="1">Agosto!$B$9:$G$145</definedName>
    <definedName name="Z_F1F511AB_5865_40AB_8DB4_DDEDE7CBB603_.wvu.FilterData" localSheetId="11" hidden="1">Diciembre!$B$9:$G$145</definedName>
    <definedName name="Z_F1F511AB_5865_40AB_8DB4_DDEDE7CBB603_.wvu.FilterData" localSheetId="0" hidden="1">Enero!$B$9:$G$145</definedName>
    <definedName name="Z_F1F511AB_5865_40AB_8DB4_DDEDE7CBB603_.wvu.FilterData" localSheetId="1" hidden="1">Febrero!$B$9:$G$145</definedName>
    <definedName name="Z_F1F511AB_5865_40AB_8DB4_DDEDE7CBB603_.wvu.FilterData" localSheetId="6" hidden="1">Julio!$B$9:$G$145</definedName>
    <definedName name="Z_F1F511AB_5865_40AB_8DB4_DDEDE7CBB603_.wvu.FilterData" localSheetId="5" hidden="1">Junio!$B$9:$G$145</definedName>
    <definedName name="Z_F1F511AB_5865_40AB_8DB4_DDEDE7CBB603_.wvu.FilterData" localSheetId="2" hidden="1">Marzo!$B$9:$G$145</definedName>
    <definedName name="Z_F1F511AB_5865_40AB_8DB4_DDEDE7CBB603_.wvu.FilterData" localSheetId="4" hidden="1">Mayo!$B$9:$G$145</definedName>
    <definedName name="Z_F1F511AB_5865_40AB_8DB4_DDEDE7CBB603_.wvu.FilterData" localSheetId="10" hidden="1">Noviembre!$B$9:$G$145</definedName>
    <definedName name="Z_F1F511AB_5865_40AB_8DB4_DDEDE7CBB603_.wvu.FilterData" localSheetId="9" hidden="1">Octubre!$B$9:$G$145</definedName>
    <definedName name="Z_F1F511AB_5865_40AB_8DB4_DDEDE7CBB603_.wvu.FilterData" localSheetId="8" hidden="1">Septiembre!$B$9:$G$145</definedName>
    <definedName name="Z_F1F511AB_5865_40AB_8DB4_DDEDE7CBB603_.wvu.PrintArea" localSheetId="3" hidden="1">Abril!$D$1:$I$145</definedName>
    <definedName name="Z_F1F511AB_5865_40AB_8DB4_DDEDE7CBB603_.wvu.PrintArea" localSheetId="12" hidden="1">Acumulado!$D$1:$I$145</definedName>
    <definedName name="Z_F1F511AB_5865_40AB_8DB4_DDEDE7CBB603_.wvu.PrintArea" localSheetId="7" hidden="1">Agosto!$D$1:$I$145</definedName>
    <definedName name="Z_F1F511AB_5865_40AB_8DB4_DDEDE7CBB603_.wvu.PrintArea" localSheetId="11" hidden="1">Diciembre!$D$1:$I$145</definedName>
    <definedName name="Z_F1F511AB_5865_40AB_8DB4_DDEDE7CBB603_.wvu.PrintArea" localSheetId="0" hidden="1">Enero!$D$1:$I$145</definedName>
    <definedName name="Z_F1F511AB_5865_40AB_8DB4_DDEDE7CBB603_.wvu.PrintArea" localSheetId="1" hidden="1">Febrero!$D$1:$I$145</definedName>
    <definedName name="Z_F1F511AB_5865_40AB_8DB4_DDEDE7CBB603_.wvu.PrintArea" localSheetId="6" hidden="1">Julio!$D$1:$I$145</definedName>
    <definedName name="Z_F1F511AB_5865_40AB_8DB4_DDEDE7CBB603_.wvu.PrintArea" localSheetId="5" hidden="1">Junio!$D$1:$I$145</definedName>
    <definedName name="Z_F1F511AB_5865_40AB_8DB4_DDEDE7CBB603_.wvu.PrintArea" localSheetId="2" hidden="1">Marzo!$D$1:$I$145</definedName>
    <definedName name="Z_F1F511AB_5865_40AB_8DB4_DDEDE7CBB603_.wvu.PrintArea" localSheetId="4" hidden="1">Mayo!$D$1:$I$145</definedName>
    <definedName name="Z_F1F511AB_5865_40AB_8DB4_DDEDE7CBB603_.wvu.PrintArea" localSheetId="10" hidden="1">Noviembre!$D$1:$I$145</definedName>
    <definedName name="Z_F1F511AB_5865_40AB_8DB4_DDEDE7CBB603_.wvu.PrintArea" localSheetId="9" hidden="1">Octubre!$D$1:$I$145</definedName>
    <definedName name="Z_F1F511AB_5865_40AB_8DB4_DDEDE7CBB603_.wvu.PrintArea" localSheetId="8" hidden="1">Septiembre!$D$1:$I$145</definedName>
    <definedName name="Z_F1F511AB_5865_40AB_8DB4_DDEDE7CBB603_.wvu.PrintTitles" localSheetId="3" hidden="1">Abril!$D:$D,Abril!$1:$9</definedName>
    <definedName name="Z_F1F511AB_5865_40AB_8DB4_DDEDE7CBB603_.wvu.PrintTitles" localSheetId="12" hidden="1">Acumulado!$D:$D,Acumulado!$1:$9</definedName>
    <definedName name="Z_F1F511AB_5865_40AB_8DB4_DDEDE7CBB603_.wvu.PrintTitles" localSheetId="7" hidden="1">Agosto!$D:$D,Agosto!$1:$9</definedName>
    <definedName name="Z_F1F511AB_5865_40AB_8DB4_DDEDE7CBB603_.wvu.PrintTitles" localSheetId="11" hidden="1">Diciembre!$D:$D,Diciembre!$1:$9</definedName>
    <definedName name="Z_F1F511AB_5865_40AB_8DB4_DDEDE7CBB603_.wvu.PrintTitles" localSheetId="0" hidden="1">Enero!$D:$D,Enero!$1:$9</definedName>
    <definedName name="Z_F1F511AB_5865_40AB_8DB4_DDEDE7CBB603_.wvu.PrintTitles" localSheetId="1" hidden="1">Febrero!$D:$D,Febrero!$1:$9</definedName>
    <definedName name="Z_F1F511AB_5865_40AB_8DB4_DDEDE7CBB603_.wvu.PrintTitles" localSheetId="6" hidden="1">Julio!$D:$D,Julio!$1:$9</definedName>
    <definedName name="Z_F1F511AB_5865_40AB_8DB4_DDEDE7CBB603_.wvu.PrintTitles" localSheetId="5" hidden="1">Junio!$D:$D,Junio!$1:$9</definedName>
    <definedName name="Z_F1F511AB_5865_40AB_8DB4_DDEDE7CBB603_.wvu.PrintTitles" localSheetId="2" hidden="1">Marzo!$D:$D,Marzo!$1:$9</definedName>
    <definedName name="Z_F1F511AB_5865_40AB_8DB4_DDEDE7CBB603_.wvu.PrintTitles" localSheetId="4" hidden="1">Mayo!$D:$D,Mayo!$1:$9</definedName>
    <definedName name="Z_F1F511AB_5865_40AB_8DB4_DDEDE7CBB603_.wvu.PrintTitles" localSheetId="10" hidden="1">Noviembre!$D:$D,Noviembre!$1:$9</definedName>
    <definedName name="Z_F1F511AB_5865_40AB_8DB4_DDEDE7CBB603_.wvu.PrintTitles" localSheetId="9" hidden="1">Octubre!$D:$D,Octubre!$1:$9</definedName>
    <definedName name="Z_F1F511AB_5865_40AB_8DB4_DDEDE7CBB603_.wvu.PrintTitles" localSheetId="8" hidden="1">Septiembre!$D:$D,Septiembre!$1:$9</definedName>
  </definedNames>
  <calcPr calcId="162913"/>
  <customWorkbookViews>
    <customWorkbookView name="paola - Vista personalizada" guid="{F1F511AB-5865-40AB-8DB4-DDEDE7CBB603}" mergeInterval="0" personalView="1" maximized="1" windowWidth="1436" windowHeight="635" activeSheetId="18"/>
    <customWorkbookView name="Eliana Beatriz Koladynski - Vista personalizada" guid="{1154F945-E781-4016-ADEC-250E9B61A614}" mergeInterval="0" personalView="1" maximized="1" windowWidth="1362" windowHeight="462" activeSheetId="18"/>
  </customWorkbookViews>
</workbook>
</file>

<file path=xl/calcChain.xml><?xml version="1.0" encoding="utf-8"?>
<calcChain xmlns="http://schemas.openxmlformats.org/spreadsheetml/2006/main">
  <c r="I10" i="41" l="1"/>
  <c r="I144" i="41" l="1"/>
  <c r="I143" i="41"/>
  <c r="I142" i="41"/>
  <c r="I141" i="41"/>
  <c r="I140" i="41"/>
  <c r="I139" i="41"/>
  <c r="I138" i="41"/>
  <c r="I137" i="41"/>
  <c r="I136" i="41"/>
  <c r="I135" i="41"/>
  <c r="I134" i="41"/>
  <c r="I133" i="41"/>
  <c r="I132" i="41"/>
  <c r="I131" i="41"/>
  <c r="I130" i="41"/>
  <c r="I129" i="41"/>
  <c r="I128" i="41"/>
  <c r="I127" i="41"/>
  <c r="I126" i="41"/>
  <c r="I125" i="41"/>
  <c r="I124" i="41"/>
  <c r="I123" i="41"/>
  <c r="I122" i="41"/>
  <c r="I121" i="41"/>
  <c r="I120" i="41"/>
  <c r="I119" i="41"/>
  <c r="I118" i="41"/>
  <c r="I117" i="41"/>
  <c r="I116" i="41"/>
  <c r="I115" i="41"/>
  <c r="I114" i="41"/>
  <c r="I113" i="41"/>
  <c r="I112" i="41"/>
  <c r="I111" i="41"/>
  <c r="I110" i="41"/>
  <c r="I109" i="41"/>
  <c r="I108" i="41"/>
  <c r="I107" i="41"/>
  <c r="I106" i="41"/>
  <c r="I105" i="41"/>
  <c r="I104" i="41"/>
  <c r="I103" i="41"/>
  <c r="I102" i="41"/>
  <c r="I101" i="41"/>
  <c r="I100" i="41"/>
  <c r="I99" i="41"/>
  <c r="I98" i="41"/>
  <c r="I97" i="41"/>
  <c r="I96" i="41"/>
  <c r="I95" i="41"/>
  <c r="I94" i="41"/>
  <c r="I93" i="41"/>
  <c r="I92" i="41"/>
  <c r="I91" i="41"/>
  <c r="I90" i="41"/>
  <c r="I89" i="41"/>
  <c r="I88" i="41"/>
  <c r="I87" i="41"/>
  <c r="I86" i="41"/>
  <c r="I85" i="41"/>
  <c r="I84" i="41"/>
  <c r="I83" i="41"/>
  <c r="I82" i="41"/>
  <c r="I81" i="41"/>
  <c r="I80" i="41"/>
  <c r="I79" i="41"/>
  <c r="I78" i="41"/>
  <c r="I77" i="41"/>
  <c r="I76" i="41"/>
  <c r="I75" i="41"/>
  <c r="I74" i="41"/>
  <c r="I73" i="41"/>
  <c r="I72" i="41"/>
  <c r="I71" i="41"/>
  <c r="I70" i="41"/>
  <c r="I69" i="41"/>
  <c r="I68" i="41"/>
  <c r="I67" i="41"/>
  <c r="I66" i="41"/>
  <c r="I65" i="41"/>
  <c r="I64" i="41"/>
  <c r="I63" i="41"/>
  <c r="I62" i="41"/>
  <c r="I61" i="41"/>
  <c r="I60" i="41"/>
  <c r="I59" i="41"/>
  <c r="I58" i="41"/>
  <c r="I57" i="41"/>
  <c r="I56" i="41"/>
  <c r="I55" i="41"/>
  <c r="I54" i="41"/>
  <c r="I53" i="41"/>
  <c r="I52" i="41"/>
  <c r="I51" i="41"/>
  <c r="I50" i="41"/>
  <c r="I49" i="41"/>
  <c r="I48" i="41"/>
  <c r="I47" i="41"/>
  <c r="I46" i="41"/>
  <c r="I45" i="41"/>
  <c r="I44" i="41"/>
  <c r="I43" i="41"/>
  <c r="I42" i="41"/>
  <c r="I41" i="41"/>
  <c r="I40" i="41"/>
  <c r="I39" i="41"/>
  <c r="I38" i="41"/>
  <c r="I37" i="41"/>
  <c r="I36" i="41"/>
  <c r="I35" i="41"/>
  <c r="I34" i="41"/>
  <c r="I33" i="41"/>
  <c r="I32" i="41"/>
  <c r="I31" i="41"/>
  <c r="I30" i="41"/>
  <c r="I29" i="41"/>
  <c r="I28" i="41"/>
  <c r="I27" i="41"/>
  <c r="I26" i="41"/>
  <c r="I25" i="41"/>
  <c r="I24" i="41"/>
  <c r="I23" i="41"/>
  <c r="I22" i="41"/>
  <c r="I21" i="41"/>
  <c r="I20" i="41"/>
  <c r="H145" i="41"/>
  <c r="G145" i="41"/>
  <c r="I19" i="41"/>
  <c r="F145" i="41" l="1"/>
  <c r="H10" i="18" l="1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0" i="18"/>
  <c r="E145" i="41" l="1"/>
  <c r="I18" i="41"/>
  <c r="I17" i="41"/>
  <c r="I16" i="41"/>
  <c r="I15" i="41"/>
  <c r="I14" i="41"/>
  <c r="I13" i="41"/>
  <c r="I12" i="41"/>
  <c r="I11" i="41"/>
  <c r="I145" i="41" l="1"/>
  <c r="H145" i="18"/>
  <c r="H145" i="40" l="1"/>
  <c r="G145" i="40"/>
  <c r="F145" i="40"/>
  <c r="E145" i="40"/>
  <c r="I144" i="40"/>
  <c r="I143" i="40"/>
  <c r="I142" i="40"/>
  <c r="I141" i="40"/>
  <c r="I140" i="40"/>
  <c r="I139" i="40"/>
  <c r="I138" i="40"/>
  <c r="I137" i="40"/>
  <c r="I136" i="40"/>
  <c r="I135" i="40"/>
  <c r="I134" i="40"/>
  <c r="I133" i="40"/>
  <c r="I132" i="40"/>
  <c r="I131" i="40"/>
  <c r="I130" i="40"/>
  <c r="I129" i="40"/>
  <c r="I128" i="40"/>
  <c r="I127" i="40"/>
  <c r="I126" i="40"/>
  <c r="I125" i="40"/>
  <c r="I124" i="40"/>
  <c r="I123" i="40"/>
  <c r="I122" i="40"/>
  <c r="I121" i="40"/>
  <c r="I120" i="40"/>
  <c r="I119" i="40"/>
  <c r="I118" i="40"/>
  <c r="I117" i="40"/>
  <c r="I116" i="40"/>
  <c r="I115" i="40"/>
  <c r="I114" i="40"/>
  <c r="I113" i="40"/>
  <c r="I112" i="40"/>
  <c r="I111" i="40"/>
  <c r="I110" i="40"/>
  <c r="I109" i="40"/>
  <c r="I108" i="40"/>
  <c r="I107" i="40"/>
  <c r="I106" i="40"/>
  <c r="I105" i="40"/>
  <c r="I104" i="40"/>
  <c r="I103" i="40"/>
  <c r="I102" i="40"/>
  <c r="I101" i="40"/>
  <c r="I100" i="40"/>
  <c r="I99" i="40"/>
  <c r="I98" i="40"/>
  <c r="I97" i="40"/>
  <c r="I96" i="40"/>
  <c r="I95" i="40"/>
  <c r="I94" i="40"/>
  <c r="I93" i="40"/>
  <c r="I92" i="40"/>
  <c r="I91" i="40"/>
  <c r="I90" i="40"/>
  <c r="I89" i="40"/>
  <c r="I88" i="40"/>
  <c r="I87" i="40"/>
  <c r="I86" i="40"/>
  <c r="I85" i="40"/>
  <c r="I84" i="40"/>
  <c r="I83" i="40"/>
  <c r="I82" i="40"/>
  <c r="I81" i="40"/>
  <c r="I80" i="40"/>
  <c r="I79" i="40"/>
  <c r="I78" i="40"/>
  <c r="I77" i="40"/>
  <c r="I76" i="40"/>
  <c r="I75" i="40"/>
  <c r="I74" i="40"/>
  <c r="I73" i="40"/>
  <c r="I72" i="40"/>
  <c r="I71" i="40"/>
  <c r="I70" i="40"/>
  <c r="I69" i="40"/>
  <c r="I68" i="40"/>
  <c r="I67" i="40"/>
  <c r="I66" i="40"/>
  <c r="I65" i="40"/>
  <c r="I64" i="40"/>
  <c r="I63" i="40"/>
  <c r="I62" i="40"/>
  <c r="I61" i="40"/>
  <c r="I60" i="40"/>
  <c r="I59" i="40"/>
  <c r="I58" i="40"/>
  <c r="I57" i="40"/>
  <c r="I56" i="40"/>
  <c r="I55" i="40"/>
  <c r="I54" i="40"/>
  <c r="I53" i="40"/>
  <c r="I52" i="40"/>
  <c r="I51" i="40"/>
  <c r="I50" i="40"/>
  <c r="I49" i="40"/>
  <c r="I48" i="40"/>
  <c r="I47" i="40"/>
  <c r="I46" i="40"/>
  <c r="I45" i="40"/>
  <c r="I44" i="40"/>
  <c r="I43" i="40"/>
  <c r="I42" i="40"/>
  <c r="I41" i="40"/>
  <c r="I40" i="40"/>
  <c r="I39" i="40"/>
  <c r="I38" i="40"/>
  <c r="I37" i="40"/>
  <c r="I36" i="40"/>
  <c r="I35" i="40"/>
  <c r="I34" i="40"/>
  <c r="I33" i="40"/>
  <c r="I32" i="40"/>
  <c r="I31" i="40"/>
  <c r="I30" i="40"/>
  <c r="I29" i="40"/>
  <c r="I28" i="40"/>
  <c r="I27" i="40"/>
  <c r="I26" i="40"/>
  <c r="I25" i="40"/>
  <c r="I24" i="40"/>
  <c r="I23" i="40"/>
  <c r="I22" i="40"/>
  <c r="I21" i="40"/>
  <c r="I20" i="40"/>
  <c r="I19" i="40"/>
  <c r="I18" i="40"/>
  <c r="I17" i="40"/>
  <c r="I16" i="40"/>
  <c r="I15" i="40"/>
  <c r="I14" i="40"/>
  <c r="I13" i="40"/>
  <c r="I12" i="40"/>
  <c r="I11" i="40"/>
  <c r="I10" i="40"/>
  <c r="I145" i="40" l="1"/>
  <c r="H145" i="39"/>
  <c r="G145" i="39"/>
  <c r="F145" i="39"/>
  <c r="E145" i="39"/>
  <c r="I144" i="39"/>
  <c r="I143" i="39"/>
  <c r="I142" i="39"/>
  <c r="I141" i="39"/>
  <c r="I140" i="39"/>
  <c r="I139" i="39"/>
  <c r="I138" i="39"/>
  <c r="I137" i="39"/>
  <c r="I136" i="39"/>
  <c r="I135" i="39"/>
  <c r="I134" i="39"/>
  <c r="I133" i="39"/>
  <c r="I132" i="39"/>
  <c r="I131" i="39"/>
  <c r="I130" i="39"/>
  <c r="I129" i="39"/>
  <c r="I128" i="39"/>
  <c r="I127" i="39"/>
  <c r="I126" i="39"/>
  <c r="I125" i="39"/>
  <c r="I124" i="39"/>
  <c r="I123" i="39"/>
  <c r="I122" i="39"/>
  <c r="I121" i="39"/>
  <c r="I120" i="39"/>
  <c r="I119" i="39"/>
  <c r="I118" i="39"/>
  <c r="I117" i="39"/>
  <c r="I116" i="39"/>
  <c r="I115" i="39"/>
  <c r="I114" i="39"/>
  <c r="I113" i="39"/>
  <c r="I112" i="39"/>
  <c r="I111" i="39"/>
  <c r="I110" i="39"/>
  <c r="I109" i="39"/>
  <c r="I108" i="39"/>
  <c r="I107" i="39"/>
  <c r="I106" i="39"/>
  <c r="I105" i="39"/>
  <c r="I104" i="39"/>
  <c r="I103" i="39"/>
  <c r="I102" i="39"/>
  <c r="I101" i="39"/>
  <c r="I100" i="39"/>
  <c r="I99" i="39"/>
  <c r="I98" i="39"/>
  <c r="I97" i="39"/>
  <c r="I96" i="39"/>
  <c r="I95" i="39"/>
  <c r="I94" i="39"/>
  <c r="I93" i="39"/>
  <c r="I92" i="39"/>
  <c r="I91" i="39"/>
  <c r="I90" i="39"/>
  <c r="I89" i="39"/>
  <c r="I88" i="39"/>
  <c r="I87" i="39"/>
  <c r="I86" i="39"/>
  <c r="I85" i="39"/>
  <c r="I84" i="39"/>
  <c r="I83" i="39"/>
  <c r="I82" i="39"/>
  <c r="I81" i="39"/>
  <c r="I80" i="39"/>
  <c r="I79" i="39"/>
  <c r="I78" i="39"/>
  <c r="I77" i="39"/>
  <c r="I76" i="39"/>
  <c r="I75" i="39"/>
  <c r="I74" i="39"/>
  <c r="I73" i="39"/>
  <c r="I72" i="39"/>
  <c r="I71" i="39"/>
  <c r="I70" i="39"/>
  <c r="I69" i="39"/>
  <c r="I68" i="39"/>
  <c r="I67" i="39"/>
  <c r="I66" i="39"/>
  <c r="I65" i="39"/>
  <c r="I64" i="39"/>
  <c r="I63" i="39"/>
  <c r="I62" i="39"/>
  <c r="I61" i="39"/>
  <c r="I60" i="39"/>
  <c r="I59" i="39"/>
  <c r="I58" i="39"/>
  <c r="I57" i="39"/>
  <c r="I56" i="39"/>
  <c r="I55" i="39"/>
  <c r="I54" i="39"/>
  <c r="I53" i="39"/>
  <c r="I52" i="39"/>
  <c r="I51" i="39"/>
  <c r="I50" i="39"/>
  <c r="I49" i="39"/>
  <c r="I48" i="39"/>
  <c r="I47" i="39"/>
  <c r="I46" i="39"/>
  <c r="I45" i="39"/>
  <c r="I44" i="39"/>
  <c r="I43" i="39"/>
  <c r="I42" i="39"/>
  <c r="I41" i="39"/>
  <c r="I40" i="39"/>
  <c r="I39" i="39"/>
  <c r="I38" i="39"/>
  <c r="I37" i="39"/>
  <c r="I36" i="39"/>
  <c r="I35" i="39"/>
  <c r="I34" i="39"/>
  <c r="I33" i="39"/>
  <c r="I32" i="39"/>
  <c r="I31" i="39"/>
  <c r="I30" i="39"/>
  <c r="I29" i="39"/>
  <c r="I28" i="39"/>
  <c r="I27" i="39"/>
  <c r="I26" i="39"/>
  <c r="I25" i="39"/>
  <c r="I24" i="39"/>
  <c r="I23" i="39"/>
  <c r="I22" i="39"/>
  <c r="I21" i="39"/>
  <c r="I20" i="39"/>
  <c r="I19" i="39"/>
  <c r="I18" i="39"/>
  <c r="I17" i="39"/>
  <c r="I16" i="39"/>
  <c r="I15" i="39"/>
  <c r="I14" i="39"/>
  <c r="I13" i="39"/>
  <c r="I12" i="39"/>
  <c r="I11" i="39"/>
  <c r="I10" i="39"/>
  <c r="I145" i="39" l="1"/>
  <c r="H145" i="38" l="1"/>
  <c r="G145" i="38"/>
  <c r="F145" i="38"/>
  <c r="E145" i="38"/>
  <c r="I144" i="38"/>
  <c r="I143" i="38"/>
  <c r="I142" i="38"/>
  <c r="I141" i="38"/>
  <c r="I140" i="38"/>
  <c r="I139" i="38"/>
  <c r="I138" i="38"/>
  <c r="I137" i="38"/>
  <c r="I136" i="38"/>
  <c r="I135" i="38"/>
  <c r="I134" i="38"/>
  <c r="I133" i="38"/>
  <c r="I132" i="38"/>
  <c r="I131" i="38"/>
  <c r="I130" i="38"/>
  <c r="I129" i="38"/>
  <c r="I128" i="38"/>
  <c r="I127" i="38"/>
  <c r="I126" i="38"/>
  <c r="I125" i="38"/>
  <c r="I124" i="38"/>
  <c r="I123" i="38"/>
  <c r="I122" i="38"/>
  <c r="I121" i="38"/>
  <c r="I120" i="38"/>
  <c r="I119" i="38"/>
  <c r="I118" i="38"/>
  <c r="I117" i="38"/>
  <c r="I116" i="38"/>
  <c r="I115" i="38"/>
  <c r="I114" i="38"/>
  <c r="I113" i="38"/>
  <c r="I112" i="38"/>
  <c r="I111" i="38"/>
  <c r="I110" i="38"/>
  <c r="I109" i="38"/>
  <c r="I108" i="38"/>
  <c r="I107" i="38"/>
  <c r="I106" i="38"/>
  <c r="I105" i="38"/>
  <c r="I104" i="38"/>
  <c r="I103" i="38"/>
  <c r="I102" i="38"/>
  <c r="I101" i="38"/>
  <c r="I100" i="38"/>
  <c r="I99" i="38"/>
  <c r="I98" i="38"/>
  <c r="I97" i="38"/>
  <c r="I96" i="38"/>
  <c r="I95" i="38"/>
  <c r="I94" i="38"/>
  <c r="I93" i="38"/>
  <c r="I92" i="38"/>
  <c r="I91" i="38"/>
  <c r="I90" i="38"/>
  <c r="I89" i="38"/>
  <c r="I88" i="38"/>
  <c r="I87" i="38"/>
  <c r="I86" i="38"/>
  <c r="I85" i="38"/>
  <c r="I84" i="38"/>
  <c r="I83" i="38"/>
  <c r="I82" i="38"/>
  <c r="I81" i="38"/>
  <c r="I80" i="38"/>
  <c r="I79" i="38"/>
  <c r="I78" i="38"/>
  <c r="I77" i="38"/>
  <c r="I76" i="38"/>
  <c r="I75" i="38"/>
  <c r="I74" i="38"/>
  <c r="I73" i="38"/>
  <c r="I72" i="38"/>
  <c r="I71" i="38"/>
  <c r="I70" i="38"/>
  <c r="I69" i="38"/>
  <c r="I68" i="38"/>
  <c r="I67" i="38"/>
  <c r="I66" i="38"/>
  <c r="I65" i="38"/>
  <c r="I64" i="38"/>
  <c r="I63" i="38"/>
  <c r="I62" i="38"/>
  <c r="I61" i="38"/>
  <c r="I60" i="38"/>
  <c r="I59" i="38"/>
  <c r="I58" i="38"/>
  <c r="I57" i="38"/>
  <c r="I56" i="38"/>
  <c r="I55" i="38"/>
  <c r="I54" i="38"/>
  <c r="I53" i="38"/>
  <c r="I52" i="38"/>
  <c r="I51" i="38"/>
  <c r="I50" i="38"/>
  <c r="I49" i="38"/>
  <c r="I48" i="38"/>
  <c r="I47" i="38"/>
  <c r="I46" i="38"/>
  <c r="I45" i="38"/>
  <c r="I44" i="38"/>
  <c r="I43" i="38"/>
  <c r="I42" i="38"/>
  <c r="I41" i="38"/>
  <c r="I40" i="38"/>
  <c r="I39" i="38"/>
  <c r="I38" i="38"/>
  <c r="I37" i="38"/>
  <c r="I36" i="38"/>
  <c r="I35" i="38"/>
  <c r="I34" i="38"/>
  <c r="I33" i="38"/>
  <c r="I32" i="38"/>
  <c r="I31" i="38"/>
  <c r="I30" i="38"/>
  <c r="I29" i="38"/>
  <c r="I28" i="38"/>
  <c r="I27" i="38"/>
  <c r="I26" i="38"/>
  <c r="I25" i="38"/>
  <c r="I24" i="38"/>
  <c r="I23" i="38"/>
  <c r="I22" i="38"/>
  <c r="I21" i="38"/>
  <c r="I20" i="38"/>
  <c r="I19" i="38"/>
  <c r="I18" i="38"/>
  <c r="I17" i="38"/>
  <c r="I16" i="38"/>
  <c r="I15" i="38"/>
  <c r="I14" i="38"/>
  <c r="I13" i="38"/>
  <c r="I12" i="38"/>
  <c r="I11" i="38"/>
  <c r="I10" i="38"/>
  <c r="I145" i="38" l="1"/>
  <c r="H145" i="37" l="1"/>
  <c r="G145" i="37"/>
  <c r="F145" i="37"/>
  <c r="E145" i="37"/>
  <c r="I144" i="37"/>
  <c r="I143" i="37"/>
  <c r="I142" i="37"/>
  <c r="I141" i="37"/>
  <c r="I140" i="37"/>
  <c r="I139" i="37"/>
  <c r="I138" i="37"/>
  <c r="I137" i="37"/>
  <c r="I136" i="37"/>
  <c r="I135" i="37"/>
  <c r="I134" i="37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I121" i="37"/>
  <c r="I120" i="37"/>
  <c r="I119" i="37"/>
  <c r="I118" i="37"/>
  <c r="I117" i="37"/>
  <c r="I116" i="37"/>
  <c r="I115" i="37"/>
  <c r="I114" i="37"/>
  <c r="I113" i="37"/>
  <c r="I112" i="37"/>
  <c r="I111" i="37"/>
  <c r="I110" i="37"/>
  <c r="I109" i="37"/>
  <c r="I108" i="37"/>
  <c r="I107" i="37"/>
  <c r="I106" i="37"/>
  <c r="I105" i="37"/>
  <c r="I104" i="37"/>
  <c r="I103" i="37"/>
  <c r="I102" i="37"/>
  <c r="I101" i="37"/>
  <c r="I100" i="37"/>
  <c r="I99" i="37"/>
  <c r="I98" i="37"/>
  <c r="I97" i="37"/>
  <c r="I96" i="37"/>
  <c r="I95" i="37"/>
  <c r="I94" i="37"/>
  <c r="I93" i="37"/>
  <c r="I92" i="37"/>
  <c r="I91" i="37"/>
  <c r="I90" i="37"/>
  <c r="I89" i="37"/>
  <c r="I88" i="37"/>
  <c r="I87" i="37"/>
  <c r="I86" i="37"/>
  <c r="I85" i="37"/>
  <c r="I84" i="37"/>
  <c r="I83" i="37"/>
  <c r="I82" i="37"/>
  <c r="I81" i="37"/>
  <c r="I80" i="37"/>
  <c r="I79" i="37"/>
  <c r="I78" i="37"/>
  <c r="I77" i="37"/>
  <c r="I76" i="37"/>
  <c r="I75" i="37"/>
  <c r="I74" i="37"/>
  <c r="I73" i="37"/>
  <c r="I72" i="37"/>
  <c r="I71" i="37"/>
  <c r="I70" i="37"/>
  <c r="I69" i="37"/>
  <c r="I68" i="37"/>
  <c r="I67" i="37"/>
  <c r="I66" i="37"/>
  <c r="I65" i="37"/>
  <c r="I64" i="37"/>
  <c r="I63" i="37"/>
  <c r="I62" i="37"/>
  <c r="I61" i="37"/>
  <c r="I60" i="37"/>
  <c r="I59" i="37"/>
  <c r="I58" i="37"/>
  <c r="I57" i="37"/>
  <c r="I56" i="37"/>
  <c r="I55" i="37"/>
  <c r="I54" i="37"/>
  <c r="I53" i="37"/>
  <c r="I52" i="37"/>
  <c r="I51" i="37"/>
  <c r="I50" i="37"/>
  <c r="I49" i="37"/>
  <c r="I48" i="37"/>
  <c r="I47" i="37"/>
  <c r="I46" i="37"/>
  <c r="I45" i="37"/>
  <c r="I44" i="37"/>
  <c r="I43" i="37"/>
  <c r="I42" i="37"/>
  <c r="I41" i="37"/>
  <c r="I40" i="37"/>
  <c r="I39" i="37"/>
  <c r="I38" i="37"/>
  <c r="I37" i="37"/>
  <c r="I36" i="37"/>
  <c r="I35" i="37"/>
  <c r="I34" i="37"/>
  <c r="I33" i="37"/>
  <c r="I32" i="37"/>
  <c r="I31" i="37"/>
  <c r="I30" i="37"/>
  <c r="I29" i="37"/>
  <c r="I28" i="37"/>
  <c r="I27" i="37"/>
  <c r="I26" i="37"/>
  <c r="I25" i="37"/>
  <c r="I24" i="37"/>
  <c r="I23" i="37"/>
  <c r="I22" i="37"/>
  <c r="I21" i="37"/>
  <c r="I20" i="37"/>
  <c r="I19" i="37"/>
  <c r="I18" i="37"/>
  <c r="I17" i="37"/>
  <c r="I16" i="37"/>
  <c r="I15" i="37"/>
  <c r="I14" i="37"/>
  <c r="I13" i="37"/>
  <c r="I12" i="37"/>
  <c r="I11" i="37"/>
  <c r="I10" i="37"/>
  <c r="I145" i="37" l="1"/>
  <c r="H145" i="36" l="1"/>
  <c r="G145" i="36"/>
  <c r="E145" i="36"/>
  <c r="I144" i="36"/>
  <c r="I143" i="36"/>
  <c r="I142" i="36"/>
  <c r="I141" i="36"/>
  <c r="I140" i="36"/>
  <c r="I139" i="36"/>
  <c r="I138" i="36"/>
  <c r="I137" i="36"/>
  <c r="I136" i="36"/>
  <c r="I135" i="36"/>
  <c r="I134" i="36"/>
  <c r="I133" i="36"/>
  <c r="I132" i="36"/>
  <c r="I131" i="36"/>
  <c r="I130" i="36"/>
  <c r="I129" i="36"/>
  <c r="I128" i="36"/>
  <c r="I127" i="36"/>
  <c r="I126" i="36"/>
  <c r="I125" i="36"/>
  <c r="I124" i="36"/>
  <c r="I123" i="36"/>
  <c r="I122" i="36"/>
  <c r="I121" i="36"/>
  <c r="I120" i="36"/>
  <c r="I119" i="36"/>
  <c r="I118" i="36"/>
  <c r="I117" i="36"/>
  <c r="I116" i="36"/>
  <c r="I115" i="36"/>
  <c r="I114" i="36"/>
  <c r="I113" i="36"/>
  <c r="I112" i="36"/>
  <c r="I111" i="36"/>
  <c r="I110" i="36"/>
  <c r="I109" i="36"/>
  <c r="I108" i="36"/>
  <c r="I107" i="36"/>
  <c r="I106" i="36"/>
  <c r="I105" i="36"/>
  <c r="I104" i="36"/>
  <c r="I103" i="36"/>
  <c r="I102" i="36"/>
  <c r="I101" i="36"/>
  <c r="I100" i="36"/>
  <c r="I99" i="36"/>
  <c r="I98" i="36"/>
  <c r="I97" i="36"/>
  <c r="I96" i="36"/>
  <c r="I95" i="36"/>
  <c r="I94" i="36"/>
  <c r="I93" i="36"/>
  <c r="I92" i="36"/>
  <c r="I91" i="36"/>
  <c r="I90" i="36"/>
  <c r="I89" i="36"/>
  <c r="I88" i="36"/>
  <c r="I87" i="36"/>
  <c r="I86" i="36"/>
  <c r="I85" i="36"/>
  <c r="I84" i="36"/>
  <c r="I83" i="36"/>
  <c r="I82" i="36"/>
  <c r="I81" i="36"/>
  <c r="I80" i="36"/>
  <c r="I79" i="36"/>
  <c r="I78" i="36"/>
  <c r="I77" i="36"/>
  <c r="I76" i="36"/>
  <c r="I75" i="36"/>
  <c r="I74" i="36"/>
  <c r="I73" i="36"/>
  <c r="I72" i="36"/>
  <c r="I71" i="36"/>
  <c r="I70" i="36"/>
  <c r="I69" i="36"/>
  <c r="I68" i="36"/>
  <c r="I67" i="36"/>
  <c r="I66" i="36"/>
  <c r="I65" i="36"/>
  <c r="I64" i="36"/>
  <c r="I63" i="36"/>
  <c r="I62" i="36"/>
  <c r="I61" i="36"/>
  <c r="I60" i="36"/>
  <c r="I59" i="36"/>
  <c r="I58" i="36"/>
  <c r="I57" i="36"/>
  <c r="I56" i="36"/>
  <c r="I55" i="36"/>
  <c r="I54" i="36"/>
  <c r="I53" i="36"/>
  <c r="I52" i="36"/>
  <c r="I51" i="36"/>
  <c r="I50" i="36"/>
  <c r="I49" i="36"/>
  <c r="I48" i="36"/>
  <c r="I47" i="36"/>
  <c r="I46" i="36"/>
  <c r="I45" i="36"/>
  <c r="I44" i="36"/>
  <c r="I43" i="36"/>
  <c r="I42" i="36"/>
  <c r="I41" i="36"/>
  <c r="I40" i="36"/>
  <c r="I39" i="36"/>
  <c r="I38" i="36"/>
  <c r="I37" i="36"/>
  <c r="I36" i="36"/>
  <c r="I35" i="36"/>
  <c r="I34" i="36"/>
  <c r="I33" i="36"/>
  <c r="I32" i="36"/>
  <c r="I31" i="36"/>
  <c r="I30" i="36"/>
  <c r="I29" i="36"/>
  <c r="I28" i="36"/>
  <c r="I27" i="36"/>
  <c r="I26" i="36"/>
  <c r="I25" i="36"/>
  <c r="I24" i="36"/>
  <c r="I23" i="36"/>
  <c r="I22" i="36"/>
  <c r="I21" i="36"/>
  <c r="I20" i="36"/>
  <c r="I19" i="36"/>
  <c r="I18" i="36"/>
  <c r="I17" i="36"/>
  <c r="I16" i="36"/>
  <c r="I15" i="36"/>
  <c r="I14" i="36"/>
  <c r="I13" i="36"/>
  <c r="I12" i="36"/>
  <c r="I11" i="36"/>
  <c r="H145" i="35"/>
  <c r="G145" i="35"/>
  <c r="F145" i="35"/>
  <c r="E145" i="35"/>
  <c r="I144" i="35"/>
  <c r="I143" i="35"/>
  <c r="I142" i="35"/>
  <c r="I141" i="35"/>
  <c r="I140" i="35"/>
  <c r="I139" i="35"/>
  <c r="I138" i="35"/>
  <c r="I137" i="35"/>
  <c r="I136" i="35"/>
  <c r="I135" i="35"/>
  <c r="I134" i="35"/>
  <c r="I133" i="35"/>
  <c r="I132" i="35"/>
  <c r="I131" i="35"/>
  <c r="I130" i="35"/>
  <c r="I129" i="35"/>
  <c r="I128" i="35"/>
  <c r="I127" i="35"/>
  <c r="I126" i="35"/>
  <c r="I125" i="35"/>
  <c r="I124" i="35"/>
  <c r="I123" i="35"/>
  <c r="I122" i="35"/>
  <c r="I121" i="35"/>
  <c r="I120" i="35"/>
  <c r="I119" i="35"/>
  <c r="I118" i="35"/>
  <c r="I117" i="35"/>
  <c r="I116" i="35"/>
  <c r="I115" i="35"/>
  <c r="I114" i="35"/>
  <c r="I113" i="35"/>
  <c r="I112" i="35"/>
  <c r="I111" i="35"/>
  <c r="I110" i="35"/>
  <c r="I109" i="35"/>
  <c r="I108" i="35"/>
  <c r="I107" i="35"/>
  <c r="I106" i="35"/>
  <c r="I105" i="35"/>
  <c r="I104" i="35"/>
  <c r="I103" i="35"/>
  <c r="I102" i="35"/>
  <c r="I101" i="35"/>
  <c r="I100" i="35"/>
  <c r="I99" i="35"/>
  <c r="I98" i="35"/>
  <c r="I97" i="35"/>
  <c r="I96" i="35"/>
  <c r="I95" i="35"/>
  <c r="I94" i="35"/>
  <c r="I93" i="35"/>
  <c r="I92" i="35"/>
  <c r="I91" i="35"/>
  <c r="I90" i="35"/>
  <c r="I89" i="35"/>
  <c r="I88" i="35"/>
  <c r="I87" i="35"/>
  <c r="I86" i="35"/>
  <c r="I85" i="35"/>
  <c r="I84" i="35"/>
  <c r="I83" i="35"/>
  <c r="I82" i="35"/>
  <c r="I81" i="35"/>
  <c r="I80" i="35"/>
  <c r="I79" i="35"/>
  <c r="I78" i="35"/>
  <c r="I77" i="35"/>
  <c r="I76" i="35"/>
  <c r="I75" i="35"/>
  <c r="I74" i="35"/>
  <c r="I73" i="35"/>
  <c r="I72" i="35"/>
  <c r="I71" i="35"/>
  <c r="I70" i="35"/>
  <c r="I69" i="35"/>
  <c r="I68" i="35"/>
  <c r="I67" i="35"/>
  <c r="I66" i="35"/>
  <c r="I65" i="35"/>
  <c r="I64" i="35"/>
  <c r="I63" i="35"/>
  <c r="I62" i="35"/>
  <c r="I61" i="35"/>
  <c r="I60" i="35"/>
  <c r="I59" i="35"/>
  <c r="I58" i="35"/>
  <c r="I57" i="35"/>
  <c r="I56" i="35"/>
  <c r="I55" i="35"/>
  <c r="I54" i="35"/>
  <c r="I53" i="35"/>
  <c r="I52" i="35"/>
  <c r="I51" i="35"/>
  <c r="I50" i="35"/>
  <c r="I49" i="35"/>
  <c r="I48" i="35"/>
  <c r="I47" i="35"/>
  <c r="I46" i="35"/>
  <c r="I45" i="35"/>
  <c r="I44" i="35"/>
  <c r="I43" i="35"/>
  <c r="I42" i="35"/>
  <c r="I41" i="35"/>
  <c r="I40" i="35"/>
  <c r="I39" i="35"/>
  <c r="I38" i="35"/>
  <c r="I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11" i="35"/>
  <c r="I10" i="35"/>
  <c r="I145" i="35" l="1"/>
  <c r="G145" i="24"/>
  <c r="H145" i="21" l="1"/>
  <c r="G145" i="21"/>
  <c r="F145" i="21"/>
  <c r="H145" i="24" l="1"/>
  <c r="F145" i="24"/>
  <c r="E145" i="24"/>
  <c r="I144" i="24"/>
  <c r="I143" i="24"/>
  <c r="I142" i="24"/>
  <c r="I141" i="24"/>
  <c r="I140" i="24"/>
  <c r="I139" i="24"/>
  <c r="I138" i="24"/>
  <c r="I137" i="24"/>
  <c r="I136" i="24"/>
  <c r="I135" i="24"/>
  <c r="I134" i="24"/>
  <c r="I133" i="24"/>
  <c r="I132" i="24"/>
  <c r="I131" i="24"/>
  <c r="I130" i="24"/>
  <c r="I129" i="24"/>
  <c r="I128" i="24"/>
  <c r="I127" i="24"/>
  <c r="I126" i="24"/>
  <c r="I125" i="24"/>
  <c r="I124" i="24"/>
  <c r="I123" i="24"/>
  <c r="I122" i="24"/>
  <c r="I121" i="24"/>
  <c r="I120" i="24"/>
  <c r="I119" i="24"/>
  <c r="I118" i="24"/>
  <c r="I117" i="24"/>
  <c r="I116" i="24"/>
  <c r="I115" i="24"/>
  <c r="I114" i="24"/>
  <c r="I113" i="24"/>
  <c r="I112" i="24"/>
  <c r="I111" i="24"/>
  <c r="I110" i="24"/>
  <c r="I109" i="24"/>
  <c r="I108" i="24"/>
  <c r="I107" i="24"/>
  <c r="I106" i="24"/>
  <c r="I105" i="24"/>
  <c r="I104" i="24"/>
  <c r="I103" i="24"/>
  <c r="I102" i="24"/>
  <c r="I101" i="24"/>
  <c r="I100" i="24"/>
  <c r="I99" i="24"/>
  <c r="I98" i="24"/>
  <c r="I97" i="24"/>
  <c r="I96" i="24"/>
  <c r="I95" i="24"/>
  <c r="I94" i="24"/>
  <c r="I93" i="24"/>
  <c r="I92" i="24"/>
  <c r="I91" i="24"/>
  <c r="I90" i="24"/>
  <c r="I89" i="24"/>
  <c r="I88" i="24"/>
  <c r="I87" i="24"/>
  <c r="I86" i="24"/>
  <c r="I85" i="24"/>
  <c r="I84" i="24"/>
  <c r="I83" i="24"/>
  <c r="I82" i="24"/>
  <c r="I81" i="24"/>
  <c r="I80" i="24"/>
  <c r="I79" i="24"/>
  <c r="I78" i="24"/>
  <c r="I77" i="24"/>
  <c r="I76" i="24"/>
  <c r="I75" i="24"/>
  <c r="I74" i="24"/>
  <c r="I73" i="24"/>
  <c r="I72" i="24"/>
  <c r="I71" i="24"/>
  <c r="I70" i="24"/>
  <c r="I69" i="24"/>
  <c r="I68" i="24"/>
  <c r="I67" i="24"/>
  <c r="I66" i="24"/>
  <c r="I65" i="24"/>
  <c r="I64" i="24"/>
  <c r="I63" i="24"/>
  <c r="I62" i="24"/>
  <c r="I61" i="24"/>
  <c r="I60" i="24"/>
  <c r="I59" i="24"/>
  <c r="I58" i="24"/>
  <c r="I57" i="24"/>
  <c r="I56" i="24"/>
  <c r="I55" i="24"/>
  <c r="I54" i="24"/>
  <c r="I53" i="24"/>
  <c r="I52" i="24"/>
  <c r="I51" i="24"/>
  <c r="I50" i="24"/>
  <c r="I49" i="24"/>
  <c r="I48" i="24"/>
  <c r="I47" i="24"/>
  <c r="I46" i="24"/>
  <c r="I45" i="24"/>
  <c r="I44" i="24"/>
  <c r="I43" i="24"/>
  <c r="I42" i="24"/>
  <c r="I41" i="24"/>
  <c r="I40" i="24"/>
  <c r="I39" i="24"/>
  <c r="I38" i="24"/>
  <c r="I37" i="24"/>
  <c r="I36" i="24"/>
  <c r="I35" i="24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145" i="24" l="1"/>
  <c r="H145" i="23"/>
  <c r="G145" i="23"/>
  <c r="F145" i="23"/>
  <c r="E145" i="23"/>
  <c r="I144" i="23"/>
  <c r="I143" i="23"/>
  <c r="I142" i="23"/>
  <c r="I141" i="23"/>
  <c r="I140" i="23"/>
  <c r="I139" i="23"/>
  <c r="I138" i="23"/>
  <c r="I137" i="23"/>
  <c r="I136" i="23"/>
  <c r="I135" i="23"/>
  <c r="I134" i="23"/>
  <c r="I133" i="23"/>
  <c r="I132" i="23"/>
  <c r="I131" i="23"/>
  <c r="I130" i="23"/>
  <c r="I129" i="23"/>
  <c r="I128" i="23"/>
  <c r="I127" i="23"/>
  <c r="I126" i="23"/>
  <c r="I125" i="23"/>
  <c r="I124" i="23"/>
  <c r="I123" i="23"/>
  <c r="I122" i="23"/>
  <c r="I121" i="23"/>
  <c r="I120" i="23"/>
  <c r="I119" i="23"/>
  <c r="I118" i="23"/>
  <c r="I117" i="23"/>
  <c r="I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145" i="23" l="1"/>
  <c r="H145" i="22"/>
  <c r="G145" i="22"/>
  <c r="F145" i="22"/>
  <c r="E145" i="22"/>
  <c r="I144" i="22"/>
  <c r="I143" i="22"/>
  <c r="I142" i="22"/>
  <c r="I141" i="22"/>
  <c r="I140" i="22"/>
  <c r="I139" i="22"/>
  <c r="I138" i="22"/>
  <c r="I137" i="22"/>
  <c r="I136" i="22"/>
  <c r="I135" i="22"/>
  <c r="I134" i="22"/>
  <c r="I133" i="22"/>
  <c r="I132" i="22"/>
  <c r="I131" i="22"/>
  <c r="I130" i="22"/>
  <c r="I129" i="22"/>
  <c r="I128" i="22"/>
  <c r="I127" i="22"/>
  <c r="I126" i="22"/>
  <c r="I125" i="22"/>
  <c r="I124" i="22"/>
  <c r="I123" i="22"/>
  <c r="I122" i="22"/>
  <c r="I121" i="22"/>
  <c r="I120" i="22"/>
  <c r="I119" i="22"/>
  <c r="I118" i="22"/>
  <c r="I117" i="22"/>
  <c r="I116" i="22"/>
  <c r="I115" i="22"/>
  <c r="I114" i="22"/>
  <c r="I113" i="22"/>
  <c r="I112" i="22"/>
  <c r="I111" i="22"/>
  <c r="I110" i="22"/>
  <c r="I109" i="22"/>
  <c r="I108" i="22"/>
  <c r="I107" i="22"/>
  <c r="I106" i="22"/>
  <c r="I105" i="22"/>
  <c r="I104" i="22"/>
  <c r="I103" i="22"/>
  <c r="I102" i="22"/>
  <c r="I101" i="22"/>
  <c r="I100" i="22"/>
  <c r="I99" i="22"/>
  <c r="I98" i="22"/>
  <c r="I97" i="22"/>
  <c r="I96" i="22"/>
  <c r="I95" i="22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145" i="22" l="1"/>
  <c r="H145" i="1" l="1"/>
  <c r="G145" i="1"/>
  <c r="F145" i="1"/>
  <c r="E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G145" i="18"/>
  <c r="I145" i="1" l="1"/>
  <c r="I11" i="18" l="1"/>
  <c r="I11" i="21"/>
  <c r="I12" i="18"/>
  <c r="I12" i="21"/>
  <c r="I14" i="18"/>
  <c r="I14" i="21"/>
  <c r="I16" i="18"/>
  <c r="I16" i="21"/>
  <c r="I19" i="18"/>
  <c r="I19" i="21"/>
  <c r="I21" i="18"/>
  <c r="I21" i="21"/>
  <c r="I22" i="18"/>
  <c r="I22" i="21"/>
  <c r="I25" i="18"/>
  <c r="I25" i="21"/>
  <c r="I27" i="18"/>
  <c r="I27" i="21"/>
  <c r="I29" i="18"/>
  <c r="I29" i="21"/>
  <c r="I30" i="18"/>
  <c r="I30" i="21"/>
  <c r="I32" i="18"/>
  <c r="I32" i="21"/>
  <c r="I34" i="18"/>
  <c r="I34" i="21"/>
  <c r="I36" i="18"/>
  <c r="I36" i="21"/>
  <c r="I38" i="18"/>
  <c r="I38" i="21"/>
  <c r="I40" i="18"/>
  <c r="I40" i="21"/>
  <c r="I43" i="18"/>
  <c r="I43" i="21"/>
  <c r="I45" i="18"/>
  <c r="I45" i="21"/>
  <c r="I46" i="18"/>
  <c r="I46" i="21"/>
  <c r="I47" i="18"/>
  <c r="I47" i="21"/>
  <c r="I49" i="18"/>
  <c r="I49" i="21"/>
  <c r="I51" i="18"/>
  <c r="I51" i="21"/>
  <c r="I53" i="18"/>
  <c r="I53" i="21"/>
  <c r="I55" i="18"/>
  <c r="I55" i="21"/>
  <c r="I58" i="18"/>
  <c r="I58" i="21"/>
  <c r="I60" i="18"/>
  <c r="I60" i="21"/>
  <c r="I62" i="18"/>
  <c r="I62" i="21"/>
  <c r="I64" i="18"/>
  <c r="I64" i="21"/>
  <c r="I67" i="18"/>
  <c r="I67" i="21"/>
  <c r="I68" i="18"/>
  <c r="I68" i="21"/>
  <c r="I70" i="18"/>
  <c r="I70" i="21"/>
  <c r="I73" i="18"/>
  <c r="I73" i="21"/>
  <c r="I75" i="18"/>
  <c r="I75" i="21"/>
  <c r="I76" i="18"/>
  <c r="I76" i="21"/>
  <c r="I77" i="18"/>
  <c r="I77" i="21"/>
  <c r="I78" i="18"/>
  <c r="I78" i="21"/>
  <c r="I79" i="18"/>
  <c r="I79" i="21"/>
  <c r="I80" i="18"/>
  <c r="I80" i="21"/>
  <c r="I81" i="18"/>
  <c r="I81" i="21"/>
  <c r="I82" i="18"/>
  <c r="I82" i="21"/>
  <c r="I83" i="18"/>
  <c r="I83" i="21"/>
  <c r="I84" i="18"/>
  <c r="I84" i="21"/>
  <c r="I85" i="18"/>
  <c r="I85" i="21"/>
  <c r="I86" i="18"/>
  <c r="I86" i="21"/>
  <c r="I87" i="18"/>
  <c r="I87" i="21"/>
  <c r="I88" i="18"/>
  <c r="I88" i="21"/>
  <c r="I89" i="18"/>
  <c r="I89" i="21"/>
  <c r="I90" i="18"/>
  <c r="I90" i="21"/>
  <c r="I91" i="18"/>
  <c r="I91" i="21"/>
  <c r="I92" i="18"/>
  <c r="I92" i="21"/>
  <c r="I93" i="18"/>
  <c r="I93" i="21"/>
  <c r="I94" i="18"/>
  <c r="I94" i="21"/>
  <c r="I95" i="18"/>
  <c r="I95" i="21"/>
  <c r="I96" i="18"/>
  <c r="I96" i="21"/>
  <c r="I97" i="18"/>
  <c r="I97" i="21"/>
  <c r="I98" i="18"/>
  <c r="I98" i="21"/>
  <c r="I99" i="18"/>
  <c r="I99" i="21"/>
  <c r="I100" i="18"/>
  <c r="I100" i="21"/>
  <c r="I101" i="18"/>
  <c r="I101" i="21"/>
  <c r="I102" i="18"/>
  <c r="I102" i="21"/>
  <c r="I103" i="18"/>
  <c r="I103" i="21"/>
  <c r="I104" i="18"/>
  <c r="I104" i="21"/>
  <c r="I105" i="18"/>
  <c r="I105" i="21"/>
  <c r="I106" i="18"/>
  <c r="I106" i="21"/>
  <c r="I107" i="18"/>
  <c r="I107" i="21"/>
  <c r="I108" i="18"/>
  <c r="I108" i="21"/>
  <c r="I109" i="18"/>
  <c r="I109" i="21"/>
  <c r="I110" i="18"/>
  <c r="I110" i="21"/>
  <c r="I111" i="18"/>
  <c r="I111" i="21"/>
  <c r="I112" i="18"/>
  <c r="I112" i="21"/>
  <c r="I113" i="18"/>
  <c r="I113" i="21"/>
  <c r="I114" i="18"/>
  <c r="I114" i="21"/>
  <c r="I115" i="18"/>
  <c r="I115" i="21"/>
  <c r="I116" i="18"/>
  <c r="I116" i="21"/>
  <c r="I117" i="18"/>
  <c r="I117" i="21"/>
  <c r="I118" i="18"/>
  <c r="I118" i="21"/>
  <c r="I119" i="18"/>
  <c r="I119" i="21"/>
  <c r="I120" i="18"/>
  <c r="I120" i="21"/>
  <c r="I121" i="18"/>
  <c r="I121" i="21"/>
  <c r="I122" i="18"/>
  <c r="I122" i="21"/>
  <c r="I123" i="18"/>
  <c r="I123" i="21"/>
  <c r="I124" i="18"/>
  <c r="I124" i="21"/>
  <c r="I125" i="18"/>
  <c r="I125" i="21"/>
  <c r="I126" i="18"/>
  <c r="I126" i="21"/>
  <c r="I127" i="18"/>
  <c r="I127" i="21"/>
  <c r="I128" i="18"/>
  <c r="I128" i="21"/>
  <c r="I129" i="18"/>
  <c r="I129" i="21"/>
  <c r="I130" i="18"/>
  <c r="I130" i="21"/>
  <c r="I131" i="18"/>
  <c r="I131" i="21"/>
  <c r="I132" i="18"/>
  <c r="I132" i="21"/>
  <c r="I133" i="18"/>
  <c r="I133" i="21"/>
  <c r="I134" i="18"/>
  <c r="I134" i="21"/>
  <c r="I135" i="18"/>
  <c r="I135" i="21"/>
  <c r="I136" i="18"/>
  <c r="I136" i="21"/>
  <c r="I137" i="18"/>
  <c r="I137" i="21"/>
  <c r="I138" i="18"/>
  <c r="I138" i="21"/>
  <c r="I139" i="18"/>
  <c r="I139" i="21"/>
  <c r="I140" i="18"/>
  <c r="I140" i="21"/>
  <c r="I141" i="18"/>
  <c r="I141" i="21"/>
  <c r="I142" i="18"/>
  <c r="I142" i="21"/>
  <c r="I143" i="18"/>
  <c r="I143" i="21"/>
  <c r="I144" i="18"/>
  <c r="I144" i="21"/>
  <c r="E145" i="21"/>
  <c r="I10" i="21"/>
  <c r="I13" i="18"/>
  <c r="I13" i="21"/>
  <c r="I15" i="18"/>
  <c r="I15" i="21"/>
  <c r="I17" i="18"/>
  <c r="I17" i="21"/>
  <c r="I18" i="18"/>
  <c r="I18" i="21"/>
  <c r="I20" i="18"/>
  <c r="I20" i="21"/>
  <c r="I23" i="18"/>
  <c r="I23" i="21"/>
  <c r="I24" i="18"/>
  <c r="I24" i="21"/>
  <c r="I26" i="18"/>
  <c r="I26" i="21"/>
  <c r="I28" i="18"/>
  <c r="I28" i="21"/>
  <c r="I31" i="18"/>
  <c r="I31" i="21"/>
  <c r="I33" i="18"/>
  <c r="I33" i="21"/>
  <c r="I35" i="18"/>
  <c r="I35" i="21"/>
  <c r="I37" i="18"/>
  <c r="I37" i="21"/>
  <c r="I39" i="18"/>
  <c r="I39" i="21"/>
  <c r="I41" i="18"/>
  <c r="I41" i="21"/>
  <c r="I42" i="18"/>
  <c r="I42" i="21"/>
  <c r="I44" i="18"/>
  <c r="I44" i="21"/>
  <c r="I48" i="18"/>
  <c r="I48" i="21"/>
  <c r="I50" i="18"/>
  <c r="I50" i="21"/>
  <c r="I52" i="18"/>
  <c r="I52" i="21"/>
  <c r="I54" i="18"/>
  <c r="I54" i="21"/>
  <c r="I56" i="18"/>
  <c r="I56" i="21"/>
  <c r="I57" i="18"/>
  <c r="I57" i="21"/>
  <c r="I59" i="18"/>
  <c r="I59" i="21"/>
  <c r="I61" i="18"/>
  <c r="I61" i="21"/>
  <c r="I63" i="18"/>
  <c r="I63" i="21"/>
  <c r="I65" i="18"/>
  <c r="I65" i="21"/>
  <c r="I66" i="18"/>
  <c r="I66" i="21"/>
  <c r="I69" i="18"/>
  <c r="I69" i="21"/>
  <c r="I71" i="18"/>
  <c r="I71" i="21"/>
  <c r="I72" i="18"/>
  <c r="I72" i="21"/>
  <c r="I74" i="18"/>
  <c r="I74" i="21"/>
  <c r="F145" i="18"/>
  <c r="I145" i="21" l="1"/>
  <c r="E145" i="18"/>
  <c r="I10" i="18"/>
  <c r="I145" i="18" l="1"/>
  <c r="F145" i="36"/>
  <c r="I10" i="36"/>
  <c r="I145" i="36" s="1"/>
</calcChain>
</file>

<file path=xl/sharedStrings.xml><?xml version="1.0" encoding="utf-8"?>
<sst xmlns="http://schemas.openxmlformats.org/spreadsheetml/2006/main" count="1898" uniqueCount="170">
  <si>
    <t>(En pesos)</t>
  </si>
  <si>
    <t>Municipio</t>
  </si>
  <si>
    <t>Inmobiliario
Rural
Libre
Disponibilidad</t>
  </si>
  <si>
    <t>Inmobiliario
Rural
Fondo
Compensador</t>
  </si>
  <si>
    <t>Ingresos
Brutos
Pequeños
Contribuyentes</t>
  </si>
  <si>
    <t>Otros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</si>
  <si>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</si>
  <si>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</si>
  <si>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</si>
  <si>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</si>
  <si>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</si>
  <si>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</si>
  <si>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</si>
  <si>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</si>
  <si>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</si>
  <si>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</si>
  <si>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</si>
  <si>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</si>
  <si>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</si>
  <si>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</si>
  <si>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</si>
  <si>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</si>
  <si>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</si>
  <si>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</si>
  <si>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</si>
  <si>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</si>
  <si>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</si>
  <si>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</si>
  <si>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</si>
  <si>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</si>
  <si>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</si>
  <si>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</si>
  <si>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</si>
  <si>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</si>
  <si>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DORREGO</t>
  </si>
  <si>
    <t>CORONEL PRINGLES</t>
  </si>
  <si>
    <t>CORONEL ROSALES</t>
  </si>
  <si>
    <t>CORONEL SUAREZ</t>
  </si>
  <si>
    <t>DAIREAUX</t>
  </si>
  <si>
    <t>DOLORES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</si>
  <si>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</si>
  <si>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</si>
  <si>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</si>
  <si>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</si>
  <si>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</si>
  <si>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</si>
  <si>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</si>
  <si>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</si>
  <si>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</si>
  <si>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</si>
  <si>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</si>
  <si>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</si>
  <si>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</si>
  <si>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</si>
  <si>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LAVALLE</t>
  </si>
  <si>
    <t>GENERAL MADARIAGA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</si>
  <si>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</si>
  <si>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</si>
  <si>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</si>
  <si>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</si>
  <si>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</si>
  <si>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</si>
  <si>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</si>
  <si>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</si>
  <si>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</si>
  <si>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</si>
  <si>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</si>
  <si>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</si>
  <si>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</si>
  <si>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</si>
  <si>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</si>
  <si>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</si>
  <si>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</si>
  <si>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</si>
  <si>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</si>
  <si>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</si>
  <si>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</si>
  <si>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</si>
  <si>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</si>
  <si>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</si>
  <si>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</si>
  <si>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</si>
  <si>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</si>
  <si>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</si>
  <si>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</si>
  <si>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</si>
  <si>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</si>
  <si>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</si>
  <si>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</si>
  <si>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</si>
  <si>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</si>
  <si>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</si>
  <si>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</si>
  <si>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</si>
  <si>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</si>
  <si>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NUEVE DE JULIO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</si>
  <si>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</si>
  <si>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</si>
  <si>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</si>
  <si>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</si>
  <si>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</si>
  <si>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</si>
  <si>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</si>
  <si>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</si>
  <si>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</si>
  <si>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</si>
  <si>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</si>
  <si>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</si>
  <si>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</si>
  <si>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</si>
  <si>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</si>
  <si>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</si>
  <si>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</si>
  <si>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</si>
  <si>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</si>
  <si>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</si>
  <si>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</si>
  <si>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</si>
  <si>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</si>
  <si>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</si>
  <si>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</si>
  <si>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</si>
  <si>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</si>
  <si>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</si>
  <si>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</si>
  <si>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</si>
  <si>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</si>
  <si>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</si>
  <si>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</si>
  <si>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</si>
  <si>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</si>
  <si>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</si>
  <si>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</si>
  <si>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</si>
  <si>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</si>
  <si>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</si>
  <si>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VEINTICINCO DE MAYO</t>
  </si>
  <si>
    <t>VICENTE LOPEZ</t>
  </si>
  <si>
    <t>VILLA GESELL</t>
  </si>
  <si>
    <t>VILLARINO</t>
  </si>
  <si>
    <t>ZARATE</t>
  </si>
  <si>
    <t>CONSOLIDADO 135 MUNICIPIOS</t>
  </si>
  <si>
    <t xml:space="preserve">Total      </t>
  </si>
  <si>
    <t>LEY 13.010 Y MODIFICATORIAS. DESCENTRALIZACIÓN ADMINISTRATIVA TRIBUTARIA</t>
  </si>
  <si>
    <t>MES DE ENERO 2023</t>
  </si>
  <si>
    <t>ENERO 2023</t>
  </si>
  <si>
    <t>MES DE FEBRERO 2023</t>
  </si>
  <si>
    <t>FEBRERO 2023</t>
  </si>
  <si>
    <t>MES DE MARZO 2023</t>
  </si>
  <si>
    <t>MARZO 2023</t>
  </si>
  <si>
    <t>MES DE ABRIL 2023</t>
  </si>
  <si>
    <t>ABRIL 2023</t>
  </si>
  <si>
    <t>MES DE MAYO 2023</t>
  </si>
  <si>
    <t>MAYO 2023</t>
  </si>
  <si>
    <t>MES DE JUNIO 2023</t>
  </si>
  <si>
    <t>JUNIO 2023</t>
  </si>
  <si>
    <t>MES DE JULIO 2023</t>
  </si>
  <si>
    <t>JULIO 2023</t>
  </si>
  <si>
    <t>MES DE AGOSTO 2023</t>
  </si>
  <si>
    <t>AGOSTO 2023</t>
  </si>
  <si>
    <t>MES DE SEPTIEMBRE 2023</t>
  </si>
  <si>
    <t>SEPTIEMBRE 2023</t>
  </si>
  <si>
    <t>MES DE OCTUBRE 2023</t>
  </si>
  <si>
    <t>OCTUBRE 2023</t>
  </si>
  <si>
    <t>MES DE NOVIEMBRE 2023</t>
  </si>
  <si>
    <t>NOVIEMBRE 2023</t>
  </si>
  <si>
    <t>MES DE DICIEMBRE 2023</t>
  </si>
  <si>
    <t>DICIEMBRE 2023</t>
  </si>
  <si>
    <t>ACUMULADO ENERO - DICIEMBRE 2023</t>
  </si>
  <si>
    <t>Acumulado ENERO - DICIEMBRE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</si>
</sst>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_ ;_ * \-#,##0_ ;_ * &quot;-&quot;_ ;_ @_ "/>
    <numFmt numFmtId="165" formatCode="_(* #,##0.00_);_(* \(#,##0.00\);_(* &quot;-&quot;??_);_(@_)"/>
    <numFmt numFmtId="166" formatCode="#,"/>
    <numFmt numFmtId="167" formatCode="#,#00"/>
    <numFmt numFmtId="168" formatCode="#.##000"/>
    <numFmt numFmtId="169" formatCode="&quot;$&quot;#,#00"/>
    <numFmt numFmtId="170" formatCode="\$#,##0\ ;\(\$#,##0\)"/>
    <numFmt numFmtId="171" formatCode="#,##0.0"/>
    <numFmt numFmtId="172" formatCode="_(* #,##0_);_(* \(#,##0\);_(* &quot;-&quot;??_);_(@_)"/>
    <numFmt numFmtId="173" formatCode="_ * #,##0.0000000_ ;_ * \-#,##0.0000000_ ;_ * &quot;-&quot;_ ;_ @_ "/>
  </numFmts>
  <fonts count="22" x14ac:knownFonts="1">
    <font>
      <sz val="10"/>
      <name val="Times New Roman"/>
      <family val="1"/>
    </font>
    <font>
      <sz val="10"/>
      <name val="Times New Roman"/>
      <family val="1"/>
    </font>
    <font>
      <sz val="11"/>
      <name val="Arial"/>
      <family val="2"/>
    </font>
    <font>
      <b/>
      <sz val="11"/>
      <color indexed="10"/>
      <name val="Arial"/>
      <family val="2"/>
    </font>
    <font>
      <i/>
      <sz val="10"/>
      <name val="Arial"/>
      <family val="2"/>
    </font>
    <font>
      <b/>
      <sz val="11"/>
      <color indexed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b/>
      <sz val="12"/>
      <color indexed="9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24"/>
      <name val="Arial"/>
      <family val="2"/>
    </font>
    <font>
      <sz val="8"/>
      <name val="Courier"/>
      <family val="3"/>
    </font>
    <font>
      <b/>
      <sz val="11"/>
      <color theme="0"/>
      <name val="Arial"/>
      <family val="2"/>
    </font>
    <font>
      <b/>
      <i/>
      <sz val="16"/>
      <color rgb="FF44AEAC"/>
      <name val="Arial"/>
      <family val="2"/>
    </font>
    <font>
      <sz val="11"/>
      <color rgb="FF44AEA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AEAC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2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>
      <protection locked="0"/>
    </xf>
    <xf numFmtId="166" fontId="15" fillId="0" borderId="0">
      <protection locked="0"/>
    </xf>
    <xf numFmtId="166" fontId="15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6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6" fillId="0" borderId="0">
      <protection locked="0"/>
    </xf>
    <xf numFmtId="0" fontId="17" fillId="0" borderId="0" applyFont="0" applyFill="0" applyBorder="0" applyAlignment="0" applyProtection="0"/>
    <xf numFmtId="167" fontId="14" fillId="0" borderId="0">
      <protection locked="0"/>
    </xf>
    <xf numFmtId="168" fontId="14" fillId="0" borderId="0">
      <protection locked="0"/>
    </xf>
    <xf numFmtId="165" fontId="1" fillId="0" borderId="0" applyFont="0" applyFill="0" applyBorder="0" applyAlignment="0" applyProtection="0"/>
    <xf numFmtId="169" fontId="14" fillId="0" borderId="0">
      <protection locked="0"/>
    </xf>
    <xf numFmtId="170" fontId="17" fillId="0" borderId="0" applyFont="0" applyFill="0" applyBorder="0" applyAlignment="0" applyProtection="0"/>
    <xf numFmtId="171" fontId="7" fillId="0" borderId="0" applyFill="0" applyBorder="0" applyAlignment="0" applyProtection="0"/>
    <xf numFmtId="3" fontId="17" fillId="0" borderId="0" applyFont="0" applyFill="0" applyBorder="0" applyAlignment="0" applyProtection="0"/>
    <xf numFmtId="0" fontId="18" fillId="0" borderId="0"/>
  </cellStyleXfs>
  <cellXfs count="28">
    <xf numFmtId="0" fontId="0" fillId="0" borderId="0" xfId="0"/>
    <xf numFmtId="164" fontId="2" fillId="0" borderId="0" xfId="0" applyNumberFormat="1" applyFont="1" applyFill="1" applyBorder="1"/>
    <xf numFmtId="164" fontId="2" fillId="0" borderId="0" xfId="0" applyNumberFormat="1" applyFont="1"/>
    <xf numFmtId="164" fontId="2" fillId="0" borderId="0" xfId="0" applyNumberFormat="1" applyFont="1" applyBorder="1"/>
    <xf numFmtId="164" fontId="3" fillId="0" borderId="0" xfId="0" applyNumberFormat="1" applyFont="1"/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164" fontId="6" fillId="0" borderId="0" xfId="0" applyNumberFormat="1" applyFont="1" applyFill="1" applyBorder="1" applyAlignment="1" applyProtection="1">
      <alignment horizontal="center" vertical="center" textRotation="90" wrapText="1"/>
    </xf>
    <xf numFmtId="164" fontId="7" fillId="0" borderId="0" xfId="0" applyNumberFormat="1" applyFont="1" applyFill="1" applyBorder="1" applyAlignment="1" applyProtection="1">
      <alignment horizontal="center"/>
    </xf>
    <xf numFmtId="164" fontId="7" fillId="0" borderId="0" xfId="0" applyNumberFormat="1" applyFont="1" applyFill="1" applyBorder="1" applyProtection="1"/>
    <xf numFmtId="164" fontId="10" fillId="0" borderId="0" xfId="0" applyNumberFormat="1" applyFont="1" applyFill="1" applyBorder="1" applyProtection="1"/>
    <xf numFmtId="173" fontId="2" fillId="0" borderId="0" xfId="0" applyNumberFormat="1" applyFont="1"/>
    <xf numFmtId="0" fontId="8" fillId="0" borderId="1" xfId="0" applyFont="1" applyFill="1" applyBorder="1" applyAlignment="1" applyProtection="1">
      <alignment horizontal="left" indent="1"/>
    </xf>
    <xf numFmtId="164" fontId="8" fillId="2" borderId="1" xfId="16" applyNumberFormat="1" applyFont="1" applyFill="1" applyBorder="1" applyAlignment="1" applyProtection="1">
      <alignment horizontal="right" indent="2"/>
    </xf>
    <xf numFmtId="172" fontId="9" fillId="2" borderId="1" xfId="16" applyNumberFormat="1" applyFont="1" applyFill="1" applyBorder="1" applyAlignment="1" applyProtection="1">
      <alignment horizontal="right"/>
    </xf>
    <xf numFmtId="0" fontId="19" fillId="2" borderId="0" xfId="21" applyFont="1" applyFill="1" applyAlignment="1">
      <alignment vertical="center"/>
    </xf>
    <xf numFmtId="164" fontId="9" fillId="0" borderId="1" xfId="16" applyNumberFormat="1" applyFont="1" applyFill="1" applyBorder="1" applyAlignment="1" applyProtection="1">
      <alignment horizontal="right" indent="2"/>
    </xf>
    <xf numFmtId="172" fontId="9" fillId="0" borderId="1" xfId="16" applyNumberFormat="1" applyFont="1" applyFill="1" applyBorder="1" applyAlignment="1" applyProtection="1">
      <alignment horizontal="right"/>
    </xf>
    <xf numFmtId="164" fontId="20" fillId="0" borderId="0" xfId="0" applyNumberFormat="1" applyFont="1" applyBorder="1"/>
    <xf numFmtId="164" fontId="21" fillId="0" borderId="0" xfId="0" applyNumberFormat="1" applyFont="1" applyBorder="1"/>
    <xf numFmtId="164" fontId="5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 applyProtection="1">
      <alignment horizontal="left" vertical="center" wrapText="1" indent="1"/>
    </xf>
    <xf numFmtId="172" fontId="11" fillId="3" borderId="1" xfId="16" applyNumberFormat="1" applyFont="1" applyFill="1" applyBorder="1" applyAlignment="1" applyProtection="1">
      <alignment horizontal="right" vertical="center" wrapText="1"/>
    </xf>
    <xf numFmtId="164" fontId="11" fillId="3" borderId="5" xfId="0" applyNumberFormat="1" applyFont="1" applyFill="1" applyBorder="1" applyAlignment="1">
      <alignment horizontal="center" vertical="center" wrapText="1"/>
    </xf>
    <xf numFmtId="164" fontId="11" fillId="3" borderId="6" xfId="0" applyNumberFormat="1" applyFont="1" applyFill="1" applyBorder="1" applyAlignment="1">
      <alignment horizontal="center" vertical="center" wrapText="1"/>
    </xf>
    <xf numFmtId="164" fontId="11" fillId="3" borderId="2" xfId="0" quotePrefix="1" applyNumberFormat="1" applyFont="1" applyFill="1" applyBorder="1" applyAlignment="1">
      <alignment horizontal="center" vertical="center" wrapText="1"/>
    </xf>
    <xf numFmtId="164" fontId="11" fillId="3" borderId="3" xfId="0" applyNumberFormat="1" applyFont="1" applyFill="1" applyBorder="1" applyAlignment="1">
      <alignment horizontal="center" vertical="center" wrapText="1"/>
    </xf>
    <xf numFmtId="164" fontId="11" fillId="3" borderId="4" xfId="0" applyNumberFormat="1" applyFont="1" applyFill="1" applyBorder="1" applyAlignment="1">
      <alignment horizontal="center" vertical="center" wrapText="1"/>
    </xf>
  </cellXfs>
  <cellStyles count="22">
    <cellStyle name="Cabecera 1" xfId="1"/>
    <cellStyle name="Cabecera 2" xfId="2"/>
    <cellStyle name="Dia" xfId="3"/>
    <cellStyle name="Encabez1" xfId="4"/>
    <cellStyle name="Encabez2" xfId="5"/>
    <cellStyle name="F2" xfId="6"/>
    <cellStyle name="F3" xfId="7"/>
    <cellStyle name="F4" xfId="8"/>
    <cellStyle name="F5" xfId="9"/>
    <cellStyle name="F6" xfId="10"/>
    <cellStyle name="F7" xfId="11"/>
    <cellStyle name="F8" xfId="12"/>
    <cellStyle name="Fecha" xfId="13"/>
    <cellStyle name="Fijo" xfId="14"/>
    <cellStyle name="Financiero" xfId="15"/>
    <cellStyle name="Millares" xfId="16" builtinId="3"/>
    <cellStyle name="Monetario" xfId="17"/>
    <cellStyle name="Monetario0" xfId="18"/>
    <cellStyle name="Normal" xfId="0" builtinId="0"/>
    <cellStyle name="Normal 5" xfId="21"/>
    <cellStyle name="Punto" xfId="19"/>
    <cellStyle name="Punto0" xfId="20"/>
  </cellStyles>
  <dxfs count="0"/>
  <tableStyles count="0" defaultTableStyle="TableStyleMedium9" defaultPivotStyle="PivotStyleLight16"/>
  <colors>
    <mruColors>
      <color rgb="FF44A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1035844</xdr:colOff>
      <xdr:row>0</xdr:row>
      <xdr:rowOff>178595</xdr:rowOff>
    </xdr:from>
    <xdr:to>
      <xdr:col>8</xdr:col>
      <xdr:colOff>999165</xdr:colOff>
      <xdr:row>1</xdr:row>
      <xdr:rowOff>487910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2344" y="17859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11907</xdr:colOff>
      <xdr:row>0</xdr:row>
      <xdr:rowOff>154782</xdr:rowOff>
    </xdr:from>
    <xdr:to>
      <xdr:col>8</xdr:col>
      <xdr:colOff>1130134</xdr:colOff>
      <xdr:row>1</xdr:row>
      <xdr:rowOff>464097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3313" y="154782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onco\mis%20document\Mis%20documentos\Tareas\varios%202004\Coparticipaci&#243;n\ANTICIP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turla\aa%20decentral\Mis%20documentos\SMIRANDA\TRANSFERENCIAS\DESC\TRANDES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iranda\mis%20document\Mis%20documentos\SMIRANDA\DESCENTRALIZACION%20LEY%2013010\IMPUESTO%20INMOBILIARIO%20RURAL\Cierres%202004\CUOTA%20CORRIENTE\CUOTA%201-04\Febrero%2004\DISTRIBUIDO%20FEBRERO%20CUOTA%20CTE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98 FLUJO DE FONDOS (2)"/>
      <sheetName val="1998 FLUJO DE FONDOS"/>
      <sheetName val="Hoja1"/>
      <sheetName val="1992-2000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3 TOTO"/>
      <sheetName val="2004"/>
      <sheetName val="2004 TOTO"/>
      <sheetName val="Ret. Ant. 2002"/>
      <sheetName val="Ret. Ant. 2003"/>
      <sheetName val="Depósitos y Gasto en Pers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P2" t="str">
            <v>DESCUENTOS</v>
          </cell>
          <cell r="Q2" t="str">
            <v>SALDO</v>
          </cell>
        </row>
        <row r="3">
          <cell r="P3">
            <v>0</v>
          </cell>
          <cell r="Q3">
            <v>190000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 desde 1996"/>
      <sheetName val="Principal desde 1992"/>
      <sheetName val="IBT92"/>
      <sheetName val="IBT93"/>
      <sheetName val="IBT94"/>
      <sheetName val="IBT95"/>
      <sheetName val="IBT96"/>
      <sheetName val="IBT97"/>
      <sheetName val="IBT98"/>
      <sheetName val="IBT99"/>
      <sheetName val="IBT00"/>
      <sheetName val="IBT01"/>
      <sheetName val="IBT02"/>
      <sheetName val="IBT03"/>
      <sheetName val="INT92"/>
      <sheetName val="INT93"/>
      <sheetName val="INT94"/>
      <sheetName val="INT95"/>
      <sheetName val="INT96"/>
      <sheetName val="INT97"/>
      <sheetName val="INT98"/>
      <sheetName val="INT99"/>
      <sheetName val="INT00"/>
      <sheetName val="INT01"/>
      <sheetName val="INT02"/>
      <sheetName val="INT03"/>
      <sheetName val="FMOV03"/>
      <sheetName val="FET92"/>
      <sheetName val="FET93"/>
      <sheetName val="FET94"/>
      <sheetName val="FET95"/>
      <sheetName val="FET96"/>
      <sheetName val="FET97"/>
      <sheetName val="FET98"/>
      <sheetName val="FET99"/>
      <sheetName val="FET00"/>
      <sheetName val="REDE02"/>
      <sheetName val="REDE03"/>
      <sheetName val="Códi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IDO IIR CC FEBRERO"/>
      <sheetName val="0302"/>
      <sheetName val="0402"/>
      <sheetName val="0502"/>
      <sheetName val="0602"/>
      <sheetName val="0902"/>
      <sheetName val="1002"/>
      <sheetName val="1102"/>
      <sheetName val="1202"/>
      <sheetName val="1302"/>
      <sheetName val="1602"/>
      <sheetName val="1702"/>
      <sheetName val="1802"/>
      <sheetName val="1902"/>
      <sheetName val="2002"/>
      <sheetName val="2302"/>
      <sheetName val="2402"/>
      <sheetName val="2502"/>
      <sheetName val="2602"/>
      <sheetName val="2702"/>
      <sheetName val="0103"/>
      <sheetName val="0202"/>
      <sheetName val="Rec. y Transf.ENERO-04"/>
      <sheetName val="Rec_ y Transf_ENERO_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4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44AEAC"/>
    <pageSetUpPr fitToPage="1"/>
  </sheetPr>
  <dimension ref="A1:J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3.5" customHeight="1" x14ac:dyDescent="0.2">
      <c r="B2" s="2"/>
      <c r="C2" s="2"/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144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145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7">
        <v>852727.15000000014</v>
      </c>
      <c r="F10" s="17">
        <v>1843197.717884328</v>
      </c>
      <c r="G10" s="17">
        <v>639824.28</v>
      </c>
      <c r="H10" s="17">
        <v>0</v>
      </c>
      <c r="I10" s="13">
        <f t="shared" ref="I10:I73" si="0">SUM(E10:H10)</f>
        <v>3335749.1478843279</v>
      </c>
    </row>
    <row r="11" spans="1:9" ht="15.75" x14ac:dyDescent="0.25">
      <c r="A11" s="8"/>
      <c r="B11" s="8"/>
      <c r="C11" s="9"/>
      <c r="D11" s="12" t="s">
        <v>7</v>
      </c>
      <c r="E11" s="17">
        <v>1838961.1499999994</v>
      </c>
      <c r="F11" s="17">
        <v>1034544.5392335359</v>
      </c>
      <c r="G11" s="17">
        <v>503469.45000000013</v>
      </c>
      <c r="H11" s="17">
        <v>0</v>
      </c>
      <c r="I11" s="13">
        <f t="shared" si="0"/>
        <v>3376975.1392335356</v>
      </c>
    </row>
    <row r="12" spans="1:9" ht="15.75" x14ac:dyDescent="0.25">
      <c r="A12" s="8"/>
      <c r="B12" s="8"/>
      <c r="C12" s="9"/>
      <c r="D12" s="12" t="s">
        <v>8</v>
      </c>
      <c r="E12" s="17">
        <v>456540.94999999995</v>
      </c>
      <c r="F12" s="17">
        <v>375055.270014312</v>
      </c>
      <c r="G12" s="17">
        <v>338558.03</v>
      </c>
      <c r="H12" s="17">
        <v>0</v>
      </c>
      <c r="I12" s="13">
        <f t="shared" si="0"/>
        <v>1170154.2500143121</v>
      </c>
    </row>
    <row r="13" spans="1:9" ht="15.75" x14ac:dyDescent="0.25">
      <c r="A13" s="8"/>
      <c r="B13" s="8"/>
      <c r="C13" s="9"/>
      <c r="D13" s="12" t="s">
        <v>9</v>
      </c>
      <c r="E13" s="17">
        <v>158091.54</v>
      </c>
      <c r="F13" s="17">
        <v>9922.9210136879992</v>
      </c>
      <c r="G13" s="17">
        <v>4842739.4899999984</v>
      </c>
      <c r="H13" s="17">
        <v>0</v>
      </c>
      <c r="I13" s="13">
        <f t="shared" si="0"/>
        <v>5010753.9510136861</v>
      </c>
    </row>
    <row r="14" spans="1:9" ht="15.75" x14ac:dyDescent="0.25">
      <c r="A14" s="8"/>
      <c r="B14" s="8"/>
      <c r="C14" s="9"/>
      <c r="D14" s="12" t="s">
        <v>10</v>
      </c>
      <c r="E14" s="17">
        <v>2327571.7799999998</v>
      </c>
      <c r="F14" s="17">
        <v>416728.07779367996</v>
      </c>
      <c r="G14" s="17">
        <v>1019728.86</v>
      </c>
      <c r="H14" s="17">
        <v>0</v>
      </c>
      <c r="I14" s="13">
        <f t="shared" si="0"/>
        <v>3764028.7177936798</v>
      </c>
    </row>
    <row r="15" spans="1:9" ht="15.75" x14ac:dyDescent="0.25">
      <c r="A15" s="8"/>
      <c r="B15" s="8"/>
      <c r="C15" s="9"/>
      <c r="D15" s="12" t="s">
        <v>11</v>
      </c>
      <c r="E15" s="17">
        <v>208687.66</v>
      </c>
      <c r="F15" s="17">
        <v>2318.5203414719999</v>
      </c>
      <c r="G15" s="17">
        <v>7361827.9800000014</v>
      </c>
      <c r="H15" s="17">
        <v>0</v>
      </c>
      <c r="I15" s="13">
        <f t="shared" si="0"/>
        <v>7572834.1603414733</v>
      </c>
    </row>
    <row r="16" spans="1:9" ht="15.75" x14ac:dyDescent="0.25">
      <c r="A16" s="8"/>
      <c r="B16" s="8"/>
      <c r="C16" s="9"/>
      <c r="D16" s="12" t="s">
        <v>12</v>
      </c>
      <c r="E16" s="17">
        <v>1563194.6899999997</v>
      </c>
      <c r="F16" s="17">
        <v>1987067.0957898481</v>
      </c>
      <c r="G16" s="17">
        <v>841196.10999999987</v>
      </c>
      <c r="H16" s="17">
        <v>0</v>
      </c>
      <c r="I16" s="13">
        <f t="shared" si="0"/>
        <v>4391457.8957898477</v>
      </c>
    </row>
    <row r="17" spans="1:9" ht="15.75" x14ac:dyDescent="0.25">
      <c r="A17" s="8"/>
      <c r="B17" s="8"/>
      <c r="C17" s="9"/>
      <c r="D17" s="12" t="s">
        <v>13</v>
      </c>
      <c r="E17" s="17">
        <v>2684179.38</v>
      </c>
      <c r="F17" s="17">
        <v>1895122.1920989356</v>
      </c>
      <c r="G17" s="17">
        <v>2007937.95</v>
      </c>
      <c r="H17" s="17">
        <v>0</v>
      </c>
      <c r="I17" s="13">
        <f t="shared" si="0"/>
        <v>6587239.5220989352</v>
      </c>
    </row>
    <row r="18" spans="1:9" ht="15.75" x14ac:dyDescent="0.25">
      <c r="A18" s="8"/>
      <c r="B18" s="8"/>
      <c r="C18" s="9"/>
      <c r="D18" s="12" t="s">
        <v>14</v>
      </c>
      <c r="E18" s="17">
        <v>529298.16</v>
      </c>
      <c r="F18" s="17">
        <v>148835.16401001599</v>
      </c>
      <c r="G18" s="17">
        <v>10377775.460000001</v>
      </c>
      <c r="H18" s="17">
        <v>0</v>
      </c>
      <c r="I18" s="13">
        <f t="shared" si="0"/>
        <v>11055908.784010017</v>
      </c>
    </row>
    <row r="19" spans="1:9" ht="15.75" x14ac:dyDescent="0.25">
      <c r="A19" s="8"/>
      <c r="B19" s="8"/>
      <c r="C19" s="9"/>
      <c r="D19" s="12" t="s">
        <v>15</v>
      </c>
      <c r="E19" s="17">
        <v>2014533.0700000003</v>
      </c>
      <c r="F19" s="17">
        <v>1420517.6177214961</v>
      </c>
      <c r="G19" s="17">
        <v>1676207.8499999996</v>
      </c>
      <c r="H19" s="17">
        <v>0</v>
      </c>
      <c r="I19" s="13">
        <f t="shared" si="0"/>
        <v>5111258.5377214961</v>
      </c>
    </row>
    <row r="20" spans="1:9" ht="15.75" x14ac:dyDescent="0.25">
      <c r="A20" s="8"/>
      <c r="B20" s="8"/>
      <c r="C20" s="9"/>
      <c r="D20" s="12" t="s">
        <v>16</v>
      </c>
      <c r="E20" s="17">
        <v>2499812.9099999997</v>
      </c>
      <c r="F20" s="17">
        <v>394901.11204168794</v>
      </c>
      <c r="G20" s="17">
        <v>841846.8899999999</v>
      </c>
      <c r="H20" s="17">
        <v>0</v>
      </c>
      <c r="I20" s="13">
        <f t="shared" si="0"/>
        <v>3736560.9120416874</v>
      </c>
    </row>
    <row r="21" spans="1:9" ht="15.75" x14ac:dyDescent="0.25">
      <c r="A21" s="8"/>
      <c r="B21" s="8"/>
      <c r="C21" s="9"/>
      <c r="D21" s="12" t="s">
        <v>17</v>
      </c>
      <c r="E21" s="17">
        <v>1435311.0800000003</v>
      </c>
      <c r="F21" s="17">
        <v>1699328.3399788078</v>
      </c>
      <c r="G21" s="17">
        <v>863183.29</v>
      </c>
      <c r="H21" s="17">
        <v>0</v>
      </c>
      <c r="I21" s="13">
        <f t="shared" si="0"/>
        <v>3997822.7099788082</v>
      </c>
    </row>
    <row r="22" spans="1:9" ht="15.75" x14ac:dyDescent="0.25">
      <c r="A22" s="8"/>
      <c r="B22" s="8"/>
      <c r="C22" s="9"/>
      <c r="D22" s="12" t="s">
        <v>18</v>
      </c>
      <c r="E22" s="17">
        <v>169152.52000000002</v>
      </c>
      <c r="F22" s="17">
        <v>72765.203701943989</v>
      </c>
      <c r="G22" s="17">
        <v>3575666.62</v>
      </c>
      <c r="H22" s="17">
        <v>0</v>
      </c>
      <c r="I22" s="13">
        <f t="shared" si="0"/>
        <v>3817584.3437019442</v>
      </c>
    </row>
    <row r="23" spans="1:9" ht="15.75" x14ac:dyDescent="0.25">
      <c r="A23" s="8"/>
      <c r="B23" s="8"/>
      <c r="C23" s="9"/>
      <c r="D23" s="12" t="s">
        <v>19</v>
      </c>
      <c r="E23" s="17">
        <v>472724.49999999994</v>
      </c>
      <c r="F23" s="17">
        <v>27121.497278039998</v>
      </c>
      <c r="G23" s="17">
        <v>1418381.74</v>
      </c>
      <c r="H23" s="17">
        <v>0</v>
      </c>
      <c r="I23" s="13">
        <f t="shared" si="0"/>
        <v>1918227.73727804</v>
      </c>
    </row>
    <row r="24" spans="1:9" ht="15.75" x14ac:dyDescent="0.25">
      <c r="A24" s="8"/>
      <c r="B24" s="8"/>
      <c r="C24" s="9"/>
      <c r="D24" s="12" t="s">
        <v>20</v>
      </c>
      <c r="E24" s="17">
        <v>1729613.4799999995</v>
      </c>
      <c r="F24" s="17">
        <v>1042157.591101056</v>
      </c>
      <c r="G24" s="17">
        <v>1272347.76</v>
      </c>
      <c r="H24" s="17">
        <v>0</v>
      </c>
      <c r="I24" s="13">
        <f t="shared" si="0"/>
        <v>4044118.8311010553</v>
      </c>
    </row>
    <row r="25" spans="1:9" ht="15.75" x14ac:dyDescent="0.25">
      <c r="A25" s="8"/>
      <c r="B25" s="8"/>
      <c r="C25" s="9"/>
      <c r="D25" s="12" t="s">
        <v>21</v>
      </c>
      <c r="E25" s="17">
        <v>1780798.27</v>
      </c>
      <c r="F25" s="17">
        <v>773927.28070053586</v>
      </c>
      <c r="G25" s="17">
        <v>1041116.1700000002</v>
      </c>
      <c r="H25" s="17">
        <v>0</v>
      </c>
      <c r="I25" s="13">
        <f t="shared" si="0"/>
        <v>3595841.7207005359</v>
      </c>
    </row>
    <row r="26" spans="1:9" ht="15.75" x14ac:dyDescent="0.25">
      <c r="A26" s="8"/>
      <c r="B26" s="8"/>
      <c r="C26" s="9"/>
      <c r="D26" s="12" t="s">
        <v>22</v>
      </c>
      <c r="E26" s="17">
        <v>875681.87</v>
      </c>
      <c r="F26" s="17">
        <v>443192.08422861598</v>
      </c>
      <c r="G26" s="17">
        <v>768009.6</v>
      </c>
      <c r="H26" s="17">
        <v>0</v>
      </c>
      <c r="I26" s="13">
        <f t="shared" si="0"/>
        <v>2086883.5542286159</v>
      </c>
    </row>
    <row r="27" spans="1:9" ht="15.75" x14ac:dyDescent="0.25">
      <c r="A27" s="8"/>
      <c r="B27" s="8"/>
      <c r="C27" s="9"/>
      <c r="D27" s="12" t="s">
        <v>23</v>
      </c>
      <c r="E27" s="17">
        <v>882332.85000000009</v>
      </c>
      <c r="F27" s="17">
        <v>76069.960308071983</v>
      </c>
      <c r="G27" s="17">
        <v>2400658.6999999993</v>
      </c>
      <c r="H27" s="17">
        <v>0</v>
      </c>
      <c r="I27" s="13">
        <f t="shared" si="0"/>
        <v>3359061.510308071</v>
      </c>
    </row>
    <row r="28" spans="1:9" ht="15.75" x14ac:dyDescent="0.25">
      <c r="A28" s="8"/>
      <c r="B28" s="8"/>
      <c r="C28" s="9"/>
      <c r="D28" s="12" t="s">
        <v>24</v>
      </c>
      <c r="E28" s="17">
        <v>1448416.51</v>
      </c>
      <c r="F28" s="17">
        <v>360503.95951298397</v>
      </c>
      <c r="G28" s="17">
        <v>1212628.26</v>
      </c>
      <c r="H28" s="17">
        <v>0</v>
      </c>
      <c r="I28" s="13">
        <f t="shared" si="0"/>
        <v>3021548.7295129839</v>
      </c>
    </row>
    <row r="29" spans="1:9" ht="15.75" x14ac:dyDescent="0.25">
      <c r="A29" s="8"/>
      <c r="B29" s="8"/>
      <c r="C29" s="9"/>
      <c r="D29" s="12" t="s">
        <v>25</v>
      </c>
      <c r="E29" s="17">
        <v>700505.87000000011</v>
      </c>
      <c r="F29" s="17">
        <v>201745.87448927999</v>
      </c>
      <c r="G29" s="17">
        <v>315743.60000000003</v>
      </c>
      <c r="H29" s="17">
        <v>0</v>
      </c>
      <c r="I29" s="13">
        <f t="shared" si="0"/>
        <v>1217995.3444892801</v>
      </c>
    </row>
    <row r="30" spans="1:9" ht="15.75" x14ac:dyDescent="0.25">
      <c r="A30" s="8"/>
      <c r="B30" s="8"/>
      <c r="C30" s="9"/>
      <c r="D30" s="12" t="s">
        <v>26</v>
      </c>
      <c r="E30" s="17">
        <v>1891141.54</v>
      </c>
      <c r="F30" s="17">
        <v>1088130.0429465119</v>
      </c>
      <c r="G30" s="17">
        <v>1026608.6599999999</v>
      </c>
      <c r="H30" s="17">
        <v>0</v>
      </c>
      <c r="I30" s="13">
        <f t="shared" si="0"/>
        <v>4005880.2429465121</v>
      </c>
    </row>
    <row r="31" spans="1:9" ht="15.75" x14ac:dyDescent="0.25">
      <c r="A31" s="8"/>
      <c r="B31" s="8"/>
      <c r="C31" s="9"/>
      <c r="D31" s="12" t="s">
        <v>27</v>
      </c>
      <c r="E31" s="17">
        <v>985814.4</v>
      </c>
      <c r="F31" s="17">
        <v>1127813.0758059598</v>
      </c>
      <c r="G31" s="17">
        <v>537959.35000000009</v>
      </c>
      <c r="H31" s="17">
        <v>0</v>
      </c>
      <c r="I31" s="13">
        <f t="shared" si="0"/>
        <v>2651586.8258059598</v>
      </c>
    </row>
    <row r="32" spans="1:9" ht="15.75" x14ac:dyDescent="0.25">
      <c r="A32" s="8"/>
      <c r="B32" s="8"/>
      <c r="C32" s="9"/>
      <c r="D32" s="12" t="s">
        <v>28</v>
      </c>
      <c r="E32" s="17">
        <v>1172181.8800000001</v>
      </c>
      <c r="F32" s="17">
        <v>380678.54696191195</v>
      </c>
      <c r="G32" s="17">
        <v>500314.43</v>
      </c>
      <c r="H32" s="17">
        <v>0</v>
      </c>
      <c r="I32" s="13">
        <f t="shared" si="0"/>
        <v>2053174.856961912</v>
      </c>
    </row>
    <row r="33" spans="1:9" ht="15.75" x14ac:dyDescent="0.25">
      <c r="A33" s="8"/>
      <c r="B33" s="8"/>
      <c r="C33" s="9"/>
      <c r="D33" s="12" t="s">
        <v>29</v>
      </c>
      <c r="E33" s="17">
        <v>295665.21000000002</v>
      </c>
      <c r="F33" s="17">
        <v>575486.16281738388</v>
      </c>
      <c r="G33" s="17">
        <v>253532.25999999998</v>
      </c>
      <c r="H33" s="17">
        <v>0</v>
      </c>
      <c r="I33" s="13">
        <f t="shared" si="0"/>
        <v>1124683.6328173839</v>
      </c>
    </row>
    <row r="34" spans="1:9" ht="15.75" x14ac:dyDescent="0.25">
      <c r="A34" s="8"/>
      <c r="B34" s="8"/>
      <c r="C34" s="9"/>
      <c r="D34" s="12" t="s">
        <v>30</v>
      </c>
      <c r="E34" s="17">
        <v>2684914.94</v>
      </c>
      <c r="F34" s="17">
        <v>825851.75491514395</v>
      </c>
      <c r="G34" s="17">
        <v>1960503.9699999997</v>
      </c>
      <c r="H34" s="17">
        <v>0</v>
      </c>
      <c r="I34" s="13">
        <f t="shared" si="0"/>
        <v>5471270.6649151435</v>
      </c>
    </row>
    <row r="35" spans="1:9" ht="15.75" x14ac:dyDescent="0.25">
      <c r="A35" s="8"/>
      <c r="B35" s="8"/>
      <c r="C35" s="9"/>
      <c r="D35" s="12" t="s">
        <v>31</v>
      </c>
      <c r="E35" s="17">
        <v>2111379.96</v>
      </c>
      <c r="F35" s="17">
        <v>1518743.289203112</v>
      </c>
      <c r="G35" s="17">
        <v>1505003.82</v>
      </c>
      <c r="H35" s="17">
        <v>0</v>
      </c>
      <c r="I35" s="13">
        <f t="shared" si="0"/>
        <v>5135127.0692031123</v>
      </c>
    </row>
    <row r="36" spans="1:9" ht="15.75" x14ac:dyDescent="0.25">
      <c r="A36" s="8"/>
      <c r="B36" s="8"/>
      <c r="C36" s="9"/>
      <c r="D36" s="12" t="s">
        <v>32</v>
      </c>
      <c r="E36" s="17">
        <v>909531.36999999988</v>
      </c>
      <c r="F36" s="17">
        <v>753415.29663475184</v>
      </c>
      <c r="G36" s="17">
        <v>2368930.4</v>
      </c>
      <c r="H36" s="17">
        <v>0</v>
      </c>
      <c r="I36" s="13">
        <f t="shared" si="0"/>
        <v>4031877.0666347519</v>
      </c>
    </row>
    <row r="37" spans="1:9" ht="15.75" x14ac:dyDescent="0.25">
      <c r="A37" s="8"/>
      <c r="B37" s="8"/>
      <c r="C37" s="9"/>
      <c r="D37" s="12" t="s">
        <v>33</v>
      </c>
      <c r="E37" s="17">
        <v>845340.99000000011</v>
      </c>
      <c r="F37" s="17">
        <v>526866.44520890398</v>
      </c>
      <c r="G37" s="17">
        <v>684458.42999999993</v>
      </c>
      <c r="H37" s="17">
        <v>0</v>
      </c>
      <c r="I37" s="13">
        <f t="shared" si="0"/>
        <v>2056665.865208904</v>
      </c>
    </row>
    <row r="38" spans="1:9" ht="15.75" x14ac:dyDescent="0.25">
      <c r="A38" s="8"/>
      <c r="B38" s="8"/>
      <c r="C38" s="9"/>
      <c r="D38" s="12" t="s">
        <v>34</v>
      </c>
      <c r="E38" s="17">
        <v>940462.58000000007</v>
      </c>
      <c r="F38" s="17">
        <v>905555.21725089592</v>
      </c>
      <c r="G38" s="17">
        <v>679559.14000000013</v>
      </c>
      <c r="H38" s="17">
        <v>0</v>
      </c>
      <c r="I38" s="13">
        <f t="shared" si="0"/>
        <v>2525576.9372508964</v>
      </c>
    </row>
    <row r="39" spans="1:9" ht="15.75" x14ac:dyDescent="0.25">
      <c r="A39" s="8"/>
      <c r="B39" s="8"/>
      <c r="C39" s="9"/>
      <c r="D39" s="12" t="s">
        <v>35</v>
      </c>
      <c r="E39" s="17">
        <v>649914.21</v>
      </c>
      <c r="F39" s="17">
        <v>1417870.351958472</v>
      </c>
      <c r="G39" s="17">
        <v>717848.92</v>
      </c>
      <c r="H39" s="17">
        <v>0</v>
      </c>
      <c r="I39" s="13">
        <f t="shared" si="0"/>
        <v>2785633.4819584722</v>
      </c>
    </row>
    <row r="40" spans="1:9" ht="15.75" x14ac:dyDescent="0.25">
      <c r="A40" s="8"/>
      <c r="B40" s="8"/>
      <c r="C40" s="9"/>
      <c r="D40" s="12" t="s">
        <v>36</v>
      </c>
      <c r="E40" s="17">
        <v>417582.12999999995</v>
      </c>
      <c r="F40" s="17">
        <v>74417.582005007993</v>
      </c>
      <c r="G40" s="17">
        <v>507595.76</v>
      </c>
      <c r="H40" s="17">
        <v>0</v>
      </c>
      <c r="I40" s="13">
        <f t="shared" si="0"/>
        <v>999595.47200500802</v>
      </c>
    </row>
    <row r="41" spans="1:9" ht="15.75" x14ac:dyDescent="0.25">
      <c r="A41" s="8"/>
      <c r="B41" s="8"/>
      <c r="C41" s="9"/>
      <c r="D41" s="12" t="s">
        <v>37</v>
      </c>
      <c r="E41" s="17">
        <v>2130587.16</v>
      </c>
      <c r="F41" s="17">
        <v>1332872.358096672</v>
      </c>
      <c r="G41" s="17">
        <v>1597669.2100000002</v>
      </c>
      <c r="H41" s="17">
        <v>0</v>
      </c>
      <c r="I41" s="13">
        <f t="shared" si="0"/>
        <v>5061128.7280966723</v>
      </c>
    </row>
    <row r="42" spans="1:9" ht="15.75" x14ac:dyDescent="0.25">
      <c r="A42" s="8"/>
      <c r="B42" s="8"/>
      <c r="C42" s="9"/>
      <c r="D42" s="12" t="s">
        <v>38</v>
      </c>
      <c r="E42" s="17">
        <v>1010122.6000000001</v>
      </c>
      <c r="F42" s="17">
        <v>1316331.2726754239</v>
      </c>
      <c r="G42" s="17">
        <v>696378.52</v>
      </c>
      <c r="H42" s="17">
        <v>0</v>
      </c>
      <c r="I42" s="13">
        <f t="shared" si="0"/>
        <v>3022832.392675424</v>
      </c>
    </row>
    <row r="43" spans="1:9" ht="15.75" x14ac:dyDescent="0.25">
      <c r="A43" s="8"/>
      <c r="B43" s="8"/>
      <c r="C43" s="9"/>
      <c r="D43" s="12" t="s">
        <v>39</v>
      </c>
      <c r="E43" s="17">
        <v>348030.49</v>
      </c>
      <c r="F43" s="17">
        <v>489822.02691717591</v>
      </c>
      <c r="G43" s="17">
        <v>511921.13999999996</v>
      </c>
      <c r="H43" s="17">
        <v>0</v>
      </c>
      <c r="I43" s="13">
        <f t="shared" si="0"/>
        <v>1349773.6569171757</v>
      </c>
    </row>
    <row r="44" spans="1:9" ht="15.75" x14ac:dyDescent="0.25">
      <c r="A44" s="8"/>
      <c r="B44" s="8"/>
      <c r="C44" s="9"/>
      <c r="D44" s="12" t="s">
        <v>40</v>
      </c>
      <c r="E44" s="17">
        <v>13822.54</v>
      </c>
      <c r="F44" s="17">
        <v>37701.909134832</v>
      </c>
      <c r="G44" s="17">
        <v>1348837.3699999999</v>
      </c>
      <c r="H44" s="17">
        <v>0</v>
      </c>
      <c r="I44" s="13">
        <f t="shared" si="0"/>
        <v>1400361.8191348319</v>
      </c>
    </row>
    <row r="45" spans="1:9" ht="15.75" x14ac:dyDescent="0.25">
      <c r="A45" s="8"/>
      <c r="B45" s="8"/>
      <c r="C45" s="9"/>
      <c r="D45" s="12" t="s">
        <v>41</v>
      </c>
      <c r="E45" s="17">
        <v>2424470.69</v>
      </c>
      <c r="F45" s="17">
        <v>10917.808473648</v>
      </c>
      <c r="G45" s="17">
        <v>2671323.4600000004</v>
      </c>
      <c r="H45" s="17">
        <v>0</v>
      </c>
      <c r="I45" s="13">
        <f t="shared" si="0"/>
        <v>5106711.9584736489</v>
      </c>
    </row>
    <row r="46" spans="1:9" ht="15.75" x14ac:dyDescent="0.25">
      <c r="A46" s="8"/>
      <c r="B46" s="8"/>
      <c r="C46" s="9"/>
      <c r="D46" s="12" t="s">
        <v>42</v>
      </c>
      <c r="E46" s="17">
        <v>68565.91</v>
      </c>
      <c r="F46" s="17">
        <v>36378.276253319993</v>
      </c>
      <c r="G46" s="17">
        <v>3481351.8300000005</v>
      </c>
      <c r="H46" s="17">
        <v>0</v>
      </c>
      <c r="I46" s="13">
        <f t="shared" si="0"/>
        <v>3586296.0162533205</v>
      </c>
    </row>
    <row r="47" spans="1:9" ht="15.75" x14ac:dyDescent="0.25">
      <c r="A47" s="8"/>
      <c r="B47" s="8"/>
      <c r="C47" s="9"/>
      <c r="D47" s="12" t="s">
        <v>43</v>
      </c>
      <c r="E47" s="17">
        <v>941110.6100000001</v>
      </c>
      <c r="F47" s="17">
        <v>259959.76768989596</v>
      </c>
      <c r="G47" s="17">
        <v>1392151.06</v>
      </c>
      <c r="H47" s="17">
        <v>0</v>
      </c>
      <c r="I47" s="13">
        <f t="shared" si="0"/>
        <v>2593221.4376898962</v>
      </c>
    </row>
    <row r="48" spans="1:9" ht="15.75" x14ac:dyDescent="0.25">
      <c r="A48" s="8"/>
      <c r="B48" s="8"/>
      <c r="C48" s="9"/>
      <c r="D48" s="12" t="s">
        <v>44</v>
      </c>
      <c r="E48" s="17">
        <v>571952.66</v>
      </c>
      <c r="F48" s="17">
        <v>36378.276253319993</v>
      </c>
      <c r="G48" s="17">
        <v>1943396.49</v>
      </c>
      <c r="H48" s="17">
        <v>0</v>
      </c>
      <c r="I48" s="13">
        <f t="shared" si="0"/>
        <v>2551727.4262533202</v>
      </c>
    </row>
    <row r="49" spans="1:9" ht="15.75" x14ac:dyDescent="0.25">
      <c r="A49" s="8"/>
      <c r="B49" s="8"/>
      <c r="C49" s="9"/>
      <c r="D49" s="12" t="s">
        <v>45</v>
      </c>
      <c r="E49" s="17">
        <v>461660.14</v>
      </c>
      <c r="F49" s="17">
        <v>43325.186082431996</v>
      </c>
      <c r="G49" s="17">
        <v>3869769.6600000006</v>
      </c>
      <c r="H49" s="17">
        <v>0</v>
      </c>
      <c r="I49" s="13">
        <f t="shared" si="0"/>
        <v>4374754.9860824328</v>
      </c>
    </row>
    <row r="50" spans="1:9" ht="15.75" x14ac:dyDescent="0.25">
      <c r="A50" s="8"/>
      <c r="B50" s="8"/>
      <c r="C50" s="9"/>
      <c r="D50" s="12" t="s">
        <v>46</v>
      </c>
      <c r="E50" s="17">
        <v>1006368.59</v>
      </c>
      <c r="F50" s="17">
        <v>509339.12352299999</v>
      </c>
      <c r="G50" s="17">
        <v>256291.59999999998</v>
      </c>
      <c r="H50" s="17">
        <v>0</v>
      </c>
      <c r="I50" s="13">
        <f t="shared" si="0"/>
        <v>1771999.3135230001</v>
      </c>
    </row>
    <row r="51" spans="1:9" ht="15.75" x14ac:dyDescent="0.25">
      <c r="A51" s="8"/>
      <c r="B51" s="8"/>
      <c r="C51" s="9"/>
      <c r="D51" s="12" t="s">
        <v>47</v>
      </c>
      <c r="E51" s="17">
        <v>705952.00999999989</v>
      </c>
      <c r="F51" s="17">
        <v>761357.09392382391</v>
      </c>
      <c r="G51" s="17">
        <v>1042884.17</v>
      </c>
      <c r="H51" s="17">
        <v>0</v>
      </c>
      <c r="I51" s="13">
        <f t="shared" si="0"/>
        <v>2510193.2739238236</v>
      </c>
    </row>
    <row r="52" spans="1:9" ht="15.75" x14ac:dyDescent="0.25">
      <c r="A52" s="8"/>
      <c r="B52" s="8"/>
      <c r="C52" s="9"/>
      <c r="D52" s="12" t="s">
        <v>48</v>
      </c>
      <c r="E52" s="17">
        <v>729728.40999999992</v>
      </c>
      <c r="F52" s="17">
        <v>767309.11629297596</v>
      </c>
      <c r="G52" s="17">
        <v>218776</v>
      </c>
      <c r="H52" s="17">
        <v>0</v>
      </c>
      <c r="I52" s="13">
        <f t="shared" si="0"/>
        <v>1715813.526292976</v>
      </c>
    </row>
    <row r="53" spans="1:9" ht="15.75" x14ac:dyDescent="0.25">
      <c r="A53" s="8"/>
      <c r="B53" s="8"/>
      <c r="C53" s="9"/>
      <c r="D53" s="12" t="s">
        <v>49</v>
      </c>
      <c r="E53" s="17">
        <v>1243480.73</v>
      </c>
      <c r="F53" s="17">
        <v>525871.55774894392</v>
      </c>
      <c r="G53" s="17">
        <v>862851.93999999983</v>
      </c>
      <c r="H53" s="17">
        <v>0</v>
      </c>
      <c r="I53" s="13">
        <f t="shared" si="0"/>
        <v>2632204.227748944</v>
      </c>
    </row>
    <row r="54" spans="1:9" ht="15.75" x14ac:dyDescent="0.25">
      <c r="A54" s="8"/>
      <c r="B54" s="8"/>
      <c r="C54" s="9"/>
      <c r="D54" s="12" t="s">
        <v>50</v>
      </c>
      <c r="E54" s="17">
        <v>1168525.5</v>
      </c>
      <c r="F54" s="17">
        <v>482875.11708806391</v>
      </c>
      <c r="G54" s="17">
        <v>583480.5</v>
      </c>
      <c r="H54" s="17">
        <v>0</v>
      </c>
      <c r="I54" s="13">
        <f t="shared" si="0"/>
        <v>2234881.1170880636</v>
      </c>
    </row>
    <row r="55" spans="1:9" ht="15.75" x14ac:dyDescent="0.25">
      <c r="A55" s="8"/>
      <c r="B55" s="8"/>
      <c r="C55" s="9"/>
      <c r="D55" s="12" t="s">
        <v>51</v>
      </c>
      <c r="E55" s="17">
        <v>445442.82</v>
      </c>
      <c r="F55" s="17">
        <v>1015364.8392445679</v>
      </c>
      <c r="G55" s="17">
        <v>57877.45</v>
      </c>
      <c r="H55" s="17">
        <v>0</v>
      </c>
      <c r="I55" s="13">
        <f t="shared" si="0"/>
        <v>1518685.1092445678</v>
      </c>
    </row>
    <row r="56" spans="1:9" ht="15.75" x14ac:dyDescent="0.25">
      <c r="A56" s="8"/>
      <c r="B56" s="8"/>
      <c r="C56" s="9"/>
      <c r="D56" s="12" t="s">
        <v>52</v>
      </c>
      <c r="E56" s="17">
        <v>856636.21</v>
      </c>
      <c r="F56" s="17">
        <v>1230347.042548968</v>
      </c>
      <c r="G56" s="17">
        <v>308532.37000000005</v>
      </c>
      <c r="H56" s="17">
        <v>0</v>
      </c>
      <c r="I56" s="13">
        <f t="shared" si="0"/>
        <v>2395515.6225489681</v>
      </c>
    </row>
    <row r="57" spans="1:9" ht="15.75" x14ac:dyDescent="0.25">
      <c r="A57" s="8"/>
      <c r="B57" s="8"/>
      <c r="C57" s="9"/>
      <c r="D57" s="12" t="s">
        <v>53</v>
      </c>
      <c r="E57" s="17">
        <v>266725.80000000005</v>
      </c>
      <c r="F57" s="17">
        <v>363808.71611911198</v>
      </c>
      <c r="G57" s="17">
        <v>315355.12</v>
      </c>
      <c r="H57" s="17">
        <v>0</v>
      </c>
      <c r="I57" s="13">
        <f t="shared" si="0"/>
        <v>945889.63611911202</v>
      </c>
    </row>
    <row r="58" spans="1:9" ht="15.75" x14ac:dyDescent="0.25">
      <c r="A58" s="8"/>
      <c r="B58" s="8"/>
      <c r="C58" s="9"/>
      <c r="D58" s="12" t="s">
        <v>54</v>
      </c>
      <c r="E58" s="17">
        <v>287564.32999999996</v>
      </c>
      <c r="F58" s="17">
        <v>391596.35543555999</v>
      </c>
      <c r="G58" s="17">
        <v>147182.23000000001</v>
      </c>
      <c r="H58" s="17">
        <v>0</v>
      </c>
      <c r="I58" s="13">
        <f t="shared" si="0"/>
        <v>826342.91543555993</v>
      </c>
    </row>
    <row r="59" spans="1:9" ht="15.75" x14ac:dyDescent="0.25">
      <c r="A59" s="8"/>
      <c r="B59" s="8"/>
      <c r="C59" s="9"/>
      <c r="D59" s="12" t="s">
        <v>55</v>
      </c>
      <c r="E59" s="17">
        <v>870566.96</v>
      </c>
      <c r="F59" s="17">
        <v>661470.39294383989</v>
      </c>
      <c r="G59" s="17">
        <v>667254.52</v>
      </c>
      <c r="H59" s="17">
        <v>0</v>
      </c>
      <c r="I59" s="13">
        <f t="shared" si="0"/>
        <v>2199291.87294384</v>
      </c>
    </row>
    <row r="60" spans="1:9" ht="15.75" x14ac:dyDescent="0.25">
      <c r="A60" s="8"/>
      <c r="B60" s="8"/>
      <c r="C60" s="9"/>
      <c r="D60" s="12" t="s">
        <v>56</v>
      </c>
      <c r="E60" s="17">
        <v>442351.44999999995</v>
      </c>
      <c r="F60" s="17">
        <v>400195.64356773597</v>
      </c>
      <c r="G60" s="17">
        <v>385159.86000000004</v>
      </c>
      <c r="H60" s="17">
        <v>0</v>
      </c>
      <c r="I60" s="13">
        <f t="shared" si="0"/>
        <v>1227706.9535677361</v>
      </c>
    </row>
    <row r="61" spans="1:9" ht="15.75" x14ac:dyDescent="0.25">
      <c r="A61" s="8"/>
      <c r="B61" s="8"/>
      <c r="C61" s="9"/>
      <c r="D61" s="12" t="s">
        <v>57</v>
      </c>
      <c r="E61" s="17">
        <v>1965927.4000000001</v>
      </c>
      <c r="F61" s="17">
        <v>671393.31395752798</v>
      </c>
      <c r="G61" s="17">
        <v>347264.3299999999</v>
      </c>
      <c r="H61" s="17">
        <v>0</v>
      </c>
      <c r="I61" s="13">
        <f t="shared" si="0"/>
        <v>2984585.0439575282</v>
      </c>
    </row>
    <row r="62" spans="1:9" ht="15.75" x14ac:dyDescent="0.25">
      <c r="A62" s="8"/>
      <c r="B62" s="8"/>
      <c r="C62" s="9"/>
      <c r="D62" s="12" t="s">
        <v>58</v>
      </c>
      <c r="E62" s="17">
        <v>1356969.1800000002</v>
      </c>
      <c r="F62" s="17">
        <v>749124.30376396794</v>
      </c>
      <c r="G62" s="17">
        <v>23104732.640000004</v>
      </c>
      <c r="H62" s="17">
        <v>0</v>
      </c>
      <c r="I62" s="13">
        <f t="shared" si="0"/>
        <v>25210826.123763971</v>
      </c>
    </row>
    <row r="63" spans="1:9" ht="15.75" x14ac:dyDescent="0.25">
      <c r="A63" s="8"/>
      <c r="B63" s="8"/>
      <c r="C63" s="9"/>
      <c r="D63" s="12" t="s">
        <v>59</v>
      </c>
      <c r="E63" s="17">
        <v>442231.75999999995</v>
      </c>
      <c r="F63" s="17">
        <v>82688.124715631988</v>
      </c>
      <c r="G63" s="17">
        <v>1447386.07</v>
      </c>
      <c r="H63" s="17">
        <v>0</v>
      </c>
      <c r="I63" s="13">
        <f t="shared" si="0"/>
        <v>1972305.9547156319</v>
      </c>
    </row>
    <row r="64" spans="1:9" ht="15.75" x14ac:dyDescent="0.25">
      <c r="A64" s="8"/>
      <c r="B64" s="8"/>
      <c r="C64" s="9"/>
      <c r="D64" s="12" t="s">
        <v>60</v>
      </c>
      <c r="E64" s="17">
        <v>0</v>
      </c>
      <c r="F64" s="17">
        <v>0</v>
      </c>
      <c r="G64" s="17">
        <v>6891518.0899999999</v>
      </c>
      <c r="H64" s="17">
        <v>0</v>
      </c>
      <c r="I64" s="13">
        <f t="shared" si="0"/>
        <v>6891518.0899999999</v>
      </c>
    </row>
    <row r="65" spans="1:9" ht="15.75" x14ac:dyDescent="0.25">
      <c r="A65" s="8"/>
      <c r="B65" s="8"/>
      <c r="C65" s="9"/>
      <c r="D65" s="12" t="s">
        <v>61</v>
      </c>
      <c r="E65" s="17">
        <v>1306811.2799999998</v>
      </c>
      <c r="F65" s="17">
        <v>978986.56299124809</v>
      </c>
      <c r="G65" s="17">
        <v>532199.94000000006</v>
      </c>
      <c r="H65" s="17">
        <v>0</v>
      </c>
      <c r="I65" s="13">
        <f t="shared" si="0"/>
        <v>2817997.7829912477</v>
      </c>
    </row>
    <row r="66" spans="1:9" ht="15.75" x14ac:dyDescent="0.25">
      <c r="A66" s="8"/>
      <c r="B66" s="8"/>
      <c r="C66" s="9"/>
      <c r="D66" s="12" t="s">
        <v>62</v>
      </c>
      <c r="E66" s="17">
        <v>4808006.8599999994</v>
      </c>
      <c r="F66" s="17">
        <v>1946389.1754704397</v>
      </c>
      <c r="G66" s="17">
        <v>1056728.4200000002</v>
      </c>
      <c r="H66" s="17">
        <v>0</v>
      </c>
      <c r="I66" s="13">
        <f t="shared" si="0"/>
        <v>7811124.455470439</v>
      </c>
    </row>
    <row r="67" spans="1:9" ht="15.75" x14ac:dyDescent="0.25">
      <c r="A67" s="8"/>
      <c r="B67" s="8"/>
      <c r="C67" s="9"/>
      <c r="D67" s="12" t="s">
        <v>63</v>
      </c>
      <c r="E67" s="17">
        <v>783597.66000000015</v>
      </c>
      <c r="F67" s="17">
        <v>899603.19488174387</v>
      </c>
      <c r="G67" s="17">
        <v>577763.95000000007</v>
      </c>
      <c r="H67" s="17">
        <v>0</v>
      </c>
      <c r="I67" s="13">
        <f t="shared" si="0"/>
        <v>2260964.8048817441</v>
      </c>
    </row>
    <row r="68" spans="1:9" ht="15.75" x14ac:dyDescent="0.25">
      <c r="A68" s="8"/>
      <c r="B68" s="8"/>
      <c r="C68" s="9"/>
      <c r="D68" s="12" t="s">
        <v>64</v>
      </c>
      <c r="E68" s="17">
        <v>853568.84999999986</v>
      </c>
      <c r="F68" s="17">
        <v>380349.80154035997</v>
      </c>
      <c r="G68" s="17">
        <v>189981.16999999998</v>
      </c>
      <c r="H68" s="17">
        <v>0</v>
      </c>
      <c r="I68" s="13">
        <f t="shared" si="0"/>
        <v>1423899.8215403599</v>
      </c>
    </row>
    <row r="69" spans="1:9" ht="15.75" x14ac:dyDescent="0.25">
      <c r="A69" s="8"/>
      <c r="B69" s="8"/>
      <c r="C69" s="9"/>
      <c r="D69" s="12" t="s">
        <v>65</v>
      </c>
      <c r="E69" s="17">
        <v>0</v>
      </c>
      <c r="F69" s="17">
        <v>0</v>
      </c>
      <c r="G69" s="17">
        <v>1923054.5999999999</v>
      </c>
      <c r="H69" s="17">
        <v>0</v>
      </c>
      <c r="I69" s="13">
        <f t="shared" si="0"/>
        <v>1923054.5999999999</v>
      </c>
    </row>
    <row r="70" spans="1:9" ht="15.75" x14ac:dyDescent="0.25">
      <c r="A70" s="8"/>
      <c r="B70" s="8"/>
      <c r="C70" s="9"/>
      <c r="D70" s="12" t="s">
        <v>66</v>
      </c>
      <c r="E70" s="17">
        <v>0</v>
      </c>
      <c r="F70" s="17">
        <v>0</v>
      </c>
      <c r="G70" s="17">
        <v>3452766.21</v>
      </c>
      <c r="H70" s="17">
        <v>0</v>
      </c>
      <c r="I70" s="13">
        <f t="shared" si="0"/>
        <v>3452766.21</v>
      </c>
    </row>
    <row r="71" spans="1:9" ht="15.75" x14ac:dyDescent="0.25">
      <c r="A71" s="8"/>
      <c r="B71" s="8"/>
      <c r="C71" s="9"/>
      <c r="D71" s="12" t="s">
        <v>67</v>
      </c>
      <c r="E71" s="17">
        <v>31979.350000000002</v>
      </c>
      <c r="F71" s="17">
        <v>9922.9210136879992</v>
      </c>
      <c r="G71" s="17">
        <v>2071782.3099999998</v>
      </c>
      <c r="H71" s="17">
        <v>0</v>
      </c>
      <c r="I71" s="13">
        <f t="shared" si="0"/>
        <v>2113684.5810136879</v>
      </c>
    </row>
    <row r="72" spans="1:9" ht="15.75" x14ac:dyDescent="0.25">
      <c r="A72" s="8"/>
      <c r="B72" s="8"/>
      <c r="C72" s="9"/>
      <c r="D72" s="12" t="s">
        <v>68</v>
      </c>
      <c r="E72" s="17">
        <v>2599139.0299999998</v>
      </c>
      <c r="F72" s="17">
        <v>617816.46143985598</v>
      </c>
      <c r="G72" s="17">
        <v>4122206.89</v>
      </c>
      <c r="H72" s="17">
        <v>0</v>
      </c>
      <c r="I72" s="13">
        <f t="shared" si="0"/>
        <v>7339162.3814398553</v>
      </c>
    </row>
    <row r="73" spans="1:9" ht="15.75" x14ac:dyDescent="0.25">
      <c r="A73" s="8"/>
      <c r="B73" s="8"/>
      <c r="C73" s="9"/>
      <c r="D73" s="12" t="s">
        <v>69</v>
      </c>
      <c r="E73" s="17">
        <v>19147.900000000001</v>
      </c>
      <c r="F73" s="17">
        <v>0</v>
      </c>
      <c r="G73" s="17">
        <v>2052253.41</v>
      </c>
      <c r="H73" s="17">
        <v>0</v>
      </c>
      <c r="I73" s="13">
        <f t="shared" si="0"/>
        <v>2071401.3099999998</v>
      </c>
    </row>
    <row r="74" spans="1:9" ht="15.75" x14ac:dyDescent="0.25">
      <c r="A74" s="8"/>
      <c r="B74" s="8"/>
      <c r="C74" s="9"/>
      <c r="D74" s="12" t="s">
        <v>70</v>
      </c>
      <c r="E74" s="17">
        <v>372860.32</v>
      </c>
      <c r="F74" s="17">
        <v>52253.21963616</v>
      </c>
      <c r="G74" s="17">
        <v>11874246.840000002</v>
      </c>
      <c r="H74" s="17">
        <v>0</v>
      </c>
      <c r="I74" s="13">
        <f t="shared" ref="I74:I137" si="1">SUM(E74:H74)</f>
        <v>12299360.379636161</v>
      </c>
    </row>
    <row r="75" spans="1:9" ht="15.75" x14ac:dyDescent="0.25">
      <c r="A75" s="8"/>
      <c r="B75" s="8"/>
      <c r="C75" s="9"/>
      <c r="D75" s="12" t="s">
        <v>71</v>
      </c>
      <c r="E75" s="17">
        <v>1184230.29</v>
      </c>
      <c r="F75" s="17">
        <v>203069.50737079198</v>
      </c>
      <c r="G75" s="17">
        <v>23962574.91</v>
      </c>
      <c r="H75" s="17">
        <v>0</v>
      </c>
      <c r="I75" s="13">
        <f t="shared" si="1"/>
        <v>25349874.707370792</v>
      </c>
    </row>
    <row r="76" spans="1:9" ht="15.75" x14ac:dyDescent="0.25">
      <c r="A76" s="8"/>
      <c r="B76" s="8"/>
      <c r="C76" s="9"/>
      <c r="D76" s="12" t="s">
        <v>72</v>
      </c>
      <c r="E76" s="17">
        <v>0</v>
      </c>
      <c r="F76" s="17">
        <v>0</v>
      </c>
      <c r="G76" s="17">
        <v>5810621.459999999</v>
      </c>
      <c r="H76" s="17">
        <v>0</v>
      </c>
      <c r="I76" s="13">
        <f t="shared" si="1"/>
        <v>5810621.459999999</v>
      </c>
    </row>
    <row r="77" spans="1:9" ht="15.75" x14ac:dyDescent="0.25">
      <c r="A77" s="8"/>
      <c r="B77" s="8"/>
      <c r="C77" s="9"/>
      <c r="D77" s="12" t="s">
        <v>73</v>
      </c>
      <c r="E77" s="17">
        <v>433032.65</v>
      </c>
      <c r="F77" s="17">
        <v>1007094.2965339439</v>
      </c>
      <c r="G77" s="17">
        <v>396967.64000000007</v>
      </c>
      <c r="H77" s="17">
        <v>0</v>
      </c>
      <c r="I77" s="13">
        <f t="shared" si="1"/>
        <v>1837094.5865339441</v>
      </c>
    </row>
    <row r="78" spans="1:9" ht="15.75" x14ac:dyDescent="0.25">
      <c r="A78" s="8"/>
      <c r="B78" s="8"/>
      <c r="C78" s="9"/>
      <c r="D78" s="12" t="s">
        <v>74</v>
      </c>
      <c r="E78" s="17">
        <v>1176229.19</v>
      </c>
      <c r="F78" s="17">
        <v>1021974.3524568239</v>
      </c>
      <c r="G78" s="17">
        <v>713786.96</v>
      </c>
      <c r="H78" s="17">
        <v>0</v>
      </c>
      <c r="I78" s="13">
        <f t="shared" si="1"/>
        <v>2911990.5024568238</v>
      </c>
    </row>
    <row r="79" spans="1:9" ht="15.75" x14ac:dyDescent="0.25">
      <c r="A79" s="8"/>
      <c r="B79" s="8"/>
      <c r="C79" s="9"/>
      <c r="D79" s="12" t="s">
        <v>75</v>
      </c>
      <c r="E79" s="17">
        <v>1098922.8799999999</v>
      </c>
      <c r="F79" s="17">
        <v>573825.13331901596</v>
      </c>
      <c r="G79" s="17">
        <v>717601.05999999994</v>
      </c>
      <c r="H79" s="17">
        <v>0</v>
      </c>
      <c r="I79" s="13">
        <f t="shared" si="1"/>
        <v>2390349.073319016</v>
      </c>
    </row>
    <row r="80" spans="1:9" ht="15.75" x14ac:dyDescent="0.25">
      <c r="A80" s="8"/>
      <c r="B80" s="8"/>
      <c r="C80" s="9"/>
      <c r="D80" s="12" t="s">
        <v>76</v>
      </c>
      <c r="E80" s="17">
        <v>518933.25</v>
      </c>
      <c r="F80" s="17">
        <v>303284.95377232798</v>
      </c>
      <c r="G80" s="17">
        <v>132531.91999999998</v>
      </c>
      <c r="H80" s="17">
        <v>0</v>
      </c>
      <c r="I80" s="13">
        <f t="shared" si="1"/>
        <v>954750.12377232802</v>
      </c>
    </row>
    <row r="81" spans="1:9" ht="15.75" x14ac:dyDescent="0.25">
      <c r="A81" s="8"/>
      <c r="B81" s="8"/>
      <c r="C81" s="9"/>
      <c r="D81" s="12" t="s">
        <v>77</v>
      </c>
      <c r="E81" s="17">
        <v>5020703.18</v>
      </c>
      <c r="F81" s="17">
        <v>1829970.0402645117</v>
      </c>
      <c r="G81" s="17">
        <v>1773784.7</v>
      </c>
      <c r="H81" s="17">
        <v>0</v>
      </c>
      <c r="I81" s="13">
        <f t="shared" si="1"/>
        <v>8624457.9202645104</v>
      </c>
    </row>
    <row r="82" spans="1:9" ht="15.75" x14ac:dyDescent="0.25">
      <c r="A82" s="8"/>
      <c r="B82" s="8"/>
      <c r="C82" s="9"/>
      <c r="D82" s="12" t="s">
        <v>78</v>
      </c>
      <c r="E82" s="17">
        <v>2055039.48</v>
      </c>
      <c r="F82" s="17">
        <v>1268377.6971053518</v>
      </c>
      <c r="G82" s="17">
        <v>575505.41</v>
      </c>
      <c r="H82" s="17">
        <v>0</v>
      </c>
      <c r="I82" s="13">
        <f t="shared" si="1"/>
        <v>3898922.587105352</v>
      </c>
    </row>
    <row r="83" spans="1:9" ht="15.75" x14ac:dyDescent="0.25">
      <c r="A83" s="8"/>
      <c r="B83" s="8"/>
      <c r="C83" s="9"/>
      <c r="D83" s="12" t="s">
        <v>79</v>
      </c>
      <c r="E83" s="17">
        <v>826971.91000000015</v>
      </c>
      <c r="F83" s="17">
        <v>520914.42283975193</v>
      </c>
      <c r="G83" s="17">
        <v>1129459.9099999999</v>
      </c>
      <c r="H83" s="17">
        <v>0</v>
      </c>
      <c r="I83" s="13">
        <f t="shared" si="1"/>
        <v>2477346.2428397518</v>
      </c>
    </row>
    <row r="84" spans="1:9" ht="15.75" x14ac:dyDescent="0.25">
      <c r="A84" s="8"/>
      <c r="B84" s="8"/>
      <c r="C84" s="9"/>
      <c r="D84" s="12" t="s">
        <v>80</v>
      </c>
      <c r="E84" s="17">
        <v>0</v>
      </c>
      <c r="F84" s="17">
        <v>0</v>
      </c>
      <c r="G84" s="17">
        <v>9906728.0299999993</v>
      </c>
      <c r="H84" s="17">
        <v>0</v>
      </c>
      <c r="I84" s="13">
        <f t="shared" si="1"/>
        <v>9906728.0299999993</v>
      </c>
    </row>
    <row r="85" spans="1:9" ht="15.75" x14ac:dyDescent="0.25">
      <c r="A85" s="8"/>
      <c r="B85" s="8"/>
      <c r="C85" s="9"/>
      <c r="D85" s="12" t="s">
        <v>81</v>
      </c>
      <c r="E85" s="17">
        <v>1230256.22</v>
      </c>
      <c r="F85" s="17">
        <v>162062.84162983199</v>
      </c>
      <c r="G85" s="17">
        <v>3700611.0499999993</v>
      </c>
      <c r="H85" s="17">
        <v>0</v>
      </c>
      <c r="I85" s="13">
        <f t="shared" si="1"/>
        <v>5092930.1116298316</v>
      </c>
    </row>
    <row r="86" spans="1:9" ht="15.75" x14ac:dyDescent="0.25">
      <c r="A86" s="8"/>
      <c r="B86" s="8"/>
      <c r="C86" s="9"/>
      <c r="D86" s="12" t="s">
        <v>82</v>
      </c>
      <c r="E86" s="17">
        <v>649580.60000000009</v>
      </c>
      <c r="F86" s="17">
        <v>673054.3434558959</v>
      </c>
      <c r="G86" s="17">
        <v>372951.43</v>
      </c>
      <c r="H86" s="17">
        <v>0</v>
      </c>
      <c r="I86" s="13">
        <f t="shared" si="1"/>
        <v>1695586.3734558958</v>
      </c>
    </row>
    <row r="87" spans="1:9" ht="15.75" x14ac:dyDescent="0.25">
      <c r="A87" s="8"/>
      <c r="B87" s="8"/>
      <c r="C87" s="9"/>
      <c r="D87" s="12" t="s">
        <v>83</v>
      </c>
      <c r="E87" s="17">
        <v>408266.95</v>
      </c>
      <c r="F87" s="17">
        <v>886375.51726192795</v>
      </c>
      <c r="G87" s="17">
        <v>264236.12999999995</v>
      </c>
      <c r="H87" s="17">
        <v>0</v>
      </c>
      <c r="I87" s="13">
        <f t="shared" si="1"/>
        <v>1558878.5972619278</v>
      </c>
    </row>
    <row r="88" spans="1:9" ht="15.75" x14ac:dyDescent="0.25">
      <c r="A88" s="8"/>
      <c r="B88" s="8"/>
      <c r="C88" s="9"/>
      <c r="D88" s="12" t="s">
        <v>84</v>
      </c>
      <c r="E88" s="17">
        <v>443485.42</v>
      </c>
      <c r="F88" s="17">
        <v>0</v>
      </c>
      <c r="G88" s="17">
        <v>2621783.4699999997</v>
      </c>
      <c r="H88" s="17">
        <v>0</v>
      </c>
      <c r="I88" s="13">
        <f t="shared" si="1"/>
        <v>3065268.8899999997</v>
      </c>
    </row>
    <row r="89" spans="1:9" ht="15.75" x14ac:dyDescent="0.25">
      <c r="A89" s="8"/>
      <c r="B89" s="8"/>
      <c r="C89" s="9"/>
      <c r="D89" s="12" t="s">
        <v>85</v>
      </c>
      <c r="E89" s="17">
        <v>713323.81</v>
      </c>
      <c r="F89" s="17">
        <v>869176.94099757599</v>
      </c>
      <c r="G89" s="17">
        <v>378518.48000000004</v>
      </c>
      <c r="H89" s="17">
        <v>0</v>
      </c>
      <c r="I89" s="13">
        <f t="shared" si="1"/>
        <v>1961019.2309975759</v>
      </c>
    </row>
    <row r="90" spans="1:9" ht="15.75" x14ac:dyDescent="0.25">
      <c r="A90" s="8"/>
      <c r="B90" s="8"/>
      <c r="C90" s="9"/>
      <c r="D90" s="12" t="s">
        <v>86</v>
      </c>
      <c r="E90" s="17">
        <v>361340.25</v>
      </c>
      <c r="F90" s="17">
        <v>224905.12431808794</v>
      </c>
      <c r="G90" s="17">
        <v>527310.35</v>
      </c>
      <c r="H90" s="17">
        <v>0</v>
      </c>
      <c r="I90" s="13">
        <f t="shared" si="1"/>
        <v>1113555.724318088</v>
      </c>
    </row>
    <row r="91" spans="1:9" ht="15.75" x14ac:dyDescent="0.25">
      <c r="A91" s="8"/>
      <c r="B91" s="8"/>
      <c r="C91" s="9"/>
      <c r="D91" s="12" t="s">
        <v>87</v>
      </c>
      <c r="E91" s="17">
        <v>1257197.6399999999</v>
      </c>
      <c r="F91" s="17">
        <v>512972.62555067998</v>
      </c>
      <c r="G91" s="17">
        <v>1294257.25</v>
      </c>
      <c r="H91" s="17">
        <v>0</v>
      </c>
      <c r="I91" s="13">
        <f t="shared" si="1"/>
        <v>3064427.51555068</v>
      </c>
    </row>
    <row r="92" spans="1:9" ht="15.75" x14ac:dyDescent="0.25">
      <c r="A92" s="8"/>
      <c r="B92" s="8"/>
      <c r="C92" s="9"/>
      <c r="D92" s="12" t="s">
        <v>88</v>
      </c>
      <c r="E92" s="17">
        <v>312468.52000000008</v>
      </c>
      <c r="F92" s="17">
        <v>70775.428782023984</v>
      </c>
      <c r="G92" s="17">
        <v>4455674.67</v>
      </c>
      <c r="H92" s="17">
        <v>0</v>
      </c>
      <c r="I92" s="13">
        <f t="shared" si="1"/>
        <v>4838918.6187820239</v>
      </c>
    </row>
    <row r="93" spans="1:9" ht="15.75" x14ac:dyDescent="0.25">
      <c r="A93" s="8"/>
      <c r="B93" s="8"/>
      <c r="C93" s="9"/>
      <c r="D93" s="12" t="s">
        <v>89</v>
      </c>
      <c r="E93" s="17">
        <v>1939836.5700000003</v>
      </c>
      <c r="F93" s="17">
        <v>592018.59704332799</v>
      </c>
      <c r="G93" s="17">
        <v>498264.05</v>
      </c>
      <c r="H93" s="17">
        <v>0</v>
      </c>
      <c r="I93" s="13">
        <f t="shared" si="1"/>
        <v>3030119.2170433281</v>
      </c>
    </row>
    <row r="94" spans="1:9" ht="15.75" x14ac:dyDescent="0.25">
      <c r="A94" s="8"/>
      <c r="B94" s="8"/>
      <c r="C94" s="9"/>
      <c r="D94" s="12" t="s">
        <v>90</v>
      </c>
      <c r="E94" s="17">
        <v>56112.43</v>
      </c>
      <c r="F94" s="17">
        <v>0</v>
      </c>
      <c r="G94" s="17">
        <v>133578.03</v>
      </c>
      <c r="H94" s="17">
        <v>0</v>
      </c>
      <c r="I94" s="13">
        <f t="shared" si="1"/>
        <v>189690.46</v>
      </c>
    </row>
    <row r="95" spans="1:9" ht="15.75" x14ac:dyDescent="0.25">
      <c r="A95" s="8"/>
      <c r="B95" s="8"/>
      <c r="C95" s="9"/>
      <c r="D95" s="12" t="s">
        <v>91</v>
      </c>
      <c r="E95" s="17">
        <v>189633.36000000002</v>
      </c>
      <c r="F95" s="17">
        <v>18193.463724311998</v>
      </c>
      <c r="G95" s="17">
        <v>3615335.69</v>
      </c>
      <c r="H95" s="17">
        <v>0</v>
      </c>
      <c r="I95" s="13">
        <f t="shared" si="1"/>
        <v>3823162.5137243122</v>
      </c>
    </row>
    <row r="96" spans="1:9" ht="15.75" x14ac:dyDescent="0.25">
      <c r="A96" s="8"/>
      <c r="B96" s="8"/>
      <c r="C96" s="9"/>
      <c r="D96" s="12" t="s">
        <v>92</v>
      </c>
      <c r="E96" s="17">
        <v>0</v>
      </c>
      <c r="F96" s="17">
        <v>0</v>
      </c>
      <c r="G96" s="17">
        <v>7714354.8799999999</v>
      </c>
      <c r="H96" s="17">
        <v>0</v>
      </c>
      <c r="I96" s="13">
        <f t="shared" si="1"/>
        <v>7714354.8799999999</v>
      </c>
    </row>
    <row r="97" spans="1:9" ht="15.75" x14ac:dyDescent="0.25">
      <c r="A97" s="8"/>
      <c r="B97" s="8"/>
      <c r="C97" s="9"/>
      <c r="D97" s="12" t="s">
        <v>93</v>
      </c>
      <c r="E97" s="17">
        <v>528119.01</v>
      </c>
      <c r="F97" s="17">
        <v>816923.72136141593</v>
      </c>
      <c r="G97" s="17">
        <v>357757.55999999994</v>
      </c>
      <c r="H97" s="17">
        <v>0</v>
      </c>
      <c r="I97" s="13">
        <f t="shared" si="1"/>
        <v>1702800.2913614158</v>
      </c>
    </row>
    <row r="98" spans="1:9" ht="15.75" x14ac:dyDescent="0.25">
      <c r="A98" s="8"/>
      <c r="B98" s="8"/>
      <c r="C98" s="9"/>
      <c r="D98" s="12" t="s">
        <v>94</v>
      </c>
      <c r="E98" s="17">
        <v>2818991.13</v>
      </c>
      <c r="F98" s="17">
        <v>1074564.96870984</v>
      </c>
      <c r="G98" s="17">
        <v>2685523.84</v>
      </c>
      <c r="H98" s="17">
        <v>0</v>
      </c>
      <c r="I98" s="13">
        <f t="shared" si="1"/>
        <v>6579079.9387098402</v>
      </c>
    </row>
    <row r="99" spans="1:9" ht="15.75" x14ac:dyDescent="0.25">
      <c r="A99" s="8"/>
      <c r="B99" s="8"/>
      <c r="C99" s="9"/>
      <c r="D99" s="12" t="s">
        <v>95</v>
      </c>
      <c r="E99" s="17">
        <v>4492478.67</v>
      </c>
      <c r="F99" s="17">
        <v>2047590.8581366318</v>
      </c>
      <c r="G99" s="17">
        <v>1617543.66</v>
      </c>
      <c r="H99" s="17">
        <v>0</v>
      </c>
      <c r="I99" s="13">
        <f t="shared" si="1"/>
        <v>8157613.1881366316</v>
      </c>
    </row>
    <row r="100" spans="1:9" ht="15.75" x14ac:dyDescent="0.25">
      <c r="A100" s="8"/>
      <c r="B100" s="8"/>
      <c r="C100" s="9"/>
      <c r="D100" s="12" t="s">
        <v>96</v>
      </c>
      <c r="E100" s="17">
        <v>3043216.47</v>
      </c>
      <c r="F100" s="17">
        <v>2104809.8638772881</v>
      </c>
      <c r="G100" s="17">
        <v>3020899.04</v>
      </c>
      <c r="H100" s="17">
        <v>0</v>
      </c>
      <c r="I100" s="13">
        <f t="shared" si="1"/>
        <v>8168925.3738772878</v>
      </c>
    </row>
    <row r="101" spans="1:9" ht="15.75" x14ac:dyDescent="0.25">
      <c r="A101" s="8"/>
      <c r="B101" s="8"/>
      <c r="C101" s="9"/>
      <c r="D101" s="12" t="s">
        <v>97</v>
      </c>
      <c r="E101" s="17">
        <v>260955.32</v>
      </c>
      <c r="F101" s="17">
        <v>2749073.0293614715</v>
      </c>
      <c r="G101" s="17">
        <v>79329.040000000008</v>
      </c>
      <c r="H101" s="17">
        <v>0</v>
      </c>
      <c r="I101" s="13">
        <f t="shared" si="1"/>
        <v>3089357.3893614714</v>
      </c>
    </row>
    <row r="102" spans="1:9" ht="15.75" x14ac:dyDescent="0.25">
      <c r="A102" s="8"/>
      <c r="B102" s="8"/>
      <c r="C102" s="9"/>
      <c r="D102" s="12" t="s">
        <v>98</v>
      </c>
      <c r="E102" s="17">
        <v>1385703.7</v>
      </c>
      <c r="F102" s="17">
        <v>1189660.4710342558</v>
      </c>
      <c r="G102" s="17">
        <v>1272506.4400000002</v>
      </c>
      <c r="H102" s="17">
        <v>0</v>
      </c>
      <c r="I102" s="13">
        <f t="shared" si="1"/>
        <v>3847870.6110342564</v>
      </c>
    </row>
    <row r="103" spans="1:9" ht="15.75" x14ac:dyDescent="0.25">
      <c r="A103" s="8"/>
      <c r="B103" s="8"/>
      <c r="C103" s="9"/>
      <c r="D103" s="12" t="s">
        <v>99</v>
      </c>
      <c r="E103" s="17">
        <v>1013129.7699999999</v>
      </c>
      <c r="F103" s="17">
        <v>375384.01543586398</v>
      </c>
      <c r="G103" s="17">
        <v>365075.74999999994</v>
      </c>
      <c r="H103" s="17">
        <v>0</v>
      </c>
      <c r="I103" s="13">
        <f t="shared" si="1"/>
        <v>1753589.5354358638</v>
      </c>
    </row>
    <row r="104" spans="1:9" ht="15.75" x14ac:dyDescent="0.25">
      <c r="A104" s="8"/>
      <c r="B104" s="8"/>
      <c r="C104" s="9"/>
      <c r="D104" s="12" t="s">
        <v>100</v>
      </c>
      <c r="E104" s="17">
        <v>3164419.23</v>
      </c>
      <c r="F104" s="17">
        <v>685953.27565415995</v>
      </c>
      <c r="G104" s="17">
        <v>4064528.7199999997</v>
      </c>
      <c r="H104" s="17">
        <v>0</v>
      </c>
      <c r="I104" s="13">
        <f t="shared" si="1"/>
        <v>7914901.2256541597</v>
      </c>
    </row>
    <row r="105" spans="1:9" ht="15.75" x14ac:dyDescent="0.25">
      <c r="A105" s="8"/>
      <c r="B105" s="8"/>
      <c r="C105" s="9"/>
      <c r="D105" s="12" t="s">
        <v>101</v>
      </c>
      <c r="E105" s="17">
        <v>486288.61</v>
      </c>
      <c r="F105" s="17">
        <v>1018669.5958506959</v>
      </c>
      <c r="G105" s="17">
        <v>22021.64</v>
      </c>
      <c r="H105" s="17">
        <v>0</v>
      </c>
      <c r="I105" s="13">
        <f t="shared" si="1"/>
        <v>1526979.8458506956</v>
      </c>
    </row>
    <row r="106" spans="1:9" ht="15.75" x14ac:dyDescent="0.25">
      <c r="A106" s="8"/>
      <c r="B106" s="8"/>
      <c r="C106" s="9"/>
      <c r="D106" s="12" t="s">
        <v>102</v>
      </c>
      <c r="E106" s="17">
        <v>1572076.6000000003</v>
      </c>
      <c r="F106" s="17">
        <v>62842.282688255997</v>
      </c>
      <c r="G106" s="17">
        <v>17430036.039999999</v>
      </c>
      <c r="H106" s="17">
        <v>0</v>
      </c>
      <c r="I106" s="13">
        <f t="shared" si="1"/>
        <v>19064954.922688257</v>
      </c>
    </row>
    <row r="107" spans="1:9" ht="15.75" x14ac:dyDescent="0.25">
      <c r="A107" s="8"/>
      <c r="B107" s="8"/>
      <c r="C107" s="9"/>
      <c r="D107" s="12" t="s">
        <v>103</v>
      </c>
      <c r="E107" s="17">
        <v>94163.79</v>
      </c>
      <c r="F107" s="17">
        <v>0</v>
      </c>
      <c r="G107" s="17">
        <v>1910895.1700000002</v>
      </c>
      <c r="H107" s="17">
        <v>0</v>
      </c>
      <c r="I107" s="13">
        <f t="shared" si="1"/>
        <v>2005058.9600000002</v>
      </c>
    </row>
    <row r="108" spans="1:9" ht="15.75" x14ac:dyDescent="0.25">
      <c r="A108" s="8"/>
      <c r="B108" s="8"/>
      <c r="C108" s="9"/>
      <c r="D108" s="12" t="s">
        <v>104</v>
      </c>
      <c r="E108" s="17">
        <v>187355.16999999998</v>
      </c>
      <c r="F108" s="17">
        <v>0</v>
      </c>
      <c r="G108" s="17">
        <v>1192039.9100000001</v>
      </c>
      <c r="H108" s="17">
        <v>0</v>
      </c>
      <c r="I108" s="13">
        <f t="shared" si="1"/>
        <v>1379395.08</v>
      </c>
    </row>
    <row r="109" spans="1:9" ht="15.75" x14ac:dyDescent="0.25">
      <c r="A109" s="8"/>
      <c r="B109" s="8"/>
      <c r="C109" s="9"/>
      <c r="D109" s="12" t="s">
        <v>105</v>
      </c>
      <c r="E109" s="17">
        <v>319063.33</v>
      </c>
      <c r="F109" s="17">
        <v>1686100.6623589918</v>
      </c>
      <c r="G109" s="17">
        <v>346578.90999999986</v>
      </c>
      <c r="H109" s="17">
        <v>0</v>
      </c>
      <c r="I109" s="13">
        <f t="shared" si="1"/>
        <v>2351742.9023589916</v>
      </c>
    </row>
    <row r="110" spans="1:9" ht="15.75" x14ac:dyDescent="0.25">
      <c r="A110" s="8"/>
      <c r="B110" s="8"/>
      <c r="C110" s="9"/>
      <c r="D110" s="12" t="s">
        <v>106</v>
      </c>
      <c r="E110" s="17">
        <v>475224.27999999997</v>
      </c>
      <c r="F110" s="17">
        <v>452777.60862544796</v>
      </c>
      <c r="G110" s="17">
        <v>562279.86</v>
      </c>
      <c r="H110" s="17">
        <v>0</v>
      </c>
      <c r="I110" s="13">
        <f t="shared" si="1"/>
        <v>1490281.748625448</v>
      </c>
    </row>
    <row r="111" spans="1:9" ht="15.75" x14ac:dyDescent="0.25">
      <c r="A111" s="8"/>
      <c r="B111" s="8"/>
      <c r="C111" s="9"/>
      <c r="D111" s="12" t="s">
        <v>107</v>
      </c>
      <c r="E111" s="17">
        <v>4310.37</v>
      </c>
      <c r="F111" s="17">
        <v>6280.7677907039997</v>
      </c>
      <c r="G111" s="17">
        <v>8683380.1599999983</v>
      </c>
      <c r="H111" s="17">
        <v>0</v>
      </c>
      <c r="I111" s="13">
        <f t="shared" si="1"/>
        <v>8693971.2977907024</v>
      </c>
    </row>
    <row r="112" spans="1:9" ht="15.75" x14ac:dyDescent="0.25">
      <c r="A112" s="8"/>
      <c r="B112" s="8"/>
      <c r="C112" s="9"/>
      <c r="D112" s="12" t="s">
        <v>108</v>
      </c>
      <c r="E112" s="17">
        <v>1300604.1099999999</v>
      </c>
      <c r="F112" s="17">
        <v>429955.75541349594</v>
      </c>
      <c r="G112" s="17">
        <v>757718.93999999983</v>
      </c>
      <c r="H112" s="17">
        <v>0</v>
      </c>
      <c r="I112" s="13">
        <f t="shared" si="1"/>
        <v>2488278.8054134957</v>
      </c>
    </row>
    <row r="113" spans="1:9" ht="15.75" x14ac:dyDescent="0.25">
      <c r="A113" s="8"/>
      <c r="B113" s="8"/>
      <c r="C113" s="9"/>
      <c r="D113" s="12" t="s">
        <v>109</v>
      </c>
      <c r="E113" s="17">
        <v>680290.79</v>
      </c>
      <c r="F113" s="17">
        <v>1035210.681271944</v>
      </c>
      <c r="G113" s="17">
        <v>808630.77</v>
      </c>
      <c r="H113" s="17">
        <v>0</v>
      </c>
      <c r="I113" s="13">
        <f t="shared" si="1"/>
        <v>2524132.2412719438</v>
      </c>
    </row>
    <row r="114" spans="1:9" ht="15.75" x14ac:dyDescent="0.25">
      <c r="A114" s="8"/>
      <c r="B114" s="8"/>
      <c r="C114" s="9"/>
      <c r="D114" s="12" t="s">
        <v>110</v>
      </c>
      <c r="E114" s="17">
        <v>828454.98</v>
      </c>
      <c r="F114" s="17">
        <v>1187350.601888088</v>
      </c>
      <c r="G114" s="17">
        <v>951466.76</v>
      </c>
      <c r="H114" s="17">
        <v>0</v>
      </c>
      <c r="I114" s="13">
        <f t="shared" si="1"/>
        <v>2967272.3418880878</v>
      </c>
    </row>
    <row r="115" spans="1:9" ht="15.75" x14ac:dyDescent="0.25">
      <c r="A115" s="8"/>
      <c r="B115" s="8"/>
      <c r="C115" s="9"/>
      <c r="D115" s="12" t="s">
        <v>111</v>
      </c>
      <c r="E115" s="17">
        <v>2298731.94</v>
      </c>
      <c r="F115" s="17">
        <v>587061.462134136</v>
      </c>
      <c r="G115" s="17">
        <v>1099010.9000000001</v>
      </c>
      <c r="H115" s="17">
        <v>0</v>
      </c>
      <c r="I115" s="13">
        <f t="shared" si="1"/>
        <v>3984804.3021341357</v>
      </c>
    </row>
    <row r="116" spans="1:9" ht="15.75" x14ac:dyDescent="0.25">
      <c r="A116" s="8"/>
      <c r="B116" s="8"/>
      <c r="C116" s="9"/>
      <c r="D116" s="12" t="s">
        <v>112</v>
      </c>
      <c r="E116" s="17">
        <v>786817.73</v>
      </c>
      <c r="F116" s="17">
        <v>762351.98138378398</v>
      </c>
      <c r="G116" s="17">
        <v>258312.25000000003</v>
      </c>
      <c r="H116" s="17">
        <v>0</v>
      </c>
      <c r="I116" s="13">
        <f t="shared" si="1"/>
        <v>1807481.961383784</v>
      </c>
    </row>
    <row r="117" spans="1:9" ht="15.75" x14ac:dyDescent="0.25">
      <c r="A117" s="8"/>
      <c r="B117" s="8"/>
      <c r="C117" s="9"/>
      <c r="D117" s="12" t="s">
        <v>113</v>
      </c>
      <c r="E117" s="17">
        <v>315442.94000000006</v>
      </c>
      <c r="F117" s="17">
        <v>588713.84043719992</v>
      </c>
      <c r="G117" s="17">
        <v>1080262.3299999998</v>
      </c>
      <c r="H117" s="17">
        <v>0</v>
      </c>
      <c r="I117" s="13">
        <f t="shared" si="1"/>
        <v>1984419.1104371999</v>
      </c>
    </row>
    <row r="118" spans="1:9" ht="15.75" x14ac:dyDescent="0.25">
      <c r="A118" s="8"/>
      <c r="B118" s="8"/>
      <c r="C118" s="9"/>
      <c r="D118" s="12" t="s">
        <v>114</v>
      </c>
      <c r="E118" s="17">
        <v>1118346.2499999998</v>
      </c>
      <c r="F118" s="17">
        <v>919449.03690911981</v>
      </c>
      <c r="G118" s="17">
        <v>799731.91</v>
      </c>
      <c r="H118" s="17">
        <v>0</v>
      </c>
      <c r="I118" s="13">
        <f t="shared" si="1"/>
        <v>2837527.1969091198</v>
      </c>
    </row>
    <row r="119" spans="1:9" ht="15.75" x14ac:dyDescent="0.25">
      <c r="A119" s="8"/>
      <c r="B119" s="8"/>
      <c r="C119" s="9"/>
      <c r="D119" s="12" t="s">
        <v>115</v>
      </c>
      <c r="E119" s="17">
        <v>161190.42000000001</v>
      </c>
      <c r="F119" s="17">
        <v>89297.63792788799</v>
      </c>
      <c r="G119" s="17">
        <v>357551.13999999996</v>
      </c>
      <c r="H119" s="17">
        <v>0</v>
      </c>
      <c r="I119" s="13">
        <f t="shared" si="1"/>
        <v>608039.19792788802</v>
      </c>
    </row>
    <row r="120" spans="1:9" ht="15.75" x14ac:dyDescent="0.25">
      <c r="A120" s="8"/>
      <c r="B120" s="8"/>
      <c r="C120" s="9"/>
      <c r="D120" s="12" t="s">
        <v>116</v>
      </c>
      <c r="E120" s="17">
        <v>4537439.17</v>
      </c>
      <c r="F120" s="17">
        <v>390272.722554048</v>
      </c>
      <c r="G120" s="17">
        <v>910440.21</v>
      </c>
      <c r="H120" s="17">
        <v>0</v>
      </c>
      <c r="I120" s="13">
        <f t="shared" si="1"/>
        <v>5838152.1025540475</v>
      </c>
    </row>
    <row r="121" spans="1:9" ht="15.75" x14ac:dyDescent="0.25">
      <c r="A121" s="8"/>
      <c r="B121" s="8"/>
      <c r="C121" s="9"/>
      <c r="D121" s="12" t="s">
        <v>117</v>
      </c>
      <c r="E121" s="17">
        <v>716512.46</v>
      </c>
      <c r="F121" s="17">
        <v>598636.76145088789</v>
      </c>
      <c r="G121" s="17">
        <v>582128.74</v>
      </c>
      <c r="H121" s="17">
        <v>0</v>
      </c>
      <c r="I121" s="13">
        <f t="shared" si="1"/>
        <v>1897277.9614508878</v>
      </c>
    </row>
    <row r="122" spans="1:9" ht="15.75" x14ac:dyDescent="0.25">
      <c r="A122" s="8"/>
      <c r="B122" s="8"/>
      <c r="C122" s="9"/>
      <c r="D122" s="12" t="s">
        <v>118</v>
      </c>
      <c r="E122" s="17">
        <v>1930037.15</v>
      </c>
      <c r="F122" s="17">
        <v>426979.74422891997</v>
      </c>
      <c r="G122" s="17">
        <v>2142717.7999999998</v>
      </c>
      <c r="H122" s="17">
        <v>0</v>
      </c>
      <c r="I122" s="13">
        <f t="shared" si="1"/>
        <v>4499734.6942289192</v>
      </c>
    </row>
    <row r="123" spans="1:9" ht="15.75" x14ac:dyDescent="0.25">
      <c r="A123" s="8"/>
      <c r="B123" s="8"/>
      <c r="C123" s="9"/>
      <c r="D123" s="12" t="s">
        <v>119</v>
      </c>
      <c r="E123" s="17">
        <v>1108964.74</v>
      </c>
      <c r="F123" s="17">
        <v>784507.69255732791</v>
      </c>
      <c r="G123" s="17">
        <v>287138.29000000004</v>
      </c>
      <c r="H123" s="17">
        <v>0</v>
      </c>
      <c r="I123" s="13">
        <f t="shared" si="1"/>
        <v>2180610.7225573277</v>
      </c>
    </row>
    <row r="124" spans="1:9" ht="15.75" x14ac:dyDescent="0.25">
      <c r="A124" s="8"/>
      <c r="B124" s="8"/>
      <c r="C124" s="9"/>
      <c r="D124" s="12" t="s">
        <v>120</v>
      </c>
      <c r="E124" s="17">
        <v>104726.97</v>
      </c>
      <c r="F124" s="17">
        <v>0</v>
      </c>
      <c r="G124" s="17">
        <v>2336649.3699999996</v>
      </c>
      <c r="H124" s="17">
        <v>3437386.48</v>
      </c>
      <c r="I124" s="13">
        <f t="shared" si="1"/>
        <v>5878762.8200000003</v>
      </c>
    </row>
    <row r="125" spans="1:9" ht="15.75" x14ac:dyDescent="0.25">
      <c r="A125" s="8"/>
      <c r="B125" s="8"/>
      <c r="C125" s="9"/>
      <c r="D125" s="12" t="s">
        <v>121</v>
      </c>
      <c r="E125" s="17">
        <v>0</v>
      </c>
      <c r="F125" s="17">
        <v>0</v>
      </c>
      <c r="G125" s="17">
        <v>10354998.110000001</v>
      </c>
      <c r="H125" s="17">
        <v>649851.47500000009</v>
      </c>
      <c r="I125" s="13">
        <f t="shared" si="1"/>
        <v>11004849.585000001</v>
      </c>
    </row>
    <row r="126" spans="1:9" ht="15.75" x14ac:dyDescent="0.25">
      <c r="A126" s="8"/>
      <c r="B126" s="8"/>
      <c r="C126" s="9"/>
      <c r="D126" s="12" t="s">
        <v>122</v>
      </c>
      <c r="E126" s="17">
        <v>45139.030000000006</v>
      </c>
      <c r="F126" s="17">
        <v>0</v>
      </c>
      <c r="G126" s="17">
        <v>4490108.830000001</v>
      </c>
      <c r="H126" s="17">
        <v>0</v>
      </c>
      <c r="I126" s="13">
        <f t="shared" si="1"/>
        <v>4535247.8600000013</v>
      </c>
    </row>
    <row r="127" spans="1:9" ht="15.75" x14ac:dyDescent="0.25">
      <c r="A127" s="8"/>
      <c r="B127" s="8"/>
      <c r="C127" s="9"/>
      <c r="D127" s="12" t="s">
        <v>123</v>
      </c>
      <c r="E127" s="17">
        <v>650856.42000000004</v>
      </c>
      <c r="F127" s="17">
        <v>165367.59823595997</v>
      </c>
      <c r="G127" s="17">
        <v>18255057.890000004</v>
      </c>
      <c r="H127" s="17">
        <v>0</v>
      </c>
      <c r="I127" s="13">
        <f t="shared" si="1"/>
        <v>19071281.908235963</v>
      </c>
    </row>
    <row r="128" spans="1:9" ht="15.75" x14ac:dyDescent="0.25">
      <c r="A128" s="8"/>
      <c r="B128" s="8"/>
      <c r="C128" s="9"/>
      <c r="D128" s="12" t="s">
        <v>124</v>
      </c>
      <c r="E128" s="17">
        <v>1456123</v>
      </c>
      <c r="F128" s="17">
        <v>472952.19607437594</v>
      </c>
      <c r="G128" s="17">
        <v>1593436.71</v>
      </c>
      <c r="H128" s="17">
        <v>0</v>
      </c>
      <c r="I128" s="13">
        <f t="shared" si="1"/>
        <v>3522511.9060743758</v>
      </c>
    </row>
    <row r="129" spans="1:9" ht="15.75" x14ac:dyDescent="0.25">
      <c r="A129" s="8"/>
      <c r="B129" s="8"/>
      <c r="C129" s="9"/>
      <c r="D129" s="12" t="s">
        <v>125</v>
      </c>
      <c r="E129" s="17">
        <v>780586.39</v>
      </c>
      <c r="F129" s="17">
        <v>249708.10125465598</v>
      </c>
      <c r="G129" s="17">
        <v>863691.15999999992</v>
      </c>
      <c r="H129" s="17">
        <v>0</v>
      </c>
      <c r="I129" s="13">
        <f t="shared" si="1"/>
        <v>1893985.6512546558</v>
      </c>
    </row>
    <row r="130" spans="1:9" ht="15.75" x14ac:dyDescent="0.25">
      <c r="A130" s="8"/>
      <c r="B130" s="8"/>
      <c r="C130" s="9"/>
      <c r="D130" s="12" t="s">
        <v>126</v>
      </c>
      <c r="E130" s="17">
        <v>4697620.1399999997</v>
      </c>
      <c r="F130" s="17">
        <v>439878.67642718396</v>
      </c>
      <c r="G130" s="17">
        <v>287908.94</v>
      </c>
      <c r="H130" s="17">
        <v>0</v>
      </c>
      <c r="I130" s="13">
        <f t="shared" si="1"/>
        <v>5425407.7564271837</v>
      </c>
    </row>
    <row r="131" spans="1:9" ht="15.75" x14ac:dyDescent="0.25">
      <c r="A131" s="8"/>
      <c r="B131" s="8"/>
      <c r="C131" s="9"/>
      <c r="D131" s="12" t="s">
        <v>127</v>
      </c>
      <c r="E131" s="17">
        <v>3097655.5299999993</v>
      </c>
      <c r="F131" s="17">
        <v>2404132.5702003841</v>
      </c>
      <c r="G131" s="17">
        <v>7333320.2599999998</v>
      </c>
      <c r="H131" s="17">
        <v>0</v>
      </c>
      <c r="I131" s="13">
        <f t="shared" si="1"/>
        <v>12835108.360200383</v>
      </c>
    </row>
    <row r="132" spans="1:9" ht="15.75" x14ac:dyDescent="0.25">
      <c r="A132" s="8"/>
      <c r="B132" s="8"/>
      <c r="C132" s="9"/>
      <c r="D132" s="12" t="s">
        <v>128</v>
      </c>
      <c r="E132" s="17">
        <v>1291587.5599999998</v>
      </c>
      <c r="F132" s="17">
        <v>1475089.3576991281</v>
      </c>
      <c r="G132" s="17">
        <v>117554.60000000002</v>
      </c>
      <c r="H132" s="17">
        <v>0</v>
      </c>
      <c r="I132" s="13">
        <f t="shared" si="1"/>
        <v>2884231.517699128</v>
      </c>
    </row>
    <row r="133" spans="1:9" ht="15.75" x14ac:dyDescent="0.25">
      <c r="A133" s="8"/>
      <c r="B133" s="8"/>
      <c r="C133" s="9"/>
      <c r="D133" s="12" t="s">
        <v>129</v>
      </c>
      <c r="E133" s="17">
        <v>580717.04</v>
      </c>
      <c r="F133" s="17">
        <v>0</v>
      </c>
      <c r="G133" s="17">
        <v>8452238.1600000001</v>
      </c>
      <c r="H133" s="17">
        <v>2222897.8950000005</v>
      </c>
      <c r="I133" s="13">
        <f t="shared" si="1"/>
        <v>11255853.094999999</v>
      </c>
    </row>
    <row r="134" spans="1:9" ht="15.75" x14ac:dyDescent="0.25">
      <c r="A134" s="8"/>
      <c r="B134" s="8"/>
      <c r="C134" s="9"/>
      <c r="D134" s="12" t="s">
        <v>130</v>
      </c>
      <c r="E134" s="17">
        <v>87656.209999999992</v>
      </c>
      <c r="F134" s="17">
        <v>72765.203701943989</v>
      </c>
      <c r="G134" s="17">
        <v>13428.65</v>
      </c>
      <c r="H134" s="17">
        <v>0</v>
      </c>
      <c r="I134" s="13">
        <f t="shared" si="1"/>
        <v>173850.06370194399</v>
      </c>
    </row>
    <row r="135" spans="1:9" ht="15.75" x14ac:dyDescent="0.25">
      <c r="A135" s="8"/>
      <c r="B135" s="8"/>
      <c r="C135" s="9"/>
      <c r="D135" s="12" t="s">
        <v>131</v>
      </c>
      <c r="E135" s="17">
        <v>494074.03</v>
      </c>
      <c r="F135" s="17">
        <v>919449.03690911981</v>
      </c>
      <c r="G135" s="17">
        <v>357843.82</v>
      </c>
      <c r="H135" s="17">
        <v>0</v>
      </c>
      <c r="I135" s="13">
        <f t="shared" si="1"/>
        <v>1771366.88690912</v>
      </c>
    </row>
    <row r="136" spans="1:9" ht="15.75" x14ac:dyDescent="0.25">
      <c r="A136" s="8"/>
      <c r="B136" s="8"/>
      <c r="C136" s="9"/>
      <c r="D136" s="12" t="s">
        <v>132</v>
      </c>
      <c r="E136" s="17">
        <v>2168633.6599999997</v>
      </c>
      <c r="F136" s="17">
        <v>1111280.6415800159</v>
      </c>
      <c r="G136" s="17">
        <v>2338904.5100000002</v>
      </c>
      <c r="H136" s="17">
        <v>0</v>
      </c>
      <c r="I136" s="13">
        <f t="shared" si="1"/>
        <v>5618818.8115800153</v>
      </c>
    </row>
    <row r="137" spans="1:9" ht="15.75" x14ac:dyDescent="0.25">
      <c r="A137" s="8"/>
      <c r="B137" s="8"/>
      <c r="C137" s="9"/>
      <c r="D137" s="12" t="s">
        <v>133</v>
      </c>
      <c r="E137" s="17">
        <v>1537097.83</v>
      </c>
      <c r="F137" s="17">
        <v>1867014.4585562397</v>
      </c>
      <c r="G137" s="17">
        <v>3558163.1</v>
      </c>
      <c r="H137" s="17">
        <v>0</v>
      </c>
      <c r="I137" s="13">
        <f t="shared" si="1"/>
        <v>6962275.3885562401</v>
      </c>
    </row>
    <row r="138" spans="1:9" ht="15.75" x14ac:dyDescent="0.25">
      <c r="A138" s="8"/>
      <c r="B138" s="8"/>
      <c r="C138" s="9"/>
      <c r="D138" s="12" t="s">
        <v>134</v>
      </c>
      <c r="E138" s="17">
        <v>0</v>
      </c>
      <c r="F138" s="17">
        <v>0</v>
      </c>
      <c r="G138" s="17">
        <v>5264165.47</v>
      </c>
      <c r="H138" s="17">
        <v>0</v>
      </c>
      <c r="I138" s="13">
        <f t="shared" ref="I138:I144" si="2">SUM(E138:H138)</f>
        <v>5264165.47</v>
      </c>
    </row>
    <row r="139" spans="1:9" ht="15.75" x14ac:dyDescent="0.25">
      <c r="A139" s="8"/>
      <c r="B139" s="8"/>
      <c r="C139" s="9"/>
      <c r="D139" s="12" t="s">
        <v>135</v>
      </c>
      <c r="E139" s="17">
        <v>366682.04</v>
      </c>
      <c r="F139" s="17">
        <v>261612.14599296</v>
      </c>
      <c r="G139" s="17">
        <v>549221.87</v>
      </c>
      <c r="H139" s="17">
        <v>0</v>
      </c>
      <c r="I139" s="13">
        <f t="shared" si="2"/>
        <v>1177516.05599296</v>
      </c>
    </row>
    <row r="140" spans="1:9" ht="15.75" x14ac:dyDescent="0.25">
      <c r="A140" s="8"/>
      <c r="B140" s="8"/>
      <c r="C140" s="9"/>
      <c r="D140" s="12" t="s">
        <v>136</v>
      </c>
      <c r="E140" s="17">
        <v>1191723.4799999997</v>
      </c>
      <c r="F140" s="17">
        <v>1855439.159239488</v>
      </c>
      <c r="G140" s="17">
        <v>1387823.74</v>
      </c>
      <c r="H140" s="17">
        <v>0</v>
      </c>
      <c r="I140" s="13">
        <f t="shared" si="2"/>
        <v>4434986.3792394875</v>
      </c>
    </row>
    <row r="141" spans="1:9" ht="15.75" x14ac:dyDescent="0.25">
      <c r="A141" s="8"/>
      <c r="B141" s="8"/>
      <c r="C141" s="9"/>
      <c r="D141" s="12" t="s">
        <v>137</v>
      </c>
      <c r="E141" s="17">
        <v>0</v>
      </c>
      <c r="F141" s="17">
        <v>0</v>
      </c>
      <c r="G141" s="17">
        <v>10819328.34</v>
      </c>
      <c r="H141" s="17">
        <v>253383.45000000004</v>
      </c>
      <c r="I141" s="13">
        <f t="shared" si="2"/>
        <v>11072711.789999999</v>
      </c>
    </row>
    <row r="142" spans="1:9" ht="15.75" x14ac:dyDescent="0.25">
      <c r="A142" s="8"/>
      <c r="B142" s="8"/>
      <c r="C142" s="9"/>
      <c r="D142" s="12" t="s">
        <v>138</v>
      </c>
      <c r="E142" s="17">
        <v>42511.46</v>
      </c>
      <c r="F142" s="17">
        <v>0</v>
      </c>
      <c r="G142" s="17">
        <v>1592653.5499999998</v>
      </c>
      <c r="H142" s="17">
        <v>0</v>
      </c>
      <c r="I142" s="13">
        <f t="shared" si="2"/>
        <v>1635165.0099999998</v>
      </c>
    </row>
    <row r="143" spans="1:9" ht="15.75" x14ac:dyDescent="0.25">
      <c r="A143" s="8"/>
      <c r="B143" s="8"/>
      <c r="C143" s="9"/>
      <c r="D143" s="12" t="s">
        <v>139</v>
      </c>
      <c r="E143" s="17">
        <v>298446.14999999997</v>
      </c>
      <c r="F143" s="17">
        <v>1714874.5379400959</v>
      </c>
      <c r="G143" s="17">
        <v>95812.92</v>
      </c>
      <c r="H143" s="17">
        <v>0</v>
      </c>
      <c r="I143" s="13">
        <f t="shared" si="2"/>
        <v>2109133.6079400959</v>
      </c>
    </row>
    <row r="144" spans="1:9" ht="15.75" x14ac:dyDescent="0.25">
      <c r="A144" s="8"/>
      <c r="B144" s="8"/>
      <c r="C144" s="9"/>
      <c r="D144" s="12" t="s">
        <v>140</v>
      </c>
      <c r="E144" s="17">
        <v>2042689.84</v>
      </c>
      <c r="F144" s="17">
        <v>208364.03889683998</v>
      </c>
      <c r="G144" s="17">
        <v>1763779.24</v>
      </c>
      <c r="H144" s="17">
        <v>0</v>
      </c>
      <c r="I144" s="13">
        <f t="shared" si="2"/>
        <v>4014833.1188968401</v>
      </c>
    </row>
    <row r="145" spans="3:10" s="2" customFormat="1" ht="24.75" customHeight="1" x14ac:dyDescent="0.2">
      <c r="C145" s="10"/>
      <c r="D145" s="21" t="s">
        <v>141</v>
      </c>
      <c r="E145" s="22">
        <f>SUM(E10:E144)</f>
        <v>144504389.31000003</v>
      </c>
      <c r="F145" s="22">
        <f>SUM(F10:F144)</f>
        <v>86507990.792550772</v>
      </c>
      <c r="G145" s="22">
        <f>SUM(G10:G144)</f>
        <v>342231525.09999996</v>
      </c>
      <c r="H145" s="22">
        <f>SUM(H10:H144)</f>
        <v>6563519.3000000007</v>
      </c>
      <c r="I145" s="22">
        <f>SUM(I10:I144)</f>
        <v>579807424.5025506</v>
      </c>
      <c r="J145" s="11"/>
    </row>
  </sheetData>
  <customSheetViews>
    <customSheetView guid="{F1F511AB-5865-40AB-8DB4-DDEDE7CBB603}" scale="80" showGridLines="0" fitToPage="1">
      <pane xSplit="4" ySplit="9" topLeftCell="E133" activePane="bottomRight" state="frozen"/>
      <selection pane="bottomRight" activeCell="G29" sqref="G29"/>
      <pageMargins left="0" right="0" top="0.19685039370078741" bottom="0.43307086614173229" header="0.15748031496062992" footer="0"/>
      <printOptions horizontalCentered="1"/>
      <pageSetup paperSize="9" scale="85" fitToHeight="7" orientation="landscape" horizontalDpi="300" verticalDpi="300" r:id="rId1"/>
      <headerFooter alignWithMargins="0">
        <oddFooter>&amp;C&amp;"Arial,Negrita"&amp;K09-024Ministerio de Economía &amp;"Arial,Normal"&amp;K000000| Subsecretaría de Coordinación Económica | Dirección Provincial de Coordinación Municipal&amp;R&amp;P</oddFooter>
      </headerFooter>
    </customSheetView>
    <customSheetView guid="{1154F945-E781-4016-ADEC-250E9B61A614}" scale="80" showGridLines="0" fitToPage="1">
      <pane xSplit="4" ySplit="9" topLeftCell="E10" activePane="bottomRight" state="frozen"/>
      <selection pane="bottomRight" activeCell="D10" sqref="D10"/>
      <pageMargins left="0" right="0" top="0.19685039370078741" bottom="0.39370078740157483" header="0" footer="0"/>
      <printOptions horizontalCentered="1"/>
      <pageSetup paperSize="9" scale="85" fitToHeight="7" orientation="landscape" horizontalDpi="300" verticalDpi="300" r:id="rId2"/>
      <headerFooter alignWithMargins="0">
        <oddFooter>&amp;C&amp;"Arial,Negrita"&amp;K09-023SUBSECRETARÍA DE COORDINACIÓN ECONÓMICA
Dirección Provincial de Coordinación Municipal &amp;R&amp;P</oddFooter>
      </headerFooter>
    </customSheetView>
  </customSheetViews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4" fitToHeight="7" orientation="portrait" r:id="rId3"/>
  <headerFooter alignWithMargins="0">
    <oddFooter>&amp;C&amp;"Arial,Normal"&amp;9Subsecretaría de Coordinación Económica y Estadística
MINISTERIO DE HACIENDA Y FINANZAS&amp;R&amp;P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6384" width="12" style="2"/>
  </cols>
  <sheetData>
    <row r="1" spans="1:9" ht="18.75" customHeight="1" x14ac:dyDescent="0.2"/>
    <row r="2" spans="1:9" ht="43.5" customHeight="1" x14ac:dyDescent="0.2">
      <c r="B2" s="2"/>
      <c r="C2" s="2"/>
      <c r="D2" s="15"/>
      <c r="E2" s="15"/>
      <c r="F2" s="15"/>
      <c r="G2" s="15"/>
      <c r="H2" s="15"/>
      <c r="I2" s="15"/>
    </row>
    <row r="3" spans="1:9" ht="8.25" customHeight="1" x14ac:dyDescent="0.2"/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146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147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1056950.81</v>
      </c>
      <c r="F10" s="14">
        <v>1876937.3560726063</v>
      </c>
      <c r="G10" s="14">
        <v>1102180.99</v>
      </c>
      <c r="H10" s="14">
        <v>0</v>
      </c>
      <c r="I10" s="13">
        <f t="shared" ref="I10:I73" si="0">SUM(E10:H10)</f>
        <v>4036069.1560726063</v>
      </c>
    </row>
    <row r="11" spans="1:9" ht="15.75" x14ac:dyDescent="0.25">
      <c r="A11" s="8"/>
      <c r="B11" s="8"/>
      <c r="C11" s="9"/>
      <c r="D11" s="12" t="s">
        <v>7</v>
      </c>
      <c r="E11" s="14">
        <v>751093.09999999986</v>
      </c>
      <c r="F11" s="14">
        <v>1053480.569213944</v>
      </c>
      <c r="G11" s="14">
        <v>688737.84999999986</v>
      </c>
      <c r="H11" s="14">
        <v>0</v>
      </c>
      <c r="I11" s="13">
        <f t="shared" si="0"/>
        <v>2493311.5192139437</v>
      </c>
    </row>
    <row r="12" spans="1:9" ht="15.75" x14ac:dyDescent="0.25">
      <c r="A12" s="8"/>
      <c r="B12" s="8"/>
      <c r="C12" s="9"/>
      <c r="D12" s="12" t="s">
        <v>8</v>
      </c>
      <c r="E12" s="14">
        <v>645592.85</v>
      </c>
      <c r="F12" s="14">
        <v>381917.58259926597</v>
      </c>
      <c r="G12" s="14">
        <v>594354.80999999982</v>
      </c>
      <c r="H12" s="14">
        <v>0</v>
      </c>
      <c r="I12" s="13">
        <f t="shared" si="0"/>
        <v>1621865.2425992656</v>
      </c>
    </row>
    <row r="13" spans="1:9" ht="15.75" x14ac:dyDescent="0.25">
      <c r="A13" s="8"/>
      <c r="B13" s="8"/>
      <c r="C13" s="9"/>
      <c r="D13" s="12" t="s">
        <v>9</v>
      </c>
      <c r="E13" s="14">
        <v>394919.53</v>
      </c>
      <c r="F13" s="14">
        <v>10106.538930572</v>
      </c>
      <c r="G13" s="14">
        <v>6745282.4500000002</v>
      </c>
      <c r="H13" s="14">
        <v>0</v>
      </c>
      <c r="I13" s="13">
        <f t="shared" si="0"/>
        <v>7150308.5189305721</v>
      </c>
    </row>
    <row r="14" spans="1:9" ht="15.75" x14ac:dyDescent="0.25">
      <c r="A14" s="8"/>
      <c r="B14" s="8"/>
      <c r="C14" s="9"/>
      <c r="D14" s="12" t="s">
        <v>10</v>
      </c>
      <c r="E14" s="14">
        <v>917460.21</v>
      </c>
      <c r="F14" s="14">
        <v>424352.86955474003</v>
      </c>
      <c r="G14" s="14">
        <v>1199501.7799999998</v>
      </c>
      <c r="H14" s="14">
        <v>0</v>
      </c>
      <c r="I14" s="13">
        <f t="shared" si="0"/>
        <v>2541314.8595547397</v>
      </c>
    </row>
    <row r="15" spans="1:9" ht="15.75" x14ac:dyDescent="0.25">
      <c r="A15" s="8"/>
      <c r="B15" s="8"/>
      <c r="C15" s="9"/>
      <c r="D15" s="12" t="s">
        <v>11</v>
      </c>
      <c r="E15" s="14">
        <v>209198.53</v>
      </c>
      <c r="F15" s="14">
        <v>2357.0327454260005</v>
      </c>
      <c r="G15" s="14">
        <v>7143620.6000000006</v>
      </c>
      <c r="H15" s="14">
        <v>0</v>
      </c>
      <c r="I15" s="13">
        <f t="shared" si="0"/>
        <v>7355176.1627454264</v>
      </c>
    </row>
    <row r="16" spans="1:9" ht="15.75" x14ac:dyDescent="0.25">
      <c r="A16" s="8"/>
      <c r="B16" s="8"/>
      <c r="C16" s="9"/>
      <c r="D16" s="12" t="s">
        <v>12</v>
      </c>
      <c r="E16" s="14">
        <v>1505565.0299999998</v>
      </c>
      <c r="F16" s="14">
        <v>2023438.68287687</v>
      </c>
      <c r="G16" s="14">
        <v>1077637.6299999999</v>
      </c>
      <c r="H16" s="14">
        <v>0</v>
      </c>
      <c r="I16" s="13">
        <f t="shared" si="0"/>
        <v>4606641.3428768702</v>
      </c>
    </row>
    <row r="17" spans="1:9" ht="15.75" x14ac:dyDescent="0.25">
      <c r="A17" s="8"/>
      <c r="B17" s="8"/>
      <c r="C17" s="9"/>
      <c r="D17" s="12" t="s">
        <v>13</v>
      </c>
      <c r="E17" s="14">
        <v>2657174.7800000007</v>
      </c>
      <c r="F17" s="14">
        <v>1859090.0084946943</v>
      </c>
      <c r="G17" s="14">
        <v>2435281.2599999993</v>
      </c>
      <c r="H17" s="14">
        <v>0</v>
      </c>
      <c r="I17" s="13">
        <f t="shared" si="0"/>
        <v>6951546.0484946948</v>
      </c>
    </row>
    <row r="18" spans="1:9" ht="15.75" x14ac:dyDescent="0.25">
      <c r="A18" s="8"/>
      <c r="B18" s="8"/>
      <c r="C18" s="9"/>
      <c r="D18" s="12" t="s">
        <v>14</v>
      </c>
      <c r="E18" s="14">
        <v>3884763.0900000003</v>
      </c>
      <c r="F18" s="14">
        <v>151554.59626955001</v>
      </c>
      <c r="G18" s="14">
        <v>12186496.790000001</v>
      </c>
      <c r="H18" s="14">
        <v>0</v>
      </c>
      <c r="I18" s="13">
        <f t="shared" si="0"/>
        <v>16222814.476269551</v>
      </c>
    </row>
    <row r="19" spans="1:9" ht="15.75" x14ac:dyDescent="0.25">
      <c r="A19" s="8"/>
      <c r="B19" s="8"/>
      <c r="C19" s="9"/>
      <c r="D19" s="12" t="s">
        <v>15</v>
      </c>
      <c r="E19" s="14">
        <v>2374030.5700000003</v>
      </c>
      <c r="F19" s="14">
        <v>1446522.3026670842</v>
      </c>
      <c r="G19" s="14">
        <v>1717199.4899999998</v>
      </c>
      <c r="H19" s="14">
        <v>0</v>
      </c>
      <c r="I19" s="13">
        <f t="shared" si="0"/>
        <v>5537752.3626670837</v>
      </c>
    </row>
    <row r="20" spans="1:9" ht="15.75" x14ac:dyDescent="0.25">
      <c r="A20" s="8"/>
      <c r="B20" s="8"/>
      <c r="C20" s="9"/>
      <c r="D20" s="12" t="s">
        <v>16</v>
      </c>
      <c r="E20" s="14">
        <v>2435124.9099999997</v>
      </c>
      <c r="F20" s="14">
        <v>397416.59496955801</v>
      </c>
      <c r="G20" s="14">
        <v>945959.57</v>
      </c>
      <c r="H20" s="14">
        <v>0</v>
      </c>
      <c r="I20" s="13">
        <f t="shared" si="0"/>
        <v>3778501.0749695576</v>
      </c>
    </row>
    <row r="21" spans="1:9" ht="15.75" x14ac:dyDescent="0.25">
      <c r="A21" s="8"/>
      <c r="B21" s="8"/>
      <c r="C21" s="9"/>
      <c r="D21" s="12" t="s">
        <v>17</v>
      </c>
      <c r="E21" s="14">
        <v>1192090.44</v>
      </c>
      <c r="F21" s="14">
        <v>1730436.0292683421</v>
      </c>
      <c r="G21" s="14">
        <v>790248.16</v>
      </c>
      <c r="H21" s="14">
        <v>0</v>
      </c>
      <c r="I21" s="13">
        <f t="shared" si="0"/>
        <v>3712774.6292683422</v>
      </c>
    </row>
    <row r="22" spans="1:9" ht="15.75" x14ac:dyDescent="0.25">
      <c r="A22" s="8"/>
      <c r="B22" s="8"/>
      <c r="C22" s="9"/>
      <c r="D22" s="12" t="s">
        <v>18</v>
      </c>
      <c r="E22" s="14">
        <v>170296.23</v>
      </c>
      <c r="F22" s="14">
        <v>74094.324569314005</v>
      </c>
      <c r="G22" s="14">
        <v>4626422.5399999991</v>
      </c>
      <c r="H22" s="14">
        <v>0</v>
      </c>
      <c r="I22" s="13">
        <f t="shared" si="0"/>
        <v>4870813.0945693133</v>
      </c>
    </row>
    <row r="23" spans="1:9" ht="15.75" x14ac:dyDescent="0.25">
      <c r="A23" s="8"/>
      <c r="B23" s="8"/>
      <c r="C23" s="9"/>
      <c r="D23" s="12" t="s">
        <v>19</v>
      </c>
      <c r="E23" s="14">
        <v>107083.53000000003</v>
      </c>
      <c r="F23" s="14">
        <v>27614.68253405</v>
      </c>
      <c r="G23" s="14">
        <v>4811572.4700000007</v>
      </c>
      <c r="H23" s="14">
        <v>0</v>
      </c>
      <c r="I23" s="13">
        <f t="shared" si="0"/>
        <v>4946270.6825340511</v>
      </c>
    </row>
    <row r="24" spans="1:9" ht="15.75" x14ac:dyDescent="0.25">
      <c r="A24" s="8"/>
      <c r="B24" s="8"/>
      <c r="C24" s="9"/>
      <c r="D24" s="12" t="s">
        <v>20</v>
      </c>
      <c r="E24" s="14">
        <v>1869381.0599999996</v>
      </c>
      <c r="F24" s="14">
        <v>1061230.0753990901</v>
      </c>
      <c r="G24" s="14">
        <v>1847945.19</v>
      </c>
      <c r="H24" s="14">
        <v>0</v>
      </c>
      <c r="I24" s="13">
        <f t="shared" si="0"/>
        <v>4778556.3253990896</v>
      </c>
    </row>
    <row r="25" spans="1:9" ht="15.75" x14ac:dyDescent="0.25">
      <c r="A25" s="8"/>
      <c r="B25" s="8"/>
      <c r="C25" s="9"/>
      <c r="D25" s="12" t="s">
        <v>21</v>
      </c>
      <c r="E25" s="14">
        <v>1141187.04</v>
      </c>
      <c r="F25" s="14">
        <v>788092.59813946602</v>
      </c>
      <c r="G25" s="14">
        <v>1673539.7600000002</v>
      </c>
      <c r="H25" s="14">
        <v>0</v>
      </c>
      <c r="I25" s="13">
        <f t="shared" si="0"/>
        <v>3602819.3981394665</v>
      </c>
    </row>
    <row r="26" spans="1:9" ht="15.75" x14ac:dyDescent="0.25">
      <c r="A26" s="8"/>
      <c r="B26" s="8"/>
      <c r="C26" s="9"/>
      <c r="D26" s="12" t="s">
        <v>22</v>
      </c>
      <c r="E26" s="14">
        <v>1018039.1099999999</v>
      </c>
      <c r="F26" s="14">
        <v>451297.84167772805</v>
      </c>
      <c r="G26" s="14">
        <v>1306503.83</v>
      </c>
      <c r="H26" s="14">
        <v>0</v>
      </c>
      <c r="I26" s="13">
        <f t="shared" si="0"/>
        <v>2775840.7816777281</v>
      </c>
    </row>
    <row r="27" spans="1:9" ht="15.75" x14ac:dyDescent="0.25">
      <c r="A27" s="8"/>
      <c r="B27" s="8"/>
      <c r="C27" s="9"/>
      <c r="D27" s="12" t="s">
        <v>23</v>
      </c>
      <c r="E27" s="14">
        <v>197080.05999999997</v>
      </c>
      <c r="F27" s="14">
        <v>77460.271700236015</v>
      </c>
      <c r="G27" s="14">
        <v>3087973.25</v>
      </c>
      <c r="H27" s="14">
        <v>0</v>
      </c>
      <c r="I27" s="13">
        <f t="shared" si="0"/>
        <v>3362513.5817002361</v>
      </c>
    </row>
    <row r="28" spans="1:9" ht="15.75" x14ac:dyDescent="0.25">
      <c r="A28" s="8"/>
      <c r="B28" s="8"/>
      <c r="C28" s="9"/>
      <c r="D28" s="12" t="s">
        <v>24</v>
      </c>
      <c r="E28" s="14">
        <v>1044626.81</v>
      </c>
      <c r="F28" s="14">
        <v>367105.67571564805</v>
      </c>
      <c r="G28" s="14">
        <v>2237842.77</v>
      </c>
      <c r="H28" s="14">
        <v>0</v>
      </c>
      <c r="I28" s="13">
        <f t="shared" si="0"/>
        <v>3649575.2557156482</v>
      </c>
    </row>
    <row r="29" spans="1:9" ht="15.75" x14ac:dyDescent="0.25">
      <c r="A29" s="8"/>
      <c r="B29" s="8"/>
      <c r="C29" s="9"/>
      <c r="D29" s="12" t="s">
        <v>25</v>
      </c>
      <c r="E29" s="14">
        <v>493810.43</v>
      </c>
      <c r="F29" s="14">
        <v>205444.54051552602</v>
      </c>
      <c r="G29" s="14">
        <v>559153.29</v>
      </c>
      <c r="H29" s="14">
        <v>0</v>
      </c>
      <c r="I29" s="13">
        <f t="shared" si="0"/>
        <v>1258408.2605155259</v>
      </c>
    </row>
    <row r="30" spans="1:9" ht="15.75" x14ac:dyDescent="0.25">
      <c r="A30" s="8"/>
      <c r="B30" s="8"/>
      <c r="C30" s="9"/>
      <c r="D30" s="12" t="s">
        <v>26</v>
      </c>
      <c r="E30" s="14">
        <v>1509907.2400000005</v>
      </c>
      <c r="F30" s="14">
        <v>1108040.223870982</v>
      </c>
      <c r="G30" s="14">
        <v>1549079.17</v>
      </c>
      <c r="H30" s="14">
        <v>0</v>
      </c>
      <c r="I30" s="13">
        <f t="shared" si="0"/>
        <v>4167026.6338709826</v>
      </c>
    </row>
    <row r="31" spans="1:9" ht="15.75" x14ac:dyDescent="0.25">
      <c r="A31" s="8"/>
      <c r="B31" s="8"/>
      <c r="C31" s="9"/>
      <c r="D31" s="12" t="s">
        <v>27</v>
      </c>
      <c r="E31" s="14">
        <v>957573.99000000011</v>
      </c>
      <c r="F31" s="14">
        <v>1148457.682055464</v>
      </c>
      <c r="G31" s="14">
        <v>1098668.2199999997</v>
      </c>
      <c r="H31" s="14">
        <v>0</v>
      </c>
      <c r="I31" s="13">
        <f t="shared" si="0"/>
        <v>3204699.892055464</v>
      </c>
    </row>
    <row r="32" spans="1:9" ht="15.75" x14ac:dyDescent="0.25">
      <c r="A32" s="8"/>
      <c r="B32" s="8"/>
      <c r="C32" s="9"/>
      <c r="D32" s="12" t="s">
        <v>28</v>
      </c>
      <c r="E32" s="14">
        <v>798500.53</v>
      </c>
      <c r="F32" s="14">
        <v>387649.26001342002</v>
      </c>
      <c r="G32" s="14">
        <v>510388.97000000009</v>
      </c>
      <c r="H32" s="14">
        <v>0</v>
      </c>
      <c r="I32" s="13">
        <f t="shared" si="0"/>
        <v>1696538.7600134201</v>
      </c>
    </row>
    <row r="33" spans="1:9" ht="15.75" x14ac:dyDescent="0.25">
      <c r="A33" s="8"/>
      <c r="B33" s="8"/>
      <c r="C33" s="9"/>
      <c r="D33" s="12" t="s">
        <v>29</v>
      </c>
      <c r="E33" s="14">
        <v>209502.41</v>
      </c>
      <c r="F33" s="14">
        <v>586014.00475486205</v>
      </c>
      <c r="G33" s="14">
        <v>438692.82000000012</v>
      </c>
      <c r="H33" s="14">
        <v>0</v>
      </c>
      <c r="I33" s="13">
        <f t="shared" si="0"/>
        <v>1234209.2347548623</v>
      </c>
    </row>
    <row r="34" spans="1:9" ht="15.75" x14ac:dyDescent="0.25">
      <c r="A34" s="8"/>
      <c r="B34" s="8"/>
      <c r="C34" s="9"/>
      <c r="D34" s="12" t="s">
        <v>30</v>
      </c>
      <c r="E34" s="14">
        <v>2275931.5400000005</v>
      </c>
      <c r="F34" s="14">
        <v>840964.93046214012</v>
      </c>
      <c r="G34" s="14">
        <v>3061119.92</v>
      </c>
      <c r="H34" s="14">
        <v>0</v>
      </c>
      <c r="I34" s="13">
        <f t="shared" si="0"/>
        <v>6178016.3904621406</v>
      </c>
    </row>
    <row r="35" spans="1:9" ht="15.75" x14ac:dyDescent="0.25">
      <c r="A35" s="8"/>
      <c r="B35" s="8"/>
      <c r="C35" s="9"/>
      <c r="D35" s="12" t="s">
        <v>31</v>
      </c>
      <c r="E35" s="14">
        <v>1434114.34</v>
      </c>
      <c r="F35" s="14">
        <v>1236363.6966607063</v>
      </c>
      <c r="G35" s="14">
        <v>1621740.2699999998</v>
      </c>
      <c r="H35" s="14">
        <v>0</v>
      </c>
      <c r="I35" s="13">
        <f t="shared" si="0"/>
        <v>4292218.3066607062</v>
      </c>
    </row>
    <row r="36" spans="1:9" ht="15.75" x14ac:dyDescent="0.25">
      <c r="A36" s="8"/>
      <c r="B36" s="8"/>
      <c r="C36" s="9"/>
      <c r="D36" s="12" t="s">
        <v>32</v>
      </c>
      <c r="E36" s="14">
        <v>1026028.3499999999</v>
      </c>
      <c r="F36" s="14">
        <v>767209.80986726016</v>
      </c>
      <c r="G36" s="14">
        <v>3093206.9</v>
      </c>
      <c r="H36" s="14">
        <v>0</v>
      </c>
      <c r="I36" s="13">
        <f t="shared" si="0"/>
        <v>4886445.05986726</v>
      </c>
    </row>
    <row r="37" spans="1:9" ht="15.75" x14ac:dyDescent="0.25">
      <c r="A37" s="8"/>
      <c r="B37" s="8"/>
      <c r="C37" s="9"/>
      <c r="D37" s="12" t="s">
        <v>33</v>
      </c>
      <c r="E37" s="14">
        <v>428693.2</v>
      </c>
      <c r="F37" s="14">
        <v>424352.86955474003</v>
      </c>
      <c r="G37" s="14">
        <v>876765.23</v>
      </c>
      <c r="H37" s="14">
        <v>0</v>
      </c>
      <c r="I37" s="13">
        <f t="shared" si="0"/>
        <v>1729811.2995547401</v>
      </c>
    </row>
    <row r="38" spans="1:9" ht="15.75" x14ac:dyDescent="0.25">
      <c r="A38" s="8"/>
      <c r="B38" s="8"/>
      <c r="C38" s="9"/>
      <c r="D38" s="12" t="s">
        <v>34</v>
      </c>
      <c r="E38" s="14">
        <v>1156201.45</v>
      </c>
      <c r="F38" s="14">
        <v>922139.05080553796</v>
      </c>
      <c r="G38" s="14">
        <v>1059764.74</v>
      </c>
      <c r="H38" s="14">
        <v>0</v>
      </c>
      <c r="I38" s="13">
        <f t="shared" si="0"/>
        <v>3138105.2408055379</v>
      </c>
    </row>
    <row r="39" spans="1:9" ht="15.75" x14ac:dyDescent="0.25">
      <c r="A39" s="8"/>
      <c r="B39" s="8"/>
      <c r="C39" s="9"/>
      <c r="D39" s="12" t="s">
        <v>35</v>
      </c>
      <c r="E39" s="14">
        <v>806127.6100000001</v>
      </c>
      <c r="F39" s="14">
        <v>1443826.0659472239</v>
      </c>
      <c r="G39" s="14">
        <v>1095810.32</v>
      </c>
      <c r="H39" s="14">
        <v>0</v>
      </c>
      <c r="I39" s="13">
        <f t="shared" si="0"/>
        <v>3345763.9959472241</v>
      </c>
    </row>
    <row r="40" spans="1:9" ht="15.75" x14ac:dyDescent="0.25">
      <c r="A40" s="8"/>
      <c r="B40" s="8"/>
      <c r="C40" s="9"/>
      <c r="D40" s="12" t="s">
        <v>36</v>
      </c>
      <c r="E40" s="14">
        <v>642573.53</v>
      </c>
      <c r="F40" s="14">
        <v>75781.646903678004</v>
      </c>
      <c r="G40" s="14">
        <v>541138.06000000006</v>
      </c>
      <c r="H40" s="14">
        <v>0</v>
      </c>
      <c r="I40" s="13">
        <f t="shared" si="0"/>
        <v>1259493.2369036782</v>
      </c>
    </row>
    <row r="41" spans="1:9" ht="15.75" x14ac:dyDescent="0.25">
      <c r="A41" s="8"/>
      <c r="B41" s="8"/>
      <c r="C41" s="9"/>
      <c r="D41" s="12" t="s">
        <v>37</v>
      </c>
      <c r="E41" s="14">
        <v>2378664.8600000003</v>
      </c>
      <c r="F41" s="14">
        <v>1266335.4119401821</v>
      </c>
      <c r="G41" s="14">
        <v>2616122.0499999993</v>
      </c>
      <c r="H41" s="14">
        <v>0</v>
      </c>
      <c r="I41" s="13">
        <f t="shared" si="0"/>
        <v>6261122.3219401818</v>
      </c>
    </row>
    <row r="42" spans="1:9" ht="15.75" x14ac:dyDescent="0.25">
      <c r="A42" s="8"/>
      <c r="B42" s="8"/>
      <c r="C42" s="9"/>
      <c r="D42" s="12" t="s">
        <v>38</v>
      </c>
      <c r="E42" s="14">
        <v>1426628.92</v>
      </c>
      <c r="F42" s="14">
        <v>1371419.0637122742</v>
      </c>
      <c r="G42" s="14">
        <v>918061.20000000007</v>
      </c>
      <c r="H42" s="14">
        <v>0</v>
      </c>
      <c r="I42" s="13">
        <f t="shared" si="0"/>
        <v>3716109.1837122743</v>
      </c>
    </row>
    <row r="43" spans="1:9" ht="15.75" x14ac:dyDescent="0.25">
      <c r="A43" s="8"/>
      <c r="B43" s="8"/>
      <c r="C43" s="9"/>
      <c r="D43" s="12" t="s">
        <v>39</v>
      </c>
      <c r="E43" s="14">
        <v>330706.02000000014</v>
      </c>
      <c r="F43" s="14">
        <v>498786.39809848799</v>
      </c>
      <c r="G43" s="14">
        <v>986163.14000000013</v>
      </c>
      <c r="H43" s="14">
        <v>0</v>
      </c>
      <c r="I43" s="13">
        <f t="shared" si="0"/>
        <v>1815655.5580984883</v>
      </c>
    </row>
    <row r="44" spans="1:9" ht="15.75" x14ac:dyDescent="0.25">
      <c r="A44" s="8"/>
      <c r="B44" s="8"/>
      <c r="C44" s="9"/>
      <c r="D44" s="12" t="s">
        <v>40</v>
      </c>
      <c r="E44" s="14">
        <v>11106.310000000001</v>
      </c>
      <c r="F44" s="14">
        <v>38390.931875684</v>
      </c>
      <c r="G44" s="14">
        <v>2056691.23</v>
      </c>
      <c r="H44" s="14">
        <v>0</v>
      </c>
      <c r="I44" s="13">
        <f t="shared" si="0"/>
        <v>2106188.4718756839</v>
      </c>
    </row>
    <row r="45" spans="1:9" ht="15.75" x14ac:dyDescent="0.25">
      <c r="A45" s="8"/>
      <c r="B45" s="8"/>
      <c r="C45" s="9"/>
      <c r="D45" s="12" t="s">
        <v>41</v>
      </c>
      <c r="E45" s="14">
        <v>209742.99999999997</v>
      </c>
      <c r="F45" s="14">
        <v>11115.453316068002</v>
      </c>
      <c r="G45" s="14">
        <v>3223643.8800000004</v>
      </c>
      <c r="H45" s="14">
        <v>0</v>
      </c>
      <c r="I45" s="13">
        <f t="shared" si="0"/>
        <v>3444502.3333160682</v>
      </c>
    </row>
    <row r="46" spans="1:9" ht="15.75" x14ac:dyDescent="0.25">
      <c r="A46" s="8"/>
      <c r="B46" s="8"/>
      <c r="C46" s="9"/>
      <c r="D46" s="12" t="s">
        <v>42</v>
      </c>
      <c r="E46" s="14">
        <v>52714.65</v>
      </c>
      <c r="F46" s="14">
        <v>37042.813515754009</v>
      </c>
      <c r="G46" s="14">
        <v>4653971.4600000009</v>
      </c>
      <c r="H46" s="14">
        <v>0</v>
      </c>
      <c r="I46" s="13">
        <f t="shared" si="0"/>
        <v>4743728.9235157548</v>
      </c>
    </row>
    <row r="47" spans="1:9" ht="15.75" x14ac:dyDescent="0.25">
      <c r="A47" s="8"/>
      <c r="B47" s="8"/>
      <c r="C47" s="9"/>
      <c r="D47" s="12" t="s">
        <v>43</v>
      </c>
      <c r="E47" s="14">
        <v>987615.80999999994</v>
      </c>
      <c r="F47" s="14">
        <v>235077.05182056804</v>
      </c>
      <c r="G47" s="14">
        <v>698461.23</v>
      </c>
      <c r="H47" s="14">
        <v>0</v>
      </c>
      <c r="I47" s="13">
        <f t="shared" si="0"/>
        <v>1921154.0918205678</v>
      </c>
    </row>
    <row r="48" spans="1:9" ht="15.75" x14ac:dyDescent="0.25">
      <c r="A48" s="8"/>
      <c r="B48" s="8"/>
      <c r="C48" s="9"/>
      <c r="D48" s="12" t="s">
        <v>44</v>
      </c>
      <c r="E48" s="14">
        <v>608256.76000000013</v>
      </c>
      <c r="F48" s="14">
        <v>37042.813515754009</v>
      </c>
      <c r="G48" s="14">
        <v>2315873.4000000004</v>
      </c>
      <c r="H48" s="14">
        <v>0</v>
      </c>
      <c r="I48" s="13">
        <f t="shared" si="0"/>
        <v>2961172.9735157546</v>
      </c>
    </row>
    <row r="49" spans="1:9" ht="15.75" x14ac:dyDescent="0.25">
      <c r="A49" s="8"/>
      <c r="B49" s="8"/>
      <c r="C49" s="9"/>
      <c r="D49" s="12" t="s">
        <v>45</v>
      </c>
      <c r="E49" s="14">
        <v>296231.66000000003</v>
      </c>
      <c r="F49" s="14">
        <v>44122.609289838001</v>
      </c>
      <c r="G49" s="14">
        <v>12749162.220000001</v>
      </c>
      <c r="H49" s="14">
        <v>0</v>
      </c>
      <c r="I49" s="13">
        <f t="shared" si="0"/>
        <v>13089516.489289839</v>
      </c>
    </row>
    <row r="50" spans="1:9" ht="15.75" x14ac:dyDescent="0.25">
      <c r="A50" s="8"/>
      <c r="B50" s="8"/>
      <c r="C50" s="9"/>
      <c r="D50" s="12" t="s">
        <v>46</v>
      </c>
      <c r="E50" s="14">
        <v>762858.1100000001</v>
      </c>
      <c r="F50" s="14">
        <v>426379.39586353803</v>
      </c>
      <c r="G50" s="14">
        <v>339640.39</v>
      </c>
      <c r="H50" s="14">
        <v>0</v>
      </c>
      <c r="I50" s="13">
        <f t="shared" si="0"/>
        <v>1528877.8958635381</v>
      </c>
    </row>
    <row r="51" spans="1:9" ht="15.75" x14ac:dyDescent="0.25">
      <c r="A51" s="8"/>
      <c r="B51" s="8"/>
      <c r="C51" s="9"/>
      <c r="D51" s="12" t="s">
        <v>47</v>
      </c>
      <c r="E51" s="14">
        <v>697434.24</v>
      </c>
      <c r="F51" s="14">
        <v>775289.82248903404</v>
      </c>
      <c r="G51" s="14">
        <v>1223932.31</v>
      </c>
      <c r="H51" s="14">
        <v>0</v>
      </c>
      <c r="I51" s="13">
        <f t="shared" si="0"/>
        <v>2696656.3724890342</v>
      </c>
    </row>
    <row r="52" spans="1:9" ht="15.75" x14ac:dyDescent="0.25">
      <c r="A52" s="8"/>
      <c r="B52" s="8"/>
      <c r="C52" s="9"/>
      <c r="D52" s="12" t="s">
        <v>48</v>
      </c>
      <c r="E52" s="14">
        <v>687106.7</v>
      </c>
      <c r="F52" s="14">
        <v>781352.00633981603</v>
      </c>
      <c r="G52" s="14">
        <v>300400.64999999997</v>
      </c>
      <c r="H52" s="14">
        <v>0</v>
      </c>
      <c r="I52" s="13">
        <f t="shared" si="0"/>
        <v>1768859.356339816</v>
      </c>
    </row>
    <row r="53" spans="1:9" ht="15.75" x14ac:dyDescent="0.25">
      <c r="A53" s="8"/>
      <c r="B53" s="8"/>
      <c r="C53" s="9"/>
      <c r="D53" s="12" t="s">
        <v>49</v>
      </c>
      <c r="E53" s="14">
        <v>671361.90000000014</v>
      </c>
      <c r="F53" s="14">
        <v>535498.705177614</v>
      </c>
      <c r="G53" s="14">
        <v>1305809.3300000003</v>
      </c>
      <c r="H53" s="14">
        <v>0</v>
      </c>
      <c r="I53" s="13">
        <f t="shared" si="0"/>
        <v>2512669.9351776144</v>
      </c>
    </row>
    <row r="54" spans="1:9" ht="15.75" x14ac:dyDescent="0.25">
      <c r="A54" s="8"/>
      <c r="B54" s="8"/>
      <c r="C54" s="9"/>
      <c r="D54" s="12" t="s">
        <v>50</v>
      </c>
      <c r="E54" s="14">
        <v>1432458.0399999996</v>
      </c>
      <c r="F54" s="14">
        <v>491715.29986221006</v>
      </c>
      <c r="G54" s="14">
        <v>853623.03999999992</v>
      </c>
      <c r="H54" s="14">
        <v>0</v>
      </c>
      <c r="I54" s="13">
        <f t="shared" si="0"/>
        <v>2777796.3798622098</v>
      </c>
    </row>
    <row r="55" spans="1:9" ht="15.75" x14ac:dyDescent="0.25">
      <c r="A55" s="8"/>
      <c r="B55" s="8"/>
      <c r="C55" s="9"/>
      <c r="D55" s="12" t="s">
        <v>51</v>
      </c>
      <c r="E55" s="14">
        <v>395360.01000000007</v>
      </c>
      <c r="F55" s="14">
        <v>1007009.6247164861</v>
      </c>
      <c r="G55" s="14">
        <v>40235.100000000006</v>
      </c>
      <c r="H55" s="14">
        <v>0</v>
      </c>
      <c r="I55" s="13">
        <f t="shared" si="0"/>
        <v>1442604.7347164862</v>
      </c>
    </row>
    <row r="56" spans="1:9" ht="15.75" x14ac:dyDescent="0.25">
      <c r="A56" s="8"/>
      <c r="B56" s="8"/>
      <c r="C56" s="9"/>
      <c r="D56" s="12" t="s">
        <v>52</v>
      </c>
      <c r="E56" s="14">
        <v>871763.7100000002</v>
      </c>
      <c r="F56" s="14">
        <v>1120842.9995214141</v>
      </c>
      <c r="G56" s="14">
        <v>405913.72</v>
      </c>
      <c r="H56" s="14">
        <v>0</v>
      </c>
      <c r="I56" s="13">
        <f t="shared" si="0"/>
        <v>2398520.4295214145</v>
      </c>
    </row>
    <row r="57" spans="1:9" ht="15.75" x14ac:dyDescent="0.25">
      <c r="A57" s="8"/>
      <c r="B57" s="8"/>
      <c r="C57" s="9"/>
      <c r="D57" s="12" t="s">
        <v>53</v>
      </c>
      <c r="E57" s="14">
        <v>206736.73</v>
      </c>
      <c r="F57" s="14">
        <v>370471.62284656998</v>
      </c>
      <c r="G57" s="14">
        <v>360200.20999999996</v>
      </c>
      <c r="H57" s="14">
        <v>0</v>
      </c>
      <c r="I57" s="13">
        <f t="shared" si="0"/>
        <v>937408.56284656993</v>
      </c>
    </row>
    <row r="58" spans="1:9" ht="15.75" x14ac:dyDescent="0.25">
      <c r="A58" s="8"/>
      <c r="B58" s="8"/>
      <c r="C58" s="9"/>
      <c r="D58" s="12" t="s">
        <v>54</v>
      </c>
      <c r="E58" s="14">
        <v>480312.39</v>
      </c>
      <c r="F58" s="14">
        <v>398764.71332948806</v>
      </c>
      <c r="G58" s="14">
        <v>230113.96000000002</v>
      </c>
      <c r="H58" s="14">
        <v>0</v>
      </c>
      <c r="I58" s="13">
        <f t="shared" si="0"/>
        <v>1109191.063329488</v>
      </c>
    </row>
    <row r="59" spans="1:9" ht="15.75" x14ac:dyDescent="0.25">
      <c r="A59" s="8"/>
      <c r="B59" s="8"/>
      <c r="C59" s="9"/>
      <c r="D59" s="12" t="s">
        <v>55</v>
      </c>
      <c r="E59" s="14">
        <v>1245884.3900000001</v>
      </c>
      <c r="F59" s="14">
        <v>673580.81538566994</v>
      </c>
      <c r="G59" s="14">
        <v>1281455.1599999997</v>
      </c>
      <c r="H59" s="14">
        <v>0</v>
      </c>
      <c r="I59" s="13">
        <f t="shared" si="0"/>
        <v>3200920.3653856697</v>
      </c>
    </row>
    <row r="60" spans="1:9" ht="15.75" x14ac:dyDescent="0.25">
      <c r="A60" s="8"/>
      <c r="B60" s="8"/>
      <c r="C60" s="9"/>
      <c r="D60" s="12" t="s">
        <v>56</v>
      </c>
      <c r="E60" s="14">
        <v>952100.6599999998</v>
      </c>
      <c r="F60" s="14">
        <v>407514.43636232399</v>
      </c>
      <c r="G60" s="14">
        <v>314197.72000000003</v>
      </c>
      <c r="H60" s="14">
        <v>0</v>
      </c>
      <c r="I60" s="13">
        <f t="shared" si="0"/>
        <v>1673812.8163623237</v>
      </c>
    </row>
    <row r="61" spans="1:9" ht="15.75" x14ac:dyDescent="0.25">
      <c r="A61" s="8"/>
      <c r="B61" s="8"/>
      <c r="C61" s="9"/>
      <c r="D61" s="12" t="s">
        <v>57</v>
      </c>
      <c r="E61" s="14">
        <v>3734230.38</v>
      </c>
      <c r="F61" s="14">
        <v>683687.35431624204</v>
      </c>
      <c r="G61" s="14">
        <v>733853.33</v>
      </c>
      <c r="H61" s="14">
        <v>0</v>
      </c>
      <c r="I61" s="13">
        <f t="shared" si="0"/>
        <v>5151771.064316242</v>
      </c>
    </row>
    <row r="62" spans="1:9" ht="15.75" x14ac:dyDescent="0.25">
      <c r="A62" s="8"/>
      <c r="B62" s="8"/>
      <c r="C62" s="9"/>
      <c r="D62" s="12" t="s">
        <v>58</v>
      </c>
      <c r="E62" s="14">
        <v>1505314.21</v>
      </c>
      <c r="F62" s="14">
        <v>762834.94835084211</v>
      </c>
      <c r="G62" s="14">
        <v>34098604.730000004</v>
      </c>
      <c r="H62" s="14">
        <v>0</v>
      </c>
      <c r="I62" s="13">
        <f t="shared" si="0"/>
        <v>36366753.888350844</v>
      </c>
    </row>
    <row r="63" spans="1:9" ht="15.75" x14ac:dyDescent="0.25">
      <c r="A63" s="8"/>
      <c r="B63" s="8"/>
      <c r="C63" s="9"/>
      <c r="D63" s="12" t="s">
        <v>59</v>
      </c>
      <c r="E63" s="14">
        <v>470524.71999999986</v>
      </c>
      <c r="F63" s="14">
        <v>84200.863499885992</v>
      </c>
      <c r="G63" s="14">
        <v>1901453.07</v>
      </c>
      <c r="H63" s="14">
        <v>0</v>
      </c>
      <c r="I63" s="13">
        <f t="shared" si="0"/>
        <v>2456178.6534998859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8633777.8600000013</v>
      </c>
      <c r="H64" s="14">
        <v>0</v>
      </c>
      <c r="I64" s="13">
        <f t="shared" si="0"/>
        <v>8633777.8600000013</v>
      </c>
    </row>
    <row r="65" spans="1:9" ht="15.75" x14ac:dyDescent="0.25">
      <c r="A65" s="8"/>
      <c r="B65" s="8"/>
      <c r="C65" s="9"/>
      <c r="D65" s="12" t="s">
        <v>61</v>
      </c>
      <c r="E65" s="14">
        <v>1529250.0299999998</v>
      </c>
      <c r="F65" s="14">
        <v>996903.08578591421</v>
      </c>
      <c r="G65" s="14">
        <v>745479.87</v>
      </c>
      <c r="H65" s="14">
        <v>0</v>
      </c>
      <c r="I65" s="13">
        <f t="shared" si="0"/>
        <v>3271632.9857859141</v>
      </c>
    </row>
    <row r="66" spans="1:9" ht="15.75" x14ac:dyDescent="0.25">
      <c r="A66" s="8"/>
      <c r="B66" s="8"/>
      <c r="C66" s="9"/>
      <c r="D66" s="12" t="s">
        <v>62</v>
      </c>
      <c r="E66" s="14">
        <v>4141988.0500000003</v>
      </c>
      <c r="F66" s="14">
        <v>1982021.0078446984</v>
      </c>
      <c r="G66" s="14">
        <v>1552676.0199999998</v>
      </c>
      <c r="H66" s="14">
        <v>0</v>
      </c>
      <c r="I66" s="13">
        <f t="shared" si="0"/>
        <v>7676685.077844698</v>
      </c>
    </row>
    <row r="67" spans="1:9" ht="15.75" x14ac:dyDescent="0.25">
      <c r="A67" s="8"/>
      <c r="B67" s="8"/>
      <c r="C67" s="9"/>
      <c r="D67" s="12" t="s">
        <v>63</v>
      </c>
      <c r="E67" s="14">
        <v>951530.80999999994</v>
      </c>
      <c r="F67" s="14">
        <v>916076.86695475609</v>
      </c>
      <c r="G67" s="14">
        <v>644801.33000000007</v>
      </c>
      <c r="H67" s="14">
        <v>0</v>
      </c>
      <c r="I67" s="13">
        <f t="shared" si="0"/>
        <v>2512409.0069547561</v>
      </c>
    </row>
    <row r="68" spans="1:9" ht="15.75" x14ac:dyDescent="0.25">
      <c r="A68" s="8"/>
      <c r="B68" s="8"/>
      <c r="C68" s="9"/>
      <c r="D68" s="12" t="s">
        <v>64</v>
      </c>
      <c r="E68" s="14">
        <v>824262.71000000008</v>
      </c>
      <c r="F68" s="14">
        <v>387310.05603898608</v>
      </c>
      <c r="G68" s="14">
        <v>300234.51</v>
      </c>
      <c r="H68" s="14">
        <v>0</v>
      </c>
      <c r="I68" s="13">
        <f t="shared" si="0"/>
        <v>1511807.2760389862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2628187.4200000004</v>
      </c>
      <c r="H69" s="14">
        <v>0</v>
      </c>
      <c r="I69" s="13">
        <f t="shared" si="0"/>
        <v>2628187.4200000004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3710834.6400000006</v>
      </c>
      <c r="H70" s="14">
        <v>0</v>
      </c>
      <c r="I70" s="13">
        <f t="shared" si="0"/>
        <v>3710834.6400000006</v>
      </c>
    </row>
    <row r="71" spans="1:9" ht="15.75" x14ac:dyDescent="0.25">
      <c r="A71" s="8"/>
      <c r="B71" s="8"/>
      <c r="C71" s="9"/>
      <c r="D71" s="12" t="s">
        <v>67</v>
      </c>
      <c r="E71" s="14">
        <v>3349.2000000000003</v>
      </c>
      <c r="F71" s="14">
        <v>10106.538930572</v>
      </c>
      <c r="G71" s="14">
        <v>2476498.1300000004</v>
      </c>
      <c r="H71" s="14">
        <v>0</v>
      </c>
      <c r="I71" s="13">
        <f t="shared" si="0"/>
        <v>2489953.8689305722</v>
      </c>
    </row>
    <row r="72" spans="1:9" ht="15.75" x14ac:dyDescent="0.25">
      <c r="A72" s="8"/>
      <c r="B72" s="8"/>
      <c r="C72" s="9"/>
      <c r="D72" s="12" t="s">
        <v>68</v>
      </c>
      <c r="E72" s="14">
        <v>1704297.3199999996</v>
      </c>
      <c r="F72" s="14">
        <v>629127.69965920411</v>
      </c>
      <c r="G72" s="14">
        <v>4848152.9700000007</v>
      </c>
      <c r="H72" s="14">
        <v>0</v>
      </c>
      <c r="I72" s="13">
        <f t="shared" si="0"/>
        <v>7181577.9896592041</v>
      </c>
    </row>
    <row r="73" spans="1:9" ht="15.75" x14ac:dyDescent="0.25">
      <c r="A73" s="8"/>
      <c r="B73" s="8"/>
      <c r="C73" s="9"/>
      <c r="D73" s="12" t="s">
        <v>69</v>
      </c>
      <c r="E73" s="14">
        <v>2661.99</v>
      </c>
      <c r="F73" s="14">
        <v>0</v>
      </c>
      <c r="G73" s="14">
        <v>3747680.5200000005</v>
      </c>
      <c r="H73" s="14">
        <v>0</v>
      </c>
      <c r="I73" s="13">
        <f t="shared" si="0"/>
        <v>3750342.5100000007</v>
      </c>
    </row>
    <row r="74" spans="1:9" ht="15.75" x14ac:dyDescent="0.25">
      <c r="A74" s="8"/>
      <c r="B74" s="8"/>
      <c r="C74" s="9"/>
      <c r="D74" s="12" t="s">
        <v>70</v>
      </c>
      <c r="E74" s="14">
        <v>827013.13</v>
      </c>
      <c r="F74" s="14">
        <v>53211.536297108003</v>
      </c>
      <c r="G74" s="14">
        <v>15450462.410000004</v>
      </c>
      <c r="H74" s="14">
        <v>0</v>
      </c>
      <c r="I74" s="13">
        <f t="shared" ref="I74:I137" si="1">SUM(E74:H74)</f>
        <v>16330687.076297112</v>
      </c>
    </row>
    <row r="75" spans="1:9" ht="15.75" x14ac:dyDescent="0.25">
      <c r="A75" s="8"/>
      <c r="B75" s="8"/>
      <c r="C75" s="9"/>
      <c r="D75" s="12" t="s">
        <v>71</v>
      </c>
      <c r="E75" s="14">
        <v>1263144.46</v>
      </c>
      <c r="F75" s="14">
        <v>206792.65887545602</v>
      </c>
      <c r="G75" s="14">
        <v>27285850.349999998</v>
      </c>
      <c r="H75" s="14">
        <v>0</v>
      </c>
      <c r="I75" s="13">
        <f t="shared" si="1"/>
        <v>28755787.468875453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7793998.7799999993</v>
      </c>
      <c r="H76" s="14">
        <v>0</v>
      </c>
      <c r="I76" s="13">
        <f t="shared" si="1"/>
        <v>7793998.7799999993</v>
      </c>
    </row>
    <row r="77" spans="1:9" ht="15.75" x14ac:dyDescent="0.25">
      <c r="A77" s="8"/>
      <c r="B77" s="8"/>
      <c r="C77" s="9"/>
      <c r="D77" s="12" t="s">
        <v>73</v>
      </c>
      <c r="E77" s="14">
        <v>403043.17</v>
      </c>
      <c r="F77" s="14">
        <v>1025526.6827054601</v>
      </c>
      <c r="G77" s="14">
        <v>419326.24</v>
      </c>
      <c r="H77" s="14">
        <v>0</v>
      </c>
      <c r="I77" s="13">
        <f t="shared" si="1"/>
        <v>1847896.09270546</v>
      </c>
    </row>
    <row r="78" spans="1:9" ht="15.75" x14ac:dyDescent="0.25">
      <c r="A78" s="8"/>
      <c r="B78" s="8"/>
      <c r="C78" s="9"/>
      <c r="D78" s="12" t="s">
        <v>74</v>
      </c>
      <c r="E78" s="14">
        <v>1346148.31</v>
      </c>
      <c r="F78" s="14">
        <v>1040686.4911013183</v>
      </c>
      <c r="G78" s="14">
        <v>816791.70000000007</v>
      </c>
      <c r="H78" s="14">
        <v>0</v>
      </c>
      <c r="I78" s="13">
        <f t="shared" si="1"/>
        <v>3203626.5011013187</v>
      </c>
    </row>
    <row r="79" spans="1:9" ht="15.75" x14ac:dyDescent="0.25">
      <c r="A79" s="8"/>
      <c r="B79" s="8"/>
      <c r="C79" s="9"/>
      <c r="D79" s="12" t="s">
        <v>75</v>
      </c>
      <c r="E79" s="14">
        <v>796191.71000000008</v>
      </c>
      <c r="F79" s="14">
        <v>584335.37995830399</v>
      </c>
      <c r="G79" s="14">
        <v>1076240.08</v>
      </c>
      <c r="H79" s="14">
        <v>0</v>
      </c>
      <c r="I79" s="13">
        <f t="shared" si="1"/>
        <v>2456767.1699583041</v>
      </c>
    </row>
    <row r="80" spans="1:9" ht="15.75" x14ac:dyDescent="0.25">
      <c r="A80" s="8"/>
      <c r="B80" s="8"/>
      <c r="C80" s="9"/>
      <c r="D80" s="12" t="s">
        <v>76</v>
      </c>
      <c r="E80" s="14">
        <v>824735.09000000008</v>
      </c>
      <c r="F80" s="14">
        <v>308840.86995325406</v>
      </c>
      <c r="G80" s="14">
        <v>128235.56000000003</v>
      </c>
      <c r="H80" s="14">
        <v>0</v>
      </c>
      <c r="I80" s="13">
        <f t="shared" si="1"/>
        <v>1261811.5199532541</v>
      </c>
    </row>
    <row r="81" spans="1:9" ht="15.75" x14ac:dyDescent="0.25">
      <c r="A81" s="8"/>
      <c r="B81" s="8"/>
      <c r="C81" s="9"/>
      <c r="D81" s="12" t="s">
        <v>77</v>
      </c>
      <c r="E81" s="14">
        <v>2779412.0100000002</v>
      </c>
      <c r="F81" s="14">
        <v>1863464.8700111122</v>
      </c>
      <c r="G81" s="14">
        <v>2152624.81</v>
      </c>
      <c r="H81" s="14">
        <v>0</v>
      </c>
      <c r="I81" s="13">
        <f t="shared" si="1"/>
        <v>6795501.690011112</v>
      </c>
    </row>
    <row r="82" spans="1:9" ht="15.75" x14ac:dyDescent="0.25">
      <c r="A82" s="8"/>
      <c r="B82" s="8"/>
      <c r="C82" s="9"/>
      <c r="D82" s="12" t="s">
        <v>78</v>
      </c>
      <c r="E82" s="14">
        <v>1477907.8200000005</v>
      </c>
      <c r="F82" s="14">
        <v>1291593.061728806</v>
      </c>
      <c r="G82" s="14">
        <v>1938204.5600000003</v>
      </c>
      <c r="H82" s="14">
        <v>0</v>
      </c>
      <c r="I82" s="13">
        <f t="shared" si="1"/>
        <v>4707705.4417288071</v>
      </c>
    </row>
    <row r="83" spans="1:9" ht="15.75" x14ac:dyDescent="0.25">
      <c r="A83" s="8"/>
      <c r="B83" s="8"/>
      <c r="C83" s="9"/>
      <c r="D83" s="12" t="s">
        <v>79</v>
      </c>
      <c r="E83" s="14">
        <v>1053073.48</v>
      </c>
      <c r="F83" s="14">
        <v>530445.43571232795</v>
      </c>
      <c r="G83" s="14">
        <v>1239227.6500000001</v>
      </c>
      <c r="H83" s="14">
        <v>0</v>
      </c>
      <c r="I83" s="13">
        <f t="shared" si="1"/>
        <v>2822746.5657123281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11573295.880000003</v>
      </c>
      <c r="H84" s="14">
        <v>0</v>
      </c>
      <c r="I84" s="13">
        <f t="shared" si="1"/>
        <v>11573295.880000003</v>
      </c>
    </row>
    <row r="85" spans="1:9" ht="15.75" x14ac:dyDescent="0.25">
      <c r="A85" s="8"/>
      <c r="B85" s="8"/>
      <c r="C85" s="9"/>
      <c r="D85" s="12" t="s">
        <v>81</v>
      </c>
      <c r="E85" s="14">
        <v>1932247.29</v>
      </c>
      <c r="F85" s="14">
        <v>165027.08233104399</v>
      </c>
      <c r="G85" s="14">
        <v>4633950.7100000009</v>
      </c>
      <c r="H85" s="14">
        <v>0</v>
      </c>
      <c r="I85" s="13">
        <f t="shared" si="1"/>
        <v>6731225.0823310446</v>
      </c>
    </row>
    <row r="86" spans="1:9" ht="15.75" x14ac:dyDescent="0.25">
      <c r="A86" s="8"/>
      <c r="B86" s="8"/>
      <c r="C86" s="9"/>
      <c r="D86" s="12" t="s">
        <v>82</v>
      </c>
      <c r="E86" s="14">
        <v>662967.46</v>
      </c>
      <c r="F86" s="14">
        <v>685374.67665060598</v>
      </c>
      <c r="G86" s="14">
        <v>718986.95</v>
      </c>
      <c r="H86" s="14">
        <v>0</v>
      </c>
      <c r="I86" s="13">
        <f t="shared" si="1"/>
        <v>2067329.086650606</v>
      </c>
    </row>
    <row r="87" spans="1:9" ht="15.75" x14ac:dyDescent="0.25">
      <c r="A87" s="8"/>
      <c r="B87" s="8"/>
      <c r="C87" s="9"/>
      <c r="D87" s="12" t="s">
        <v>83</v>
      </c>
      <c r="E87" s="14">
        <v>398828.77999999991</v>
      </c>
      <c r="F87" s="14">
        <v>902604.3808932621</v>
      </c>
      <c r="G87" s="14">
        <v>274077.76999999996</v>
      </c>
      <c r="H87" s="14">
        <v>0</v>
      </c>
      <c r="I87" s="13">
        <f t="shared" si="1"/>
        <v>1575510.9308932619</v>
      </c>
    </row>
    <row r="88" spans="1:9" ht="15.75" x14ac:dyDescent="0.25">
      <c r="A88" s="8"/>
      <c r="B88" s="8"/>
      <c r="C88" s="9"/>
      <c r="D88" s="12" t="s">
        <v>84</v>
      </c>
      <c r="E88" s="14">
        <v>403375.57</v>
      </c>
      <c r="F88" s="14">
        <v>0</v>
      </c>
      <c r="G88" s="14">
        <v>3767462.0400000005</v>
      </c>
      <c r="H88" s="14">
        <v>0</v>
      </c>
      <c r="I88" s="13">
        <f t="shared" si="1"/>
        <v>4170837.6100000003</v>
      </c>
    </row>
    <row r="89" spans="1:9" ht="15.75" x14ac:dyDescent="0.25">
      <c r="A89" s="8"/>
      <c r="B89" s="8"/>
      <c r="C89" s="9"/>
      <c r="D89" s="12" t="s">
        <v>85</v>
      </c>
      <c r="E89" s="14">
        <v>584093.24</v>
      </c>
      <c r="F89" s="14">
        <v>885087.53975197801</v>
      </c>
      <c r="G89" s="14">
        <v>418920.30999999994</v>
      </c>
      <c r="H89" s="14">
        <v>0</v>
      </c>
      <c r="I89" s="13">
        <f t="shared" si="1"/>
        <v>1888101.0897519779</v>
      </c>
    </row>
    <row r="90" spans="1:9" ht="15.75" x14ac:dyDescent="0.25">
      <c r="A90" s="8"/>
      <c r="B90" s="8"/>
      <c r="C90" s="9"/>
      <c r="D90" s="12" t="s">
        <v>86</v>
      </c>
      <c r="E90" s="14">
        <v>223927.60999999996</v>
      </c>
      <c r="F90" s="14">
        <v>229014.86796978599</v>
      </c>
      <c r="G90" s="14">
        <v>743986.74</v>
      </c>
      <c r="H90" s="14">
        <v>0</v>
      </c>
      <c r="I90" s="13">
        <f t="shared" si="1"/>
        <v>1196929.2179697859</v>
      </c>
    </row>
    <row r="91" spans="1:9" ht="15.75" x14ac:dyDescent="0.25">
      <c r="A91" s="8"/>
      <c r="B91" s="8"/>
      <c r="C91" s="9"/>
      <c r="D91" s="12" t="s">
        <v>87</v>
      </c>
      <c r="E91" s="14">
        <v>809970.50999999989</v>
      </c>
      <c r="F91" s="14">
        <v>522365.42309055396</v>
      </c>
      <c r="G91" s="14">
        <v>1543742.75</v>
      </c>
      <c r="H91" s="14">
        <v>0</v>
      </c>
      <c r="I91" s="13">
        <f t="shared" si="1"/>
        <v>2876078.6830905536</v>
      </c>
    </row>
    <row r="92" spans="1:9" ht="15.75" x14ac:dyDescent="0.25">
      <c r="A92" s="8"/>
      <c r="B92" s="8"/>
      <c r="C92" s="9"/>
      <c r="D92" s="12" t="s">
        <v>88</v>
      </c>
      <c r="E92" s="14">
        <v>126860.05000000002</v>
      </c>
      <c r="F92" s="14">
        <v>72076.495798321994</v>
      </c>
      <c r="G92" s="14">
        <v>4799044.18</v>
      </c>
      <c r="H92" s="14">
        <v>0</v>
      </c>
      <c r="I92" s="13">
        <f t="shared" si="1"/>
        <v>4997980.7257983219</v>
      </c>
    </row>
    <row r="93" spans="1:9" ht="15.75" x14ac:dyDescent="0.25">
      <c r="A93" s="8"/>
      <c r="B93" s="8"/>
      <c r="C93" s="9"/>
      <c r="D93" s="12" t="s">
        <v>89</v>
      </c>
      <c r="E93" s="14">
        <v>2228536.16</v>
      </c>
      <c r="F93" s="14">
        <v>583996.17598387005</v>
      </c>
      <c r="G93" s="14">
        <v>742693.22</v>
      </c>
      <c r="H93" s="14">
        <v>0</v>
      </c>
      <c r="I93" s="13">
        <f t="shared" si="1"/>
        <v>3555225.5559838703</v>
      </c>
    </row>
    <row r="94" spans="1:9" ht="15.75" x14ac:dyDescent="0.25">
      <c r="A94" s="8"/>
      <c r="B94" s="8"/>
      <c r="C94" s="9"/>
      <c r="D94" s="12" t="s">
        <v>90</v>
      </c>
      <c r="E94" s="14">
        <v>73583.839999999997</v>
      </c>
      <c r="F94" s="14">
        <v>0</v>
      </c>
      <c r="G94" s="14">
        <v>241447.28999999998</v>
      </c>
      <c r="H94" s="14">
        <v>0</v>
      </c>
      <c r="I94" s="13">
        <f t="shared" si="1"/>
        <v>315031.13</v>
      </c>
    </row>
    <row r="95" spans="1:9" ht="15.75" x14ac:dyDescent="0.25">
      <c r="A95" s="8"/>
      <c r="B95" s="8"/>
      <c r="C95" s="9"/>
      <c r="D95" s="12" t="s">
        <v>91</v>
      </c>
      <c r="E95" s="14">
        <v>139737.61000000002</v>
      </c>
      <c r="F95" s="14">
        <v>18525.755526780002</v>
      </c>
      <c r="G95" s="14">
        <v>4389139.51</v>
      </c>
      <c r="H95" s="14">
        <v>0</v>
      </c>
      <c r="I95" s="13">
        <f t="shared" si="1"/>
        <v>4547402.8755267803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8524930.8299999982</v>
      </c>
      <c r="H96" s="14">
        <v>0</v>
      </c>
      <c r="I96" s="13">
        <f t="shared" si="1"/>
        <v>8524930.8299999982</v>
      </c>
    </row>
    <row r="97" spans="1:9" ht="15.75" x14ac:dyDescent="0.25">
      <c r="A97" s="8"/>
      <c r="B97" s="8"/>
      <c r="C97" s="9"/>
      <c r="D97" s="12" t="s">
        <v>93</v>
      </c>
      <c r="E97" s="14">
        <v>793596.34000000008</v>
      </c>
      <c r="F97" s="14">
        <v>831876.00345487008</v>
      </c>
      <c r="G97" s="14">
        <v>602198.09</v>
      </c>
      <c r="H97" s="14">
        <v>0</v>
      </c>
      <c r="I97" s="13">
        <f t="shared" si="1"/>
        <v>2227670.4334548702</v>
      </c>
    </row>
    <row r="98" spans="1:9" ht="15.75" x14ac:dyDescent="0.25">
      <c r="A98" s="8"/>
      <c r="B98" s="8"/>
      <c r="C98" s="9"/>
      <c r="D98" s="12" t="s">
        <v>94</v>
      </c>
      <c r="E98" s="14">
        <v>1401200.69</v>
      </c>
      <c r="F98" s="14">
        <v>1094237.23137286</v>
      </c>
      <c r="G98" s="14">
        <v>3837781.54</v>
      </c>
      <c r="H98" s="14">
        <v>0</v>
      </c>
      <c r="I98" s="13">
        <f t="shared" si="1"/>
        <v>6333219.4613728598</v>
      </c>
    </row>
    <row r="99" spans="1:9" ht="15.75" x14ac:dyDescent="0.25">
      <c r="A99" s="8"/>
      <c r="B99" s="8"/>
      <c r="C99" s="9"/>
      <c r="D99" s="12" t="s">
        <v>95</v>
      </c>
      <c r="E99" s="14">
        <v>2673747.1</v>
      </c>
      <c r="F99" s="14">
        <v>2085078.1333079922</v>
      </c>
      <c r="G99" s="14">
        <v>1967655.5</v>
      </c>
      <c r="H99" s="14">
        <v>0</v>
      </c>
      <c r="I99" s="13">
        <f t="shared" si="1"/>
        <v>6726480.7333079921</v>
      </c>
    </row>
    <row r="100" spans="1:9" ht="15.75" x14ac:dyDescent="0.25">
      <c r="A100" s="8"/>
      <c r="B100" s="8"/>
      <c r="C100" s="9"/>
      <c r="D100" s="12" t="s">
        <v>96</v>
      </c>
      <c r="E100" s="14">
        <v>1824855.99</v>
      </c>
      <c r="F100" s="14">
        <v>2086087.0476934882</v>
      </c>
      <c r="G100" s="14">
        <v>3731562.6799999997</v>
      </c>
      <c r="H100" s="14">
        <v>0</v>
      </c>
      <c r="I100" s="13">
        <f t="shared" si="1"/>
        <v>7642505.7176934881</v>
      </c>
    </row>
    <row r="101" spans="1:9" ht="15.75" x14ac:dyDescent="0.25">
      <c r="A101" s="8"/>
      <c r="B101" s="8"/>
      <c r="C101" s="9"/>
      <c r="D101" s="12" t="s">
        <v>97</v>
      </c>
      <c r="E101" s="14">
        <v>218522.36999999997</v>
      </c>
      <c r="F101" s="14">
        <v>2799389.5182391596</v>
      </c>
      <c r="G101" s="14">
        <v>129079.05999999998</v>
      </c>
      <c r="H101" s="14">
        <v>0</v>
      </c>
      <c r="I101" s="13">
        <f t="shared" si="1"/>
        <v>3146990.9482391598</v>
      </c>
    </row>
    <row r="102" spans="1:9" ht="15.75" x14ac:dyDescent="0.25">
      <c r="A102" s="8"/>
      <c r="B102" s="8"/>
      <c r="C102" s="9"/>
      <c r="D102" s="12" t="s">
        <v>98</v>
      </c>
      <c r="E102" s="14">
        <v>1293305.5799999998</v>
      </c>
      <c r="F102" s="14">
        <v>1203695.7446613701</v>
      </c>
      <c r="G102" s="14">
        <v>1788401.8799999997</v>
      </c>
      <c r="H102" s="14">
        <v>0</v>
      </c>
      <c r="I102" s="13">
        <f t="shared" si="1"/>
        <v>4285403.2046613693</v>
      </c>
    </row>
    <row r="103" spans="1:9" ht="15.75" x14ac:dyDescent="0.25">
      <c r="A103" s="8"/>
      <c r="B103" s="8"/>
      <c r="C103" s="9"/>
      <c r="D103" s="12" t="s">
        <v>99</v>
      </c>
      <c r="E103" s="14">
        <v>992157.20999999985</v>
      </c>
      <c r="F103" s="14">
        <v>382256.78657370002</v>
      </c>
      <c r="G103" s="14">
        <v>290309.65000000002</v>
      </c>
      <c r="H103" s="14">
        <v>0</v>
      </c>
      <c r="I103" s="13">
        <f t="shared" si="1"/>
        <v>1664723.6465737</v>
      </c>
    </row>
    <row r="104" spans="1:9" ht="15.75" x14ac:dyDescent="0.25">
      <c r="A104" s="8"/>
      <c r="B104" s="8"/>
      <c r="C104" s="9"/>
      <c r="D104" s="12" t="s">
        <v>100</v>
      </c>
      <c r="E104" s="14">
        <v>2750448.5599999996</v>
      </c>
      <c r="F104" s="14">
        <v>698507.95873766602</v>
      </c>
      <c r="G104" s="14">
        <v>4137794.13</v>
      </c>
      <c r="H104" s="14">
        <v>0</v>
      </c>
      <c r="I104" s="13">
        <f t="shared" si="1"/>
        <v>7586750.6487376653</v>
      </c>
    </row>
    <row r="105" spans="1:9" ht="15.75" x14ac:dyDescent="0.25">
      <c r="A105" s="8"/>
      <c r="B105" s="8"/>
      <c r="C105" s="9"/>
      <c r="D105" s="12" t="s">
        <v>101</v>
      </c>
      <c r="E105" s="14">
        <v>513028.65000000008</v>
      </c>
      <c r="F105" s="14">
        <v>1037320.543970396</v>
      </c>
      <c r="G105" s="14">
        <v>35725.54</v>
      </c>
      <c r="H105" s="14">
        <v>0</v>
      </c>
      <c r="I105" s="13">
        <f t="shared" si="1"/>
        <v>1586074.7339703962</v>
      </c>
    </row>
    <row r="106" spans="1:9" ht="15.75" x14ac:dyDescent="0.25">
      <c r="A106" s="8"/>
      <c r="B106" s="8"/>
      <c r="C106" s="9"/>
      <c r="D106" s="12" t="s">
        <v>102</v>
      </c>
      <c r="E106" s="14">
        <v>1273770.9099999999</v>
      </c>
      <c r="F106" s="14">
        <v>63987.785638741996</v>
      </c>
      <c r="G106" s="14">
        <v>8354251.2800000003</v>
      </c>
      <c r="H106" s="14">
        <v>0</v>
      </c>
      <c r="I106" s="13">
        <f t="shared" si="1"/>
        <v>9692009.9756387416</v>
      </c>
    </row>
    <row r="107" spans="1:9" ht="15.75" x14ac:dyDescent="0.25">
      <c r="A107" s="8"/>
      <c r="B107" s="8"/>
      <c r="C107" s="9"/>
      <c r="D107" s="12" t="s">
        <v>103</v>
      </c>
      <c r="E107" s="14">
        <v>12863.84</v>
      </c>
      <c r="F107" s="14">
        <v>0</v>
      </c>
      <c r="G107" s="14">
        <v>3329449.1799999992</v>
      </c>
      <c r="H107" s="14">
        <v>0</v>
      </c>
      <c r="I107" s="13">
        <f t="shared" si="1"/>
        <v>3342313.0199999991</v>
      </c>
    </row>
    <row r="108" spans="1:9" ht="15.75" x14ac:dyDescent="0.25">
      <c r="A108" s="8"/>
      <c r="B108" s="8"/>
      <c r="C108" s="9"/>
      <c r="D108" s="12" t="s">
        <v>104</v>
      </c>
      <c r="E108" s="14">
        <v>155651.32</v>
      </c>
      <c r="F108" s="14">
        <v>0</v>
      </c>
      <c r="G108" s="14">
        <v>1417730.1699999997</v>
      </c>
      <c r="H108" s="14">
        <v>0</v>
      </c>
      <c r="I108" s="13">
        <f t="shared" si="1"/>
        <v>1573381.4899999998</v>
      </c>
    </row>
    <row r="109" spans="1:9" ht="15.75" x14ac:dyDescent="0.25">
      <c r="A109" s="8"/>
      <c r="B109" s="8"/>
      <c r="C109" s="9"/>
      <c r="D109" s="12" t="s">
        <v>105</v>
      </c>
      <c r="E109" s="14">
        <v>356297.05000000005</v>
      </c>
      <c r="F109" s="14">
        <v>1668466.072400592</v>
      </c>
      <c r="G109" s="14">
        <v>475144.67999999993</v>
      </c>
      <c r="H109" s="14">
        <v>0</v>
      </c>
      <c r="I109" s="13">
        <f t="shared" si="1"/>
        <v>2499907.8024005918</v>
      </c>
    </row>
    <row r="110" spans="1:9" ht="15.75" x14ac:dyDescent="0.25">
      <c r="A110" s="8"/>
      <c r="B110" s="8"/>
      <c r="C110" s="9"/>
      <c r="D110" s="12" t="s">
        <v>106</v>
      </c>
      <c r="E110" s="14">
        <v>388729.03</v>
      </c>
      <c r="F110" s="14">
        <v>409871.46910775005</v>
      </c>
      <c r="G110" s="14">
        <v>367768.42000000004</v>
      </c>
      <c r="H110" s="14">
        <v>0</v>
      </c>
      <c r="I110" s="13">
        <f t="shared" si="1"/>
        <v>1166368.9191077501</v>
      </c>
    </row>
    <row r="111" spans="1:9" ht="15.75" x14ac:dyDescent="0.25">
      <c r="A111" s="8"/>
      <c r="B111" s="8"/>
      <c r="C111" s="9"/>
      <c r="D111" s="12" t="s">
        <v>107</v>
      </c>
      <c r="E111" s="14">
        <v>66369.91</v>
      </c>
      <c r="F111" s="14">
        <v>6401.3878252160011</v>
      </c>
      <c r="G111" s="14">
        <v>11102013.450000001</v>
      </c>
      <c r="H111" s="14">
        <v>0</v>
      </c>
      <c r="I111" s="13">
        <f t="shared" si="1"/>
        <v>11174784.747825217</v>
      </c>
    </row>
    <row r="112" spans="1:9" ht="15.75" x14ac:dyDescent="0.25">
      <c r="A112" s="8"/>
      <c r="B112" s="8"/>
      <c r="C112" s="9"/>
      <c r="D112" s="12" t="s">
        <v>108</v>
      </c>
      <c r="E112" s="14">
        <v>1087412.3</v>
      </c>
      <c r="F112" s="14">
        <v>437825.35561623401</v>
      </c>
      <c r="G112" s="14">
        <v>811078.2100000002</v>
      </c>
      <c r="H112" s="14">
        <v>0</v>
      </c>
      <c r="I112" s="13">
        <f t="shared" si="1"/>
        <v>2336315.865616234</v>
      </c>
    </row>
    <row r="113" spans="1:9" ht="15.75" x14ac:dyDescent="0.25">
      <c r="A113" s="8"/>
      <c r="B113" s="8"/>
      <c r="C113" s="9"/>
      <c r="D113" s="12" t="s">
        <v>109</v>
      </c>
      <c r="E113" s="14">
        <v>484014.4</v>
      </c>
      <c r="F113" s="14">
        <v>1054158.9771628121</v>
      </c>
      <c r="G113" s="14">
        <v>811100.04999999993</v>
      </c>
      <c r="H113" s="14">
        <v>0</v>
      </c>
      <c r="I113" s="13">
        <f t="shared" si="1"/>
        <v>2349273.4271628121</v>
      </c>
    </row>
    <row r="114" spans="1:9" ht="15.75" x14ac:dyDescent="0.25">
      <c r="A114" s="8"/>
      <c r="B114" s="8"/>
      <c r="C114" s="9"/>
      <c r="D114" s="12" t="s">
        <v>110</v>
      </c>
      <c r="E114" s="14">
        <v>721806.09999999974</v>
      </c>
      <c r="F114" s="14">
        <v>1209079.5205632842</v>
      </c>
      <c r="G114" s="14">
        <v>1126804.1200000001</v>
      </c>
      <c r="H114" s="14">
        <v>0</v>
      </c>
      <c r="I114" s="13">
        <f t="shared" si="1"/>
        <v>3057689.7405632841</v>
      </c>
    </row>
    <row r="115" spans="1:9" ht="15.75" x14ac:dyDescent="0.25">
      <c r="A115" s="8"/>
      <c r="B115" s="8"/>
      <c r="C115" s="9"/>
      <c r="D115" s="12" t="s">
        <v>111</v>
      </c>
      <c r="E115" s="14">
        <v>2057538.17</v>
      </c>
      <c r="F115" s="14">
        <v>597807.86601979798</v>
      </c>
      <c r="G115" s="14">
        <v>1489347.2299999997</v>
      </c>
      <c r="H115" s="14">
        <v>0</v>
      </c>
      <c r="I115" s="13">
        <f t="shared" si="1"/>
        <v>4144693.2660197979</v>
      </c>
    </row>
    <row r="116" spans="1:9" ht="15.75" x14ac:dyDescent="0.25">
      <c r="A116" s="8"/>
      <c r="B116" s="8"/>
      <c r="C116" s="9"/>
      <c r="D116" s="12" t="s">
        <v>112</v>
      </c>
      <c r="E116" s="14">
        <v>575051.55000000005</v>
      </c>
      <c r="F116" s="14">
        <v>776307.43441233609</v>
      </c>
      <c r="G116" s="14">
        <v>197293.2</v>
      </c>
      <c r="H116" s="14">
        <v>0</v>
      </c>
      <c r="I116" s="13">
        <f t="shared" si="1"/>
        <v>1548652.1844123362</v>
      </c>
    </row>
    <row r="117" spans="1:9" ht="15.75" x14ac:dyDescent="0.25">
      <c r="A117" s="8"/>
      <c r="B117" s="8"/>
      <c r="C117" s="9"/>
      <c r="D117" s="12" t="s">
        <v>113</v>
      </c>
      <c r="E117" s="14">
        <v>353817.61999999988</v>
      </c>
      <c r="F117" s="14">
        <v>599486.49081635592</v>
      </c>
      <c r="G117" s="14">
        <v>1066713.3399999999</v>
      </c>
      <c r="H117" s="14">
        <v>0</v>
      </c>
      <c r="I117" s="13">
        <f t="shared" si="1"/>
        <v>2020017.4508163556</v>
      </c>
    </row>
    <row r="118" spans="1:9" ht="15.75" x14ac:dyDescent="0.25">
      <c r="A118" s="8"/>
      <c r="B118" s="8"/>
      <c r="C118" s="9"/>
      <c r="D118" s="12" t="s">
        <v>114</v>
      </c>
      <c r="E118" s="14">
        <v>1185317.49</v>
      </c>
      <c r="F118" s="14">
        <v>936281.24727809394</v>
      </c>
      <c r="G118" s="14">
        <v>1170062.72</v>
      </c>
      <c r="H118" s="14">
        <v>0</v>
      </c>
      <c r="I118" s="13">
        <f t="shared" si="1"/>
        <v>3291661.4572780943</v>
      </c>
    </row>
    <row r="119" spans="1:9" ht="15.75" x14ac:dyDescent="0.25">
      <c r="A119" s="8"/>
      <c r="B119" s="8"/>
      <c r="C119" s="9"/>
      <c r="D119" s="12" t="s">
        <v>115</v>
      </c>
      <c r="E119" s="14">
        <v>226545.84000000003</v>
      </c>
      <c r="F119" s="14">
        <v>90932.757761729998</v>
      </c>
      <c r="G119" s="14">
        <v>781093.21</v>
      </c>
      <c r="H119" s="14">
        <v>0</v>
      </c>
      <c r="I119" s="13">
        <f t="shared" si="1"/>
        <v>1098571.8077617299</v>
      </c>
    </row>
    <row r="120" spans="1:9" ht="15.75" x14ac:dyDescent="0.25">
      <c r="A120" s="8"/>
      <c r="B120" s="8"/>
      <c r="C120" s="9"/>
      <c r="D120" s="12" t="s">
        <v>116</v>
      </c>
      <c r="E120" s="14">
        <v>1162690.0799999998</v>
      </c>
      <c r="F120" s="14">
        <v>397416.59496955801</v>
      </c>
      <c r="G120" s="14">
        <v>1709433.19</v>
      </c>
      <c r="H120" s="14">
        <v>0</v>
      </c>
      <c r="I120" s="13">
        <f t="shared" si="1"/>
        <v>3269539.8649695581</v>
      </c>
    </row>
    <row r="121" spans="1:9" ht="15.75" x14ac:dyDescent="0.25">
      <c r="A121" s="8"/>
      <c r="B121" s="8"/>
      <c r="C121" s="9"/>
      <c r="D121" s="12" t="s">
        <v>117</v>
      </c>
      <c r="E121" s="14">
        <v>622368.32000000007</v>
      </c>
      <c r="F121" s="14">
        <v>589719.1558602181</v>
      </c>
      <c r="G121" s="14">
        <v>705083.20000000019</v>
      </c>
      <c r="H121" s="14">
        <v>0</v>
      </c>
      <c r="I121" s="13">
        <f t="shared" si="1"/>
        <v>1917170.6758602182</v>
      </c>
    </row>
    <row r="122" spans="1:9" ht="15.75" x14ac:dyDescent="0.25">
      <c r="A122" s="8"/>
      <c r="B122" s="8"/>
      <c r="C122" s="9"/>
      <c r="D122" s="12" t="s">
        <v>118</v>
      </c>
      <c r="E122" s="14">
        <v>956938.4099999998</v>
      </c>
      <c r="F122" s="14">
        <v>434798.61245974601</v>
      </c>
      <c r="G122" s="14">
        <v>2353215.5300000003</v>
      </c>
      <c r="H122" s="14">
        <v>0</v>
      </c>
      <c r="I122" s="13">
        <f t="shared" si="1"/>
        <v>3744952.5524597461</v>
      </c>
    </row>
    <row r="123" spans="1:9" ht="15.75" x14ac:dyDescent="0.25">
      <c r="A123" s="8"/>
      <c r="B123" s="8"/>
      <c r="C123" s="9"/>
      <c r="D123" s="12" t="s">
        <v>119</v>
      </c>
      <c r="E123" s="14">
        <v>581607.82000000007</v>
      </c>
      <c r="F123" s="14">
        <v>798868.84748110001</v>
      </c>
      <c r="G123" s="14">
        <v>411670.18999999994</v>
      </c>
      <c r="H123" s="14">
        <v>0</v>
      </c>
      <c r="I123" s="13">
        <f t="shared" si="1"/>
        <v>1792146.8574811001</v>
      </c>
    </row>
    <row r="124" spans="1:9" ht="15.75" x14ac:dyDescent="0.25">
      <c r="A124" s="8"/>
      <c r="B124" s="8"/>
      <c r="C124" s="9"/>
      <c r="D124" s="12" t="s">
        <v>120</v>
      </c>
      <c r="E124" s="14">
        <v>53603.130000000005</v>
      </c>
      <c r="F124" s="14">
        <v>0</v>
      </c>
      <c r="G124" s="14">
        <v>3269960.27</v>
      </c>
      <c r="H124" s="14">
        <v>1028844.705</v>
      </c>
      <c r="I124" s="13">
        <f t="shared" si="1"/>
        <v>4352408.1049999995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15282237.680000002</v>
      </c>
      <c r="H125" s="14">
        <v>250249.64</v>
      </c>
      <c r="I125" s="13">
        <f t="shared" si="1"/>
        <v>15532487.320000002</v>
      </c>
    </row>
    <row r="126" spans="1:9" ht="15.75" x14ac:dyDescent="0.25">
      <c r="A126" s="8"/>
      <c r="B126" s="8"/>
      <c r="C126" s="9"/>
      <c r="D126" s="12" t="s">
        <v>122</v>
      </c>
      <c r="E126" s="14">
        <v>46389.11</v>
      </c>
      <c r="F126" s="14">
        <v>0</v>
      </c>
      <c r="G126" s="14">
        <v>5512765.8799999999</v>
      </c>
      <c r="H126" s="14">
        <v>0</v>
      </c>
      <c r="I126" s="13">
        <f t="shared" si="1"/>
        <v>5559154.9900000002</v>
      </c>
    </row>
    <row r="127" spans="1:9" ht="15.75" x14ac:dyDescent="0.25">
      <c r="A127" s="8"/>
      <c r="B127" s="8"/>
      <c r="C127" s="9"/>
      <c r="D127" s="12" t="s">
        <v>123</v>
      </c>
      <c r="E127" s="14">
        <v>967453.16999999993</v>
      </c>
      <c r="F127" s="14">
        <v>168393.02946196601</v>
      </c>
      <c r="G127" s="14">
        <v>4360381.91</v>
      </c>
      <c r="H127" s="14">
        <v>0</v>
      </c>
      <c r="I127" s="13">
        <f t="shared" si="1"/>
        <v>5496228.109461966</v>
      </c>
    </row>
    <row r="128" spans="1:9" ht="15.75" x14ac:dyDescent="0.25">
      <c r="A128" s="8"/>
      <c r="B128" s="8"/>
      <c r="C128" s="9"/>
      <c r="D128" s="12" t="s">
        <v>124</v>
      </c>
      <c r="E128" s="14">
        <v>1580820.1500000001</v>
      </c>
      <c r="F128" s="14">
        <v>525392.16624704201</v>
      </c>
      <c r="G128" s="14">
        <v>1797767.1999999997</v>
      </c>
      <c r="H128" s="14">
        <v>0</v>
      </c>
      <c r="I128" s="13">
        <f t="shared" si="1"/>
        <v>3903979.516247042</v>
      </c>
    </row>
    <row r="129" spans="1:9" ht="15.75" x14ac:dyDescent="0.25">
      <c r="A129" s="8"/>
      <c r="B129" s="8"/>
      <c r="C129" s="9"/>
      <c r="D129" s="12" t="s">
        <v>125</v>
      </c>
      <c r="E129" s="14">
        <v>430727.98</v>
      </c>
      <c r="F129" s="14">
        <v>254281.21529621599</v>
      </c>
      <c r="G129" s="14">
        <v>1176021.22</v>
      </c>
      <c r="H129" s="14">
        <v>0</v>
      </c>
      <c r="I129" s="13">
        <f t="shared" si="1"/>
        <v>1861030.415296216</v>
      </c>
    </row>
    <row r="130" spans="1:9" ht="15.75" x14ac:dyDescent="0.25">
      <c r="A130" s="8"/>
      <c r="B130" s="8"/>
      <c r="C130" s="9"/>
      <c r="D130" s="12" t="s">
        <v>126</v>
      </c>
      <c r="E130" s="14">
        <v>337418.79</v>
      </c>
      <c r="F130" s="14">
        <v>447931.894546806</v>
      </c>
      <c r="G130" s="14">
        <v>354974.3</v>
      </c>
      <c r="H130" s="14">
        <v>0</v>
      </c>
      <c r="I130" s="13">
        <f t="shared" si="1"/>
        <v>1140324.984546806</v>
      </c>
    </row>
    <row r="131" spans="1:9" ht="15.75" x14ac:dyDescent="0.25">
      <c r="A131" s="8"/>
      <c r="B131" s="8"/>
      <c r="C131" s="9"/>
      <c r="D131" s="12" t="s">
        <v>127</v>
      </c>
      <c r="E131" s="14">
        <v>4408157.7299999995</v>
      </c>
      <c r="F131" s="14">
        <v>2448139.45394385</v>
      </c>
      <c r="G131" s="14">
        <v>8059365.46</v>
      </c>
      <c r="H131" s="14">
        <v>0</v>
      </c>
      <c r="I131" s="13">
        <f t="shared" si="1"/>
        <v>14915662.64394385</v>
      </c>
    </row>
    <row r="132" spans="1:9" ht="15.75" x14ac:dyDescent="0.25">
      <c r="A132" s="8"/>
      <c r="B132" s="8"/>
      <c r="C132" s="9"/>
      <c r="D132" s="12" t="s">
        <v>128</v>
      </c>
      <c r="E132" s="14">
        <v>890779.21</v>
      </c>
      <c r="F132" s="14">
        <v>1502090.871709618</v>
      </c>
      <c r="G132" s="14">
        <v>186197.27</v>
      </c>
      <c r="H132" s="14">
        <v>0</v>
      </c>
      <c r="I132" s="13">
        <f t="shared" si="1"/>
        <v>2579067.3517096178</v>
      </c>
    </row>
    <row r="133" spans="1:9" ht="15.75" x14ac:dyDescent="0.25">
      <c r="A133" s="8"/>
      <c r="B133" s="8"/>
      <c r="C133" s="9"/>
      <c r="D133" s="12" t="s">
        <v>129</v>
      </c>
      <c r="E133" s="14">
        <v>443351.51999999996</v>
      </c>
      <c r="F133" s="14">
        <v>0</v>
      </c>
      <c r="G133" s="14">
        <v>8231375.8900000006</v>
      </c>
      <c r="H133" s="14">
        <v>662324.72500000021</v>
      </c>
      <c r="I133" s="13">
        <f t="shared" si="1"/>
        <v>9337052.1349999998</v>
      </c>
    </row>
    <row r="134" spans="1:9" ht="15.75" x14ac:dyDescent="0.25">
      <c r="A134" s="8"/>
      <c r="B134" s="8"/>
      <c r="C134" s="9"/>
      <c r="D134" s="12" t="s">
        <v>130</v>
      </c>
      <c r="E134" s="14">
        <v>135478.82999999999</v>
      </c>
      <c r="F134" s="14">
        <v>74094.324569314005</v>
      </c>
      <c r="G134" s="14">
        <v>20808.320000000003</v>
      </c>
      <c r="H134" s="14">
        <v>0</v>
      </c>
      <c r="I134" s="13">
        <f t="shared" si="1"/>
        <v>230381.47456931398</v>
      </c>
    </row>
    <row r="135" spans="1:9" ht="15.75" x14ac:dyDescent="0.25">
      <c r="A135" s="8"/>
      <c r="B135" s="8"/>
      <c r="C135" s="9"/>
      <c r="D135" s="12" t="s">
        <v>131</v>
      </c>
      <c r="E135" s="14">
        <v>1401102.8700000003</v>
      </c>
      <c r="F135" s="14">
        <v>936281.24727809394</v>
      </c>
      <c r="G135" s="14">
        <v>522546.29</v>
      </c>
      <c r="H135" s="14">
        <v>0</v>
      </c>
      <c r="I135" s="13">
        <f t="shared" si="1"/>
        <v>2859930.4072780944</v>
      </c>
    </row>
    <row r="136" spans="1:9" ht="15.75" x14ac:dyDescent="0.25">
      <c r="A136" s="8"/>
      <c r="B136" s="8"/>
      <c r="C136" s="9"/>
      <c r="D136" s="12" t="s">
        <v>132</v>
      </c>
      <c r="E136" s="14">
        <v>2004435.3799999997</v>
      </c>
      <c r="F136" s="14">
        <v>1131619.2488630482</v>
      </c>
      <c r="G136" s="14">
        <v>3206532.13</v>
      </c>
      <c r="H136" s="14">
        <v>0</v>
      </c>
      <c r="I136" s="13">
        <f t="shared" si="1"/>
        <v>6342586.7588630477</v>
      </c>
    </row>
    <row r="137" spans="1:9" ht="15.75" x14ac:dyDescent="0.25">
      <c r="A137" s="8"/>
      <c r="B137" s="8"/>
      <c r="C137" s="9"/>
      <c r="D137" s="12" t="s">
        <v>133</v>
      </c>
      <c r="E137" s="14">
        <v>1759440.89</v>
      </c>
      <c r="F137" s="14">
        <v>1779272.7040490322</v>
      </c>
      <c r="G137" s="14">
        <v>5545140.2699999996</v>
      </c>
      <c r="H137" s="14">
        <v>0</v>
      </c>
      <c r="I137" s="13">
        <f t="shared" si="1"/>
        <v>9083853.8640490323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6489660.6599999992</v>
      </c>
      <c r="H138" s="14">
        <v>0</v>
      </c>
      <c r="I138" s="13">
        <f t="shared" ref="I138:I144" si="2">SUM(E138:H138)</f>
        <v>6489660.6599999992</v>
      </c>
    </row>
    <row r="139" spans="1:9" ht="15.75" x14ac:dyDescent="0.25">
      <c r="A139" s="8"/>
      <c r="B139" s="8"/>
      <c r="C139" s="9"/>
      <c r="D139" s="12" t="s">
        <v>135</v>
      </c>
      <c r="E139" s="14">
        <v>123746.04999999999</v>
      </c>
      <c r="F139" s="14">
        <v>266405.58299778</v>
      </c>
      <c r="G139" s="14">
        <v>594896.6100000001</v>
      </c>
      <c r="H139" s="14">
        <v>0</v>
      </c>
      <c r="I139" s="13">
        <f t="shared" si="2"/>
        <v>985048.24299778009</v>
      </c>
    </row>
    <row r="140" spans="1:9" ht="15.75" x14ac:dyDescent="0.25">
      <c r="A140" s="8"/>
      <c r="B140" s="8"/>
      <c r="C140" s="9"/>
      <c r="D140" s="12" t="s">
        <v>136</v>
      </c>
      <c r="E140" s="14">
        <v>1786893.5599999998</v>
      </c>
      <c r="F140" s="14">
        <v>1889400.9277486042</v>
      </c>
      <c r="G140" s="14">
        <v>1996344.0100000002</v>
      </c>
      <c r="H140" s="14">
        <v>0</v>
      </c>
      <c r="I140" s="13">
        <f t="shared" si="2"/>
        <v>5672638.497748604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7965030.6499999994</v>
      </c>
      <c r="H141" s="14">
        <v>45236.22</v>
      </c>
      <c r="I141" s="13">
        <f t="shared" si="2"/>
        <v>8010266.8699999992</v>
      </c>
    </row>
    <row r="142" spans="1:9" ht="15.75" x14ac:dyDescent="0.25">
      <c r="A142" s="8"/>
      <c r="B142" s="8"/>
      <c r="C142" s="9"/>
      <c r="D142" s="12" t="s">
        <v>138</v>
      </c>
      <c r="E142" s="14">
        <v>47131.35</v>
      </c>
      <c r="F142" s="14">
        <v>0</v>
      </c>
      <c r="G142" s="14">
        <v>3252759.2699999996</v>
      </c>
      <c r="H142" s="14">
        <v>0</v>
      </c>
      <c r="I142" s="13">
        <f t="shared" si="2"/>
        <v>3299890.6199999996</v>
      </c>
    </row>
    <row r="143" spans="1:9" ht="15.75" x14ac:dyDescent="0.25">
      <c r="A143" s="8"/>
      <c r="B143" s="8"/>
      <c r="C143" s="9"/>
      <c r="D143" s="12" t="s">
        <v>139</v>
      </c>
      <c r="E143" s="14">
        <v>1343852.8499999999</v>
      </c>
      <c r="F143" s="14">
        <v>1746265.548075262</v>
      </c>
      <c r="G143" s="14">
        <v>111607.21</v>
      </c>
      <c r="H143" s="14">
        <v>0</v>
      </c>
      <c r="I143" s="13">
        <f t="shared" si="2"/>
        <v>3201725.608075262</v>
      </c>
    </row>
    <row r="144" spans="1:9" ht="15.75" x14ac:dyDescent="0.25">
      <c r="A144" s="8"/>
      <c r="B144" s="8"/>
      <c r="C144" s="9"/>
      <c r="D144" s="12" t="s">
        <v>140</v>
      </c>
      <c r="E144" s="14">
        <v>2377268.7100000004</v>
      </c>
      <c r="F144" s="14">
        <v>212176.43477737001</v>
      </c>
      <c r="G144" s="14">
        <v>2273586.5</v>
      </c>
      <c r="H144" s="14">
        <v>0</v>
      </c>
      <c r="I144" s="13">
        <f t="shared" si="2"/>
        <v>4863031.6447773706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128105577.82999997</v>
      </c>
      <c r="F145" s="22">
        <f t="shared" ref="F145:I145" si="3">SUM(F10:F144)</f>
        <v>86971342.402457997</v>
      </c>
      <c r="G145" s="22">
        <f t="shared" si="3"/>
        <v>409702093.65999991</v>
      </c>
      <c r="H145" s="22">
        <f t="shared" si="3"/>
        <v>1986655.2900000003</v>
      </c>
      <c r="I145" s="22">
        <f t="shared" si="3"/>
        <v>626765669.18245816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J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3.5" customHeight="1" x14ac:dyDescent="0.2"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148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149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506275.24999999994</v>
      </c>
      <c r="F10" s="14">
        <v>5415571.5977198537</v>
      </c>
      <c r="G10" s="14">
        <v>415215.02</v>
      </c>
      <c r="H10" s="14">
        <v>0</v>
      </c>
      <c r="I10" s="13">
        <f t="shared" ref="I10:I73" si="0">SUM(E10:H10)</f>
        <v>6337061.8677198533</v>
      </c>
    </row>
    <row r="11" spans="1:9" ht="15.75" x14ac:dyDescent="0.25">
      <c r="A11" s="8"/>
      <c r="B11" s="8"/>
      <c r="C11" s="9"/>
      <c r="D11" s="12" t="s">
        <v>7</v>
      </c>
      <c r="E11" s="14">
        <v>937594.37999999989</v>
      </c>
      <c r="F11" s="14">
        <v>3039632.3196010194</v>
      </c>
      <c r="G11" s="14">
        <v>347290.44</v>
      </c>
      <c r="H11" s="14">
        <v>0</v>
      </c>
      <c r="I11" s="13">
        <f t="shared" si="0"/>
        <v>4324517.1396010192</v>
      </c>
    </row>
    <row r="12" spans="1:9" ht="15.75" x14ac:dyDescent="0.25">
      <c r="A12" s="8"/>
      <c r="B12" s="8"/>
      <c r="C12" s="9"/>
      <c r="D12" s="12" t="s">
        <v>8</v>
      </c>
      <c r="E12" s="14">
        <v>359139.26</v>
      </c>
      <c r="F12" s="14">
        <v>1101955.8038539046</v>
      </c>
      <c r="G12" s="14">
        <v>308311.25</v>
      </c>
      <c r="H12" s="14">
        <v>0</v>
      </c>
      <c r="I12" s="13">
        <f t="shared" si="0"/>
        <v>1769406.3138539046</v>
      </c>
    </row>
    <row r="13" spans="1:9" ht="15.75" x14ac:dyDescent="0.25">
      <c r="A13" s="8"/>
      <c r="B13" s="8"/>
      <c r="C13" s="9"/>
      <c r="D13" s="12" t="s">
        <v>9</v>
      </c>
      <c r="E13" s="14">
        <v>50771.11</v>
      </c>
      <c r="F13" s="14">
        <v>29160.635013509993</v>
      </c>
      <c r="G13" s="14">
        <v>4219237.92</v>
      </c>
      <c r="H13" s="14">
        <v>0</v>
      </c>
      <c r="I13" s="13">
        <f t="shared" si="0"/>
        <v>4299169.6650135098</v>
      </c>
    </row>
    <row r="14" spans="1:9" ht="15.75" x14ac:dyDescent="0.25">
      <c r="A14" s="8"/>
      <c r="B14" s="8"/>
      <c r="C14" s="9"/>
      <c r="D14" s="12" t="s">
        <v>10</v>
      </c>
      <c r="E14" s="14">
        <v>1053519.8699999999</v>
      </c>
      <c r="F14" s="14">
        <v>1224395.3376154497</v>
      </c>
      <c r="G14" s="14">
        <v>834086.45</v>
      </c>
      <c r="H14" s="14">
        <v>0</v>
      </c>
      <c r="I14" s="13">
        <f t="shared" si="0"/>
        <v>3112001.6576154493</v>
      </c>
    </row>
    <row r="15" spans="1:9" ht="15.75" x14ac:dyDescent="0.25">
      <c r="A15" s="8"/>
      <c r="B15" s="8"/>
      <c r="C15" s="9"/>
      <c r="D15" s="12" t="s">
        <v>11</v>
      </c>
      <c r="E15" s="14">
        <v>208687.66</v>
      </c>
      <c r="F15" s="14">
        <v>6800.8021417049986</v>
      </c>
      <c r="G15" s="14">
        <v>4486874.96</v>
      </c>
      <c r="H15" s="14">
        <v>0</v>
      </c>
      <c r="I15" s="13">
        <f t="shared" si="0"/>
        <v>4702363.4221417047</v>
      </c>
    </row>
    <row r="16" spans="1:9" ht="15.75" x14ac:dyDescent="0.25">
      <c r="A16" s="8"/>
      <c r="B16" s="8"/>
      <c r="C16" s="9"/>
      <c r="D16" s="12" t="s">
        <v>12</v>
      </c>
      <c r="E16" s="14">
        <v>771180.55999999982</v>
      </c>
      <c r="F16" s="14">
        <v>5838275.3293614732</v>
      </c>
      <c r="G16" s="14">
        <v>547239.05999999994</v>
      </c>
      <c r="H16" s="14">
        <v>0</v>
      </c>
      <c r="I16" s="13">
        <f t="shared" si="0"/>
        <v>7156694.9493614724</v>
      </c>
    </row>
    <row r="17" spans="1:9" ht="15.75" x14ac:dyDescent="0.25">
      <c r="A17" s="8"/>
      <c r="B17" s="8"/>
      <c r="C17" s="9"/>
      <c r="D17" s="12" t="s">
        <v>13</v>
      </c>
      <c r="E17" s="14">
        <v>2182495.8199999998</v>
      </c>
      <c r="F17" s="14">
        <v>5364076.2250453942</v>
      </c>
      <c r="G17" s="14">
        <v>1466550.0999999999</v>
      </c>
      <c r="H17" s="14">
        <v>0</v>
      </c>
      <c r="I17" s="13">
        <f t="shared" si="0"/>
        <v>9013122.1450453941</v>
      </c>
    </row>
    <row r="18" spans="1:9" ht="15.75" x14ac:dyDescent="0.25">
      <c r="A18" s="8"/>
      <c r="B18" s="8"/>
      <c r="C18" s="9"/>
      <c r="D18" s="12" t="s">
        <v>14</v>
      </c>
      <c r="E18" s="14">
        <v>982581.73000000021</v>
      </c>
      <c r="F18" s="14">
        <v>437284.04914837482</v>
      </c>
      <c r="G18" s="14">
        <v>7926698.5700000003</v>
      </c>
      <c r="H18" s="14">
        <v>0</v>
      </c>
      <c r="I18" s="13">
        <f t="shared" si="0"/>
        <v>9346564.3491483759</v>
      </c>
    </row>
    <row r="19" spans="1:9" ht="15.75" x14ac:dyDescent="0.25">
      <c r="A19" s="8"/>
      <c r="B19" s="8"/>
      <c r="C19" s="9"/>
      <c r="D19" s="12" t="s">
        <v>15</v>
      </c>
      <c r="E19" s="14">
        <v>2631782.0499999993</v>
      </c>
      <c r="F19" s="14">
        <v>4173684.8981384691</v>
      </c>
      <c r="G19" s="14">
        <v>1017591.99</v>
      </c>
      <c r="H19" s="14">
        <v>0</v>
      </c>
      <c r="I19" s="13">
        <f t="shared" si="0"/>
        <v>7823058.9381384682</v>
      </c>
    </row>
    <row r="20" spans="1:9" ht="15.75" x14ac:dyDescent="0.25">
      <c r="A20" s="8"/>
      <c r="B20" s="8"/>
      <c r="C20" s="9"/>
      <c r="D20" s="12" t="s">
        <v>16</v>
      </c>
      <c r="E20" s="14">
        <v>1860727.07</v>
      </c>
      <c r="F20" s="14">
        <v>1146675.4695975147</v>
      </c>
      <c r="G20" s="14">
        <v>550963.05999999994</v>
      </c>
      <c r="H20" s="14">
        <v>0</v>
      </c>
      <c r="I20" s="13">
        <f t="shared" si="0"/>
        <v>3558365.5995975151</v>
      </c>
    </row>
    <row r="21" spans="1:9" ht="15.75" x14ac:dyDescent="0.25">
      <c r="A21" s="8"/>
      <c r="B21" s="8"/>
      <c r="C21" s="9"/>
      <c r="D21" s="12" t="s">
        <v>17</v>
      </c>
      <c r="E21" s="14">
        <v>978020.19000000018</v>
      </c>
      <c r="F21" s="14">
        <v>4992867.8660782343</v>
      </c>
      <c r="G21" s="14">
        <v>388787.66000000003</v>
      </c>
      <c r="H21" s="14">
        <v>0</v>
      </c>
      <c r="I21" s="13">
        <f t="shared" si="0"/>
        <v>6359675.7160782348</v>
      </c>
    </row>
    <row r="22" spans="1:9" ht="15.75" x14ac:dyDescent="0.25">
      <c r="A22" s="8"/>
      <c r="B22" s="8"/>
      <c r="C22" s="9"/>
      <c r="D22" s="12" t="s">
        <v>18</v>
      </c>
      <c r="E22" s="14">
        <v>151910.04999999999</v>
      </c>
      <c r="F22" s="14">
        <v>213786.10127374495</v>
      </c>
      <c r="G22" s="14">
        <v>3171580.26</v>
      </c>
      <c r="H22" s="14">
        <v>0</v>
      </c>
      <c r="I22" s="13">
        <f t="shared" si="0"/>
        <v>3537276.4112737449</v>
      </c>
    </row>
    <row r="23" spans="1:9" ht="15.75" x14ac:dyDescent="0.25">
      <c r="A23" s="8"/>
      <c r="B23" s="8"/>
      <c r="C23" s="9"/>
      <c r="D23" s="12" t="s">
        <v>19</v>
      </c>
      <c r="E23" s="14">
        <v>332121.13999999996</v>
      </c>
      <c r="F23" s="14">
        <v>79677.294464624982</v>
      </c>
      <c r="G23" s="14">
        <v>1000952.84</v>
      </c>
      <c r="H23" s="14">
        <v>0</v>
      </c>
      <c r="I23" s="13">
        <f t="shared" si="0"/>
        <v>1412751.2744646249</v>
      </c>
    </row>
    <row r="24" spans="1:9" ht="15.75" x14ac:dyDescent="0.25">
      <c r="A24" s="8"/>
      <c r="B24" s="8"/>
      <c r="C24" s="9"/>
      <c r="D24" s="12" t="s">
        <v>20</v>
      </c>
      <c r="E24" s="14">
        <v>1615698.7499999998</v>
      </c>
      <c r="F24" s="14">
        <v>3061992.1524728248</v>
      </c>
      <c r="G24" s="14">
        <v>1037486.5800000001</v>
      </c>
      <c r="H24" s="14">
        <v>0</v>
      </c>
      <c r="I24" s="13">
        <f t="shared" si="0"/>
        <v>5715177.4824728249</v>
      </c>
    </row>
    <row r="25" spans="1:9" ht="15.75" x14ac:dyDescent="0.25">
      <c r="A25" s="8"/>
      <c r="B25" s="8"/>
      <c r="C25" s="9"/>
      <c r="D25" s="12" t="s">
        <v>21</v>
      </c>
      <c r="E25" s="14">
        <v>789063.14</v>
      </c>
      <c r="F25" s="14">
        <v>2273902.1507824045</v>
      </c>
      <c r="G25" s="14">
        <v>1079098.42</v>
      </c>
      <c r="H25" s="14">
        <v>0</v>
      </c>
      <c r="I25" s="13">
        <f t="shared" si="0"/>
        <v>4142063.7107824045</v>
      </c>
    </row>
    <row r="26" spans="1:9" ht="15.75" x14ac:dyDescent="0.25">
      <c r="A26" s="8"/>
      <c r="B26" s="8"/>
      <c r="C26" s="9"/>
      <c r="D26" s="12" t="s">
        <v>22</v>
      </c>
      <c r="E26" s="14">
        <v>651813.37</v>
      </c>
      <c r="F26" s="14">
        <v>1302140.3008442398</v>
      </c>
      <c r="G26" s="14">
        <v>548201.44000000006</v>
      </c>
      <c r="H26" s="14">
        <v>0</v>
      </c>
      <c r="I26" s="13">
        <f t="shared" si="0"/>
        <v>2502155.1108442396</v>
      </c>
    </row>
    <row r="27" spans="1:9" ht="15.75" x14ac:dyDescent="0.25">
      <c r="A27" s="8"/>
      <c r="B27" s="8"/>
      <c r="C27" s="9"/>
      <c r="D27" s="12" t="s">
        <v>23</v>
      </c>
      <c r="E27" s="14">
        <v>575555.49999999988</v>
      </c>
      <c r="F27" s="14">
        <v>223497.94787462996</v>
      </c>
      <c r="G27" s="14">
        <v>1528175.2499999998</v>
      </c>
      <c r="H27" s="14">
        <v>0</v>
      </c>
      <c r="I27" s="13">
        <f t="shared" si="0"/>
        <v>2327228.6978746299</v>
      </c>
    </row>
    <row r="28" spans="1:9" ht="15.75" x14ac:dyDescent="0.25">
      <c r="A28" s="8"/>
      <c r="B28" s="8"/>
      <c r="C28" s="9"/>
      <c r="D28" s="12" t="s">
        <v>24</v>
      </c>
      <c r="E28" s="14">
        <v>607659.37999999989</v>
      </c>
      <c r="F28" s="14">
        <v>1059218.6597678398</v>
      </c>
      <c r="G28" s="14">
        <v>1042902.1699999999</v>
      </c>
      <c r="H28" s="14">
        <v>0</v>
      </c>
      <c r="I28" s="13">
        <f t="shared" si="0"/>
        <v>2709780.2097678399</v>
      </c>
    </row>
    <row r="29" spans="1:9" ht="15.75" x14ac:dyDescent="0.25">
      <c r="A29" s="8"/>
      <c r="B29" s="8"/>
      <c r="C29" s="9"/>
      <c r="D29" s="12" t="s">
        <v>25</v>
      </c>
      <c r="E29" s="14">
        <v>452452.33</v>
      </c>
      <c r="F29" s="14">
        <v>592773.97560595488</v>
      </c>
      <c r="G29" s="14">
        <v>275143.44</v>
      </c>
      <c r="H29" s="14">
        <v>0</v>
      </c>
      <c r="I29" s="13">
        <f t="shared" si="0"/>
        <v>1320369.7456059549</v>
      </c>
    </row>
    <row r="30" spans="1:9" ht="15.75" x14ac:dyDescent="0.25">
      <c r="A30" s="8"/>
      <c r="B30" s="8"/>
      <c r="C30" s="9"/>
      <c r="D30" s="12" t="s">
        <v>26</v>
      </c>
      <c r="E30" s="14">
        <v>1112957.8700000001</v>
      </c>
      <c r="F30" s="14">
        <v>3197054.5772944344</v>
      </c>
      <c r="G30" s="14">
        <v>651481.17000000004</v>
      </c>
      <c r="H30" s="14">
        <v>0</v>
      </c>
      <c r="I30" s="13">
        <f t="shared" si="0"/>
        <v>4961493.6172944345</v>
      </c>
    </row>
    <row r="31" spans="1:9" ht="15.75" x14ac:dyDescent="0.25">
      <c r="A31" s="8"/>
      <c r="B31" s="8"/>
      <c r="C31" s="9"/>
      <c r="D31" s="12" t="s">
        <v>27</v>
      </c>
      <c r="E31" s="14">
        <v>707951.68999999983</v>
      </c>
      <c r="F31" s="14">
        <v>3313672.0221376196</v>
      </c>
      <c r="G31" s="14">
        <v>582449.78</v>
      </c>
      <c r="H31" s="14">
        <v>0</v>
      </c>
      <c r="I31" s="13">
        <f t="shared" si="0"/>
        <v>4604073.4921376193</v>
      </c>
    </row>
    <row r="32" spans="1:9" ht="15.75" x14ac:dyDescent="0.25">
      <c r="A32" s="8"/>
      <c r="B32" s="8"/>
      <c r="C32" s="9"/>
      <c r="D32" s="12" t="s">
        <v>28</v>
      </c>
      <c r="E32" s="14">
        <v>460308.99000000011</v>
      </c>
      <c r="F32" s="14">
        <v>1118493.5478073496</v>
      </c>
      <c r="G32" s="14">
        <v>334729.82</v>
      </c>
      <c r="H32" s="14">
        <v>0</v>
      </c>
      <c r="I32" s="13">
        <f t="shared" si="0"/>
        <v>1913532.3578073496</v>
      </c>
    </row>
    <row r="33" spans="1:9" ht="15.75" x14ac:dyDescent="0.25">
      <c r="A33" s="8"/>
      <c r="B33" s="8"/>
      <c r="C33" s="9"/>
      <c r="D33" s="12" t="s">
        <v>29</v>
      </c>
      <c r="E33" s="14">
        <v>174899.99</v>
      </c>
      <c r="F33" s="14">
        <v>1690840.0217773346</v>
      </c>
      <c r="G33" s="14">
        <v>146282.69</v>
      </c>
      <c r="H33" s="14">
        <v>0</v>
      </c>
      <c r="I33" s="13">
        <f t="shared" si="0"/>
        <v>2012022.7017773346</v>
      </c>
    </row>
    <row r="34" spans="1:9" ht="15.75" x14ac:dyDescent="0.25">
      <c r="A34" s="8"/>
      <c r="B34" s="8"/>
      <c r="C34" s="9"/>
      <c r="D34" s="12" t="s">
        <v>30</v>
      </c>
      <c r="E34" s="14">
        <v>1352735.3299999998</v>
      </c>
      <c r="F34" s="14">
        <v>2426455.9375699493</v>
      </c>
      <c r="G34" s="14">
        <v>1232699.8600000001</v>
      </c>
      <c r="H34" s="14">
        <v>0</v>
      </c>
      <c r="I34" s="13">
        <f t="shared" si="0"/>
        <v>5011891.1275699493</v>
      </c>
    </row>
    <row r="35" spans="1:9" ht="15.75" x14ac:dyDescent="0.25">
      <c r="A35" s="8"/>
      <c r="B35" s="8"/>
      <c r="C35" s="9"/>
      <c r="D35" s="12" t="s">
        <v>31</v>
      </c>
      <c r="E35" s="14">
        <v>4063846.6799999997</v>
      </c>
      <c r="F35" s="14">
        <v>3567309.3182491045</v>
      </c>
      <c r="G35" s="14">
        <v>1021921.9600000002</v>
      </c>
      <c r="H35" s="14">
        <v>0</v>
      </c>
      <c r="I35" s="13">
        <f t="shared" si="0"/>
        <v>8653077.9582491051</v>
      </c>
    </row>
    <row r="36" spans="1:9" ht="15.75" x14ac:dyDescent="0.25">
      <c r="A36" s="8"/>
      <c r="B36" s="8"/>
      <c r="C36" s="9"/>
      <c r="D36" s="12" t="s">
        <v>32</v>
      </c>
      <c r="E36" s="14">
        <v>512706.15000000008</v>
      </c>
      <c r="F36" s="14">
        <v>2213648.5495195491</v>
      </c>
      <c r="G36" s="14">
        <v>1633269.4799999997</v>
      </c>
      <c r="H36" s="14">
        <v>0</v>
      </c>
      <c r="I36" s="13">
        <f t="shared" si="0"/>
        <v>4359624.179519549</v>
      </c>
    </row>
    <row r="37" spans="1:9" ht="15.75" x14ac:dyDescent="0.25">
      <c r="A37" s="8"/>
      <c r="B37" s="8"/>
      <c r="C37" s="9"/>
      <c r="D37" s="12" t="s">
        <v>33</v>
      </c>
      <c r="E37" s="14">
        <v>305116.13</v>
      </c>
      <c r="F37" s="14">
        <v>1224395.3376154497</v>
      </c>
      <c r="G37" s="14">
        <v>377735.04</v>
      </c>
      <c r="H37" s="14">
        <v>0</v>
      </c>
      <c r="I37" s="13">
        <f t="shared" si="0"/>
        <v>1907246.5076154498</v>
      </c>
    </row>
    <row r="38" spans="1:9" ht="15.75" x14ac:dyDescent="0.25">
      <c r="A38" s="8"/>
      <c r="B38" s="8"/>
      <c r="C38" s="9"/>
      <c r="D38" s="12" t="s">
        <v>34</v>
      </c>
      <c r="E38" s="14">
        <v>788585.09</v>
      </c>
      <c r="F38" s="14">
        <v>2660669.5404796642</v>
      </c>
      <c r="G38" s="14">
        <v>522179.06</v>
      </c>
      <c r="H38" s="14">
        <v>0</v>
      </c>
      <c r="I38" s="13">
        <f t="shared" si="0"/>
        <v>3971433.6904796641</v>
      </c>
    </row>
    <row r="39" spans="1:9" ht="15.75" x14ac:dyDescent="0.25">
      <c r="A39" s="8"/>
      <c r="B39" s="8"/>
      <c r="C39" s="9"/>
      <c r="D39" s="12" t="s">
        <v>35</v>
      </c>
      <c r="E39" s="14">
        <v>368699.65</v>
      </c>
      <c r="F39" s="14">
        <v>4165905.3827734189</v>
      </c>
      <c r="G39" s="14">
        <v>468721.77999999997</v>
      </c>
      <c r="H39" s="14">
        <v>0</v>
      </c>
      <c r="I39" s="13">
        <f t="shared" si="0"/>
        <v>5003326.8127734195</v>
      </c>
    </row>
    <row r="40" spans="1:9" ht="15.75" x14ac:dyDescent="0.25">
      <c r="A40" s="8"/>
      <c r="B40" s="8"/>
      <c r="C40" s="9"/>
      <c r="D40" s="12" t="s">
        <v>36</v>
      </c>
      <c r="E40" s="14">
        <v>183784.99999999997</v>
      </c>
      <c r="F40" s="14">
        <v>218654.57217961492</v>
      </c>
      <c r="G40" s="14">
        <v>442080.83999999997</v>
      </c>
      <c r="H40" s="14">
        <v>0</v>
      </c>
      <c r="I40" s="13">
        <f t="shared" si="0"/>
        <v>844520.41217961488</v>
      </c>
    </row>
    <row r="41" spans="1:9" ht="15.75" x14ac:dyDescent="0.25">
      <c r="A41" s="8"/>
      <c r="B41" s="8"/>
      <c r="C41" s="9"/>
      <c r="D41" s="12" t="s">
        <v>37</v>
      </c>
      <c r="E41" s="14">
        <v>1054491.49</v>
      </c>
      <c r="F41" s="14">
        <v>3653787.4148554341</v>
      </c>
      <c r="G41" s="14">
        <v>1557770.31</v>
      </c>
      <c r="H41" s="14">
        <v>0</v>
      </c>
      <c r="I41" s="13">
        <f t="shared" si="0"/>
        <v>6266049.2148554344</v>
      </c>
    </row>
    <row r="42" spans="1:9" ht="15.75" x14ac:dyDescent="0.25">
      <c r="A42" s="8"/>
      <c r="B42" s="8"/>
      <c r="C42" s="9"/>
      <c r="D42" s="12" t="s">
        <v>38</v>
      </c>
      <c r="E42" s="14">
        <v>844847.26</v>
      </c>
      <c r="F42" s="14">
        <v>3956987.7524055438</v>
      </c>
      <c r="G42" s="14">
        <v>379650.24</v>
      </c>
      <c r="H42" s="14">
        <v>0</v>
      </c>
      <c r="I42" s="13">
        <f t="shared" si="0"/>
        <v>5181485.2524055438</v>
      </c>
    </row>
    <row r="43" spans="1:9" ht="15.75" x14ac:dyDescent="0.25">
      <c r="A43" s="8"/>
      <c r="B43" s="8"/>
      <c r="C43" s="9"/>
      <c r="D43" s="12" t="s">
        <v>39</v>
      </c>
      <c r="E43" s="14">
        <v>285638.39</v>
      </c>
      <c r="F43" s="14">
        <v>1439160.1521125396</v>
      </c>
      <c r="G43" s="14">
        <v>566920.07999999996</v>
      </c>
      <c r="H43" s="14">
        <v>0</v>
      </c>
      <c r="I43" s="13">
        <f t="shared" si="0"/>
        <v>2291718.6221125396</v>
      </c>
    </row>
    <row r="44" spans="1:9" ht="15.75" x14ac:dyDescent="0.25">
      <c r="A44" s="8"/>
      <c r="B44" s="8"/>
      <c r="C44" s="9"/>
      <c r="D44" s="12" t="s">
        <v>40</v>
      </c>
      <c r="E44" s="14">
        <v>10547.470000000001</v>
      </c>
      <c r="F44" s="14">
        <v>110770.26071396998</v>
      </c>
      <c r="G44" s="14">
        <v>1140713.06</v>
      </c>
      <c r="H44" s="14">
        <v>0</v>
      </c>
      <c r="I44" s="13">
        <f t="shared" si="0"/>
        <v>1262030.7907139701</v>
      </c>
    </row>
    <row r="45" spans="1:9" ht="15.75" x14ac:dyDescent="0.25">
      <c r="A45" s="8"/>
      <c r="B45" s="8"/>
      <c r="C45" s="9"/>
      <c r="D45" s="12" t="s">
        <v>41</v>
      </c>
      <c r="E45" s="14">
        <v>265028.80999999994</v>
      </c>
      <c r="F45" s="14">
        <v>32071.67947268999</v>
      </c>
      <c r="G45" s="14">
        <v>2315020.21</v>
      </c>
      <c r="H45" s="14">
        <v>0</v>
      </c>
      <c r="I45" s="13">
        <f t="shared" si="0"/>
        <v>2612120.69947269</v>
      </c>
    </row>
    <row r="46" spans="1:9" ht="15.75" x14ac:dyDescent="0.25">
      <c r="A46" s="8"/>
      <c r="B46" s="8"/>
      <c r="C46" s="9"/>
      <c r="D46" s="12" t="s">
        <v>42</v>
      </c>
      <c r="E46" s="14">
        <v>120781.09000000001</v>
      </c>
      <c r="F46" s="14">
        <v>106880.50303144498</v>
      </c>
      <c r="G46" s="14">
        <v>3269151.7699999996</v>
      </c>
      <c r="H46" s="14">
        <v>0</v>
      </c>
      <c r="I46" s="13">
        <f t="shared" si="0"/>
        <v>3496813.3630314446</v>
      </c>
    </row>
    <row r="47" spans="1:9" ht="15.75" x14ac:dyDescent="0.25">
      <c r="A47" s="8"/>
      <c r="B47" s="8"/>
      <c r="C47" s="9"/>
      <c r="D47" s="12" t="s">
        <v>43</v>
      </c>
      <c r="E47" s="14">
        <v>2567369.7299999995</v>
      </c>
      <c r="F47" s="14">
        <v>678273.3589889399</v>
      </c>
      <c r="G47" s="14">
        <v>402489.25000000006</v>
      </c>
      <c r="H47" s="14">
        <v>0</v>
      </c>
      <c r="I47" s="13">
        <f t="shared" si="0"/>
        <v>3648132.3389889393</v>
      </c>
    </row>
    <row r="48" spans="1:9" ht="15.75" x14ac:dyDescent="0.25">
      <c r="A48" s="8"/>
      <c r="B48" s="8"/>
      <c r="C48" s="9"/>
      <c r="D48" s="12" t="s">
        <v>44</v>
      </c>
      <c r="E48" s="14">
        <v>939610.72000000009</v>
      </c>
      <c r="F48" s="14">
        <v>106880.50303144498</v>
      </c>
      <c r="G48" s="14">
        <v>1484315.6</v>
      </c>
      <c r="H48" s="14">
        <v>0</v>
      </c>
      <c r="I48" s="13">
        <f t="shared" si="0"/>
        <v>2530806.823031445</v>
      </c>
    </row>
    <row r="49" spans="1:9" ht="15.75" x14ac:dyDescent="0.25">
      <c r="A49" s="8"/>
      <c r="B49" s="8"/>
      <c r="C49" s="9"/>
      <c r="D49" s="12" t="s">
        <v>45</v>
      </c>
      <c r="E49" s="14">
        <v>1094590.42</v>
      </c>
      <c r="F49" s="14">
        <v>127308.00466741495</v>
      </c>
      <c r="G49" s="14">
        <v>3702465.8800000004</v>
      </c>
      <c r="H49" s="14">
        <v>0</v>
      </c>
      <c r="I49" s="13">
        <f t="shared" si="0"/>
        <v>4924364.3046674151</v>
      </c>
    </row>
    <row r="50" spans="1:9" ht="15.75" x14ac:dyDescent="0.25">
      <c r="A50" s="8"/>
      <c r="B50" s="8"/>
      <c r="C50" s="9"/>
      <c r="D50" s="12" t="s">
        <v>46</v>
      </c>
      <c r="E50" s="14">
        <v>404437.86</v>
      </c>
      <c r="F50" s="14">
        <v>1230242.5217446645</v>
      </c>
      <c r="G50" s="14">
        <v>190441.82</v>
      </c>
      <c r="H50" s="14">
        <v>0</v>
      </c>
      <c r="I50" s="13">
        <f t="shared" si="0"/>
        <v>1825122.2017446647</v>
      </c>
    </row>
    <row r="51" spans="1:9" ht="15.75" x14ac:dyDescent="0.25">
      <c r="A51" s="8"/>
      <c r="B51" s="8"/>
      <c r="C51" s="9"/>
      <c r="D51" s="12" t="s">
        <v>47</v>
      </c>
      <c r="E51" s="14">
        <v>751117.08000000019</v>
      </c>
      <c r="F51" s="14">
        <v>2236962.0004038448</v>
      </c>
      <c r="G51" s="14">
        <v>1386748.37</v>
      </c>
      <c r="H51" s="14">
        <v>0</v>
      </c>
      <c r="I51" s="13">
        <f t="shared" si="0"/>
        <v>4374827.4504038449</v>
      </c>
    </row>
    <row r="52" spans="1:9" ht="15.75" x14ac:dyDescent="0.25">
      <c r="A52" s="8"/>
      <c r="B52" s="8"/>
      <c r="C52" s="9"/>
      <c r="D52" s="12" t="s">
        <v>48</v>
      </c>
      <c r="E52" s="14">
        <v>489054.76</v>
      </c>
      <c r="F52" s="14">
        <v>2254453.3623697795</v>
      </c>
      <c r="G52" s="14">
        <v>171042.53000000003</v>
      </c>
      <c r="H52" s="14">
        <v>0</v>
      </c>
      <c r="I52" s="13">
        <f t="shared" si="0"/>
        <v>2914550.6523697795</v>
      </c>
    </row>
    <row r="53" spans="1:9" ht="15.75" x14ac:dyDescent="0.25">
      <c r="A53" s="8"/>
      <c r="B53" s="8"/>
      <c r="C53" s="9"/>
      <c r="D53" s="12" t="s">
        <v>49</v>
      </c>
      <c r="E53" s="14">
        <v>515359.11999999994</v>
      </c>
      <c r="F53" s="14">
        <v>1545087.0371314944</v>
      </c>
      <c r="G53" s="14">
        <v>470023.28</v>
      </c>
      <c r="H53" s="14">
        <v>0</v>
      </c>
      <c r="I53" s="13">
        <f t="shared" si="0"/>
        <v>2530469.4371314943</v>
      </c>
    </row>
    <row r="54" spans="1:9" ht="15.75" x14ac:dyDescent="0.25">
      <c r="A54" s="8"/>
      <c r="B54" s="8"/>
      <c r="C54" s="9"/>
      <c r="D54" s="12" t="s">
        <v>50</v>
      </c>
      <c r="E54" s="14">
        <v>891456.21000000008</v>
      </c>
      <c r="F54" s="14">
        <v>1418757.7456874247</v>
      </c>
      <c r="G54" s="14">
        <v>432429.24000000005</v>
      </c>
      <c r="H54" s="14">
        <v>0</v>
      </c>
      <c r="I54" s="13">
        <f t="shared" si="0"/>
        <v>2742643.1956874249</v>
      </c>
    </row>
    <row r="55" spans="1:9" ht="15.75" x14ac:dyDescent="0.25">
      <c r="A55" s="8"/>
      <c r="B55" s="8"/>
      <c r="C55" s="9"/>
      <c r="D55" s="12" t="s">
        <v>51</v>
      </c>
      <c r="E55" s="14">
        <v>323655.87000000005</v>
      </c>
      <c r="F55" s="14">
        <v>2905548.6080027549</v>
      </c>
      <c r="G55" s="14">
        <v>33987.85</v>
      </c>
      <c r="H55" s="14">
        <v>0</v>
      </c>
      <c r="I55" s="13">
        <f t="shared" si="0"/>
        <v>3263192.3280027551</v>
      </c>
    </row>
    <row r="56" spans="1:9" ht="15.75" x14ac:dyDescent="0.25">
      <c r="A56" s="8"/>
      <c r="B56" s="8"/>
      <c r="C56" s="9"/>
      <c r="D56" s="12" t="s">
        <v>52</v>
      </c>
      <c r="E56" s="14">
        <v>617265.45999999985</v>
      </c>
      <c r="F56" s="14">
        <v>3233994.7276729937</v>
      </c>
      <c r="G56" s="14">
        <v>284364.99</v>
      </c>
      <c r="H56" s="14">
        <v>0</v>
      </c>
      <c r="I56" s="13">
        <f t="shared" si="0"/>
        <v>4135625.1776729934</v>
      </c>
    </row>
    <row r="57" spans="1:9" ht="15.75" x14ac:dyDescent="0.25">
      <c r="A57" s="8"/>
      <c r="B57" s="8"/>
      <c r="C57" s="9"/>
      <c r="D57" s="12" t="s">
        <v>53</v>
      </c>
      <c r="E57" s="14">
        <v>161375.65999999997</v>
      </c>
      <c r="F57" s="14">
        <v>1068930.5063687249</v>
      </c>
      <c r="G57" s="14">
        <v>222204.60000000003</v>
      </c>
      <c r="H57" s="14">
        <v>0</v>
      </c>
      <c r="I57" s="13">
        <f t="shared" si="0"/>
        <v>1452510.7663687249</v>
      </c>
    </row>
    <row r="58" spans="1:9" ht="15.75" x14ac:dyDescent="0.25">
      <c r="A58" s="8"/>
      <c r="B58" s="8"/>
      <c r="C58" s="9"/>
      <c r="D58" s="12" t="s">
        <v>54</v>
      </c>
      <c r="E58" s="14">
        <v>351703.61000000004</v>
      </c>
      <c r="F58" s="14">
        <v>1150565.2272800396</v>
      </c>
      <c r="G58" s="14">
        <v>65427.840000000011</v>
      </c>
      <c r="H58" s="14">
        <v>0</v>
      </c>
      <c r="I58" s="13">
        <f t="shared" si="0"/>
        <v>1567696.6772800398</v>
      </c>
    </row>
    <row r="59" spans="1:9" ht="15.75" x14ac:dyDescent="0.25">
      <c r="A59" s="8"/>
      <c r="B59" s="8"/>
      <c r="C59" s="9"/>
      <c r="D59" s="12" t="s">
        <v>55</v>
      </c>
      <c r="E59" s="14">
        <v>854675.99</v>
      </c>
      <c r="F59" s="14">
        <v>1943498.6046654745</v>
      </c>
      <c r="G59" s="14">
        <v>635845.57999999996</v>
      </c>
      <c r="H59" s="14">
        <v>0</v>
      </c>
      <c r="I59" s="13">
        <f t="shared" si="0"/>
        <v>3434020.1746654743</v>
      </c>
    </row>
    <row r="60" spans="1:9" ht="15.75" x14ac:dyDescent="0.25">
      <c r="A60" s="8"/>
      <c r="B60" s="8"/>
      <c r="C60" s="9"/>
      <c r="D60" s="12" t="s">
        <v>56</v>
      </c>
      <c r="E60" s="14">
        <v>278834.41999999993</v>
      </c>
      <c r="F60" s="14">
        <v>1175811.0094001698</v>
      </c>
      <c r="G60" s="14">
        <v>208575.07</v>
      </c>
      <c r="H60" s="14">
        <v>0</v>
      </c>
      <c r="I60" s="13">
        <f t="shared" si="0"/>
        <v>1663220.4994001698</v>
      </c>
    </row>
    <row r="61" spans="1:9" ht="15.75" x14ac:dyDescent="0.25">
      <c r="A61" s="8"/>
      <c r="B61" s="8"/>
      <c r="C61" s="9"/>
      <c r="D61" s="12" t="s">
        <v>57</v>
      </c>
      <c r="E61" s="14">
        <v>1469571.1199999999</v>
      </c>
      <c r="F61" s="14">
        <v>1972659.2396789845</v>
      </c>
      <c r="G61" s="14">
        <v>577669.64</v>
      </c>
      <c r="H61" s="14">
        <v>0</v>
      </c>
      <c r="I61" s="13">
        <f t="shared" si="0"/>
        <v>4019899.9996789848</v>
      </c>
    </row>
    <row r="62" spans="1:9" ht="15.75" x14ac:dyDescent="0.25">
      <c r="A62" s="8"/>
      <c r="B62" s="8"/>
      <c r="C62" s="9"/>
      <c r="D62" s="12" t="s">
        <v>58</v>
      </c>
      <c r="E62" s="14">
        <v>1148006.5499999996</v>
      </c>
      <c r="F62" s="14">
        <v>2201025.6584594846</v>
      </c>
      <c r="G62" s="14">
        <v>23184190.719999999</v>
      </c>
      <c r="H62" s="14">
        <v>0</v>
      </c>
      <c r="I62" s="13">
        <f t="shared" si="0"/>
        <v>26533222.928459484</v>
      </c>
    </row>
    <row r="63" spans="1:9" ht="15.75" x14ac:dyDescent="0.25">
      <c r="A63" s="8"/>
      <c r="B63" s="8"/>
      <c r="C63" s="9"/>
      <c r="D63" s="12" t="s">
        <v>59</v>
      </c>
      <c r="E63" s="14">
        <v>170582.15000000002</v>
      </c>
      <c r="F63" s="14">
        <v>242946.7362872549</v>
      </c>
      <c r="G63" s="14">
        <v>1254855.92</v>
      </c>
      <c r="H63" s="14">
        <v>0</v>
      </c>
      <c r="I63" s="13">
        <f t="shared" si="0"/>
        <v>1668384.8062872549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6699347.6500000004</v>
      </c>
      <c r="H64" s="14">
        <v>0</v>
      </c>
      <c r="I64" s="13">
        <f t="shared" si="0"/>
        <v>6699347.6500000004</v>
      </c>
    </row>
    <row r="65" spans="1:9" ht="15.75" x14ac:dyDescent="0.25">
      <c r="A65" s="8"/>
      <c r="B65" s="8"/>
      <c r="C65" s="9"/>
      <c r="D65" s="12" t="s">
        <v>61</v>
      </c>
      <c r="E65" s="14">
        <v>810562.23</v>
      </c>
      <c r="F65" s="14">
        <v>2876387.9729892444</v>
      </c>
      <c r="G65" s="14">
        <v>369680.00999999995</v>
      </c>
      <c r="H65" s="14">
        <v>0</v>
      </c>
      <c r="I65" s="13">
        <f t="shared" si="0"/>
        <v>4056630.2129892441</v>
      </c>
    </row>
    <row r="66" spans="1:9" ht="15.75" x14ac:dyDescent="0.25">
      <c r="A66" s="8"/>
      <c r="B66" s="8"/>
      <c r="C66" s="9"/>
      <c r="D66" s="12" t="s">
        <v>62</v>
      </c>
      <c r="E66" s="14">
        <v>2452897.1599999992</v>
      </c>
      <c r="F66" s="14">
        <v>5718771.9352699649</v>
      </c>
      <c r="G66" s="14">
        <v>738164.59999999986</v>
      </c>
      <c r="H66" s="14">
        <v>0</v>
      </c>
      <c r="I66" s="13">
        <f t="shared" si="0"/>
        <v>8909833.6952699646</v>
      </c>
    </row>
    <row r="67" spans="1:9" ht="15.75" x14ac:dyDescent="0.25">
      <c r="A67" s="8"/>
      <c r="B67" s="8"/>
      <c r="C67" s="9"/>
      <c r="D67" s="12" t="s">
        <v>63</v>
      </c>
      <c r="E67" s="14">
        <v>965527.49</v>
      </c>
      <c r="F67" s="14">
        <v>2643178.1785137295</v>
      </c>
      <c r="G67" s="14">
        <v>418141.78</v>
      </c>
      <c r="H67" s="14">
        <v>0</v>
      </c>
      <c r="I67" s="13">
        <f t="shared" si="0"/>
        <v>4026847.4485137295</v>
      </c>
    </row>
    <row r="68" spans="1:9" ht="15.75" x14ac:dyDescent="0.25">
      <c r="A68" s="8"/>
      <c r="B68" s="8"/>
      <c r="C68" s="9"/>
      <c r="D68" s="12" t="s">
        <v>64</v>
      </c>
      <c r="E68" s="14">
        <v>567897.99999999988</v>
      </c>
      <c r="F68" s="14">
        <v>1117514.8345840047</v>
      </c>
      <c r="G68" s="14">
        <v>275654.26999999996</v>
      </c>
      <c r="H68" s="14">
        <v>0</v>
      </c>
      <c r="I68" s="13">
        <f t="shared" si="0"/>
        <v>1961067.1045840047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1648940.5700000003</v>
      </c>
      <c r="H69" s="14">
        <v>0</v>
      </c>
      <c r="I69" s="13">
        <f t="shared" si="0"/>
        <v>1648940.5700000003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3145237.5000000005</v>
      </c>
      <c r="H70" s="14">
        <v>0</v>
      </c>
      <c r="I70" s="13">
        <f t="shared" si="0"/>
        <v>3145237.5000000005</v>
      </c>
    </row>
    <row r="71" spans="1:9" ht="15.75" x14ac:dyDescent="0.25">
      <c r="A71" s="8"/>
      <c r="B71" s="8"/>
      <c r="C71" s="9"/>
      <c r="D71" s="12" t="s">
        <v>67</v>
      </c>
      <c r="E71" s="14">
        <v>12512.4</v>
      </c>
      <c r="F71" s="14">
        <v>29160.635013509993</v>
      </c>
      <c r="G71" s="14">
        <v>1812036.4699999997</v>
      </c>
      <c r="H71" s="14">
        <v>0</v>
      </c>
      <c r="I71" s="13">
        <f t="shared" si="0"/>
        <v>1853709.5050135097</v>
      </c>
    </row>
    <row r="72" spans="1:9" ht="15.75" x14ac:dyDescent="0.25">
      <c r="A72" s="8"/>
      <c r="B72" s="8"/>
      <c r="C72" s="9"/>
      <c r="D72" s="12" t="s">
        <v>68</v>
      </c>
      <c r="E72" s="14">
        <v>865875.93</v>
      </c>
      <c r="F72" s="14">
        <v>1815236.9819855697</v>
      </c>
      <c r="G72" s="14">
        <v>3728254.86</v>
      </c>
      <c r="H72" s="14">
        <v>0</v>
      </c>
      <c r="I72" s="13">
        <f t="shared" si="0"/>
        <v>6409367.77198557</v>
      </c>
    </row>
    <row r="73" spans="1:9" ht="15.75" x14ac:dyDescent="0.25">
      <c r="A73" s="8"/>
      <c r="B73" s="8"/>
      <c r="C73" s="9"/>
      <c r="D73" s="12" t="s">
        <v>69</v>
      </c>
      <c r="E73" s="14">
        <v>27838.58</v>
      </c>
      <c r="F73" s="14">
        <v>0</v>
      </c>
      <c r="G73" s="14">
        <v>4483393.0200000005</v>
      </c>
      <c r="H73" s="14">
        <v>0</v>
      </c>
      <c r="I73" s="13">
        <f t="shared" si="0"/>
        <v>4511231.6000000006</v>
      </c>
    </row>
    <row r="74" spans="1:9" ht="15.75" x14ac:dyDescent="0.25">
      <c r="A74" s="8"/>
      <c r="B74" s="8"/>
      <c r="C74" s="9"/>
      <c r="D74" s="12" t="s">
        <v>70</v>
      </c>
      <c r="E74" s="14">
        <v>269530.29999999993</v>
      </c>
      <c r="F74" s="14">
        <v>153532.50001088995</v>
      </c>
      <c r="G74" s="14">
        <v>10408948.539999999</v>
      </c>
      <c r="H74" s="14">
        <v>0</v>
      </c>
      <c r="I74" s="13">
        <f t="shared" ref="I74:I137" si="1">SUM(E74:H74)</f>
        <v>10832011.340010889</v>
      </c>
    </row>
    <row r="75" spans="1:9" ht="15.75" x14ac:dyDescent="0.25">
      <c r="A75" s="8"/>
      <c r="B75" s="8"/>
      <c r="C75" s="9"/>
      <c r="D75" s="12" t="s">
        <v>71</v>
      </c>
      <c r="E75" s="14">
        <v>722149.53</v>
      </c>
      <c r="F75" s="14">
        <v>596663.73328847985</v>
      </c>
      <c r="G75" s="14">
        <v>18385632.080000002</v>
      </c>
      <c r="H75" s="14">
        <v>0</v>
      </c>
      <c r="I75" s="13">
        <f t="shared" si="1"/>
        <v>19704445.343288481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4903684.45</v>
      </c>
      <c r="H76" s="14">
        <v>0</v>
      </c>
      <c r="I76" s="13">
        <f t="shared" si="1"/>
        <v>4903684.45</v>
      </c>
    </row>
    <row r="77" spans="1:9" ht="15.75" x14ac:dyDescent="0.25">
      <c r="A77" s="8"/>
      <c r="B77" s="8"/>
      <c r="C77" s="9"/>
      <c r="D77" s="12" t="s">
        <v>73</v>
      </c>
      <c r="E77" s="14">
        <v>366946.75000000006</v>
      </c>
      <c r="F77" s="14">
        <v>2958976.3119130488</v>
      </c>
      <c r="G77" s="14">
        <v>213805.23</v>
      </c>
      <c r="H77" s="14">
        <v>0</v>
      </c>
      <c r="I77" s="13">
        <f t="shared" si="1"/>
        <v>3539728.2919130488</v>
      </c>
    </row>
    <row r="78" spans="1:9" ht="15.75" x14ac:dyDescent="0.25">
      <c r="A78" s="8"/>
      <c r="B78" s="8"/>
      <c r="C78" s="9"/>
      <c r="D78" s="12" t="s">
        <v>74</v>
      </c>
      <c r="E78" s="14">
        <v>859885.13000000012</v>
      </c>
      <c r="F78" s="14">
        <v>3002717.2644333141</v>
      </c>
      <c r="G78" s="14">
        <v>522608.58000000007</v>
      </c>
      <c r="H78" s="14">
        <v>0</v>
      </c>
      <c r="I78" s="13">
        <f t="shared" si="1"/>
        <v>4385210.9744333141</v>
      </c>
    </row>
    <row r="79" spans="1:9" ht="15.75" x14ac:dyDescent="0.25">
      <c r="A79" s="8"/>
      <c r="B79" s="8"/>
      <c r="C79" s="9"/>
      <c r="D79" s="12" t="s">
        <v>75</v>
      </c>
      <c r="E79" s="14">
        <v>653673.87999999989</v>
      </c>
      <c r="F79" s="14">
        <v>1685996.6460823196</v>
      </c>
      <c r="G79" s="14">
        <v>642245.54999999993</v>
      </c>
      <c r="H79" s="14">
        <v>0</v>
      </c>
      <c r="I79" s="13">
        <f t="shared" si="1"/>
        <v>2981916.076082319</v>
      </c>
    </row>
    <row r="80" spans="1:9" ht="15.75" x14ac:dyDescent="0.25">
      <c r="A80" s="8"/>
      <c r="B80" s="8"/>
      <c r="C80" s="9"/>
      <c r="D80" s="12" t="s">
        <v>76</v>
      </c>
      <c r="E80" s="14">
        <v>506622.24999999994</v>
      </c>
      <c r="F80" s="14">
        <v>891105.84225019475</v>
      </c>
      <c r="G80" s="14">
        <v>64865.359999999993</v>
      </c>
      <c r="H80" s="14">
        <v>0</v>
      </c>
      <c r="I80" s="13">
        <f t="shared" si="1"/>
        <v>1462593.4522501947</v>
      </c>
    </row>
    <row r="81" spans="1:9" ht="15.75" x14ac:dyDescent="0.25">
      <c r="A81" s="8"/>
      <c r="B81" s="8"/>
      <c r="C81" s="9"/>
      <c r="D81" s="12" t="s">
        <v>77</v>
      </c>
      <c r="E81" s="14">
        <v>1931245.9399999997</v>
      </c>
      <c r="F81" s="14">
        <v>5376699.1161054587</v>
      </c>
      <c r="G81" s="14">
        <v>1431019.21</v>
      </c>
      <c r="H81" s="14">
        <v>0</v>
      </c>
      <c r="I81" s="13">
        <f t="shared" si="1"/>
        <v>8738964.2661054581</v>
      </c>
    </row>
    <row r="82" spans="1:9" ht="15.75" x14ac:dyDescent="0.25">
      <c r="A82" s="8"/>
      <c r="B82" s="8"/>
      <c r="C82" s="9"/>
      <c r="D82" s="12" t="s">
        <v>78</v>
      </c>
      <c r="E82" s="14">
        <v>3201138.66</v>
      </c>
      <c r="F82" s="14">
        <v>3726663.907178354</v>
      </c>
      <c r="G82" s="14">
        <v>255036.41999999995</v>
      </c>
      <c r="H82" s="14">
        <v>0</v>
      </c>
      <c r="I82" s="13">
        <f t="shared" si="1"/>
        <v>7182838.9871783536</v>
      </c>
    </row>
    <row r="83" spans="1:9" ht="15.75" x14ac:dyDescent="0.25">
      <c r="A83" s="8"/>
      <c r="B83" s="8"/>
      <c r="C83" s="9"/>
      <c r="D83" s="12" t="s">
        <v>79</v>
      </c>
      <c r="E83" s="14">
        <v>904997.35</v>
      </c>
      <c r="F83" s="14">
        <v>1530506.7196247396</v>
      </c>
      <c r="G83" s="14">
        <v>825140.49999999988</v>
      </c>
      <c r="H83" s="14">
        <v>0</v>
      </c>
      <c r="I83" s="13">
        <f t="shared" si="1"/>
        <v>3260644.5696247397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11168504.860000001</v>
      </c>
      <c r="H84" s="14">
        <v>0</v>
      </c>
      <c r="I84" s="13">
        <f t="shared" si="1"/>
        <v>11168504.860000001</v>
      </c>
    </row>
    <row r="85" spans="1:9" ht="15.75" x14ac:dyDescent="0.25">
      <c r="A85" s="8"/>
      <c r="B85" s="8"/>
      <c r="C85" s="9"/>
      <c r="D85" s="12" t="s">
        <v>81</v>
      </c>
      <c r="E85" s="14">
        <v>948433.92999999982</v>
      </c>
      <c r="F85" s="14">
        <v>476156.53076276986</v>
      </c>
      <c r="G85" s="14">
        <v>3189555.9699999997</v>
      </c>
      <c r="H85" s="14">
        <v>0</v>
      </c>
      <c r="I85" s="13">
        <f t="shared" si="1"/>
        <v>4614146.4307627697</v>
      </c>
    </row>
    <row r="86" spans="1:9" ht="15.75" x14ac:dyDescent="0.25">
      <c r="A86" s="8"/>
      <c r="B86" s="8"/>
      <c r="C86" s="9"/>
      <c r="D86" s="12" t="s">
        <v>82</v>
      </c>
      <c r="E86" s="14">
        <v>503373.91000000009</v>
      </c>
      <c r="F86" s="14">
        <v>1977527.7105848547</v>
      </c>
      <c r="G86" s="14">
        <v>504980.59</v>
      </c>
      <c r="H86" s="14">
        <v>0</v>
      </c>
      <c r="I86" s="13">
        <f t="shared" si="1"/>
        <v>2985882.2105848547</v>
      </c>
    </row>
    <row r="87" spans="1:9" ht="15.75" x14ac:dyDescent="0.25">
      <c r="A87" s="8"/>
      <c r="B87" s="8"/>
      <c r="C87" s="9"/>
      <c r="D87" s="12" t="s">
        <v>83</v>
      </c>
      <c r="E87" s="14">
        <v>454170.91999999993</v>
      </c>
      <c r="F87" s="14">
        <v>2604305.6968993349</v>
      </c>
      <c r="G87" s="14">
        <v>188536.91</v>
      </c>
      <c r="H87" s="14">
        <v>0</v>
      </c>
      <c r="I87" s="13">
        <f t="shared" si="1"/>
        <v>3247013.526899335</v>
      </c>
    </row>
    <row r="88" spans="1:9" ht="15.75" x14ac:dyDescent="0.25">
      <c r="A88" s="8"/>
      <c r="B88" s="8"/>
      <c r="C88" s="9"/>
      <c r="D88" s="12" t="s">
        <v>84</v>
      </c>
      <c r="E88" s="14">
        <v>215673.81</v>
      </c>
      <c r="F88" s="14">
        <v>0</v>
      </c>
      <c r="G88" s="14">
        <v>2552785.2999999998</v>
      </c>
      <c r="H88" s="14">
        <v>0</v>
      </c>
      <c r="I88" s="13">
        <f t="shared" si="1"/>
        <v>2768459.11</v>
      </c>
    </row>
    <row r="89" spans="1:9" ht="15.75" x14ac:dyDescent="0.25">
      <c r="A89" s="8"/>
      <c r="B89" s="8"/>
      <c r="C89" s="9"/>
      <c r="D89" s="12" t="s">
        <v>85</v>
      </c>
      <c r="E89" s="14">
        <v>518813.69999999995</v>
      </c>
      <c r="F89" s="14">
        <v>2553763.9422373641</v>
      </c>
      <c r="G89" s="14">
        <v>730702.46000000008</v>
      </c>
      <c r="H89" s="14">
        <v>0</v>
      </c>
      <c r="I89" s="13">
        <f t="shared" si="1"/>
        <v>3803280.1022373643</v>
      </c>
    </row>
    <row r="90" spans="1:9" ht="15.75" x14ac:dyDescent="0.25">
      <c r="A90" s="8"/>
      <c r="B90" s="8"/>
      <c r="C90" s="9"/>
      <c r="D90" s="12" t="s">
        <v>86</v>
      </c>
      <c r="E90" s="14">
        <v>157462.96</v>
      </c>
      <c r="F90" s="14">
        <v>660781.99702300481</v>
      </c>
      <c r="G90" s="14">
        <v>527071.55999999994</v>
      </c>
      <c r="H90" s="14">
        <v>0</v>
      </c>
      <c r="I90" s="13">
        <f t="shared" si="1"/>
        <v>1345316.5170230046</v>
      </c>
    </row>
    <row r="91" spans="1:9" ht="15.75" x14ac:dyDescent="0.25">
      <c r="A91" s="8"/>
      <c r="B91" s="8"/>
      <c r="C91" s="9"/>
      <c r="D91" s="12" t="s">
        <v>87</v>
      </c>
      <c r="E91" s="14">
        <v>425357.33</v>
      </c>
      <c r="F91" s="14">
        <v>1507193.2687404444</v>
      </c>
      <c r="G91" s="14">
        <v>1054741.5899999999</v>
      </c>
      <c r="H91" s="14">
        <v>0</v>
      </c>
      <c r="I91" s="13">
        <f t="shared" si="1"/>
        <v>2987292.1887404444</v>
      </c>
    </row>
    <row r="92" spans="1:9" ht="15.75" x14ac:dyDescent="0.25">
      <c r="A92" s="8"/>
      <c r="B92" s="8"/>
      <c r="C92" s="9"/>
      <c r="D92" s="12" t="s">
        <v>88</v>
      </c>
      <c r="E92" s="14">
        <v>175019.40000000002</v>
      </c>
      <c r="F92" s="14">
        <v>207964.01235538494</v>
      </c>
      <c r="G92" s="14">
        <v>3209429.61</v>
      </c>
      <c r="H92" s="14">
        <v>0</v>
      </c>
      <c r="I92" s="13">
        <f t="shared" si="1"/>
        <v>3592413.0223553847</v>
      </c>
    </row>
    <row r="93" spans="1:9" ht="15.75" x14ac:dyDescent="0.25">
      <c r="A93" s="8"/>
      <c r="B93" s="8"/>
      <c r="C93" s="9"/>
      <c r="D93" s="12" t="s">
        <v>89</v>
      </c>
      <c r="E93" s="14">
        <v>646607.52000000014</v>
      </c>
      <c r="F93" s="14">
        <v>1685017.9328589747</v>
      </c>
      <c r="G93" s="14">
        <v>524684.47</v>
      </c>
      <c r="H93" s="14">
        <v>0</v>
      </c>
      <c r="I93" s="13">
        <f t="shared" si="1"/>
        <v>2856309.9228589749</v>
      </c>
    </row>
    <row r="94" spans="1:9" ht="15.75" x14ac:dyDescent="0.25">
      <c r="A94" s="8"/>
      <c r="B94" s="8"/>
      <c r="C94" s="9"/>
      <c r="D94" s="12" t="s">
        <v>90</v>
      </c>
      <c r="E94" s="14">
        <v>5017.21</v>
      </c>
      <c r="F94" s="14">
        <v>0</v>
      </c>
      <c r="G94" s="14">
        <v>514548.51</v>
      </c>
      <c r="H94" s="14">
        <v>0</v>
      </c>
      <c r="I94" s="13">
        <f t="shared" si="1"/>
        <v>519565.72000000003</v>
      </c>
    </row>
    <row r="95" spans="1:9" ht="15.75" x14ac:dyDescent="0.25">
      <c r="A95" s="8"/>
      <c r="B95" s="8"/>
      <c r="C95" s="9"/>
      <c r="D95" s="12" t="s">
        <v>91</v>
      </c>
      <c r="E95" s="14">
        <v>206126.59</v>
      </c>
      <c r="F95" s="14">
        <v>53452.79912114999</v>
      </c>
      <c r="G95" s="14">
        <v>2532771.0399999996</v>
      </c>
      <c r="H95" s="14">
        <v>0</v>
      </c>
      <c r="I95" s="13">
        <f t="shared" si="1"/>
        <v>2792350.4291211497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6741066.3499999996</v>
      </c>
      <c r="H96" s="14">
        <v>0</v>
      </c>
      <c r="I96" s="13">
        <f t="shared" si="1"/>
        <v>6741066.3499999996</v>
      </c>
    </row>
    <row r="97" spans="1:9" ht="15.75" x14ac:dyDescent="0.25">
      <c r="A97" s="8"/>
      <c r="B97" s="8"/>
      <c r="C97" s="9"/>
      <c r="D97" s="12" t="s">
        <v>93</v>
      </c>
      <c r="E97" s="14">
        <v>374620.91000000003</v>
      </c>
      <c r="F97" s="14">
        <v>2400231.4422264742</v>
      </c>
      <c r="G97" s="14">
        <v>371114.55</v>
      </c>
      <c r="H97" s="14">
        <v>0</v>
      </c>
      <c r="I97" s="13">
        <f t="shared" si="1"/>
        <v>3145966.9022264741</v>
      </c>
    </row>
    <row r="98" spans="1:9" ht="15.75" x14ac:dyDescent="0.25">
      <c r="A98" s="8"/>
      <c r="B98" s="8"/>
      <c r="C98" s="9"/>
      <c r="D98" s="12" t="s">
        <v>94</v>
      </c>
      <c r="E98" s="14">
        <v>1187909.3400000001</v>
      </c>
      <c r="F98" s="14">
        <v>3157228.4776675492</v>
      </c>
      <c r="G98" s="14">
        <v>3074572.38</v>
      </c>
      <c r="H98" s="14">
        <v>0</v>
      </c>
      <c r="I98" s="13">
        <f t="shared" si="1"/>
        <v>7419710.1976675494</v>
      </c>
    </row>
    <row r="99" spans="1:9" ht="15.75" x14ac:dyDescent="0.25">
      <c r="A99" s="8"/>
      <c r="B99" s="8"/>
      <c r="C99" s="9"/>
      <c r="D99" s="12" t="s">
        <v>95</v>
      </c>
      <c r="E99" s="14">
        <v>1220092.1300000001</v>
      </c>
      <c r="F99" s="14">
        <v>6016125.0886908593</v>
      </c>
      <c r="G99" s="14">
        <v>1216461.68</v>
      </c>
      <c r="H99" s="14">
        <v>0</v>
      </c>
      <c r="I99" s="13">
        <f t="shared" si="1"/>
        <v>8452678.8986908589</v>
      </c>
    </row>
    <row r="100" spans="1:9" ht="15.75" x14ac:dyDescent="0.25">
      <c r="A100" s="8"/>
      <c r="B100" s="8"/>
      <c r="C100" s="9"/>
      <c r="D100" s="12" t="s">
        <v>96</v>
      </c>
      <c r="E100" s="14">
        <v>1498318.9699999997</v>
      </c>
      <c r="F100" s="14">
        <v>6019036.1331500392</v>
      </c>
      <c r="G100" s="14">
        <v>2869961.72</v>
      </c>
      <c r="H100" s="14">
        <v>0</v>
      </c>
      <c r="I100" s="13">
        <f t="shared" si="1"/>
        <v>10387316.823150039</v>
      </c>
    </row>
    <row r="101" spans="1:9" ht="15.75" x14ac:dyDescent="0.25">
      <c r="A101" s="8"/>
      <c r="B101" s="8"/>
      <c r="C101" s="9"/>
      <c r="D101" s="12" t="s">
        <v>97</v>
      </c>
      <c r="E101" s="14">
        <v>249987.62000000002</v>
      </c>
      <c r="F101" s="14">
        <v>8077144.5657902975</v>
      </c>
      <c r="G101" s="14">
        <v>42749</v>
      </c>
      <c r="H101" s="14">
        <v>0</v>
      </c>
      <c r="I101" s="13">
        <f t="shared" si="1"/>
        <v>8369881.1857902976</v>
      </c>
    </row>
    <row r="102" spans="1:9" ht="15.75" x14ac:dyDescent="0.25">
      <c r="A102" s="8"/>
      <c r="B102" s="8"/>
      <c r="C102" s="9"/>
      <c r="D102" s="12" t="s">
        <v>98</v>
      </c>
      <c r="E102" s="14">
        <v>1444035.12</v>
      </c>
      <c r="F102" s="14">
        <v>3473051.7062777244</v>
      </c>
      <c r="G102" s="14">
        <v>1241787.9300000002</v>
      </c>
      <c r="H102" s="14">
        <v>0</v>
      </c>
      <c r="I102" s="13">
        <f t="shared" si="1"/>
        <v>6158874.7562777251</v>
      </c>
    </row>
    <row r="103" spans="1:9" ht="15.75" x14ac:dyDescent="0.25">
      <c r="A103" s="8"/>
      <c r="B103" s="8"/>
      <c r="C103" s="9"/>
      <c r="D103" s="12" t="s">
        <v>99</v>
      </c>
      <c r="E103" s="14">
        <v>161634.29999999999</v>
      </c>
      <c r="F103" s="14">
        <v>1102934.5170772497</v>
      </c>
      <c r="G103" s="14">
        <v>221537.23000000004</v>
      </c>
      <c r="H103" s="14">
        <v>0</v>
      </c>
      <c r="I103" s="13">
        <f t="shared" si="1"/>
        <v>1486106.0470772497</v>
      </c>
    </row>
    <row r="104" spans="1:9" ht="15.75" x14ac:dyDescent="0.25">
      <c r="A104" s="8"/>
      <c r="B104" s="8"/>
      <c r="C104" s="9"/>
      <c r="D104" s="12" t="s">
        <v>100</v>
      </c>
      <c r="E104" s="14">
        <v>2309905.0699999998</v>
      </c>
      <c r="F104" s="14">
        <v>2015421.4789759046</v>
      </c>
      <c r="G104" s="14">
        <v>2739792.0599999996</v>
      </c>
      <c r="H104" s="14">
        <v>0</v>
      </c>
      <c r="I104" s="13">
        <f t="shared" si="1"/>
        <v>7065118.6089759041</v>
      </c>
    </row>
    <row r="105" spans="1:9" ht="15.75" x14ac:dyDescent="0.25">
      <c r="A105" s="8"/>
      <c r="B105" s="8"/>
      <c r="C105" s="9"/>
      <c r="D105" s="12" t="s">
        <v>101</v>
      </c>
      <c r="E105" s="14">
        <v>722787.94000000006</v>
      </c>
      <c r="F105" s="14">
        <v>2993005.4178324295</v>
      </c>
      <c r="G105" s="14">
        <v>35271.39</v>
      </c>
      <c r="H105" s="14">
        <v>0</v>
      </c>
      <c r="I105" s="13">
        <f t="shared" si="1"/>
        <v>3751064.7478324296</v>
      </c>
    </row>
    <row r="106" spans="1:9" ht="15.75" x14ac:dyDescent="0.25">
      <c r="A106" s="8"/>
      <c r="B106" s="8"/>
      <c r="C106" s="9"/>
      <c r="D106" s="12" t="s">
        <v>102</v>
      </c>
      <c r="E106" s="14">
        <v>1535391.89</v>
      </c>
      <c r="F106" s="14">
        <v>184625.46626023494</v>
      </c>
      <c r="G106" s="14">
        <v>5012082.08</v>
      </c>
      <c r="H106" s="14">
        <v>0</v>
      </c>
      <c r="I106" s="13">
        <f t="shared" si="1"/>
        <v>6732099.4362602346</v>
      </c>
    </row>
    <row r="107" spans="1:9" ht="15.75" x14ac:dyDescent="0.25">
      <c r="A107" s="8"/>
      <c r="B107" s="8"/>
      <c r="C107" s="9"/>
      <c r="D107" s="12" t="s">
        <v>103</v>
      </c>
      <c r="E107" s="14">
        <v>28643.07</v>
      </c>
      <c r="F107" s="14">
        <v>0</v>
      </c>
      <c r="G107" s="14">
        <v>3776570.67</v>
      </c>
      <c r="H107" s="14">
        <v>0</v>
      </c>
      <c r="I107" s="13">
        <f t="shared" si="1"/>
        <v>3805213.7399999998</v>
      </c>
    </row>
    <row r="108" spans="1:9" ht="15.75" x14ac:dyDescent="0.25">
      <c r="A108" s="8"/>
      <c r="B108" s="8"/>
      <c r="C108" s="9"/>
      <c r="D108" s="12" t="s">
        <v>104</v>
      </c>
      <c r="E108" s="14">
        <v>50953.619999999995</v>
      </c>
      <c r="F108" s="14">
        <v>0</v>
      </c>
      <c r="G108" s="14">
        <v>842775.08</v>
      </c>
      <c r="H108" s="14">
        <v>0</v>
      </c>
      <c r="I108" s="13">
        <f t="shared" si="1"/>
        <v>893728.7</v>
      </c>
    </row>
    <row r="109" spans="1:9" ht="15.75" x14ac:dyDescent="0.25">
      <c r="A109" s="8"/>
      <c r="B109" s="8"/>
      <c r="C109" s="9"/>
      <c r="D109" s="12" t="s">
        <v>105</v>
      </c>
      <c r="E109" s="14">
        <v>248192.66000000006</v>
      </c>
      <c r="F109" s="14">
        <v>4814064.4887363594</v>
      </c>
      <c r="G109" s="14">
        <v>246820.8</v>
      </c>
      <c r="H109" s="14">
        <v>0</v>
      </c>
      <c r="I109" s="13">
        <f t="shared" si="1"/>
        <v>5309077.9487363594</v>
      </c>
    </row>
    <row r="110" spans="1:9" ht="15.75" x14ac:dyDescent="0.25">
      <c r="A110" s="8"/>
      <c r="B110" s="8"/>
      <c r="C110" s="9"/>
      <c r="D110" s="12" t="s">
        <v>106</v>
      </c>
      <c r="E110" s="14">
        <v>290696.11999999994</v>
      </c>
      <c r="F110" s="14">
        <v>1182611.8115418747</v>
      </c>
      <c r="G110" s="14">
        <v>341449.56000000006</v>
      </c>
      <c r="H110" s="14">
        <v>0</v>
      </c>
      <c r="I110" s="13">
        <f t="shared" si="1"/>
        <v>1814757.4915418746</v>
      </c>
    </row>
    <row r="111" spans="1:9" ht="15.75" x14ac:dyDescent="0.25">
      <c r="A111" s="8"/>
      <c r="B111" s="8"/>
      <c r="C111" s="9"/>
      <c r="D111" s="12" t="s">
        <v>107</v>
      </c>
      <c r="E111" s="14">
        <v>41615.89</v>
      </c>
      <c r="F111" s="14">
        <v>18470.075189279996</v>
      </c>
      <c r="G111" s="14">
        <v>6839983.1899999995</v>
      </c>
      <c r="H111" s="14">
        <v>0</v>
      </c>
      <c r="I111" s="13">
        <f t="shared" si="1"/>
        <v>6900069.1551892795</v>
      </c>
    </row>
    <row r="112" spans="1:9" ht="15.75" x14ac:dyDescent="0.25">
      <c r="A112" s="8"/>
      <c r="B112" s="8"/>
      <c r="C112" s="9"/>
      <c r="D112" s="12" t="s">
        <v>108</v>
      </c>
      <c r="E112" s="14">
        <v>836079.73</v>
      </c>
      <c r="F112" s="14">
        <v>1263267.8192298447</v>
      </c>
      <c r="G112" s="14">
        <v>437580.6</v>
      </c>
      <c r="H112" s="14">
        <v>0</v>
      </c>
      <c r="I112" s="13">
        <f t="shared" si="1"/>
        <v>2536928.1492298446</v>
      </c>
    </row>
    <row r="113" spans="1:9" ht="15.75" x14ac:dyDescent="0.25">
      <c r="A113" s="8"/>
      <c r="B113" s="8"/>
      <c r="C113" s="9"/>
      <c r="D113" s="12" t="s">
        <v>109</v>
      </c>
      <c r="E113" s="14">
        <v>451635.22000000003</v>
      </c>
      <c r="F113" s="14">
        <v>3041589.7460477091</v>
      </c>
      <c r="G113" s="14">
        <v>239436.19</v>
      </c>
      <c r="H113" s="14">
        <v>0</v>
      </c>
      <c r="I113" s="13">
        <f t="shared" si="1"/>
        <v>3732661.1560477093</v>
      </c>
    </row>
    <row r="114" spans="1:9" ht="15.75" x14ac:dyDescent="0.25">
      <c r="A114" s="8"/>
      <c r="B114" s="8"/>
      <c r="C114" s="9"/>
      <c r="D114" s="12" t="s">
        <v>110</v>
      </c>
      <c r="E114" s="14">
        <v>616024.64999999991</v>
      </c>
      <c r="F114" s="14">
        <v>3488585.6417969689</v>
      </c>
      <c r="G114" s="14">
        <v>705900.3899999999</v>
      </c>
      <c r="H114" s="14">
        <v>0</v>
      </c>
      <c r="I114" s="13">
        <f t="shared" si="1"/>
        <v>4810510.6817969689</v>
      </c>
    </row>
    <row r="115" spans="1:9" ht="15.75" x14ac:dyDescent="0.25">
      <c r="A115" s="8"/>
      <c r="B115" s="8"/>
      <c r="C115" s="9"/>
      <c r="D115" s="12" t="s">
        <v>111</v>
      </c>
      <c r="E115" s="14">
        <v>1742131.3499999999</v>
      </c>
      <c r="F115" s="14">
        <v>1724869.1276967146</v>
      </c>
      <c r="G115" s="14">
        <v>688647.99</v>
      </c>
      <c r="H115" s="14">
        <v>0</v>
      </c>
      <c r="I115" s="13">
        <f t="shared" si="1"/>
        <v>4155648.4676967142</v>
      </c>
    </row>
    <row r="116" spans="1:9" ht="15.75" x14ac:dyDescent="0.25">
      <c r="A116" s="8"/>
      <c r="B116" s="8"/>
      <c r="C116" s="9"/>
      <c r="D116" s="12" t="s">
        <v>112</v>
      </c>
      <c r="E116" s="14">
        <v>806699.98</v>
      </c>
      <c r="F116" s="14">
        <v>2239898.1400738796</v>
      </c>
      <c r="G116" s="14">
        <v>144400.99</v>
      </c>
      <c r="H116" s="14">
        <v>0</v>
      </c>
      <c r="I116" s="13">
        <f t="shared" si="1"/>
        <v>3190999.1100738794</v>
      </c>
    </row>
    <row r="117" spans="1:9" ht="15.75" x14ac:dyDescent="0.25">
      <c r="A117" s="8"/>
      <c r="B117" s="8"/>
      <c r="C117" s="9"/>
      <c r="D117" s="12" t="s">
        <v>113</v>
      </c>
      <c r="E117" s="14">
        <v>432110.14999999997</v>
      </c>
      <c r="F117" s="14">
        <v>1729712.5033917294</v>
      </c>
      <c r="G117" s="14">
        <v>574514.73</v>
      </c>
      <c r="H117" s="14">
        <v>0</v>
      </c>
      <c r="I117" s="13">
        <f t="shared" si="1"/>
        <v>2736337.3833917296</v>
      </c>
    </row>
    <row r="118" spans="1:9" ht="15.75" x14ac:dyDescent="0.25">
      <c r="A118" s="8"/>
      <c r="B118" s="8"/>
      <c r="C118" s="9"/>
      <c r="D118" s="12" t="s">
        <v>114</v>
      </c>
      <c r="E118" s="14">
        <v>684451.17</v>
      </c>
      <c r="F118" s="14">
        <v>2701474.3533298941</v>
      </c>
      <c r="G118" s="14">
        <v>718056.46</v>
      </c>
      <c r="H118" s="14">
        <v>0</v>
      </c>
      <c r="I118" s="13">
        <f t="shared" si="1"/>
        <v>4103981.983329894</v>
      </c>
    </row>
    <row r="119" spans="1:9" ht="15.75" x14ac:dyDescent="0.25">
      <c r="A119" s="8"/>
      <c r="B119" s="8"/>
      <c r="C119" s="9"/>
      <c r="D119" s="12" t="s">
        <v>115</v>
      </c>
      <c r="E119" s="14">
        <v>116728.79000000001</v>
      </c>
      <c r="F119" s="14">
        <v>262370.42948902491</v>
      </c>
      <c r="G119" s="14">
        <v>215284.69999999998</v>
      </c>
      <c r="H119" s="14">
        <v>0</v>
      </c>
      <c r="I119" s="13">
        <f t="shared" si="1"/>
        <v>594383.91948902491</v>
      </c>
    </row>
    <row r="120" spans="1:9" ht="15.75" x14ac:dyDescent="0.25">
      <c r="A120" s="8"/>
      <c r="B120" s="8"/>
      <c r="C120" s="9"/>
      <c r="D120" s="12" t="s">
        <v>116</v>
      </c>
      <c r="E120" s="14">
        <v>1295084.1099999999</v>
      </c>
      <c r="F120" s="14">
        <v>1146675.4695975147</v>
      </c>
      <c r="G120" s="14">
        <v>1000153.79</v>
      </c>
      <c r="H120" s="14">
        <v>0</v>
      </c>
      <c r="I120" s="13">
        <f t="shared" si="1"/>
        <v>3441913.3695975146</v>
      </c>
    </row>
    <row r="121" spans="1:9" ht="15.75" x14ac:dyDescent="0.25">
      <c r="A121" s="8"/>
      <c r="B121" s="8"/>
      <c r="C121" s="9"/>
      <c r="D121" s="12" t="s">
        <v>117</v>
      </c>
      <c r="E121" s="14">
        <v>556965.87</v>
      </c>
      <c r="F121" s="14">
        <v>1701530.5816015645</v>
      </c>
      <c r="G121" s="14">
        <v>518656.25999999995</v>
      </c>
      <c r="H121" s="14">
        <v>0</v>
      </c>
      <c r="I121" s="13">
        <f t="shared" si="1"/>
        <v>2777152.7116015642</v>
      </c>
    </row>
    <row r="122" spans="1:9" ht="15.75" x14ac:dyDescent="0.25">
      <c r="A122" s="8"/>
      <c r="B122" s="8"/>
      <c r="C122" s="9"/>
      <c r="D122" s="12" t="s">
        <v>118</v>
      </c>
      <c r="E122" s="14">
        <v>2424225.9400000004</v>
      </c>
      <c r="F122" s="14">
        <v>1254534.6858523046</v>
      </c>
      <c r="G122" s="14">
        <v>534773.67000000004</v>
      </c>
      <c r="H122" s="14">
        <v>0</v>
      </c>
      <c r="I122" s="13">
        <f t="shared" si="1"/>
        <v>4213534.2958523054</v>
      </c>
    </row>
    <row r="123" spans="1:9" ht="15.75" x14ac:dyDescent="0.25">
      <c r="A123" s="8"/>
      <c r="B123" s="8"/>
      <c r="C123" s="9"/>
      <c r="D123" s="12" t="s">
        <v>119</v>
      </c>
      <c r="E123" s="14">
        <v>452600.80999999994</v>
      </c>
      <c r="F123" s="14">
        <v>2304995.1170317493</v>
      </c>
      <c r="G123" s="14">
        <v>166796.88999999998</v>
      </c>
      <c r="H123" s="14">
        <v>0</v>
      </c>
      <c r="I123" s="13">
        <f t="shared" si="1"/>
        <v>2924392.8170317495</v>
      </c>
    </row>
    <row r="124" spans="1:9" ht="15.75" x14ac:dyDescent="0.25">
      <c r="A124" s="8"/>
      <c r="B124" s="8"/>
      <c r="C124" s="9"/>
      <c r="D124" s="12" t="s">
        <v>120</v>
      </c>
      <c r="E124" s="14">
        <v>59927.819999999992</v>
      </c>
      <c r="F124" s="14">
        <v>0</v>
      </c>
      <c r="G124" s="14">
        <v>2552796.96</v>
      </c>
      <c r="H124" s="14">
        <v>441021.54500000004</v>
      </c>
      <c r="I124" s="13">
        <f t="shared" si="1"/>
        <v>3053746.3249999997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11514261.73</v>
      </c>
      <c r="H125" s="14">
        <v>12902.91</v>
      </c>
      <c r="I125" s="13">
        <f t="shared" si="1"/>
        <v>11527164.640000001</v>
      </c>
    </row>
    <row r="126" spans="1:9" ht="15.75" x14ac:dyDescent="0.25">
      <c r="A126" s="8"/>
      <c r="B126" s="8"/>
      <c r="C126" s="9"/>
      <c r="D126" s="12" t="s">
        <v>122</v>
      </c>
      <c r="E126" s="14">
        <v>45144.9</v>
      </c>
      <c r="F126" s="14">
        <v>0</v>
      </c>
      <c r="G126" s="14">
        <v>3167216.53</v>
      </c>
      <c r="H126" s="14">
        <v>0</v>
      </c>
      <c r="I126" s="13">
        <f t="shared" si="1"/>
        <v>3212361.4299999997</v>
      </c>
    </row>
    <row r="127" spans="1:9" ht="15.75" x14ac:dyDescent="0.25">
      <c r="A127" s="8"/>
      <c r="B127" s="8"/>
      <c r="C127" s="9"/>
      <c r="D127" s="12" t="s">
        <v>123</v>
      </c>
      <c r="E127" s="14">
        <v>1651870.1800000002</v>
      </c>
      <c r="F127" s="14">
        <v>485868.37736365484</v>
      </c>
      <c r="G127" s="14">
        <v>2321568.23</v>
      </c>
      <c r="H127" s="14">
        <v>0</v>
      </c>
      <c r="I127" s="13">
        <f t="shared" si="1"/>
        <v>4459306.7873636549</v>
      </c>
    </row>
    <row r="128" spans="1:9" ht="15.75" x14ac:dyDescent="0.25">
      <c r="A128" s="8"/>
      <c r="B128" s="8"/>
      <c r="C128" s="9"/>
      <c r="D128" s="12" t="s">
        <v>124</v>
      </c>
      <c r="E128" s="14">
        <v>1605090.1299999997</v>
      </c>
      <c r="F128" s="14">
        <v>1515926.4021179848</v>
      </c>
      <c r="G128" s="14">
        <v>1132196.6099999999</v>
      </c>
      <c r="H128" s="14">
        <v>0</v>
      </c>
      <c r="I128" s="13">
        <f t="shared" si="1"/>
        <v>4253213.1421179846</v>
      </c>
    </row>
    <row r="129" spans="1:9" ht="15.75" x14ac:dyDescent="0.25">
      <c r="A129" s="8"/>
      <c r="B129" s="8"/>
      <c r="C129" s="9"/>
      <c r="D129" s="12" t="s">
        <v>125</v>
      </c>
      <c r="E129" s="14">
        <v>693120.11999999988</v>
      </c>
      <c r="F129" s="14">
        <v>733683.58455677982</v>
      </c>
      <c r="G129" s="14">
        <v>816381.61</v>
      </c>
      <c r="H129" s="14">
        <v>0</v>
      </c>
      <c r="I129" s="13">
        <f t="shared" si="1"/>
        <v>2243185.3145567798</v>
      </c>
    </row>
    <row r="130" spans="1:9" ht="15.75" x14ac:dyDescent="0.25">
      <c r="A130" s="8"/>
      <c r="B130" s="8"/>
      <c r="C130" s="9"/>
      <c r="D130" s="12" t="s">
        <v>126</v>
      </c>
      <c r="E130" s="14">
        <v>204002.61999999994</v>
      </c>
      <c r="F130" s="14">
        <v>1292428.4542433545</v>
      </c>
      <c r="G130" s="14">
        <v>115116.66</v>
      </c>
      <c r="H130" s="14">
        <v>0</v>
      </c>
      <c r="I130" s="13">
        <f t="shared" si="1"/>
        <v>1611547.7342433543</v>
      </c>
    </row>
    <row r="131" spans="1:9" ht="15.75" x14ac:dyDescent="0.25">
      <c r="A131" s="8"/>
      <c r="B131" s="8"/>
      <c r="C131" s="9"/>
      <c r="D131" s="12" t="s">
        <v>127</v>
      </c>
      <c r="E131" s="14">
        <v>2497723.4700000007</v>
      </c>
      <c r="F131" s="14">
        <v>7063674.4754111236</v>
      </c>
      <c r="G131" s="14">
        <v>4710831.5599999996</v>
      </c>
      <c r="H131" s="14">
        <v>0</v>
      </c>
      <c r="I131" s="13">
        <f t="shared" si="1"/>
        <v>14272229.505411122</v>
      </c>
    </row>
    <row r="132" spans="1:9" ht="15.75" x14ac:dyDescent="0.25">
      <c r="A132" s="8"/>
      <c r="B132" s="8"/>
      <c r="C132" s="9"/>
      <c r="D132" s="12" t="s">
        <v>128</v>
      </c>
      <c r="E132" s="14">
        <v>438329.03999999992</v>
      </c>
      <c r="F132" s="14">
        <v>4334018.2002910636</v>
      </c>
      <c r="G132" s="14">
        <v>90755.72</v>
      </c>
      <c r="H132" s="14">
        <v>0</v>
      </c>
      <c r="I132" s="13">
        <f t="shared" si="1"/>
        <v>4863102.9602910634</v>
      </c>
    </row>
    <row r="133" spans="1:9" ht="15.75" x14ac:dyDescent="0.25">
      <c r="A133" s="8"/>
      <c r="B133" s="8"/>
      <c r="C133" s="9"/>
      <c r="D133" s="12" t="s">
        <v>129</v>
      </c>
      <c r="E133" s="14">
        <v>263414.49000000005</v>
      </c>
      <c r="F133" s="14">
        <v>0</v>
      </c>
      <c r="G133" s="14">
        <v>5791138.5299999993</v>
      </c>
      <c r="H133" s="14">
        <v>197958.16500000001</v>
      </c>
      <c r="I133" s="13">
        <f t="shared" si="1"/>
        <v>6252511.1849999996</v>
      </c>
    </row>
    <row r="134" spans="1:9" ht="15.75" x14ac:dyDescent="0.25">
      <c r="A134" s="8"/>
      <c r="B134" s="8"/>
      <c r="C134" s="9"/>
      <c r="D134" s="12" t="s">
        <v>130</v>
      </c>
      <c r="E134" s="14">
        <v>24893.59</v>
      </c>
      <c r="F134" s="14">
        <v>213786.10127374495</v>
      </c>
      <c r="G134" s="14">
        <v>9786.16</v>
      </c>
      <c r="H134" s="14">
        <v>0</v>
      </c>
      <c r="I134" s="13">
        <f t="shared" si="1"/>
        <v>248465.85127374495</v>
      </c>
    </row>
    <row r="135" spans="1:9" ht="15.75" x14ac:dyDescent="0.25">
      <c r="A135" s="8"/>
      <c r="B135" s="8"/>
      <c r="C135" s="9"/>
      <c r="D135" s="12" t="s">
        <v>131</v>
      </c>
      <c r="E135" s="14">
        <v>442564.6399999999</v>
      </c>
      <c r="F135" s="14">
        <v>2701474.3533298941</v>
      </c>
      <c r="G135" s="14">
        <v>279444.64</v>
      </c>
      <c r="H135" s="14">
        <v>0</v>
      </c>
      <c r="I135" s="13">
        <f t="shared" si="1"/>
        <v>3423483.6333298939</v>
      </c>
    </row>
    <row r="136" spans="1:9" ht="15.75" x14ac:dyDescent="0.25">
      <c r="A136" s="8"/>
      <c r="B136" s="8"/>
      <c r="C136" s="9"/>
      <c r="D136" s="12" t="s">
        <v>132</v>
      </c>
      <c r="E136" s="14">
        <v>3047614.9899999998</v>
      </c>
      <c r="F136" s="14">
        <v>3265087.693922339</v>
      </c>
      <c r="G136" s="14">
        <v>1579409.2800000003</v>
      </c>
      <c r="H136" s="14">
        <v>0</v>
      </c>
      <c r="I136" s="13">
        <f t="shared" si="1"/>
        <v>7892111.9639223395</v>
      </c>
    </row>
    <row r="137" spans="1:9" ht="15.75" x14ac:dyDescent="0.25">
      <c r="A137" s="8"/>
      <c r="B137" s="8"/>
      <c r="C137" s="9"/>
      <c r="D137" s="12" t="s">
        <v>133</v>
      </c>
      <c r="E137" s="14">
        <v>1479851.3</v>
      </c>
      <c r="F137" s="14">
        <v>5133777.4750290597</v>
      </c>
      <c r="G137" s="14">
        <v>2342774.4</v>
      </c>
      <c r="H137" s="14">
        <v>0</v>
      </c>
      <c r="I137" s="13">
        <f t="shared" si="1"/>
        <v>8956403.1750290599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4359663.8199999994</v>
      </c>
      <c r="H138" s="14">
        <v>0</v>
      </c>
      <c r="I138" s="13">
        <f t="shared" ref="I138:I144" si="2">SUM(E138:H138)</f>
        <v>4359663.8199999994</v>
      </c>
    </row>
    <row r="139" spans="1:9" ht="15.75" x14ac:dyDescent="0.25">
      <c r="A139" s="8"/>
      <c r="B139" s="8"/>
      <c r="C139" s="9"/>
      <c r="D139" s="12" t="s">
        <v>135</v>
      </c>
      <c r="E139" s="14">
        <v>105324.62</v>
      </c>
      <c r="F139" s="14">
        <v>768666.30848864978</v>
      </c>
      <c r="G139" s="14">
        <v>257329.54</v>
      </c>
      <c r="H139" s="14">
        <v>0</v>
      </c>
      <c r="I139" s="13">
        <f t="shared" si="2"/>
        <v>1131320.4684886497</v>
      </c>
    </row>
    <row r="140" spans="1:9" ht="15.75" x14ac:dyDescent="0.25">
      <c r="A140" s="8"/>
      <c r="B140" s="8"/>
      <c r="C140" s="9"/>
      <c r="D140" s="12" t="s">
        <v>136</v>
      </c>
      <c r="E140" s="14">
        <v>1241569.7299999997</v>
      </c>
      <c r="F140" s="14">
        <v>5451533.0348750697</v>
      </c>
      <c r="G140" s="14">
        <v>1462490.6</v>
      </c>
      <c r="H140" s="14">
        <v>0</v>
      </c>
      <c r="I140" s="13">
        <f t="shared" si="2"/>
        <v>8155593.3648750689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7310697.9800000004</v>
      </c>
      <c r="H141" s="14">
        <v>9511.4</v>
      </c>
      <c r="I141" s="13">
        <f t="shared" si="2"/>
        <v>7320209.3800000008</v>
      </c>
    </row>
    <row r="142" spans="1:9" ht="15.75" x14ac:dyDescent="0.25">
      <c r="A142" s="8"/>
      <c r="B142" s="8"/>
      <c r="C142" s="9"/>
      <c r="D142" s="12" t="s">
        <v>138</v>
      </c>
      <c r="E142" s="14">
        <v>9141.11</v>
      </c>
      <c r="F142" s="14">
        <v>0</v>
      </c>
      <c r="G142" s="14">
        <v>1954478.91</v>
      </c>
      <c r="H142" s="14">
        <v>0</v>
      </c>
      <c r="I142" s="13">
        <f t="shared" si="2"/>
        <v>1963620.02</v>
      </c>
    </row>
    <row r="143" spans="1:9" ht="15.75" x14ac:dyDescent="0.25">
      <c r="A143" s="8"/>
      <c r="B143" s="8"/>
      <c r="C143" s="9"/>
      <c r="D143" s="12" t="s">
        <v>139</v>
      </c>
      <c r="E143" s="14">
        <v>261769.59999999998</v>
      </c>
      <c r="F143" s="14">
        <v>5038541.149834333</v>
      </c>
      <c r="G143" s="14">
        <v>186920.06999999998</v>
      </c>
      <c r="H143" s="14">
        <v>0</v>
      </c>
      <c r="I143" s="13">
        <f t="shared" si="2"/>
        <v>5487230.8198343329</v>
      </c>
    </row>
    <row r="144" spans="1:9" ht="15.75" x14ac:dyDescent="0.25">
      <c r="A144" s="8"/>
      <c r="B144" s="8"/>
      <c r="C144" s="9"/>
      <c r="D144" s="12" t="s">
        <v>140</v>
      </c>
      <c r="E144" s="14">
        <v>1145023.0699999998</v>
      </c>
      <c r="F144" s="14">
        <v>612197.66880772484</v>
      </c>
      <c r="G144" s="14">
        <v>2645647.6799999997</v>
      </c>
      <c r="H144" s="14">
        <v>0</v>
      </c>
      <c r="I144" s="13">
        <f t="shared" si="2"/>
        <v>4402868.4188077245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99711899.120000005</v>
      </c>
      <c r="F145" s="22">
        <f>SUM(F10:F144)</f>
        <v>250940464.37216318</v>
      </c>
      <c r="G145" s="22">
        <f>SUM(G10:G144)</f>
        <v>267371497.28</v>
      </c>
      <c r="H145" s="22">
        <f>SUM(H10:H144)</f>
        <v>661394.02</v>
      </c>
      <c r="I145" s="22">
        <f>SUM(I10:I144)</f>
        <v>618685254.79216325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J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1" style="2" bestFit="1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3.5" customHeight="1" x14ac:dyDescent="0.2"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150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151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14573742.750000002</v>
      </c>
      <c r="F10" s="14">
        <v>25667777.307310071</v>
      </c>
      <c r="G10" s="14">
        <v>975305.04999999981</v>
      </c>
      <c r="H10" s="14">
        <v>0</v>
      </c>
      <c r="I10" s="13">
        <f t="shared" ref="I10:I73" si="0">SUM(E10:H10)</f>
        <v>41216825.107310072</v>
      </c>
    </row>
    <row r="11" spans="1:9" ht="15.75" x14ac:dyDescent="0.25">
      <c r="A11" s="8"/>
      <c r="B11" s="8"/>
      <c r="C11" s="9"/>
      <c r="D11" s="12" t="s">
        <v>7</v>
      </c>
      <c r="E11" s="14">
        <v>20909379.050000004</v>
      </c>
      <c r="F11" s="14">
        <v>14406716.644365063</v>
      </c>
      <c r="G11" s="14">
        <v>825063.58</v>
      </c>
      <c r="H11" s="14">
        <v>0</v>
      </c>
      <c r="I11" s="13">
        <f t="shared" si="0"/>
        <v>36141159.274365067</v>
      </c>
    </row>
    <row r="12" spans="1:9" ht="15.75" x14ac:dyDescent="0.25">
      <c r="A12" s="8"/>
      <c r="B12" s="8"/>
      <c r="C12" s="9"/>
      <c r="D12" s="12" t="s">
        <v>8</v>
      </c>
      <c r="E12" s="14">
        <v>22574912.920000002</v>
      </c>
      <c r="F12" s="14">
        <v>5222857.0272672158</v>
      </c>
      <c r="G12" s="14">
        <v>504482.49000000005</v>
      </c>
      <c r="H12" s="14">
        <v>0</v>
      </c>
      <c r="I12" s="13">
        <f t="shared" si="0"/>
        <v>28302252.437267218</v>
      </c>
    </row>
    <row r="13" spans="1:9" ht="15.75" x14ac:dyDescent="0.25">
      <c r="A13" s="8"/>
      <c r="B13" s="8"/>
      <c r="C13" s="9"/>
      <c r="D13" s="12" t="s">
        <v>9</v>
      </c>
      <c r="E13" s="14">
        <v>5038447.7</v>
      </c>
      <c r="F13" s="14">
        <v>138210.46812153005</v>
      </c>
      <c r="G13" s="14">
        <v>7549506.950000003</v>
      </c>
      <c r="H13" s="14">
        <v>0</v>
      </c>
      <c r="I13" s="13">
        <f t="shared" si="0"/>
        <v>12726165.118121535</v>
      </c>
    </row>
    <row r="14" spans="1:9" ht="15.75" x14ac:dyDescent="0.25">
      <c r="A14" s="8"/>
      <c r="B14" s="8"/>
      <c r="C14" s="9"/>
      <c r="D14" s="12" t="s">
        <v>10</v>
      </c>
      <c r="E14" s="14">
        <v>29420157.090000011</v>
      </c>
      <c r="F14" s="14">
        <v>5803174.4747413509</v>
      </c>
      <c r="G14" s="14">
        <v>1379828.07</v>
      </c>
      <c r="H14" s="14">
        <v>0</v>
      </c>
      <c r="I14" s="13">
        <f t="shared" si="0"/>
        <v>36603159.634741358</v>
      </c>
    </row>
    <row r="15" spans="1:9" ht="15.75" x14ac:dyDescent="0.25">
      <c r="A15" s="8"/>
      <c r="B15" s="8"/>
      <c r="C15" s="9"/>
      <c r="D15" s="12" t="s">
        <v>11</v>
      </c>
      <c r="E15" s="14">
        <v>1662920.8699999999</v>
      </c>
      <c r="F15" s="14">
        <v>32233.250310615011</v>
      </c>
      <c r="G15" s="14">
        <v>6577944.3899999997</v>
      </c>
      <c r="H15" s="14">
        <v>0</v>
      </c>
      <c r="I15" s="13">
        <f t="shared" si="0"/>
        <v>8273098.5103106145</v>
      </c>
    </row>
    <row r="16" spans="1:9" ht="15.75" x14ac:dyDescent="0.25">
      <c r="A16" s="8"/>
      <c r="B16" s="8"/>
      <c r="C16" s="9"/>
      <c r="D16" s="12" t="s">
        <v>12</v>
      </c>
      <c r="E16" s="14">
        <v>32275738.979999989</v>
      </c>
      <c r="F16" s="14">
        <v>27671234.385656931</v>
      </c>
      <c r="G16" s="14">
        <v>1198800.69</v>
      </c>
      <c r="H16" s="14">
        <v>0</v>
      </c>
      <c r="I16" s="13">
        <f t="shared" si="0"/>
        <v>61145774.055656917</v>
      </c>
    </row>
    <row r="17" spans="1:9" ht="15.75" x14ac:dyDescent="0.25">
      <c r="A17" s="8"/>
      <c r="B17" s="8"/>
      <c r="C17" s="9"/>
      <c r="D17" s="12" t="s">
        <v>13</v>
      </c>
      <c r="E17" s="14">
        <v>69402902.689999998</v>
      </c>
      <c r="F17" s="14">
        <v>25423708.563260689</v>
      </c>
      <c r="G17" s="14">
        <v>2839450.97</v>
      </c>
      <c r="H17" s="14">
        <v>0</v>
      </c>
      <c r="I17" s="13">
        <f t="shared" si="0"/>
        <v>97666062.223260686</v>
      </c>
    </row>
    <row r="18" spans="1:9" ht="15.75" x14ac:dyDescent="0.25">
      <c r="A18" s="8"/>
      <c r="B18" s="8"/>
      <c r="C18" s="9"/>
      <c r="D18" s="12" t="s">
        <v>14</v>
      </c>
      <c r="E18" s="14">
        <v>12027707.740000002</v>
      </c>
      <c r="F18" s="14">
        <v>2072562.3124076251</v>
      </c>
      <c r="G18" s="14">
        <v>15544428.050000001</v>
      </c>
      <c r="H18" s="14">
        <v>0</v>
      </c>
      <c r="I18" s="13">
        <f t="shared" si="0"/>
        <v>29644698.102407627</v>
      </c>
    </row>
    <row r="19" spans="1:9" ht="15.75" x14ac:dyDescent="0.25">
      <c r="A19" s="8"/>
      <c r="B19" s="8"/>
      <c r="C19" s="9"/>
      <c r="D19" s="12" t="s">
        <v>15</v>
      </c>
      <c r="E19" s="14">
        <v>65382317.229999997</v>
      </c>
      <c r="F19" s="14">
        <v>19781700.340072416</v>
      </c>
      <c r="G19" s="14">
        <v>2287807.4300000002</v>
      </c>
      <c r="H19" s="14">
        <v>0</v>
      </c>
      <c r="I19" s="13">
        <f t="shared" si="0"/>
        <v>87451825.00007242</v>
      </c>
    </row>
    <row r="20" spans="1:9" ht="15.75" x14ac:dyDescent="0.25">
      <c r="A20" s="8"/>
      <c r="B20" s="8"/>
      <c r="C20" s="9"/>
      <c r="D20" s="12" t="s">
        <v>16</v>
      </c>
      <c r="E20" s="14">
        <v>22949330.980000004</v>
      </c>
      <c r="F20" s="14">
        <v>5434811.4628890464</v>
      </c>
      <c r="G20" s="14">
        <v>956041.64999999991</v>
      </c>
      <c r="H20" s="14">
        <v>0</v>
      </c>
      <c r="I20" s="13">
        <f t="shared" si="0"/>
        <v>29340184.092889048</v>
      </c>
    </row>
    <row r="21" spans="1:9" ht="15.75" x14ac:dyDescent="0.25">
      <c r="A21" s="8"/>
      <c r="B21" s="8"/>
      <c r="C21" s="9"/>
      <c r="D21" s="12" t="s">
        <v>17</v>
      </c>
      <c r="E21" s="14">
        <v>31404389.620000008</v>
      </c>
      <c r="F21" s="14">
        <v>23664320.228963211</v>
      </c>
      <c r="G21" s="14">
        <v>759739.69</v>
      </c>
      <c r="H21" s="14">
        <v>0</v>
      </c>
      <c r="I21" s="13">
        <f t="shared" si="0"/>
        <v>55828449.538963214</v>
      </c>
    </row>
    <row r="22" spans="1:9" ht="15.75" x14ac:dyDescent="0.25">
      <c r="A22" s="8"/>
      <c r="B22" s="8"/>
      <c r="C22" s="9"/>
      <c r="D22" s="12" t="s">
        <v>18</v>
      </c>
      <c r="E22" s="14">
        <v>925678.38</v>
      </c>
      <c r="F22" s="14">
        <v>1013265.9018307354</v>
      </c>
      <c r="G22" s="14">
        <v>5604410.21</v>
      </c>
      <c r="H22" s="14">
        <v>0</v>
      </c>
      <c r="I22" s="13">
        <f t="shared" si="0"/>
        <v>7543354.4918307355</v>
      </c>
    </row>
    <row r="23" spans="1:9" ht="15.75" x14ac:dyDescent="0.25">
      <c r="A23" s="8"/>
      <c r="B23" s="8"/>
      <c r="C23" s="9"/>
      <c r="D23" s="12" t="s">
        <v>19</v>
      </c>
      <c r="E23" s="14">
        <v>619318.1399999999</v>
      </c>
      <c r="F23" s="14">
        <v>377640.47873137507</v>
      </c>
      <c r="G23" s="14">
        <v>2248751.37</v>
      </c>
      <c r="H23" s="14">
        <v>0</v>
      </c>
      <c r="I23" s="13">
        <f t="shared" si="0"/>
        <v>3245709.988731375</v>
      </c>
    </row>
    <row r="24" spans="1:9" ht="15.75" x14ac:dyDescent="0.25">
      <c r="A24" s="8"/>
      <c r="B24" s="8"/>
      <c r="C24" s="9"/>
      <c r="D24" s="12" t="s">
        <v>20</v>
      </c>
      <c r="E24" s="14">
        <v>29888814.999999996</v>
      </c>
      <c r="F24" s="14">
        <v>14512693.862175979</v>
      </c>
      <c r="G24" s="14">
        <v>1641461.51</v>
      </c>
      <c r="H24" s="14">
        <v>0</v>
      </c>
      <c r="I24" s="13">
        <f t="shared" si="0"/>
        <v>46042970.372175969</v>
      </c>
    </row>
    <row r="25" spans="1:9" ht="15.75" x14ac:dyDescent="0.25">
      <c r="A25" s="8"/>
      <c r="B25" s="8"/>
      <c r="C25" s="9"/>
      <c r="D25" s="12" t="s">
        <v>21</v>
      </c>
      <c r="E25" s="14">
        <v>25324630.640000001</v>
      </c>
      <c r="F25" s="14">
        <v>10777442.966402717</v>
      </c>
      <c r="G25" s="14">
        <v>1717904.6400000004</v>
      </c>
      <c r="H25" s="14">
        <v>0</v>
      </c>
      <c r="I25" s="13">
        <f t="shared" si="0"/>
        <v>37819978.246402718</v>
      </c>
    </row>
    <row r="26" spans="1:9" ht="15.75" x14ac:dyDescent="0.25">
      <c r="A26" s="8"/>
      <c r="B26" s="8"/>
      <c r="C26" s="9"/>
      <c r="D26" s="12" t="s">
        <v>22</v>
      </c>
      <c r="E26" s="14">
        <v>13322087.449999999</v>
      </c>
      <c r="F26" s="14">
        <v>6171656.428476722</v>
      </c>
      <c r="G26" s="14">
        <v>1322997.99</v>
      </c>
      <c r="H26" s="14">
        <v>0</v>
      </c>
      <c r="I26" s="13">
        <f t="shared" si="0"/>
        <v>20816741.868476719</v>
      </c>
    </row>
    <row r="27" spans="1:9" ht="15.75" x14ac:dyDescent="0.25">
      <c r="A27" s="8"/>
      <c r="B27" s="8"/>
      <c r="C27" s="9"/>
      <c r="D27" s="12" t="s">
        <v>23</v>
      </c>
      <c r="E27" s="14">
        <v>9207544.1799999997</v>
      </c>
      <c r="F27" s="14">
        <v>1059296.4105768902</v>
      </c>
      <c r="G27" s="14">
        <v>3122765.19</v>
      </c>
      <c r="H27" s="14">
        <v>0</v>
      </c>
      <c r="I27" s="13">
        <f t="shared" si="0"/>
        <v>13389605.78057689</v>
      </c>
    </row>
    <row r="28" spans="1:9" ht="15.75" x14ac:dyDescent="0.25">
      <c r="A28" s="8"/>
      <c r="B28" s="8"/>
      <c r="C28" s="9"/>
      <c r="D28" s="12" t="s">
        <v>24</v>
      </c>
      <c r="E28" s="14">
        <v>10673806.600000001</v>
      </c>
      <c r="F28" s="14">
        <v>5020299.0004075216</v>
      </c>
      <c r="G28" s="14">
        <v>1544100</v>
      </c>
      <c r="H28" s="14">
        <v>0</v>
      </c>
      <c r="I28" s="13">
        <f t="shared" si="0"/>
        <v>17238205.600407522</v>
      </c>
    </row>
    <row r="29" spans="1:9" ht="15.75" x14ac:dyDescent="0.25">
      <c r="A29" s="8"/>
      <c r="B29" s="8"/>
      <c r="C29" s="9"/>
      <c r="D29" s="12" t="s">
        <v>25</v>
      </c>
      <c r="E29" s="14">
        <v>11405890.850000001</v>
      </c>
      <c r="F29" s="14">
        <v>2809526.2198783658</v>
      </c>
      <c r="G29" s="14">
        <v>589302.93000000005</v>
      </c>
      <c r="H29" s="14">
        <v>0</v>
      </c>
      <c r="I29" s="13">
        <f t="shared" si="0"/>
        <v>14804719.999878367</v>
      </c>
    </row>
    <row r="30" spans="1:9" ht="15.75" x14ac:dyDescent="0.25">
      <c r="A30" s="8"/>
      <c r="B30" s="8"/>
      <c r="C30" s="9"/>
      <c r="D30" s="12" t="s">
        <v>26</v>
      </c>
      <c r="E30" s="14">
        <v>25760249.569999993</v>
      </c>
      <c r="F30" s="14">
        <v>15152839.076831808</v>
      </c>
      <c r="G30" s="14">
        <v>1335508.1499999997</v>
      </c>
      <c r="H30" s="14">
        <v>0</v>
      </c>
      <c r="I30" s="13">
        <f t="shared" si="0"/>
        <v>42248596.796831802</v>
      </c>
    </row>
    <row r="31" spans="1:9" ht="15.75" x14ac:dyDescent="0.25">
      <c r="A31" s="8"/>
      <c r="B31" s="8"/>
      <c r="C31" s="9"/>
      <c r="D31" s="12" t="s">
        <v>27</v>
      </c>
      <c r="E31" s="14">
        <v>24067033.550000004</v>
      </c>
      <c r="F31" s="14">
        <v>15705562.007434864</v>
      </c>
      <c r="G31" s="14">
        <v>798882.74</v>
      </c>
      <c r="H31" s="14">
        <v>0</v>
      </c>
      <c r="I31" s="13">
        <f t="shared" si="0"/>
        <v>40571478.297434874</v>
      </c>
    </row>
    <row r="32" spans="1:9" ht="15.75" x14ac:dyDescent="0.25">
      <c r="A32" s="8"/>
      <c r="B32" s="8"/>
      <c r="C32" s="9"/>
      <c r="D32" s="12" t="s">
        <v>28</v>
      </c>
      <c r="E32" s="14">
        <v>16569724.619999999</v>
      </c>
      <c r="F32" s="14">
        <v>5301239.7282070508</v>
      </c>
      <c r="G32" s="14">
        <v>633129.07000000007</v>
      </c>
      <c r="H32" s="14">
        <v>0</v>
      </c>
      <c r="I32" s="13">
        <f t="shared" si="0"/>
        <v>22504093.418207049</v>
      </c>
    </row>
    <row r="33" spans="1:9" ht="15.75" x14ac:dyDescent="0.25">
      <c r="A33" s="8"/>
      <c r="B33" s="8"/>
      <c r="C33" s="9"/>
      <c r="D33" s="12" t="s">
        <v>29</v>
      </c>
      <c r="E33" s="14">
        <v>6092336.7899999991</v>
      </c>
      <c r="F33" s="14">
        <v>8013947.2552705063</v>
      </c>
      <c r="G33" s="14">
        <v>452596.5400000001</v>
      </c>
      <c r="H33" s="14">
        <v>0</v>
      </c>
      <c r="I33" s="13">
        <f t="shared" si="0"/>
        <v>14558880.585270507</v>
      </c>
    </row>
    <row r="34" spans="1:9" ht="15.75" x14ac:dyDescent="0.25">
      <c r="A34" s="8"/>
      <c r="B34" s="8"/>
      <c r="C34" s="9"/>
      <c r="D34" s="12" t="s">
        <v>30</v>
      </c>
      <c r="E34" s="14">
        <v>56798981.890000015</v>
      </c>
      <c r="F34" s="14">
        <v>11500490.673554853</v>
      </c>
      <c r="G34" s="14">
        <v>2655473.7899999991</v>
      </c>
      <c r="H34" s="14">
        <v>0</v>
      </c>
      <c r="I34" s="13">
        <f t="shared" si="0"/>
        <v>70954946.353554875</v>
      </c>
    </row>
    <row r="35" spans="1:9" ht="15.75" x14ac:dyDescent="0.25">
      <c r="A35" s="8"/>
      <c r="B35" s="8"/>
      <c r="C35" s="9"/>
      <c r="D35" s="12" t="s">
        <v>31</v>
      </c>
      <c r="E35" s="14">
        <v>20176958.18</v>
      </c>
      <c r="F35" s="14">
        <v>16907707.619572822</v>
      </c>
      <c r="G35" s="14">
        <v>1663433.7200000002</v>
      </c>
      <c r="H35" s="14">
        <v>0</v>
      </c>
      <c r="I35" s="13">
        <f t="shared" si="0"/>
        <v>38748099.519572824</v>
      </c>
    </row>
    <row r="36" spans="1:9" ht="15.75" x14ac:dyDescent="0.25">
      <c r="A36" s="8"/>
      <c r="B36" s="8"/>
      <c r="C36" s="9"/>
      <c r="D36" s="12" t="s">
        <v>32</v>
      </c>
      <c r="E36" s="14">
        <v>25721446.800000001</v>
      </c>
      <c r="F36" s="14">
        <v>10491863.505163653</v>
      </c>
      <c r="G36" s="14">
        <v>3224864.46</v>
      </c>
      <c r="H36" s="14">
        <v>0</v>
      </c>
      <c r="I36" s="13">
        <f t="shared" si="0"/>
        <v>39438174.765163653</v>
      </c>
    </row>
    <row r="37" spans="1:9" ht="15.75" x14ac:dyDescent="0.25">
      <c r="A37" s="8"/>
      <c r="B37" s="8"/>
      <c r="C37" s="9"/>
      <c r="D37" s="12" t="s">
        <v>33</v>
      </c>
      <c r="E37" s="14">
        <v>24586920.000000004</v>
      </c>
      <c r="F37" s="14">
        <v>5803174.4747413509</v>
      </c>
      <c r="G37" s="14">
        <v>842797.12999999989</v>
      </c>
      <c r="H37" s="14">
        <v>0</v>
      </c>
      <c r="I37" s="13">
        <f t="shared" si="0"/>
        <v>31232891.604741354</v>
      </c>
    </row>
    <row r="38" spans="1:9" ht="15.75" x14ac:dyDescent="0.25">
      <c r="A38" s="8"/>
      <c r="B38" s="8"/>
      <c r="C38" s="9"/>
      <c r="D38" s="12" t="s">
        <v>34</v>
      </c>
      <c r="E38" s="14">
        <v>22242634.800000001</v>
      </c>
      <c r="F38" s="14">
        <v>12610575.268200498</v>
      </c>
      <c r="G38" s="14">
        <v>983878.61</v>
      </c>
      <c r="H38" s="14">
        <v>0</v>
      </c>
      <c r="I38" s="13">
        <f t="shared" si="0"/>
        <v>35837088.678200498</v>
      </c>
    </row>
    <row r="39" spans="1:9" ht="15.75" x14ac:dyDescent="0.25">
      <c r="A39" s="8"/>
      <c r="B39" s="8"/>
      <c r="C39" s="9"/>
      <c r="D39" s="12" t="s">
        <v>35</v>
      </c>
      <c r="E39" s="14">
        <v>16831272.719999999</v>
      </c>
      <c r="F39" s="14">
        <v>19744828.356322262</v>
      </c>
      <c r="G39" s="14">
        <v>865418.64000000013</v>
      </c>
      <c r="H39" s="14">
        <v>0</v>
      </c>
      <c r="I39" s="13">
        <f t="shared" si="0"/>
        <v>37441519.716322258</v>
      </c>
    </row>
    <row r="40" spans="1:9" ht="15.75" x14ac:dyDescent="0.25">
      <c r="A40" s="8"/>
      <c r="B40" s="8"/>
      <c r="C40" s="9"/>
      <c r="D40" s="12" t="s">
        <v>36</v>
      </c>
      <c r="E40" s="14">
        <v>2382083.38</v>
      </c>
      <c r="F40" s="14">
        <v>1036340.6271453452</v>
      </c>
      <c r="G40" s="14">
        <v>971506.32000000007</v>
      </c>
      <c r="H40" s="14">
        <v>0</v>
      </c>
      <c r="I40" s="13">
        <f t="shared" si="0"/>
        <v>4389930.3271453455</v>
      </c>
    </row>
    <row r="41" spans="1:9" ht="15.75" x14ac:dyDescent="0.25">
      <c r="A41" s="8"/>
      <c r="B41" s="8"/>
      <c r="C41" s="9"/>
      <c r="D41" s="12" t="s">
        <v>37</v>
      </c>
      <c r="E41" s="14">
        <v>37308609.899999999</v>
      </c>
      <c r="F41" s="14">
        <v>17317581.348614812</v>
      </c>
      <c r="G41" s="14">
        <v>2133493.3200000003</v>
      </c>
      <c r="H41" s="14">
        <v>0</v>
      </c>
      <c r="I41" s="13">
        <f t="shared" si="0"/>
        <v>56759684.568614811</v>
      </c>
    </row>
    <row r="42" spans="1:9" ht="15.75" x14ac:dyDescent="0.25">
      <c r="A42" s="8"/>
      <c r="B42" s="8"/>
      <c r="C42" s="9"/>
      <c r="D42" s="12" t="s">
        <v>38</v>
      </c>
      <c r="E42" s="14">
        <v>25752497.980000004</v>
      </c>
      <c r="F42" s="14">
        <v>18754637.179806139</v>
      </c>
      <c r="G42" s="14">
        <v>764057.67</v>
      </c>
      <c r="H42" s="14">
        <v>0</v>
      </c>
      <c r="I42" s="13">
        <f t="shared" si="0"/>
        <v>45271192.829806149</v>
      </c>
    </row>
    <row r="43" spans="1:9" ht="15.75" x14ac:dyDescent="0.25">
      <c r="A43" s="8"/>
      <c r="B43" s="8"/>
      <c r="C43" s="9"/>
      <c r="D43" s="12" t="s">
        <v>39</v>
      </c>
      <c r="E43" s="14">
        <v>6090073.3299999982</v>
      </c>
      <c r="F43" s="14">
        <v>6821079.1100116214</v>
      </c>
      <c r="G43" s="14">
        <v>1136474.47</v>
      </c>
      <c r="H43" s="14">
        <v>0</v>
      </c>
      <c r="I43" s="13">
        <f t="shared" si="0"/>
        <v>14047626.910011621</v>
      </c>
    </row>
    <row r="44" spans="1:9" ht="15.75" x14ac:dyDescent="0.25">
      <c r="A44" s="8"/>
      <c r="B44" s="8"/>
      <c r="C44" s="9"/>
      <c r="D44" s="12" t="s">
        <v>40</v>
      </c>
      <c r="E44" s="14">
        <v>24777.149999999998</v>
      </c>
      <c r="F44" s="14">
        <v>525009.47184891009</v>
      </c>
      <c r="G44" s="14">
        <v>1473809.9500000002</v>
      </c>
      <c r="H44" s="14">
        <v>0</v>
      </c>
      <c r="I44" s="13">
        <f t="shared" si="0"/>
        <v>2023596.5718489103</v>
      </c>
    </row>
    <row r="45" spans="1:9" ht="15.75" x14ac:dyDescent="0.25">
      <c r="A45" s="8"/>
      <c r="B45" s="8"/>
      <c r="C45" s="9"/>
      <c r="D45" s="12" t="s">
        <v>41</v>
      </c>
      <c r="E45" s="14">
        <v>10190931.199999999</v>
      </c>
      <c r="F45" s="14">
        <v>152007.72655707004</v>
      </c>
      <c r="G45" s="14">
        <v>3744062.68</v>
      </c>
      <c r="H45" s="14">
        <v>0</v>
      </c>
      <c r="I45" s="13">
        <f t="shared" si="0"/>
        <v>14087001.606557069</v>
      </c>
    </row>
    <row r="46" spans="1:9" ht="15.75" x14ac:dyDescent="0.25">
      <c r="A46" s="8"/>
      <c r="B46" s="8"/>
      <c r="C46" s="9"/>
      <c r="D46" s="12" t="s">
        <v>42</v>
      </c>
      <c r="E46" s="14">
        <v>2963491.1400000011</v>
      </c>
      <c r="F46" s="14">
        <v>506573.47997383517</v>
      </c>
      <c r="G46" s="14">
        <v>5132599.55</v>
      </c>
      <c r="H46" s="14">
        <v>0</v>
      </c>
      <c r="I46" s="13">
        <f t="shared" si="0"/>
        <v>8602664.1699738353</v>
      </c>
    </row>
    <row r="47" spans="1:9" ht="15.75" x14ac:dyDescent="0.25">
      <c r="A47" s="8"/>
      <c r="B47" s="8"/>
      <c r="C47" s="9"/>
      <c r="D47" s="12" t="s">
        <v>43</v>
      </c>
      <c r="E47" s="14">
        <v>13934279.620000001</v>
      </c>
      <c r="F47" s="14">
        <v>3214761.2154808212</v>
      </c>
      <c r="G47" s="14">
        <v>933763.2899999998</v>
      </c>
      <c r="H47" s="14">
        <v>0</v>
      </c>
      <c r="I47" s="13">
        <f t="shared" si="0"/>
        <v>18082804.125480823</v>
      </c>
    </row>
    <row r="48" spans="1:9" ht="15.75" x14ac:dyDescent="0.25">
      <c r="A48" s="8"/>
      <c r="B48" s="8"/>
      <c r="C48" s="9"/>
      <c r="D48" s="12" t="s">
        <v>44</v>
      </c>
      <c r="E48" s="14">
        <v>8192896.3499999987</v>
      </c>
      <c r="F48" s="14">
        <v>506573.47997383517</v>
      </c>
      <c r="G48" s="14">
        <v>2286786.0800000005</v>
      </c>
      <c r="H48" s="14">
        <v>0</v>
      </c>
      <c r="I48" s="13">
        <f t="shared" si="0"/>
        <v>10986255.909973834</v>
      </c>
    </row>
    <row r="49" spans="1:9" ht="15.75" x14ac:dyDescent="0.25">
      <c r="A49" s="8"/>
      <c r="B49" s="8"/>
      <c r="C49" s="9"/>
      <c r="D49" s="12" t="s">
        <v>45</v>
      </c>
      <c r="E49" s="14">
        <v>3225968.4600000009</v>
      </c>
      <c r="F49" s="14">
        <v>603392.17278874503</v>
      </c>
      <c r="G49" s="14">
        <v>4913327.72</v>
      </c>
      <c r="H49" s="14">
        <v>0</v>
      </c>
      <c r="I49" s="13">
        <f t="shared" si="0"/>
        <v>8742688.3527887464</v>
      </c>
    </row>
    <row r="50" spans="1:9" ht="15.75" x14ac:dyDescent="0.25">
      <c r="A50" s="8"/>
      <c r="B50" s="8"/>
      <c r="C50" s="9"/>
      <c r="D50" s="12" t="s">
        <v>46</v>
      </c>
      <c r="E50" s="14">
        <v>13442481.969999999</v>
      </c>
      <c r="F50" s="14">
        <v>5830887.9334954964</v>
      </c>
      <c r="G50" s="14">
        <v>425024.78000000009</v>
      </c>
      <c r="H50" s="14">
        <v>0</v>
      </c>
      <c r="I50" s="13">
        <f t="shared" si="0"/>
        <v>19698394.683495495</v>
      </c>
    </row>
    <row r="51" spans="1:9" ht="15.75" x14ac:dyDescent="0.25">
      <c r="A51" s="8"/>
      <c r="B51" s="8"/>
      <c r="C51" s="9"/>
      <c r="D51" s="12" t="s">
        <v>47</v>
      </c>
      <c r="E51" s="14">
        <v>21414960.309999999</v>
      </c>
      <c r="F51" s="14">
        <v>10602360.514531039</v>
      </c>
      <c r="G51" s="14">
        <v>1613283.6500000001</v>
      </c>
      <c r="H51" s="14">
        <v>0</v>
      </c>
      <c r="I51" s="13">
        <f t="shared" si="0"/>
        <v>33630604.47453104</v>
      </c>
    </row>
    <row r="52" spans="1:9" ht="15.75" x14ac:dyDescent="0.25">
      <c r="A52" s="8"/>
      <c r="B52" s="8"/>
      <c r="C52" s="9"/>
      <c r="D52" s="12" t="s">
        <v>48</v>
      </c>
      <c r="E52" s="14">
        <v>13649963.100000003</v>
      </c>
      <c r="F52" s="14">
        <v>10685263.007027343</v>
      </c>
      <c r="G52" s="14">
        <v>294957.59000000003</v>
      </c>
      <c r="H52" s="14">
        <v>0</v>
      </c>
      <c r="I52" s="13">
        <f t="shared" si="0"/>
        <v>24630183.697027344</v>
      </c>
    </row>
    <row r="53" spans="1:9" ht="15.75" x14ac:dyDescent="0.25">
      <c r="A53" s="8"/>
      <c r="B53" s="8"/>
      <c r="C53" s="9"/>
      <c r="D53" s="12" t="s">
        <v>49</v>
      </c>
      <c r="E53" s="14">
        <v>23590968.110000003</v>
      </c>
      <c r="F53" s="14">
        <v>7323132.7984289862</v>
      </c>
      <c r="G53" s="14">
        <v>1173966.1100000001</v>
      </c>
      <c r="H53" s="14">
        <v>0</v>
      </c>
      <c r="I53" s="13">
        <f t="shared" si="0"/>
        <v>32088067.018428989</v>
      </c>
    </row>
    <row r="54" spans="1:9" ht="15.75" x14ac:dyDescent="0.25">
      <c r="A54" s="8"/>
      <c r="B54" s="8"/>
      <c r="C54" s="9"/>
      <c r="D54" s="12" t="s">
        <v>50</v>
      </c>
      <c r="E54" s="14">
        <v>16856131.18</v>
      </c>
      <c r="F54" s="14">
        <v>6724379.3590797773</v>
      </c>
      <c r="G54" s="14">
        <v>858445.2899999998</v>
      </c>
      <c r="H54" s="14">
        <v>0</v>
      </c>
      <c r="I54" s="13">
        <f t="shared" si="0"/>
        <v>24438955.829079777</v>
      </c>
    </row>
    <row r="55" spans="1:9" ht="15.75" x14ac:dyDescent="0.25">
      <c r="A55" s="8"/>
      <c r="B55" s="8"/>
      <c r="C55" s="9"/>
      <c r="D55" s="12" t="s">
        <v>51</v>
      </c>
      <c r="E55" s="14">
        <v>6560920.0700000022</v>
      </c>
      <c r="F55" s="14">
        <v>13771210.163148768</v>
      </c>
      <c r="G55" s="14">
        <v>39740.819999999992</v>
      </c>
      <c r="H55" s="14">
        <v>0</v>
      </c>
      <c r="I55" s="13">
        <f t="shared" si="0"/>
        <v>20371871.053148769</v>
      </c>
    </row>
    <row r="56" spans="1:9" ht="15.75" x14ac:dyDescent="0.25">
      <c r="A56" s="8"/>
      <c r="B56" s="8"/>
      <c r="C56" s="9"/>
      <c r="D56" s="12" t="s">
        <v>52</v>
      </c>
      <c r="E56" s="14">
        <v>17821802.849999998</v>
      </c>
      <c r="F56" s="14">
        <v>15327921.528703488</v>
      </c>
      <c r="G56" s="14">
        <v>484376.65000000008</v>
      </c>
      <c r="H56" s="14">
        <v>0</v>
      </c>
      <c r="I56" s="13">
        <f t="shared" si="0"/>
        <v>33634101.028703488</v>
      </c>
    </row>
    <row r="57" spans="1:9" ht="15.75" x14ac:dyDescent="0.25">
      <c r="A57" s="8"/>
      <c r="B57" s="8"/>
      <c r="C57" s="9"/>
      <c r="D57" s="12" t="s">
        <v>53</v>
      </c>
      <c r="E57" s="14">
        <v>3917904.8499999996</v>
      </c>
      <c r="F57" s="14">
        <v>5066329.5091536762</v>
      </c>
      <c r="G57" s="14">
        <v>375169.91</v>
      </c>
      <c r="H57" s="14">
        <v>0</v>
      </c>
      <c r="I57" s="13">
        <f t="shared" si="0"/>
        <v>9359404.2691536769</v>
      </c>
    </row>
    <row r="58" spans="1:9" ht="15.75" x14ac:dyDescent="0.25">
      <c r="A58" s="8"/>
      <c r="B58" s="8"/>
      <c r="C58" s="9"/>
      <c r="D58" s="12" t="s">
        <v>54</v>
      </c>
      <c r="E58" s="14">
        <v>6556789.4800000014</v>
      </c>
      <c r="F58" s="14">
        <v>5453247.4547641212</v>
      </c>
      <c r="G58" s="14">
        <v>244391.29</v>
      </c>
      <c r="H58" s="14">
        <v>0</v>
      </c>
      <c r="I58" s="13">
        <f t="shared" si="0"/>
        <v>12254428.224764122</v>
      </c>
    </row>
    <row r="59" spans="1:9" ht="15.75" x14ac:dyDescent="0.25">
      <c r="A59" s="8"/>
      <c r="B59" s="8"/>
      <c r="C59" s="9"/>
      <c r="D59" s="12" t="s">
        <v>55</v>
      </c>
      <c r="E59" s="14">
        <v>12942683.700000001</v>
      </c>
      <c r="F59" s="14">
        <v>9211454.133968927</v>
      </c>
      <c r="G59" s="14">
        <v>961735.52</v>
      </c>
      <c r="H59" s="14">
        <v>0</v>
      </c>
      <c r="I59" s="13">
        <f t="shared" si="0"/>
        <v>23115873.353968929</v>
      </c>
    </row>
    <row r="60" spans="1:9" ht="15.75" x14ac:dyDescent="0.25">
      <c r="A60" s="8"/>
      <c r="B60" s="8"/>
      <c r="C60" s="9"/>
      <c r="D60" s="12" t="s">
        <v>56</v>
      </c>
      <c r="E60" s="14">
        <v>7941404.3799999999</v>
      </c>
      <c r="F60" s="14">
        <v>5572902.9891275121</v>
      </c>
      <c r="G60" s="14">
        <v>266115.78999999998</v>
      </c>
      <c r="H60" s="14">
        <v>0</v>
      </c>
      <c r="I60" s="13">
        <f t="shared" si="0"/>
        <v>13780423.159127511</v>
      </c>
    </row>
    <row r="61" spans="1:9" ht="15.75" x14ac:dyDescent="0.25">
      <c r="A61" s="8"/>
      <c r="B61" s="8"/>
      <c r="C61" s="9"/>
      <c r="D61" s="12" t="s">
        <v>57</v>
      </c>
      <c r="E61" s="14">
        <v>27671587.710000001</v>
      </c>
      <c r="F61" s="14">
        <v>9349664.6020904575</v>
      </c>
      <c r="G61" s="14">
        <v>630116.72000000009</v>
      </c>
      <c r="H61" s="14">
        <v>0</v>
      </c>
      <c r="I61" s="13">
        <f t="shared" si="0"/>
        <v>37651369.032090455</v>
      </c>
    </row>
    <row r="62" spans="1:9" ht="15.75" x14ac:dyDescent="0.25">
      <c r="A62" s="8"/>
      <c r="B62" s="8"/>
      <c r="C62" s="9"/>
      <c r="D62" s="12" t="s">
        <v>58</v>
      </c>
      <c r="E62" s="14">
        <v>22677774.940000005</v>
      </c>
      <c r="F62" s="14">
        <v>10432035.737981958</v>
      </c>
      <c r="G62" s="14">
        <v>43286087.619999997</v>
      </c>
      <c r="H62" s="14">
        <v>0</v>
      </c>
      <c r="I62" s="13">
        <f t="shared" si="0"/>
        <v>76395898.297981963</v>
      </c>
    </row>
    <row r="63" spans="1:9" ht="15.75" x14ac:dyDescent="0.25">
      <c r="A63" s="8"/>
      <c r="B63" s="8"/>
      <c r="C63" s="9"/>
      <c r="D63" s="12" t="s">
        <v>59</v>
      </c>
      <c r="E63" s="14">
        <v>6374186.9199999999</v>
      </c>
      <c r="F63" s="14">
        <v>1151476.3699522652</v>
      </c>
      <c r="G63" s="14">
        <v>1837482.1199999999</v>
      </c>
      <c r="H63" s="14">
        <v>0</v>
      </c>
      <c r="I63" s="13">
        <f t="shared" si="0"/>
        <v>9363145.4099522643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9148034.5999999978</v>
      </c>
      <c r="H64" s="14">
        <v>0</v>
      </c>
      <c r="I64" s="13">
        <f t="shared" si="0"/>
        <v>9148034.5999999978</v>
      </c>
    </row>
    <row r="65" spans="1:9" ht="15.75" x14ac:dyDescent="0.25">
      <c r="A65" s="8"/>
      <c r="B65" s="8"/>
      <c r="C65" s="9"/>
      <c r="D65" s="12" t="s">
        <v>61</v>
      </c>
      <c r="E65" s="14">
        <v>16817119.959999997</v>
      </c>
      <c r="F65" s="14">
        <v>13632999.695027238</v>
      </c>
      <c r="G65" s="14">
        <v>584071.72999999986</v>
      </c>
      <c r="H65" s="14">
        <v>0</v>
      </c>
      <c r="I65" s="13">
        <f t="shared" si="0"/>
        <v>31034191.385027234</v>
      </c>
    </row>
    <row r="66" spans="1:9" ht="15.75" x14ac:dyDescent="0.25">
      <c r="A66" s="8"/>
      <c r="B66" s="8"/>
      <c r="C66" s="9"/>
      <c r="D66" s="12" t="s">
        <v>62</v>
      </c>
      <c r="E66" s="14">
        <v>83719625.099999979</v>
      </c>
      <c r="F66" s="14">
        <v>27104833.138501406</v>
      </c>
      <c r="G66" s="14">
        <v>1477272.6700000004</v>
      </c>
      <c r="H66" s="14">
        <v>0</v>
      </c>
      <c r="I66" s="13">
        <f t="shared" si="0"/>
        <v>112301730.90850139</v>
      </c>
    </row>
    <row r="67" spans="1:9" ht="15.75" x14ac:dyDescent="0.25">
      <c r="A67" s="8"/>
      <c r="B67" s="8"/>
      <c r="C67" s="9"/>
      <c r="D67" s="12" t="s">
        <v>63</v>
      </c>
      <c r="E67" s="14">
        <v>16042932.74</v>
      </c>
      <c r="F67" s="14">
        <v>12527672.775704194</v>
      </c>
      <c r="G67" s="14">
        <v>567194.70000000007</v>
      </c>
      <c r="H67" s="14">
        <v>0</v>
      </c>
      <c r="I67" s="13">
        <f t="shared" si="0"/>
        <v>29137800.215704191</v>
      </c>
    </row>
    <row r="68" spans="1:9" ht="15.75" x14ac:dyDescent="0.25">
      <c r="A68" s="8"/>
      <c r="B68" s="8"/>
      <c r="C68" s="9"/>
      <c r="D68" s="12" t="s">
        <v>64</v>
      </c>
      <c r="E68" s="14">
        <v>15765267.609999999</v>
      </c>
      <c r="F68" s="14">
        <v>5296600.9947675169</v>
      </c>
      <c r="G68" s="14">
        <v>245832.89</v>
      </c>
      <c r="H68" s="14">
        <v>0</v>
      </c>
      <c r="I68" s="13">
        <f t="shared" si="0"/>
        <v>21307701.494767517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2195970.7500000005</v>
      </c>
      <c r="H69" s="14">
        <v>0</v>
      </c>
      <c r="I69" s="13">
        <f t="shared" si="0"/>
        <v>2195970.7500000005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3817821.8000000003</v>
      </c>
      <c r="H70" s="14">
        <v>0</v>
      </c>
      <c r="I70" s="13">
        <f t="shared" si="0"/>
        <v>3817821.8000000003</v>
      </c>
    </row>
    <row r="71" spans="1:9" ht="15.75" x14ac:dyDescent="0.25">
      <c r="A71" s="8"/>
      <c r="B71" s="8"/>
      <c r="C71" s="9"/>
      <c r="D71" s="12" t="s">
        <v>67</v>
      </c>
      <c r="E71" s="14">
        <v>107251.71999999999</v>
      </c>
      <c r="F71" s="14">
        <v>138210.46812153005</v>
      </c>
      <c r="G71" s="14">
        <v>2806049.97</v>
      </c>
      <c r="H71" s="14">
        <v>0</v>
      </c>
      <c r="I71" s="13">
        <f t="shared" si="0"/>
        <v>3051512.1581215304</v>
      </c>
    </row>
    <row r="72" spans="1:9" ht="15.75" x14ac:dyDescent="0.25">
      <c r="A72" s="8"/>
      <c r="B72" s="8"/>
      <c r="C72" s="9"/>
      <c r="D72" s="12" t="s">
        <v>68</v>
      </c>
      <c r="E72" s="14">
        <v>29756391.220000003</v>
      </c>
      <c r="F72" s="14">
        <v>8603542.1696237121</v>
      </c>
      <c r="G72" s="14">
        <v>5130607.7999999989</v>
      </c>
      <c r="H72" s="14">
        <v>0</v>
      </c>
      <c r="I72" s="13">
        <f t="shared" si="0"/>
        <v>43490541.189623713</v>
      </c>
    </row>
    <row r="73" spans="1:9" ht="15.75" x14ac:dyDescent="0.25">
      <c r="A73" s="8"/>
      <c r="B73" s="8"/>
      <c r="C73" s="9"/>
      <c r="D73" s="12" t="s">
        <v>69</v>
      </c>
      <c r="E73" s="14">
        <v>1031.8900000000001</v>
      </c>
      <c r="F73" s="14">
        <v>0</v>
      </c>
      <c r="G73" s="14">
        <v>9686059.3500000015</v>
      </c>
      <c r="H73" s="14">
        <v>0</v>
      </c>
      <c r="I73" s="13">
        <f t="shared" si="0"/>
        <v>9687091.2400000021</v>
      </c>
    </row>
    <row r="74" spans="1:9" ht="15.75" x14ac:dyDescent="0.25">
      <c r="A74" s="8"/>
      <c r="B74" s="8"/>
      <c r="C74" s="9"/>
      <c r="D74" s="12" t="s">
        <v>70</v>
      </c>
      <c r="E74" s="14">
        <v>3984915.51</v>
      </c>
      <c r="F74" s="14">
        <v>727686.44059167022</v>
      </c>
      <c r="G74" s="14">
        <v>15502240.880000001</v>
      </c>
      <c r="H74" s="14">
        <v>0</v>
      </c>
      <c r="I74" s="13">
        <f t="shared" ref="I74:I137" si="1">SUM(E74:H74)</f>
        <v>20214842.830591671</v>
      </c>
    </row>
    <row r="75" spans="1:9" ht="15.75" x14ac:dyDescent="0.25">
      <c r="A75" s="8"/>
      <c r="B75" s="8"/>
      <c r="C75" s="9"/>
      <c r="D75" s="12" t="s">
        <v>71</v>
      </c>
      <c r="E75" s="14">
        <v>12540197.089999998</v>
      </c>
      <c r="F75" s="14">
        <v>2827962.2117534406</v>
      </c>
      <c r="G75" s="14">
        <v>29834595.310000002</v>
      </c>
      <c r="H75" s="14">
        <v>0</v>
      </c>
      <c r="I75" s="13">
        <f t="shared" si="1"/>
        <v>45202754.611753441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8144589.5199999996</v>
      </c>
      <c r="H76" s="14">
        <v>0</v>
      </c>
      <c r="I76" s="13">
        <f t="shared" si="1"/>
        <v>8144589.5199999996</v>
      </c>
    </row>
    <row r="77" spans="1:9" ht="15.75" x14ac:dyDescent="0.25">
      <c r="A77" s="8"/>
      <c r="B77" s="8"/>
      <c r="C77" s="9"/>
      <c r="D77" s="12" t="s">
        <v>73</v>
      </c>
      <c r="E77" s="14">
        <v>10637473.949999999</v>
      </c>
      <c r="F77" s="14">
        <v>14024437.432194155</v>
      </c>
      <c r="G77" s="14">
        <v>583734.16</v>
      </c>
      <c r="H77" s="14">
        <v>0</v>
      </c>
      <c r="I77" s="13">
        <f t="shared" si="1"/>
        <v>25245645.542194154</v>
      </c>
    </row>
    <row r="78" spans="1:9" ht="15.75" x14ac:dyDescent="0.25">
      <c r="A78" s="8"/>
      <c r="B78" s="8"/>
      <c r="C78" s="9"/>
      <c r="D78" s="12" t="s">
        <v>74</v>
      </c>
      <c r="E78" s="14">
        <v>21195952.640000001</v>
      </c>
      <c r="F78" s="14">
        <v>14231753.13437645</v>
      </c>
      <c r="G78" s="14">
        <v>929362.5199999999</v>
      </c>
      <c r="H78" s="14">
        <v>0</v>
      </c>
      <c r="I78" s="13">
        <f t="shared" si="1"/>
        <v>36357068.294376455</v>
      </c>
    </row>
    <row r="79" spans="1:9" ht="15.75" x14ac:dyDescent="0.25">
      <c r="A79" s="8"/>
      <c r="B79" s="8"/>
      <c r="C79" s="9"/>
      <c r="D79" s="12" t="s">
        <v>75</v>
      </c>
      <c r="E79" s="14">
        <v>21222183.009999998</v>
      </c>
      <c r="F79" s="14">
        <v>7990991.4718389623</v>
      </c>
      <c r="G79" s="14">
        <v>809784.81999999983</v>
      </c>
      <c r="H79" s="14">
        <v>0</v>
      </c>
      <c r="I79" s="13">
        <f t="shared" si="1"/>
        <v>30022959.30183896</v>
      </c>
    </row>
    <row r="80" spans="1:9" ht="15.75" x14ac:dyDescent="0.25">
      <c r="A80" s="8"/>
      <c r="B80" s="8"/>
      <c r="C80" s="9"/>
      <c r="D80" s="12" t="s">
        <v>76</v>
      </c>
      <c r="E80" s="14">
        <v>8079723.2200000007</v>
      </c>
      <c r="F80" s="14">
        <v>4223507.3257550858</v>
      </c>
      <c r="G80" s="14">
        <v>126748.90000000001</v>
      </c>
      <c r="H80" s="14">
        <v>0</v>
      </c>
      <c r="I80" s="13">
        <f t="shared" si="1"/>
        <v>12429979.445755087</v>
      </c>
    </row>
    <row r="81" spans="1:9" ht="15.75" x14ac:dyDescent="0.25">
      <c r="A81" s="8"/>
      <c r="B81" s="8"/>
      <c r="C81" s="9"/>
      <c r="D81" s="12" t="s">
        <v>77</v>
      </c>
      <c r="E81" s="14">
        <v>54821650.990000002</v>
      </c>
      <c r="F81" s="14">
        <v>25483536.330442388</v>
      </c>
      <c r="G81" s="14">
        <v>2028564.8000000003</v>
      </c>
      <c r="H81" s="14">
        <v>0</v>
      </c>
      <c r="I81" s="13">
        <f t="shared" si="1"/>
        <v>82333752.12044239</v>
      </c>
    </row>
    <row r="82" spans="1:9" ht="15.75" x14ac:dyDescent="0.25">
      <c r="A82" s="8"/>
      <c r="B82" s="8"/>
      <c r="C82" s="9"/>
      <c r="D82" s="12" t="s">
        <v>78</v>
      </c>
      <c r="E82" s="14">
        <v>72676388.219999984</v>
      </c>
      <c r="F82" s="14">
        <v>17662988.577035569</v>
      </c>
      <c r="G82" s="14">
        <v>1517427.18</v>
      </c>
      <c r="H82" s="14">
        <v>0</v>
      </c>
      <c r="I82" s="13">
        <f t="shared" si="1"/>
        <v>91856803.977035552</v>
      </c>
    </row>
    <row r="83" spans="1:9" ht="15.75" x14ac:dyDescent="0.25">
      <c r="A83" s="8"/>
      <c r="B83" s="8"/>
      <c r="C83" s="9"/>
      <c r="D83" s="12" t="s">
        <v>79</v>
      </c>
      <c r="E83" s="14">
        <v>13059913.460000001</v>
      </c>
      <c r="F83" s="14">
        <v>7254027.564368221</v>
      </c>
      <c r="G83" s="14">
        <v>1628354.6199999999</v>
      </c>
      <c r="H83" s="14">
        <v>0</v>
      </c>
      <c r="I83" s="13">
        <f t="shared" si="1"/>
        <v>21942295.644368224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13161586.609999999</v>
      </c>
      <c r="H84" s="14">
        <v>0</v>
      </c>
      <c r="I84" s="13">
        <f t="shared" si="1"/>
        <v>13161586.609999999</v>
      </c>
    </row>
    <row r="85" spans="1:9" ht="15.75" x14ac:dyDescent="0.25">
      <c r="A85" s="8"/>
      <c r="B85" s="8"/>
      <c r="C85" s="9"/>
      <c r="D85" s="12" t="s">
        <v>81</v>
      </c>
      <c r="E85" s="14">
        <v>18734817.469999995</v>
      </c>
      <c r="F85" s="14">
        <v>2256803.2892753105</v>
      </c>
      <c r="G85" s="14">
        <v>6010961.4799999986</v>
      </c>
      <c r="H85" s="14">
        <v>0</v>
      </c>
      <c r="I85" s="13">
        <f t="shared" si="1"/>
        <v>27002582.239275306</v>
      </c>
    </row>
    <row r="86" spans="1:9" ht="15.75" x14ac:dyDescent="0.25">
      <c r="A86" s="8"/>
      <c r="B86" s="8"/>
      <c r="C86" s="9"/>
      <c r="D86" s="12" t="s">
        <v>82</v>
      </c>
      <c r="E86" s="14">
        <v>10599287.859999999</v>
      </c>
      <c r="F86" s="14">
        <v>9372739.3274050672</v>
      </c>
      <c r="G86" s="14">
        <v>362502.23</v>
      </c>
      <c r="H86" s="14">
        <v>0</v>
      </c>
      <c r="I86" s="13">
        <f t="shared" si="1"/>
        <v>20334529.417405065</v>
      </c>
    </row>
    <row r="87" spans="1:9" ht="15.75" x14ac:dyDescent="0.25">
      <c r="A87" s="8"/>
      <c r="B87" s="8"/>
      <c r="C87" s="9"/>
      <c r="D87" s="12" t="s">
        <v>83</v>
      </c>
      <c r="E87" s="14">
        <v>7004286.5800000001</v>
      </c>
      <c r="F87" s="14">
        <v>12343431.798836507</v>
      </c>
      <c r="G87" s="14">
        <v>360223.53999999992</v>
      </c>
      <c r="H87" s="14">
        <v>0</v>
      </c>
      <c r="I87" s="13">
        <f t="shared" si="1"/>
        <v>19707941.918836504</v>
      </c>
    </row>
    <row r="88" spans="1:9" ht="15.75" x14ac:dyDescent="0.25">
      <c r="A88" s="8"/>
      <c r="B88" s="8"/>
      <c r="C88" s="9"/>
      <c r="D88" s="12" t="s">
        <v>84</v>
      </c>
      <c r="E88" s="14">
        <v>4150856.9800000004</v>
      </c>
      <c r="F88" s="14">
        <v>0</v>
      </c>
      <c r="G88" s="14">
        <v>4394093.55</v>
      </c>
      <c r="H88" s="14">
        <v>0</v>
      </c>
      <c r="I88" s="13">
        <f t="shared" si="1"/>
        <v>8544950.5300000012</v>
      </c>
    </row>
    <row r="89" spans="1:9" ht="15.75" x14ac:dyDescent="0.25">
      <c r="A89" s="8"/>
      <c r="B89" s="8"/>
      <c r="C89" s="9"/>
      <c r="D89" s="12" t="s">
        <v>85</v>
      </c>
      <c r="E89" s="14">
        <v>10963941.799999999</v>
      </c>
      <c r="F89" s="14">
        <v>12103882.846343597</v>
      </c>
      <c r="G89" s="14">
        <v>1575230.1</v>
      </c>
      <c r="H89" s="14">
        <v>0</v>
      </c>
      <c r="I89" s="13">
        <f t="shared" si="1"/>
        <v>24643054.746343598</v>
      </c>
    </row>
    <row r="90" spans="1:9" ht="15.75" x14ac:dyDescent="0.25">
      <c r="A90" s="8"/>
      <c r="B90" s="8"/>
      <c r="C90" s="9"/>
      <c r="D90" s="12" t="s">
        <v>86</v>
      </c>
      <c r="E90" s="14">
        <v>4328324.1899999995</v>
      </c>
      <c r="F90" s="14">
        <v>3131858.7229845161</v>
      </c>
      <c r="G90" s="14">
        <v>853052.6399999999</v>
      </c>
      <c r="H90" s="14">
        <v>0</v>
      </c>
      <c r="I90" s="13">
        <f t="shared" si="1"/>
        <v>8313235.5529845152</v>
      </c>
    </row>
    <row r="91" spans="1:9" ht="15.75" x14ac:dyDescent="0.25">
      <c r="A91" s="8"/>
      <c r="B91" s="8"/>
      <c r="C91" s="9"/>
      <c r="D91" s="12" t="s">
        <v>87</v>
      </c>
      <c r="E91" s="14">
        <v>13230110.829999993</v>
      </c>
      <c r="F91" s="14">
        <v>7143530.555000836</v>
      </c>
      <c r="G91" s="14">
        <v>1954105.7600000002</v>
      </c>
      <c r="H91" s="14">
        <v>0</v>
      </c>
      <c r="I91" s="13">
        <f t="shared" si="1"/>
        <v>22327747.14500083</v>
      </c>
    </row>
    <row r="92" spans="1:9" ht="15.75" x14ac:dyDescent="0.25">
      <c r="A92" s="8"/>
      <c r="B92" s="8"/>
      <c r="C92" s="9"/>
      <c r="D92" s="12" t="s">
        <v>88</v>
      </c>
      <c r="E92" s="14">
        <v>1774799.56</v>
      </c>
      <c r="F92" s="14">
        <v>985671.38495965523</v>
      </c>
      <c r="G92" s="14">
        <v>5326232.75</v>
      </c>
      <c r="H92" s="14">
        <v>0</v>
      </c>
      <c r="I92" s="13">
        <f t="shared" si="1"/>
        <v>8086703.6949596554</v>
      </c>
    </row>
    <row r="93" spans="1:9" ht="15.75" x14ac:dyDescent="0.25">
      <c r="A93" s="8"/>
      <c r="B93" s="8"/>
      <c r="C93" s="9"/>
      <c r="D93" s="12" t="s">
        <v>89</v>
      </c>
      <c r="E93" s="14">
        <v>18389414.73</v>
      </c>
      <c r="F93" s="14">
        <v>7986352.7383994274</v>
      </c>
      <c r="G93" s="14">
        <v>855599.53</v>
      </c>
      <c r="H93" s="14">
        <v>0</v>
      </c>
      <c r="I93" s="13">
        <f t="shared" si="1"/>
        <v>27231366.998399429</v>
      </c>
    </row>
    <row r="94" spans="1:9" ht="15.75" x14ac:dyDescent="0.25">
      <c r="A94" s="8"/>
      <c r="B94" s="8"/>
      <c r="C94" s="9"/>
      <c r="D94" s="12" t="s">
        <v>90</v>
      </c>
      <c r="E94" s="14">
        <v>105301.5</v>
      </c>
      <c r="F94" s="14">
        <v>0</v>
      </c>
      <c r="G94" s="14">
        <v>721063.18999999983</v>
      </c>
      <c r="H94" s="14">
        <v>0</v>
      </c>
      <c r="I94" s="13">
        <f t="shared" si="1"/>
        <v>826364.68999999983</v>
      </c>
    </row>
    <row r="95" spans="1:9" ht="15.75" x14ac:dyDescent="0.25">
      <c r="A95" s="8"/>
      <c r="B95" s="8"/>
      <c r="C95" s="9"/>
      <c r="D95" s="12" t="s">
        <v>91</v>
      </c>
      <c r="E95" s="14">
        <v>2399979.5700000008</v>
      </c>
      <c r="F95" s="14">
        <v>253346.21092845005</v>
      </c>
      <c r="G95" s="14">
        <v>4836985.5200000005</v>
      </c>
      <c r="H95" s="14">
        <v>0</v>
      </c>
      <c r="I95" s="13">
        <f t="shared" si="1"/>
        <v>7490311.3009284511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9624560.620000001</v>
      </c>
      <c r="H96" s="14">
        <v>0</v>
      </c>
      <c r="I96" s="13">
        <f t="shared" si="1"/>
        <v>9624560.620000001</v>
      </c>
    </row>
    <row r="97" spans="1:9" ht="15.75" x14ac:dyDescent="0.25">
      <c r="A97" s="8"/>
      <c r="B97" s="8"/>
      <c r="C97" s="9"/>
      <c r="D97" s="12" t="s">
        <v>93</v>
      </c>
      <c r="E97" s="14">
        <v>8078856.0299999975</v>
      </c>
      <c r="F97" s="14">
        <v>11376196.405751929</v>
      </c>
      <c r="G97" s="14">
        <v>692204.70000000007</v>
      </c>
      <c r="H97" s="14">
        <v>0</v>
      </c>
      <c r="I97" s="13">
        <f t="shared" si="1"/>
        <v>20147257.135751925</v>
      </c>
    </row>
    <row r="98" spans="1:9" ht="15.75" x14ac:dyDescent="0.25">
      <c r="A98" s="8"/>
      <c r="B98" s="8"/>
      <c r="C98" s="9"/>
      <c r="D98" s="12" t="s">
        <v>94</v>
      </c>
      <c r="E98" s="14">
        <v>33289008.440000001</v>
      </c>
      <c r="F98" s="14">
        <v>14964078.308407653</v>
      </c>
      <c r="G98" s="14">
        <v>5054782.55</v>
      </c>
      <c r="H98" s="14">
        <v>0</v>
      </c>
      <c r="I98" s="13">
        <f t="shared" si="1"/>
        <v>53307869.298407651</v>
      </c>
    </row>
    <row r="99" spans="1:9" ht="15.75" x14ac:dyDescent="0.25">
      <c r="A99" s="8"/>
      <c r="B99" s="8"/>
      <c r="C99" s="9"/>
      <c r="D99" s="12" t="s">
        <v>95</v>
      </c>
      <c r="E99" s="14">
        <v>40703888.949999988</v>
      </c>
      <c r="F99" s="14">
        <v>28514175.510938585</v>
      </c>
      <c r="G99" s="14">
        <v>2067485.0399999998</v>
      </c>
      <c r="H99" s="14">
        <v>0</v>
      </c>
      <c r="I99" s="13">
        <f t="shared" si="1"/>
        <v>71285549.500938579</v>
      </c>
    </row>
    <row r="100" spans="1:9" ht="15.75" x14ac:dyDescent="0.25">
      <c r="A100" s="8"/>
      <c r="B100" s="8"/>
      <c r="C100" s="9"/>
      <c r="D100" s="12" t="s">
        <v>96</v>
      </c>
      <c r="E100" s="14">
        <v>36877814.089999996</v>
      </c>
      <c r="F100" s="14">
        <v>28527972.769374128</v>
      </c>
      <c r="G100" s="14">
        <v>4683441.83</v>
      </c>
      <c r="H100" s="14">
        <v>0</v>
      </c>
      <c r="I100" s="13">
        <f t="shared" si="1"/>
        <v>70089228.689374119</v>
      </c>
    </row>
    <row r="101" spans="1:9" ht="15.75" x14ac:dyDescent="0.25">
      <c r="A101" s="8"/>
      <c r="B101" s="8"/>
      <c r="C101" s="9"/>
      <c r="D101" s="12" t="s">
        <v>97</v>
      </c>
      <c r="E101" s="14">
        <v>1953657.4499999997</v>
      </c>
      <c r="F101" s="14">
        <v>38282634.483300909</v>
      </c>
      <c r="G101" s="14">
        <v>49251.110000000008</v>
      </c>
      <c r="H101" s="14">
        <v>0</v>
      </c>
      <c r="I101" s="13">
        <f t="shared" si="1"/>
        <v>40285543.043300912</v>
      </c>
    </row>
    <row r="102" spans="1:9" ht="15.75" x14ac:dyDescent="0.25">
      <c r="A102" s="8"/>
      <c r="B102" s="8"/>
      <c r="C102" s="9"/>
      <c r="D102" s="12" t="s">
        <v>98</v>
      </c>
      <c r="E102" s="14">
        <v>43115999.929999992</v>
      </c>
      <c r="F102" s="14">
        <v>16460961.906780679</v>
      </c>
      <c r="G102" s="14">
        <v>2213569.31</v>
      </c>
      <c r="H102" s="14">
        <v>0</v>
      </c>
      <c r="I102" s="13">
        <f t="shared" si="1"/>
        <v>61790531.14678067</v>
      </c>
    </row>
    <row r="103" spans="1:9" ht="15.75" x14ac:dyDescent="0.25">
      <c r="A103" s="8"/>
      <c r="B103" s="8"/>
      <c r="C103" s="9"/>
      <c r="D103" s="12" t="s">
        <v>99</v>
      </c>
      <c r="E103" s="14">
        <v>12357204.850000003</v>
      </c>
      <c r="F103" s="14">
        <v>5227495.7607067516</v>
      </c>
      <c r="G103" s="14">
        <v>345559.18999999994</v>
      </c>
      <c r="H103" s="14">
        <v>0</v>
      </c>
      <c r="I103" s="13">
        <f t="shared" si="1"/>
        <v>17930259.800706755</v>
      </c>
    </row>
    <row r="104" spans="1:9" ht="15.75" x14ac:dyDescent="0.25">
      <c r="A104" s="8"/>
      <c r="B104" s="8"/>
      <c r="C104" s="9"/>
      <c r="D104" s="12" t="s">
        <v>100</v>
      </c>
      <c r="E104" s="14">
        <v>69149387.49000001</v>
      </c>
      <c r="F104" s="14">
        <v>9552341.5708332174</v>
      </c>
      <c r="G104" s="14">
        <v>4155364.7799999993</v>
      </c>
      <c r="H104" s="14">
        <v>0</v>
      </c>
      <c r="I104" s="13">
        <f t="shared" si="1"/>
        <v>82857093.840833232</v>
      </c>
    </row>
    <row r="105" spans="1:9" ht="15.75" x14ac:dyDescent="0.25">
      <c r="A105" s="8"/>
      <c r="B105" s="8"/>
      <c r="C105" s="9"/>
      <c r="D105" s="12" t="s">
        <v>101</v>
      </c>
      <c r="E105" s="14">
        <v>8861442.1300000008</v>
      </c>
      <c r="F105" s="14">
        <v>14185722.625630295</v>
      </c>
      <c r="G105" s="14">
        <v>86225.400000000023</v>
      </c>
      <c r="H105" s="14">
        <v>0</v>
      </c>
      <c r="I105" s="13">
        <f t="shared" si="1"/>
        <v>23133390.155630294</v>
      </c>
    </row>
    <row r="106" spans="1:9" ht="15.75" x14ac:dyDescent="0.25">
      <c r="A106" s="8"/>
      <c r="B106" s="8"/>
      <c r="C106" s="9"/>
      <c r="D106" s="12" t="s">
        <v>102</v>
      </c>
      <c r="E106" s="14">
        <v>13576143.340000004</v>
      </c>
      <c r="F106" s="14">
        <v>875055.43370920524</v>
      </c>
      <c r="G106" s="14">
        <v>15830650.999999998</v>
      </c>
      <c r="H106" s="14">
        <v>0</v>
      </c>
      <c r="I106" s="13">
        <f t="shared" si="1"/>
        <v>30281849.773709208</v>
      </c>
    </row>
    <row r="107" spans="1:9" ht="15.75" x14ac:dyDescent="0.25">
      <c r="A107" s="8"/>
      <c r="B107" s="8"/>
      <c r="C107" s="9"/>
      <c r="D107" s="12" t="s">
        <v>103</v>
      </c>
      <c r="E107" s="14">
        <v>18847.3</v>
      </c>
      <c r="F107" s="14">
        <v>0</v>
      </c>
      <c r="G107" s="14">
        <v>5975128.080000001</v>
      </c>
      <c r="H107" s="14">
        <v>0</v>
      </c>
      <c r="I107" s="13">
        <f t="shared" si="1"/>
        <v>5993975.3800000008</v>
      </c>
    </row>
    <row r="108" spans="1:9" ht="15.75" x14ac:dyDescent="0.25">
      <c r="A108" s="8"/>
      <c r="B108" s="8"/>
      <c r="C108" s="9"/>
      <c r="D108" s="12" t="s">
        <v>104</v>
      </c>
      <c r="E108" s="14">
        <v>1530455.83</v>
      </c>
      <c r="F108" s="14">
        <v>0</v>
      </c>
      <c r="G108" s="14">
        <v>2182913.19</v>
      </c>
      <c r="H108" s="14">
        <v>0</v>
      </c>
      <c r="I108" s="13">
        <f t="shared" si="1"/>
        <v>3713369.02</v>
      </c>
    </row>
    <row r="109" spans="1:9" ht="15.75" x14ac:dyDescent="0.25">
      <c r="A109" s="8"/>
      <c r="B109" s="8"/>
      <c r="C109" s="9"/>
      <c r="D109" s="12" t="s">
        <v>105</v>
      </c>
      <c r="E109" s="14">
        <v>6026596.6900000013</v>
      </c>
      <c r="F109" s="14">
        <v>22816859.312125087</v>
      </c>
      <c r="G109" s="14">
        <v>294328.67</v>
      </c>
      <c r="H109" s="14">
        <v>0</v>
      </c>
      <c r="I109" s="13">
        <f t="shared" si="1"/>
        <v>29137784.67212509</v>
      </c>
    </row>
    <row r="110" spans="1:9" ht="15.75" x14ac:dyDescent="0.25">
      <c r="A110" s="8"/>
      <c r="B110" s="8"/>
      <c r="C110" s="9"/>
      <c r="D110" s="12" t="s">
        <v>106</v>
      </c>
      <c r="E110" s="14">
        <v>5329084.8500000006</v>
      </c>
      <c r="F110" s="14">
        <v>5605136.2394381259</v>
      </c>
      <c r="G110" s="14">
        <v>776203.32000000007</v>
      </c>
      <c r="H110" s="14">
        <v>0</v>
      </c>
      <c r="I110" s="13">
        <f t="shared" si="1"/>
        <v>11710424.409438126</v>
      </c>
    </row>
    <row r="111" spans="1:9" ht="15.75" x14ac:dyDescent="0.25">
      <c r="A111" s="8"/>
      <c r="B111" s="8"/>
      <c r="C111" s="9"/>
      <c r="D111" s="12" t="s">
        <v>107</v>
      </c>
      <c r="E111" s="14">
        <v>171680.47999999998</v>
      </c>
      <c r="F111" s="14">
        <v>87541.225935840033</v>
      </c>
      <c r="G111" s="14">
        <v>11743253.340000002</v>
      </c>
      <c r="H111" s="14">
        <v>0</v>
      </c>
      <c r="I111" s="13">
        <f t="shared" si="1"/>
        <v>12002475.045935841</v>
      </c>
    </row>
    <row r="112" spans="1:9" ht="15.75" x14ac:dyDescent="0.25">
      <c r="A112" s="8"/>
      <c r="B112" s="8"/>
      <c r="C112" s="9"/>
      <c r="D112" s="12" t="s">
        <v>108</v>
      </c>
      <c r="E112" s="14">
        <v>26847843.350000005</v>
      </c>
      <c r="F112" s="14">
        <v>5987415.451609036</v>
      </c>
      <c r="G112" s="14">
        <v>930098.85000000021</v>
      </c>
      <c r="H112" s="14">
        <v>0</v>
      </c>
      <c r="I112" s="13">
        <f t="shared" si="1"/>
        <v>33765357.651609041</v>
      </c>
    </row>
    <row r="113" spans="1:9" ht="15.75" x14ac:dyDescent="0.25">
      <c r="A113" s="8"/>
      <c r="B113" s="8"/>
      <c r="C113" s="9"/>
      <c r="D113" s="12" t="s">
        <v>109</v>
      </c>
      <c r="E113" s="14">
        <v>13501266.879999999</v>
      </c>
      <c r="F113" s="14">
        <v>14415994.111244135</v>
      </c>
      <c r="G113" s="14">
        <v>1920305.6999999997</v>
      </c>
      <c r="H113" s="14">
        <v>0</v>
      </c>
      <c r="I113" s="13">
        <f t="shared" si="1"/>
        <v>29837566.691244133</v>
      </c>
    </row>
    <row r="114" spans="1:9" ht="15.75" x14ac:dyDescent="0.25">
      <c r="A114" s="8"/>
      <c r="B114" s="8"/>
      <c r="C114" s="9"/>
      <c r="D114" s="12" t="s">
        <v>110</v>
      </c>
      <c r="E114" s="14">
        <v>37543747.810000002</v>
      </c>
      <c r="F114" s="14">
        <v>16534586.932397913</v>
      </c>
      <c r="G114" s="14">
        <v>1512097.2099999997</v>
      </c>
      <c r="H114" s="14">
        <v>0</v>
      </c>
      <c r="I114" s="13">
        <f t="shared" si="1"/>
        <v>55590431.95239792</v>
      </c>
    </row>
    <row r="115" spans="1:9" ht="15.75" x14ac:dyDescent="0.25">
      <c r="A115" s="8"/>
      <c r="B115" s="8"/>
      <c r="C115" s="9"/>
      <c r="D115" s="12" t="s">
        <v>111</v>
      </c>
      <c r="E115" s="14">
        <v>54280776.840000011</v>
      </c>
      <c r="F115" s="14">
        <v>8175232.4487066474</v>
      </c>
      <c r="G115" s="14">
        <v>1420509.2199999997</v>
      </c>
      <c r="H115" s="14">
        <v>0</v>
      </c>
      <c r="I115" s="13">
        <f t="shared" si="1"/>
        <v>63876518.508706659</v>
      </c>
    </row>
    <row r="116" spans="1:9" ht="15.75" x14ac:dyDescent="0.25">
      <c r="A116" s="8"/>
      <c r="B116" s="8"/>
      <c r="C116" s="9"/>
      <c r="D116" s="12" t="s">
        <v>112</v>
      </c>
      <c r="E116" s="14">
        <v>10971628.190000003</v>
      </c>
      <c r="F116" s="14">
        <v>10616276.714849642</v>
      </c>
      <c r="G116" s="14">
        <v>254619.1</v>
      </c>
      <c r="H116" s="14">
        <v>0</v>
      </c>
      <c r="I116" s="13">
        <f t="shared" si="1"/>
        <v>21842524.004849646</v>
      </c>
    </row>
    <row r="117" spans="1:9" ht="15.75" x14ac:dyDescent="0.25">
      <c r="A117" s="8"/>
      <c r="B117" s="8"/>
      <c r="C117" s="9"/>
      <c r="D117" s="12" t="s">
        <v>113</v>
      </c>
      <c r="E117" s="14">
        <v>9858200.9999999981</v>
      </c>
      <c r="F117" s="14">
        <v>8198188.2321381923</v>
      </c>
      <c r="G117" s="14">
        <v>930023.16999999981</v>
      </c>
      <c r="H117" s="14">
        <v>0</v>
      </c>
      <c r="I117" s="13">
        <f t="shared" si="1"/>
        <v>18986412.402138188</v>
      </c>
    </row>
    <row r="118" spans="1:9" ht="15.75" x14ac:dyDescent="0.25">
      <c r="A118" s="8"/>
      <c r="B118" s="8"/>
      <c r="C118" s="9"/>
      <c r="D118" s="12" t="s">
        <v>114</v>
      </c>
      <c r="E118" s="14">
        <v>15408037.950000001</v>
      </c>
      <c r="F118" s="14">
        <v>12803974.770064188</v>
      </c>
      <c r="G118" s="14">
        <v>1115472.1800000002</v>
      </c>
      <c r="H118" s="14">
        <v>0</v>
      </c>
      <c r="I118" s="13">
        <f t="shared" si="1"/>
        <v>29327484.900064189</v>
      </c>
    </row>
    <row r="119" spans="1:9" ht="15.75" x14ac:dyDescent="0.25">
      <c r="A119" s="8"/>
      <c r="B119" s="8"/>
      <c r="C119" s="9"/>
      <c r="D119" s="12" t="s">
        <v>115</v>
      </c>
      <c r="E119" s="14">
        <v>3927594.8100000005</v>
      </c>
      <c r="F119" s="14">
        <v>1243537.3874445756</v>
      </c>
      <c r="G119" s="14">
        <v>439716.96000000014</v>
      </c>
      <c r="H119" s="14">
        <v>0</v>
      </c>
      <c r="I119" s="13">
        <f t="shared" si="1"/>
        <v>5610849.1574445758</v>
      </c>
    </row>
    <row r="120" spans="1:9" ht="15.75" x14ac:dyDescent="0.25">
      <c r="A120" s="8"/>
      <c r="B120" s="8"/>
      <c r="C120" s="9"/>
      <c r="D120" s="12" t="s">
        <v>116</v>
      </c>
      <c r="E120" s="14">
        <v>43308665.649999999</v>
      </c>
      <c r="F120" s="14">
        <v>5434811.4628890464</v>
      </c>
      <c r="G120" s="14">
        <v>1551899.6299999997</v>
      </c>
      <c r="H120" s="14">
        <v>0</v>
      </c>
      <c r="I120" s="13">
        <f t="shared" si="1"/>
        <v>50295376.742889047</v>
      </c>
    </row>
    <row r="121" spans="1:9" ht="15.75" x14ac:dyDescent="0.25">
      <c r="A121" s="8"/>
      <c r="B121" s="8"/>
      <c r="C121" s="9"/>
      <c r="D121" s="12" t="s">
        <v>117</v>
      </c>
      <c r="E121" s="14">
        <v>17623725.680000003</v>
      </c>
      <c r="F121" s="14">
        <v>8064616.4974561976</v>
      </c>
      <c r="G121" s="14">
        <v>851682.65000000014</v>
      </c>
      <c r="H121" s="14">
        <v>0</v>
      </c>
      <c r="I121" s="13">
        <f t="shared" si="1"/>
        <v>26540024.827456199</v>
      </c>
    </row>
    <row r="122" spans="1:9" ht="15.75" x14ac:dyDescent="0.25">
      <c r="A122" s="8"/>
      <c r="B122" s="8"/>
      <c r="C122" s="9"/>
      <c r="D122" s="12" t="s">
        <v>118</v>
      </c>
      <c r="E122" s="14">
        <v>17992130.150000002</v>
      </c>
      <c r="F122" s="14">
        <v>5946023.6763024172</v>
      </c>
      <c r="G122" s="14">
        <v>1085365.23</v>
      </c>
      <c r="H122" s="14">
        <v>0</v>
      </c>
      <c r="I122" s="13">
        <f t="shared" si="1"/>
        <v>25023519.056302421</v>
      </c>
    </row>
    <row r="123" spans="1:9" ht="15.75" x14ac:dyDescent="0.25">
      <c r="A123" s="8"/>
      <c r="B123" s="8"/>
      <c r="C123" s="9"/>
      <c r="D123" s="12" t="s">
        <v>119</v>
      </c>
      <c r="E123" s="14">
        <v>20458517.960000005</v>
      </c>
      <c r="F123" s="14">
        <v>10924811.959520252</v>
      </c>
      <c r="G123" s="14">
        <v>637303.04999999993</v>
      </c>
      <c r="H123" s="14">
        <v>0</v>
      </c>
      <c r="I123" s="13">
        <f t="shared" si="1"/>
        <v>32020632.96952026</v>
      </c>
    </row>
    <row r="124" spans="1:9" ht="15.75" x14ac:dyDescent="0.25">
      <c r="A124" s="8"/>
      <c r="B124" s="8"/>
      <c r="C124" s="9"/>
      <c r="D124" s="12" t="s">
        <v>120</v>
      </c>
      <c r="E124" s="14">
        <v>499823.44</v>
      </c>
      <c r="F124" s="14">
        <v>0</v>
      </c>
      <c r="G124" s="14">
        <v>3511659.19</v>
      </c>
      <c r="H124" s="14">
        <v>776402.91500000004</v>
      </c>
      <c r="I124" s="13">
        <f t="shared" si="1"/>
        <v>4787885.5449999999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11673909.930000002</v>
      </c>
      <c r="H125" s="14">
        <v>74686.095000000001</v>
      </c>
      <c r="I125" s="13">
        <f t="shared" si="1"/>
        <v>11748596.025000002</v>
      </c>
    </row>
    <row r="126" spans="1:9" ht="15.75" x14ac:dyDescent="0.25">
      <c r="A126" s="8"/>
      <c r="B126" s="8"/>
      <c r="C126" s="9"/>
      <c r="D126" s="12" t="s">
        <v>122</v>
      </c>
      <c r="E126" s="14">
        <v>347236.85000000003</v>
      </c>
      <c r="F126" s="14">
        <v>0</v>
      </c>
      <c r="G126" s="14">
        <v>5098656.84</v>
      </c>
      <c r="H126" s="14">
        <v>0</v>
      </c>
      <c r="I126" s="13">
        <f t="shared" si="1"/>
        <v>5445893.6899999995</v>
      </c>
    </row>
    <row r="127" spans="1:9" ht="15.75" x14ac:dyDescent="0.25">
      <c r="A127" s="8"/>
      <c r="B127" s="8"/>
      <c r="C127" s="9"/>
      <c r="D127" s="12" t="s">
        <v>123</v>
      </c>
      <c r="E127" s="14">
        <v>12427818.48</v>
      </c>
      <c r="F127" s="14">
        <v>2302833.798021466</v>
      </c>
      <c r="G127" s="14">
        <v>9130686.4299999978</v>
      </c>
      <c r="H127" s="14">
        <v>0</v>
      </c>
      <c r="I127" s="13">
        <f t="shared" si="1"/>
        <v>23861338.708021462</v>
      </c>
    </row>
    <row r="128" spans="1:9" ht="15.75" x14ac:dyDescent="0.25">
      <c r="A128" s="8"/>
      <c r="B128" s="8"/>
      <c r="C128" s="9"/>
      <c r="D128" s="12" t="s">
        <v>124</v>
      </c>
      <c r="E128" s="14">
        <v>21143560.810000002</v>
      </c>
      <c r="F128" s="14">
        <v>7184922.3303074567</v>
      </c>
      <c r="G128" s="14">
        <v>1656289.7400000002</v>
      </c>
      <c r="H128" s="14">
        <v>0</v>
      </c>
      <c r="I128" s="13">
        <f t="shared" si="1"/>
        <v>29984772.880307458</v>
      </c>
    </row>
    <row r="129" spans="1:9" ht="15.75" x14ac:dyDescent="0.25">
      <c r="A129" s="8"/>
      <c r="B129" s="8"/>
      <c r="C129" s="9"/>
      <c r="D129" s="12" t="s">
        <v>125</v>
      </c>
      <c r="E129" s="14">
        <v>7836662.2400000002</v>
      </c>
      <c r="F129" s="14">
        <v>3477384.8932883414</v>
      </c>
      <c r="G129" s="14">
        <v>1322388.0900000001</v>
      </c>
      <c r="H129" s="14">
        <v>0</v>
      </c>
      <c r="I129" s="13">
        <f t="shared" si="1"/>
        <v>12636435.223288342</v>
      </c>
    </row>
    <row r="130" spans="1:9" ht="15.75" x14ac:dyDescent="0.25">
      <c r="A130" s="8"/>
      <c r="B130" s="8"/>
      <c r="C130" s="9"/>
      <c r="D130" s="12" t="s">
        <v>126</v>
      </c>
      <c r="E130" s="14">
        <v>5729615.0500000007</v>
      </c>
      <c r="F130" s="14">
        <v>6125625.9197305664</v>
      </c>
      <c r="G130" s="14">
        <v>273858.26</v>
      </c>
      <c r="H130" s="14">
        <v>0</v>
      </c>
      <c r="I130" s="13">
        <f t="shared" si="1"/>
        <v>12129099.229730567</v>
      </c>
    </row>
    <row r="131" spans="1:9" ht="15.75" x14ac:dyDescent="0.25">
      <c r="A131" s="8"/>
      <c r="B131" s="8"/>
      <c r="C131" s="9"/>
      <c r="D131" s="12" t="s">
        <v>127</v>
      </c>
      <c r="E131" s="14">
        <v>63443276.520000011</v>
      </c>
      <c r="F131" s="14">
        <v>33479166.535720885</v>
      </c>
      <c r="G131" s="14">
        <v>9503975.5099999998</v>
      </c>
      <c r="H131" s="14">
        <v>0</v>
      </c>
      <c r="I131" s="13">
        <f t="shared" si="1"/>
        <v>106426418.5657209</v>
      </c>
    </row>
    <row r="132" spans="1:9" ht="15.75" x14ac:dyDescent="0.25">
      <c r="A132" s="8"/>
      <c r="B132" s="8"/>
      <c r="C132" s="9"/>
      <c r="D132" s="12" t="s">
        <v>128</v>
      </c>
      <c r="E132" s="14">
        <v>13360384.600000003</v>
      </c>
      <c r="F132" s="14">
        <v>20541620.030974701</v>
      </c>
      <c r="G132" s="14">
        <v>190808.01000000007</v>
      </c>
      <c r="H132" s="14">
        <v>0</v>
      </c>
      <c r="I132" s="13">
        <f t="shared" si="1"/>
        <v>34092812.6409747</v>
      </c>
    </row>
    <row r="133" spans="1:9" ht="15.75" x14ac:dyDescent="0.25">
      <c r="A133" s="8"/>
      <c r="B133" s="8"/>
      <c r="C133" s="9"/>
      <c r="D133" s="12" t="s">
        <v>129</v>
      </c>
      <c r="E133" s="14">
        <v>8751334.7999999989</v>
      </c>
      <c r="F133" s="14">
        <v>0</v>
      </c>
      <c r="G133" s="14">
        <v>9334208.410000002</v>
      </c>
      <c r="H133" s="14">
        <v>441851.16500000004</v>
      </c>
      <c r="I133" s="13">
        <f t="shared" si="1"/>
        <v>18527394.375</v>
      </c>
    </row>
    <row r="134" spans="1:9" ht="15.75" x14ac:dyDescent="0.25">
      <c r="A134" s="8"/>
      <c r="B134" s="8"/>
      <c r="C134" s="9"/>
      <c r="D134" s="12" t="s">
        <v>130</v>
      </c>
      <c r="E134" s="14">
        <v>2369462.4499999997</v>
      </c>
      <c r="F134" s="14">
        <v>1013265.9018307354</v>
      </c>
      <c r="G134" s="14">
        <v>16329.52</v>
      </c>
      <c r="H134" s="14">
        <v>0</v>
      </c>
      <c r="I134" s="13">
        <f t="shared" si="1"/>
        <v>3399057.8718307349</v>
      </c>
    </row>
    <row r="135" spans="1:9" ht="15.75" x14ac:dyDescent="0.25">
      <c r="A135" s="8"/>
      <c r="B135" s="8"/>
      <c r="C135" s="9"/>
      <c r="D135" s="12" t="s">
        <v>131</v>
      </c>
      <c r="E135" s="14">
        <v>7803904.3899999997</v>
      </c>
      <c r="F135" s="14">
        <v>12803974.770064188</v>
      </c>
      <c r="G135" s="14">
        <v>438888.14</v>
      </c>
      <c r="H135" s="14">
        <v>0</v>
      </c>
      <c r="I135" s="13">
        <f t="shared" si="1"/>
        <v>21046767.300064187</v>
      </c>
    </row>
    <row r="136" spans="1:9" ht="15.75" x14ac:dyDescent="0.25">
      <c r="A136" s="8"/>
      <c r="B136" s="8"/>
      <c r="C136" s="9"/>
      <c r="D136" s="12" t="s">
        <v>132</v>
      </c>
      <c r="E136" s="14">
        <v>48376286.040000007</v>
      </c>
      <c r="F136" s="14">
        <v>15475290.521821024</v>
      </c>
      <c r="G136" s="14">
        <v>3105479.2799999989</v>
      </c>
      <c r="H136" s="14">
        <v>0</v>
      </c>
      <c r="I136" s="13">
        <f t="shared" si="1"/>
        <v>66957055.84182103</v>
      </c>
    </row>
    <row r="137" spans="1:9" ht="15.75" x14ac:dyDescent="0.25">
      <c r="A137" s="8"/>
      <c r="B137" s="8"/>
      <c r="C137" s="9"/>
      <c r="D137" s="12" t="s">
        <v>133</v>
      </c>
      <c r="E137" s="14">
        <v>54515191.379999988</v>
      </c>
      <c r="F137" s="14">
        <v>24332178.902373184</v>
      </c>
      <c r="G137" s="14">
        <v>5174801.3100000015</v>
      </c>
      <c r="H137" s="14">
        <v>0</v>
      </c>
      <c r="I137" s="13">
        <f t="shared" si="1"/>
        <v>84022171.592373177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7855389.0099999988</v>
      </c>
      <c r="H138" s="14">
        <v>0</v>
      </c>
      <c r="I138" s="13">
        <f t="shared" ref="I138:I144" si="2">SUM(E138:H138)</f>
        <v>7855389.0099999988</v>
      </c>
    </row>
    <row r="139" spans="1:9" ht="15.75" x14ac:dyDescent="0.25">
      <c r="A139" s="8"/>
      <c r="B139" s="8"/>
      <c r="C139" s="9"/>
      <c r="D139" s="12" t="s">
        <v>135</v>
      </c>
      <c r="E139" s="14">
        <v>6638518.5800000001</v>
      </c>
      <c r="F139" s="14">
        <v>3643189.8782809512</v>
      </c>
      <c r="G139" s="14">
        <v>635387.55999999994</v>
      </c>
      <c r="H139" s="14">
        <v>0</v>
      </c>
      <c r="I139" s="13">
        <f t="shared" si="2"/>
        <v>10917096.018280951</v>
      </c>
    </row>
    <row r="140" spans="1:9" ht="15.75" x14ac:dyDescent="0.25">
      <c r="A140" s="8"/>
      <c r="B140" s="8"/>
      <c r="C140" s="9"/>
      <c r="D140" s="12" t="s">
        <v>136</v>
      </c>
      <c r="E140" s="14">
        <v>32722949.050000001</v>
      </c>
      <c r="F140" s="14">
        <v>25838221.025742214</v>
      </c>
      <c r="G140" s="14">
        <v>1912887.4</v>
      </c>
      <c r="H140" s="14">
        <v>0</v>
      </c>
      <c r="I140" s="13">
        <f t="shared" si="2"/>
        <v>60474057.475742213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9559180.2699999996</v>
      </c>
      <c r="H141" s="14">
        <v>5470.65</v>
      </c>
      <c r="I141" s="13">
        <f t="shared" si="2"/>
        <v>9564650.9199999999</v>
      </c>
    </row>
    <row r="142" spans="1:9" ht="15.75" x14ac:dyDescent="0.25">
      <c r="A142" s="8"/>
      <c r="B142" s="8"/>
      <c r="C142" s="9"/>
      <c r="D142" s="12" t="s">
        <v>138</v>
      </c>
      <c r="E142" s="14">
        <v>29829.78</v>
      </c>
      <c r="F142" s="14">
        <v>0</v>
      </c>
      <c r="G142" s="14">
        <v>5009597.2</v>
      </c>
      <c r="H142" s="14">
        <v>0</v>
      </c>
      <c r="I142" s="13">
        <f t="shared" si="2"/>
        <v>5039426.9800000004</v>
      </c>
    </row>
    <row r="143" spans="1:9" ht="15.75" x14ac:dyDescent="0.25">
      <c r="A143" s="8"/>
      <c r="B143" s="8"/>
      <c r="C143" s="9"/>
      <c r="D143" s="12" t="s">
        <v>139</v>
      </c>
      <c r="E143" s="14">
        <v>3383981.1399999992</v>
      </c>
      <c r="F143" s="14">
        <v>23880794.456141509</v>
      </c>
      <c r="G143" s="14">
        <v>68759.09</v>
      </c>
      <c r="H143" s="14">
        <v>0</v>
      </c>
      <c r="I143" s="13">
        <f t="shared" si="2"/>
        <v>27333534.68614151</v>
      </c>
    </row>
    <row r="144" spans="1:9" ht="15.75" x14ac:dyDescent="0.25">
      <c r="A144" s="8"/>
      <c r="B144" s="8"/>
      <c r="C144" s="9"/>
      <c r="D144" s="12" t="s">
        <v>140</v>
      </c>
      <c r="E144" s="14">
        <v>21734635.009999998</v>
      </c>
      <c r="F144" s="14">
        <v>2901587.2373706754</v>
      </c>
      <c r="G144" s="14">
        <v>2600963.5499999998</v>
      </c>
      <c r="H144" s="14">
        <v>0</v>
      </c>
      <c r="I144" s="13">
        <f t="shared" si="2"/>
        <v>27237185.797370676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2315308259.9900007</v>
      </c>
      <c r="F145" s="22">
        <f>SUM(F10:F144)</f>
        <v>1189363641.6162581</v>
      </c>
      <c r="G145" s="22">
        <f>SUM(G10:G144)</f>
        <v>452300924.29999971</v>
      </c>
      <c r="H145" s="22">
        <f>SUM(H10:H144)</f>
        <v>1298410.825</v>
      </c>
      <c r="I145" s="22">
        <f>SUM(I10:I144)</f>
        <v>3958271236.7312584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0.8320312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0.25" x14ac:dyDescent="0.3">
      <c r="D5" s="18" t="s">
        <v>143</v>
      </c>
      <c r="E5" s="19"/>
      <c r="F5" s="19"/>
      <c r="G5" s="19"/>
      <c r="H5" s="19"/>
      <c r="I5" s="19"/>
    </row>
    <row r="6" spans="1:9" ht="20.25" x14ac:dyDescent="0.3">
      <c r="D6" s="18" t="s">
        <v>152</v>
      </c>
      <c r="E6" s="19"/>
      <c r="F6" s="19"/>
      <c r="G6" s="19"/>
      <c r="H6" s="19"/>
      <c r="I6" s="19"/>
    </row>
    <row r="7" spans="1:9" ht="15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153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914407.7300000001</v>
      </c>
      <c r="F10" s="14">
        <v>2942125.7825048016</v>
      </c>
      <c r="G10" s="14">
        <v>1240759.75</v>
      </c>
      <c r="H10" s="14">
        <v>0</v>
      </c>
      <c r="I10" s="13">
        <f t="shared" ref="I10:I73" si="0">SUM(E10:H10)</f>
        <v>5097293.2625048012</v>
      </c>
    </row>
    <row r="11" spans="1:9" ht="15.75" x14ac:dyDescent="0.25">
      <c r="A11" s="8"/>
      <c r="B11" s="8"/>
      <c r="C11" s="9"/>
      <c r="D11" s="12" t="s">
        <v>7</v>
      </c>
      <c r="E11" s="14">
        <v>1498311.3800000004</v>
      </c>
      <c r="F11" s="14">
        <v>1651345.6530790478</v>
      </c>
      <c r="G11" s="14">
        <v>748009.3899999999</v>
      </c>
      <c r="H11" s="14">
        <v>0</v>
      </c>
      <c r="I11" s="13">
        <f t="shared" si="0"/>
        <v>3897666.4230790483</v>
      </c>
    </row>
    <row r="12" spans="1:9" ht="15.75" x14ac:dyDescent="0.25">
      <c r="A12" s="8"/>
      <c r="B12" s="8"/>
      <c r="C12" s="9"/>
      <c r="D12" s="12" t="s">
        <v>8</v>
      </c>
      <c r="E12" s="14">
        <v>664766.15</v>
      </c>
      <c r="F12" s="14">
        <v>598661.19821302197</v>
      </c>
      <c r="G12" s="14">
        <v>618404.16</v>
      </c>
      <c r="H12" s="14">
        <v>0</v>
      </c>
      <c r="I12" s="13">
        <f t="shared" si="0"/>
        <v>1881831.5082130223</v>
      </c>
    </row>
    <row r="13" spans="1:9" ht="15.75" x14ac:dyDescent="0.25">
      <c r="A13" s="8"/>
      <c r="B13" s="8"/>
      <c r="C13" s="9"/>
      <c r="D13" s="12" t="s">
        <v>9</v>
      </c>
      <c r="E13" s="14">
        <v>157653.65000000002</v>
      </c>
      <c r="F13" s="14">
        <v>15842.142340723996</v>
      </c>
      <c r="G13" s="14">
        <v>8740895.6600000001</v>
      </c>
      <c r="H13" s="14">
        <v>0</v>
      </c>
      <c r="I13" s="13">
        <f t="shared" si="0"/>
        <v>8914391.4523407239</v>
      </c>
    </row>
    <row r="14" spans="1:9" ht="15.75" x14ac:dyDescent="0.25">
      <c r="A14" s="8"/>
      <c r="B14" s="8"/>
      <c r="C14" s="9"/>
      <c r="D14" s="12" t="s">
        <v>10</v>
      </c>
      <c r="E14" s="14">
        <v>829478.08</v>
      </c>
      <c r="F14" s="14">
        <v>665179.10912557994</v>
      </c>
      <c r="G14" s="14">
        <v>1294542.3500000003</v>
      </c>
      <c r="H14" s="14">
        <v>0</v>
      </c>
      <c r="I14" s="13">
        <f t="shared" si="0"/>
        <v>2789199.5391255803</v>
      </c>
    </row>
    <row r="15" spans="1:9" ht="15.75" x14ac:dyDescent="0.25">
      <c r="A15" s="8"/>
      <c r="B15" s="8"/>
      <c r="C15" s="9"/>
      <c r="D15" s="12" t="s">
        <v>11</v>
      </c>
      <c r="E15" s="14">
        <v>210107.3</v>
      </c>
      <c r="F15" s="14">
        <v>3694.6820777419998</v>
      </c>
      <c r="G15" s="14">
        <v>8837946.6300000008</v>
      </c>
      <c r="H15" s="14">
        <v>0</v>
      </c>
      <c r="I15" s="13">
        <f t="shared" si="0"/>
        <v>9051748.6120777428</v>
      </c>
    </row>
    <row r="16" spans="1:9" ht="15.75" x14ac:dyDescent="0.25">
      <c r="A16" s="8"/>
      <c r="B16" s="8"/>
      <c r="C16" s="9"/>
      <c r="D16" s="12" t="s">
        <v>12</v>
      </c>
      <c r="E16" s="14">
        <v>2030019.71</v>
      </c>
      <c r="F16" s="14">
        <v>3171768.678879289</v>
      </c>
      <c r="G16" s="14">
        <v>1949024.5300000003</v>
      </c>
      <c r="H16" s="14">
        <v>0</v>
      </c>
      <c r="I16" s="13">
        <f t="shared" si="0"/>
        <v>7150812.9188792892</v>
      </c>
    </row>
    <row r="17" spans="1:9" ht="15.75" x14ac:dyDescent="0.25">
      <c r="A17" s="8"/>
      <c r="B17" s="8"/>
      <c r="C17" s="9"/>
      <c r="D17" s="12" t="s">
        <v>13</v>
      </c>
      <c r="E17" s="14">
        <v>3080415.11</v>
      </c>
      <c r="F17" s="14">
        <v>2914149.813414298</v>
      </c>
      <c r="G17" s="14">
        <v>3842210.1100000008</v>
      </c>
      <c r="H17" s="14">
        <v>0</v>
      </c>
      <c r="I17" s="13">
        <f t="shared" si="0"/>
        <v>9836775.0334142987</v>
      </c>
    </row>
    <row r="18" spans="1:9" ht="15.75" x14ac:dyDescent="0.25">
      <c r="A18" s="8"/>
      <c r="B18" s="8"/>
      <c r="C18" s="9"/>
      <c r="D18" s="12" t="s">
        <v>14</v>
      </c>
      <c r="E18" s="14">
        <v>1289687.48</v>
      </c>
      <c r="F18" s="14">
        <v>237563.9675448499</v>
      </c>
      <c r="G18" s="14">
        <v>18267377.789999999</v>
      </c>
      <c r="H18" s="14">
        <v>0</v>
      </c>
      <c r="I18" s="13">
        <f t="shared" si="0"/>
        <v>19794629.23754485</v>
      </c>
    </row>
    <row r="19" spans="1:9" ht="15.75" x14ac:dyDescent="0.25">
      <c r="A19" s="8"/>
      <c r="B19" s="8"/>
      <c r="C19" s="9"/>
      <c r="D19" s="12" t="s">
        <v>15</v>
      </c>
      <c r="E19" s="14">
        <v>2481905.21</v>
      </c>
      <c r="F19" s="14">
        <v>2267444.1146774278</v>
      </c>
      <c r="G19" s="14">
        <v>3872509.55</v>
      </c>
      <c r="H19" s="14">
        <v>0</v>
      </c>
      <c r="I19" s="13">
        <f t="shared" si="0"/>
        <v>8621858.8746774271</v>
      </c>
    </row>
    <row r="20" spans="1:9" ht="15.75" x14ac:dyDescent="0.25">
      <c r="A20" s="8"/>
      <c r="B20" s="8"/>
      <c r="C20" s="9"/>
      <c r="D20" s="12" t="s">
        <v>16</v>
      </c>
      <c r="E20" s="14">
        <v>1896864.1500000004</v>
      </c>
      <c r="F20" s="14">
        <v>622956.11873898585</v>
      </c>
      <c r="G20" s="14">
        <v>1106579.0100000002</v>
      </c>
      <c r="H20" s="14">
        <v>0</v>
      </c>
      <c r="I20" s="13">
        <f t="shared" si="0"/>
        <v>3626399.2787389862</v>
      </c>
    </row>
    <row r="21" spans="1:9" ht="15.75" x14ac:dyDescent="0.25">
      <c r="A21" s="8"/>
      <c r="B21" s="8"/>
      <c r="C21" s="9"/>
      <c r="D21" s="12" t="s">
        <v>17</v>
      </c>
      <c r="E21" s="14">
        <v>1276328.71</v>
      </c>
      <c r="F21" s="14">
        <v>2712482.8861303134</v>
      </c>
      <c r="G21" s="14">
        <v>856465.89</v>
      </c>
      <c r="H21" s="14">
        <v>0</v>
      </c>
      <c r="I21" s="13">
        <f t="shared" si="0"/>
        <v>4845277.486130313</v>
      </c>
    </row>
    <row r="22" spans="1:9" ht="15.75" x14ac:dyDescent="0.25">
      <c r="A22" s="8"/>
      <c r="B22" s="8"/>
      <c r="C22" s="9"/>
      <c r="D22" s="12" t="s">
        <v>18</v>
      </c>
      <c r="E22" s="14">
        <v>142740.97999999998</v>
      </c>
      <c r="F22" s="14">
        <v>116143.89896783797</v>
      </c>
      <c r="G22" s="14">
        <v>5881787.6999999993</v>
      </c>
      <c r="H22" s="14">
        <v>0</v>
      </c>
      <c r="I22" s="13">
        <f t="shared" si="0"/>
        <v>6140672.5789678376</v>
      </c>
    </row>
    <row r="23" spans="1:9" ht="15.75" x14ac:dyDescent="0.25">
      <c r="A23" s="8"/>
      <c r="B23" s="8"/>
      <c r="C23" s="9"/>
      <c r="D23" s="12" t="s">
        <v>19</v>
      </c>
      <c r="E23" s="14">
        <v>527205.8899999999</v>
      </c>
      <c r="F23" s="14">
        <v>43286.404416349993</v>
      </c>
      <c r="G23" s="14">
        <v>2828960.2300000009</v>
      </c>
      <c r="H23" s="14">
        <v>0</v>
      </c>
      <c r="I23" s="13">
        <f t="shared" si="0"/>
        <v>3399452.5244163508</v>
      </c>
    </row>
    <row r="24" spans="1:9" ht="15.75" x14ac:dyDescent="0.25">
      <c r="A24" s="8"/>
      <c r="B24" s="8"/>
      <c r="C24" s="9"/>
      <c r="D24" s="12" t="s">
        <v>20</v>
      </c>
      <c r="E24" s="14">
        <v>2955716.31</v>
      </c>
      <c r="F24" s="14">
        <v>1663493.1133420297</v>
      </c>
      <c r="G24" s="14">
        <v>1932243.7299999997</v>
      </c>
      <c r="H24" s="14">
        <v>0</v>
      </c>
      <c r="I24" s="13">
        <f t="shared" si="0"/>
        <v>6551453.1533420291</v>
      </c>
    </row>
    <row r="25" spans="1:9" ht="15.75" x14ac:dyDescent="0.25">
      <c r="A25" s="8"/>
      <c r="B25" s="8"/>
      <c r="C25" s="9"/>
      <c r="D25" s="12" t="s">
        <v>21</v>
      </c>
      <c r="E25" s="14">
        <v>813395.01000000013</v>
      </c>
      <c r="F25" s="14">
        <v>1235346.2647464219</v>
      </c>
      <c r="G25" s="14">
        <v>1921093.96</v>
      </c>
      <c r="H25" s="14">
        <v>0</v>
      </c>
      <c r="I25" s="13">
        <f t="shared" si="0"/>
        <v>3969835.2347464222</v>
      </c>
    </row>
    <row r="26" spans="1:9" ht="15.75" x14ac:dyDescent="0.25">
      <c r="A26" s="8"/>
      <c r="B26" s="8"/>
      <c r="C26" s="9"/>
      <c r="D26" s="12" t="s">
        <v>22</v>
      </c>
      <c r="E26" s="14">
        <v>1155524.2299999997</v>
      </c>
      <c r="F26" s="14">
        <v>707415.73302537587</v>
      </c>
      <c r="G26" s="14">
        <v>1291390.8700000001</v>
      </c>
      <c r="H26" s="14">
        <v>0</v>
      </c>
      <c r="I26" s="13">
        <f t="shared" si="0"/>
        <v>3154330.8330253758</v>
      </c>
    </row>
    <row r="27" spans="1:9" ht="15.75" x14ac:dyDescent="0.25">
      <c r="A27" s="8"/>
      <c r="B27" s="8"/>
      <c r="C27" s="9"/>
      <c r="D27" s="12" t="s">
        <v>23</v>
      </c>
      <c r="E27" s="14">
        <v>2542104.69</v>
      </c>
      <c r="F27" s="14">
        <v>121420.06857701197</v>
      </c>
      <c r="G27" s="14">
        <v>3237234.0700000008</v>
      </c>
      <c r="H27" s="14">
        <v>0</v>
      </c>
      <c r="I27" s="13">
        <f t="shared" si="0"/>
        <v>5900758.8285770128</v>
      </c>
    </row>
    <row r="28" spans="1:9" ht="15.75" x14ac:dyDescent="0.25">
      <c r="A28" s="8"/>
      <c r="B28" s="8"/>
      <c r="C28" s="9"/>
      <c r="D28" s="12" t="s">
        <v>24</v>
      </c>
      <c r="E28" s="14">
        <v>733287.03</v>
      </c>
      <c r="F28" s="14">
        <v>575443.32523001591</v>
      </c>
      <c r="G28" s="14">
        <v>2179984.4099999992</v>
      </c>
      <c r="H28" s="14">
        <v>0</v>
      </c>
      <c r="I28" s="13">
        <f t="shared" si="0"/>
        <v>3488714.7652300149</v>
      </c>
    </row>
    <row r="29" spans="1:9" ht="15.75" x14ac:dyDescent="0.25">
      <c r="A29" s="8"/>
      <c r="B29" s="8"/>
      <c r="C29" s="9"/>
      <c r="D29" s="12" t="s">
        <v>25</v>
      </c>
      <c r="E29" s="14">
        <v>1005815.5099999999</v>
      </c>
      <c r="F29" s="14">
        <v>322037.21534444194</v>
      </c>
      <c r="G29" s="14">
        <v>566151.51</v>
      </c>
      <c r="H29" s="14">
        <v>0</v>
      </c>
      <c r="I29" s="13">
        <f t="shared" si="0"/>
        <v>1894004.2353444418</v>
      </c>
    </row>
    <row r="30" spans="1:9" ht="15.75" x14ac:dyDescent="0.25">
      <c r="A30" s="8"/>
      <c r="B30" s="8"/>
      <c r="C30" s="9"/>
      <c r="D30" s="12" t="s">
        <v>26</v>
      </c>
      <c r="E30" s="14">
        <v>762405.53999999992</v>
      </c>
      <c r="F30" s="14">
        <v>1736868.6813951938</v>
      </c>
      <c r="G30" s="14">
        <v>1343191.31</v>
      </c>
      <c r="H30" s="14">
        <v>0</v>
      </c>
      <c r="I30" s="13">
        <f t="shared" si="0"/>
        <v>3842465.5313951937</v>
      </c>
    </row>
    <row r="31" spans="1:9" ht="15.75" x14ac:dyDescent="0.25">
      <c r="A31" s="8"/>
      <c r="B31" s="8"/>
      <c r="C31" s="9"/>
      <c r="D31" s="12" t="s">
        <v>27</v>
      </c>
      <c r="E31" s="14">
        <v>1042226.0499999999</v>
      </c>
      <c r="F31" s="14">
        <v>1800223.6172448879</v>
      </c>
      <c r="G31" s="14">
        <v>849540.34</v>
      </c>
      <c r="H31" s="14">
        <v>0</v>
      </c>
      <c r="I31" s="13">
        <f t="shared" si="0"/>
        <v>3691990.0072448878</v>
      </c>
    </row>
    <row r="32" spans="1:9" ht="15.75" x14ac:dyDescent="0.25">
      <c r="A32" s="8"/>
      <c r="B32" s="8"/>
      <c r="C32" s="9"/>
      <c r="D32" s="12" t="s">
        <v>28</v>
      </c>
      <c r="E32" s="14">
        <v>1756883.2800000003</v>
      </c>
      <c r="F32" s="14">
        <v>607645.68341313989</v>
      </c>
      <c r="G32" s="14">
        <v>720447.59000000008</v>
      </c>
      <c r="H32" s="14">
        <v>0</v>
      </c>
      <c r="I32" s="13">
        <f t="shared" si="0"/>
        <v>3084976.5534131406</v>
      </c>
    </row>
    <row r="33" spans="1:9" ht="15.75" x14ac:dyDescent="0.25">
      <c r="A33" s="8"/>
      <c r="B33" s="8"/>
      <c r="C33" s="9"/>
      <c r="D33" s="12" t="s">
        <v>29</v>
      </c>
      <c r="E33" s="14">
        <v>513223.57999999996</v>
      </c>
      <c r="F33" s="14">
        <v>918585.21901115379</v>
      </c>
      <c r="G33" s="14">
        <v>580390.26</v>
      </c>
      <c r="H33" s="14">
        <v>0</v>
      </c>
      <c r="I33" s="13">
        <f t="shared" si="0"/>
        <v>2012199.0590111536</v>
      </c>
    </row>
    <row r="34" spans="1:9" ht="15.75" x14ac:dyDescent="0.25">
      <c r="A34" s="8"/>
      <c r="B34" s="8"/>
      <c r="C34" s="9"/>
      <c r="D34" s="12" t="s">
        <v>30</v>
      </c>
      <c r="E34" s="14">
        <v>1737577.22</v>
      </c>
      <c r="F34" s="14">
        <v>1318224.3915013797</v>
      </c>
      <c r="G34" s="14">
        <v>2792575.9400000004</v>
      </c>
      <c r="H34" s="14">
        <v>0</v>
      </c>
      <c r="I34" s="13">
        <f t="shared" si="0"/>
        <v>5848377.5515013803</v>
      </c>
    </row>
    <row r="35" spans="1:9" ht="15.75" x14ac:dyDescent="0.25">
      <c r="A35" s="8"/>
      <c r="B35" s="8"/>
      <c r="C35" s="9"/>
      <c r="D35" s="12" t="s">
        <v>31</v>
      </c>
      <c r="E35" s="14">
        <v>1785879.06</v>
      </c>
      <c r="F35" s="14">
        <v>1938017.5351775016</v>
      </c>
      <c r="G35" s="14">
        <v>2165101.3599999994</v>
      </c>
      <c r="H35" s="14">
        <v>0</v>
      </c>
      <c r="I35" s="13">
        <f t="shared" si="0"/>
        <v>5888997.9551775008</v>
      </c>
    </row>
    <row r="36" spans="1:9" ht="15.75" x14ac:dyDescent="0.25">
      <c r="A36" s="8"/>
      <c r="B36" s="8"/>
      <c r="C36" s="9"/>
      <c r="D36" s="12" t="s">
        <v>32</v>
      </c>
      <c r="E36" s="14">
        <v>831667.95</v>
      </c>
      <c r="F36" s="14">
        <v>1202612.1995484198</v>
      </c>
      <c r="G36" s="14">
        <v>3942160.9200000004</v>
      </c>
      <c r="H36" s="14">
        <v>0</v>
      </c>
      <c r="I36" s="13">
        <f t="shared" si="0"/>
        <v>5976441.0695484206</v>
      </c>
    </row>
    <row r="37" spans="1:9" ht="15.75" x14ac:dyDescent="0.25">
      <c r="A37" s="8"/>
      <c r="B37" s="8"/>
      <c r="C37" s="9"/>
      <c r="D37" s="12" t="s">
        <v>33</v>
      </c>
      <c r="E37" s="14">
        <v>519267.43</v>
      </c>
      <c r="F37" s="14">
        <v>665179.10912557994</v>
      </c>
      <c r="G37" s="14">
        <v>1201292.75</v>
      </c>
      <c r="H37" s="14">
        <v>0</v>
      </c>
      <c r="I37" s="13">
        <f t="shared" si="0"/>
        <v>2385739.2891255799</v>
      </c>
    </row>
    <row r="38" spans="1:9" ht="15.75" x14ac:dyDescent="0.25">
      <c r="A38" s="8"/>
      <c r="B38" s="8"/>
      <c r="C38" s="9"/>
      <c r="D38" s="12" t="s">
        <v>34</v>
      </c>
      <c r="E38" s="14">
        <v>677109.27</v>
      </c>
      <c r="F38" s="14">
        <v>1445465.9702156456</v>
      </c>
      <c r="G38" s="14">
        <v>1242360.0999999999</v>
      </c>
      <c r="H38" s="14">
        <v>0</v>
      </c>
      <c r="I38" s="13">
        <f t="shared" si="0"/>
        <v>3364935.3402156457</v>
      </c>
    </row>
    <row r="39" spans="1:9" ht="15.75" x14ac:dyDescent="0.25">
      <c r="A39" s="8"/>
      <c r="B39" s="8"/>
      <c r="C39" s="9"/>
      <c r="D39" s="12" t="s">
        <v>35</v>
      </c>
      <c r="E39" s="14">
        <v>846633.62000000023</v>
      </c>
      <c r="F39" s="14">
        <v>2263217.7255848078</v>
      </c>
      <c r="G39" s="14">
        <v>1683702.64</v>
      </c>
      <c r="H39" s="14">
        <v>0</v>
      </c>
      <c r="I39" s="13">
        <f t="shared" si="0"/>
        <v>4793553.9855848076</v>
      </c>
    </row>
    <row r="40" spans="1:9" ht="15.75" x14ac:dyDescent="0.25">
      <c r="A40" s="8"/>
      <c r="B40" s="8"/>
      <c r="C40" s="9"/>
      <c r="D40" s="12" t="s">
        <v>36</v>
      </c>
      <c r="E40" s="14">
        <v>127340.53</v>
      </c>
      <c r="F40" s="14">
        <v>118788.80052902598</v>
      </c>
      <c r="G40" s="14">
        <v>935889.99</v>
      </c>
      <c r="H40" s="14">
        <v>0</v>
      </c>
      <c r="I40" s="13">
        <f t="shared" si="0"/>
        <v>1182019.320529026</v>
      </c>
    </row>
    <row r="41" spans="1:9" ht="15.75" x14ac:dyDescent="0.25">
      <c r="A41" s="8"/>
      <c r="B41" s="8"/>
      <c r="C41" s="9"/>
      <c r="D41" s="12" t="s">
        <v>37</v>
      </c>
      <c r="E41" s="14">
        <v>1606436.5700000005</v>
      </c>
      <c r="F41" s="14">
        <v>1984998.6216715937</v>
      </c>
      <c r="G41" s="14">
        <v>2855969.1400000006</v>
      </c>
      <c r="H41" s="14">
        <v>0</v>
      </c>
      <c r="I41" s="13">
        <f t="shared" si="0"/>
        <v>6447404.3316715946</v>
      </c>
    </row>
    <row r="42" spans="1:9" ht="15.75" x14ac:dyDescent="0.25">
      <c r="A42" s="8"/>
      <c r="B42" s="8"/>
      <c r="C42" s="9"/>
      <c r="D42" s="12" t="s">
        <v>38</v>
      </c>
      <c r="E42" s="14">
        <v>2190707.4399999995</v>
      </c>
      <c r="F42" s="14">
        <v>2149718.7281781575</v>
      </c>
      <c r="G42" s="14">
        <v>1001047.24</v>
      </c>
      <c r="H42" s="14">
        <v>0</v>
      </c>
      <c r="I42" s="13">
        <f t="shared" si="0"/>
        <v>5341473.4081781572</v>
      </c>
    </row>
    <row r="43" spans="1:9" ht="15.75" x14ac:dyDescent="0.25">
      <c r="A43" s="8"/>
      <c r="B43" s="8"/>
      <c r="C43" s="9"/>
      <c r="D43" s="12" t="s">
        <v>39</v>
      </c>
      <c r="E43" s="14">
        <v>463490.10999999993</v>
      </c>
      <c r="F43" s="14">
        <v>781854.7151082959</v>
      </c>
      <c r="G43" s="14">
        <v>1138901.1599999999</v>
      </c>
      <c r="H43" s="14">
        <v>0</v>
      </c>
      <c r="I43" s="13">
        <f t="shared" si="0"/>
        <v>2384245.9851082955</v>
      </c>
    </row>
    <row r="44" spans="1:9" ht="15.75" x14ac:dyDescent="0.25">
      <c r="A44" s="8"/>
      <c r="B44" s="8"/>
      <c r="C44" s="9"/>
      <c r="D44" s="12" t="s">
        <v>40</v>
      </c>
      <c r="E44" s="14">
        <v>1729.6100000000001</v>
      </c>
      <c r="F44" s="14">
        <v>60178.327273627983</v>
      </c>
      <c r="G44" s="14">
        <v>2405765.1599999997</v>
      </c>
      <c r="H44" s="14">
        <v>0</v>
      </c>
      <c r="I44" s="13">
        <f t="shared" si="0"/>
        <v>2467673.0972736278</v>
      </c>
    </row>
    <row r="45" spans="1:9" ht="15.75" x14ac:dyDescent="0.25">
      <c r="A45" s="8"/>
      <c r="B45" s="8"/>
      <c r="C45" s="9"/>
      <c r="D45" s="12" t="s">
        <v>41</v>
      </c>
      <c r="E45" s="14">
        <v>403312.56</v>
      </c>
      <c r="F45" s="14">
        <v>17423.629872155994</v>
      </c>
      <c r="G45" s="14">
        <v>4779914.63</v>
      </c>
      <c r="H45" s="14">
        <v>0</v>
      </c>
      <c r="I45" s="13">
        <f t="shared" si="0"/>
        <v>5200650.8198721558</v>
      </c>
    </row>
    <row r="46" spans="1:9" ht="15.75" x14ac:dyDescent="0.25">
      <c r="A46" s="8"/>
      <c r="B46" s="8"/>
      <c r="C46" s="9"/>
      <c r="D46" s="12" t="s">
        <v>42</v>
      </c>
      <c r="E46" s="14">
        <v>347606.45</v>
      </c>
      <c r="F46" s="14">
        <v>58065.132727317992</v>
      </c>
      <c r="G46" s="14">
        <v>6531512.3599999985</v>
      </c>
      <c r="H46" s="14">
        <v>0</v>
      </c>
      <c r="I46" s="13">
        <f t="shared" si="0"/>
        <v>6937183.9427273162</v>
      </c>
    </row>
    <row r="47" spans="1:9" ht="15.75" x14ac:dyDescent="0.25">
      <c r="A47" s="8"/>
      <c r="B47" s="8"/>
      <c r="C47" s="9"/>
      <c r="D47" s="12" t="s">
        <v>43</v>
      </c>
      <c r="E47" s="14">
        <v>1147326.1500000001</v>
      </c>
      <c r="F47" s="14">
        <v>368486.59482365602</v>
      </c>
      <c r="G47" s="14">
        <v>1204108.1499999999</v>
      </c>
      <c r="H47" s="14">
        <v>0</v>
      </c>
      <c r="I47" s="13">
        <f t="shared" si="0"/>
        <v>2719920.894823656</v>
      </c>
    </row>
    <row r="48" spans="1:9" ht="15.75" x14ac:dyDescent="0.25">
      <c r="A48" s="8"/>
      <c r="B48" s="8"/>
      <c r="C48" s="9"/>
      <c r="D48" s="12" t="s">
        <v>44</v>
      </c>
      <c r="E48" s="14">
        <v>566522.84</v>
      </c>
      <c r="F48" s="14">
        <v>58065.132727317992</v>
      </c>
      <c r="G48" s="14">
        <v>2736952.1700000004</v>
      </c>
      <c r="H48" s="14">
        <v>0</v>
      </c>
      <c r="I48" s="13">
        <f t="shared" si="0"/>
        <v>3361540.1427273182</v>
      </c>
    </row>
    <row r="49" spans="1:9" ht="15.75" x14ac:dyDescent="0.25">
      <c r="A49" s="8"/>
      <c r="B49" s="8"/>
      <c r="C49" s="9"/>
      <c r="D49" s="12" t="s">
        <v>45</v>
      </c>
      <c r="E49" s="14">
        <v>230353.41999999998</v>
      </c>
      <c r="F49" s="14">
        <v>69162.812473745988</v>
      </c>
      <c r="G49" s="14">
        <v>6508280.0700000003</v>
      </c>
      <c r="H49" s="14">
        <v>0</v>
      </c>
      <c r="I49" s="13">
        <f t="shared" si="0"/>
        <v>6807796.3024737462</v>
      </c>
    </row>
    <row r="50" spans="1:9" ht="15.75" x14ac:dyDescent="0.25">
      <c r="A50" s="8"/>
      <c r="B50" s="8"/>
      <c r="C50" s="9"/>
      <c r="D50" s="12" t="s">
        <v>46</v>
      </c>
      <c r="E50" s="14">
        <v>939419.2300000001</v>
      </c>
      <c r="F50" s="14">
        <v>668355.7177016458</v>
      </c>
      <c r="G50" s="14">
        <v>447166.30999999994</v>
      </c>
      <c r="H50" s="14">
        <v>0</v>
      </c>
      <c r="I50" s="13">
        <f t="shared" si="0"/>
        <v>2054941.2577016461</v>
      </c>
    </row>
    <row r="51" spans="1:9" ht="15.75" x14ac:dyDescent="0.25">
      <c r="A51" s="8"/>
      <c r="B51" s="8"/>
      <c r="C51" s="9"/>
      <c r="D51" s="12" t="s">
        <v>47</v>
      </c>
      <c r="E51" s="14">
        <v>1308198.0500000003</v>
      </c>
      <c r="F51" s="14">
        <v>1215277.7333130778</v>
      </c>
      <c r="G51" s="14">
        <v>1739620.77</v>
      </c>
      <c r="H51" s="14">
        <v>0</v>
      </c>
      <c r="I51" s="13">
        <f t="shared" si="0"/>
        <v>4263096.5533130784</v>
      </c>
    </row>
    <row r="52" spans="1:9" ht="15.75" x14ac:dyDescent="0.25">
      <c r="A52" s="8"/>
      <c r="B52" s="8"/>
      <c r="C52" s="9"/>
      <c r="D52" s="12" t="s">
        <v>48</v>
      </c>
      <c r="E52" s="14">
        <v>728698.92000000016</v>
      </c>
      <c r="F52" s="14">
        <v>1224780.2920148717</v>
      </c>
      <c r="G52" s="14">
        <v>497736.85000000003</v>
      </c>
      <c r="H52" s="14">
        <v>0</v>
      </c>
      <c r="I52" s="13">
        <f t="shared" si="0"/>
        <v>2451216.0620148717</v>
      </c>
    </row>
    <row r="53" spans="1:9" ht="15.75" x14ac:dyDescent="0.25">
      <c r="A53" s="8"/>
      <c r="B53" s="8"/>
      <c r="C53" s="9"/>
      <c r="D53" s="12" t="s">
        <v>49</v>
      </c>
      <c r="E53" s="14">
        <v>516192</v>
      </c>
      <c r="F53" s="14">
        <v>839401.77433393779</v>
      </c>
      <c r="G53" s="14">
        <v>1722676.62</v>
      </c>
      <c r="H53" s="14">
        <v>0</v>
      </c>
      <c r="I53" s="13">
        <f t="shared" si="0"/>
        <v>3078270.3943339381</v>
      </c>
    </row>
    <row r="54" spans="1:9" ht="15.75" x14ac:dyDescent="0.25">
      <c r="A54" s="8"/>
      <c r="B54" s="8"/>
      <c r="C54" s="9"/>
      <c r="D54" s="12" t="s">
        <v>50</v>
      </c>
      <c r="E54" s="14">
        <v>1614329.77</v>
      </c>
      <c r="F54" s="14">
        <v>770770.66887506982</v>
      </c>
      <c r="G54" s="14">
        <v>1136131.7100000002</v>
      </c>
      <c r="H54" s="14">
        <v>0</v>
      </c>
      <c r="I54" s="13">
        <f t="shared" si="0"/>
        <v>3521232.1488750698</v>
      </c>
    </row>
    <row r="55" spans="1:9" ht="15.75" x14ac:dyDescent="0.25">
      <c r="A55" s="8"/>
      <c r="B55" s="8"/>
      <c r="C55" s="9"/>
      <c r="D55" s="12" t="s">
        <v>51</v>
      </c>
      <c r="E55" s="14">
        <v>575687.50999999989</v>
      </c>
      <c r="F55" s="14">
        <v>1578501.7920407618</v>
      </c>
      <c r="G55" s="14">
        <v>85188.590000000011</v>
      </c>
      <c r="H55" s="14">
        <v>0</v>
      </c>
      <c r="I55" s="13">
        <f t="shared" si="0"/>
        <v>2239377.8920407617</v>
      </c>
    </row>
    <row r="56" spans="1:9" ht="15.75" x14ac:dyDescent="0.25">
      <c r="A56" s="8"/>
      <c r="B56" s="8"/>
      <c r="C56" s="9"/>
      <c r="D56" s="12" t="s">
        <v>52</v>
      </c>
      <c r="E56" s="14">
        <v>688837.39</v>
      </c>
      <c r="F56" s="14">
        <v>1756937.2128285374</v>
      </c>
      <c r="G56" s="14">
        <v>666144.51</v>
      </c>
      <c r="H56" s="14">
        <v>0</v>
      </c>
      <c r="I56" s="13">
        <f t="shared" si="0"/>
        <v>3111919.1128285378</v>
      </c>
    </row>
    <row r="57" spans="1:9" ht="15.75" x14ac:dyDescent="0.25">
      <c r="A57" s="8"/>
      <c r="B57" s="8"/>
      <c r="C57" s="9"/>
      <c r="D57" s="12" t="s">
        <v>53</v>
      </c>
      <c r="E57" s="14">
        <v>383501.09</v>
      </c>
      <c r="F57" s="14">
        <v>580719.49483918992</v>
      </c>
      <c r="G57" s="14">
        <v>603886.3899999999</v>
      </c>
      <c r="H57" s="14">
        <v>0</v>
      </c>
      <c r="I57" s="13">
        <f t="shared" si="0"/>
        <v>1568106.9748391898</v>
      </c>
    </row>
    <row r="58" spans="1:9" ht="15.75" x14ac:dyDescent="0.25">
      <c r="A58" s="8"/>
      <c r="B58" s="8"/>
      <c r="C58" s="9"/>
      <c r="D58" s="12" t="s">
        <v>54</v>
      </c>
      <c r="E58" s="14">
        <v>373236.36000000004</v>
      </c>
      <c r="F58" s="14">
        <v>625069.31328529585</v>
      </c>
      <c r="G58" s="14">
        <v>90566.92</v>
      </c>
      <c r="H58" s="14">
        <v>0</v>
      </c>
      <c r="I58" s="13">
        <f t="shared" si="0"/>
        <v>1088872.5932852959</v>
      </c>
    </row>
    <row r="59" spans="1:9" ht="15.75" x14ac:dyDescent="0.25">
      <c r="A59" s="8"/>
      <c r="B59" s="8"/>
      <c r="C59" s="9"/>
      <c r="D59" s="12" t="s">
        <v>55</v>
      </c>
      <c r="E59" s="14">
        <v>593771.94999999995</v>
      </c>
      <c r="F59" s="14">
        <v>1055847.4299288897</v>
      </c>
      <c r="G59" s="14">
        <v>1074456.8899999999</v>
      </c>
      <c r="H59" s="14">
        <v>0</v>
      </c>
      <c r="I59" s="13">
        <f t="shared" si="0"/>
        <v>2724076.2699288893</v>
      </c>
    </row>
    <row r="60" spans="1:9" ht="15.75" x14ac:dyDescent="0.25">
      <c r="A60" s="8"/>
      <c r="B60" s="8"/>
      <c r="C60" s="9"/>
      <c r="D60" s="12" t="s">
        <v>56</v>
      </c>
      <c r="E60" s="14">
        <v>786803.18000000028</v>
      </c>
      <c r="F60" s="14">
        <v>638784.6275665079</v>
      </c>
      <c r="G60" s="14">
        <v>595265.89000000013</v>
      </c>
      <c r="H60" s="14">
        <v>0</v>
      </c>
      <c r="I60" s="13">
        <f t="shared" si="0"/>
        <v>2020853.6975665083</v>
      </c>
    </row>
    <row r="61" spans="1:9" ht="15.75" x14ac:dyDescent="0.25">
      <c r="A61" s="8"/>
      <c r="B61" s="8"/>
      <c r="C61" s="9"/>
      <c r="D61" s="12" t="s">
        <v>57</v>
      </c>
      <c r="E61" s="14">
        <v>654233.47000000009</v>
      </c>
      <c r="F61" s="14">
        <v>1071689.5722696139</v>
      </c>
      <c r="G61" s="14">
        <v>916114.85000000009</v>
      </c>
      <c r="H61" s="14">
        <v>0</v>
      </c>
      <c r="I61" s="13">
        <f t="shared" si="0"/>
        <v>2642037.8922696142</v>
      </c>
    </row>
    <row r="62" spans="1:9" ht="15.75" x14ac:dyDescent="0.25">
      <c r="A62" s="8"/>
      <c r="B62" s="8"/>
      <c r="C62" s="9"/>
      <c r="D62" s="12" t="s">
        <v>58</v>
      </c>
      <c r="E62" s="14">
        <v>1364034.2000000002</v>
      </c>
      <c r="F62" s="14">
        <v>1195754.5424078137</v>
      </c>
      <c r="G62" s="14">
        <v>42286817.869999997</v>
      </c>
      <c r="H62" s="14">
        <v>0</v>
      </c>
      <c r="I62" s="13">
        <f t="shared" si="0"/>
        <v>44846606.612407811</v>
      </c>
    </row>
    <row r="63" spans="1:9" ht="15.75" x14ac:dyDescent="0.25">
      <c r="A63" s="8"/>
      <c r="B63" s="8"/>
      <c r="C63" s="9"/>
      <c r="D63" s="12" t="s">
        <v>59</v>
      </c>
      <c r="E63" s="14">
        <v>324739.43000000005</v>
      </c>
      <c r="F63" s="14">
        <v>131986.04130856195</v>
      </c>
      <c r="G63" s="14">
        <v>2255118.9299999997</v>
      </c>
      <c r="H63" s="14">
        <v>0</v>
      </c>
      <c r="I63" s="13">
        <f t="shared" si="0"/>
        <v>2711844.4013085617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12501379.699999999</v>
      </c>
      <c r="H64" s="14">
        <v>0</v>
      </c>
      <c r="I64" s="13">
        <f t="shared" si="0"/>
        <v>12501379.699999999</v>
      </c>
    </row>
    <row r="65" spans="1:9" ht="15.75" x14ac:dyDescent="0.25">
      <c r="A65" s="8"/>
      <c r="B65" s="8"/>
      <c r="C65" s="9"/>
      <c r="D65" s="12" t="s">
        <v>61</v>
      </c>
      <c r="E65" s="14">
        <v>1084335.54</v>
      </c>
      <c r="F65" s="14">
        <v>1562659.6497000377</v>
      </c>
      <c r="G65" s="14">
        <v>651084.77</v>
      </c>
      <c r="H65" s="14">
        <v>0</v>
      </c>
      <c r="I65" s="13">
        <f t="shared" si="0"/>
        <v>3298079.9597000377</v>
      </c>
    </row>
    <row r="66" spans="1:9" ht="15.75" x14ac:dyDescent="0.25">
      <c r="A66" s="8"/>
      <c r="B66" s="8"/>
      <c r="C66" s="9"/>
      <c r="D66" s="12" t="s">
        <v>62</v>
      </c>
      <c r="E66" s="14">
        <v>2909002.25</v>
      </c>
      <c r="F66" s="14">
        <v>3106845.8890113654</v>
      </c>
      <c r="G66" s="14">
        <v>2274569.77</v>
      </c>
      <c r="H66" s="14">
        <v>0</v>
      </c>
      <c r="I66" s="13">
        <f t="shared" si="0"/>
        <v>8290417.9090113658</v>
      </c>
    </row>
    <row r="67" spans="1:9" ht="15.75" x14ac:dyDescent="0.25">
      <c r="A67" s="8"/>
      <c r="B67" s="8"/>
      <c r="C67" s="9"/>
      <c r="D67" s="12" t="s">
        <v>63</v>
      </c>
      <c r="E67" s="14">
        <v>404609.77</v>
      </c>
      <c r="F67" s="14">
        <v>1435963.411513852</v>
      </c>
      <c r="G67" s="14">
        <v>916353.05999999982</v>
      </c>
      <c r="H67" s="14">
        <v>0</v>
      </c>
      <c r="I67" s="13">
        <f t="shared" si="0"/>
        <v>2756926.241513852</v>
      </c>
    </row>
    <row r="68" spans="1:9" ht="15.75" x14ac:dyDescent="0.25">
      <c r="A68" s="8"/>
      <c r="B68" s="8"/>
      <c r="C68" s="9"/>
      <c r="D68" s="12" t="s">
        <v>64</v>
      </c>
      <c r="E68" s="14">
        <v>723596.75000000012</v>
      </c>
      <c r="F68" s="14">
        <v>607113.97639826185</v>
      </c>
      <c r="G68" s="14">
        <v>268824.51999999996</v>
      </c>
      <c r="H68" s="14">
        <v>0</v>
      </c>
      <c r="I68" s="13">
        <f t="shared" si="0"/>
        <v>1599535.246398262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3359670.4700000007</v>
      </c>
      <c r="H69" s="14">
        <v>0</v>
      </c>
      <c r="I69" s="13">
        <f t="shared" si="0"/>
        <v>3359670.4700000007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6270733.96</v>
      </c>
      <c r="H70" s="14">
        <v>0</v>
      </c>
      <c r="I70" s="13">
        <f t="shared" si="0"/>
        <v>6270733.96</v>
      </c>
    </row>
    <row r="71" spans="1:9" ht="15.75" x14ac:dyDescent="0.25">
      <c r="A71" s="8"/>
      <c r="B71" s="8"/>
      <c r="C71" s="9"/>
      <c r="D71" s="12" t="s">
        <v>67</v>
      </c>
      <c r="E71" s="14">
        <v>11336.71</v>
      </c>
      <c r="F71" s="14">
        <v>15842.142340723996</v>
      </c>
      <c r="G71" s="14">
        <v>4123763.79</v>
      </c>
      <c r="H71" s="14">
        <v>0</v>
      </c>
      <c r="I71" s="13">
        <f t="shared" si="0"/>
        <v>4150942.6423407239</v>
      </c>
    </row>
    <row r="72" spans="1:9" ht="15.75" x14ac:dyDescent="0.25">
      <c r="A72" s="8"/>
      <c r="B72" s="8"/>
      <c r="C72" s="9"/>
      <c r="D72" s="12" t="s">
        <v>68</v>
      </c>
      <c r="E72" s="14">
        <v>874621.91</v>
      </c>
      <c r="F72" s="14">
        <v>986166.54395346774</v>
      </c>
      <c r="G72" s="14">
        <v>7008465.3400000008</v>
      </c>
      <c r="H72" s="14">
        <v>0</v>
      </c>
      <c r="I72" s="13">
        <f t="shared" si="0"/>
        <v>8869253.793953469</v>
      </c>
    </row>
    <row r="73" spans="1:9" ht="15.75" x14ac:dyDescent="0.25">
      <c r="A73" s="8"/>
      <c r="B73" s="8"/>
      <c r="C73" s="9"/>
      <c r="D73" s="12" t="s">
        <v>69</v>
      </c>
      <c r="E73" s="14">
        <v>2328.5500000000002</v>
      </c>
      <c r="F73" s="14">
        <v>0</v>
      </c>
      <c r="G73" s="14">
        <v>5340382.3800000008</v>
      </c>
      <c r="H73" s="14">
        <v>0</v>
      </c>
      <c r="I73" s="13">
        <f t="shared" si="0"/>
        <v>5342710.9300000006</v>
      </c>
    </row>
    <row r="74" spans="1:9" ht="15.75" x14ac:dyDescent="0.25">
      <c r="A74" s="8"/>
      <c r="B74" s="8"/>
      <c r="C74" s="9"/>
      <c r="D74" s="12" t="s">
        <v>70</v>
      </c>
      <c r="E74" s="14">
        <v>213173.44</v>
      </c>
      <c r="F74" s="14">
        <v>83409.833769835983</v>
      </c>
      <c r="G74" s="14">
        <v>21452429.220000003</v>
      </c>
      <c r="H74" s="14">
        <v>0</v>
      </c>
      <c r="I74" s="13">
        <f t="shared" ref="I74:I137" si="1">SUM(E74:H74)</f>
        <v>21749012.493769839</v>
      </c>
    </row>
    <row r="75" spans="1:9" ht="15.75" x14ac:dyDescent="0.25">
      <c r="A75" s="8"/>
      <c r="B75" s="8"/>
      <c r="C75" s="9"/>
      <c r="D75" s="12" t="s">
        <v>71</v>
      </c>
      <c r="E75" s="14">
        <v>1025757.8300000001</v>
      </c>
      <c r="F75" s="14">
        <v>324150.40989075194</v>
      </c>
      <c r="G75" s="14">
        <v>39027919.600000001</v>
      </c>
      <c r="H75" s="14">
        <v>0</v>
      </c>
      <c r="I75" s="13">
        <f t="shared" si="1"/>
        <v>40377827.839890756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10858142.5</v>
      </c>
      <c r="H76" s="14">
        <v>0</v>
      </c>
      <c r="I76" s="13">
        <f t="shared" si="1"/>
        <v>10858142.5</v>
      </c>
    </row>
    <row r="77" spans="1:9" ht="15.75" x14ac:dyDescent="0.25">
      <c r="A77" s="8"/>
      <c r="B77" s="8"/>
      <c r="C77" s="9"/>
      <c r="D77" s="12" t="s">
        <v>73</v>
      </c>
      <c r="E77" s="14">
        <v>456068.91000000003</v>
      </c>
      <c r="F77" s="14">
        <v>1607527.5416478198</v>
      </c>
      <c r="G77" s="14">
        <v>728657.7699999999</v>
      </c>
      <c r="H77" s="14">
        <v>0</v>
      </c>
      <c r="I77" s="13">
        <f t="shared" si="1"/>
        <v>2792254.22164782</v>
      </c>
    </row>
    <row r="78" spans="1:9" ht="15.75" x14ac:dyDescent="0.25">
      <c r="A78" s="8"/>
      <c r="B78" s="8"/>
      <c r="C78" s="9"/>
      <c r="D78" s="12" t="s">
        <v>74</v>
      </c>
      <c r="E78" s="14">
        <v>963228.6100000001</v>
      </c>
      <c r="F78" s="14">
        <v>1631290.7551589059</v>
      </c>
      <c r="G78" s="14">
        <v>1129566.0699999998</v>
      </c>
      <c r="H78" s="14">
        <v>0</v>
      </c>
      <c r="I78" s="13">
        <f t="shared" si="1"/>
        <v>3724085.435158906</v>
      </c>
    </row>
    <row r="79" spans="1:9" ht="15.75" x14ac:dyDescent="0.25">
      <c r="A79" s="8"/>
      <c r="B79" s="8"/>
      <c r="C79" s="9"/>
      <c r="D79" s="12" t="s">
        <v>75</v>
      </c>
      <c r="E79" s="14">
        <v>1465253.91</v>
      </c>
      <c r="F79" s="14">
        <v>915953.95096316771</v>
      </c>
      <c r="G79" s="14">
        <v>831027.47999999986</v>
      </c>
      <c r="H79" s="14">
        <v>0</v>
      </c>
      <c r="I79" s="13">
        <f t="shared" si="1"/>
        <v>3212235.3409631676</v>
      </c>
    </row>
    <row r="80" spans="1:9" ht="15.75" x14ac:dyDescent="0.25">
      <c r="A80" s="8"/>
      <c r="B80" s="8"/>
      <c r="C80" s="9"/>
      <c r="D80" s="12" t="s">
        <v>76</v>
      </c>
      <c r="E80" s="14">
        <v>705530.13000000012</v>
      </c>
      <c r="F80" s="14">
        <v>484112.42028981796</v>
      </c>
      <c r="G80" s="14">
        <v>176620.49</v>
      </c>
      <c r="H80" s="14">
        <v>0</v>
      </c>
      <c r="I80" s="13">
        <f t="shared" si="1"/>
        <v>1366263.0402898181</v>
      </c>
    </row>
    <row r="81" spans="1:9" ht="15.75" x14ac:dyDescent="0.25">
      <c r="A81" s="8"/>
      <c r="B81" s="8"/>
      <c r="C81" s="9"/>
      <c r="D81" s="12" t="s">
        <v>77</v>
      </c>
      <c r="E81" s="14">
        <v>2188806.6199999996</v>
      </c>
      <c r="F81" s="14">
        <v>2921007.4705549041</v>
      </c>
      <c r="G81" s="14">
        <v>2217316.4699999997</v>
      </c>
      <c r="H81" s="14">
        <v>0</v>
      </c>
      <c r="I81" s="13">
        <f t="shared" si="1"/>
        <v>7327130.5605549039</v>
      </c>
    </row>
    <row r="82" spans="1:9" ht="15.75" x14ac:dyDescent="0.25">
      <c r="A82" s="8"/>
      <c r="B82" s="8"/>
      <c r="C82" s="9"/>
      <c r="D82" s="12" t="s">
        <v>78</v>
      </c>
      <c r="E82" s="14">
        <v>1954162.7599999998</v>
      </c>
      <c r="F82" s="14">
        <v>2024590.3440102015</v>
      </c>
      <c r="G82" s="14">
        <v>1292483.83</v>
      </c>
      <c r="H82" s="14">
        <v>0</v>
      </c>
      <c r="I82" s="13">
        <f t="shared" si="1"/>
        <v>5271236.9340102011</v>
      </c>
    </row>
    <row r="83" spans="1:9" ht="15.75" x14ac:dyDescent="0.25">
      <c r="A83" s="8"/>
      <c r="B83" s="8"/>
      <c r="C83" s="9"/>
      <c r="D83" s="12" t="s">
        <v>79</v>
      </c>
      <c r="E83" s="14">
        <v>853804.19000000006</v>
      </c>
      <c r="F83" s="14">
        <v>831480.70316357585</v>
      </c>
      <c r="G83" s="14">
        <v>2112534.4900000002</v>
      </c>
      <c r="H83" s="14">
        <v>0</v>
      </c>
      <c r="I83" s="13">
        <f t="shared" si="1"/>
        <v>3797819.383163576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15994365.91</v>
      </c>
      <c r="H84" s="14">
        <v>0</v>
      </c>
      <c r="I84" s="13">
        <f t="shared" si="1"/>
        <v>15994365.91</v>
      </c>
    </row>
    <row r="85" spans="1:9" ht="15.75" x14ac:dyDescent="0.25">
      <c r="A85" s="8"/>
      <c r="B85" s="8"/>
      <c r="C85" s="9"/>
      <c r="D85" s="12" t="s">
        <v>81</v>
      </c>
      <c r="E85" s="14">
        <v>1198295.4900000002</v>
      </c>
      <c r="F85" s="14">
        <v>258682.27949474793</v>
      </c>
      <c r="G85" s="14">
        <v>4713564.83</v>
      </c>
      <c r="H85" s="14">
        <v>0</v>
      </c>
      <c r="I85" s="13">
        <f t="shared" si="1"/>
        <v>6170542.5994947478</v>
      </c>
    </row>
    <row r="86" spans="1:9" ht="15.75" x14ac:dyDescent="0.25">
      <c r="A86" s="8"/>
      <c r="B86" s="8"/>
      <c r="C86" s="9"/>
      <c r="D86" s="12" t="s">
        <v>82</v>
      </c>
      <c r="E86" s="14">
        <v>733420.26000000013</v>
      </c>
      <c r="F86" s="14">
        <v>1074334.4738308019</v>
      </c>
      <c r="G86" s="14">
        <v>760200.77999999991</v>
      </c>
      <c r="H86" s="14">
        <v>0</v>
      </c>
      <c r="I86" s="13">
        <f t="shared" si="1"/>
        <v>2567955.5138308019</v>
      </c>
    </row>
    <row r="87" spans="1:9" ht="15.75" x14ac:dyDescent="0.25">
      <c r="A87" s="8"/>
      <c r="B87" s="8"/>
      <c r="C87" s="9"/>
      <c r="D87" s="12" t="s">
        <v>83</v>
      </c>
      <c r="E87" s="14">
        <v>690403.8899999999</v>
      </c>
      <c r="F87" s="14">
        <v>1414845.0995639539</v>
      </c>
      <c r="G87" s="14">
        <v>569742.68999999994</v>
      </c>
      <c r="H87" s="14">
        <v>0</v>
      </c>
      <c r="I87" s="13">
        <f t="shared" si="1"/>
        <v>2674991.679563954</v>
      </c>
    </row>
    <row r="88" spans="1:9" ht="15.75" x14ac:dyDescent="0.25">
      <c r="A88" s="8"/>
      <c r="B88" s="8"/>
      <c r="C88" s="9"/>
      <c r="D88" s="12" t="s">
        <v>84</v>
      </c>
      <c r="E88" s="14">
        <v>134523.38</v>
      </c>
      <c r="F88" s="14">
        <v>0</v>
      </c>
      <c r="G88" s="14">
        <v>5827742.0599999996</v>
      </c>
      <c r="H88" s="14">
        <v>0</v>
      </c>
      <c r="I88" s="13">
        <f t="shared" si="1"/>
        <v>5962265.4399999995</v>
      </c>
    </row>
    <row r="89" spans="1:9" ht="15.75" x14ac:dyDescent="0.25">
      <c r="A89" s="8"/>
      <c r="B89" s="8"/>
      <c r="C89" s="9"/>
      <c r="D89" s="12" t="s">
        <v>85</v>
      </c>
      <c r="E89" s="14">
        <v>843543.42</v>
      </c>
      <c r="F89" s="14">
        <v>1387387.2039751257</v>
      </c>
      <c r="G89" s="14">
        <v>1007474.8200000001</v>
      </c>
      <c r="H89" s="14">
        <v>0</v>
      </c>
      <c r="I89" s="13">
        <f t="shared" si="1"/>
        <v>3238405.4439751254</v>
      </c>
    </row>
    <row r="90" spans="1:9" ht="15.75" x14ac:dyDescent="0.25">
      <c r="A90" s="8"/>
      <c r="B90" s="8"/>
      <c r="C90" s="9"/>
      <c r="D90" s="12" t="s">
        <v>86</v>
      </c>
      <c r="E90" s="14">
        <v>329277.48</v>
      </c>
      <c r="F90" s="14">
        <v>358984.03612186189</v>
      </c>
      <c r="G90" s="14">
        <v>1091270.05</v>
      </c>
      <c r="H90" s="14">
        <v>0</v>
      </c>
      <c r="I90" s="13">
        <f t="shared" si="1"/>
        <v>1779531.5661218618</v>
      </c>
    </row>
    <row r="91" spans="1:9" ht="15.75" x14ac:dyDescent="0.25">
      <c r="A91" s="8"/>
      <c r="B91" s="8"/>
      <c r="C91" s="9"/>
      <c r="D91" s="12" t="s">
        <v>87</v>
      </c>
      <c r="E91" s="14">
        <v>763147.07</v>
      </c>
      <c r="F91" s="14">
        <v>818815.16939891782</v>
      </c>
      <c r="G91" s="14">
        <v>2665608.2699999996</v>
      </c>
      <c r="H91" s="14">
        <v>0</v>
      </c>
      <c r="I91" s="13">
        <f t="shared" si="1"/>
        <v>4247570.5093989167</v>
      </c>
    </row>
    <row r="92" spans="1:9" ht="15.75" x14ac:dyDescent="0.25">
      <c r="A92" s="8"/>
      <c r="B92" s="8"/>
      <c r="C92" s="9"/>
      <c r="D92" s="12" t="s">
        <v>88</v>
      </c>
      <c r="E92" s="14">
        <v>184086.43</v>
      </c>
      <c r="F92" s="14">
        <v>112980.92390497398</v>
      </c>
      <c r="G92" s="14">
        <v>6343209.4099999992</v>
      </c>
      <c r="H92" s="14">
        <v>0</v>
      </c>
      <c r="I92" s="13">
        <f t="shared" si="1"/>
        <v>6640276.7639049729</v>
      </c>
    </row>
    <row r="93" spans="1:9" ht="15.75" x14ac:dyDescent="0.25">
      <c r="A93" s="8"/>
      <c r="B93" s="8"/>
      <c r="C93" s="9"/>
      <c r="D93" s="12" t="s">
        <v>89</v>
      </c>
      <c r="E93" s="14">
        <v>1659933.48</v>
      </c>
      <c r="F93" s="14">
        <v>915422.24394828989</v>
      </c>
      <c r="G93" s="14">
        <v>960266.07</v>
      </c>
      <c r="H93" s="14">
        <v>0</v>
      </c>
      <c r="I93" s="13">
        <f t="shared" si="1"/>
        <v>3535621.7939482895</v>
      </c>
    </row>
    <row r="94" spans="1:9" ht="15.75" x14ac:dyDescent="0.25">
      <c r="A94" s="8"/>
      <c r="B94" s="8"/>
      <c r="C94" s="9"/>
      <c r="D94" s="12" t="s">
        <v>90</v>
      </c>
      <c r="E94" s="14">
        <v>5137.84</v>
      </c>
      <c r="F94" s="14">
        <v>0</v>
      </c>
      <c r="G94" s="14">
        <v>236314.19999999995</v>
      </c>
      <c r="H94" s="14">
        <v>0</v>
      </c>
      <c r="I94" s="13">
        <f t="shared" si="1"/>
        <v>241452.03999999995</v>
      </c>
    </row>
    <row r="95" spans="1:9" ht="15.75" x14ac:dyDescent="0.25">
      <c r="A95" s="8"/>
      <c r="B95" s="8"/>
      <c r="C95" s="9"/>
      <c r="D95" s="12" t="s">
        <v>91</v>
      </c>
      <c r="E95" s="14">
        <v>688562.27</v>
      </c>
      <c r="F95" s="14">
        <v>29039.383120259994</v>
      </c>
      <c r="G95" s="14">
        <v>6098265.4799999995</v>
      </c>
      <c r="H95" s="14">
        <v>0</v>
      </c>
      <c r="I95" s="13">
        <f t="shared" si="1"/>
        <v>6815867.1331202593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12580088.050000001</v>
      </c>
      <c r="H96" s="14">
        <v>0</v>
      </c>
      <c r="I96" s="13">
        <f t="shared" si="1"/>
        <v>12580088.050000001</v>
      </c>
    </row>
    <row r="97" spans="1:9" ht="15.75" x14ac:dyDescent="0.25">
      <c r="A97" s="8"/>
      <c r="B97" s="8"/>
      <c r="C97" s="9"/>
      <c r="D97" s="12" t="s">
        <v>93</v>
      </c>
      <c r="E97" s="14">
        <v>559357.23</v>
      </c>
      <c r="F97" s="14">
        <v>1303977.3702052899</v>
      </c>
      <c r="G97" s="14">
        <v>799628.4</v>
      </c>
      <c r="H97" s="14">
        <v>0</v>
      </c>
      <c r="I97" s="13">
        <f t="shared" si="1"/>
        <v>2662963.00020529</v>
      </c>
    </row>
    <row r="98" spans="1:9" ht="15.75" x14ac:dyDescent="0.25">
      <c r="A98" s="8"/>
      <c r="B98" s="8"/>
      <c r="C98" s="9"/>
      <c r="D98" s="12" t="s">
        <v>94</v>
      </c>
      <c r="E98" s="14">
        <v>1457957.45</v>
      </c>
      <c r="F98" s="14">
        <v>1715232.2959436197</v>
      </c>
      <c r="G98" s="14">
        <v>5412516.5</v>
      </c>
      <c r="H98" s="14">
        <v>0</v>
      </c>
      <c r="I98" s="13">
        <f t="shared" si="1"/>
        <v>8585706.2459436208</v>
      </c>
    </row>
    <row r="99" spans="1:9" ht="15.75" x14ac:dyDescent="0.25">
      <c r="A99" s="8"/>
      <c r="B99" s="8"/>
      <c r="C99" s="9"/>
      <c r="D99" s="12" t="s">
        <v>95</v>
      </c>
      <c r="E99" s="14">
        <v>1988573.52</v>
      </c>
      <c r="F99" s="14">
        <v>3268389.3869418637</v>
      </c>
      <c r="G99" s="14">
        <v>2325186.09</v>
      </c>
      <c r="H99" s="14">
        <v>0</v>
      </c>
      <c r="I99" s="13">
        <f t="shared" si="1"/>
        <v>7582148.9969418636</v>
      </c>
    </row>
    <row r="100" spans="1:9" ht="15.75" x14ac:dyDescent="0.25">
      <c r="A100" s="8"/>
      <c r="B100" s="8"/>
      <c r="C100" s="9"/>
      <c r="D100" s="12" t="s">
        <v>96</v>
      </c>
      <c r="E100" s="14">
        <v>2639798.3899999997</v>
      </c>
      <c r="F100" s="14">
        <v>3269970.8744732952</v>
      </c>
      <c r="G100" s="14">
        <v>5402928.0600000005</v>
      </c>
      <c r="H100" s="14">
        <v>0</v>
      </c>
      <c r="I100" s="13">
        <f t="shared" si="1"/>
        <v>11312697.324473295</v>
      </c>
    </row>
    <row r="101" spans="1:9" ht="15.75" x14ac:dyDescent="0.25">
      <c r="A101" s="8"/>
      <c r="B101" s="8"/>
      <c r="C101" s="9"/>
      <c r="D101" s="12" t="s">
        <v>97</v>
      </c>
      <c r="E101" s="14">
        <v>167520.71</v>
      </c>
      <c r="F101" s="14">
        <v>4388082.5591957187</v>
      </c>
      <c r="G101" s="14">
        <v>74464.959999999992</v>
      </c>
      <c r="H101" s="14">
        <v>0</v>
      </c>
      <c r="I101" s="13">
        <f t="shared" si="1"/>
        <v>4630068.2291957187</v>
      </c>
    </row>
    <row r="102" spans="1:9" ht="15.75" x14ac:dyDescent="0.25">
      <c r="A102" s="8"/>
      <c r="B102" s="8"/>
      <c r="C102" s="9"/>
      <c r="D102" s="12" t="s">
        <v>98</v>
      </c>
      <c r="E102" s="14">
        <v>2040864.6200000006</v>
      </c>
      <c r="F102" s="14">
        <v>1886810.0595907897</v>
      </c>
      <c r="G102" s="14">
        <v>2439253.11</v>
      </c>
      <c r="H102" s="14">
        <v>0</v>
      </c>
      <c r="I102" s="13">
        <f t="shared" si="1"/>
        <v>6366927.7895907909</v>
      </c>
    </row>
    <row r="103" spans="1:9" ht="15.75" x14ac:dyDescent="0.25">
      <c r="A103" s="8"/>
      <c r="B103" s="8"/>
      <c r="C103" s="9"/>
      <c r="D103" s="12" t="s">
        <v>99</v>
      </c>
      <c r="E103" s="14">
        <v>520830.66000000015</v>
      </c>
      <c r="F103" s="14">
        <v>599192.9052278999</v>
      </c>
      <c r="G103" s="14">
        <v>443245.96000000008</v>
      </c>
      <c r="H103" s="14">
        <v>0</v>
      </c>
      <c r="I103" s="13">
        <f t="shared" si="1"/>
        <v>1563269.5252279001</v>
      </c>
    </row>
    <row r="104" spans="1:9" ht="15.75" x14ac:dyDescent="0.25">
      <c r="A104" s="8"/>
      <c r="B104" s="8"/>
      <c r="C104" s="9"/>
      <c r="D104" s="12" t="s">
        <v>100</v>
      </c>
      <c r="E104" s="14">
        <v>2407975.2000000002</v>
      </c>
      <c r="F104" s="14">
        <v>1094921.0787658216</v>
      </c>
      <c r="G104" s="14">
        <v>5758021.0399999991</v>
      </c>
      <c r="H104" s="14">
        <v>0</v>
      </c>
      <c r="I104" s="13">
        <f t="shared" si="1"/>
        <v>9260917.3187658209</v>
      </c>
    </row>
    <row r="105" spans="1:9" ht="15.75" x14ac:dyDescent="0.25">
      <c r="A105" s="8"/>
      <c r="B105" s="8"/>
      <c r="C105" s="9"/>
      <c r="D105" s="12" t="s">
        <v>101</v>
      </c>
      <c r="E105" s="14">
        <v>707921.45000000007</v>
      </c>
      <c r="F105" s="14">
        <v>1626014.5855497317</v>
      </c>
      <c r="G105" s="14">
        <v>28408.53</v>
      </c>
      <c r="H105" s="14">
        <v>0</v>
      </c>
      <c r="I105" s="13">
        <f t="shared" si="1"/>
        <v>2362344.5655497317</v>
      </c>
    </row>
    <row r="106" spans="1:9" ht="15.75" x14ac:dyDescent="0.25">
      <c r="A106" s="8"/>
      <c r="B106" s="8"/>
      <c r="C106" s="9"/>
      <c r="D106" s="12" t="s">
        <v>102</v>
      </c>
      <c r="E106" s="14">
        <v>933374.48</v>
      </c>
      <c r="F106" s="14">
        <v>100301.75662711398</v>
      </c>
      <c r="G106" s="14">
        <v>9822842.75</v>
      </c>
      <c r="H106" s="14">
        <v>0</v>
      </c>
      <c r="I106" s="13">
        <f t="shared" si="1"/>
        <v>10856518.986627113</v>
      </c>
    </row>
    <row r="107" spans="1:9" ht="15.75" x14ac:dyDescent="0.25">
      <c r="A107" s="8"/>
      <c r="B107" s="8"/>
      <c r="C107" s="9"/>
      <c r="D107" s="12" t="s">
        <v>103</v>
      </c>
      <c r="E107" s="14">
        <v>11189.17</v>
      </c>
      <c r="F107" s="14">
        <v>0</v>
      </c>
      <c r="G107" s="14">
        <v>2608272.2799999998</v>
      </c>
      <c r="H107" s="14">
        <v>0</v>
      </c>
      <c r="I107" s="13">
        <f t="shared" si="1"/>
        <v>2619461.4499999997</v>
      </c>
    </row>
    <row r="108" spans="1:9" ht="15.75" x14ac:dyDescent="0.25">
      <c r="A108" s="8"/>
      <c r="B108" s="8"/>
      <c r="C108" s="9"/>
      <c r="D108" s="12" t="s">
        <v>104</v>
      </c>
      <c r="E108" s="14">
        <v>125679.67</v>
      </c>
      <c r="F108" s="14">
        <v>0</v>
      </c>
      <c r="G108" s="14">
        <v>2290479.1399999997</v>
      </c>
      <c r="H108" s="14">
        <v>0</v>
      </c>
      <c r="I108" s="13">
        <f t="shared" si="1"/>
        <v>2416158.8099999996</v>
      </c>
    </row>
    <row r="109" spans="1:9" ht="15.75" x14ac:dyDescent="0.25">
      <c r="A109" s="8"/>
      <c r="B109" s="8"/>
      <c r="C109" s="9"/>
      <c r="D109" s="12" t="s">
        <v>105</v>
      </c>
      <c r="E109" s="14">
        <v>428059.25000000006</v>
      </c>
      <c r="F109" s="14">
        <v>2615344.1045660637</v>
      </c>
      <c r="G109" s="14">
        <v>403784.11</v>
      </c>
      <c r="H109" s="14">
        <v>0</v>
      </c>
      <c r="I109" s="13">
        <f t="shared" si="1"/>
        <v>3447187.4645660636</v>
      </c>
    </row>
    <row r="110" spans="1:9" ht="15.75" x14ac:dyDescent="0.25">
      <c r="A110" s="8"/>
      <c r="B110" s="8"/>
      <c r="C110" s="9"/>
      <c r="D110" s="12" t="s">
        <v>106</v>
      </c>
      <c r="E110" s="14">
        <v>325386.36000000004</v>
      </c>
      <c r="F110" s="14">
        <v>642479.30964424985</v>
      </c>
      <c r="G110" s="14">
        <v>563643.86</v>
      </c>
      <c r="H110" s="14">
        <v>0</v>
      </c>
      <c r="I110" s="13">
        <f t="shared" si="1"/>
        <v>1531509.5296442499</v>
      </c>
    </row>
    <row r="111" spans="1:9" ht="15.75" x14ac:dyDescent="0.25">
      <c r="A111" s="8"/>
      <c r="B111" s="8"/>
      <c r="C111" s="9"/>
      <c r="D111" s="12" t="s">
        <v>107</v>
      </c>
      <c r="E111" s="14">
        <v>55322.200000000004</v>
      </c>
      <c r="F111" s="14">
        <v>10034.265716671998</v>
      </c>
      <c r="G111" s="14">
        <v>14763261.439999998</v>
      </c>
      <c r="H111" s="14">
        <v>0</v>
      </c>
      <c r="I111" s="13">
        <f t="shared" si="1"/>
        <v>14828617.905716669</v>
      </c>
    </row>
    <row r="112" spans="1:9" ht="15.75" x14ac:dyDescent="0.25">
      <c r="A112" s="8"/>
      <c r="B112" s="8"/>
      <c r="C112" s="9"/>
      <c r="D112" s="12" t="s">
        <v>108</v>
      </c>
      <c r="E112" s="14">
        <v>912893.30999999994</v>
      </c>
      <c r="F112" s="14">
        <v>686297.42107547785</v>
      </c>
      <c r="G112" s="14">
        <v>1139591.67</v>
      </c>
      <c r="H112" s="14">
        <v>0</v>
      </c>
      <c r="I112" s="13">
        <f t="shared" si="1"/>
        <v>2738782.4010754777</v>
      </c>
    </row>
    <row r="113" spans="1:9" ht="15.75" x14ac:dyDescent="0.25">
      <c r="A113" s="8"/>
      <c r="B113" s="8"/>
      <c r="C113" s="9"/>
      <c r="D113" s="12" t="s">
        <v>109</v>
      </c>
      <c r="E113" s="14">
        <v>538360.1</v>
      </c>
      <c r="F113" s="14">
        <v>1652409.0671088039</v>
      </c>
      <c r="G113" s="14">
        <v>1533712.6300000001</v>
      </c>
      <c r="H113" s="14">
        <v>0</v>
      </c>
      <c r="I113" s="13">
        <f t="shared" si="1"/>
        <v>3724481.7971088039</v>
      </c>
    </row>
    <row r="114" spans="1:9" ht="15.75" x14ac:dyDescent="0.25">
      <c r="A114" s="8"/>
      <c r="B114" s="8"/>
      <c r="C114" s="9"/>
      <c r="D114" s="12" t="s">
        <v>110</v>
      </c>
      <c r="E114" s="14">
        <v>1107648.3700000001</v>
      </c>
      <c r="F114" s="14">
        <v>1895249.2042628275</v>
      </c>
      <c r="G114" s="14">
        <v>1666988.8800000004</v>
      </c>
      <c r="H114" s="14">
        <v>0</v>
      </c>
      <c r="I114" s="13">
        <f t="shared" si="1"/>
        <v>4669886.4542628285</v>
      </c>
    </row>
    <row r="115" spans="1:9" ht="15.75" x14ac:dyDescent="0.25">
      <c r="A115" s="8"/>
      <c r="B115" s="8"/>
      <c r="C115" s="9"/>
      <c r="D115" s="12" t="s">
        <v>111</v>
      </c>
      <c r="E115" s="14">
        <v>5637396.5599999987</v>
      </c>
      <c r="F115" s="14">
        <v>937072.26291306585</v>
      </c>
      <c r="G115" s="14">
        <v>1435979.0000000002</v>
      </c>
      <c r="H115" s="14">
        <v>0</v>
      </c>
      <c r="I115" s="13">
        <f t="shared" si="1"/>
        <v>8010447.8229130646</v>
      </c>
    </row>
    <row r="116" spans="1:9" ht="15.75" x14ac:dyDescent="0.25">
      <c r="A116" s="8"/>
      <c r="B116" s="8"/>
      <c r="C116" s="9"/>
      <c r="D116" s="12" t="s">
        <v>112</v>
      </c>
      <c r="E116" s="14">
        <v>484412.50999999995</v>
      </c>
      <c r="F116" s="14">
        <v>1216872.854357712</v>
      </c>
      <c r="G116" s="14">
        <v>236560.24</v>
      </c>
      <c r="H116" s="14">
        <v>0</v>
      </c>
      <c r="I116" s="13">
        <f t="shared" si="1"/>
        <v>1937845.604357712</v>
      </c>
    </row>
    <row r="117" spans="1:9" ht="15.75" x14ac:dyDescent="0.25">
      <c r="A117" s="8"/>
      <c r="B117" s="8"/>
      <c r="C117" s="9"/>
      <c r="D117" s="12" t="s">
        <v>113</v>
      </c>
      <c r="E117" s="14">
        <v>437351.77</v>
      </c>
      <c r="F117" s="14">
        <v>939703.5309610517</v>
      </c>
      <c r="G117" s="14">
        <v>1294030.2799999998</v>
      </c>
      <c r="H117" s="14">
        <v>0</v>
      </c>
      <c r="I117" s="13">
        <f t="shared" si="1"/>
        <v>2671085.5809610514</v>
      </c>
    </row>
    <row r="118" spans="1:9" ht="15.75" x14ac:dyDescent="0.25">
      <c r="A118" s="8"/>
      <c r="B118" s="8"/>
      <c r="C118" s="9"/>
      <c r="D118" s="12" t="s">
        <v>114</v>
      </c>
      <c r="E118" s="14">
        <v>1259303.4800000002</v>
      </c>
      <c r="F118" s="14">
        <v>1467634.0626820975</v>
      </c>
      <c r="G118" s="14">
        <v>1678561.9500000002</v>
      </c>
      <c r="H118" s="14">
        <v>0</v>
      </c>
      <c r="I118" s="13">
        <f t="shared" si="1"/>
        <v>4405499.4926820975</v>
      </c>
    </row>
    <row r="119" spans="1:9" ht="15.75" x14ac:dyDescent="0.25">
      <c r="A119" s="8"/>
      <c r="B119" s="8"/>
      <c r="C119" s="9"/>
      <c r="D119" s="12" t="s">
        <v>115</v>
      </c>
      <c r="E119" s="14">
        <v>315699.32999999996</v>
      </c>
      <c r="F119" s="14">
        <v>142538.38052690998</v>
      </c>
      <c r="G119" s="14">
        <v>1067643.8900000001</v>
      </c>
      <c r="H119" s="14">
        <v>0</v>
      </c>
      <c r="I119" s="13">
        <f t="shared" si="1"/>
        <v>1525881.60052691</v>
      </c>
    </row>
    <row r="120" spans="1:9" ht="15.75" x14ac:dyDescent="0.25">
      <c r="A120" s="8"/>
      <c r="B120" s="8"/>
      <c r="C120" s="9"/>
      <c r="D120" s="12" t="s">
        <v>116</v>
      </c>
      <c r="E120" s="14">
        <v>1327651.9799999997</v>
      </c>
      <c r="F120" s="14">
        <v>622956.11873898585</v>
      </c>
      <c r="G120" s="14">
        <v>1580496.7200000002</v>
      </c>
      <c r="H120" s="14">
        <v>0</v>
      </c>
      <c r="I120" s="13">
        <f t="shared" si="1"/>
        <v>3531104.8187389858</v>
      </c>
    </row>
    <row r="121" spans="1:9" ht="15.75" x14ac:dyDescent="0.25">
      <c r="A121" s="8"/>
      <c r="B121" s="8"/>
      <c r="C121" s="9"/>
      <c r="D121" s="12" t="s">
        <v>117</v>
      </c>
      <c r="E121" s="14">
        <v>592128.93000000005</v>
      </c>
      <c r="F121" s="14">
        <v>924393.09563520597</v>
      </c>
      <c r="G121" s="14">
        <v>930972.01</v>
      </c>
      <c r="H121" s="14">
        <v>0</v>
      </c>
      <c r="I121" s="13">
        <f t="shared" si="1"/>
        <v>2447494.0356352059</v>
      </c>
    </row>
    <row r="122" spans="1:9" ht="15.75" x14ac:dyDescent="0.25">
      <c r="A122" s="8"/>
      <c r="B122" s="8"/>
      <c r="C122" s="9"/>
      <c r="D122" s="12" t="s">
        <v>118</v>
      </c>
      <c r="E122" s="14">
        <v>715953.16</v>
      </c>
      <c r="F122" s="14">
        <v>681552.95848118188</v>
      </c>
      <c r="G122" s="14">
        <v>1304304.8700000001</v>
      </c>
      <c r="H122" s="14">
        <v>0</v>
      </c>
      <c r="I122" s="13">
        <f t="shared" si="1"/>
        <v>2701810.9884811821</v>
      </c>
    </row>
    <row r="123" spans="1:9" ht="15.75" x14ac:dyDescent="0.25">
      <c r="A123" s="8"/>
      <c r="B123" s="8"/>
      <c r="C123" s="9"/>
      <c r="D123" s="12" t="s">
        <v>119</v>
      </c>
      <c r="E123" s="14">
        <v>540936.51</v>
      </c>
      <c r="F123" s="14">
        <v>1252238.1876037</v>
      </c>
      <c r="G123" s="14">
        <v>584246.07999999996</v>
      </c>
      <c r="H123" s="14">
        <v>0</v>
      </c>
      <c r="I123" s="13">
        <f t="shared" si="1"/>
        <v>2377420.7776036998</v>
      </c>
    </row>
    <row r="124" spans="1:9" ht="15.75" x14ac:dyDescent="0.25">
      <c r="A124" s="8"/>
      <c r="B124" s="8"/>
      <c r="C124" s="9"/>
      <c r="D124" s="12" t="s">
        <v>120</v>
      </c>
      <c r="E124" s="14">
        <v>89887.079999999973</v>
      </c>
      <c r="F124" s="14">
        <v>0</v>
      </c>
      <c r="G124" s="14">
        <v>4937359.6500000004</v>
      </c>
      <c r="H124" s="14">
        <v>99345263.439999998</v>
      </c>
      <c r="I124" s="13">
        <f t="shared" si="1"/>
        <v>104372510.17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29775501.670000002</v>
      </c>
      <c r="H125" s="14">
        <v>18252648.060000002</v>
      </c>
      <c r="I125" s="13">
        <f t="shared" si="1"/>
        <v>48028149.730000004</v>
      </c>
    </row>
    <row r="126" spans="1:9" ht="15.75" x14ac:dyDescent="0.25">
      <c r="A126" s="8"/>
      <c r="B126" s="8"/>
      <c r="C126" s="9"/>
      <c r="D126" s="12" t="s">
        <v>122</v>
      </c>
      <c r="E126" s="14">
        <v>45394.91</v>
      </c>
      <c r="F126" s="14">
        <v>0</v>
      </c>
      <c r="G126" s="14">
        <v>6539211.8400000008</v>
      </c>
      <c r="H126" s="14">
        <v>0</v>
      </c>
      <c r="I126" s="13">
        <f t="shared" si="1"/>
        <v>6584606.7500000009</v>
      </c>
    </row>
    <row r="127" spans="1:9" ht="15.75" x14ac:dyDescent="0.25">
      <c r="A127" s="8"/>
      <c r="B127" s="8"/>
      <c r="C127" s="9"/>
      <c r="D127" s="12" t="s">
        <v>123</v>
      </c>
      <c r="E127" s="14">
        <v>454994.63</v>
      </c>
      <c r="F127" s="14">
        <v>263958.44910392194</v>
      </c>
      <c r="G127" s="14">
        <v>8952539.7599999998</v>
      </c>
      <c r="H127" s="14">
        <v>0</v>
      </c>
      <c r="I127" s="13">
        <f t="shared" si="1"/>
        <v>9671492.8391039222</v>
      </c>
    </row>
    <row r="128" spans="1:9" ht="15.75" x14ac:dyDescent="0.25">
      <c r="A128" s="8"/>
      <c r="B128" s="8"/>
      <c r="C128" s="9"/>
      <c r="D128" s="12" t="s">
        <v>124</v>
      </c>
      <c r="E128" s="14">
        <v>1080691</v>
      </c>
      <c r="F128" s="14">
        <v>823559.6319932139</v>
      </c>
      <c r="G128" s="14">
        <v>1753043.2599999998</v>
      </c>
      <c r="H128" s="14">
        <v>0</v>
      </c>
      <c r="I128" s="13">
        <f t="shared" si="1"/>
        <v>3657293.8919932134</v>
      </c>
    </row>
    <row r="129" spans="1:9" ht="15.75" x14ac:dyDescent="0.25">
      <c r="A129" s="8"/>
      <c r="B129" s="8"/>
      <c r="C129" s="9"/>
      <c r="D129" s="12" t="s">
        <v>125</v>
      </c>
      <c r="E129" s="14">
        <v>632400.57999999996</v>
      </c>
      <c r="F129" s="14">
        <v>398589.39197367191</v>
      </c>
      <c r="G129" s="14">
        <v>1447818.2899999998</v>
      </c>
      <c r="H129" s="14">
        <v>0</v>
      </c>
      <c r="I129" s="13">
        <f t="shared" si="1"/>
        <v>2478808.2619736716</v>
      </c>
    </row>
    <row r="130" spans="1:9" ht="15.75" x14ac:dyDescent="0.25">
      <c r="A130" s="8"/>
      <c r="B130" s="8"/>
      <c r="C130" s="9"/>
      <c r="D130" s="12" t="s">
        <v>126</v>
      </c>
      <c r="E130" s="14">
        <v>235523.36</v>
      </c>
      <c r="F130" s="14">
        <v>702139.56341620185</v>
      </c>
      <c r="G130" s="14">
        <v>416780.96</v>
      </c>
      <c r="H130" s="14">
        <v>0</v>
      </c>
      <c r="I130" s="13">
        <f t="shared" si="1"/>
        <v>1354443.8834162019</v>
      </c>
    </row>
    <row r="131" spans="1:9" ht="15.75" x14ac:dyDescent="0.25">
      <c r="A131" s="8"/>
      <c r="B131" s="8"/>
      <c r="C131" s="9"/>
      <c r="D131" s="12" t="s">
        <v>127</v>
      </c>
      <c r="E131" s="14">
        <v>2283816.38</v>
      </c>
      <c r="F131" s="14">
        <v>3837493.1285329494</v>
      </c>
      <c r="G131" s="14">
        <v>10585690.77</v>
      </c>
      <c r="H131" s="14">
        <v>0</v>
      </c>
      <c r="I131" s="13">
        <f t="shared" si="1"/>
        <v>16707000.278532948</v>
      </c>
    </row>
    <row r="132" spans="1:9" ht="15.75" x14ac:dyDescent="0.25">
      <c r="A132" s="8"/>
      <c r="B132" s="8"/>
      <c r="C132" s="9"/>
      <c r="D132" s="12" t="s">
        <v>128</v>
      </c>
      <c r="E132" s="14">
        <v>769395.61</v>
      </c>
      <c r="F132" s="14">
        <v>2354548.6305250055</v>
      </c>
      <c r="G132" s="14">
        <v>182861.32</v>
      </c>
      <c r="H132" s="14">
        <v>0</v>
      </c>
      <c r="I132" s="13">
        <f t="shared" si="1"/>
        <v>3306805.5605250052</v>
      </c>
    </row>
    <row r="133" spans="1:9" ht="15.75" x14ac:dyDescent="0.25">
      <c r="A133" s="8"/>
      <c r="B133" s="8"/>
      <c r="C133" s="9"/>
      <c r="D133" s="12" t="s">
        <v>129</v>
      </c>
      <c r="E133" s="14">
        <v>357349.93999999994</v>
      </c>
      <c r="F133" s="14">
        <v>0</v>
      </c>
      <c r="G133" s="14">
        <v>13130988.959999997</v>
      </c>
      <c r="H133" s="14">
        <v>56160454.305</v>
      </c>
      <c r="I133" s="13">
        <f t="shared" si="1"/>
        <v>69648793.204999998</v>
      </c>
    </row>
    <row r="134" spans="1:9" ht="15.75" x14ac:dyDescent="0.25">
      <c r="A134" s="8"/>
      <c r="B134" s="8"/>
      <c r="C134" s="9"/>
      <c r="D134" s="12" t="s">
        <v>130</v>
      </c>
      <c r="E134" s="14">
        <v>26013.75</v>
      </c>
      <c r="F134" s="14">
        <v>116143.89896783797</v>
      </c>
      <c r="G134" s="14">
        <v>9250.8799999999992</v>
      </c>
      <c r="H134" s="14">
        <v>0</v>
      </c>
      <c r="I134" s="13">
        <f t="shared" si="1"/>
        <v>151408.52896783798</v>
      </c>
    </row>
    <row r="135" spans="1:9" ht="15.75" x14ac:dyDescent="0.25">
      <c r="A135" s="8"/>
      <c r="B135" s="8"/>
      <c r="C135" s="9"/>
      <c r="D135" s="12" t="s">
        <v>131</v>
      </c>
      <c r="E135" s="14">
        <v>614424.41999999993</v>
      </c>
      <c r="F135" s="14">
        <v>1467634.0626820975</v>
      </c>
      <c r="G135" s="14">
        <v>537116.04999999993</v>
      </c>
      <c r="H135" s="14">
        <v>0</v>
      </c>
      <c r="I135" s="13">
        <f t="shared" si="1"/>
        <v>2619174.5326820975</v>
      </c>
    </row>
    <row r="136" spans="1:9" ht="15.75" x14ac:dyDescent="0.25">
      <c r="A136" s="8"/>
      <c r="B136" s="8"/>
      <c r="C136" s="9"/>
      <c r="D136" s="12" t="s">
        <v>132</v>
      </c>
      <c r="E136" s="14">
        <v>1931753.09</v>
      </c>
      <c r="F136" s="14">
        <v>1773829.1356858155</v>
      </c>
      <c r="G136" s="14">
        <v>3687503.88</v>
      </c>
      <c r="H136" s="14">
        <v>0</v>
      </c>
      <c r="I136" s="13">
        <f t="shared" si="1"/>
        <v>7393086.1056858152</v>
      </c>
    </row>
    <row r="137" spans="1:9" ht="15.75" x14ac:dyDescent="0.25">
      <c r="A137" s="8"/>
      <c r="B137" s="8"/>
      <c r="C137" s="9"/>
      <c r="D137" s="12" t="s">
        <v>133</v>
      </c>
      <c r="E137" s="14">
        <v>1891171.2899999998</v>
      </c>
      <c r="F137" s="14">
        <v>2789035.0627595438</v>
      </c>
      <c r="G137" s="14">
        <v>5175898.8499999996</v>
      </c>
      <c r="H137" s="14">
        <v>0</v>
      </c>
      <c r="I137" s="13">
        <f t="shared" si="1"/>
        <v>9856105.2027595434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8751712.3300000001</v>
      </c>
      <c r="H138" s="14">
        <v>0</v>
      </c>
      <c r="I138" s="13">
        <f t="shared" ref="I138:I144" si="2">SUM(E138:H138)</f>
        <v>8751712.3300000001</v>
      </c>
    </row>
    <row r="139" spans="1:9" ht="15.75" x14ac:dyDescent="0.25">
      <c r="A139" s="8"/>
      <c r="B139" s="8"/>
      <c r="C139" s="9"/>
      <c r="D139" s="12" t="s">
        <v>135</v>
      </c>
      <c r="E139" s="14">
        <v>155939.4</v>
      </c>
      <c r="F139" s="14">
        <v>417594.50937725994</v>
      </c>
      <c r="G139" s="14">
        <v>695024.79</v>
      </c>
      <c r="H139" s="14">
        <v>0</v>
      </c>
      <c r="I139" s="13">
        <f t="shared" si="2"/>
        <v>1268558.6993772599</v>
      </c>
    </row>
    <row r="140" spans="1:9" ht="15.75" x14ac:dyDescent="0.25">
      <c r="A140" s="8"/>
      <c r="B140" s="8"/>
      <c r="C140" s="9"/>
      <c r="D140" s="12" t="s">
        <v>136</v>
      </c>
      <c r="E140" s="14">
        <v>1234691.19</v>
      </c>
      <c r="F140" s="14">
        <v>2961662.6069232672</v>
      </c>
      <c r="G140" s="14">
        <v>1882992.2499999998</v>
      </c>
      <c r="H140" s="14">
        <v>0</v>
      </c>
      <c r="I140" s="13">
        <f t="shared" si="2"/>
        <v>6079346.0469232667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11302114.41</v>
      </c>
      <c r="H141" s="14">
        <v>5985765.2550000008</v>
      </c>
      <c r="I141" s="13">
        <f t="shared" si="2"/>
        <v>17287879.664999999</v>
      </c>
    </row>
    <row r="142" spans="1:9" ht="15.75" x14ac:dyDescent="0.25">
      <c r="A142" s="8"/>
      <c r="B142" s="8"/>
      <c r="C142" s="9"/>
      <c r="D142" s="12" t="s">
        <v>138</v>
      </c>
      <c r="E142" s="14">
        <v>0</v>
      </c>
      <c r="F142" s="14">
        <v>0</v>
      </c>
      <c r="G142" s="14">
        <v>2276384.02</v>
      </c>
      <c r="H142" s="14">
        <v>0</v>
      </c>
      <c r="I142" s="13">
        <f t="shared" si="2"/>
        <v>2276384.02</v>
      </c>
    </row>
    <row r="143" spans="1:9" ht="15.75" x14ac:dyDescent="0.25">
      <c r="A143" s="8"/>
      <c r="B143" s="8"/>
      <c r="C143" s="9"/>
      <c r="D143" s="12" t="s">
        <v>139</v>
      </c>
      <c r="E143" s="14">
        <v>223154.31000000003</v>
      </c>
      <c r="F143" s="14">
        <v>2737295.8801579531</v>
      </c>
      <c r="G143" s="14">
        <v>168317.68</v>
      </c>
      <c r="H143" s="14">
        <v>0</v>
      </c>
      <c r="I143" s="13">
        <f t="shared" si="2"/>
        <v>3128767.8701579534</v>
      </c>
    </row>
    <row r="144" spans="1:9" ht="15.75" x14ac:dyDescent="0.25">
      <c r="A144" s="8"/>
      <c r="B144" s="8"/>
      <c r="C144" s="9"/>
      <c r="D144" s="12" t="s">
        <v>140</v>
      </c>
      <c r="E144" s="14">
        <v>2204124.7800000003</v>
      </c>
      <c r="F144" s="14">
        <v>332589.55456278997</v>
      </c>
      <c r="G144" s="14">
        <v>3187550.9500000007</v>
      </c>
      <c r="H144" s="14">
        <v>0</v>
      </c>
      <c r="I144" s="13">
        <f t="shared" si="2"/>
        <v>5724265.2845627908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120151336.52000006</v>
      </c>
      <c r="F145" s="22">
        <f>SUM(F10:F144)</f>
        <v>136328806.0698742</v>
      </c>
      <c r="G145" s="22">
        <f>SUM(G10:G144)</f>
        <v>536324292.99999982</v>
      </c>
      <c r="H145" s="22">
        <f>SUM(H10:H144)</f>
        <v>179744131.06</v>
      </c>
      <c r="I145" s="22">
        <f>SUM(I10:I144)</f>
        <v>972548566.64987457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J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154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155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605289.5</v>
      </c>
      <c r="F10" s="14">
        <v>4078840.9892202616</v>
      </c>
      <c r="G10" s="14">
        <v>1375046.84</v>
      </c>
      <c r="H10" s="14">
        <v>0</v>
      </c>
      <c r="I10" s="13">
        <f t="shared" ref="I10:I73" si="0">SUM(E10:H10)</f>
        <v>6059177.3292202614</v>
      </c>
    </row>
    <row r="11" spans="1:9" ht="15.75" x14ac:dyDescent="0.25">
      <c r="A11" s="8"/>
      <c r="B11" s="8"/>
      <c r="C11" s="9"/>
      <c r="D11" s="12" t="s">
        <v>7</v>
      </c>
      <c r="E11" s="14">
        <v>1202289.9099999999</v>
      </c>
      <c r="F11" s="14">
        <v>2289357.0279021645</v>
      </c>
      <c r="G11" s="14">
        <v>943995.62999999989</v>
      </c>
      <c r="H11" s="14">
        <v>0</v>
      </c>
      <c r="I11" s="13">
        <f t="shared" si="0"/>
        <v>4435642.5679021645</v>
      </c>
    </row>
    <row r="12" spans="1:9" ht="15.75" x14ac:dyDescent="0.25">
      <c r="A12" s="8"/>
      <c r="B12" s="8"/>
      <c r="C12" s="9"/>
      <c r="D12" s="12" t="s">
        <v>8</v>
      </c>
      <c r="E12" s="14">
        <v>508731.5</v>
      </c>
      <c r="F12" s="14">
        <v>829959.02093897108</v>
      </c>
      <c r="G12" s="14">
        <v>515200.88000000006</v>
      </c>
      <c r="H12" s="14">
        <v>0</v>
      </c>
      <c r="I12" s="13">
        <f t="shared" si="0"/>
        <v>1853891.4009389712</v>
      </c>
    </row>
    <row r="13" spans="1:9" ht="15.75" x14ac:dyDescent="0.25">
      <c r="A13" s="8"/>
      <c r="B13" s="8"/>
      <c r="C13" s="9"/>
      <c r="D13" s="12" t="s">
        <v>9</v>
      </c>
      <c r="E13" s="14">
        <v>218415.69</v>
      </c>
      <c r="F13" s="14">
        <v>21962.888167682006</v>
      </c>
      <c r="G13" s="14">
        <v>9134495.3299999982</v>
      </c>
      <c r="H13" s="14">
        <v>0</v>
      </c>
      <c r="I13" s="13">
        <f t="shared" si="0"/>
        <v>9374873.9081676807</v>
      </c>
    </row>
    <row r="14" spans="1:9" ht="15.75" x14ac:dyDescent="0.25">
      <c r="A14" s="8"/>
      <c r="B14" s="8"/>
      <c r="C14" s="9"/>
      <c r="D14" s="12" t="s">
        <v>10</v>
      </c>
      <c r="E14" s="14">
        <v>978353.7699999999</v>
      </c>
      <c r="F14" s="14">
        <v>922176.68993219011</v>
      </c>
      <c r="G14" s="14">
        <v>1199856.3099999998</v>
      </c>
      <c r="H14" s="14">
        <v>0</v>
      </c>
      <c r="I14" s="13">
        <f t="shared" si="0"/>
        <v>3100386.76993219</v>
      </c>
    </row>
    <row r="15" spans="1:9" ht="15.75" x14ac:dyDescent="0.25">
      <c r="A15" s="8"/>
      <c r="B15" s="8"/>
      <c r="C15" s="9"/>
      <c r="D15" s="12" t="s">
        <v>11</v>
      </c>
      <c r="E15" s="14">
        <v>208899.20000000001</v>
      </c>
      <c r="F15" s="14">
        <v>5122.1537809310012</v>
      </c>
      <c r="G15" s="14">
        <v>8121236.5800000001</v>
      </c>
      <c r="H15" s="14">
        <v>0</v>
      </c>
      <c r="I15" s="13">
        <f t="shared" si="0"/>
        <v>8335257.9337809309</v>
      </c>
    </row>
    <row r="16" spans="1:9" ht="15.75" x14ac:dyDescent="0.25">
      <c r="A16" s="8"/>
      <c r="B16" s="8"/>
      <c r="C16" s="9"/>
      <c r="D16" s="12" t="s">
        <v>12</v>
      </c>
      <c r="E16" s="14">
        <v>1571046.73</v>
      </c>
      <c r="F16" s="14">
        <v>4397208.3629693454</v>
      </c>
      <c r="G16" s="14">
        <v>1708569.62</v>
      </c>
      <c r="H16" s="14">
        <v>0</v>
      </c>
      <c r="I16" s="13">
        <f t="shared" si="0"/>
        <v>7676824.712969345</v>
      </c>
    </row>
    <row r="17" spans="1:9" ht="15.75" x14ac:dyDescent="0.25">
      <c r="A17" s="8"/>
      <c r="B17" s="8"/>
      <c r="C17" s="9"/>
      <c r="D17" s="12" t="s">
        <v>13</v>
      </c>
      <c r="E17" s="14">
        <v>2531202.2399999998</v>
      </c>
      <c r="F17" s="14">
        <v>4040056.26760229</v>
      </c>
      <c r="G17" s="14">
        <v>3137361.4199999995</v>
      </c>
      <c r="H17" s="14">
        <v>0</v>
      </c>
      <c r="I17" s="13">
        <f t="shared" si="0"/>
        <v>9708619.9276022892</v>
      </c>
    </row>
    <row r="18" spans="1:9" ht="15.75" x14ac:dyDescent="0.25">
      <c r="A18" s="8"/>
      <c r="B18" s="8"/>
      <c r="C18" s="9"/>
      <c r="D18" s="12" t="s">
        <v>14</v>
      </c>
      <c r="E18" s="14">
        <v>615446.16999999993</v>
      </c>
      <c r="F18" s="14">
        <v>329348.81783292501</v>
      </c>
      <c r="G18" s="14">
        <v>15715908.659999998</v>
      </c>
      <c r="H18" s="14">
        <v>0</v>
      </c>
      <c r="I18" s="13">
        <f t="shared" si="0"/>
        <v>16660703.647832923</v>
      </c>
    </row>
    <row r="19" spans="1:9" ht="15.75" x14ac:dyDescent="0.25">
      <c r="A19" s="8"/>
      <c r="B19" s="8"/>
      <c r="C19" s="9"/>
      <c r="D19" s="12" t="s">
        <v>15</v>
      </c>
      <c r="E19" s="14">
        <v>3855487.66</v>
      </c>
      <c r="F19" s="14">
        <v>3143490.3465747545</v>
      </c>
      <c r="G19" s="14">
        <v>2443622.61</v>
      </c>
      <c r="H19" s="14">
        <v>0</v>
      </c>
      <c r="I19" s="13">
        <f t="shared" si="0"/>
        <v>9442600.6165747549</v>
      </c>
    </row>
    <row r="20" spans="1:9" ht="15.75" x14ac:dyDescent="0.25">
      <c r="A20" s="8"/>
      <c r="B20" s="8"/>
      <c r="C20" s="9"/>
      <c r="D20" s="12" t="s">
        <v>16</v>
      </c>
      <c r="E20" s="14">
        <v>1539489.58</v>
      </c>
      <c r="F20" s="14">
        <v>863640.48971247301</v>
      </c>
      <c r="G20" s="14">
        <v>800160.09</v>
      </c>
      <c r="H20" s="14">
        <v>0</v>
      </c>
      <c r="I20" s="13">
        <f t="shared" si="0"/>
        <v>3203290.1597124729</v>
      </c>
    </row>
    <row r="21" spans="1:9" ht="15.75" x14ac:dyDescent="0.25">
      <c r="A21" s="8"/>
      <c r="B21" s="8"/>
      <c r="C21" s="9"/>
      <c r="D21" s="12" t="s">
        <v>17</v>
      </c>
      <c r="E21" s="14">
        <v>1412701.8299999998</v>
      </c>
      <c r="F21" s="14">
        <v>3760473.6154711777</v>
      </c>
      <c r="G21" s="14">
        <v>965393.62000000011</v>
      </c>
      <c r="H21" s="14">
        <v>0</v>
      </c>
      <c r="I21" s="13">
        <f t="shared" si="0"/>
        <v>6138569.0654711779</v>
      </c>
    </row>
    <row r="22" spans="1:9" ht="15.75" x14ac:dyDescent="0.25">
      <c r="A22" s="8"/>
      <c r="B22" s="8"/>
      <c r="C22" s="9"/>
      <c r="D22" s="12" t="s">
        <v>18</v>
      </c>
      <c r="E22" s="14">
        <v>209773.57000000004</v>
      </c>
      <c r="F22" s="14">
        <v>161017.07771125901</v>
      </c>
      <c r="G22" s="14">
        <v>5643854.0500000007</v>
      </c>
      <c r="H22" s="14">
        <v>0</v>
      </c>
      <c r="I22" s="13">
        <f t="shared" si="0"/>
        <v>6014644.6977112601</v>
      </c>
    </row>
    <row r="23" spans="1:9" ht="15.75" x14ac:dyDescent="0.25">
      <c r="A23" s="8"/>
      <c r="B23" s="8"/>
      <c r="C23" s="9"/>
      <c r="D23" s="12" t="s">
        <v>19</v>
      </c>
      <c r="E23" s="14">
        <v>19343.449999999997</v>
      </c>
      <c r="F23" s="14">
        <v>60010.473263675012</v>
      </c>
      <c r="G23" s="14">
        <v>2306151.58</v>
      </c>
      <c r="H23" s="14">
        <v>0</v>
      </c>
      <c r="I23" s="13">
        <f t="shared" si="0"/>
        <v>2385505.5032636751</v>
      </c>
    </row>
    <row r="24" spans="1:9" ht="15.75" x14ac:dyDescent="0.25">
      <c r="A24" s="8"/>
      <c r="B24" s="8"/>
      <c r="C24" s="9"/>
      <c r="D24" s="12" t="s">
        <v>20</v>
      </c>
      <c r="E24" s="14">
        <v>2440927.19</v>
      </c>
      <c r="F24" s="14">
        <v>2306197.7622889155</v>
      </c>
      <c r="G24" s="14">
        <v>1927794.4499999997</v>
      </c>
      <c r="H24" s="14">
        <v>0</v>
      </c>
      <c r="I24" s="13">
        <f t="shared" si="0"/>
        <v>6674919.4022889156</v>
      </c>
    </row>
    <row r="25" spans="1:9" ht="15.75" x14ac:dyDescent="0.25">
      <c r="A25" s="8"/>
      <c r="B25" s="8"/>
      <c r="C25" s="9"/>
      <c r="D25" s="12" t="s">
        <v>21</v>
      </c>
      <c r="E25" s="14">
        <v>952827.11</v>
      </c>
      <c r="F25" s="14">
        <v>1712632.7536676712</v>
      </c>
      <c r="G25" s="14">
        <v>1881547.08</v>
      </c>
      <c r="H25" s="14">
        <v>0</v>
      </c>
      <c r="I25" s="13">
        <f t="shared" si="0"/>
        <v>4547006.9436676707</v>
      </c>
    </row>
    <row r="26" spans="1:9" ht="15.75" x14ac:dyDescent="0.25">
      <c r="A26" s="8"/>
      <c r="B26" s="8"/>
      <c r="C26" s="9"/>
      <c r="D26" s="12" t="s">
        <v>22</v>
      </c>
      <c r="E26" s="14">
        <v>989122.3</v>
      </c>
      <c r="F26" s="14">
        <v>980731.79108836805</v>
      </c>
      <c r="G26" s="14">
        <v>1270363.5699999998</v>
      </c>
      <c r="H26" s="14">
        <v>0</v>
      </c>
      <c r="I26" s="13">
        <f t="shared" si="0"/>
        <v>3240217.6610883679</v>
      </c>
    </row>
    <row r="27" spans="1:9" ht="15.75" x14ac:dyDescent="0.25">
      <c r="A27" s="8"/>
      <c r="B27" s="8"/>
      <c r="C27" s="9"/>
      <c r="D27" s="12" t="s">
        <v>23</v>
      </c>
      <c r="E27" s="14">
        <v>320004.94000000006</v>
      </c>
      <c r="F27" s="14">
        <v>168331.74012166602</v>
      </c>
      <c r="G27" s="14">
        <v>2807607.1399999997</v>
      </c>
      <c r="H27" s="14">
        <v>0</v>
      </c>
      <c r="I27" s="13">
        <f t="shared" si="0"/>
        <v>3295943.8201216655</v>
      </c>
    </row>
    <row r="28" spans="1:9" ht="15.75" x14ac:dyDescent="0.25">
      <c r="A28" s="8"/>
      <c r="B28" s="8"/>
      <c r="C28" s="9"/>
      <c r="D28" s="12" t="s">
        <v>24</v>
      </c>
      <c r="E28" s="14">
        <v>1185576.6400000001</v>
      </c>
      <c r="F28" s="14">
        <v>797770.72614588821</v>
      </c>
      <c r="G28" s="14">
        <v>1722310.81</v>
      </c>
      <c r="H28" s="14">
        <v>0</v>
      </c>
      <c r="I28" s="13">
        <f t="shared" si="0"/>
        <v>3705658.1761458884</v>
      </c>
    </row>
    <row r="29" spans="1:9" ht="15.75" x14ac:dyDescent="0.25">
      <c r="A29" s="8"/>
      <c r="B29" s="8"/>
      <c r="C29" s="9"/>
      <c r="D29" s="12" t="s">
        <v>25</v>
      </c>
      <c r="E29" s="14">
        <v>674520.84</v>
      </c>
      <c r="F29" s="14">
        <v>446459.02014528104</v>
      </c>
      <c r="G29" s="14">
        <v>601112.87</v>
      </c>
      <c r="H29" s="14">
        <v>0</v>
      </c>
      <c r="I29" s="13">
        <f t="shared" si="0"/>
        <v>1722092.7301452812</v>
      </c>
    </row>
    <row r="30" spans="1:9" ht="15.75" x14ac:dyDescent="0.25">
      <c r="A30" s="8"/>
      <c r="B30" s="8"/>
      <c r="C30" s="9"/>
      <c r="D30" s="12" t="s">
        <v>26</v>
      </c>
      <c r="E30" s="14">
        <v>855131.82</v>
      </c>
      <c r="F30" s="14">
        <v>2407922.6023220173</v>
      </c>
      <c r="G30" s="14">
        <v>1691656.4200000002</v>
      </c>
      <c r="H30" s="14">
        <v>0</v>
      </c>
      <c r="I30" s="13">
        <f t="shared" si="0"/>
        <v>4954710.8423220171</v>
      </c>
    </row>
    <row r="31" spans="1:9" ht="15.75" x14ac:dyDescent="0.25">
      <c r="A31" s="8"/>
      <c r="B31" s="8"/>
      <c r="C31" s="9"/>
      <c r="D31" s="12" t="s">
        <v>27</v>
      </c>
      <c r="E31" s="14">
        <v>1312921.9000000001</v>
      </c>
      <c r="F31" s="14">
        <v>2495755.2540562842</v>
      </c>
      <c r="G31" s="14">
        <v>1224458.51</v>
      </c>
      <c r="H31" s="14">
        <v>0</v>
      </c>
      <c r="I31" s="13">
        <f t="shared" si="0"/>
        <v>5033135.6640562844</v>
      </c>
    </row>
    <row r="32" spans="1:9" ht="15.75" x14ac:dyDescent="0.25">
      <c r="A32" s="8"/>
      <c r="B32" s="8"/>
      <c r="C32" s="9"/>
      <c r="D32" s="12" t="s">
        <v>28</v>
      </c>
      <c r="E32" s="14">
        <v>386706.55000000005</v>
      </c>
      <c r="F32" s="14">
        <v>842414.73806677014</v>
      </c>
      <c r="G32" s="14">
        <v>640997.30999999994</v>
      </c>
      <c r="H32" s="14">
        <v>0</v>
      </c>
      <c r="I32" s="13">
        <f t="shared" si="0"/>
        <v>1870118.59806677</v>
      </c>
    </row>
    <row r="33" spans="1:9" ht="15.75" x14ac:dyDescent="0.25">
      <c r="A33" s="8"/>
      <c r="B33" s="8"/>
      <c r="C33" s="9"/>
      <c r="D33" s="12" t="s">
        <v>29</v>
      </c>
      <c r="E33" s="14">
        <v>288250.95</v>
      </c>
      <c r="F33" s="14">
        <v>1273488.3959327971</v>
      </c>
      <c r="G33" s="14">
        <v>483805.10000000003</v>
      </c>
      <c r="H33" s="14">
        <v>0</v>
      </c>
      <c r="I33" s="13">
        <f t="shared" si="0"/>
        <v>2045544.4459327972</v>
      </c>
    </row>
    <row r="34" spans="1:9" ht="15.75" x14ac:dyDescent="0.25">
      <c r="A34" s="8"/>
      <c r="B34" s="8"/>
      <c r="C34" s="9"/>
      <c r="D34" s="12" t="s">
        <v>30</v>
      </c>
      <c r="E34" s="14">
        <v>2921911.09</v>
      </c>
      <c r="F34" s="14">
        <v>1827531.5464140903</v>
      </c>
      <c r="G34" s="14">
        <v>2583582.0199999996</v>
      </c>
      <c r="H34" s="14">
        <v>0</v>
      </c>
      <c r="I34" s="13">
        <f t="shared" si="0"/>
        <v>7333024.6564140897</v>
      </c>
    </row>
    <row r="35" spans="1:9" ht="15.75" x14ac:dyDescent="0.25">
      <c r="A35" s="8"/>
      <c r="B35" s="8"/>
      <c r="C35" s="9"/>
      <c r="D35" s="12" t="s">
        <v>31</v>
      </c>
      <c r="E35" s="14">
        <v>1618025.8599999999</v>
      </c>
      <c r="F35" s="14">
        <v>2686787.0188676114</v>
      </c>
      <c r="G35" s="14">
        <v>1636117.93</v>
      </c>
      <c r="H35" s="14">
        <v>0</v>
      </c>
      <c r="I35" s="13">
        <f t="shared" si="0"/>
        <v>5940930.808867611</v>
      </c>
    </row>
    <row r="36" spans="1:9" ht="15.75" x14ac:dyDescent="0.25">
      <c r="A36" s="8"/>
      <c r="B36" s="8"/>
      <c r="C36" s="9"/>
      <c r="D36" s="12" t="s">
        <v>32</v>
      </c>
      <c r="E36" s="14">
        <v>677889.12</v>
      </c>
      <c r="F36" s="14">
        <v>1667251.6052248103</v>
      </c>
      <c r="G36" s="14">
        <v>2929604.32</v>
      </c>
      <c r="H36" s="14">
        <v>0</v>
      </c>
      <c r="I36" s="13">
        <f t="shared" si="0"/>
        <v>5274745.04522481</v>
      </c>
    </row>
    <row r="37" spans="1:9" ht="15.75" x14ac:dyDescent="0.25">
      <c r="A37" s="8"/>
      <c r="B37" s="8"/>
      <c r="C37" s="9"/>
      <c r="D37" s="12" t="s">
        <v>33</v>
      </c>
      <c r="E37" s="14">
        <v>395968.58</v>
      </c>
      <c r="F37" s="14">
        <v>922176.68993219011</v>
      </c>
      <c r="G37" s="14">
        <v>986003.47</v>
      </c>
      <c r="H37" s="14">
        <v>0</v>
      </c>
      <c r="I37" s="13">
        <f t="shared" si="0"/>
        <v>2304148.7399321902</v>
      </c>
    </row>
    <row r="38" spans="1:9" ht="15.75" x14ac:dyDescent="0.25">
      <c r="A38" s="8"/>
      <c r="B38" s="8"/>
      <c r="C38" s="9"/>
      <c r="D38" s="12" t="s">
        <v>34</v>
      </c>
      <c r="E38" s="14">
        <v>769914.40999999992</v>
      </c>
      <c r="F38" s="14">
        <v>2003933.9864046033</v>
      </c>
      <c r="G38" s="14">
        <v>831906.81</v>
      </c>
      <c r="H38" s="14">
        <v>0</v>
      </c>
      <c r="I38" s="13">
        <f t="shared" si="0"/>
        <v>3605755.2064046036</v>
      </c>
    </row>
    <row r="39" spans="1:9" ht="15.75" x14ac:dyDescent="0.25">
      <c r="A39" s="8"/>
      <c r="B39" s="8"/>
      <c r="C39" s="9"/>
      <c r="D39" s="12" t="s">
        <v>35</v>
      </c>
      <c r="E39" s="14">
        <v>615080.43999999994</v>
      </c>
      <c r="F39" s="14">
        <v>3137631.0562718445</v>
      </c>
      <c r="G39" s="14">
        <v>1417060.1199999999</v>
      </c>
      <c r="H39" s="14">
        <v>0</v>
      </c>
      <c r="I39" s="13">
        <f t="shared" si="0"/>
        <v>5169771.6162718441</v>
      </c>
    </row>
    <row r="40" spans="1:9" ht="15.75" x14ac:dyDescent="0.25">
      <c r="A40" s="8"/>
      <c r="B40" s="8"/>
      <c r="C40" s="9"/>
      <c r="D40" s="12" t="s">
        <v>36</v>
      </c>
      <c r="E40" s="14">
        <v>85813.209999999992</v>
      </c>
      <c r="F40" s="14">
        <v>164683.85938469303</v>
      </c>
      <c r="G40" s="14">
        <v>778866.00000000012</v>
      </c>
      <c r="H40" s="14">
        <v>0</v>
      </c>
      <c r="I40" s="13">
        <f t="shared" si="0"/>
        <v>1029363.0693846932</v>
      </c>
    </row>
    <row r="41" spans="1:9" ht="15.75" x14ac:dyDescent="0.25">
      <c r="A41" s="8"/>
      <c r="B41" s="8"/>
      <c r="C41" s="9"/>
      <c r="D41" s="12" t="s">
        <v>37</v>
      </c>
      <c r="E41" s="14">
        <v>2546263.5300000003</v>
      </c>
      <c r="F41" s="14">
        <v>2751919.6459122174</v>
      </c>
      <c r="G41" s="14">
        <v>3112735.62</v>
      </c>
      <c r="H41" s="14">
        <v>0</v>
      </c>
      <c r="I41" s="13">
        <f t="shared" si="0"/>
        <v>8410918.7959122173</v>
      </c>
    </row>
    <row r="42" spans="1:9" ht="15.75" x14ac:dyDescent="0.25">
      <c r="A42" s="8"/>
      <c r="B42" s="8"/>
      <c r="C42" s="9"/>
      <c r="D42" s="12" t="s">
        <v>38</v>
      </c>
      <c r="E42" s="14">
        <v>1189745.8500000001</v>
      </c>
      <c r="F42" s="14">
        <v>2980280.7602340193</v>
      </c>
      <c r="G42" s="14">
        <v>801565.86000000022</v>
      </c>
      <c r="H42" s="14">
        <v>0</v>
      </c>
      <c r="I42" s="13">
        <f t="shared" si="0"/>
        <v>4971592.4702340197</v>
      </c>
    </row>
    <row r="43" spans="1:9" ht="15.75" x14ac:dyDescent="0.25">
      <c r="A43" s="8"/>
      <c r="B43" s="8"/>
      <c r="C43" s="9"/>
      <c r="D43" s="12" t="s">
        <v>39</v>
      </c>
      <c r="E43" s="14">
        <v>530652.07999999996</v>
      </c>
      <c r="F43" s="14">
        <v>1083930.9041654281</v>
      </c>
      <c r="G43" s="14">
        <v>1016039.3400000001</v>
      </c>
      <c r="H43" s="14">
        <v>0</v>
      </c>
      <c r="I43" s="13">
        <f t="shared" si="0"/>
        <v>2630622.3241654281</v>
      </c>
    </row>
    <row r="44" spans="1:9" ht="15.75" x14ac:dyDescent="0.25">
      <c r="A44" s="8"/>
      <c r="B44" s="8"/>
      <c r="C44" s="9"/>
      <c r="D44" s="12" t="s">
        <v>40</v>
      </c>
      <c r="E44" s="14">
        <v>1641.26</v>
      </c>
      <c r="F44" s="14">
        <v>83428.733538854009</v>
      </c>
      <c r="G44" s="14">
        <v>1129247.1000000001</v>
      </c>
      <c r="H44" s="14">
        <v>0</v>
      </c>
      <c r="I44" s="13">
        <f t="shared" si="0"/>
        <v>1214317.093538854</v>
      </c>
    </row>
    <row r="45" spans="1:9" ht="15.75" x14ac:dyDescent="0.25">
      <c r="A45" s="8"/>
      <c r="B45" s="8"/>
      <c r="C45" s="9"/>
      <c r="D45" s="12" t="s">
        <v>41</v>
      </c>
      <c r="E45" s="14">
        <v>340232.01999999996</v>
      </c>
      <c r="F45" s="14">
        <v>24155.396797158006</v>
      </c>
      <c r="G45" s="14">
        <v>4308986.28</v>
      </c>
      <c r="H45" s="14">
        <v>0</v>
      </c>
      <c r="I45" s="13">
        <f t="shared" si="0"/>
        <v>4673373.6967971586</v>
      </c>
    </row>
    <row r="46" spans="1:9" ht="15.75" x14ac:dyDescent="0.25">
      <c r="A46" s="8"/>
      <c r="B46" s="8"/>
      <c r="C46" s="9"/>
      <c r="D46" s="12" t="s">
        <v>42</v>
      </c>
      <c r="E46" s="14">
        <v>243769.37999999998</v>
      </c>
      <c r="F46" s="14">
        <v>80499.088387399024</v>
      </c>
      <c r="G46" s="14">
        <v>5741537.1200000001</v>
      </c>
      <c r="H46" s="14">
        <v>0</v>
      </c>
      <c r="I46" s="13">
        <f t="shared" si="0"/>
        <v>6065805.588387399</v>
      </c>
    </row>
    <row r="47" spans="1:9" ht="15.75" x14ac:dyDescent="0.25">
      <c r="A47" s="8"/>
      <c r="B47" s="8"/>
      <c r="C47" s="9"/>
      <c r="D47" s="12" t="s">
        <v>43</v>
      </c>
      <c r="E47" s="14">
        <v>1107281.5699999998</v>
      </c>
      <c r="F47" s="14">
        <v>510854.51066790812</v>
      </c>
      <c r="G47" s="14">
        <v>980163.14999999991</v>
      </c>
      <c r="H47" s="14">
        <v>0</v>
      </c>
      <c r="I47" s="13">
        <f t="shared" si="0"/>
        <v>2598299.2306679077</v>
      </c>
    </row>
    <row r="48" spans="1:9" ht="15.75" x14ac:dyDescent="0.25">
      <c r="A48" s="8"/>
      <c r="B48" s="8"/>
      <c r="C48" s="9"/>
      <c r="D48" s="12" t="s">
        <v>44</v>
      </c>
      <c r="E48" s="14">
        <v>595446.24</v>
      </c>
      <c r="F48" s="14">
        <v>80499.088387399024</v>
      </c>
      <c r="G48" s="14">
        <v>2565233.9200000004</v>
      </c>
      <c r="H48" s="14">
        <v>0</v>
      </c>
      <c r="I48" s="13">
        <f t="shared" si="0"/>
        <v>3241179.2483873991</v>
      </c>
    </row>
    <row r="49" spans="1:9" ht="15.75" x14ac:dyDescent="0.25">
      <c r="A49" s="8"/>
      <c r="B49" s="8"/>
      <c r="C49" s="9"/>
      <c r="D49" s="12" t="s">
        <v>45</v>
      </c>
      <c r="E49" s="14">
        <v>414211.88999999996</v>
      </c>
      <c r="F49" s="14">
        <v>95884.450666653007</v>
      </c>
      <c r="G49" s="14">
        <v>5331802.24</v>
      </c>
      <c r="H49" s="14">
        <v>0</v>
      </c>
      <c r="I49" s="13">
        <f t="shared" si="0"/>
        <v>5841898.5806666529</v>
      </c>
    </row>
    <row r="50" spans="1:9" ht="15.75" x14ac:dyDescent="0.25">
      <c r="A50" s="8"/>
      <c r="B50" s="8"/>
      <c r="C50" s="9"/>
      <c r="D50" s="12" t="s">
        <v>46</v>
      </c>
      <c r="E50" s="14">
        <v>427073.5</v>
      </c>
      <c r="F50" s="14">
        <v>926580.60812760307</v>
      </c>
      <c r="G50" s="14">
        <v>416732.30000000005</v>
      </c>
      <c r="H50" s="14">
        <v>0</v>
      </c>
      <c r="I50" s="13">
        <f t="shared" si="0"/>
        <v>1770386.4081276031</v>
      </c>
    </row>
    <row r="51" spans="1:9" ht="15.75" x14ac:dyDescent="0.25">
      <c r="A51" s="8"/>
      <c r="B51" s="8"/>
      <c r="C51" s="9"/>
      <c r="D51" s="12" t="s">
        <v>47</v>
      </c>
      <c r="E51" s="14">
        <v>1099781.46</v>
      </c>
      <c r="F51" s="14">
        <v>1684810.5751970792</v>
      </c>
      <c r="G51" s="14">
        <v>1328522.9500000002</v>
      </c>
      <c r="H51" s="14">
        <v>0</v>
      </c>
      <c r="I51" s="13">
        <f t="shared" si="0"/>
        <v>4113114.9851970794</v>
      </c>
    </row>
    <row r="52" spans="1:9" ht="15.75" x14ac:dyDescent="0.25">
      <c r="A52" s="8"/>
      <c r="B52" s="8"/>
      <c r="C52" s="9"/>
      <c r="D52" s="12" t="s">
        <v>48</v>
      </c>
      <c r="E52" s="14">
        <v>512984.78</v>
      </c>
      <c r="F52" s="14">
        <v>1697984.5279103965</v>
      </c>
      <c r="G52" s="14">
        <v>370381.47999999992</v>
      </c>
      <c r="H52" s="14">
        <v>0</v>
      </c>
      <c r="I52" s="13">
        <f t="shared" si="0"/>
        <v>2581350.7879103967</v>
      </c>
    </row>
    <row r="53" spans="1:9" ht="15.75" x14ac:dyDescent="0.25">
      <c r="A53" s="8"/>
      <c r="B53" s="8"/>
      <c r="C53" s="9"/>
      <c r="D53" s="12" t="s">
        <v>49</v>
      </c>
      <c r="E53" s="14">
        <v>546335.17999999993</v>
      </c>
      <c r="F53" s="14">
        <v>1163711.7569673092</v>
      </c>
      <c r="G53" s="14">
        <v>1300477.8900000001</v>
      </c>
      <c r="H53" s="14">
        <v>0</v>
      </c>
      <c r="I53" s="13">
        <f t="shared" si="0"/>
        <v>3010524.8269673092</v>
      </c>
    </row>
    <row r="54" spans="1:9" ht="15.75" x14ac:dyDescent="0.25">
      <c r="A54" s="8"/>
      <c r="B54" s="8"/>
      <c r="C54" s="9"/>
      <c r="D54" s="12" t="s">
        <v>50</v>
      </c>
      <c r="E54" s="14">
        <v>1351819.1400000001</v>
      </c>
      <c r="F54" s="14">
        <v>1068564.4428226352</v>
      </c>
      <c r="G54" s="14">
        <v>1045487.5599999999</v>
      </c>
      <c r="H54" s="14">
        <v>0</v>
      </c>
      <c r="I54" s="13">
        <f t="shared" si="0"/>
        <v>3465871.1428226354</v>
      </c>
    </row>
    <row r="55" spans="1:9" ht="15.75" x14ac:dyDescent="0.25">
      <c r="A55" s="8"/>
      <c r="B55" s="8"/>
      <c r="C55" s="9"/>
      <c r="D55" s="12" t="s">
        <v>51</v>
      </c>
      <c r="E55" s="14">
        <v>311771.12</v>
      </c>
      <c r="F55" s="14">
        <v>2188369.3243910414</v>
      </c>
      <c r="G55" s="14">
        <v>44992.800000000003</v>
      </c>
      <c r="H55" s="14">
        <v>0</v>
      </c>
      <c r="I55" s="13">
        <f t="shared" si="0"/>
        <v>2545133.2443910413</v>
      </c>
    </row>
    <row r="56" spans="1:9" ht="15.75" x14ac:dyDescent="0.25">
      <c r="A56" s="8"/>
      <c r="B56" s="8"/>
      <c r="C56" s="9"/>
      <c r="D56" s="12" t="s">
        <v>52</v>
      </c>
      <c r="E56" s="14">
        <v>1083744.0299999998</v>
      </c>
      <c r="F56" s="14">
        <v>2435744.7807926093</v>
      </c>
      <c r="G56" s="14">
        <v>522646.42</v>
      </c>
      <c r="H56" s="14">
        <v>0</v>
      </c>
      <c r="I56" s="13">
        <f t="shared" si="0"/>
        <v>4042135.230792609</v>
      </c>
    </row>
    <row r="57" spans="1:9" ht="15.75" x14ac:dyDescent="0.25">
      <c r="A57" s="8"/>
      <c r="B57" s="8"/>
      <c r="C57" s="9"/>
      <c r="D57" s="12" t="s">
        <v>53</v>
      </c>
      <c r="E57" s="14">
        <v>122273.53</v>
      </c>
      <c r="F57" s="14">
        <v>805085.38855629507</v>
      </c>
      <c r="G57" s="14">
        <v>540064.80999999994</v>
      </c>
      <c r="H57" s="14">
        <v>0</v>
      </c>
      <c r="I57" s="13">
        <f t="shared" si="0"/>
        <v>1467423.7285562949</v>
      </c>
    </row>
    <row r="58" spans="1:9" ht="15.75" x14ac:dyDescent="0.25">
      <c r="A58" s="8"/>
      <c r="B58" s="8"/>
      <c r="C58" s="9"/>
      <c r="D58" s="12" t="s">
        <v>54</v>
      </c>
      <c r="E58" s="14">
        <v>193850.95</v>
      </c>
      <c r="F58" s="14">
        <v>866570.13486392819</v>
      </c>
      <c r="G58" s="14">
        <v>49161.07</v>
      </c>
      <c r="H58" s="14">
        <v>0</v>
      </c>
      <c r="I58" s="13">
        <f t="shared" si="0"/>
        <v>1109582.1548639282</v>
      </c>
    </row>
    <row r="59" spans="1:9" ht="15.75" x14ac:dyDescent="0.25">
      <c r="A59" s="8"/>
      <c r="B59" s="8"/>
      <c r="C59" s="9"/>
      <c r="D59" s="12" t="s">
        <v>55</v>
      </c>
      <c r="E59" s="14">
        <v>681294.79999999993</v>
      </c>
      <c r="F59" s="14">
        <v>1463783.0242221451</v>
      </c>
      <c r="G59" s="14">
        <v>993716.97999999986</v>
      </c>
      <c r="H59" s="14">
        <v>0</v>
      </c>
      <c r="I59" s="13">
        <f t="shared" si="0"/>
        <v>3138794.8042221451</v>
      </c>
    </row>
    <row r="60" spans="1:9" ht="15.75" x14ac:dyDescent="0.25">
      <c r="A60" s="8"/>
      <c r="B60" s="8"/>
      <c r="C60" s="9"/>
      <c r="D60" s="12" t="s">
        <v>56</v>
      </c>
      <c r="E60" s="14">
        <v>313367.85000000003</v>
      </c>
      <c r="F60" s="14">
        <v>885584.47694369417</v>
      </c>
      <c r="G60" s="14">
        <v>311262.55</v>
      </c>
      <c r="H60" s="14">
        <v>0</v>
      </c>
      <c r="I60" s="13">
        <f t="shared" si="0"/>
        <v>1510214.8769436942</v>
      </c>
    </row>
    <row r="61" spans="1:9" ht="15.75" x14ac:dyDescent="0.25">
      <c r="A61" s="8"/>
      <c r="B61" s="8"/>
      <c r="C61" s="9"/>
      <c r="D61" s="12" t="s">
        <v>57</v>
      </c>
      <c r="E61" s="14">
        <v>594325.81999999995</v>
      </c>
      <c r="F61" s="14">
        <v>1485745.9123898272</v>
      </c>
      <c r="G61" s="14">
        <v>833606.49</v>
      </c>
      <c r="H61" s="14">
        <v>0</v>
      </c>
      <c r="I61" s="13">
        <f t="shared" si="0"/>
        <v>2913678.2223898275</v>
      </c>
    </row>
    <row r="62" spans="1:9" ht="15.75" x14ac:dyDescent="0.25">
      <c r="A62" s="8"/>
      <c r="B62" s="8"/>
      <c r="C62" s="9"/>
      <c r="D62" s="12" t="s">
        <v>58</v>
      </c>
      <c r="E62" s="14">
        <v>1512674.33</v>
      </c>
      <c r="F62" s="14">
        <v>1657744.434184927</v>
      </c>
      <c r="G62" s="14">
        <v>40176170.189999998</v>
      </c>
      <c r="H62" s="14">
        <v>0</v>
      </c>
      <c r="I62" s="13">
        <f t="shared" si="0"/>
        <v>43346588.954184927</v>
      </c>
    </row>
    <row r="63" spans="1:9" ht="15.75" x14ac:dyDescent="0.25">
      <c r="A63" s="8"/>
      <c r="B63" s="8"/>
      <c r="C63" s="9"/>
      <c r="D63" s="12" t="s">
        <v>59</v>
      </c>
      <c r="E63" s="14">
        <v>604677.74999999988</v>
      </c>
      <c r="F63" s="14">
        <v>182979.96587894103</v>
      </c>
      <c r="G63" s="14">
        <v>2037465.54</v>
      </c>
      <c r="H63" s="14">
        <v>0</v>
      </c>
      <c r="I63" s="13">
        <f t="shared" si="0"/>
        <v>2825123.2558789412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12489617.870000001</v>
      </c>
      <c r="H64" s="14">
        <v>0</v>
      </c>
      <c r="I64" s="13">
        <f t="shared" si="0"/>
        <v>12489617.870000001</v>
      </c>
    </row>
    <row r="65" spans="1:9" ht="15.75" x14ac:dyDescent="0.25">
      <c r="A65" s="8"/>
      <c r="B65" s="8"/>
      <c r="C65" s="9"/>
      <c r="D65" s="12" t="s">
        <v>61</v>
      </c>
      <c r="E65" s="14">
        <v>1278952.76</v>
      </c>
      <c r="F65" s="14">
        <v>2166406.4362233593</v>
      </c>
      <c r="G65" s="14">
        <v>643392.61999999988</v>
      </c>
      <c r="H65" s="14">
        <v>0</v>
      </c>
      <c r="I65" s="13">
        <f t="shared" si="0"/>
        <v>4088751.8162233597</v>
      </c>
    </row>
    <row r="66" spans="1:9" ht="15.75" x14ac:dyDescent="0.25">
      <c r="A66" s="8"/>
      <c r="B66" s="8"/>
      <c r="C66" s="9"/>
      <c r="D66" s="12" t="s">
        <v>62</v>
      </c>
      <c r="E66" s="14">
        <v>5146837.5999999996</v>
      </c>
      <c r="F66" s="14">
        <v>4307202.1035420634</v>
      </c>
      <c r="G66" s="14">
        <v>1611107.33</v>
      </c>
      <c r="H66" s="14">
        <v>0</v>
      </c>
      <c r="I66" s="13">
        <f t="shared" si="0"/>
        <v>11065147.033542063</v>
      </c>
    </row>
    <row r="67" spans="1:9" ht="15.75" x14ac:dyDescent="0.25">
      <c r="A67" s="8"/>
      <c r="B67" s="8"/>
      <c r="C67" s="9"/>
      <c r="D67" s="12" t="s">
        <v>63</v>
      </c>
      <c r="E67" s="14">
        <v>1021989.68</v>
      </c>
      <c r="F67" s="14">
        <v>1990760.0336912866</v>
      </c>
      <c r="G67" s="14">
        <v>996983.31</v>
      </c>
      <c r="H67" s="14">
        <v>0</v>
      </c>
      <c r="I67" s="13">
        <f t="shared" si="0"/>
        <v>4009733.0236912868</v>
      </c>
    </row>
    <row r="68" spans="1:9" ht="15.75" x14ac:dyDescent="0.25">
      <c r="A68" s="8"/>
      <c r="B68" s="8"/>
      <c r="C68" s="9"/>
      <c r="D68" s="12" t="s">
        <v>64</v>
      </c>
      <c r="E68" s="14">
        <v>1035407.1000000001</v>
      </c>
      <c r="F68" s="14">
        <v>841677.60154479113</v>
      </c>
      <c r="G68" s="14">
        <v>276192.24999999994</v>
      </c>
      <c r="H68" s="14">
        <v>0</v>
      </c>
      <c r="I68" s="13">
        <f t="shared" si="0"/>
        <v>2153276.951544791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3007930.83</v>
      </c>
      <c r="H69" s="14">
        <v>0</v>
      </c>
      <c r="I69" s="13">
        <f t="shared" si="0"/>
        <v>3007930.83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5528289.9899999993</v>
      </c>
      <c r="H70" s="14">
        <v>0</v>
      </c>
      <c r="I70" s="13">
        <f t="shared" si="0"/>
        <v>5528289.9899999993</v>
      </c>
    </row>
    <row r="71" spans="1:9" ht="15.75" x14ac:dyDescent="0.25">
      <c r="A71" s="8"/>
      <c r="B71" s="8"/>
      <c r="C71" s="9"/>
      <c r="D71" s="12" t="s">
        <v>67</v>
      </c>
      <c r="E71" s="14">
        <v>11249.25</v>
      </c>
      <c r="F71" s="14">
        <v>21962.888167682006</v>
      </c>
      <c r="G71" s="14">
        <v>4341595.66</v>
      </c>
      <c r="H71" s="14">
        <v>0</v>
      </c>
      <c r="I71" s="13">
        <f t="shared" si="0"/>
        <v>4374807.7981676823</v>
      </c>
    </row>
    <row r="72" spans="1:9" ht="15.75" x14ac:dyDescent="0.25">
      <c r="A72" s="8"/>
      <c r="B72" s="8"/>
      <c r="C72" s="9"/>
      <c r="D72" s="12" t="s">
        <v>68</v>
      </c>
      <c r="E72" s="14">
        <v>1198407.5799999998</v>
      </c>
      <c r="F72" s="14">
        <v>1367180.3379699741</v>
      </c>
      <c r="G72" s="14">
        <v>5211734.67</v>
      </c>
      <c r="H72" s="14">
        <v>0</v>
      </c>
      <c r="I72" s="13">
        <f t="shared" si="0"/>
        <v>7777322.5879699737</v>
      </c>
    </row>
    <row r="73" spans="1:9" ht="15.75" x14ac:dyDescent="0.25">
      <c r="A73" s="8"/>
      <c r="B73" s="8"/>
      <c r="C73" s="9"/>
      <c r="D73" s="12" t="s">
        <v>69</v>
      </c>
      <c r="E73" s="14">
        <v>666.98</v>
      </c>
      <c r="F73" s="14">
        <v>0</v>
      </c>
      <c r="G73" s="14">
        <v>3212295.33</v>
      </c>
      <c r="H73" s="14">
        <v>0</v>
      </c>
      <c r="I73" s="13">
        <f t="shared" si="0"/>
        <v>3212962.31</v>
      </c>
    </row>
    <row r="74" spans="1:9" ht="15.75" x14ac:dyDescent="0.25">
      <c r="A74" s="8"/>
      <c r="B74" s="8"/>
      <c r="C74" s="9"/>
      <c r="D74" s="12" t="s">
        <v>70</v>
      </c>
      <c r="E74" s="14">
        <v>1186059.6500000001</v>
      </c>
      <c r="F74" s="14">
        <v>115635.92926839802</v>
      </c>
      <c r="G74" s="14">
        <v>20487357.809999999</v>
      </c>
      <c r="H74" s="14">
        <v>0</v>
      </c>
      <c r="I74" s="13">
        <f t="shared" ref="I74:I137" si="1">SUM(E74:H74)</f>
        <v>21789053.389268398</v>
      </c>
    </row>
    <row r="75" spans="1:9" ht="15.75" x14ac:dyDescent="0.25">
      <c r="A75" s="8"/>
      <c r="B75" s="8"/>
      <c r="C75" s="9"/>
      <c r="D75" s="12" t="s">
        <v>71</v>
      </c>
      <c r="E75" s="14">
        <v>877124.44000000006</v>
      </c>
      <c r="F75" s="14">
        <v>449388.66529673606</v>
      </c>
      <c r="G75" s="14">
        <v>34076066.32</v>
      </c>
      <c r="H75" s="14">
        <v>0</v>
      </c>
      <c r="I75" s="13">
        <f t="shared" si="1"/>
        <v>35402579.425296739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9655077.7800000012</v>
      </c>
      <c r="H76" s="14">
        <v>0</v>
      </c>
      <c r="I76" s="13">
        <f t="shared" si="1"/>
        <v>9655077.7800000012</v>
      </c>
    </row>
    <row r="77" spans="1:9" ht="15.75" x14ac:dyDescent="0.25">
      <c r="A77" s="8"/>
      <c r="B77" s="8"/>
      <c r="C77" s="9"/>
      <c r="D77" s="12" t="s">
        <v>73</v>
      </c>
      <c r="E77" s="14">
        <v>291373.22999999992</v>
      </c>
      <c r="F77" s="14">
        <v>2228609.4181165104</v>
      </c>
      <c r="G77" s="14">
        <v>442754.07000000007</v>
      </c>
      <c r="H77" s="14">
        <v>0</v>
      </c>
      <c r="I77" s="13">
        <f t="shared" si="1"/>
        <v>2962736.7181165107</v>
      </c>
    </row>
    <row r="78" spans="1:9" ht="15.75" x14ac:dyDescent="0.25">
      <c r="A78" s="8"/>
      <c r="B78" s="8"/>
      <c r="C78" s="9"/>
      <c r="D78" s="12" t="s">
        <v>74</v>
      </c>
      <c r="E78" s="14">
        <v>948928.75</v>
      </c>
      <c r="F78" s="14">
        <v>2261553.7503680335</v>
      </c>
      <c r="G78" s="14">
        <v>859432.86999999988</v>
      </c>
      <c r="H78" s="14">
        <v>0</v>
      </c>
      <c r="I78" s="13">
        <f t="shared" si="1"/>
        <v>4069915.3703680336</v>
      </c>
    </row>
    <row r="79" spans="1:9" ht="15.75" x14ac:dyDescent="0.25">
      <c r="A79" s="8"/>
      <c r="B79" s="8"/>
      <c r="C79" s="9"/>
      <c r="D79" s="12" t="s">
        <v>75</v>
      </c>
      <c r="E79" s="14">
        <v>1111660.8899999999</v>
      </c>
      <c r="F79" s="14">
        <v>1269840.5151958242</v>
      </c>
      <c r="G79" s="14">
        <v>738909.76000000013</v>
      </c>
      <c r="H79" s="14">
        <v>0</v>
      </c>
      <c r="I79" s="13">
        <f t="shared" si="1"/>
        <v>3120411.1651958241</v>
      </c>
    </row>
    <row r="80" spans="1:9" ht="15.75" x14ac:dyDescent="0.25">
      <c r="A80" s="8"/>
      <c r="B80" s="8"/>
      <c r="C80" s="9"/>
      <c r="D80" s="12" t="s">
        <v>76</v>
      </c>
      <c r="E80" s="14">
        <v>396571.08</v>
      </c>
      <c r="F80" s="14">
        <v>671153.35279364907</v>
      </c>
      <c r="G80" s="14">
        <v>158280.87</v>
      </c>
      <c r="H80" s="14">
        <v>0</v>
      </c>
      <c r="I80" s="13">
        <f t="shared" si="1"/>
        <v>1226005.302793649</v>
      </c>
    </row>
    <row r="81" spans="1:9" ht="15.75" x14ac:dyDescent="0.25">
      <c r="A81" s="8"/>
      <c r="B81" s="8"/>
      <c r="C81" s="9"/>
      <c r="D81" s="12" t="s">
        <v>77</v>
      </c>
      <c r="E81" s="14">
        <v>2158881.69</v>
      </c>
      <c r="F81" s="14">
        <v>4049563.4386421731</v>
      </c>
      <c r="G81" s="14">
        <v>2321953.2200000002</v>
      </c>
      <c r="H81" s="14">
        <v>0</v>
      </c>
      <c r="I81" s="13">
        <f t="shared" si="1"/>
        <v>8530398.3486421742</v>
      </c>
    </row>
    <row r="82" spans="1:9" ht="15.75" x14ac:dyDescent="0.25">
      <c r="A82" s="8"/>
      <c r="B82" s="8"/>
      <c r="C82" s="9"/>
      <c r="D82" s="12" t="s">
        <v>78</v>
      </c>
      <c r="E82" s="14">
        <v>3992058.16</v>
      </c>
      <c r="F82" s="14">
        <v>2806807.9653949612</v>
      </c>
      <c r="G82" s="14">
        <v>2081753.42</v>
      </c>
      <c r="H82" s="14">
        <v>0</v>
      </c>
      <c r="I82" s="13">
        <f t="shared" si="1"/>
        <v>8880619.5453949608</v>
      </c>
    </row>
    <row r="83" spans="1:9" ht="15.75" x14ac:dyDescent="0.25">
      <c r="A83" s="8"/>
      <c r="B83" s="8"/>
      <c r="C83" s="9"/>
      <c r="D83" s="12" t="s">
        <v>79</v>
      </c>
      <c r="E83" s="14">
        <v>1041055.9799999997</v>
      </c>
      <c r="F83" s="14">
        <v>1152730.3128834681</v>
      </c>
      <c r="G83" s="14">
        <v>1588695.66</v>
      </c>
      <c r="H83" s="14">
        <v>0</v>
      </c>
      <c r="I83" s="13">
        <f t="shared" si="1"/>
        <v>3782481.952883468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15998650.26</v>
      </c>
      <c r="H84" s="14">
        <v>0</v>
      </c>
      <c r="I84" s="13">
        <f t="shared" si="1"/>
        <v>15998650.26</v>
      </c>
    </row>
    <row r="85" spans="1:9" ht="15.75" x14ac:dyDescent="0.25">
      <c r="A85" s="8"/>
      <c r="B85" s="8"/>
      <c r="C85" s="9"/>
      <c r="D85" s="12" t="s">
        <v>81</v>
      </c>
      <c r="E85" s="14">
        <v>890562.2300000001</v>
      </c>
      <c r="F85" s="14">
        <v>358626.36841101409</v>
      </c>
      <c r="G85" s="14">
        <v>6327973.3200000003</v>
      </c>
      <c r="H85" s="14">
        <v>0</v>
      </c>
      <c r="I85" s="13">
        <f t="shared" si="1"/>
        <v>7577161.9184110146</v>
      </c>
    </row>
    <row r="86" spans="1:9" ht="15.75" x14ac:dyDescent="0.25">
      <c r="A86" s="8"/>
      <c r="B86" s="8"/>
      <c r="C86" s="9"/>
      <c r="D86" s="12" t="s">
        <v>82</v>
      </c>
      <c r="E86" s="14">
        <v>802940.57000000007</v>
      </c>
      <c r="F86" s="14">
        <v>1489412.6940632612</v>
      </c>
      <c r="G86" s="14">
        <v>532660.26000000013</v>
      </c>
      <c r="H86" s="14">
        <v>0</v>
      </c>
      <c r="I86" s="13">
        <f t="shared" si="1"/>
        <v>2825013.5240632617</v>
      </c>
    </row>
    <row r="87" spans="1:9" ht="15.75" x14ac:dyDescent="0.25">
      <c r="A87" s="8"/>
      <c r="B87" s="8"/>
      <c r="C87" s="9"/>
      <c r="D87" s="12" t="s">
        <v>83</v>
      </c>
      <c r="E87" s="14">
        <v>562972.85000000009</v>
      </c>
      <c r="F87" s="14">
        <v>1961482.4831131976</v>
      </c>
      <c r="G87" s="14">
        <v>439439.50999999995</v>
      </c>
      <c r="H87" s="14">
        <v>0</v>
      </c>
      <c r="I87" s="13">
        <f t="shared" si="1"/>
        <v>2963894.8431131975</v>
      </c>
    </row>
    <row r="88" spans="1:9" ht="15.75" x14ac:dyDescent="0.25">
      <c r="A88" s="8"/>
      <c r="B88" s="8"/>
      <c r="C88" s="9"/>
      <c r="D88" s="12" t="s">
        <v>84</v>
      </c>
      <c r="E88" s="14">
        <v>338118.07999999996</v>
      </c>
      <c r="F88" s="14">
        <v>0</v>
      </c>
      <c r="G88" s="14">
        <v>5594443.0899999989</v>
      </c>
      <c r="H88" s="14">
        <v>0</v>
      </c>
      <c r="I88" s="13">
        <f t="shared" si="1"/>
        <v>5932561.169999999</v>
      </c>
    </row>
    <row r="89" spans="1:9" ht="15.75" x14ac:dyDescent="0.25">
      <c r="A89" s="8"/>
      <c r="B89" s="8"/>
      <c r="C89" s="9"/>
      <c r="D89" s="12" t="s">
        <v>85</v>
      </c>
      <c r="E89" s="14">
        <v>593405.94999999984</v>
      </c>
      <c r="F89" s="14">
        <v>1923415.9970807433</v>
      </c>
      <c r="G89" s="14">
        <v>569018.21</v>
      </c>
      <c r="H89" s="14">
        <v>0</v>
      </c>
      <c r="I89" s="13">
        <f t="shared" si="1"/>
        <v>3085840.157080743</v>
      </c>
    </row>
    <row r="90" spans="1:9" ht="15.75" x14ac:dyDescent="0.25">
      <c r="A90" s="8"/>
      <c r="B90" s="8"/>
      <c r="C90" s="9"/>
      <c r="D90" s="12" t="s">
        <v>86</v>
      </c>
      <c r="E90" s="14">
        <v>450409.34</v>
      </c>
      <c r="F90" s="14">
        <v>497680.55795459106</v>
      </c>
      <c r="G90" s="14">
        <v>1099055.3500000001</v>
      </c>
      <c r="H90" s="14">
        <v>0</v>
      </c>
      <c r="I90" s="13">
        <f t="shared" si="1"/>
        <v>2047145.2479545912</v>
      </c>
    </row>
    <row r="91" spans="1:9" ht="15.75" x14ac:dyDescent="0.25">
      <c r="A91" s="8"/>
      <c r="B91" s="8"/>
      <c r="C91" s="9"/>
      <c r="D91" s="12" t="s">
        <v>87</v>
      </c>
      <c r="E91" s="14">
        <v>922154.8899999999</v>
      </c>
      <c r="F91" s="14">
        <v>1135171.3429111992</v>
      </c>
      <c r="G91" s="14">
        <v>2453502.8299999996</v>
      </c>
      <c r="H91" s="14">
        <v>0</v>
      </c>
      <c r="I91" s="13">
        <f t="shared" si="1"/>
        <v>4510829.0629111985</v>
      </c>
    </row>
    <row r="92" spans="1:9" ht="15.75" x14ac:dyDescent="0.25">
      <c r="A92" s="8"/>
      <c r="B92" s="8"/>
      <c r="C92" s="9"/>
      <c r="D92" s="12" t="s">
        <v>88</v>
      </c>
      <c r="E92" s="14">
        <v>167962.41</v>
      </c>
      <c r="F92" s="14">
        <v>156632.06045230702</v>
      </c>
      <c r="G92" s="14">
        <v>5698459.9400000004</v>
      </c>
      <c r="H92" s="14">
        <v>0</v>
      </c>
      <c r="I92" s="13">
        <f t="shared" si="1"/>
        <v>6023054.4104523072</v>
      </c>
    </row>
    <row r="93" spans="1:9" ht="15.75" x14ac:dyDescent="0.25">
      <c r="A93" s="8"/>
      <c r="B93" s="8"/>
      <c r="C93" s="9"/>
      <c r="D93" s="12" t="s">
        <v>89</v>
      </c>
      <c r="E93" s="14">
        <v>776813.35000000009</v>
      </c>
      <c r="F93" s="14">
        <v>1269103.378673845</v>
      </c>
      <c r="G93" s="14">
        <v>928375.7899999998</v>
      </c>
      <c r="H93" s="14">
        <v>0</v>
      </c>
      <c r="I93" s="13">
        <f t="shared" si="1"/>
        <v>2974292.5186738446</v>
      </c>
    </row>
    <row r="94" spans="1:9" ht="15.75" x14ac:dyDescent="0.25">
      <c r="A94" s="8"/>
      <c r="B94" s="8"/>
      <c r="C94" s="9"/>
      <c r="D94" s="12" t="s">
        <v>90</v>
      </c>
      <c r="E94" s="14">
        <v>46093.62</v>
      </c>
      <c r="F94" s="14">
        <v>0</v>
      </c>
      <c r="G94" s="14">
        <v>159428.49999999997</v>
      </c>
      <c r="H94" s="14">
        <v>0</v>
      </c>
      <c r="I94" s="13">
        <f t="shared" si="1"/>
        <v>205522.11999999997</v>
      </c>
    </row>
    <row r="95" spans="1:9" ht="15.75" x14ac:dyDescent="0.25">
      <c r="A95" s="8"/>
      <c r="B95" s="8"/>
      <c r="C95" s="9"/>
      <c r="D95" s="12" t="s">
        <v>91</v>
      </c>
      <c r="E95" s="14">
        <v>208043.34999999998</v>
      </c>
      <c r="F95" s="14">
        <v>40258.994661930003</v>
      </c>
      <c r="G95" s="14">
        <v>6211615.3900000006</v>
      </c>
      <c r="H95" s="14">
        <v>0</v>
      </c>
      <c r="I95" s="13">
        <f t="shared" si="1"/>
        <v>6459917.7346619302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11524726.08</v>
      </c>
      <c r="H96" s="14">
        <v>0</v>
      </c>
      <c r="I96" s="13">
        <f t="shared" si="1"/>
        <v>11524726.08</v>
      </c>
    </row>
    <row r="97" spans="1:9" ht="15.75" x14ac:dyDescent="0.25">
      <c r="A97" s="8"/>
      <c r="B97" s="8"/>
      <c r="C97" s="9"/>
      <c r="D97" s="12" t="s">
        <v>93</v>
      </c>
      <c r="E97" s="14">
        <v>335205.77</v>
      </c>
      <c r="F97" s="14">
        <v>1807780.0678123455</v>
      </c>
      <c r="G97" s="14">
        <v>690986.59</v>
      </c>
      <c r="H97" s="14">
        <v>0</v>
      </c>
      <c r="I97" s="13">
        <f t="shared" si="1"/>
        <v>2833972.4278123453</v>
      </c>
    </row>
    <row r="98" spans="1:9" ht="15.75" x14ac:dyDescent="0.25">
      <c r="A98" s="8"/>
      <c r="B98" s="8"/>
      <c r="C98" s="9"/>
      <c r="D98" s="12" t="s">
        <v>94</v>
      </c>
      <c r="E98" s="14">
        <v>1922302.9299999995</v>
      </c>
      <c r="F98" s="14">
        <v>2377926.8161584102</v>
      </c>
      <c r="G98" s="14">
        <v>5166257.0599999996</v>
      </c>
      <c r="H98" s="14">
        <v>0</v>
      </c>
      <c r="I98" s="13">
        <f t="shared" si="1"/>
        <v>9466486.8061584085</v>
      </c>
    </row>
    <row r="99" spans="1:9" ht="15.75" x14ac:dyDescent="0.25">
      <c r="A99" s="8"/>
      <c r="B99" s="8"/>
      <c r="C99" s="9"/>
      <c r="D99" s="12" t="s">
        <v>95</v>
      </c>
      <c r="E99" s="14">
        <v>2577263.92</v>
      </c>
      <c r="F99" s="14">
        <v>4531159.2996684527</v>
      </c>
      <c r="G99" s="14">
        <v>2043516.13</v>
      </c>
      <c r="H99" s="14">
        <v>0</v>
      </c>
      <c r="I99" s="13">
        <f t="shared" si="1"/>
        <v>9151939.3496684525</v>
      </c>
    </row>
    <row r="100" spans="1:9" ht="15.75" x14ac:dyDescent="0.25">
      <c r="A100" s="8"/>
      <c r="B100" s="8"/>
      <c r="C100" s="9"/>
      <c r="D100" s="12" t="s">
        <v>96</v>
      </c>
      <c r="E100" s="14">
        <v>2166804.14</v>
      </c>
      <c r="F100" s="14">
        <v>4533351.8082979294</v>
      </c>
      <c r="G100" s="14">
        <v>4692959.2600000007</v>
      </c>
      <c r="H100" s="14">
        <v>0</v>
      </c>
      <c r="I100" s="13">
        <f t="shared" si="1"/>
        <v>11393115.208297931</v>
      </c>
    </row>
    <row r="101" spans="1:9" ht="15.75" x14ac:dyDescent="0.25">
      <c r="A101" s="8"/>
      <c r="B101" s="8"/>
      <c r="C101" s="9"/>
      <c r="D101" s="12" t="s">
        <v>97</v>
      </c>
      <c r="E101" s="14">
        <v>189284.12</v>
      </c>
      <c r="F101" s="14">
        <v>6083455.409337461</v>
      </c>
      <c r="G101" s="14">
        <v>102869.14000000001</v>
      </c>
      <c r="H101" s="14">
        <v>0</v>
      </c>
      <c r="I101" s="13">
        <f t="shared" si="1"/>
        <v>6375608.6693374608</v>
      </c>
    </row>
    <row r="102" spans="1:9" ht="15.75" x14ac:dyDescent="0.25">
      <c r="A102" s="8"/>
      <c r="B102" s="8"/>
      <c r="C102" s="9"/>
      <c r="D102" s="12" t="s">
        <v>98</v>
      </c>
      <c r="E102" s="14">
        <v>1792559.2100000002</v>
      </c>
      <c r="F102" s="14">
        <v>2615795.101520095</v>
      </c>
      <c r="G102" s="14">
        <v>2252114.13</v>
      </c>
      <c r="H102" s="14">
        <v>0</v>
      </c>
      <c r="I102" s="13">
        <f t="shared" si="1"/>
        <v>6660468.4415200949</v>
      </c>
    </row>
    <row r="103" spans="1:9" ht="15.75" x14ac:dyDescent="0.25">
      <c r="A103" s="8"/>
      <c r="B103" s="8"/>
      <c r="C103" s="9"/>
      <c r="D103" s="12" t="s">
        <v>99</v>
      </c>
      <c r="E103" s="14">
        <v>621168.18000000005</v>
      </c>
      <c r="F103" s="14">
        <v>830696.15746095008</v>
      </c>
      <c r="G103" s="14">
        <v>515277.06</v>
      </c>
      <c r="H103" s="14">
        <v>0</v>
      </c>
      <c r="I103" s="13">
        <f t="shared" si="1"/>
        <v>1967141.3974609501</v>
      </c>
    </row>
    <row r="104" spans="1:9" ht="15.75" x14ac:dyDescent="0.25">
      <c r="A104" s="8"/>
      <c r="B104" s="8"/>
      <c r="C104" s="9"/>
      <c r="D104" s="12" t="s">
        <v>100</v>
      </c>
      <c r="E104" s="14">
        <v>3637410.8099999996</v>
      </c>
      <c r="F104" s="14">
        <v>1517953.1081193713</v>
      </c>
      <c r="G104" s="14">
        <v>4301880.9800000004</v>
      </c>
      <c r="H104" s="14">
        <v>0</v>
      </c>
      <c r="I104" s="13">
        <f t="shared" si="1"/>
        <v>9457244.8981193714</v>
      </c>
    </row>
    <row r="105" spans="1:9" ht="15.75" x14ac:dyDescent="0.25">
      <c r="A105" s="8"/>
      <c r="B105" s="8"/>
      <c r="C105" s="9"/>
      <c r="D105" s="12" t="s">
        <v>101</v>
      </c>
      <c r="E105" s="14">
        <v>826844.18</v>
      </c>
      <c r="F105" s="14">
        <v>2254239.0879576262</v>
      </c>
      <c r="G105" s="14">
        <v>24223.699999999997</v>
      </c>
      <c r="H105" s="14">
        <v>0</v>
      </c>
      <c r="I105" s="13">
        <f t="shared" si="1"/>
        <v>3105306.9679576266</v>
      </c>
    </row>
    <row r="106" spans="1:9" ht="15.75" x14ac:dyDescent="0.25">
      <c r="A106" s="8"/>
      <c r="B106" s="8"/>
      <c r="C106" s="9"/>
      <c r="D106" s="12" t="s">
        <v>102</v>
      </c>
      <c r="E106" s="14">
        <v>971603.58000000007</v>
      </c>
      <c r="F106" s="14">
        <v>139054.18954357703</v>
      </c>
      <c r="G106" s="14">
        <v>11570979.08</v>
      </c>
      <c r="H106" s="14">
        <v>0</v>
      </c>
      <c r="I106" s="13">
        <f t="shared" si="1"/>
        <v>12681636.849543577</v>
      </c>
    </row>
    <row r="107" spans="1:9" ht="15.75" x14ac:dyDescent="0.25">
      <c r="A107" s="8"/>
      <c r="B107" s="8"/>
      <c r="C107" s="9"/>
      <c r="D107" s="12" t="s">
        <v>103</v>
      </c>
      <c r="E107" s="14">
        <v>11189.17</v>
      </c>
      <c r="F107" s="14">
        <v>0</v>
      </c>
      <c r="G107" s="14">
        <v>2060056.29</v>
      </c>
      <c r="H107" s="14">
        <v>0</v>
      </c>
      <c r="I107" s="13">
        <f t="shared" si="1"/>
        <v>2071245.46</v>
      </c>
    </row>
    <row r="108" spans="1:9" ht="15.75" x14ac:dyDescent="0.25">
      <c r="A108" s="8"/>
      <c r="B108" s="8"/>
      <c r="C108" s="9"/>
      <c r="D108" s="12" t="s">
        <v>104</v>
      </c>
      <c r="E108" s="14">
        <v>219275.51999999999</v>
      </c>
      <c r="F108" s="14">
        <v>0</v>
      </c>
      <c r="G108" s="14">
        <v>1545148.82</v>
      </c>
      <c r="H108" s="14">
        <v>0</v>
      </c>
      <c r="I108" s="13">
        <f t="shared" si="1"/>
        <v>1764424.34</v>
      </c>
    </row>
    <row r="109" spans="1:9" ht="15.75" x14ac:dyDescent="0.25">
      <c r="A109" s="8"/>
      <c r="B109" s="8"/>
      <c r="C109" s="9"/>
      <c r="D109" s="12" t="s">
        <v>105</v>
      </c>
      <c r="E109" s="14">
        <v>369698.77999999997</v>
      </c>
      <c r="F109" s="14">
        <v>3625804.4431865523</v>
      </c>
      <c r="G109" s="14">
        <v>310973.75</v>
      </c>
      <c r="H109" s="14">
        <v>0</v>
      </c>
      <c r="I109" s="13">
        <f t="shared" si="1"/>
        <v>4306476.9731865525</v>
      </c>
    </row>
    <row r="110" spans="1:9" ht="15.75" x14ac:dyDescent="0.25">
      <c r="A110" s="8"/>
      <c r="B110" s="8"/>
      <c r="C110" s="9"/>
      <c r="D110" s="12" t="s">
        <v>106</v>
      </c>
      <c r="E110" s="14">
        <v>349139.09</v>
      </c>
      <c r="F110" s="14">
        <v>890706.6307246252</v>
      </c>
      <c r="G110" s="14">
        <v>515174.29999999993</v>
      </c>
      <c r="H110" s="14">
        <v>0</v>
      </c>
      <c r="I110" s="13">
        <f t="shared" si="1"/>
        <v>1755020.0207246253</v>
      </c>
    </row>
    <row r="111" spans="1:9" ht="15.75" x14ac:dyDescent="0.25">
      <c r="A111" s="8"/>
      <c r="B111" s="8"/>
      <c r="C111" s="9"/>
      <c r="D111" s="12" t="s">
        <v>107</v>
      </c>
      <c r="E111" s="14">
        <v>92577.2</v>
      </c>
      <c r="F111" s="14">
        <v>13911.089235296004</v>
      </c>
      <c r="G111" s="14">
        <v>12808670.939999998</v>
      </c>
      <c r="H111" s="14">
        <v>0</v>
      </c>
      <c r="I111" s="13">
        <f t="shared" si="1"/>
        <v>12915159.229235293</v>
      </c>
    </row>
    <row r="112" spans="1:9" ht="15.75" x14ac:dyDescent="0.25">
      <c r="A112" s="8"/>
      <c r="B112" s="8"/>
      <c r="C112" s="9"/>
      <c r="D112" s="12" t="s">
        <v>108</v>
      </c>
      <c r="E112" s="14">
        <v>804761.11999999988</v>
      </c>
      <c r="F112" s="14">
        <v>951454.2405102792</v>
      </c>
      <c r="G112" s="14">
        <v>834700.88</v>
      </c>
      <c r="H112" s="14">
        <v>0</v>
      </c>
      <c r="I112" s="13">
        <f t="shared" si="1"/>
        <v>2590916.2405102788</v>
      </c>
    </row>
    <row r="113" spans="1:9" ht="15.75" x14ac:dyDescent="0.25">
      <c r="A113" s="8"/>
      <c r="B113" s="8"/>
      <c r="C113" s="9"/>
      <c r="D113" s="12" t="s">
        <v>109</v>
      </c>
      <c r="E113" s="14">
        <v>768119.01000000024</v>
      </c>
      <c r="F113" s="14">
        <v>2290831.3009461225</v>
      </c>
      <c r="G113" s="14">
        <v>1428467.3399999999</v>
      </c>
      <c r="H113" s="14">
        <v>0</v>
      </c>
      <c r="I113" s="13">
        <f t="shared" si="1"/>
        <v>4487417.6509461226</v>
      </c>
    </row>
    <row r="114" spans="1:9" ht="15.75" x14ac:dyDescent="0.25">
      <c r="A114" s="8"/>
      <c r="B114" s="8"/>
      <c r="C114" s="9"/>
      <c r="D114" s="12" t="s">
        <v>110</v>
      </c>
      <c r="E114" s="14">
        <v>675968.99</v>
      </c>
      <c r="F114" s="14">
        <v>2627494.7811894547</v>
      </c>
      <c r="G114" s="14">
        <v>1471303.3</v>
      </c>
      <c r="H114" s="14">
        <v>0</v>
      </c>
      <c r="I114" s="13">
        <f t="shared" si="1"/>
        <v>4774767.0711894548</v>
      </c>
    </row>
    <row r="115" spans="1:9" ht="15.75" x14ac:dyDescent="0.25">
      <c r="A115" s="8"/>
      <c r="B115" s="8"/>
      <c r="C115" s="9"/>
      <c r="D115" s="12" t="s">
        <v>111</v>
      </c>
      <c r="E115" s="14">
        <v>2426893.48</v>
      </c>
      <c r="F115" s="14">
        <v>1299118.0657739132</v>
      </c>
      <c r="G115" s="14">
        <v>1359191.0399999998</v>
      </c>
      <c r="H115" s="14">
        <v>0</v>
      </c>
      <c r="I115" s="13">
        <f t="shared" si="1"/>
        <v>5085202.5857739132</v>
      </c>
    </row>
    <row r="116" spans="1:9" ht="15.75" x14ac:dyDescent="0.25">
      <c r="A116" s="8"/>
      <c r="B116" s="8"/>
      <c r="C116" s="9"/>
      <c r="D116" s="12" t="s">
        <v>112</v>
      </c>
      <c r="E116" s="14">
        <v>367260.66999999993</v>
      </c>
      <c r="F116" s="14">
        <v>1687021.9847630165</v>
      </c>
      <c r="G116" s="14">
        <v>403760.03</v>
      </c>
      <c r="H116" s="14">
        <v>0</v>
      </c>
      <c r="I116" s="13">
        <f t="shared" si="1"/>
        <v>2458042.6847630162</v>
      </c>
    </row>
    <row r="117" spans="1:9" ht="15.75" x14ac:dyDescent="0.25">
      <c r="A117" s="8"/>
      <c r="B117" s="8"/>
      <c r="C117" s="9"/>
      <c r="D117" s="12" t="s">
        <v>113</v>
      </c>
      <c r="E117" s="14">
        <v>421726.39999999997</v>
      </c>
      <c r="F117" s="14">
        <v>1302765.9465108863</v>
      </c>
      <c r="G117" s="14">
        <v>1155943.3400000001</v>
      </c>
      <c r="H117" s="14">
        <v>0</v>
      </c>
      <c r="I117" s="13">
        <f t="shared" si="1"/>
        <v>2880435.6865108861</v>
      </c>
    </row>
    <row r="118" spans="1:9" ht="15.75" x14ac:dyDescent="0.25">
      <c r="A118" s="8"/>
      <c r="B118" s="8"/>
      <c r="C118" s="9"/>
      <c r="D118" s="12" t="s">
        <v>114</v>
      </c>
      <c r="E118" s="14">
        <v>849280.74999999988</v>
      </c>
      <c r="F118" s="14">
        <v>2034666.9090901893</v>
      </c>
      <c r="G118" s="14">
        <v>1301582.6299999999</v>
      </c>
      <c r="H118" s="14">
        <v>0</v>
      </c>
      <c r="I118" s="13">
        <f t="shared" si="1"/>
        <v>4185530.2890901892</v>
      </c>
    </row>
    <row r="119" spans="1:9" ht="15.75" x14ac:dyDescent="0.25">
      <c r="A119" s="8"/>
      <c r="B119" s="8"/>
      <c r="C119" s="9"/>
      <c r="D119" s="12" t="s">
        <v>115</v>
      </c>
      <c r="E119" s="14">
        <v>580638.66</v>
      </c>
      <c r="F119" s="14">
        <v>197609.29069975505</v>
      </c>
      <c r="G119" s="14">
        <v>536863.9</v>
      </c>
      <c r="H119" s="14">
        <v>0</v>
      </c>
      <c r="I119" s="13">
        <f t="shared" si="1"/>
        <v>1315111.8506997551</v>
      </c>
    </row>
    <row r="120" spans="1:9" ht="15.75" x14ac:dyDescent="0.25">
      <c r="A120" s="8"/>
      <c r="B120" s="8"/>
      <c r="C120" s="9"/>
      <c r="D120" s="12" t="s">
        <v>116</v>
      </c>
      <c r="E120" s="14">
        <v>1545475.8800000001</v>
      </c>
      <c r="F120" s="14">
        <v>863640.48971247301</v>
      </c>
      <c r="G120" s="14">
        <v>1359758.32</v>
      </c>
      <c r="H120" s="14">
        <v>0</v>
      </c>
      <c r="I120" s="13">
        <f t="shared" si="1"/>
        <v>3768874.6897124732</v>
      </c>
    </row>
    <row r="121" spans="1:9" ht="15.75" x14ac:dyDescent="0.25">
      <c r="A121" s="8"/>
      <c r="B121" s="8"/>
      <c r="C121" s="9"/>
      <c r="D121" s="12" t="s">
        <v>117</v>
      </c>
      <c r="E121" s="14">
        <v>553595.21000000008</v>
      </c>
      <c r="F121" s="14">
        <v>1281540.1948651832</v>
      </c>
      <c r="G121" s="14">
        <v>790926.66</v>
      </c>
      <c r="H121" s="14">
        <v>0</v>
      </c>
      <c r="I121" s="13">
        <f t="shared" si="1"/>
        <v>2626062.0648651836</v>
      </c>
    </row>
    <row r="122" spans="1:9" ht="15.75" x14ac:dyDescent="0.25">
      <c r="A122" s="8"/>
      <c r="B122" s="8"/>
      <c r="C122" s="9"/>
      <c r="D122" s="12" t="s">
        <v>118</v>
      </c>
      <c r="E122" s="14">
        <v>533351.16</v>
      </c>
      <c r="F122" s="14">
        <v>944876.71462185122</v>
      </c>
      <c r="G122" s="14">
        <v>1371657.97</v>
      </c>
      <c r="H122" s="14">
        <v>0</v>
      </c>
      <c r="I122" s="13">
        <f t="shared" si="1"/>
        <v>2849885.8446218511</v>
      </c>
    </row>
    <row r="123" spans="1:9" ht="15.75" x14ac:dyDescent="0.25">
      <c r="A123" s="8"/>
      <c r="B123" s="8"/>
      <c r="C123" s="9"/>
      <c r="D123" s="12" t="s">
        <v>119</v>
      </c>
      <c r="E123" s="14">
        <v>994660.06</v>
      </c>
      <c r="F123" s="14">
        <v>1736051.0139428503</v>
      </c>
      <c r="G123" s="14">
        <v>287643.74</v>
      </c>
      <c r="H123" s="14">
        <v>0</v>
      </c>
      <c r="I123" s="13">
        <f t="shared" si="1"/>
        <v>3018354.8139428506</v>
      </c>
    </row>
    <row r="124" spans="1:9" ht="15.75" x14ac:dyDescent="0.25">
      <c r="A124" s="8"/>
      <c r="B124" s="8"/>
      <c r="C124" s="9"/>
      <c r="D124" s="12" t="s">
        <v>120</v>
      </c>
      <c r="E124" s="14">
        <v>53423.469999999994</v>
      </c>
      <c r="F124" s="14">
        <v>0</v>
      </c>
      <c r="G124" s="14">
        <v>4065171.3300000005</v>
      </c>
      <c r="H124" s="14">
        <v>2803500.55</v>
      </c>
      <c r="I124" s="13">
        <f t="shared" si="1"/>
        <v>6922095.3500000006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13376854.789999999</v>
      </c>
      <c r="H125" s="14">
        <v>422095.31</v>
      </c>
      <c r="I125" s="13">
        <f t="shared" si="1"/>
        <v>13798950.1</v>
      </c>
    </row>
    <row r="126" spans="1:9" ht="15.75" x14ac:dyDescent="0.25">
      <c r="A126" s="8"/>
      <c r="B126" s="8"/>
      <c r="C126" s="9"/>
      <c r="D126" s="12" t="s">
        <v>122</v>
      </c>
      <c r="E126" s="14">
        <v>384071.41000000003</v>
      </c>
      <c r="F126" s="14">
        <v>0</v>
      </c>
      <c r="G126" s="14">
        <v>5832849.919999999</v>
      </c>
      <c r="H126" s="14">
        <v>0</v>
      </c>
      <c r="I126" s="13">
        <f t="shared" si="1"/>
        <v>6216921.3299999991</v>
      </c>
    </row>
    <row r="127" spans="1:9" ht="15.75" x14ac:dyDescent="0.25">
      <c r="A127" s="8"/>
      <c r="B127" s="8"/>
      <c r="C127" s="9"/>
      <c r="D127" s="12" t="s">
        <v>123</v>
      </c>
      <c r="E127" s="14">
        <v>625208.9800000001</v>
      </c>
      <c r="F127" s="14">
        <v>365941.03082142107</v>
      </c>
      <c r="G127" s="14">
        <v>7540746.4699999988</v>
      </c>
      <c r="H127" s="14">
        <v>0</v>
      </c>
      <c r="I127" s="13">
        <f t="shared" si="1"/>
        <v>8531896.4808214195</v>
      </c>
    </row>
    <row r="128" spans="1:9" ht="15.75" x14ac:dyDescent="0.25">
      <c r="A128" s="8"/>
      <c r="B128" s="8"/>
      <c r="C128" s="9"/>
      <c r="D128" s="12" t="s">
        <v>124</v>
      </c>
      <c r="E128" s="14">
        <v>1234225.4899999998</v>
      </c>
      <c r="F128" s="14">
        <v>1141748.8687996273</v>
      </c>
      <c r="G128" s="14">
        <v>1814954.1400000001</v>
      </c>
      <c r="H128" s="14">
        <v>0</v>
      </c>
      <c r="I128" s="13">
        <f t="shared" si="1"/>
        <v>4190928.4987996272</v>
      </c>
    </row>
    <row r="129" spans="1:9" ht="15.75" x14ac:dyDescent="0.25">
      <c r="A129" s="8"/>
      <c r="B129" s="8"/>
      <c r="C129" s="9"/>
      <c r="D129" s="12" t="s">
        <v>125</v>
      </c>
      <c r="E129" s="14">
        <v>596002.07000000007</v>
      </c>
      <c r="F129" s="14">
        <v>552587.77837379603</v>
      </c>
      <c r="G129" s="14">
        <v>1372194.9200000002</v>
      </c>
      <c r="H129" s="14">
        <v>0</v>
      </c>
      <c r="I129" s="13">
        <f t="shared" si="1"/>
        <v>2520784.7683737963</v>
      </c>
    </row>
    <row r="130" spans="1:9" ht="15.75" x14ac:dyDescent="0.25">
      <c r="A130" s="8"/>
      <c r="B130" s="8"/>
      <c r="C130" s="9"/>
      <c r="D130" s="12" t="s">
        <v>126</v>
      </c>
      <c r="E130" s="14">
        <v>333753.40999999997</v>
      </c>
      <c r="F130" s="14">
        <v>973417.12867796107</v>
      </c>
      <c r="G130" s="14">
        <v>321153.64999999997</v>
      </c>
      <c r="H130" s="14">
        <v>0</v>
      </c>
      <c r="I130" s="13">
        <f t="shared" si="1"/>
        <v>1628324.188677961</v>
      </c>
    </row>
    <row r="131" spans="1:9" ht="15.75" x14ac:dyDescent="0.25">
      <c r="A131" s="8"/>
      <c r="B131" s="8"/>
      <c r="C131" s="9"/>
      <c r="D131" s="12" t="s">
        <v>127</v>
      </c>
      <c r="E131" s="14">
        <v>3800426.5000000005</v>
      </c>
      <c r="F131" s="14">
        <v>5320141.0903599765</v>
      </c>
      <c r="G131" s="14">
        <v>11289820.890000001</v>
      </c>
      <c r="H131" s="14">
        <v>0</v>
      </c>
      <c r="I131" s="13">
        <f t="shared" si="1"/>
        <v>20410388.480359979</v>
      </c>
    </row>
    <row r="132" spans="1:9" ht="15.75" x14ac:dyDescent="0.25">
      <c r="A132" s="8"/>
      <c r="B132" s="8"/>
      <c r="C132" s="9"/>
      <c r="D132" s="12" t="s">
        <v>128</v>
      </c>
      <c r="E132" s="14">
        <v>816448.52</v>
      </c>
      <c r="F132" s="14">
        <v>3264248.4296240835</v>
      </c>
      <c r="G132" s="14">
        <v>183411.96000000002</v>
      </c>
      <c r="H132" s="14">
        <v>0</v>
      </c>
      <c r="I132" s="13">
        <f t="shared" si="1"/>
        <v>4264108.9096240839</v>
      </c>
    </row>
    <row r="133" spans="1:9" ht="15.75" x14ac:dyDescent="0.25">
      <c r="A133" s="8"/>
      <c r="B133" s="8"/>
      <c r="C133" s="9"/>
      <c r="D133" s="12" t="s">
        <v>129</v>
      </c>
      <c r="E133" s="14">
        <v>317993.56000000006</v>
      </c>
      <c r="F133" s="14">
        <v>0</v>
      </c>
      <c r="G133" s="14">
        <v>12058268.92</v>
      </c>
      <c r="H133" s="14">
        <v>974747.25</v>
      </c>
      <c r="I133" s="13">
        <f t="shared" si="1"/>
        <v>13351009.73</v>
      </c>
    </row>
    <row r="134" spans="1:9" ht="15.75" x14ac:dyDescent="0.25">
      <c r="A134" s="8"/>
      <c r="B134" s="8"/>
      <c r="C134" s="9"/>
      <c r="D134" s="12" t="s">
        <v>130</v>
      </c>
      <c r="E134" s="14">
        <v>123403.15000000001</v>
      </c>
      <c r="F134" s="14">
        <v>161017.07771125901</v>
      </c>
      <c r="G134" s="14">
        <v>12184.55</v>
      </c>
      <c r="H134" s="14">
        <v>0</v>
      </c>
      <c r="I134" s="13">
        <f t="shared" si="1"/>
        <v>296604.77771125903</v>
      </c>
    </row>
    <row r="135" spans="1:9" ht="15.75" x14ac:dyDescent="0.25">
      <c r="A135" s="8"/>
      <c r="B135" s="8"/>
      <c r="C135" s="9"/>
      <c r="D135" s="12" t="s">
        <v>131</v>
      </c>
      <c r="E135" s="14">
        <v>425813.56000000006</v>
      </c>
      <c r="F135" s="14">
        <v>2034666.9090901893</v>
      </c>
      <c r="G135" s="14">
        <v>373513.38999999996</v>
      </c>
      <c r="H135" s="14">
        <v>0</v>
      </c>
      <c r="I135" s="13">
        <f t="shared" si="1"/>
        <v>2833993.8590901894</v>
      </c>
    </row>
    <row r="136" spans="1:9" ht="15.75" x14ac:dyDescent="0.25">
      <c r="A136" s="8"/>
      <c r="B136" s="8"/>
      <c r="C136" s="9"/>
      <c r="D136" s="12" t="s">
        <v>132</v>
      </c>
      <c r="E136" s="14">
        <v>2922317.8700000006</v>
      </c>
      <c r="F136" s="14">
        <v>2459163.0410677884</v>
      </c>
      <c r="G136" s="14">
        <v>3666047.01</v>
      </c>
      <c r="H136" s="14">
        <v>0</v>
      </c>
      <c r="I136" s="13">
        <f t="shared" si="1"/>
        <v>9047527.9210677892</v>
      </c>
    </row>
    <row r="137" spans="1:9" ht="15.75" x14ac:dyDescent="0.25">
      <c r="A137" s="8"/>
      <c r="B137" s="8"/>
      <c r="C137" s="9"/>
      <c r="D137" s="12" t="s">
        <v>133</v>
      </c>
      <c r="E137" s="14">
        <v>2036548.32</v>
      </c>
      <c r="F137" s="14">
        <v>3866602.373699693</v>
      </c>
      <c r="G137" s="14">
        <v>6078446.1600000011</v>
      </c>
      <c r="H137" s="14">
        <v>0</v>
      </c>
      <c r="I137" s="13">
        <f t="shared" si="1"/>
        <v>11981596.853699695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8741874.8299999982</v>
      </c>
      <c r="H138" s="14">
        <v>0</v>
      </c>
      <c r="I138" s="13">
        <f t="shared" ref="I138:I144" si="2">SUM(E138:H138)</f>
        <v>8741874.8299999982</v>
      </c>
    </row>
    <row r="139" spans="1:9" ht="15.75" x14ac:dyDescent="0.25">
      <c r="A139" s="8"/>
      <c r="B139" s="8"/>
      <c r="C139" s="9"/>
      <c r="D139" s="12" t="s">
        <v>135</v>
      </c>
      <c r="E139" s="14">
        <v>140225.79999999999</v>
      </c>
      <c r="F139" s="14">
        <v>578935.68380043004</v>
      </c>
      <c r="G139" s="14">
        <v>515703.57000000007</v>
      </c>
      <c r="H139" s="14">
        <v>0</v>
      </c>
      <c r="I139" s="13">
        <f t="shared" si="2"/>
        <v>1234865.0538004301</v>
      </c>
    </row>
    <row r="140" spans="1:9" ht="15.75" x14ac:dyDescent="0.25">
      <c r="A140" s="8"/>
      <c r="B140" s="8"/>
      <c r="C140" s="9"/>
      <c r="D140" s="12" t="s">
        <v>136</v>
      </c>
      <c r="E140" s="14">
        <v>971616.08000000007</v>
      </c>
      <c r="F140" s="14">
        <v>4105926.0311688753</v>
      </c>
      <c r="G140" s="14">
        <v>1919115.94</v>
      </c>
      <c r="H140" s="14">
        <v>0</v>
      </c>
      <c r="I140" s="13">
        <f t="shared" si="2"/>
        <v>6996658.0511688758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10981970.369999999</v>
      </c>
      <c r="H141" s="14">
        <v>81902.824999999997</v>
      </c>
      <c r="I141" s="13">
        <f t="shared" si="2"/>
        <v>11063873.194999998</v>
      </c>
    </row>
    <row r="142" spans="1:9" ht="15.75" x14ac:dyDescent="0.25">
      <c r="A142" s="8"/>
      <c r="B142" s="8"/>
      <c r="C142" s="9"/>
      <c r="D142" s="12" t="s">
        <v>138</v>
      </c>
      <c r="E142" s="14">
        <v>1050907.8199999998</v>
      </c>
      <c r="F142" s="14">
        <v>0</v>
      </c>
      <c r="G142" s="14">
        <v>2747813.3899999997</v>
      </c>
      <c r="H142" s="14">
        <v>0</v>
      </c>
      <c r="I142" s="13">
        <f t="shared" si="2"/>
        <v>3798721.2099999995</v>
      </c>
    </row>
    <row r="143" spans="1:9" ht="15.75" x14ac:dyDescent="0.25">
      <c r="A143" s="8"/>
      <c r="B143" s="8"/>
      <c r="C143" s="9"/>
      <c r="D143" s="12" t="s">
        <v>139</v>
      </c>
      <c r="E143" s="14">
        <v>240166.08</v>
      </c>
      <c r="F143" s="14">
        <v>3794873.3198301969</v>
      </c>
      <c r="G143" s="14">
        <v>106263.92</v>
      </c>
      <c r="H143" s="14">
        <v>0</v>
      </c>
      <c r="I143" s="13">
        <f t="shared" si="2"/>
        <v>4141303.3198301969</v>
      </c>
    </row>
    <row r="144" spans="1:9" ht="15.75" x14ac:dyDescent="0.25">
      <c r="A144" s="8"/>
      <c r="B144" s="8"/>
      <c r="C144" s="9"/>
      <c r="D144" s="12" t="s">
        <v>140</v>
      </c>
      <c r="E144" s="14">
        <v>1487545.5999999999</v>
      </c>
      <c r="F144" s="14">
        <v>461088.34496609506</v>
      </c>
      <c r="G144" s="14">
        <v>3272304.59</v>
      </c>
      <c r="H144" s="14">
        <v>0</v>
      </c>
      <c r="I144" s="13">
        <f t="shared" si="2"/>
        <v>5220938.5349660944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119913138.94999996</v>
      </c>
      <c r="F145" s="22">
        <f>SUM(F10:F144)</f>
        <v>189000594.57548213</v>
      </c>
      <c r="G145" s="22">
        <f>SUM(G10:G144)</f>
        <v>478823968.06999981</v>
      </c>
      <c r="H145" s="22">
        <f>SUM(H10:H144)</f>
        <v>4282245.9349999996</v>
      </c>
      <c r="I145" s="22">
        <f>SUM(I10:I144)</f>
        <v>792019947.53048289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J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156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157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12966809.130000001</v>
      </c>
      <c r="F10" s="14">
        <v>22407703.968302049</v>
      </c>
      <c r="G10" s="14">
        <v>1335633.71</v>
      </c>
      <c r="H10" s="14">
        <v>0</v>
      </c>
      <c r="I10" s="13">
        <f t="shared" ref="I10:I73" si="0">SUM(E10:H10)</f>
        <v>36710146.808302052</v>
      </c>
    </row>
    <row r="11" spans="1:9" ht="15.75" x14ac:dyDescent="0.25">
      <c r="A11" s="8"/>
      <c r="B11" s="8"/>
      <c r="C11" s="9"/>
      <c r="D11" s="12" t="s">
        <v>7</v>
      </c>
      <c r="E11" s="14">
        <v>20588702.109999999</v>
      </c>
      <c r="F11" s="14">
        <v>12576914.54375382</v>
      </c>
      <c r="G11" s="14">
        <v>719006.57000000007</v>
      </c>
      <c r="H11" s="14">
        <v>0</v>
      </c>
      <c r="I11" s="13">
        <f t="shared" si="0"/>
        <v>33884623.223753817</v>
      </c>
    </row>
    <row r="12" spans="1:9" ht="15.75" x14ac:dyDescent="0.25">
      <c r="A12" s="8"/>
      <c r="B12" s="8"/>
      <c r="C12" s="9"/>
      <c r="D12" s="12" t="s">
        <v>8</v>
      </c>
      <c r="E12" s="14">
        <v>19554043.360000003</v>
      </c>
      <c r="F12" s="14">
        <v>4559500.1364781037</v>
      </c>
      <c r="G12" s="14">
        <v>548080.03</v>
      </c>
      <c r="H12" s="14">
        <v>0</v>
      </c>
      <c r="I12" s="13">
        <f t="shared" si="0"/>
        <v>24661623.526478108</v>
      </c>
    </row>
    <row r="13" spans="1:9" ht="15.75" x14ac:dyDescent="0.25">
      <c r="A13" s="8"/>
      <c r="B13" s="8"/>
      <c r="C13" s="9"/>
      <c r="D13" s="12" t="s">
        <v>9</v>
      </c>
      <c r="E13" s="14">
        <v>3548976.8900000006</v>
      </c>
      <c r="F13" s="14">
        <v>120656.30840990998</v>
      </c>
      <c r="G13" s="14">
        <v>7873545.9500000011</v>
      </c>
      <c r="H13" s="14">
        <v>0</v>
      </c>
      <c r="I13" s="13">
        <f t="shared" si="0"/>
        <v>11543179.148409912</v>
      </c>
    </row>
    <row r="14" spans="1:9" ht="15.75" x14ac:dyDescent="0.25">
      <c r="A14" s="8"/>
      <c r="B14" s="8"/>
      <c r="C14" s="9"/>
      <c r="D14" s="12" t="s">
        <v>10</v>
      </c>
      <c r="E14" s="14">
        <v>24381642.740000002</v>
      </c>
      <c r="F14" s="14">
        <v>5066111.2627534494</v>
      </c>
      <c r="G14" s="14">
        <v>1300565.22</v>
      </c>
      <c r="H14" s="14">
        <v>0</v>
      </c>
      <c r="I14" s="13">
        <f t="shared" si="0"/>
        <v>30748319.22275345</v>
      </c>
    </row>
    <row r="15" spans="1:9" ht="15.75" x14ac:dyDescent="0.25">
      <c r="A15" s="8"/>
      <c r="B15" s="8"/>
      <c r="C15" s="9"/>
      <c r="D15" s="12" t="s">
        <v>11</v>
      </c>
      <c r="E15" s="14">
        <v>1722107.19</v>
      </c>
      <c r="F15" s="14">
        <v>28139.293957904996</v>
      </c>
      <c r="G15" s="14">
        <v>9633996.4799999986</v>
      </c>
      <c r="H15" s="14">
        <v>0</v>
      </c>
      <c r="I15" s="13">
        <f t="shared" si="0"/>
        <v>11384242.963957904</v>
      </c>
    </row>
    <row r="16" spans="1:9" ht="15.75" x14ac:dyDescent="0.25">
      <c r="A16" s="8"/>
      <c r="B16" s="8"/>
      <c r="C16" s="9"/>
      <c r="D16" s="12" t="s">
        <v>12</v>
      </c>
      <c r="E16" s="14">
        <v>30054534.809999999</v>
      </c>
      <c r="F16" s="14">
        <v>24156701.265080467</v>
      </c>
      <c r="G16" s="14">
        <v>1276893.6499999999</v>
      </c>
      <c r="H16" s="14">
        <v>0</v>
      </c>
      <c r="I16" s="13">
        <f t="shared" si="0"/>
        <v>55488129.725080468</v>
      </c>
    </row>
    <row r="17" spans="1:9" ht="15.75" x14ac:dyDescent="0.25">
      <c r="A17" s="8"/>
      <c r="B17" s="8"/>
      <c r="C17" s="9"/>
      <c r="D17" s="12" t="s">
        <v>13</v>
      </c>
      <c r="E17" s="14">
        <v>61360784.749999993</v>
      </c>
      <c r="F17" s="14">
        <v>22194634.480473194</v>
      </c>
      <c r="G17" s="14">
        <v>3122645.7799999993</v>
      </c>
      <c r="H17" s="14">
        <v>0</v>
      </c>
      <c r="I17" s="13">
        <f t="shared" si="0"/>
        <v>86678065.010473192</v>
      </c>
    </row>
    <row r="18" spans="1:9" ht="15.75" x14ac:dyDescent="0.25">
      <c r="A18" s="8"/>
      <c r="B18" s="8"/>
      <c r="C18" s="9"/>
      <c r="D18" s="12" t="s">
        <v>14</v>
      </c>
      <c r="E18" s="14">
        <v>5186131.330000001</v>
      </c>
      <c r="F18" s="14">
        <v>1809325.4509833746</v>
      </c>
      <c r="G18" s="14">
        <v>16134770.319999998</v>
      </c>
      <c r="H18" s="14">
        <v>0</v>
      </c>
      <c r="I18" s="13">
        <f t="shared" si="0"/>
        <v>23130227.100983374</v>
      </c>
    </row>
    <row r="19" spans="1:9" ht="15.75" x14ac:dyDescent="0.25">
      <c r="A19" s="8"/>
      <c r="B19" s="8"/>
      <c r="C19" s="9"/>
      <c r="D19" s="12" t="s">
        <v>15</v>
      </c>
      <c r="E19" s="14">
        <v>60986947.840000004</v>
      </c>
      <c r="F19" s="14">
        <v>17269219.687509269</v>
      </c>
      <c r="G19" s="14">
        <v>3003281.4999999995</v>
      </c>
      <c r="H19" s="14">
        <v>0</v>
      </c>
      <c r="I19" s="13">
        <f t="shared" si="0"/>
        <v>81259449.027509272</v>
      </c>
    </row>
    <row r="20" spans="1:9" ht="15.75" x14ac:dyDescent="0.25">
      <c r="A20" s="8"/>
      <c r="B20" s="8"/>
      <c r="C20" s="9"/>
      <c r="D20" s="12" t="s">
        <v>16</v>
      </c>
      <c r="E20" s="14">
        <v>19172218.659999996</v>
      </c>
      <c r="F20" s="14">
        <v>4744534.1653821142</v>
      </c>
      <c r="G20" s="14">
        <v>1090824.97</v>
      </c>
      <c r="H20" s="14">
        <v>0</v>
      </c>
      <c r="I20" s="13">
        <f t="shared" si="0"/>
        <v>25007577.795382109</v>
      </c>
    </row>
    <row r="21" spans="1:9" ht="15.75" x14ac:dyDescent="0.25">
      <c r="A21" s="8"/>
      <c r="B21" s="8"/>
      <c r="C21" s="9"/>
      <c r="D21" s="12" t="s">
        <v>17</v>
      </c>
      <c r="E21" s="14">
        <v>29341564.439999998</v>
      </c>
      <c r="F21" s="14">
        <v>20658706.671523634</v>
      </c>
      <c r="G21" s="14">
        <v>842933.7200000002</v>
      </c>
      <c r="H21" s="14">
        <v>0</v>
      </c>
      <c r="I21" s="13">
        <f t="shared" si="0"/>
        <v>50843204.831523627</v>
      </c>
    </row>
    <row r="22" spans="1:9" ht="15.75" x14ac:dyDescent="0.25">
      <c r="A22" s="8"/>
      <c r="B22" s="8"/>
      <c r="C22" s="9"/>
      <c r="D22" s="12" t="s">
        <v>18</v>
      </c>
      <c r="E22" s="14">
        <v>603968.99</v>
      </c>
      <c r="F22" s="14">
        <v>884570.64659554488</v>
      </c>
      <c r="G22" s="14">
        <v>5880325.4600000009</v>
      </c>
      <c r="H22" s="14">
        <v>0</v>
      </c>
      <c r="I22" s="13">
        <f t="shared" si="0"/>
        <v>7368865.0965955462</v>
      </c>
    </row>
    <row r="23" spans="1:9" ht="15.75" x14ac:dyDescent="0.25">
      <c r="A23" s="8"/>
      <c r="B23" s="8"/>
      <c r="C23" s="9"/>
      <c r="D23" s="12" t="s">
        <v>19</v>
      </c>
      <c r="E23" s="14">
        <v>783597.87000000011</v>
      </c>
      <c r="F23" s="14">
        <v>329676.22994962492</v>
      </c>
      <c r="G23" s="14">
        <v>3428896.6700000004</v>
      </c>
      <c r="H23" s="14">
        <v>0</v>
      </c>
      <c r="I23" s="13">
        <f t="shared" si="0"/>
        <v>4542170.7699496252</v>
      </c>
    </row>
    <row r="24" spans="1:9" ht="15.75" x14ac:dyDescent="0.25">
      <c r="A24" s="8"/>
      <c r="B24" s="8"/>
      <c r="C24" s="9"/>
      <c r="D24" s="12" t="s">
        <v>20</v>
      </c>
      <c r="E24" s="14">
        <v>27775207.479999997</v>
      </c>
      <c r="F24" s="14">
        <v>12669431.558205824</v>
      </c>
      <c r="G24" s="14">
        <v>2208143.9</v>
      </c>
      <c r="H24" s="14">
        <v>0</v>
      </c>
      <c r="I24" s="13">
        <f t="shared" si="0"/>
        <v>42652782.938205816</v>
      </c>
    </row>
    <row r="25" spans="1:9" ht="15.75" x14ac:dyDescent="0.25">
      <c r="A25" s="8"/>
      <c r="B25" s="8"/>
      <c r="C25" s="9"/>
      <c r="D25" s="12" t="s">
        <v>21</v>
      </c>
      <c r="E25" s="14">
        <v>20345338.100000001</v>
      </c>
      <c r="F25" s="14">
        <v>9408596.1801466048</v>
      </c>
      <c r="G25" s="14">
        <v>1785940.4500000002</v>
      </c>
      <c r="H25" s="14">
        <v>0</v>
      </c>
      <c r="I25" s="13">
        <f t="shared" si="0"/>
        <v>31539874.730146606</v>
      </c>
    </row>
    <row r="26" spans="1:9" ht="15.75" x14ac:dyDescent="0.25">
      <c r="A26" s="8"/>
      <c r="B26" s="8"/>
      <c r="C26" s="9"/>
      <c r="D26" s="12" t="s">
        <v>22</v>
      </c>
      <c r="E26" s="14">
        <v>10737156.129999999</v>
      </c>
      <c r="F26" s="14">
        <v>5387792.195157839</v>
      </c>
      <c r="G26" s="14">
        <v>1363079.3399999999</v>
      </c>
      <c r="H26" s="14">
        <v>0</v>
      </c>
      <c r="I26" s="13">
        <f t="shared" si="0"/>
        <v>17488027.66515784</v>
      </c>
    </row>
    <row r="27" spans="1:9" ht="15.75" x14ac:dyDescent="0.25">
      <c r="A27" s="8"/>
      <c r="B27" s="8"/>
      <c r="C27" s="9"/>
      <c r="D27" s="12" t="s">
        <v>23</v>
      </c>
      <c r="E27" s="14">
        <v>5938428.4300000006</v>
      </c>
      <c r="F27" s="14">
        <v>924754.80438782985</v>
      </c>
      <c r="G27" s="14">
        <v>3410320.2900000005</v>
      </c>
      <c r="H27" s="14">
        <v>0</v>
      </c>
      <c r="I27" s="13">
        <f t="shared" si="0"/>
        <v>10273503.524387831</v>
      </c>
    </row>
    <row r="28" spans="1:9" ht="15.75" x14ac:dyDescent="0.25">
      <c r="A28" s="8"/>
      <c r="B28" s="8"/>
      <c r="C28" s="9"/>
      <c r="D28" s="12" t="s">
        <v>24</v>
      </c>
      <c r="E28" s="14">
        <v>11611671.300000003</v>
      </c>
      <c r="F28" s="14">
        <v>4382669.0751854395</v>
      </c>
      <c r="G28" s="14">
        <v>1856769.2299999995</v>
      </c>
      <c r="H28" s="14">
        <v>0</v>
      </c>
      <c r="I28" s="13">
        <f t="shared" si="0"/>
        <v>17851109.605185442</v>
      </c>
    </row>
    <row r="29" spans="1:9" ht="15.75" x14ac:dyDescent="0.25">
      <c r="A29" s="8"/>
      <c r="B29" s="8"/>
      <c r="C29" s="9"/>
      <c r="D29" s="12" t="s">
        <v>25</v>
      </c>
      <c r="E29" s="14">
        <v>9548761.7100000028</v>
      </c>
      <c r="F29" s="14">
        <v>2452687.315792155</v>
      </c>
      <c r="G29" s="14">
        <v>692244.34</v>
      </c>
      <c r="H29" s="14">
        <v>0</v>
      </c>
      <c r="I29" s="13">
        <f t="shared" si="0"/>
        <v>12693693.365792157</v>
      </c>
    </row>
    <row r="30" spans="1:9" ht="15.75" x14ac:dyDescent="0.25">
      <c r="A30" s="8"/>
      <c r="B30" s="8"/>
      <c r="C30" s="9"/>
      <c r="D30" s="12" t="s">
        <v>26</v>
      </c>
      <c r="E30" s="14">
        <v>22045930.679999996</v>
      </c>
      <c r="F30" s="14">
        <v>13228271.706107834</v>
      </c>
      <c r="G30" s="14">
        <v>1605477.9100000001</v>
      </c>
      <c r="H30" s="14">
        <v>0</v>
      </c>
      <c r="I30" s="13">
        <f t="shared" si="0"/>
        <v>36879680.296107829</v>
      </c>
    </row>
    <row r="31" spans="1:9" ht="15.75" x14ac:dyDescent="0.25">
      <c r="A31" s="8"/>
      <c r="B31" s="8"/>
      <c r="C31" s="9"/>
      <c r="D31" s="12" t="s">
        <v>27</v>
      </c>
      <c r="E31" s="14">
        <v>21361517.129999999</v>
      </c>
      <c r="F31" s="14">
        <v>13710793.104714416</v>
      </c>
      <c r="G31" s="14">
        <v>929293.92999999993</v>
      </c>
      <c r="H31" s="14">
        <v>0</v>
      </c>
      <c r="I31" s="13">
        <f t="shared" si="0"/>
        <v>36001604.164714418</v>
      </c>
    </row>
    <row r="32" spans="1:9" ht="15.75" x14ac:dyDescent="0.25">
      <c r="A32" s="8"/>
      <c r="B32" s="8"/>
      <c r="C32" s="9"/>
      <c r="D32" s="12" t="s">
        <v>28</v>
      </c>
      <c r="E32" s="14">
        <v>19669455.830000002</v>
      </c>
      <c r="F32" s="14">
        <v>4627927.4232613491</v>
      </c>
      <c r="G32" s="14">
        <v>597887.79000000015</v>
      </c>
      <c r="H32" s="14">
        <v>0</v>
      </c>
      <c r="I32" s="13">
        <f t="shared" si="0"/>
        <v>24895271.043261349</v>
      </c>
    </row>
    <row r="33" spans="1:9" ht="15.75" x14ac:dyDescent="0.25">
      <c r="A33" s="8"/>
      <c r="B33" s="8"/>
      <c r="C33" s="9"/>
      <c r="D33" s="12" t="s">
        <v>29</v>
      </c>
      <c r="E33" s="14">
        <v>4509396.3900000006</v>
      </c>
      <c r="F33" s="14">
        <v>6996093.0221467335</v>
      </c>
      <c r="G33" s="14">
        <v>465201.29000000004</v>
      </c>
      <c r="H33" s="14">
        <v>0</v>
      </c>
      <c r="I33" s="13">
        <f t="shared" si="0"/>
        <v>11970690.702146735</v>
      </c>
    </row>
    <row r="34" spans="1:9" ht="15.75" x14ac:dyDescent="0.25">
      <c r="A34" s="8"/>
      <c r="B34" s="8"/>
      <c r="C34" s="9"/>
      <c r="D34" s="12" t="s">
        <v>30</v>
      </c>
      <c r="E34" s="14">
        <v>43663922.799999997</v>
      </c>
      <c r="F34" s="14">
        <v>10039809.346087947</v>
      </c>
      <c r="G34" s="14">
        <v>2936225.29</v>
      </c>
      <c r="H34" s="14">
        <v>0</v>
      </c>
      <c r="I34" s="13">
        <f t="shared" si="0"/>
        <v>56639957.436087944</v>
      </c>
    </row>
    <row r="35" spans="1:9" ht="15.75" x14ac:dyDescent="0.25">
      <c r="A35" s="8"/>
      <c r="B35" s="8"/>
      <c r="C35" s="9"/>
      <c r="D35" s="12" t="s">
        <v>31</v>
      </c>
      <c r="E35" s="14">
        <v>16456480.650000002</v>
      </c>
      <c r="F35" s="14">
        <v>14760253.783801302</v>
      </c>
      <c r="G35" s="14">
        <v>1965785.03</v>
      </c>
      <c r="H35" s="14">
        <v>0</v>
      </c>
      <c r="I35" s="13">
        <f t="shared" si="0"/>
        <v>33182519.463801306</v>
      </c>
    </row>
    <row r="36" spans="1:9" ht="15.75" x14ac:dyDescent="0.25">
      <c r="A36" s="8"/>
      <c r="B36" s="8"/>
      <c r="C36" s="9"/>
      <c r="D36" s="12" t="s">
        <v>32</v>
      </c>
      <c r="E36" s="14">
        <v>20756966.800000001</v>
      </c>
      <c r="F36" s="14">
        <v>9159288.2657815479</v>
      </c>
      <c r="G36" s="14">
        <v>3402235.6100000003</v>
      </c>
      <c r="H36" s="14">
        <v>0</v>
      </c>
      <c r="I36" s="13">
        <f t="shared" si="0"/>
        <v>33318490.675781548</v>
      </c>
    </row>
    <row r="37" spans="1:9" ht="15.75" x14ac:dyDescent="0.25">
      <c r="A37" s="8"/>
      <c r="B37" s="8"/>
      <c r="C37" s="9"/>
      <c r="D37" s="12" t="s">
        <v>33</v>
      </c>
      <c r="E37" s="14">
        <v>21440966.719999995</v>
      </c>
      <c r="F37" s="14">
        <v>5066111.2627534494</v>
      </c>
      <c r="G37" s="14">
        <v>950729.2</v>
      </c>
      <c r="H37" s="14">
        <v>0</v>
      </c>
      <c r="I37" s="13">
        <f t="shared" si="0"/>
        <v>27457807.182753444</v>
      </c>
    </row>
    <row r="38" spans="1:9" ht="15.75" x14ac:dyDescent="0.25">
      <c r="A38" s="8"/>
      <c r="B38" s="8"/>
      <c r="C38" s="9"/>
      <c r="D38" s="12" t="s">
        <v>34</v>
      </c>
      <c r="E38" s="14">
        <v>19452629.170000002</v>
      </c>
      <c r="F38" s="14">
        <v>11008901.709590262</v>
      </c>
      <c r="G38" s="14">
        <v>985391.13</v>
      </c>
      <c r="H38" s="14">
        <v>0</v>
      </c>
      <c r="I38" s="13">
        <f t="shared" si="0"/>
        <v>31446922.009590264</v>
      </c>
    </row>
    <row r="39" spans="1:9" ht="15.75" x14ac:dyDescent="0.25">
      <c r="A39" s="8"/>
      <c r="B39" s="8"/>
      <c r="C39" s="9"/>
      <c r="D39" s="12" t="s">
        <v>35</v>
      </c>
      <c r="E39" s="14">
        <v>15162521.599999998</v>
      </c>
      <c r="F39" s="14">
        <v>17237030.827262215</v>
      </c>
      <c r="G39" s="14">
        <v>1020127.51</v>
      </c>
      <c r="H39" s="14">
        <v>0</v>
      </c>
      <c r="I39" s="13">
        <f t="shared" si="0"/>
        <v>33419679.937262215</v>
      </c>
    </row>
    <row r="40" spans="1:9" ht="15.75" x14ac:dyDescent="0.25">
      <c r="A40" s="8"/>
      <c r="B40" s="8"/>
      <c r="C40" s="9"/>
      <c r="D40" s="12" t="s">
        <v>36</v>
      </c>
      <c r="E40" s="14">
        <v>1815081.3199999998</v>
      </c>
      <c r="F40" s="14">
        <v>904714.64300821489</v>
      </c>
      <c r="G40" s="14">
        <v>794549.05</v>
      </c>
      <c r="H40" s="14">
        <v>0</v>
      </c>
      <c r="I40" s="13">
        <f t="shared" si="0"/>
        <v>3514345.0130082145</v>
      </c>
    </row>
    <row r="41" spans="1:9" ht="15.75" x14ac:dyDescent="0.25">
      <c r="A41" s="8"/>
      <c r="B41" s="8"/>
      <c r="C41" s="9"/>
      <c r="D41" s="12" t="s">
        <v>37</v>
      </c>
      <c r="E41" s="14">
        <v>32647365.18</v>
      </c>
      <c r="F41" s="14">
        <v>15118069.30770883</v>
      </c>
      <c r="G41" s="14">
        <v>2494045.83</v>
      </c>
      <c r="H41" s="14">
        <v>0</v>
      </c>
      <c r="I41" s="13">
        <f t="shared" si="0"/>
        <v>50259480.317708828</v>
      </c>
    </row>
    <row r="42" spans="1:9" ht="15.75" x14ac:dyDescent="0.25">
      <c r="A42" s="8"/>
      <c r="B42" s="8"/>
      <c r="C42" s="9"/>
      <c r="D42" s="12" t="s">
        <v>38</v>
      </c>
      <c r="E42" s="14">
        <v>25409610.600000001</v>
      </c>
      <c r="F42" s="14">
        <v>16372604.17707934</v>
      </c>
      <c r="G42" s="14">
        <v>988560.77999999991</v>
      </c>
      <c r="H42" s="14">
        <v>0</v>
      </c>
      <c r="I42" s="13">
        <f t="shared" si="0"/>
        <v>42770775.557079345</v>
      </c>
    </row>
    <row r="43" spans="1:9" ht="15.75" x14ac:dyDescent="0.25">
      <c r="A43" s="8"/>
      <c r="B43" s="8"/>
      <c r="C43" s="9"/>
      <c r="D43" s="12" t="s">
        <v>39</v>
      </c>
      <c r="E43" s="14">
        <v>5302336.1600000011</v>
      </c>
      <c r="F43" s="14">
        <v>5954731.4756381381</v>
      </c>
      <c r="G43" s="14">
        <v>880074.72</v>
      </c>
      <c r="H43" s="14">
        <v>0</v>
      </c>
      <c r="I43" s="13">
        <f t="shared" si="0"/>
        <v>12137142.355638141</v>
      </c>
    </row>
    <row r="44" spans="1:9" ht="15.75" x14ac:dyDescent="0.25">
      <c r="A44" s="8"/>
      <c r="B44" s="8"/>
      <c r="C44" s="9"/>
      <c r="D44" s="12" t="s">
        <v>40</v>
      </c>
      <c r="E44" s="14">
        <v>37553.22</v>
      </c>
      <c r="F44" s="14">
        <v>458327.83590476989</v>
      </c>
      <c r="G44" s="14">
        <v>1960180.4700000002</v>
      </c>
      <c r="H44" s="14">
        <v>0</v>
      </c>
      <c r="I44" s="13">
        <f t="shared" si="0"/>
        <v>2456061.52590477</v>
      </c>
    </row>
    <row r="45" spans="1:9" ht="15.75" x14ac:dyDescent="0.25">
      <c r="A45" s="8"/>
      <c r="B45" s="8"/>
      <c r="C45" s="9"/>
      <c r="D45" s="12" t="s">
        <v>41</v>
      </c>
      <c r="E45" s="14">
        <v>7091384.9400000004</v>
      </c>
      <c r="F45" s="14">
        <v>132701.17224428998</v>
      </c>
      <c r="G45" s="14">
        <v>4447210.6499999994</v>
      </c>
      <c r="H45" s="14">
        <v>0</v>
      </c>
      <c r="I45" s="13">
        <f t="shared" si="0"/>
        <v>11671296.76224429</v>
      </c>
    </row>
    <row r="46" spans="1:9" ht="15.75" x14ac:dyDescent="0.25">
      <c r="A46" s="8"/>
      <c r="B46" s="8"/>
      <c r="C46" s="9"/>
      <c r="D46" s="12" t="s">
        <v>42</v>
      </c>
      <c r="E46" s="14">
        <v>2836228.0100000002</v>
      </c>
      <c r="F46" s="14">
        <v>442233.40578124492</v>
      </c>
      <c r="G46" s="14">
        <v>6229500.1500000004</v>
      </c>
      <c r="H46" s="14">
        <v>0</v>
      </c>
      <c r="I46" s="13">
        <f t="shared" si="0"/>
        <v>9507961.565781245</v>
      </c>
    </row>
    <row r="47" spans="1:9" ht="15.75" x14ac:dyDescent="0.25">
      <c r="A47" s="8"/>
      <c r="B47" s="8"/>
      <c r="C47" s="9"/>
      <c r="D47" s="12" t="s">
        <v>43</v>
      </c>
      <c r="E47" s="14">
        <v>11731585.430000003</v>
      </c>
      <c r="F47" s="14">
        <v>2806453.2734105401</v>
      </c>
      <c r="G47" s="14">
        <v>817247.43</v>
      </c>
      <c r="H47" s="14">
        <v>0</v>
      </c>
      <c r="I47" s="13">
        <f t="shared" si="0"/>
        <v>15355286.133410543</v>
      </c>
    </row>
    <row r="48" spans="1:9" ht="15.75" x14ac:dyDescent="0.25">
      <c r="A48" s="8"/>
      <c r="B48" s="8"/>
      <c r="C48" s="9"/>
      <c r="D48" s="12" t="s">
        <v>44</v>
      </c>
      <c r="E48" s="14">
        <v>11078601.450000001</v>
      </c>
      <c r="F48" s="14">
        <v>442233.40578124492</v>
      </c>
      <c r="G48" s="14">
        <v>2755197.1999999993</v>
      </c>
      <c r="H48" s="14">
        <v>0</v>
      </c>
      <c r="I48" s="13">
        <f t="shared" si="0"/>
        <v>14276032.055781245</v>
      </c>
    </row>
    <row r="49" spans="1:9" ht="15.75" x14ac:dyDescent="0.25">
      <c r="A49" s="8"/>
      <c r="B49" s="8"/>
      <c r="C49" s="9"/>
      <c r="D49" s="12" t="s">
        <v>45</v>
      </c>
      <c r="E49" s="14">
        <v>2775789.3299999996</v>
      </c>
      <c r="F49" s="14">
        <v>526755.12268801488</v>
      </c>
      <c r="G49" s="14">
        <v>6601534.96</v>
      </c>
      <c r="H49" s="14">
        <v>0</v>
      </c>
      <c r="I49" s="13">
        <f t="shared" si="0"/>
        <v>9904079.412688015</v>
      </c>
    </row>
    <row r="50" spans="1:9" ht="15.75" x14ac:dyDescent="0.25">
      <c r="A50" s="8"/>
      <c r="B50" s="8"/>
      <c r="C50" s="9"/>
      <c r="D50" s="12" t="s">
        <v>46</v>
      </c>
      <c r="E50" s="14">
        <v>12957040.599999998</v>
      </c>
      <c r="F50" s="14">
        <v>5090304.8254552642</v>
      </c>
      <c r="G50" s="14">
        <v>475676.58</v>
      </c>
      <c r="H50" s="14">
        <v>0</v>
      </c>
      <c r="I50" s="13">
        <f t="shared" si="0"/>
        <v>18523022.005455259</v>
      </c>
    </row>
    <row r="51" spans="1:9" ht="15.75" x14ac:dyDescent="0.25">
      <c r="A51" s="8"/>
      <c r="B51" s="8"/>
      <c r="C51" s="9"/>
      <c r="D51" s="12" t="s">
        <v>47</v>
      </c>
      <c r="E51" s="14">
        <v>19614955.98</v>
      </c>
      <c r="F51" s="14">
        <v>9255751.0114896446</v>
      </c>
      <c r="G51" s="14">
        <v>1305239.26</v>
      </c>
      <c r="H51" s="14">
        <v>0</v>
      </c>
      <c r="I51" s="13">
        <f t="shared" si="0"/>
        <v>30175946.251489647</v>
      </c>
    </row>
    <row r="52" spans="1:9" ht="15.75" x14ac:dyDescent="0.25">
      <c r="A52" s="8"/>
      <c r="B52" s="8"/>
      <c r="C52" s="9"/>
      <c r="D52" s="12" t="s">
        <v>48</v>
      </c>
      <c r="E52" s="14">
        <v>11595498.579999998</v>
      </c>
      <c r="F52" s="14">
        <v>9328124.0295289792</v>
      </c>
      <c r="G52" s="14">
        <v>347593.55999999994</v>
      </c>
      <c r="H52" s="14">
        <v>0</v>
      </c>
      <c r="I52" s="13">
        <f t="shared" si="0"/>
        <v>21271216.169528976</v>
      </c>
    </row>
    <row r="53" spans="1:9" ht="15.75" x14ac:dyDescent="0.25">
      <c r="A53" s="8"/>
      <c r="B53" s="8"/>
      <c r="C53" s="9"/>
      <c r="D53" s="12" t="s">
        <v>49</v>
      </c>
      <c r="E53" s="14">
        <v>20894747.019999996</v>
      </c>
      <c r="F53" s="14">
        <v>6393019.1501632938</v>
      </c>
      <c r="G53" s="14">
        <v>1601364.93</v>
      </c>
      <c r="H53" s="14">
        <v>0</v>
      </c>
      <c r="I53" s="13">
        <f t="shared" si="0"/>
        <v>28889131.100163288</v>
      </c>
    </row>
    <row r="54" spans="1:9" ht="15.75" x14ac:dyDescent="0.25">
      <c r="A54" s="8"/>
      <c r="B54" s="8"/>
      <c r="C54" s="9"/>
      <c r="D54" s="12" t="s">
        <v>50</v>
      </c>
      <c r="E54" s="14">
        <v>15199346.65</v>
      </c>
      <c r="F54" s="14">
        <v>5870313.5937644243</v>
      </c>
      <c r="G54" s="14">
        <v>1126064.6399999999</v>
      </c>
      <c r="H54" s="14">
        <v>0</v>
      </c>
      <c r="I54" s="13">
        <f t="shared" si="0"/>
        <v>22195724.883764423</v>
      </c>
    </row>
    <row r="55" spans="1:9" ht="15.75" x14ac:dyDescent="0.25">
      <c r="A55" s="8"/>
      <c r="B55" s="8"/>
      <c r="C55" s="9"/>
      <c r="D55" s="12" t="s">
        <v>51</v>
      </c>
      <c r="E55" s="14">
        <v>6441440.0999999996</v>
      </c>
      <c r="F55" s="14">
        <v>12022123.962140953</v>
      </c>
      <c r="G55" s="14">
        <v>98876.290000000008</v>
      </c>
      <c r="H55" s="14">
        <v>0</v>
      </c>
      <c r="I55" s="13">
        <f t="shared" si="0"/>
        <v>18562440.352140952</v>
      </c>
    </row>
    <row r="56" spans="1:9" ht="15.75" x14ac:dyDescent="0.25">
      <c r="A56" s="8"/>
      <c r="B56" s="8"/>
      <c r="C56" s="9"/>
      <c r="D56" s="12" t="s">
        <v>52</v>
      </c>
      <c r="E56" s="14">
        <v>15461366.789999999</v>
      </c>
      <c r="F56" s="14">
        <v>13381116.874764791</v>
      </c>
      <c r="G56" s="14">
        <v>495954.76</v>
      </c>
      <c r="H56" s="14">
        <v>0</v>
      </c>
      <c r="I56" s="13">
        <f t="shared" si="0"/>
        <v>29338438.424764793</v>
      </c>
    </row>
    <row r="57" spans="1:9" ht="15.75" x14ac:dyDescent="0.25">
      <c r="A57" s="8"/>
      <c r="B57" s="8"/>
      <c r="C57" s="9"/>
      <c r="D57" s="12" t="s">
        <v>53</v>
      </c>
      <c r="E57" s="14">
        <v>3761270.34</v>
      </c>
      <c r="F57" s="14">
        <v>4422853.2329777237</v>
      </c>
      <c r="G57" s="14">
        <v>405800.38000000006</v>
      </c>
      <c r="H57" s="14">
        <v>0</v>
      </c>
      <c r="I57" s="13">
        <f t="shared" si="0"/>
        <v>8589923.9529777244</v>
      </c>
    </row>
    <row r="58" spans="1:9" ht="15.75" x14ac:dyDescent="0.25">
      <c r="A58" s="8"/>
      <c r="B58" s="8"/>
      <c r="C58" s="9"/>
      <c r="D58" s="12" t="s">
        <v>54</v>
      </c>
      <c r="E58" s="14">
        <v>4229293.6400000006</v>
      </c>
      <c r="F58" s="14">
        <v>4760628.595505639</v>
      </c>
      <c r="G58" s="14">
        <v>56012.12999999999</v>
      </c>
      <c r="H58" s="14">
        <v>0</v>
      </c>
      <c r="I58" s="13">
        <f t="shared" si="0"/>
        <v>9045934.3655056413</v>
      </c>
    </row>
    <row r="59" spans="1:9" ht="15.75" x14ac:dyDescent="0.25">
      <c r="A59" s="8"/>
      <c r="B59" s="8"/>
      <c r="C59" s="9"/>
      <c r="D59" s="12" t="s">
        <v>55</v>
      </c>
      <c r="E59" s="14">
        <v>11428890.759999998</v>
      </c>
      <c r="F59" s="14">
        <v>8041504.1349444725</v>
      </c>
      <c r="G59" s="14">
        <v>955069.39999999991</v>
      </c>
      <c r="H59" s="14">
        <v>0</v>
      </c>
      <c r="I59" s="13">
        <f t="shared" si="0"/>
        <v>20425464.294944469</v>
      </c>
    </row>
    <row r="60" spans="1:9" ht="15.75" x14ac:dyDescent="0.25">
      <c r="A60" s="8"/>
      <c r="B60" s="8"/>
      <c r="C60" s="9"/>
      <c r="D60" s="12" t="s">
        <v>56</v>
      </c>
      <c r="E60" s="14">
        <v>7182891.6099999994</v>
      </c>
      <c r="F60" s="14">
        <v>4865086.6387589695</v>
      </c>
      <c r="G60" s="14">
        <v>531008.41999999993</v>
      </c>
      <c r="H60" s="14">
        <v>0</v>
      </c>
      <c r="I60" s="13">
        <f t="shared" si="0"/>
        <v>12578986.668758968</v>
      </c>
    </row>
    <row r="61" spans="1:9" ht="15.75" x14ac:dyDescent="0.25">
      <c r="A61" s="8"/>
      <c r="B61" s="8"/>
      <c r="C61" s="9"/>
      <c r="D61" s="12" t="s">
        <v>57</v>
      </c>
      <c r="E61" s="14">
        <v>23747406.509999998</v>
      </c>
      <c r="F61" s="14">
        <v>8162160.443354384</v>
      </c>
      <c r="G61" s="14">
        <v>2464836.2199999997</v>
      </c>
      <c r="H61" s="14">
        <v>0</v>
      </c>
      <c r="I61" s="13">
        <f t="shared" si="0"/>
        <v>34374403.17335438</v>
      </c>
    </row>
    <row r="62" spans="1:9" ht="15.75" x14ac:dyDescent="0.25">
      <c r="A62" s="8"/>
      <c r="B62" s="8"/>
      <c r="C62" s="9"/>
      <c r="D62" s="12" t="s">
        <v>58</v>
      </c>
      <c r="E62" s="14">
        <v>20684776.989999995</v>
      </c>
      <c r="F62" s="14">
        <v>9107059.2441548835</v>
      </c>
      <c r="G62" s="14">
        <v>36169986.030000001</v>
      </c>
      <c r="H62" s="14">
        <v>0</v>
      </c>
      <c r="I62" s="13">
        <f t="shared" si="0"/>
        <v>65961822.264154881</v>
      </c>
    </row>
    <row r="63" spans="1:9" ht="15.75" x14ac:dyDescent="0.25">
      <c r="A63" s="8"/>
      <c r="B63" s="8"/>
      <c r="C63" s="9"/>
      <c r="D63" s="12" t="s">
        <v>59</v>
      </c>
      <c r="E63" s="14">
        <v>6335775.9200000018</v>
      </c>
      <c r="F63" s="14">
        <v>1005226.9550054547</v>
      </c>
      <c r="G63" s="14">
        <v>1884251.9</v>
      </c>
      <c r="H63" s="14">
        <v>0</v>
      </c>
      <c r="I63" s="13">
        <f t="shared" si="0"/>
        <v>9225254.7750054561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12363102.49</v>
      </c>
      <c r="H64" s="14">
        <v>0</v>
      </c>
      <c r="I64" s="13">
        <f t="shared" si="0"/>
        <v>12363102.49</v>
      </c>
    </row>
    <row r="65" spans="1:9" ht="15.75" x14ac:dyDescent="0.25">
      <c r="A65" s="8"/>
      <c r="B65" s="8"/>
      <c r="C65" s="9"/>
      <c r="D65" s="12" t="s">
        <v>61</v>
      </c>
      <c r="E65" s="14">
        <v>16839434.120000001</v>
      </c>
      <c r="F65" s="14">
        <v>11901467.653731043</v>
      </c>
      <c r="G65" s="14">
        <v>768572.93</v>
      </c>
      <c r="H65" s="14">
        <v>0</v>
      </c>
      <c r="I65" s="13">
        <f t="shared" si="0"/>
        <v>29509474.703731045</v>
      </c>
    </row>
    <row r="66" spans="1:9" ht="15.75" x14ac:dyDescent="0.25">
      <c r="A66" s="8"/>
      <c r="B66" s="8"/>
      <c r="C66" s="9"/>
      <c r="D66" s="12" t="s">
        <v>62</v>
      </c>
      <c r="E66" s="14">
        <v>84363362.450000003</v>
      </c>
      <c r="F66" s="14">
        <v>23662238.837672561</v>
      </c>
      <c r="G66" s="14">
        <v>2215305.1399999997</v>
      </c>
      <c r="H66" s="14">
        <v>0</v>
      </c>
      <c r="I66" s="13">
        <f t="shared" si="0"/>
        <v>110240906.42767256</v>
      </c>
    </row>
    <row r="67" spans="1:9" ht="15.75" x14ac:dyDescent="0.25">
      <c r="A67" s="8"/>
      <c r="B67" s="8"/>
      <c r="C67" s="9"/>
      <c r="D67" s="12" t="s">
        <v>63</v>
      </c>
      <c r="E67" s="14">
        <v>16434539.360000003</v>
      </c>
      <c r="F67" s="14">
        <v>10936528.691550929</v>
      </c>
      <c r="G67" s="14">
        <v>872017.90000000014</v>
      </c>
      <c r="H67" s="14">
        <v>0</v>
      </c>
      <c r="I67" s="13">
        <f t="shared" si="0"/>
        <v>28243085.951550931</v>
      </c>
    </row>
    <row r="68" spans="1:9" ht="15.75" x14ac:dyDescent="0.25">
      <c r="A68" s="8"/>
      <c r="B68" s="8"/>
      <c r="C68" s="9"/>
      <c r="D68" s="12" t="s">
        <v>64</v>
      </c>
      <c r="E68" s="14">
        <v>15446274.299999999</v>
      </c>
      <c r="F68" s="14">
        <v>4623877.8569722036</v>
      </c>
      <c r="G68" s="14">
        <v>345405.81</v>
      </c>
      <c r="H68" s="14">
        <v>0</v>
      </c>
      <c r="I68" s="13">
        <f t="shared" si="0"/>
        <v>20415557.966972202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3069363.4499999997</v>
      </c>
      <c r="H69" s="14">
        <v>0</v>
      </c>
      <c r="I69" s="13">
        <f t="shared" si="0"/>
        <v>3069363.4499999997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5003902.290000001</v>
      </c>
      <c r="H70" s="14">
        <v>0</v>
      </c>
      <c r="I70" s="13">
        <f t="shared" si="0"/>
        <v>5003902.290000001</v>
      </c>
    </row>
    <row r="71" spans="1:9" ht="15.75" x14ac:dyDescent="0.25">
      <c r="A71" s="8"/>
      <c r="B71" s="8"/>
      <c r="C71" s="9"/>
      <c r="D71" s="12" t="s">
        <v>67</v>
      </c>
      <c r="E71" s="14">
        <v>45471.58</v>
      </c>
      <c r="F71" s="14">
        <v>120656.30840990998</v>
      </c>
      <c r="G71" s="14">
        <v>4226583.04</v>
      </c>
      <c r="H71" s="14">
        <v>0</v>
      </c>
      <c r="I71" s="13">
        <f t="shared" si="0"/>
        <v>4392710.9284099098</v>
      </c>
    </row>
    <row r="72" spans="1:9" ht="15.75" x14ac:dyDescent="0.25">
      <c r="A72" s="8"/>
      <c r="B72" s="8"/>
      <c r="C72" s="9"/>
      <c r="D72" s="12" t="s">
        <v>68</v>
      </c>
      <c r="E72" s="14">
        <v>21500076.16</v>
      </c>
      <c r="F72" s="14">
        <v>7510803.2810003683</v>
      </c>
      <c r="G72" s="14">
        <v>5804155.5700000003</v>
      </c>
      <c r="H72" s="14">
        <v>0</v>
      </c>
      <c r="I72" s="13">
        <f t="shared" si="0"/>
        <v>34815035.011000365</v>
      </c>
    </row>
    <row r="73" spans="1:9" ht="15.75" x14ac:dyDescent="0.25">
      <c r="A73" s="8"/>
      <c r="B73" s="8"/>
      <c r="C73" s="9"/>
      <c r="D73" s="12" t="s">
        <v>69</v>
      </c>
      <c r="E73" s="14">
        <v>1159.3399999999999</v>
      </c>
      <c r="F73" s="14">
        <v>0</v>
      </c>
      <c r="G73" s="14">
        <v>2836717.1599999997</v>
      </c>
      <c r="H73" s="14">
        <v>0</v>
      </c>
      <c r="I73" s="13">
        <f t="shared" si="0"/>
        <v>2837876.4999999995</v>
      </c>
    </row>
    <row r="74" spans="1:9" ht="15.75" x14ac:dyDescent="0.25">
      <c r="A74" s="8"/>
      <c r="B74" s="8"/>
      <c r="C74" s="9"/>
      <c r="D74" s="12" t="s">
        <v>70</v>
      </c>
      <c r="E74" s="14">
        <v>3475542.77</v>
      </c>
      <c r="F74" s="14">
        <v>635262.73223048984</v>
      </c>
      <c r="G74" s="14">
        <v>19313321.84</v>
      </c>
      <c r="H74" s="14">
        <v>0</v>
      </c>
      <c r="I74" s="13">
        <f t="shared" ref="I74:I137" si="1">SUM(E74:H74)</f>
        <v>23424127.342230491</v>
      </c>
    </row>
    <row r="75" spans="1:9" ht="15.75" x14ac:dyDescent="0.25">
      <c r="A75" s="8"/>
      <c r="B75" s="8"/>
      <c r="C75" s="9"/>
      <c r="D75" s="12" t="s">
        <v>71</v>
      </c>
      <c r="E75" s="14">
        <v>9029557.0000000019</v>
      </c>
      <c r="F75" s="14">
        <v>2468781.7459156793</v>
      </c>
      <c r="G75" s="14">
        <v>35800781.900000006</v>
      </c>
      <c r="H75" s="14">
        <v>0</v>
      </c>
      <c r="I75" s="13">
        <f t="shared" si="1"/>
        <v>47299120.645915687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9565033.8199999984</v>
      </c>
      <c r="H76" s="14">
        <v>0</v>
      </c>
      <c r="I76" s="13">
        <f t="shared" si="1"/>
        <v>9565033.8199999984</v>
      </c>
    </row>
    <row r="77" spans="1:9" ht="15.75" x14ac:dyDescent="0.25">
      <c r="A77" s="8"/>
      <c r="B77" s="8"/>
      <c r="C77" s="9"/>
      <c r="D77" s="12" t="s">
        <v>73</v>
      </c>
      <c r="E77" s="14">
        <v>9730366.5899999999</v>
      </c>
      <c r="F77" s="14">
        <v>12243188.747515049</v>
      </c>
      <c r="G77" s="14">
        <v>669648.51</v>
      </c>
      <c r="H77" s="14">
        <v>0</v>
      </c>
      <c r="I77" s="13">
        <f t="shared" si="1"/>
        <v>22643203.84751505</v>
      </c>
    </row>
    <row r="78" spans="1:9" ht="15.75" x14ac:dyDescent="0.25">
      <c r="A78" s="8"/>
      <c r="B78" s="8"/>
      <c r="C78" s="9"/>
      <c r="D78" s="12" t="s">
        <v>74</v>
      </c>
      <c r="E78" s="14">
        <v>19256954.490000002</v>
      </c>
      <c r="F78" s="14">
        <v>12424173.210129915</v>
      </c>
      <c r="G78" s="14">
        <v>890407.1</v>
      </c>
      <c r="H78" s="14">
        <v>0</v>
      </c>
      <c r="I78" s="13">
        <f t="shared" si="1"/>
        <v>32571534.80012992</v>
      </c>
    </row>
    <row r="79" spans="1:9" ht="15.75" x14ac:dyDescent="0.25">
      <c r="A79" s="8"/>
      <c r="B79" s="8"/>
      <c r="C79" s="9"/>
      <c r="D79" s="12" t="s">
        <v>75</v>
      </c>
      <c r="E79" s="14">
        <v>18321613.34</v>
      </c>
      <c r="F79" s="14">
        <v>6976052.8607671196</v>
      </c>
      <c r="G79" s="14">
        <v>854629.04</v>
      </c>
      <c r="H79" s="14">
        <v>0</v>
      </c>
      <c r="I79" s="13">
        <f t="shared" si="1"/>
        <v>26152295.240767118</v>
      </c>
    </row>
    <row r="80" spans="1:9" ht="15.75" x14ac:dyDescent="0.25">
      <c r="A80" s="8"/>
      <c r="B80" s="8"/>
      <c r="C80" s="9"/>
      <c r="D80" s="12" t="s">
        <v>76</v>
      </c>
      <c r="E80" s="14">
        <v>6281692.3499999996</v>
      </c>
      <c r="F80" s="14">
        <v>3687078.1887499946</v>
      </c>
      <c r="G80" s="14">
        <v>182648.81999999995</v>
      </c>
      <c r="H80" s="14">
        <v>0</v>
      </c>
      <c r="I80" s="13">
        <f t="shared" si="1"/>
        <v>10151419.358749995</v>
      </c>
    </row>
    <row r="81" spans="1:9" ht="15.75" x14ac:dyDescent="0.25">
      <c r="A81" s="8"/>
      <c r="B81" s="8"/>
      <c r="C81" s="9"/>
      <c r="D81" s="12" t="s">
        <v>77</v>
      </c>
      <c r="E81" s="14">
        <v>45169515.959999993</v>
      </c>
      <c r="F81" s="14">
        <v>22246863.502099857</v>
      </c>
      <c r="G81" s="14">
        <v>1946498.1700000002</v>
      </c>
      <c r="H81" s="14">
        <v>0</v>
      </c>
      <c r="I81" s="13">
        <f t="shared" si="1"/>
        <v>69362877.632099852</v>
      </c>
    </row>
    <row r="82" spans="1:9" ht="15.75" x14ac:dyDescent="0.25">
      <c r="A82" s="8"/>
      <c r="B82" s="8"/>
      <c r="C82" s="9"/>
      <c r="D82" s="12" t="s">
        <v>78</v>
      </c>
      <c r="E82" s="14">
        <v>63381550.450000003</v>
      </c>
      <c r="F82" s="14">
        <v>15419606.243700553</v>
      </c>
      <c r="G82" s="14">
        <v>1295435.7999999998</v>
      </c>
      <c r="H82" s="14">
        <v>0</v>
      </c>
      <c r="I82" s="13">
        <f t="shared" si="1"/>
        <v>80096592.493700549</v>
      </c>
    </row>
    <row r="83" spans="1:9" ht="15.75" x14ac:dyDescent="0.25">
      <c r="A83" s="8"/>
      <c r="B83" s="8"/>
      <c r="C83" s="9"/>
      <c r="D83" s="12" t="s">
        <v>79</v>
      </c>
      <c r="E83" s="14">
        <v>11733202.780000003</v>
      </c>
      <c r="F83" s="14">
        <v>6332690.9959583376</v>
      </c>
      <c r="G83" s="14">
        <v>1810793.8599999999</v>
      </c>
      <c r="H83" s="14">
        <v>0</v>
      </c>
      <c r="I83" s="13">
        <f t="shared" si="1"/>
        <v>19876687.63595834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13736277.610000001</v>
      </c>
      <c r="H84" s="14">
        <v>0</v>
      </c>
      <c r="I84" s="13">
        <f t="shared" si="1"/>
        <v>13736277.610000001</v>
      </c>
    </row>
    <row r="85" spans="1:9" ht="15.75" x14ac:dyDescent="0.25">
      <c r="A85" s="8"/>
      <c r="B85" s="8"/>
      <c r="C85" s="9"/>
      <c r="D85" s="12" t="s">
        <v>81</v>
      </c>
      <c r="E85" s="14">
        <v>13009420.450000001</v>
      </c>
      <c r="F85" s="14">
        <v>1970165.9171855696</v>
      </c>
      <c r="G85" s="14">
        <v>7076395.1799999997</v>
      </c>
      <c r="H85" s="14">
        <v>0</v>
      </c>
      <c r="I85" s="13">
        <f t="shared" si="1"/>
        <v>22055981.54718557</v>
      </c>
    </row>
    <row r="86" spans="1:9" ht="15.75" x14ac:dyDescent="0.25">
      <c r="A86" s="8"/>
      <c r="B86" s="8"/>
      <c r="C86" s="9"/>
      <c r="D86" s="12" t="s">
        <v>82</v>
      </c>
      <c r="E86" s="14">
        <v>7912796.5599999987</v>
      </c>
      <c r="F86" s="14">
        <v>8182304.4397670534</v>
      </c>
      <c r="G86" s="14">
        <v>588260.00999999989</v>
      </c>
      <c r="H86" s="14">
        <v>0</v>
      </c>
      <c r="I86" s="13">
        <f t="shared" si="1"/>
        <v>16683361.009767052</v>
      </c>
    </row>
    <row r="87" spans="1:9" ht="15.75" x14ac:dyDescent="0.25">
      <c r="A87" s="8"/>
      <c r="B87" s="8"/>
      <c r="C87" s="9"/>
      <c r="D87" s="12" t="s">
        <v>83</v>
      </c>
      <c r="E87" s="14">
        <v>5139797.6499999994</v>
      </c>
      <c r="F87" s="14">
        <v>10775688.225348735</v>
      </c>
      <c r="G87" s="14">
        <v>486829.13999999996</v>
      </c>
      <c r="H87" s="14">
        <v>0</v>
      </c>
      <c r="I87" s="13">
        <f t="shared" si="1"/>
        <v>16402315.015348736</v>
      </c>
    </row>
    <row r="88" spans="1:9" ht="15.75" x14ac:dyDescent="0.25">
      <c r="A88" s="8"/>
      <c r="B88" s="8"/>
      <c r="C88" s="9"/>
      <c r="D88" s="12" t="s">
        <v>84</v>
      </c>
      <c r="E88" s="14">
        <v>1245839.5699999998</v>
      </c>
      <c r="F88" s="14">
        <v>0</v>
      </c>
      <c r="G88" s="14">
        <v>18358927.789999999</v>
      </c>
      <c r="H88" s="14">
        <v>0</v>
      </c>
      <c r="I88" s="13">
        <f t="shared" si="1"/>
        <v>19604767.359999999</v>
      </c>
    </row>
    <row r="89" spans="1:9" ht="15.75" x14ac:dyDescent="0.25">
      <c r="A89" s="8"/>
      <c r="B89" s="8"/>
      <c r="C89" s="9"/>
      <c r="D89" s="12" t="s">
        <v>85</v>
      </c>
      <c r="E89" s="14">
        <v>10668054.289999999</v>
      </c>
      <c r="F89" s="14">
        <v>10566564.468775963</v>
      </c>
      <c r="G89" s="14">
        <v>457239.60999999987</v>
      </c>
      <c r="H89" s="14">
        <v>0</v>
      </c>
      <c r="I89" s="13">
        <f t="shared" si="1"/>
        <v>21691858.368775964</v>
      </c>
    </row>
    <row r="90" spans="1:9" ht="15.75" x14ac:dyDescent="0.25">
      <c r="A90" s="8"/>
      <c r="B90" s="8"/>
      <c r="C90" s="9"/>
      <c r="D90" s="12" t="s">
        <v>86</v>
      </c>
      <c r="E90" s="14">
        <v>3600320.7900000005</v>
      </c>
      <c r="F90" s="14">
        <v>2734080.2553712046</v>
      </c>
      <c r="G90" s="14">
        <v>889755.37</v>
      </c>
      <c r="H90" s="14">
        <v>0</v>
      </c>
      <c r="I90" s="13">
        <f t="shared" si="1"/>
        <v>7224156.4153712047</v>
      </c>
    </row>
    <row r="91" spans="1:9" ht="15.75" x14ac:dyDescent="0.25">
      <c r="A91" s="8"/>
      <c r="B91" s="8"/>
      <c r="C91" s="9"/>
      <c r="D91" s="12" t="s">
        <v>87</v>
      </c>
      <c r="E91" s="14">
        <v>10726475.719999999</v>
      </c>
      <c r="F91" s="14">
        <v>6236228.2502502427</v>
      </c>
      <c r="G91" s="14">
        <v>2279226.7799999998</v>
      </c>
      <c r="H91" s="14">
        <v>0</v>
      </c>
      <c r="I91" s="13">
        <f t="shared" si="1"/>
        <v>19241930.750250243</v>
      </c>
    </row>
    <row r="92" spans="1:9" ht="15.75" x14ac:dyDescent="0.25">
      <c r="A92" s="8"/>
      <c r="B92" s="8"/>
      <c r="C92" s="9"/>
      <c r="D92" s="12" t="s">
        <v>88</v>
      </c>
      <c r="E92" s="14">
        <v>1478854.5900000003</v>
      </c>
      <c r="F92" s="14">
        <v>860480.91892678489</v>
      </c>
      <c r="G92" s="14">
        <v>6563335.6800000006</v>
      </c>
      <c r="H92" s="14">
        <v>0</v>
      </c>
      <c r="I92" s="13">
        <f t="shared" si="1"/>
        <v>8902671.1889267862</v>
      </c>
    </row>
    <row r="93" spans="1:9" ht="15.75" x14ac:dyDescent="0.25">
      <c r="A93" s="8"/>
      <c r="B93" s="8"/>
      <c r="C93" s="9"/>
      <c r="D93" s="12" t="s">
        <v>89</v>
      </c>
      <c r="E93" s="14">
        <v>18592394.120000001</v>
      </c>
      <c r="F93" s="14">
        <v>6972003.2944779731</v>
      </c>
      <c r="G93" s="14">
        <v>845137.96</v>
      </c>
      <c r="H93" s="14">
        <v>0</v>
      </c>
      <c r="I93" s="13">
        <f t="shared" si="1"/>
        <v>26409535.374477975</v>
      </c>
    </row>
    <row r="94" spans="1:9" ht="15.75" x14ac:dyDescent="0.25">
      <c r="A94" s="8"/>
      <c r="B94" s="8"/>
      <c r="C94" s="9"/>
      <c r="D94" s="12" t="s">
        <v>90</v>
      </c>
      <c r="E94" s="14">
        <v>56840.05</v>
      </c>
      <c r="F94" s="14">
        <v>0</v>
      </c>
      <c r="G94" s="14">
        <v>204260.62</v>
      </c>
      <c r="H94" s="14">
        <v>0</v>
      </c>
      <c r="I94" s="13">
        <f t="shared" si="1"/>
        <v>261100.66999999998</v>
      </c>
    </row>
    <row r="95" spans="1:9" ht="15.75" x14ac:dyDescent="0.25">
      <c r="A95" s="8"/>
      <c r="B95" s="8"/>
      <c r="C95" s="9"/>
      <c r="D95" s="12" t="s">
        <v>91</v>
      </c>
      <c r="E95" s="14">
        <v>2272391.6799999997</v>
      </c>
      <c r="F95" s="14">
        <v>221168.62040714995</v>
      </c>
      <c r="G95" s="14">
        <v>6007030.9400000004</v>
      </c>
      <c r="H95" s="14">
        <v>0</v>
      </c>
      <c r="I95" s="13">
        <f t="shared" si="1"/>
        <v>8500591.2404071502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10835993.520000001</v>
      </c>
      <c r="H96" s="14">
        <v>0</v>
      </c>
      <c r="I96" s="13">
        <f t="shared" si="1"/>
        <v>10835993.520000001</v>
      </c>
    </row>
    <row r="97" spans="1:9" ht="15.75" x14ac:dyDescent="0.25">
      <c r="A97" s="8"/>
      <c r="B97" s="8"/>
      <c r="C97" s="9"/>
      <c r="D97" s="12" t="s">
        <v>93</v>
      </c>
      <c r="E97" s="14">
        <v>5852890.9299999997</v>
      </c>
      <c r="F97" s="14">
        <v>9931301.7365454733</v>
      </c>
      <c r="G97" s="14">
        <v>758313.17999999993</v>
      </c>
      <c r="H97" s="14">
        <v>0</v>
      </c>
      <c r="I97" s="13">
        <f t="shared" si="1"/>
        <v>16542505.846545473</v>
      </c>
    </row>
    <row r="98" spans="1:9" ht="15.75" x14ac:dyDescent="0.25">
      <c r="A98" s="8"/>
      <c r="B98" s="8"/>
      <c r="C98" s="9"/>
      <c r="D98" s="12" t="s">
        <v>94</v>
      </c>
      <c r="E98" s="14">
        <v>27001547.02</v>
      </c>
      <c r="F98" s="14">
        <v>13063485.508649549</v>
      </c>
      <c r="G98" s="14">
        <v>5735622.0300000003</v>
      </c>
      <c r="H98" s="14">
        <v>0</v>
      </c>
      <c r="I98" s="13">
        <f t="shared" si="1"/>
        <v>45800654.558649547</v>
      </c>
    </row>
    <row r="99" spans="1:9" ht="15.75" x14ac:dyDescent="0.25">
      <c r="A99" s="8"/>
      <c r="B99" s="8"/>
      <c r="C99" s="9"/>
      <c r="D99" s="12" t="s">
        <v>95</v>
      </c>
      <c r="E99" s="14">
        <v>34998329.109999999</v>
      </c>
      <c r="F99" s="14">
        <v>24892580.144341253</v>
      </c>
      <c r="G99" s="14">
        <v>2418655.63</v>
      </c>
      <c r="H99" s="14">
        <v>0</v>
      </c>
      <c r="I99" s="13">
        <f t="shared" si="1"/>
        <v>62309564.884341255</v>
      </c>
    </row>
    <row r="100" spans="1:9" ht="15.75" x14ac:dyDescent="0.25">
      <c r="A100" s="8"/>
      <c r="B100" s="8"/>
      <c r="C100" s="9"/>
      <c r="D100" s="12" t="s">
        <v>96</v>
      </c>
      <c r="E100" s="14">
        <v>33127383.73</v>
      </c>
      <c r="F100" s="14">
        <v>24904625.008175638</v>
      </c>
      <c r="G100" s="14">
        <v>4657827.42</v>
      </c>
      <c r="H100" s="14">
        <v>0</v>
      </c>
      <c r="I100" s="13">
        <f t="shared" si="1"/>
        <v>62689836.15817564</v>
      </c>
    </row>
    <row r="101" spans="1:9" ht="15.75" x14ac:dyDescent="0.25">
      <c r="A101" s="8"/>
      <c r="B101" s="8"/>
      <c r="C101" s="9"/>
      <c r="D101" s="12" t="s">
        <v>97</v>
      </c>
      <c r="E101" s="14">
        <v>1298427.8700000001</v>
      </c>
      <c r="F101" s="14">
        <v>33420343.739082292</v>
      </c>
      <c r="G101" s="14">
        <v>154157.12000000005</v>
      </c>
      <c r="H101" s="14">
        <v>0</v>
      </c>
      <c r="I101" s="13">
        <f t="shared" si="1"/>
        <v>34872928.729082286</v>
      </c>
    </row>
    <row r="102" spans="1:9" ht="15.75" x14ac:dyDescent="0.25">
      <c r="A102" s="8"/>
      <c r="B102" s="8"/>
      <c r="C102" s="9"/>
      <c r="D102" s="12" t="s">
        <v>98</v>
      </c>
      <c r="E102" s="14">
        <v>41319245.199999996</v>
      </c>
      <c r="F102" s="14">
        <v>14370249.399646722</v>
      </c>
      <c r="G102" s="14">
        <v>2527148.2200000007</v>
      </c>
      <c r="H102" s="14">
        <v>0</v>
      </c>
      <c r="I102" s="13">
        <f t="shared" si="1"/>
        <v>58216642.819646716</v>
      </c>
    </row>
    <row r="103" spans="1:9" ht="15.75" x14ac:dyDescent="0.25">
      <c r="A103" s="8"/>
      <c r="B103" s="8"/>
      <c r="C103" s="9"/>
      <c r="D103" s="12" t="s">
        <v>99</v>
      </c>
      <c r="E103" s="14">
        <v>12601900.530000003</v>
      </c>
      <c r="F103" s="14">
        <v>4563549.7027672492</v>
      </c>
      <c r="G103" s="14">
        <v>430870.37000000005</v>
      </c>
      <c r="H103" s="14">
        <v>0</v>
      </c>
      <c r="I103" s="13">
        <f t="shared" si="1"/>
        <v>17596320.602767255</v>
      </c>
    </row>
    <row r="104" spans="1:9" ht="15.75" x14ac:dyDescent="0.25">
      <c r="A104" s="8"/>
      <c r="B104" s="8"/>
      <c r="C104" s="9"/>
      <c r="D104" s="12" t="s">
        <v>100</v>
      </c>
      <c r="E104" s="14">
        <v>55124852.600000009</v>
      </c>
      <c r="F104" s="14">
        <v>8339095.3396801036</v>
      </c>
      <c r="G104" s="14">
        <v>4969830.22</v>
      </c>
      <c r="H104" s="14">
        <v>0</v>
      </c>
      <c r="I104" s="13">
        <f t="shared" si="1"/>
        <v>68433778.159680113</v>
      </c>
    </row>
    <row r="105" spans="1:9" ht="15.75" x14ac:dyDescent="0.25">
      <c r="A105" s="8"/>
      <c r="B105" s="8"/>
      <c r="C105" s="9"/>
      <c r="D105" s="12" t="s">
        <v>101</v>
      </c>
      <c r="E105" s="14">
        <v>7990426.2299999986</v>
      </c>
      <c r="F105" s="14">
        <v>12383989.052337628</v>
      </c>
      <c r="G105" s="14">
        <v>24054.75</v>
      </c>
      <c r="H105" s="14">
        <v>0</v>
      </c>
      <c r="I105" s="13">
        <f t="shared" si="1"/>
        <v>20398470.032337628</v>
      </c>
    </row>
    <row r="106" spans="1:9" ht="15.75" x14ac:dyDescent="0.25">
      <c r="A106" s="8"/>
      <c r="B106" s="8"/>
      <c r="C106" s="9"/>
      <c r="D106" s="12" t="s">
        <v>102</v>
      </c>
      <c r="E106" s="14">
        <v>8795091.1199999992</v>
      </c>
      <c r="F106" s="14">
        <v>763914.33818563493</v>
      </c>
      <c r="G106" s="14">
        <v>8275890.5100000007</v>
      </c>
      <c r="H106" s="14">
        <v>0</v>
      </c>
      <c r="I106" s="13">
        <f t="shared" si="1"/>
        <v>17834895.968185633</v>
      </c>
    </row>
    <row r="107" spans="1:9" ht="15.75" x14ac:dyDescent="0.25">
      <c r="A107" s="8"/>
      <c r="B107" s="8"/>
      <c r="C107" s="9"/>
      <c r="D107" s="12" t="s">
        <v>103</v>
      </c>
      <c r="E107" s="14">
        <v>73802.45</v>
      </c>
      <c r="F107" s="14">
        <v>0</v>
      </c>
      <c r="G107" s="14">
        <v>2767100.25</v>
      </c>
      <c r="H107" s="14">
        <v>0</v>
      </c>
      <c r="I107" s="13">
        <f t="shared" si="1"/>
        <v>2840902.7</v>
      </c>
    </row>
    <row r="108" spans="1:9" ht="15.75" x14ac:dyDescent="0.25">
      <c r="A108" s="8"/>
      <c r="B108" s="8"/>
      <c r="C108" s="9"/>
      <c r="D108" s="12" t="s">
        <v>104</v>
      </c>
      <c r="E108" s="14">
        <v>1060822.9000000001</v>
      </c>
      <c r="F108" s="14">
        <v>0</v>
      </c>
      <c r="G108" s="14">
        <v>776219.12000000011</v>
      </c>
      <c r="H108" s="14">
        <v>0</v>
      </c>
      <c r="I108" s="13">
        <f t="shared" si="1"/>
        <v>1837042.0200000003</v>
      </c>
    </row>
    <row r="109" spans="1:9" ht="15.75" x14ac:dyDescent="0.25">
      <c r="A109" s="8"/>
      <c r="B109" s="8"/>
      <c r="C109" s="9"/>
      <c r="D109" s="12" t="s">
        <v>105</v>
      </c>
      <c r="E109" s="14">
        <v>4526107.72</v>
      </c>
      <c r="F109" s="14">
        <v>19918882.061006758</v>
      </c>
      <c r="G109" s="14">
        <v>395926.92</v>
      </c>
      <c r="H109" s="14">
        <v>0</v>
      </c>
      <c r="I109" s="13">
        <f t="shared" si="1"/>
        <v>24840916.701006759</v>
      </c>
    </row>
    <row r="110" spans="1:9" ht="15.75" x14ac:dyDescent="0.25">
      <c r="A110" s="8"/>
      <c r="B110" s="8"/>
      <c r="C110" s="9"/>
      <c r="D110" s="12" t="s">
        <v>106</v>
      </c>
      <c r="E110" s="14">
        <v>5066994.1500000004</v>
      </c>
      <c r="F110" s="14">
        <v>4893225.9327168735</v>
      </c>
      <c r="G110" s="14">
        <v>536118.97000000009</v>
      </c>
      <c r="H110" s="14">
        <v>0</v>
      </c>
      <c r="I110" s="13">
        <f t="shared" si="1"/>
        <v>10496339.052716875</v>
      </c>
    </row>
    <row r="111" spans="1:9" ht="15.75" x14ac:dyDescent="0.25">
      <c r="A111" s="8"/>
      <c r="B111" s="8"/>
      <c r="C111" s="9"/>
      <c r="D111" s="12" t="s">
        <v>107</v>
      </c>
      <c r="E111" s="14">
        <v>135460.25</v>
      </c>
      <c r="F111" s="14">
        <v>76422.584328480007</v>
      </c>
      <c r="G111" s="14">
        <v>13876817.49</v>
      </c>
      <c r="H111" s="14">
        <v>0</v>
      </c>
      <c r="I111" s="13">
        <f t="shared" si="1"/>
        <v>14088700.32432848</v>
      </c>
    </row>
    <row r="112" spans="1:9" ht="15.75" x14ac:dyDescent="0.25">
      <c r="A112" s="8"/>
      <c r="B112" s="8"/>
      <c r="C112" s="9"/>
      <c r="D112" s="12" t="s">
        <v>108</v>
      </c>
      <c r="E112" s="14">
        <v>14370930.49</v>
      </c>
      <c r="F112" s="14">
        <v>5226951.7289556442</v>
      </c>
      <c r="G112" s="14">
        <v>1015133.97</v>
      </c>
      <c r="H112" s="14">
        <v>0</v>
      </c>
      <c r="I112" s="13">
        <f t="shared" si="1"/>
        <v>20613016.188955642</v>
      </c>
    </row>
    <row r="113" spans="1:9" ht="15.75" x14ac:dyDescent="0.25">
      <c r="A113" s="8"/>
      <c r="B113" s="8"/>
      <c r="C113" s="9"/>
      <c r="D113" s="12" t="s">
        <v>109</v>
      </c>
      <c r="E113" s="14">
        <v>11684592.469999999</v>
      </c>
      <c r="F113" s="14">
        <v>12585013.676332109</v>
      </c>
      <c r="G113" s="14">
        <v>684609.41999999993</v>
      </c>
      <c r="H113" s="14">
        <v>0</v>
      </c>
      <c r="I113" s="13">
        <f t="shared" si="1"/>
        <v>24954215.566332109</v>
      </c>
    </row>
    <row r="114" spans="1:9" ht="15.75" x14ac:dyDescent="0.25">
      <c r="A114" s="8"/>
      <c r="B114" s="8"/>
      <c r="C114" s="9"/>
      <c r="D114" s="12" t="s">
        <v>110</v>
      </c>
      <c r="E114" s="14">
        <v>33552141.670000002</v>
      </c>
      <c r="F114" s="14">
        <v>14434523.285107769</v>
      </c>
      <c r="G114" s="14">
        <v>2482090.25</v>
      </c>
      <c r="H114" s="14">
        <v>0</v>
      </c>
      <c r="I114" s="13">
        <f t="shared" si="1"/>
        <v>50468755.205107771</v>
      </c>
    </row>
    <row r="115" spans="1:9" ht="15.75" x14ac:dyDescent="0.25">
      <c r="A115" s="8"/>
      <c r="B115" s="8"/>
      <c r="C115" s="9"/>
      <c r="D115" s="12" t="s">
        <v>111</v>
      </c>
      <c r="E115" s="14">
        <v>40089591.699999988</v>
      </c>
      <c r="F115" s="14">
        <v>7136893.3269693134</v>
      </c>
      <c r="G115" s="14">
        <v>2459651.83</v>
      </c>
      <c r="H115" s="14">
        <v>0</v>
      </c>
      <c r="I115" s="13">
        <f t="shared" si="1"/>
        <v>49686136.856969297</v>
      </c>
    </row>
    <row r="116" spans="1:9" ht="15.75" x14ac:dyDescent="0.25">
      <c r="A116" s="8"/>
      <c r="B116" s="8"/>
      <c r="C116" s="9"/>
      <c r="D116" s="12" t="s">
        <v>112</v>
      </c>
      <c r="E116" s="14">
        <v>9592486.3800000008</v>
      </c>
      <c r="F116" s="14">
        <v>9267899.7103570793</v>
      </c>
      <c r="G116" s="14">
        <v>416791.6</v>
      </c>
      <c r="H116" s="14">
        <v>0</v>
      </c>
      <c r="I116" s="13">
        <f t="shared" si="1"/>
        <v>19277177.690357082</v>
      </c>
    </row>
    <row r="117" spans="1:9" ht="15.75" x14ac:dyDescent="0.25">
      <c r="A117" s="8"/>
      <c r="B117" s="8"/>
      <c r="C117" s="9"/>
      <c r="D117" s="12" t="s">
        <v>113</v>
      </c>
      <c r="E117" s="14">
        <v>7644385.21</v>
      </c>
      <c r="F117" s="14">
        <v>7156933.4883489283</v>
      </c>
      <c r="G117" s="14">
        <v>1072942.18</v>
      </c>
      <c r="H117" s="14">
        <v>0</v>
      </c>
      <c r="I117" s="13">
        <f t="shared" si="1"/>
        <v>15874260.878348928</v>
      </c>
    </row>
    <row r="118" spans="1:9" ht="15.75" x14ac:dyDescent="0.25">
      <c r="A118" s="8"/>
      <c r="B118" s="8"/>
      <c r="C118" s="9"/>
      <c r="D118" s="12" t="s">
        <v>114</v>
      </c>
      <c r="E118" s="14">
        <v>13810746.479999999</v>
      </c>
      <c r="F118" s="14">
        <v>11177737.473337693</v>
      </c>
      <c r="G118" s="14">
        <v>1391051.7799999998</v>
      </c>
      <c r="H118" s="14">
        <v>0</v>
      </c>
      <c r="I118" s="13">
        <f t="shared" si="1"/>
        <v>26379535.733337693</v>
      </c>
    </row>
    <row r="119" spans="1:9" ht="15.75" x14ac:dyDescent="0.25">
      <c r="A119" s="8"/>
      <c r="B119" s="8"/>
      <c r="C119" s="9"/>
      <c r="D119" s="12" t="s">
        <v>115</v>
      </c>
      <c r="E119" s="14">
        <v>3391951.4000000004</v>
      </c>
      <c r="F119" s="14">
        <v>1085595.2705900248</v>
      </c>
      <c r="G119" s="14">
        <v>542043.57999999996</v>
      </c>
      <c r="H119" s="14">
        <v>0</v>
      </c>
      <c r="I119" s="13">
        <f t="shared" si="1"/>
        <v>5019590.2505900254</v>
      </c>
    </row>
    <row r="120" spans="1:9" ht="15.75" x14ac:dyDescent="0.25">
      <c r="A120" s="8"/>
      <c r="B120" s="8"/>
      <c r="C120" s="9"/>
      <c r="D120" s="12" t="s">
        <v>116</v>
      </c>
      <c r="E120" s="14">
        <v>42152431.760000005</v>
      </c>
      <c r="F120" s="14">
        <v>4744534.1653821142</v>
      </c>
      <c r="G120" s="14">
        <v>1668448.4</v>
      </c>
      <c r="H120" s="14">
        <v>0</v>
      </c>
      <c r="I120" s="13">
        <f t="shared" si="1"/>
        <v>48565414.325382121</v>
      </c>
    </row>
    <row r="121" spans="1:9" ht="15.75" x14ac:dyDescent="0.25">
      <c r="A121" s="8"/>
      <c r="B121" s="8"/>
      <c r="C121" s="9"/>
      <c r="D121" s="12" t="s">
        <v>117</v>
      </c>
      <c r="E121" s="14">
        <v>12842366.859999999</v>
      </c>
      <c r="F121" s="14">
        <v>7040326.7462281641</v>
      </c>
      <c r="G121" s="14">
        <v>735001.76</v>
      </c>
      <c r="H121" s="14">
        <v>0</v>
      </c>
      <c r="I121" s="13">
        <f t="shared" si="1"/>
        <v>20617695.366228167</v>
      </c>
    </row>
    <row r="122" spans="1:9" ht="15.75" x14ac:dyDescent="0.25">
      <c r="A122" s="8"/>
      <c r="B122" s="8"/>
      <c r="C122" s="9"/>
      <c r="D122" s="12" t="s">
        <v>118</v>
      </c>
      <c r="E122" s="14">
        <v>17912234.730000004</v>
      </c>
      <c r="F122" s="14">
        <v>5190817.1374525046</v>
      </c>
      <c r="G122" s="14">
        <v>1439369.3699999999</v>
      </c>
      <c r="H122" s="14">
        <v>0</v>
      </c>
      <c r="I122" s="13">
        <f t="shared" si="1"/>
        <v>24542421.237452511</v>
      </c>
    </row>
    <row r="123" spans="1:9" ht="15.75" x14ac:dyDescent="0.25">
      <c r="A123" s="8"/>
      <c r="B123" s="8"/>
      <c r="C123" s="9"/>
      <c r="D123" s="12" t="s">
        <v>119</v>
      </c>
      <c r="E123" s="14">
        <v>18049101.32</v>
      </c>
      <c r="F123" s="14">
        <v>9537247.7861017473</v>
      </c>
      <c r="G123" s="14">
        <v>368851.85000000003</v>
      </c>
      <c r="H123" s="14">
        <v>0</v>
      </c>
      <c r="I123" s="13">
        <f t="shared" si="1"/>
        <v>27955200.956101749</v>
      </c>
    </row>
    <row r="124" spans="1:9" ht="15.75" x14ac:dyDescent="0.25">
      <c r="A124" s="8"/>
      <c r="B124" s="8"/>
      <c r="C124" s="9"/>
      <c r="D124" s="12" t="s">
        <v>120</v>
      </c>
      <c r="E124" s="14">
        <v>314017.34000000003</v>
      </c>
      <c r="F124" s="14">
        <v>0</v>
      </c>
      <c r="G124" s="14">
        <v>3837897.59</v>
      </c>
      <c r="H124" s="14">
        <v>773393.56499999983</v>
      </c>
      <c r="I124" s="13">
        <f t="shared" si="1"/>
        <v>4925308.4949999992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21698582.249999996</v>
      </c>
      <c r="H125" s="14">
        <v>142808.97499999998</v>
      </c>
      <c r="I125" s="13">
        <f t="shared" si="1"/>
        <v>21841391.224999998</v>
      </c>
    </row>
    <row r="126" spans="1:9" ht="15.75" x14ac:dyDescent="0.25">
      <c r="A126" s="8"/>
      <c r="B126" s="8"/>
      <c r="C126" s="9"/>
      <c r="D126" s="12" t="s">
        <v>122</v>
      </c>
      <c r="E126" s="14">
        <v>81576.340000000011</v>
      </c>
      <c r="F126" s="14">
        <v>0</v>
      </c>
      <c r="G126" s="14">
        <v>7890701.3499999996</v>
      </c>
      <c r="H126" s="14">
        <v>0</v>
      </c>
      <c r="I126" s="13">
        <f t="shared" si="1"/>
        <v>7972277.6899999995</v>
      </c>
    </row>
    <row r="127" spans="1:9" ht="15.75" x14ac:dyDescent="0.25">
      <c r="A127" s="8"/>
      <c r="B127" s="8"/>
      <c r="C127" s="9"/>
      <c r="D127" s="12" t="s">
        <v>123</v>
      </c>
      <c r="E127" s="14">
        <v>9458024.3500000015</v>
      </c>
      <c r="F127" s="14">
        <v>2010350.0749778547</v>
      </c>
      <c r="G127" s="14">
        <v>4301380.82</v>
      </c>
      <c r="H127" s="14">
        <v>0</v>
      </c>
      <c r="I127" s="13">
        <f t="shared" si="1"/>
        <v>15769755.244977856</v>
      </c>
    </row>
    <row r="128" spans="1:9" ht="15.75" x14ac:dyDescent="0.25">
      <c r="A128" s="8"/>
      <c r="B128" s="8"/>
      <c r="C128" s="9"/>
      <c r="D128" s="12" t="s">
        <v>124</v>
      </c>
      <c r="E128" s="14">
        <v>15442371.73</v>
      </c>
      <c r="F128" s="14">
        <v>6272362.8417533841</v>
      </c>
      <c r="G128" s="14">
        <v>1977068.9399999997</v>
      </c>
      <c r="H128" s="14">
        <v>0</v>
      </c>
      <c r="I128" s="13">
        <f t="shared" si="1"/>
        <v>23691803.511753384</v>
      </c>
    </row>
    <row r="129" spans="1:9" ht="15.75" x14ac:dyDescent="0.25">
      <c r="A129" s="8"/>
      <c r="B129" s="8"/>
      <c r="C129" s="9"/>
      <c r="D129" s="12" t="s">
        <v>125</v>
      </c>
      <c r="E129" s="14">
        <v>5447933.040000001</v>
      </c>
      <c r="F129" s="14">
        <v>3035721.0263959793</v>
      </c>
      <c r="G129" s="14">
        <v>1459344.3699999999</v>
      </c>
      <c r="H129" s="14">
        <v>0</v>
      </c>
      <c r="I129" s="13">
        <f t="shared" si="1"/>
        <v>9942998.4363959786</v>
      </c>
    </row>
    <row r="130" spans="1:9" ht="15.75" x14ac:dyDescent="0.25">
      <c r="A130" s="8"/>
      <c r="B130" s="8"/>
      <c r="C130" s="9"/>
      <c r="D130" s="12" t="s">
        <v>126</v>
      </c>
      <c r="E130" s="14">
        <v>3724153.8200000003</v>
      </c>
      <c r="F130" s="14">
        <v>5347608.0373655539</v>
      </c>
      <c r="G130" s="14">
        <v>336871.45</v>
      </c>
      <c r="H130" s="14">
        <v>0</v>
      </c>
      <c r="I130" s="13">
        <f t="shared" si="1"/>
        <v>9408633.3073655535</v>
      </c>
    </row>
    <row r="131" spans="1:9" ht="15.75" x14ac:dyDescent="0.25">
      <c r="A131" s="8"/>
      <c r="B131" s="8"/>
      <c r="C131" s="9"/>
      <c r="D131" s="12" t="s">
        <v>127</v>
      </c>
      <c r="E131" s="14">
        <v>61006322.909999982</v>
      </c>
      <c r="F131" s="14">
        <v>29226965.929156121</v>
      </c>
      <c r="G131" s="14">
        <v>9312118.5600000024</v>
      </c>
      <c r="H131" s="14">
        <v>0</v>
      </c>
      <c r="I131" s="13">
        <f t="shared" si="1"/>
        <v>99545407.399156108</v>
      </c>
    </row>
    <row r="132" spans="1:9" ht="15.75" x14ac:dyDescent="0.25">
      <c r="A132" s="8"/>
      <c r="B132" s="8"/>
      <c r="C132" s="9"/>
      <c r="D132" s="12" t="s">
        <v>128</v>
      </c>
      <c r="E132" s="14">
        <v>11559411.259999998</v>
      </c>
      <c r="F132" s="14">
        <v>17932621.713697661</v>
      </c>
      <c r="G132" s="14">
        <v>187354.43000000002</v>
      </c>
      <c r="H132" s="14">
        <v>0</v>
      </c>
      <c r="I132" s="13">
        <f t="shared" si="1"/>
        <v>29679387.403697658</v>
      </c>
    </row>
    <row r="133" spans="1:9" ht="15.75" x14ac:dyDescent="0.25">
      <c r="A133" s="8"/>
      <c r="B133" s="8"/>
      <c r="C133" s="9"/>
      <c r="D133" s="12" t="s">
        <v>129</v>
      </c>
      <c r="E133" s="14">
        <v>7303846.6700000009</v>
      </c>
      <c r="F133" s="14">
        <v>0</v>
      </c>
      <c r="G133" s="14">
        <v>12341609.220000001</v>
      </c>
      <c r="H133" s="14">
        <v>871692.12500000012</v>
      </c>
      <c r="I133" s="13">
        <f t="shared" si="1"/>
        <v>20517148.015000001</v>
      </c>
    </row>
    <row r="134" spans="1:9" ht="15.75" x14ac:dyDescent="0.25">
      <c r="A134" s="8"/>
      <c r="B134" s="8"/>
      <c r="C134" s="9"/>
      <c r="D134" s="12" t="s">
        <v>130</v>
      </c>
      <c r="E134" s="14">
        <v>1356125.52</v>
      </c>
      <c r="F134" s="14">
        <v>884570.64659554488</v>
      </c>
      <c r="G134" s="14">
        <v>19214.939999999999</v>
      </c>
      <c r="H134" s="14">
        <v>0</v>
      </c>
      <c r="I134" s="13">
        <f t="shared" si="1"/>
        <v>2259911.1065955446</v>
      </c>
    </row>
    <row r="135" spans="1:9" ht="15.75" x14ac:dyDescent="0.25">
      <c r="A135" s="8"/>
      <c r="B135" s="8"/>
      <c r="C135" s="9"/>
      <c r="D135" s="12" t="s">
        <v>131</v>
      </c>
      <c r="E135" s="14">
        <v>6581078.1599999992</v>
      </c>
      <c r="F135" s="14">
        <v>11177737.473337693</v>
      </c>
      <c r="G135" s="14">
        <v>344632.37999999995</v>
      </c>
      <c r="H135" s="14">
        <v>0</v>
      </c>
      <c r="I135" s="13">
        <f t="shared" si="1"/>
        <v>18103448.01333769</v>
      </c>
    </row>
    <row r="136" spans="1:9" ht="15.75" x14ac:dyDescent="0.25">
      <c r="A136" s="8"/>
      <c r="B136" s="8"/>
      <c r="C136" s="9"/>
      <c r="D136" s="12" t="s">
        <v>132</v>
      </c>
      <c r="E136" s="14">
        <v>44981916.439999998</v>
      </c>
      <c r="F136" s="14">
        <v>13509768.480719937</v>
      </c>
      <c r="G136" s="14">
        <v>4008927.23</v>
      </c>
      <c r="H136" s="14">
        <v>0</v>
      </c>
      <c r="I136" s="13">
        <f t="shared" si="1"/>
        <v>62500612.150719933</v>
      </c>
    </row>
    <row r="137" spans="1:9" ht="15.75" x14ac:dyDescent="0.25">
      <c r="A137" s="8"/>
      <c r="B137" s="8"/>
      <c r="C137" s="9"/>
      <c r="D137" s="12" t="s">
        <v>133</v>
      </c>
      <c r="E137" s="14">
        <v>50910837.789999999</v>
      </c>
      <c r="F137" s="14">
        <v>21241740.38212746</v>
      </c>
      <c r="G137" s="14">
        <v>6329559.4699999997</v>
      </c>
      <c r="H137" s="14">
        <v>0</v>
      </c>
      <c r="I137" s="13">
        <f t="shared" si="1"/>
        <v>78482137.642127454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8550353.8900000006</v>
      </c>
      <c r="H138" s="14">
        <v>0</v>
      </c>
      <c r="I138" s="13">
        <f t="shared" ref="I138:I144" si="2">SUM(E138:H138)</f>
        <v>8550353.8900000006</v>
      </c>
    </row>
    <row r="139" spans="1:9" ht="15.75" x14ac:dyDescent="0.25">
      <c r="A139" s="8"/>
      <c r="B139" s="8"/>
      <c r="C139" s="9"/>
      <c r="D139" s="12" t="s">
        <v>135</v>
      </c>
      <c r="E139" s="14">
        <v>6130182.8899999997</v>
      </c>
      <c r="F139" s="14">
        <v>3180467.0624746494</v>
      </c>
      <c r="G139" s="14">
        <v>664444.03</v>
      </c>
      <c r="H139" s="14">
        <v>0</v>
      </c>
      <c r="I139" s="13">
        <f t="shared" si="2"/>
        <v>9975093.9824746493</v>
      </c>
    </row>
    <row r="140" spans="1:9" ht="15.75" x14ac:dyDescent="0.25">
      <c r="A140" s="8"/>
      <c r="B140" s="8"/>
      <c r="C140" s="9"/>
      <c r="D140" s="12" t="s">
        <v>136</v>
      </c>
      <c r="E140" s="14">
        <v>26987767.149999999</v>
      </c>
      <c r="F140" s="14">
        <v>22556499.570669867</v>
      </c>
      <c r="G140" s="14">
        <v>1843535.7200000002</v>
      </c>
      <c r="H140" s="14">
        <v>0</v>
      </c>
      <c r="I140" s="13">
        <f t="shared" si="2"/>
        <v>51387802.440669864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9795123.1000000015</v>
      </c>
      <c r="H141" s="14">
        <v>67776.33</v>
      </c>
      <c r="I141" s="13">
        <f t="shared" si="2"/>
        <v>9862899.4300000016</v>
      </c>
    </row>
    <row r="142" spans="1:9" ht="15.75" x14ac:dyDescent="0.25">
      <c r="A142" s="8"/>
      <c r="B142" s="8"/>
      <c r="C142" s="9"/>
      <c r="D142" s="12" t="s">
        <v>138</v>
      </c>
      <c r="E142" s="14">
        <v>63350.400000000001</v>
      </c>
      <c r="F142" s="14">
        <v>0</v>
      </c>
      <c r="G142" s="14">
        <v>1853971.01</v>
      </c>
      <c r="H142" s="14">
        <v>0</v>
      </c>
      <c r="I142" s="13">
        <f t="shared" si="2"/>
        <v>1917321.41</v>
      </c>
    </row>
    <row r="143" spans="1:9" ht="15.75" x14ac:dyDescent="0.25">
      <c r="A143" s="8"/>
      <c r="B143" s="8"/>
      <c r="C143" s="9"/>
      <c r="D143" s="12" t="s">
        <v>139</v>
      </c>
      <c r="E143" s="14">
        <v>2953748.38</v>
      </c>
      <c r="F143" s="14">
        <v>20847686.43168373</v>
      </c>
      <c r="G143" s="14">
        <v>351846.81999999989</v>
      </c>
      <c r="H143" s="14">
        <v>0</v>
      </c>
      <c r="I143" s="13">
        <f t="shared" si="2"/>
        <v>24153281.63168373</v>
      </c>
    </row>
    <row r="144" spans="1:9" ht="15.75" x14ac:dyDescent="0.25">
      <c r="A144" s="8"/>
      <c r="B144" s="8"/>
      <c r="C144" s="9"/>
      <c r="D144" s="12" t="s">
        <v>140</v>
      </c>
      <c r="E144" s="14">
        <v>19098385.210000001</v>
      </c>
      <c r="F144" s="14">
        <v>2533055.6313767247</v>
      </c>
      <c r="G144" s="14">
        <v>3373609.1900000004</v>
      </c>
      <c r="H144" s="14">
        <v>0</v>
      </c>
      <c r="I144" s="13">
        <f t="shared" si="2"/>
        <v>25005050.031376727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2014169408.3500004</v>
      </c>
      <c r="F145" s="22">
        <f>SUM(F10:F144)</f>
        <v>1038302151.0946622</v>
      </c>
      <c r="G145" s="22">
        <f>SUM(G10:G144)</f>
        <v>499473767.81000018</v>
      </c>
      <c r="H145" s="22">
        <f>SUM(H10:H144)</f>
        <v>1855670.9950000001</v>
      </c>
      <c r="I145" s="22">
        <f>SUM(I10:I144)</f>
        <v>3553800998.2496624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158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159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569093.3600000001</v>
      </c>
      <c r="F10" s="14">
        <v>6159812.4127210919</v>
      </c>
      <c r="G10" s="14">
        <v>1404349.14</v>
      </c>
      <c r="H10" s="14">
        <v>0</v>
      </c>
      <c r="I10" s="13">
        <f t="shared" ref="I10:I73" si="0">SUM(E10:H10)</f>
        <v>8133254.9127210919</v>
      </c>
    </row>
    <row r="11" spans="1:9" ht="15.75" x14ac:dyDescent="0.25">
      <c r="A11" s="8"/>
      <c r="B11" s="8"/>
      <c r="C11" s="9"/>
      <c r="D11" s="12" t="s">
        <v>7</v>
      </c>
      <c r="E11" s="14">
        <v>1450466.9299999997</v>
      </c>
      <c r="F11" s="14">
        <v>3457357.0960210082</v>
      </c>
      <c r="G11" s="14">
        <v>717009.40999999992</v>
      </c>
      <c r="H11" s="14">
        <v>0</v>
      </c>
      <c r="I11" s="13">
        <f t="shared" si="0"/>
        <v>5624833.4360210076</v>
      </c>
    </row>
    <row r="12" spans="1:9" ht="15.75" x14ac:dyDescent="0.25">
      <c r="A12" s="8"/>
      <c r="B12" s="8"/>
      <c r="C12" s="9"/>
      <c r="D12" s="12" t="s">
        <v>8</v>
      </c>
      <c r="E12" s="14">
        <v>916132.81999999983</v>
      </c>
      <c r="F12" s="14">
        <v>1253393.2783212119</v>
      </c>
      <c r="G12" s="14">
        <v>2612724.96</v>
      </c>
      <c r="H12" s="14">
        <v>0</v>
      </c>
      <c r="I12" s="13">
        <f t="shared" si="0"/>
        <v>4782251.0583212115</v>
      </c>
    </row>
    <row r="13" spans="1:9" ht="15.75" x14ac:dyDescent="0.25">
      <c r="A13" s="8"/>
      <c r="B13" s="8"/>
      <c r="C13" s="9"/>
      <c r="D13" s="12" t="s">
        <v>9</v>
      </c>
      <c r="E13" s="14">
        <v>109278.42000000001</v>
      </c>
      <c r="F13" s="14">
        <v>33168.066985703997</v>
      </c>
      <c r="G13" s="14">
        <v>10213344.569999998</v>
      </c>
      <c r="H13" s="14">
        <v>0</v>
      </c>
      <c r="I13" s="13">
        <f t="shared" si="0"/>
        <v>10355791.056985702</v>
      </c>
    </row>
    <row r="14" spans="1:9" ht="15.75" x14ac:dyDescent="0.25">
      <c r="A14" s="8"/>
      <c r="B14" s="8"/>
      <c r="C14" s="9"/>
      <c r="D14" s="12" t="s">
        <v>10</v>
      </c>
      <c r="E14" s="14">
        <v>1069706.5599999998</v>
      </c>
      <c r="F14" s="14">
        <v>1392659.1981346798</v>
      </c>
      <c r="G14" s="14">
        <v>1420785.89</v>
      </c>
      <c r="H14" s="14">
        <v>0</v>
      </c>
      <c r="I14" s="13">
        <f t="shared" si="0"/>
        <v>3883151.6481346795</v>
      </c>
    </row>
    <row r="15" spans="1:9" ht="15.75" x14ac:dyDescent="0.25">
      <c r="A15" s="8"/>
      <c r="B15" s="8"/>
      <c r="C15" s="9"/>
      <c r="D15" s="12" t="s">
        <v>11</v>
      </c>
      <c r="E15" s="14">
        <v>208973.67</v>
      </c>
      <c r="F15" s="14">
        <v>7735.4097703320003</v>
      </c>
      <c r="G15" s="14">
        <v>10222032.469999999</v>
      </c>
      <c r="H15" s="14">
        <v>0</v>
      </c>
      <c r="I15" s="13">
        <f t="shared" si="0"/>
        <v>10438741.549770331</v>
      </c>
    </row>
    <row r="16" spans="1:9" ht="15.75" x14ac:dyDescent="0.25">
      <c r="A16" s="8"/>
      <c r="B16" s="8"/>
      <c r="C16" s="9"/>
      <c r="D16" s="12" t="s">
        <v>12</v>
      </c>
      <c r="E16" s="14">
        <v>1763187.8599999999</v>
      </c>
      <c r="F16" s="14">
        <v>6640606.6642763391</v>
      </c>
      <c r="G16" s="14">
        <v>2295579.7999999998</v>
      </c>
      <c r="H16" s="14">
        <v>0</v>
      </c>
      <c r="I16" s="13">
        <f t="shared" si="0"/>
        <v>10699374.324276339</v>
      </c>
    </row>
    <row r="17" spans="1:9" ht="15.75" x14ac:dyDescent="0.25">
      <c r="A17" s="8"/>
      <c r="B17" s="8"/>
      <c r="C17" s="9"/>
      <c r="D17" s="12" t="s">
        <v>13</v>
      </c>
      <c r="E17" s="14">
        <v>3780135.98</v>
      </c>
      <c r="F17" s="14">
        <v>6101240.2324675079</v>
      </c>
      <c r="G17" s="14">
        <v>3600653.4200000004</v>
      </c>
      <c r="H17" s="14">
        <v>0</v>
      </c>
      <c r="I17" s="13">
        <f t="shared" si="0"/>
        <v>13482029.632467508</v>
      </c>
    </row>
    <row r="18" spans="1:9" ht="15.75" x14ac:dyDescent="0.25">
      <c r="A18" s="8"/>
      <c r="B18" s="8"/>
      <c r="C18" s="9"/>
      <c r="D18" s="12" t="s">
        <v>14</v>
      </c>
      <c r="E18" s="14">
        <v>650983.68999999994</v>
      </c>
      <c r="F18" s="14">
        <v>497378.28504809993</v>
      </c>
      <c r="G18" s="14">
        <v>17613088.180000003</v>
      </c>
      <c r="H18" s="14">
        <v>0</v>
      </c>
      <c r="I18" s="13">
        <f t="shared" si="0"/>
        <v>18761450.155048102</v>
      </c>
    </row>
    <row r="19" spans="1:9" ht="15.75" x14ac:dyDescent="0.25">
      <c r="A19" s="8"/>
      <c r="B19" s="8"/>
      <c r="C19" s="9"/>
      <c r="D19" s="12" t="s">
        <v>15</v>
      </c>
      <c r="E19" s="14">
        <v>3007032.6500000004</v>
      </c>
      <c r="F19" s="14">
        <v>4747258.0831844881</v>
      </c>
      <c r="G19" s="14">
        <v>3669930.4800000004</v>
      </c>
      <c r="H19" s="14">
        <v>0</v>
      </c>
      <c r="I19" s="13">
        <f t="shared" si="0"/>
        <v>11424221.213184489</v>
      </c>
    </row>
    <row r="20" spans="1:9" ht="15.75" x14ac:dyDescent="0.25">
      <c r="A20" s="8"/>
      <c r="B20" s="8"/>
      <c r="C20" s="9"/>
      <c r="D20" s="12" t="s">
        <v>16</v>
      </c>
      <c r="E20" s="14">
        <v>2944108.85</v>
      </c>
      <c r="F20" s="14">
        <v>1304258.5927519558</v>
      </c>
      <c r="G20" s="14">
        <v>1264663.9100000001</v>
      </c>
      <c r="H20" s="14">
        <v>0</v>
      </c>
      <c r="I20" s="13">
        <f t="shared" si="0"/>
        <v>5513031.3527519563</v>
      </c>
    </row>
    <row r="21" spans="1:9" ht="15.75" x14ac:dyDescent="0.25">
      <c r="A21" s="8"/>
      <c r="B21" s="8"/>
      <c r="C21" s="9"/>
      <c r="D21" s="12" t="s">
        <v>17</v>
      </c>
      <c r="E21" s="14">
        <v>2673028.8499999996</v>
      </c>
      <c r="F21" s="14">
        <v>5679018.1611658437</v>
      </c>
      <c r="G21" s="14">
        <v>920390.2300000001</v>
      </c>
      <c r="H21" s="14">
        <v>0</v>
      </c>
      <c r="I21" s="13">
        <f t="shared" si="0"/>
        <v>9272437.2411658429</v>
      </c>
    </row>
    <row r="22" spans="1:9" ht="15.75" x14ac:dyDescent="0.25">
      <c r="A22" s="8"/>
      <c r="B22" s="8"/>
      <c r="C22" s="9"/>
      <c r="D22" s="12" t="s">
        <v>18</v>
      </c>
      <c r="E22" s="14">
        <v>177939.38</v>
      </c>
      <c r="F22" s="14">
        <v>243165.888684348</v>
      </c>
      <c r="G22" s="14">
        <v>7243725.1099999994</v>
      </c>
      <c r="H22" s="14">
        <v>0</v>
      </c>
      <c r="I22" s="13">
        <f t="shared" si="0"/>
        <v>7664830.3786843475</v>
      </c>
    </row>
    <row r="23" spans="1:9" ht="15.75" x14ac:dyDescent="0.25">
      <c r="A23" s="8"/>
      <c r="B23" s="8"/>
      <c r="C23" s="9"/>
      <c r="D23" s="12" t="s">
        <v>19</v>
      </c>
      <c r="E23" s="14">
        <v>251299.27000000002</v>
      </c>
      <c r="F23" s="14">
        <v>90627.033287099999</v>
      </c>
      <c r="G23" s="14">
        <v>2699043.56</v>
      </c>
      <c r="H23" s="14">
        <v>0</v>
      </c>
      <c r="I23" s="13">
        <f t="shared" si="0"/>
        <v>3040969.8632871001</v>
      </c>
    </row>
    <row r="24" spans="1:9" ht="15.75" x14ac:dyDescent="0.25">
      <c r="A24" s="8"/>
      <c r="B24" s="8"/>
      <c r="C24" s="9"/>
      <c r="D24" s="12" t="s">
        <v>20</v>
      </c>
      <c r="E24" s="14">
        <v>2090060.26</v>
      </c>
      <c r="F24" s="14">
        <v>3482789.7532363799</v>
      </c>
      <c r="G24" s="14">
        <v>2188802.64</v>
      </c>
      <c r="H24" s="14">
        <v>0</v>
      </c>
      <c r="I24" s="13">
        <f t="shared" si="0"/>
        <v>7761652.6532363798</v>
      </c>
    </row>
    <row r="25" spans="1:9" ht="15.75" x14ac:dyDescent="0.25">
      <c r="A25" s="8"/>
      <c r="B25" s="8"/>
      <c r="C25" s="9"/>
      <c r="D25" s="12" t="s">
        <v>21</v>
      </c>
      <c r="E25" s="14">
        <v>1260697.25</v>
      </c>
      <c r="F25" s="14">
        <v>2586395.6261976119</v>
      </c>
      <c r="G25" s="14">
        <v>2460128.4</v>
      </c>
      <c r="H25" s="14">
        <v>0</v>
      </c>
      <c r="I25" s="13">
        <f t="shared" si="0"/>
        <v>6307221.2761976123</v>
      </c>
    </row>
    <row r="26" spans="1:9" ht="15.75" x14ac:dyDescent="0.25">
      <c r="A26" s="8"/>
      <c r="B26" s="8"/>
      <c r="C26" s="9"/>
      <c r="D26" s="12" t="s">
        <v>22</v>
      </c>
      <c r="E26" s="14">
        <v>838964.96999999986</v>
      </c>
      <c r="F26" s="14">
        <v>1481088.347464896</v>
      </c>
      <c r="G26" s="14">
        <v>2157389.3600000003</v>
      </c>
      <c r="H26" s="14">
        <v>0</v>
      </c>
      <c r="I26" s="13">
        <f t="shared" si="0"/>
        <v>4477442.6774648968</v>
      </c>
    </row>
    <row r="27" spans="1:9" ht="15.75" x14ac:dyDescent="0.25">
      <c r="A27" s="8"/>
      <c r="B27" s="8"/>
      <c r="C27" s="9"/>
      <c r="D27" s="12" t="s">
        <v>23</v>
      </c>
      <c r="E27" s="14">
        <v>1367957.44</v>
      </c>
      <c r="F27" s="14">
        <v>254212.39636375202</v>
      </c>
      <c r="G27" s="14">
        <v>5386084.3299999991</v>
      </c>
      <c r="H27" s="14">
        <v>0</v>
      </c>
      <c r="I27" s="13">
        <f t="shared" si="0"/>
        <v>7008254.1663637515</v>
      </c>
    </row>
    <row r="28" spans="1:9" ht="15.75" x14ac:dyDescent="0.25">
      <c r="A28" s="8"/>
      <c r="B28" s="8"/>
      <c r="C28" s="9"/>
      <c r="D28" s="12" t="s">
        <v>24</v>
      </c>
      <c r="E28" s="14">
        <v>2520616.77</v>
      </c>
      <c r="F28" s="14">
        <v>1204782.9357423359</v>
      </c>
      <c r="G28" s="14">
        <v>1878401.43</v>
      </c>
      <c r="H28" s="14">
        <v>0</v>
      </c>
      <c r="I28" s="13">
        <f t="shared" si="0"/>
        <v>5603801.1357423356</v>
      </c>
    </row>
    <row r="29" spans="1:9" ht="15.75" x14ac:dyDescent="0.25">
      <c r="A29" s="8"/>
      <c r="B29" s="8"/>
      <c r="C29" s="9"/>
      <c r="D29" s="12" t="s">
        <v>25</v>
      </c>
      <c r="E29" s="14">
        <v>517637.47</v>
      </c>
      <c r="F29" s="14">
        <v>674236.58370853204</v>
      </c>
      <c r="G29" s="14">
        <v>712086.17</v>
      </c>
      <c r="H29" s="14">
        <v>0</v>
      </c>
      <c r="I29" s="13">
        <f t="shared" si="0"/>
        <v>1903960.2237085318</v>
      </c>
    </row>
    <row r="30" spans="1:9" ht="15.75" x14ac:dyDescent="0.25">
      <c r="A30" s="8"/>
      <c r="B30" s="8"/>
      <c r="C30" s="9"/>
      <c r="D30" s="12" t="s">
        <v>26</v>
      </c>
      <c r="E30" s="14">
        <v>1800949.7500000002</v>
      </c>
      <c r="F30" s="14">
        <v>3636413.2786383238</v>
      </c>
      <c r="G30" s="14">
        <v>2061948.3599999999</v>
      </c>
      <c r="H30" s="14">
        <v>0</v>
      </c>
      <c r="I30" s="13">
        <f t="shared" si="0"/>
        <v>7499311.3886383232</v>
      </c>
    </row>
    <row r="31" spans="1:9" ht="15.75" x14ac:dyDescent="0.25">
      <c r="A31" s="8"/>
      <c r="B31" s="8"/>
      <c r="C31" s="9"/>
      <c r="D31" s="12" t="s">
        <v>27</v>
      </c>
      <c r="E31" s="14">
        <v>947549.95</v>
      </c>
      <c r="F31" s="14">
        <v>3769057.002633648</v>
      </c>
      <c r="G31" s="14">
        <v>2080437.7200000002</v>
      </c>
      <c r="H31" s="14">
        <v>0</v>
      </c>
      <c r="I31" s="13">
        <f t="shared" si="0"/>
        <v>6797044.6726336479</v>
      </c>
    </row>
    <row r="32" spans="1:9" ht="15.75" x14ac:dyDescent="0.25">
      <c r="A32" s="8"/>
      <c r="B32" s="8"/>
      <c r="C32" s="9"/>
      <c r="D32" s="12" t="s">
        <v>28</v>
      </c>
      <c r="E32" s="14">
        <v>1641166.12</v>
      </c>
      <c r="F32" s="14">
        <v>1272203.73971844</v>
      </c>
      <c r="G32" s="14">
        <v>916223.78999999992</v>
      </c>
      <c r="H32" s="14">
        <v>0</v>
      </c>
      <c r="I32" s="13">
        <f t="shared" si="0"/>
        <v>3829593.6497184401</v>
      </c>
    </row>
    <row r="33" spans="1:9" ht="15.75" x14ac:dyDescent="0.25">
      <c r="A33" s="8"/>
      <c r="B33" s="8"/>
      <c r="C33" s="9"/>
      <c r="D33" s="12" t="s">
        <v>29</v>
      </c>
      <c r="E33" s="14">
        <v>401648.78999999986</v>
      </c>
      <c r="F33" s="14">
        <v>1923205.5501684838</v>
      </c>
      <c r="G33" s="14">
        <v>505898.20999999996</v>
      </c>
      <c r="H33" s="14">
        <v>0</v>
      </c>
      <c r="I33" s="13">
        <f t="shared" si="0"/>
        <v>2830752.5501684835</v>
      </c>
    </row>
    <row r="34" spans="1:9" ht="15.75" x14ac:dyDescent="0.25">
      <c r="A34" s="8"/>
      <c r="B34" s="8"/>
      <c r="C34" s="9"/>
      <c r="D34" s="12" t="s">
        <v>30</v>
      </c>
      <c r="E34" s="14">
        <v>2840515.84</v>
      </c>
      <c r="F34" s="14">
        <v>2759914.2830014797</v>
      </c>
      <c r="G34" s="14">
        <v>3325469.82</v>
      </c>
      <c r="H34" s="14">
        <v>0</v>
      </c>
      <c r="I34" s="13">
        <f t="shared" si="0"/>
        <v>8925899.9430014789</v>
      </c>
    </row>
    <row r="35" spans="1:9" ht="15.75" x14ac:dyDescent="0.25">
      <c r="A35" s="8"/>
      <c r="B35" s="8"/>
      <c r="C35" s="9"/>
      <c r="D35" s="12" t="s">
        <v>31</v>
      </c>
      <c r="E35" s="14">
        <v>1643699.8499999999</v>
      </c>
      <c r="F35" s="14">
        <v>4057550.6799352914</v>
      </c>
      <c r="G35" s="14">
        <v>2310422.09</v>
      </c>
      <c r="H35" s="14">
        <v>0</v>
      </c>
      <c r="I35" s="13">
        <f t="shared" si="0"/>
        <v>8011672.6199352909</v>
      </c>
    </row>
    <row r="36" spans="1:9" ht="15.75" x14ac:dyDescent="0.25">
      <c r="A36" s="8"/>
      <c r="B36" s="8"/>
      <c r="C36" s="9"/>
      <c r="D36" s="12" t="s">
        <v>32</v>
      </c>
      <c r="E36" s="14">
        <v>1011426.6799999998</v>
      </c>
      <c r="F36" s="14">
        <v>2517861.6082693199</v>
      </c>
      <c r="G36" s="14">
        <v>3960494.15</v>
      </c>
      <c r="H36" s="14">
        <v>0</v>
      </c>
      <c r="I36" s="13">
        <f t="shared" si="0"/>
        <v>7489782.438269319</v>
      </c>
    </row>
    <row r="37" spans="1:9" ht="15.75" x14ac:dyDescent="0.25">
      <c r="A37" s="8"/>
      <c r="B37" s="8"/>
      <c r="C37" s="9"/>
      <c r="D37" s="12" t="s">
        <v>33</v>
      </c>
      <c r="E37" s="14">
        <v>1086321.9999999998</v>
      </c>
      <c r="F37" s="14">
        <v>1392659.1981346798</v>
      </c>
      <c r="G37" s="14">
        <v>913894.94999999984</v>
      </c>
      <c r="H37" s="14">
        <v>0</v>
      </c>
      <c r="I37" s="13">
        <f t="shared" si="0"/>
        <v>3392876.1481346791</v>
      </c>
    </row>
    <row r="38" spans="1:9" ht="15.75" x14ac:dyDescent="0.25">
      <c r="A38" s="8"/>
      <c r="B38" s="8"/>
      <c r="C38" s="9"/>
      <c r="D38" s="12" t="s">
        <v>34</v>
      </c>
      <c r="E38" s="14">
        <v>925582.23</v>
      </c>
      <c r="F38" s="14">
        <v>3026314.9449443156</v>
      </c>
      <c r="G38" s="14">
        <v>791217.34</v>
      </c>
      <c r="H38" s="14">
        <v>0</v>
      </c>
      <c r="I38" s="13">
        <f t="shared" si="0"/>
        <v>4743114.5149443159</v>
      </c>
    </row>
    <row r="39" spans="1:9" ht="15.75" x14ac:dyDescent="0.25">
      <c r="A39" s="8"/>
      <c r="B39" s="8"/>
      <c r="C39" s="9"/>
      <c r="D39" s="12" t="s">
        <v>35</v>
      </c>
      <c r="E39" s="14">
        <v>603132.01000000013</v>
      </c>
      <c r="F39" s="14">
        <v>4738409.4594619684</v>
      </c>
      <c r="G39" s="14">
        <v>1416384.8400000003</v>
      </c>
      <c r="H39" s="14">
        <v>0</v>
      </c>
      <c r="I39" s="13">
        <f t="shared" si="0"/>
        <v>6757926.309461968</v>
      </c>
    </row>
    <row r="40" spans="1:9" ht="15.75" x14ac:dyDescent="0.25">
      <c r="A40" s="8"/>
      <c r="B40" s="8"/>
      <c r="C40" s="9"/>
      <c r="D40" s="12" t="s">
        <v>36</v>
      </c>
      <c r="E40" s="14">
        <v>47618.080000000002</v>
      </c>
      <c r="F40" s="14">
        <v>248703.41449779598</v>
      </c>
      <c r="G40" s="14">
        <v>806093.88</v>
      </c>
      <c r="H40" s="14">
        <v>0</v>
      </c>
      <c r="I40" s="13">
        <f t="shared" si="0"/>
        <v>1102415.3744977959</v>
      </c>
    </row>
    <row r="41" spans="1:9" ht="15.75" x14ac:dyDescent="0.25">
      <c r="A41" s="8"/>
      <c r="B41" s="8"/>
      <c r="C41" s="9"/>
      <c r="D41" s="12" t="s">
        <v>37</v>
      </c>
      <c r="E41" s="14">
        <v>1852768.3699999996</v>
      </c>
      <c r="F41" s="14">
        <v>4155913.1229927232</v>
      </c>
      <c r="G41" s="14">
        <v>2524559.1900000004</v>
      </c>
      <c r="H41" s="14">
        <v>0</v>
      </c>
      <c r="I41" s="13">
        <f t="shared" si="0"/>
        <v>8533240.6829927228</v>
      </c>
    </row>
    <row r="42" spans="1:9" ht="15.75" x14ac:dyDescent="0.25">
      <c r="A42" s="8"/>
      <c r="B42" s="8"/>
      <c r="C42" s="9"/>
      <c r="D42" s="12" t="s">
        <v>38</v>
      </c>
      <c r="E42" s="14">
        <v>2348936.9200000004</v>
      </c>
      <c r="F42" s="14">
        <v>4500781.0965910684</v>
      </c>
      <c r="G42" s="14">
        <v>1066808.0199999998</v>
      </c>
      <c r="H42" s="14">
        <v>0</v>
      </c>
      <c r="I42" s="13">
        <f t="shared" si="0"/>
        <v>7916526.0365910679</v>
      </c>
    </row>
    <row r="43" spans="1:9" ht="15.75" x14ac:dyDescent="0.25">
      <c r="A43" s="8"/>
      <c r="B43" s="8"/>
      <c r="C43" s="9"/>
      <c r="D43" s="12" t="s">
        <v>39</v>
      </c>
      <c r="E43" s="14">
        <v>580502.03</v>
      </c>
      <c r="F43" s="14">
        <v>1636938.3007712159</v>
      </c>
      <c r="G43" s="14">
        <v>1000545.1800000002</v>
      </c>
      <c r="H43" s="14">
        <v>0</v>
      </c>
      <c r="I43" s="13">
        <f t="shared" si="0"/>
        <v>3217985.5107712164</v>
      </c>
    </row>
    <row r="44" spans="1:9" ht="15.75" x14ac:dyDescent="0.25">
      <c r="A44" s="8"/>
      <c r="B44" s="8"/>
      <c r="C44" s="9"/>
      <c r="D44" s="12" t="s">
        <v>40</v>
      </c>
      <c r="E44" s="14">
        <v>1440.69</v>
      </c>
      <c r="F44" s="14">
        <v>125992.98422968799</v>
      </c>
      <c r="G44" s="14">
        <v>1656271.08</v>
      </c>
      <c r="H44" s="14">
        <v>0</v>
      </c>
      <c r="I44" s="13">
        <f t="shared" si="0"/>
        <v>1783704.7542296881</v>
      </c>
    </row>
    <row r="45" spans="1:9" ht="15.75" x14ac:dyDescent="0.25">
      <c r="A45" s="8"/>
      <c r="B45" s="8"/>
      <c r="C45" s="9"/>
      <c r="D45" s="12" t="s">
        <v>41</v>
      </c>
      <c r="E45" s="14">
        <v>767956.65</v>
      </c>
      <c r="F45" s="14">
        <v>36479.164894775997</v>
      </c>
      <c r="G45" s="14">
        <v>5715025.5299999993</v>
      </c>
      <c r="H45" s="14">
        <v>0</v>
      </c>
      <c r="I45" s="13">
        <f t="shared" si="0"/>
        <v>6519461.3448947752</v>
      </c>
    </row>
    <row r="46" spans="1:9" ht="15.75" x14ac:dyDescent="0.25">
      <c r="A46" s="8"/>
      <c r="B46" s="8"/>
      <c r="C46" s="9"/>
      <c r="D46" s="12" t="s">
        <v>42</v>
      </c>
      <c r="E46" s="14">
        <v>161933.39000000001</v>
      </c>
      <c r="F46" s="14">
        <v>121568.672368428</v>
      </c>
      <c r="G46" s="14">
        <v>8994049.8699999992</v>
      </c>
      <c r="H46" s="14">
        <v>0</v>
      </c>
      <c r="I46" s="13">
        <f t="shared" si="0"/>
        <v>9277551.9323684275</v>
      </c>
    </row>
    <row r="47" spans="1:9" ht="15.75" x14ac:dyDescent="0.25">
      <c r="A47" s="8"/>
      <c r="B47" s="8"/>
      <c r="C47" s="9"/>
      <c r="D47" s="12" t="s">
        <v>43</v>
      </c>
      <c r="E47" s="14">
        <v>794438.4600000002</v>
      </c>
      <c r="F47" s="14">
        <v>771485.81281377608</v>
      </c>
      <c r="G47" s="14">
        <v>1108162.6099999999</v>
      </c>
      <c r="H47" s="14">
        <v>0</v>
      </c>
      <c r="I47" s="13">
        <f t="shared" si="0"/>
        <v>2674086.8828137759</v>
      </c>
    </row>
    <row r="48" spans="1:9" ht="15.75" x14ac:dyDescent="0.25">
      <c r="A48" s="8"/>
      <c r="B48" s="8"/>
      <c r="C48" s="9"/>
      <c r="D48" s="12" t="s">
        <v>44</v>
      </c>
      <c r="E48" s="14">
        <v>1938559.76</v>
      </c>
      <c r="F48" s="14">
        <v>121568.672368428</v>
      </c>
      <c r="G48" s="14">
        <v>3225734.3200000003</v>
      </c>
      <c r="H48" s="14">
        <v>0</v>
      </c>
      <c r="I48" s="13">
        <f t="shared" si="0"/>
        <v>5285862.7523684278</v>
      </c>
    </row>
    <row r="49" spans="1:9" ht="15.75" x14ac:dyDescent="0.25">
      <c r="A49" s="8"/>
      <c r="B49" s="8"/>
      <c r="C49" s="9"/>
      <c r="D49" s="12" t="s">
        <v>45</v>
      </c>
      <c r="E49" s="14">
        <v>333553.14000000007</v>
      </c>
      <c r="F49" s="14">
        <v>144803.44562691599</v>
      </c>
      <c r="G49" s="14">
        <v>7758425.7399999993</v>
      </c>
      <c r="H49" s="14">
        <v>0</v>
      </c>
      <c r="I49" s="13">
        <f t="shared" si="0"/>
        <v>8236782.3256269153</v>
      </c>
    </row>
    <row r="50" spans="1:9" ht="15.75" x14ac:dyDescent="0.25">
      <c r="A50" s="8"/>
      <c r="B50" s="8"/>
      <c r="C50" s="9"/>
      <c r="D50" s="12" t="s">
        <v>46</v>
      </c>
      <c r="E50" s="14">
        <v>680515.77000000014</v>
      </c>
      <c r="F50" s="14">
        <v>1399309.937900316</v>
      </c>
      <c r="G50" s="14">
        <v>479472.62999999995</v>
      </c>
      <c r="H50" s="14">
        <v>0</v>
      </c>
      <c r="I50" s="13">
        <f t="shared" si="0"/>
        <v>2559298.3379003159</v>
      </c>
    </row>
    <row r="51" spans="1:9" ht="15.75" x14ac:dyDescent="0.25">
      <c r="A51" s="8"/>
      <c r="B51" s="8"/>
      <c r="C51" s="9"/>
      <c r="D51" s="12" t="s">
        <v>47</v>
      </c>
      <c r="E51" s="14">
        <v>820832.66</v>
      </c>
      <c r="F51" s="14">
        <v>2544378.9354893882</v>
      </c>
      <c r="G51" s="14">
        <v>1589508.39</v>
      </c>
      <c r="H51" s="14">
        <v>0</v>
      </c>
      <c r="I51" s="13">
        <f t="shared" si="0"/>
        <v>4954719.985489388</v>
      </c>
    </row>
    <row r="52" spans="1:9" ht="15.75" x14ac:dyDescent="0.25">
      <c r="A52" s="8"/>
      <c r="B52" s="8"/>
      <c r="C52" s="9"/>
      <c r="D52" s="12" t="s">
        <v>48</v>
      </c>
      <c r="E52" s="14">
        <v>807687.47000000009</v>
      </c>
      <c r="F52" s="14">
        <v>2564274.0668913121</v>
      </c>
      <c r="G52" s="14">
        <v>559113.42000000004</v>
      </c>
      <c r="H52" s="14">
        <v>0</v>
      </c>
      <c r="I52" s="13">
        <f t="shared" si="0"/>
        <v>3931074.9568913123</v>
      </c>
    </row>
    <row r="53" spans="1:9" ht="15.75" x14ac:dyDescent="0.25">
      <c r="A53" s="8"/>
      <c r="B53" s="8"/>
      <c r="C53" s="9"/>
      <c r="D53" s="12" t="s">
        <v>49</v>
      </c>
      <c r="E53" s="14">
        <v>698678.10999999987</v>
      </c>
      <c r="F53" s="14">
        <v>1757422.3031349478</v>
      </c>
      <c r="G53" s="14">
        <v>1283323.47</v>
      </c>
      <c r="H53" s="14">
        <v>0</v>
      </c>
      <c r="I53" s="13">
        <f t="shared" si="0"/>
        <v>3739423.8831349472</v>
      </c>
    </row>
    <row r="54" spans="1:9" ht="15.75" x14ac:dyDescent="0.25">
      <c r="A54" s="8"/>
      <c r="B54" s="8"/>
      <c r="C54" s="9"/>
      <c r="D54" s="12" t="s">
        <v>50</v>
      </c>
      <c r="E54" s="14">
        <v>1190833.5600000003</v>
      </c>
      <c r="F54" s="14">
        <v>1613732.07146022</v>
      </c>
      <c r="G54" s="14">
        <v>1066114.1500000001</v>
      </c>
      <c r="H54" s="14">
        <v>0</v>
      </c>
      <c r="I54" s="13">
        <f t="shared" si="0"/>
        <v>3870679.7814602209</v>
      </c>
    </row>
    <row r="55" spans="1:9" ht="15.75" x14ac:dyDescent="0.25">
      <c r="A55" s="8"/>
      <c r="B55" s="8"/>
      <c r="C55" s="9"/>
      <c r="D55" s="12" t="s">
        <v>51</v>
      </c>
      <c r="E55" s="14">
        <v>712158.20000000007</v>
      </c>
      <c r="F55" s="14">
        <v>3304846.7845712518</v>
      </c>
      <c r="G55" s="14">
        <v>66571.03</v>
      </c>
      <c r="H55" s="14">
        <v>0</v>
      </c>
      <c r="I55" s="13">
        <f t="shared" si="0"/>
        <v>4083576.0145712518</v>
      </c>
    </row>
    <row r="56" spans="1:9" ht="15.75" x14ac:dyDescent="0.25">
      <c r="A56" s="8"/>
      <c r="B56" s="8"/>
      <c r="C56" s="9"/>
      <c r="D56" s="12" t="s">
        <v>52</v>
      </c>
      <c r="E56" s="14">
        <v>770153.04999999993</v>
      </c>
      <c r="F56" s="14">
        <v>3678429.9693465475</v>
      </c>
      <c r="G56" s="14">
        <v>636369.9600000002</v>
      </c>
      <c r="H56" s="14">
        <v>0</v>
      </c>
      <c r="I56" s="13">
        <f t="shared" si="0"/>
        <v>5084952.9793465473</v>
      </c>
    </row>
    <row r="57" spans="1:9" ht="15.75" x14ac:dyDescent="0.25">
      <c r="A57" s="8"/>
      <c r="B57" s="8"/>
      <c r="C57" s="9"/>
      <c r="D57" s="12" t="s">
        <v>53</v>
      </c>
      <c r="E57" s="14">
        <v>350149.53</v>
      </c>
      <c r="F57" s="14">
        <v>1215829.4434217401</v>
      </c>
      <c r="G57" s="14">
        <v>573189.19999999995</v>
      </c>
      <c r="H57" s="14">
        <v>0</v>
      </c>
      <c r="I57" s="13">
        <f t="shared" si="0"/>
        <v>2139168.1734217401</v>
      </c>
    </row>
    <row r="58" spans="1:9" ht="15.75" x14ac:dyDescent="0.25">
      <c r="A58" s="8"/>
      <c r="B58" s="8"/>
      <c r="C58" s="9"/>
      <c r="D58" s="12" t="s">
        <v>54</v>
      </c>
      <c r="E58" s="14">
        <v>304273.21999999997</v>
      </c>
      <c r="F58" s="14">
        <v>1308682.9046132159</v>
      </c>
      <c r="G58" s="14">
        <v>189656.63000000003</v>
      </c>
      <c r="H58" s="14">
        <v>0</v>
      </c>
      <c r="I58" s="13">
        <f t="shared" si="0"/>
        <v>1802612.754613216</v>
      </c>
    </row>
    <row r="59" spans="1:9" ht="15.75" x14ac:dyDescent="0.25">
      <c r="A59" s="8"/>
      <c r="B59" s="8"/>
      <c r="C59" s="9"/>
      <c r="D59" s="12" t="s">
        <v>55</v>
      </c>
      <c r="E59" s="14">
        <v>945750.13</v>
      </c>
      <c r="F59" s="14">
        <v>2210586.0135179395</v>
      </c>
      <c r="G59" s="14">
        <v>985685.53999999992</v>
      </c>
      <c r="H59" s="14">
        <v>0</v>
      </c>
      <c r="I59" s="13">
        <f t="shared" si="0"/>
        <v>4142021.6835179394</v>
      </c>
    </row>
    <row r="60" spans="1:9" ht="15.75" x14ac:dyDescent="0.25">
      <c r="A60" s="8"/>
      <c r="B60" s="8"/>
      <c r="C60" s="9"/>
      <c r="D60" s="12" t="s">
        <v>56</v>
      </c>
      <c r="E60" s="14">
        <v>387141.06000000006</v>
      </c>
      <c r="F60" s="14">
        <v>1337398.1157901678</v>
      </c>
      <c r="G60" s="14">
        <v>553540.48999999987</v>
      </c>
      <c r="H60" s="14">
        <v>0</v>
      </c>
      <c r="I60" s="13">
        <f t="shared" si="0"/>
        <v>2278079.6657901676</v>
      </c>
    </row>
    <row r="61" spans="1:9" ht="15.75" x14ac:dyDescent="0.25">
      <c r="A61" s="8"/>
      <c r="B61" s="8"/>
      <c r="C61" s="9"/>
      <c r="D61" s="12" t="s">
        <v>57</v>
      </c>
      <c r="E61" s="14">
        <v>1047355.54</v>
      </c>
      <c r="F61" s="14">
        <v>2243754.080503644</v>
      </c>
      <c r="G61" s="14">
        <v>1198292.1299999999</v>
      </c>
      <c r="H61" s="14">
        <v>0</v>
      </c>
      <c r="I61" s="13">
        <f t="shared" si="0"/>
        <v>4489401.7505036443</v>
      </c>
    </row>
    <row r="62" spans="1:9" ht="15.75" x14ac:dyDescent="0.25">
      <c r="A62" s="8"/>
      <c r="B62" s="8"/>
      <c r="C62" s="9"/>
      <c r="D62" s="12" t="s">
        <v>58</v>
      </c>
      <c r="E62" s="14">
        <v>1626410.5499999996</v>
      </c>
      <c r="F62" s="14">
        <v>2503504.0026808442</v>
      </c>
      <c r="G62" s="14">
        <v>43401500.610000007</v>
      </c>
      <c r="H62" s="14">
        <v>0</v>
      </c>
      <c r="I62" s="13">
        <f t="shared" si="0"/>
        <v>47531415.162680849</v>
      </c>
    </row>
    <row r="63" spans="1:9" ht="15.75" x14ac:dyDescent="0.25">
      <c r="A63" s="8"/>
      <c r="B63" s="8"/>
      <c r="C63" s="9"/>
      <c r="D63" s="12" t="s">
        <v>59</v>
      </c>
      <c r="E63" s="14">
        <v>396911.08</v>
      </c>
      <c r="F63" s="14">
        <v>276333.95567005198</v>
      </c>
      <c r="G63" s="14">
        <v>2329159.9999999995</v>
      </c>
      <c r="H63" s="14">
        <v>0</v>
      </c>
      <c r="I63" s="13">
        <f t="shared" si="0"/>
        <v>3002405.0356700514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13601066.08</v>
      </c>
      <c r="H64" s="14">
        <v>0</v>
      </c>
      <c r="I64" s="13">
        <f t="shared" si="0"/>
        <v>13601066.08</v>
      </c>
    </row>
    <row r="65" spans="1:9" ht="15.75" x14ac:dyDescent="0.25">
      <c r="A65" s="8"/>
      <c r="B65" s="8"/>
      <c r="C65" s="9"/>
      <c r="D65" s="12" t="s">
        <v>61</v>
      </c>
      <c r="E65" s="14">
        <v>1043508.0599999997</v>
      </c>
      <c r="F65" s="14">
        <v>3271678.7175855478</v>
      </c>
      <c r="G65" s="14">
        <v>717904.5199999999</v>
      </c>
      <c r="H65" s="14">
        <v>0</v>
      </c>
      <c r="I65" s="13">
        <f t="shared" si="0"/>
        <v>5033091.297585547</v>
      </c>
    </row>
    <row r="66" spans="1:9" ht="15.75" x14ac:dyDescent="0.25">
      <c r="A66" s="8"/>
      <c r="B66" s="8"/>
      <c r="C66" s="9"/>
      <c r="D66" s="12" t="s">
        <v>62</v>
      </c>
      <c r="E66" s="14">
        <v>3757497.66</v>
      </c>
      <c r="F66" s="14">
        <v>6504680.3863194361</v>
      </c>
      <c r="G66" s="14">
        <v>3114428.3299999996</v>
      </c>
      <c r="H66" s="14">
        <v>0</v>
      </c>
      <c r="I66" s="13">
        <f t="shared" si="0"/>
        <v>13376606.376319436</v>
      </c>
    </row>
    <row r="67" spans="1:9" ht="15.75" x14ac:dyDescent="0.25">
      <c r="A67" s="8"/>
      <c r="B67" s="8"/>
      <c r="C67" s="9"/>
      <c r="D67" s="12" t="s">
        <v>63</v>
      </c>
      <c r="E67" s="14">
        <v>627709.44999999984</v>
      </c>
      <c r="F67" s="14">
        <v>3006419.8135423921</v>
      </c>
      <c r="G67" s="14">
        <v>924277.92000000016</v>
      </c>
      <c r="H67" s="14">
        <v>0</v>
      </c>
      <c r="I67" s="13">
        <f t="shared" si="0"/>
        <v>4558407.1835423922</v>
      </c>
    </row>
    <row r="68" spans="1:9" ht="15.75" x14ac:dyDescent="0.25">
      <c r="A68" s="8"/>
      <c r="B68" s="8"/>
      <c r="C68" s="9"/>
      <c r="D68" s="12" t="s">
        <v>64</v>
      </c>
      <c r="E68" s="14">
        <v>740094.94999999972</v>
      </c>
      <c r="F68" s="14">
        <v>1271090.5257662518</v>
      </c>
      <c r="G68" s="14">
        <v>344289.20999999996</v>
      </c>
      <c r="H68" s="14">
        <v>0</v>
      </c>
      <c r="I68" s="13">
        <f t="shared" si="0"/>
        <v>2355474.6857662518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3414129.42</v>
      </c>
      <c r="H69" s="14">
        <v>0</v>
      </c>
      <c r="I69" s="13">
        <f t="shared" si="0"/>
        <v>3414129.42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6995570.5699999994</v>
      </c>
      <c r="H70" s="14">
        <v>0</v>
      </c>
      <c r="I70" s="13">
        <f t="shared" si="0"/>
        <v>6995570.5699999994</v>
      </c>
    </row>
    <row r="71" spans="1:9" ht="15.75" x14ac:dyDescent="0.25">
      <c r="A71" s="8"/>
      <c r="B71" s="8"/>
      <c r="C71" s="9"/>
      <c r="D71" s="12" t="s">
        <v>67</v>
      </c>
      <c r="E71" s="14">
        <v>8507.49</v>
      </c>
      <c r="F71" s="14">
        <v>33168.066985703997</v>
      </c>
      <c r="G71" s="14">
        <v>4919783.88</v>
      </c>
      <c r="H71" s="14">
        <v>0</v>
      </c>
      <c r="I71" s="13">
        <f t="shared" si="0"/>
        <v>4961459.4369857041</v>
      </c>
    </row>
    <row r="72" spans="1:9" ht="15.75" x14ac:dyDescent="0.25">
      <c r="A72" s="8"/>
      <c r="B72" s="8"/>
      <c r="C72" s="9"/>
      <c r="D72" s="12" t="s">
        <v>68</v>
      </c>
      <c r="E72" s="14">
        <v>1491299.78</v>
      </c>
      <c r="F72" s="14">
        <v>2064697.8978863277</v>
      </c>
      <c r="G72" s="14">
        <v>7019638.4399999995</v>
      </c>
      <c r="H72" s="14">
        <v>0</v>
      </c>
      <c r="I72" s="13">
        <f t="shared" si="0"/>
        <v>10575636.117886327</v>
      </c>
    </row>
    <row r="73" spans="1:9" ht="15.75" x14ac:dyDescent="0.25">
      <c r="A73" s="8"/>
      <c r="B73" s="8"/>
      <c r="C73" s="9"/>
      <c r="D73" s="12" t="s">
        <v>69</v>
      </c>
      <c r="E73" s="14">
        <v>49396.740000000005</v>
      </c>
      <c r="F73" s="14">
        <v>0</v>
      </c>
      <c r="G73" s="14">
        <v>3831587.6399999992</v>
      </c>
      <c r="H73" s="14">
        <v>0</v>
      </c>
      <c r="I73" s="13">
        <f t="shared" si="0"/>
        <v>3880984.3799999994</v>
      </c>
    </row>
    <row r="74" spans="1:9" ht="15.75" x14ac:dyDescent="0.25">
      <c r="A74" s="8"/>
      <c r="B74" s="8"/>
      <c r="C74" s="9"/>
      <c r="D74" s="12" t="s">
        <v>70</v>
      </c>
      <c r="E74" s="14">
        <v>178614.2</v>
      </c>
      <c r="F74" s="14">
        <v>174631.87075605599</v>
      </c>
      <c r="G74" s="14">
        <v>24572197.18</v>
      </c>
      <c r="H74" s="14">
        <v>0</v>
      </c>
      <c r="I74" s="13">
        <f t="shared" ref="I74:I137" si="1">SUM(E74:H74)</f>
        <v>24925443.250756055</v>
      </c>
    </row>
    <row r="75" spans="1:9" ht="15.75" x14ac:dyDescent="0.25">
      <c r="A75" s="8"/>
      <c r="B75" s="8"/>
      <c r="C75" s="9"/>
      <c r="D75" s="12" t="s">
        <v>71</v>
      </c>
      <c r="E75" s="14">
        <v>925200.27</v>
      </c>
      <c r="F75" s="14">
        <v>678660.89556979202</v>
      </c>
      <c r="G75" s="14">
        <v>47624846.5</v>
      </c>
      <c r="H75" s="14">
        <v>0</v>
      </c>
      <c r="I75" s="13">
        <f t="shared" si="1"/>
        <v>49228707.66556979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11071314.77</v>
      </c>
      <c r="H76" s="14">
        <v>0</v>
      </c>
      <c r="I76" s="13">
        <f t="shared" si="1"/>
        <v>11071314.77</v>
      </c>
    </row>
    <row r="77" spans="1:9" ht="15.75" x14ac:dyDescent="0.25">
      <c r="A77" s="8"/>
      <c r="B77" s="8"/>
      <c r="C77" s="9"/>
      <c r="D77" s="12" t="s">
        <v>73</v>
      </c>
      <c r="E77" s="14">
        <v>566448.27</v>
      </c>
      <c r="F77" s="14">
        <v>3365616.8487817198</v>
      </c>
      <c r="G77" s="14">
        <v>976707.11999999988</v>
      </c>
      <c r="H77" s="14">
        <v>0</v>
      </c>
      <c r="I77" s="13">
        <f t="shared" si="1"/>
        <v>4908772.2387817195</v>
      </c>
    </row>
    <row r="78" spans="1:9" ht="15.75" x14ac:dyDescent="0.25">
      <c r="A78" s="8"/>
      <c r="B78" s="8"/>
      <c r="C78" s="9"/>
      <c r="D78" s="12" t="s">
        <v>74</v>
      </c>
      <c r="E78" s="14">
        <v>1602995.03</v>
      </c>
      <c r="F78" s="14">
        <v>3415368.9492602763</v>
      </c>
      <c r="G78" s="14">
        <v>1104151.3999999999</v>
      </c>
      <c r="H78" s="14">
        <v>0</v>
      </c>
      <c r="I78" s="13">
        <f t="shared" si="1"/>
        <v>6122515.3792602755</v>
      </c>
    </row>
    <row r="79" spans="1:9" ht="15.75" x14ac:dyDescent="0.25">
      <c r="A79" s="8"/>
      <c r="B79" s="8"/>
      <c r="C79" s="9"/>
      <c r="D79" s="12" t="s">
        <v>75</v>
      </c>
      <c r="E79" s="14">
        <v>1162351.27</v>
      </c>
      <c r="F79" s="14">
        <v>1917696.568302528</v>
      </c>
      <c r="G79" s="14">
        <v>1313461.8</v>
      </c>
      <c r="H79" s="14">
        <v>0</v>
      </c>
      <c r="I79" s="13">
        <f t="shared" si="1"/>
        <v>4393509.6383025283</v>
      </c>
    </row>
    <row r="80" spans="1:9" ht="15.75" x14ac:dyDescent="0.25">
      <c r="A80" s="8"/>
      <c r="B80" s="8"/>
      <c r="C80" s="9"/>
      <c r="D80" s="12" t="s">
        <v>76</v>
      </c>
      <c r="E80" s="14">
        <v>752573.43</v>
      </c>
      <c r="F80" s="14">
        <v>1013567.0314934279</v>
      </c>
      <c r="G80" s="14">
        <v>160469.68000000002</v>
      </c>
      <c r="H80" s="14">
        <v>0</v>
      </c>
      <c r="I80" s="13">
        <f t="shared" si="1"/>
        <v>1926610.1414934278</v>
      </c>
    </row>
    <row r="81" spans="1:9" ht="15.75" x14ac:dyDescent="0.25">
      <c r="A81" s="8"/>
      <c r="B81" s="8"/>
      <c r="C81" s="9"/>
      <c r="D81" s="12" t="s">
        <v>77</v>
      </c>
      <c r="E81" s="14">
        <v>3162778.55</v>
      </c>
      <c r="F81" s="14">
        <v>6115597.838055985</v>
      </c>
      <c r="G81" s="14">
        <v>3602176.6400000006</v>
      </c>
      <c r="H81" s="14">
        <v>0</v>
      </c>
      <c r="I81" s="13">
        <f t="shared" si="1"/>
        <v>12880553.028055985</v>
      </c>
    </row>
    <row r="82" spans="1:9" ht="15.75" x14ac:dyDescent="0.25">
      <c r="A82" s="8"/>
      <c r="B82" s="8"/>
      <c r="C82" s="9"/>
      <c r="D82" s="12" t="s">
        <v>78</v>
      </c>
      <c r="E82" s="14">
        <v>2810501.2200000007</v>
      </c>
      <c r="F82" s="14">
        <v>4238804.7465094915</v>
      </c>
      <c r="G82" s="14">
        <v>1206582.28</v>
      </c>
      <c r="H82" s="14">
        <v>0</v>
      </c>
      <c r="I82" s="13">
        <f t="shared" si="1"/>
        <v>8255888.2465094924</v>
      </c>
    </row>
    <row r="83" spans="1:9" ht="15.75" x14ac:dyDescent="0.25">
      <c r="A83" s="8"/>
      <c r="B83" s="8"/>
      <c r="C83" s="9"/>
      <c r="D83" s="12" t="s">
        <v>79</v>
      </c>
      <c r="E83" s="14">
        <v>840174.08000000007</v>
      </c>
      <c r="F83" s="14">
        <v>1740838.269642096</v>
      </c>
      <c r="G83" s="14">
        <v>2144893.71</v>
      </c>
      <c r="H83" s="14">
        <v>0</v>
      </c>
      <c r="I83" s="13">
        <f t="shared" si="1"/>
        <v>4725906.0596420961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18264584.439999998</v>
      </c>
      <c r="H84" s="14">
        <v>0</v>
      </c>
      <c r="I84" s="13">
        <f t="shared" si="1"/>
        <v>18264584.439999998</v>
      </c>
    </row>
    <row r="85" spans="1:9" ht="15.75" x14ac:dyDescent="0.25">
      <c r="A85" s="8"/>
      <c r="B85" s="8"/>
      <c r="C85" s="9"/>
      <c r="D85" s="12" t="s">
        <v>81</v>
      </c>
      <c r="E85" s="14">
        <v>864024.13000000012</v>
      </c>
      <c r="F85" s="14">
        <v>541592.85971320793</v>
      </c>
      <c r="G85" s="14">
        <v>6797098.1700000009</v>
      </c>
      <c r="H85" s="14">
        <v>0</v>
      </c>
      <c r="I85" s="13">
        <f t="shared" si="1"/>
        <v>8202715.1597132087</v>
      </c>
    </row>
    <row r="86" spans="1:9" ht="15.75" x14ac:dyDescent="0.25">
      <c r="A86" s="8"/>
      <c r="B86" s="8"/>
      <c r="C86" s="9"/>
      <c r="D86" s="12" t="s">
        <v>82</v>
      </c>
      <c r="E86" s="14">
        <v>974665.61</v>
      </c>
      <c r="F86" s="14">
        <v>2249291.6063170922</v>
      </c>
      <c r="G86" s="14">
        <v>534824.04999999993</v>
      </c>
      <c r="H86" s="14">
        <v>0</v>
      </c>
      <c r="I86" s="13">
        <f t="shared" si="1"/>
        <v>3758781.2663170919</v>
      </c>
    </row>
    <row r="87" spans="1:9" ht="15.75" x14ac:dyDescent="0.25">
      <c r="A87" s="8"/>
      <c r="B87" s="8"/>
      <c r="C87" s="9"/>
      <c r="D87" s="12" t="s">
        <v>83</v>
      </c>
      <c r="E87" s="14">
        <v>511507.97000000003</v>
      </c>
      <c r="F87" s="14">
        <v>2962205.2388772839</v>
      </c>
      <c r="G87" s="14">
        <v>411231.93999999994</v>
      </c>
      <c r="H87" s="14">
        <v>0</v>
      </c>
      <c r="I87" s="13">
        <f t="shared" si="1"/>
        <v>3884945.148877284</v>
      </c>
    </row>
    <row r="88" spans="1:9" ht="15.75" x14ac:dyDescent="0.25">
      <c r="A88" s="8"/>
      <c r="B88" s="8"/>
      <c r="C88" s="9"/>
      <c r="D88" s="12" t="s">
        <v>84</v>
      </c>
      <c r="E88" s="14">
        <v>420467.62</v>
      </c>
      <c r="F88" s="14">
        <v>0</v>
      </c>
      <c r="G88" s="14">
        <v>20192032.780000001</v>
      </c>
      <c r="H88" s="14">
        <v>0</v>
      </c>
      <c r="I88" s="13">
        <f t="shared" si="1"/>
        <v>20612500.400000002</v>
      </c>
    </row>
    <row r="89" spans="1:9" ht="15.75" x14ac:dyDescent="0.25">
      <c r="A89" s="8"/>
      <c r="B89" s="8"/>
      <c r="C89" s="9"/>
      <c r="D89" s="12" t="s">
        <v>85</v>
      </c>
      <c r="E89" s="14">
        <v>531784.42999999993</v>
      </c>
      <c r="F89" s="14">
        <v>2904717.7286283961</v>
      </c>
      <c r="G89" s="14">
        <v>631494.86</v>
      </c>
      <c r="H89" s="14">
        <v>0</v>
      </c>
      <c r="I89" s="13">
        <f t="shared" si="1"/>
        <v>4067997.0186283956</v>
      </c>
    </row>
    <row r="90" spans="1:9" ht="15.75" x14ac:dyDescent="0.25">
      <c r="A90" s="8"/>
      <c r="B90" s="8"/>
      <c r="C90" s="9"/>
      <c r="D90" s="12" t="s">
        <v>86</v>
      </c>
      <c r="E90" s="14">
        <v>454281.49</v>
      </c>
      <c r="F90" s="14">
        <v>751590.68141185201</v>
      </c>
      <c r="G90" s="14">
        <v>954772.29000000015</v>
      </c>
      <c r="H90" s="14">
        <v>0</v>
      </c>
      <c r="I90" s="13">
        <f t="shared" si="1"/>
        <v>2160644.4614118519</v>
      </c>
    </row>
    <row r="91" spans="1:9" ht="15.75" x14ac:dyDescent="0.25">
      <c r="A91" s="8"/>
      <c r="B91" s="8"/>
      <c r="C91" s="9"/>
      <c r="D91" s="12" t="s">
        <v>87</v>
      </c>
      <c r="E91" s="14">
        <v>881842.09</v>
      </c>
      <c r="F91" s="14">
        <v>1714320.9424220277</v>
      </c>
      <c r="G91" s="14">
        <v>2720847.13</v>
      </c>
      <c r="H91" s="14">
        <v>0</v>
      </c>
      <c r="I91" s="13">
        <f t="shared" si="1"/>
        <v>5317010.1624220274</v>
      </c>
    </row>
    <row r="92" spans="1:9" ht="15.75" x14ac:dyDescent="0.25">
      <c r="A92" s="8"/>
      <c r="B92" s="8"/>
      <c r="C92" s="9"/>
      <c r="D92" s="12" t="s">
        <v>88</v>
      </c>
      <c r="E92" s="14">
        <v>241317.94999999998</v>
      </c>
      <c r="F92" s="14">
        <v>236543.69286620402</v>
      </c>
      <c r="G92" s="14">
        <v>7440600.6799999997</v>
      </c>
      <c r="H92" s="14">
        <v>0</v>
      </c>
      <c r="I92" s="13">
        <f t="shared" si="1"/>
        <v>7918462.3228662033</v>
      </c>
    </row>
    <row r="93" spans="1:9" ht="15.75" x14ac:dyDescent="0.25">
      <c r="A93" s="8"/>
      <c r="B93" s="8"/>
      <c r="C93" s="9"/>
      <c r="D93" s="12" t="s">
        <v>89</v>
      </c>
      <c r="E93" s="14">
        <v>806666.85000000009</v>
      </c>
      <c r="F93" s="14">
        <v>1916583.3543503401</v>
      </c>
      <c r="G93" s="14">
        <v>1050640.81</v>
      </c>
      <c r="H93" s="14">
        <v>0</v>
      </c>
      <c r="I93" s="13">
        <f t="shared" si="1"/>
        <v>3773891.0143503402</v>
      </c>
    </row>
    <row r="94" spans="1:9" ht="15.75" x14ac:dyDescent="0.25">
      <c r="A94" s="8"/>
      <c r="B94" s="8"/>
      <c r="C94" s="9"/>
      <c r="D94" s="12" t="s">
        <v>90</v>
      </c>
      <c r="E94" s="14">
        <v>168794.26</v>
      </c>
      <c r="F94" s="14">
        <v>0</v>
      </c>
      <c r="G94" s="14">
        <v>179920.05</v>
      </c>
      <c r="H94" s="14">
        <v>0</v>
      </c>
      <c r="I94" s="13">
        <f t="shared" si="1"/>
        <v>348714.31</v>
      </c>
    </row>
    <row r="95" spans="1:9" ht="15.75" x14ac:dyDescent="0.25">
      <c r="A95" s="8"/>
      <c r="B95" s="8"/>
      <c r="C95" s="9"/>
      <c r="D95" s="12" t="s">
        <v>91</v>
      </c>
      <c r="E95" s="14">
        <v>201186.62000000002</v>
      </c>
      <c r="F95" s="14">
        <v>60798.60815796</v>
      </c>
      <c r="G95" s="14">
        <v>5959308.2499999991</v>
      </c>
      <c r="H95" s="14">
        <v>0</v>
      </c>
      <c r="I95" s="13">
        <f t="shared" si="1"/>
        <v>6221293.4781579589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12710822.460000001</v>
      </c>
      <c r="H96" s="14">
        <v>0</v>
      </c>
      <c r="I96" s="13">
        <f t="shared" si="1"/>
        <v>12710822.460000001</v>
      </c>
    </row>
    <row r="97" spans="1:9" ht="15.75" x14ac:dyDescent="0.25">
      <c r="A97" s="8"/>
      <c r="B97" s="8"/>
      <c r="C97" s="9"/>
      <c r="D97" s="12" t="s">
        <v>93</v>
      </c>
      <c r="E97" s="14">
        <v>472764.24</v>
      </c>
      <c r="F97" s="14">
        <v>2730085.8578723399</v>
      </c>
      <c r="G97" s="14">
        <v>672984.53</v>
      </c>
      <c r="H97" s="14">
        <v>0</v>
      </c>
      <c r="I97" s="13">
        <f t="shared" si="1"/>
        <v>3875834.6278723404</v>
      </c>
    </row>
    <row r="98" spans="1:9" ht="15.75" x14ac:dyDescent="0.25">
      <c r="A98" s="8"/>
      <c r="B98" s="8"/>
      <c r="C98" s="9"/>
      <c r="D98" s="12" t="s">
        <v>94</v>
      </c>
      <c r="E98" s="14">
        <v>2471997.5499999998</v>
      </c>
      <c r="F98" s="14">
        <v>3591114.0339685199</v>
      </c>
      <c r="G98" s="14">
        <v>5401972.2300000004</v>
      </c>
      <c r="H98" s="14">
        <v>0</v>
      </c>
      <c r="I98" s="13">
        <f t="shared" si="1"/>
        <v>11465083.813968521</v>
      </c>
    </row>
    <row r="99" spans="1:9" ht="15.75" x14ac:dyDescent="0.25">
      <c r="A99" s="8"/>
      <c r="B99" s="8"/>
      <c r="C99" s="9"/>
      <c r="D99" s="12" t="s">
        <v>95</v>
      </c>
      <c r="E99" s="14">
        <v>2080151.8799999997</v>
      </c>
      <c r="F99" s="14">
        <v>6842897.6201521438</v>
      </c>
      <c r="G99" s="14">
        <v>2777397.83</v>
      </c>
      <c r="H99" s="14">
        <v>0</v>
      </c>
      <c r="I99" s="13">
        <f t="shared" si="1"/>
        <v>11700447.330152143</v>
      </c>
    </row>
    <row r="100" spans="1:9" ht="15.75" x14ac:dyDescent="0.25">
      <c r="A100" s="8"/>
      <c r="B100" s="8"/>
      <c r="C100" s="9"/>
      <c r="D100" s="12" t="s">
        <v>96</v>
      </c>
      <c r="E100" s="14">
        <v>4834607.7</v>
      </c>
      <c r="F100" s="14">
        <v>6846208.7180612162</v>
      </c>
      <c r="G100" s="14">
        <v>5296226.4499999993</v>
      </c>
      <c r="H100" s="14">
        <v>0</v>
      </c>
      <c r="I100" s="13">
        <f t="shared" si="1"/>
        <v>16977042.868061215</v>
      </c>
    </row>
    <row r="101" spans="1:9" ht="15.75" x14ac:dyDescent="0.25">
      <c r="A101" s="8"/>
      <c r="B101" s="8"/>
      <c r="C101" s="9"/>
      <c r="D101" s="12" t="s">
        <v>97</v>
      </c>
      <c r="E101" s="14">
        <v>209284.28999999998</v>
      </c>
      <c r="F101" s="14">
        <v>9187154.9397751186</v>
      </c>
      <c r="G101" s="14">
        <v>99798.199999999983</v>
      </c>
      <c r="H101" s="14">
        <v>0</v>
      </c>
      <c r="I101" s="13">
        <f t="shared" si="1"/>
        <v>9496237.429775117</v>
      </c>
    </row>
    <row r="102" spans="1:9" ht="15.75" x14ac:dyDescent="0.25">
      <c r="A102" s="8"/>
      <c r="B102" s="8"/>
      <c r="C102" s="9"/>
      <c r="D102" s="12" t="s">
        <v>98</v>
      </c>
      <c r="E102" s="14">
        <v>2188799.21</v>
      </c>
      <c r="F102" s="14">
        <v>3950339.6131553398</v>
      </c>
      <c r="G102" s="14">
        <v>2746381.69</v>
      </c>
      <c r="H102" s="14">
        <v>0</v>
      </c>
      <c r="I102" s="13">
        <f t="shared" si="1"/>
        <v>8885520.5131553393</v>
      </c>
    </row>
    <row r="103" spans="1:9" ht="15.75" x14ac:dyDescent="0.25">
      <c r="A103" s="8"/>
      <c r="B103" s="8"/>
      <c r="C103" s="9"/>
      <c r="D103" s="12" t="s">
        <v>99</v>
      </c>
      <c r="E103" s="14">
        <v>1407053.3500000003</v>
      </c>
      <c r="F103" s="14">
        <v>1254506.4922733998</v>
      </c>
      <c r="G103" s="14">
        <v>451061.67</v>
      </c>
      <c r="H103" s="14">
        <v>0</v>
      </c>
      <c r="I103" s="13">
        <f t="shared" si="1"/>
        <v>3112621.5122734001</v>
      </c>
    </row>
    <row r="104" spans="1:9" ht="15.75" x14ac:dyDescent="0.25">
      <c r="A104" s="8"/>
      <c r="B104" s="8"/>
      <c r="C104" s="9"/>
      <c r="D104" s="12" t="s">
        <v>100</v>
      </c>
      <c r="E104" s="14">
        <v>2929055.13</v>
      </c>
      <c r="F104" s="14">
        <v>2292392.967030012</v>
      </c>
      <c r="G104" s="14">
        <v>6426023.3500000006</v>
      </c>
      <c r="H104" s="14">
        <v>0</v>
      </c>
      <c r="I104" s="13">
        <f t="shared" si="1"/>
        <v>11647471.447030012</v>
      </c>
    </row>
    <row r="105" spans="1:9" ht="15.75" x14ac:dyDescent="0.25">
      <c r="A105" s="8"/>
      <c r="B105" s="8"/>
      <c r="C105" s="9"/>
      <c r="D105" s="12" t="s">
        <v>101</v>
      </c>
      <c r="E105" s="14">
        <v>782556.60000000033</v>
      </c>
      <c r="F105" s="14">
        <v>3404322.4415808721</v>
      </c>
      <c r="G105" s="14">
        <v>29259.120000000003</v>
      </c>
      <c r="H105" s="14">
        <v>0</v>
      </c>
      <c r="I105" s="13">
        <f t="shared" si="1"/>
        <v>4216138.1615808727</v>
      </c>
    </row>
    <row r="106" spans="1:9" ht="15.75" x14ac:dyDescent="0.25">
      <c r="A106" s="8"/>
      <c r="B106" s="8"/>
      <c r="C106" s="9"/>
      <c r="D106" s="12" t="s">
        <v>102</v>
      </c>
      <c r="E106" s="14">
        <v>1006152.8599999999</v>
      </c>
      <c r="F106" s="14">
        <v>209997.82169864399</v>
      </c>
      <c r="G106" s="14">
        <v>10316995.109999999</v>
      </c>
      <c r="H106" s="14">
        <v>0</v>
      </c>
      <c r="I106" s="13">
        <f t="shared" si="1"/>
        <v>11533145.791698644</v>
      </c>
    </row>
    <row r="107" spans="1:9" ht="15.75" x14ac:dyDescent="0.25">
      <c r="A107" s="8"/>
      <c r="B107" s="8"/>
      <c r="C107" s="9"/>
      <c r="D107" s="12" t="s">
        <v>103</v>
      </c>
      <c r="E107" s="14">
        <v>11870.310000000001</v>
      </c>
      <c r="F107" s="14">
        <v>0</v>
      </c>
      <c r="G107" s="14">
        <v>3119605.1999999997</v>
      </c>
      <c r="H107" s="14">
        <v>0</v>
      </c>
      <c r="I107" s="13">
        <f t="shared" si="1"/>
        <v>3131475.51</v>
      </c>
    </row>
    <row r="108" spans="1:9" ht="15.75" x14ac:dyDescent="0.25">
      <c r="A108" s="8"/>
      <c r="B108" s="8"/>
      <c r="C108" s="9"/>
      <c r="D108" s="12" t="s">
        <v>104</v>
      </c>
      <c r="E108" s="14">
        <v>118445.3</v>
      </c>
      <c r="F108" s="14">
        <v>0</v>
      </c>
      <c r="G108" s="14">
        <v>3638908.4299999997</v>
      </c>
      <c r="H108" s="14">
        <v>0</v>
      </c>
      <c r="I108" s="13">
        <f t="shared" si="1"/>
        <v>3757353.7299999995</v>
      </c>
    </row>
    <row r="109" spans="1:9" ht="15.75" x14ac:dyDescent="0.25">
      <c r="A109" s="8"/>
      <c r="B109" s="8"/>
      <c r="C109" s="9"/>
      <c r="D109" s="12" t="s">
        <v>105</v>
      </c>
      <c r="E109" s="14">
        <v>251788.80000000002</v>
      </c>
      <c r="F109" s="14">
        <v>5475642.5352853443</v>
      </c>
      <c r="G109" s="14">
        <v>496298.94000000006</v>
      </c>
      <c r="H109" s="14">
        <v>0</v>
      </c>
      <c r="I109" s="13">
        <f t="shared" si="1"/>
        <v>6223730.2752853446</v>
      </c>
    </row>
    <row r="110" spans="1:9" ht="15.75" x14ac:dyDescent="0.25">
      <c r="A110" s="8"/>
      <c r="B110" s="8"/>
      <c r="C110" s="9"/>
      <c r="D110" s="12" t="s">
        <v>106</v>
      </c>
      <c r="E110" s="14">
        <v>455053.79000000004</v>
      </c>
      <c r="F110" s="14">
        <v>1345133.5255605001</v>
      </c>
      <c r="G110" s="14">
        <v>462336.51000000007</v>
      </c>
      <c r="H110" s="14">
        <v>0</v>
      </c>
      <c r="I110" s="13">
        <f t="shared" si="1"/>
        <v>2262523.8255605004</v>
      </c>
    </row>
    <row r="111" spans="1:9" ht="15.75" x14ac:dyDescent="0.25">
      <c r="A111" s="8"/>
      <c r="B111" s="8"/>
      <c r="C111" s="9"/>
      <c r="D111" s="12" t="s">
        <v>107</v>
      </c>
      <c r="E111" s="14">
        <v>41195.06</v>
      </c>
      <c r="F111" s="14">
        <v>21008.345354112</v>
      </c>
      <c r="G111" s="14">
        <v>15997104.469999999</v>
      </c>
      <c r="H111" s="14">
        <v>0</v>
      </c>
      <c r="I111" s="13">
        <f t="shared" si="1"/>
        <v>16059307.875354111</v>
      </c>
    </row>
    <row r="112" spans="1:9" ht="15.75" x14ac:dyDescent="0.25">
      <c r="A112" s="8"/>
      <c r="B112" s="8"/>
      <c r="C112" s="9"/>
      <c r="D112" s="12" t="s">
        <v>108</v>
      </c>
      <c r="E112" s="14">
        <v>914051.60999999987</v>
      </c>
      <c r="F112" s="14">
        <v>1436873.772799788</v>
      </c>
      <c r="G112" s="14">
        <v>1251556.42</v>
      </c>
      <c r="H112" s="14">
        <v>0</v>
      </c>
      <c r="I112" s="13">
        <f t="shared" si="1"/>
        <v>3602481.8027997878</v>
      </c>
    </row>
    <row r="113" spans="1:9" ht="15.75" x14ac:dyDescent="0.25">
      <c r="A113" s="8"/>
      <c r="B113" s="8"/>
      <c r="C113" s="9"/>
      <c r="D113" s="12" t="s">
        <v>109</v>
      </c>
      <c r="E113" s="14">
        <v>667300.0299999998</v>
      </c>
      <c r="F113" s="14">
        <v>3459583.523925384</v>
      </c>
      <c r="G113" s="14">
        <v>1756967.7600000002</v>
      </c>
      <c r="H113" s="14">
        <v>0</v>
      </c>
      <c r="I113" s="13">
        <f t="shared" si="1"/>
        <v>5883851.3139253836</v>
      </c>
    </row>
    <row r="114" spans="1:9" ht="15.75" x14ac:dyDescent="0.25">
      <c r="A114" s="8"/>
      <c r="B114" s="8"/>
      <c r="C114" s="9"/>
      <c r="D114" s="12" t="s">
        <v>110</v>
      </c>
      <c r="E114" s="14">
        <v>604323.79</v>
      </c>
      <c r="F114" s="14">
        <v>3968008.3166528875</v>
      </c>
      <c r="G114" s="14">
        <v>2079250.78</v>
      </c>
      <c r="H114" s="14">
        <v>0</v>
      </c>
      <c r="I114" s="13">
        <f t="shared" si="1"/>
        <v>6651582.8866528878</v>
      </c>
    </row>
    <row r="115" spans="1:9" ht="15.75" x14ac:dyDescent="0.25">
      <c r="A115" s="8"/>
      <c r="B115" s="8"/>
      <c r="C115" s="9"/>
      <c r="D115" s="12" t="s">
        <v>111</v>
      </c>
      <c r="E115" s="14">
        <v>5523337.709999999</v>
      </c>
      <c r="F115" s="14">
        <v>1961911.1429676358</v>
      </c>
      <c r="G115" s="14">
        <v>2627913.1</v>
      </c>
      <c r="H115" s="14">
        <v>0</v>
      </c>
      <c r="I115" s="13">
        <f t="shared" si="1"/>
        <v>10113161.952967634</v>
      </c>
    </row>
    <row r="116" spans="1:9" ht="15.75" x14ac:dyDescent="0.25">
      <c r="A116" s="8"/>
      <c r="B116" s="8"/>
      <c r="C116" s="9"/>
      <c r="D116" s="12" t="s">
        <v>112</v>
      </c>
      <c r="E116" s="14">
        <v>438220.69</v>
      </c>
      <c r="F116" s="14">
        <v>2547718.5773459519</v>
      </c>
      <c r="G116" s="14">
        <v>300752.71000000002</v>
      </c>
      <c r="H116" s="14">
        <v>0</v>
      </c>
      <c r="I116" s="13">
        <f t="shared" si="1"/>
        <v>3286691.9773459518</v>
      </c>
    </row>
    <row r="117" spans="1:9" ht="15.75" x14ac:dyDescent="0.25">
      <c r="A117" s="8"/>
      <c r="B117" s="8"/>
      <c r="C117" s="9"/>
      <c r="D117" s="12" t="s">
        <v>113</v>
      </c>
      <c r="E117" s="14">
        <v>495280.08999999997</v>
      </c>
      <c r="F117" s="14">
        <v>1967420.124833592</v>
      </c>
      <c r="G117" s="14">
        <v>1176131.4200000002</v>
      </c>
      <c r="H117" s="14">
        <v>0</v>
      </c>
      <c r="I117" s="13">
        <f t="shared" si="1"/>
        <v>3638831.634833592</v>
      </c>
    </row>
    <row r="118" spans="1:9" ht="15.75" x14ac:dyDescent="0.25">
      <c r="A118" s="8"/>
      <c r="B118" s="8"/>
      <c r="C118" s="9"/>
      <c r="D118" s="12" t="s">
        <v>114</v>
      </c>
      <c r="E118" s="14">
        <v>1383777.3</v>
      </c>
      <c r="F118" s="14">
        <v>3072727.4035663079</v>
      </c>
      <c r="G118" s="14">
        <v>1519266.6700000002</v>
      </c>
      <c r="H118" s="14">
        <v>0</v>
      </c>
      <c r="I118" s="13">
        <f t="shared" si="1"/>
        <v>5975771.3735663081</v>
      </c>
    </row>
    <row r="119" spans="1:9" ht="15.75" x14ac:dyDescent="0.25">
      <c r="A119" s="8"/>
      <c r="B119" s="8"/>
      <c r="C119" s="9"/>
      <c r="D119" s="12" t="s">
        <v>115</v>
      </c>
      <c r="E119" s="14">
        <v>202712.32000000001</v>
      </c>
      <c r="F119" s="14">
        <v>298426.97102886002</v>
      </c>
      <c r="G119" s="14">
        <v>712649.03</v>
      </c>
      <c r="H119" s="14">
        <v>0</v>
      </c>
      <c r="I119" s="13">
        <f t="shared" si="1"/>
        <v>1213788.3210288601</v>
      </c>
    </row>
    <row r="120" spans="1:9" ht="15.75" x14ac:dyDescent="0.25">
      <c r="A120" s="8"/>
      <c r="B120" s="8"/>
      <c r="C120" s="9"/>
      <c r="D120" s="12" t="s">
        <v>116</v>
      </c>
      <c r="E120" s="14">
        <v>2661316.5399999991</v>
      </c>
      <c r="F120" s="14">
        <v>1304258.5927519558</v>
      </c>
      <c r="G120" s="14">
        <v>1971921.07</v>
      </c>
      <c r="H120" s="14">
        <v>0</v>
      </c>
      <c r="I120" s="13">
        <f t="shared" si="1"/>
        <v>5937496.202751955</v>
      </c>
    </row>
    <row r="121" spans="1:9" ht="15.75" x14ac:dyDescent="0.25">
      <c r="A121" s="8"/>
      <c r="B121" s="8"/>
      <c r="C121" s="9"/>
      <c r="D121" s="12" t="s">
        <v>117</v>
      </c>
      <c r="E121" s="14">
        <v>551707.39000000013</v>
      </c>
      <c r="F121" s="14">
        <v>1935365.2718000761</v>
      </c>
      <c r="G121" s="14">
        <v>1211728.58</v>
      </c>
      <c r="H121" s="14">
        <v>0</v>
      </c>
      <c r="I121" s="13">
        <f t="shared" si="1"/>
        <v>3698801.2418000763</v>
      </c>
    </row>
    <row r="122" spans="1:9" ht="15.75" x14ac:dyDescent="0.25">
      <c r="A122" s="8"/>
      <c r="B122" s="8"/>
      <c r="C122" s="9"/>
      <c r="D122" s="12" t="s">
        <v>118</v>
      </c>
      <c r="E122" s="14">
        <v>1240551.9099999999</v>
      </c>
      <c r="F122" s="14">
        <v>1426940.479072572</v>
      </c>
      <c r="G122" s="14">
        <v>2465150.8299999996</v>
      </c>
      <c r="H122" s="14">
        <v>0</v>
      </c>
      <c r="I122" s="13">
        <f t="shared" si="1"/>
        <v>5132643.219072571</v>
      </c>
    </row>
    <row r="123" spans="1:9" ht="15.75" x14ac:dyDescent="0.25">
      <c r="A123" s="8"/>
      <c r="B123" s="8"/>
      <c r="C123" s="9"/>
      <c r="D123" s="12" t="s">
        <v>119</v>
      </c>
      <c r="E123" s="14">
        <v>963633.88</v>
      </c>
      <c r="F123" s="14">
        <v>2621761.5771401995</v>
      </c>
      <c r="G123" s="14">
        <v>387142.48000000004</v>
      </c>
      <c r="H123" s="14">
        <v>0</v>
      </c>
      <c r="I123" s="13">
        <f t="shared" si="1"/>
        <v>3972537.9371401994</v>
      </c>
    </row>
    <row r="124" spans="1:9" ht="15.75" x14ac:dyDescent="0.25">
      <c r="A124" s="8"/>
      <c r="B124" s="8"/>
      <c r="C124" s="9"/>
      <c r="D124" s="12" t="s">
        <v>120</v>
      </c>
      <c r="E124" s="14">
        <v>79947.610000000015</v>
      </c>
      <c r="F124" s="14">
        <v>0</v>
      </c>
      <c r="G124" s="14">
        <v>4618158.6900000004</v>
      </c>
      <c r="H124" s="14">
        <v>696430.34500000009</v>
      </c>
      <c r="I124" s="13">
        <f t="shared" si="1"/>
        <v>5394536.6450000005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21035458.050000004</v>
      </c>
      <c r="H125" s="14">
        <v>130222.005</v>
      </c>
      <c r="I125" s="13">
        <f t="shared" si="1"/>
        <v>21165680.055000003</v>
      </c>
    </row>
    <row r="126" spans="1:9" ht="15.75" x14ac:dyDescent="0.25">
      <c r="A126" s="8"/>
      <c r="B126" s="8"/>
      <c r="C126" s="9"/>
      <c r="D126" s="12" t="s">
        <v>122</v>
      </c>
      <c r="E126" s="14">
        <v>100588.15</v>
      </c>
      <c r="F126" s="14">
        <v>0</v>
      </c>
      <c r="G126" s="14">
        <v>6965523.75</v>
      </c>
      <c r="H126" s="14">
        <v>0</v>
      </c>
      <c r="I126" s="13">
        <f t="shared" si="1"/>
        <v>7066111.9000000004</v>
      </c>
    </row>
    <row r="127" spans="1:9" ht="15.75" x14ac:dyDescent="0.25">
      <c r="A127" s="8"/>
      <c r="B127" s="8"/>
      <c r="C127" s="9"/>
      <c r="D127" s="12" t="s">
        <v>123</v>
      </c>
      <c r="E127" s="14">
        <v>2773765.7099999995</v>
      </c>
      <c r="F127" s="14">
        <v>552639.36739261192</v>
      </c>
      <c r="G127" s="14">
        <v>12013765.530000001</v>
      </c>
      <c r="H127" s="14">
        <v>0</v>
      </c>
      <c r="I127" s="13">
        <f t="shared" si="1"/>
        <v>15340170.607392613</v>
      </c>
    </row>
    <row r="128" spans="1:9" ht="15.75" x14ac:dyDescent="0.25">
      <c r="A128" s="8"/>
      <c r="B128" s="8"/>
      <c r="C128" s="9"/>
      <c r="D128" s="12" t="s">
        <v>124</v>
      </c>
      <c r="E128" s="14">
        <v>1226387.5000000002</v>
      </c>
      <c r="F128" s="14">
        <v>1724254.236149244</v>
      </c>
      <c r="G128" s="14">
        <v>2427449.7200000002</v>
      </c>
      <c r="H128" s="14">
        <v>0</v>
      </c>
      <c r="I128" s="13">
        <f t="shared" si="1"/>
        <v>5378091.4561492447</v>
      </c>
    </row>
    <row r="129" spans="1:9" ht="15.75" x14ac:dyDescent="0.25">
      <c r="A129" s="8"/>
      <c r="B129" s="8"/>
      <c r="C129" s="9"/>
      <c r="D129" s="12" t="s">
        <v>125</v>
      </c>
      <c r="E129" s="14">
        <v>782792.74</v>
      </c>
      <c r="F129" s="14">
        <v>834510.84887611202</v>
      </c>
      <c r="G129" s="14">
        <v>2083189.2599999998</v>
      </c>
      <c r="H129" s="14">
        <v>0</v>
      </c>
      <c r="I129" s="13">
        <f t="shared" si="1"/>
        <v>3700492.8488761117</v>
      </c>
    </row>
    <row r="130" spans="1:9" ht="15.75" x14ac:dyDescent="0.25">
      <c r="A130" s="8"/>
      <c r="B130" s="8"/>
      <c r="C130" s="9"/>
      <c r="D130" s="12" t="s">
        <v>126</v>
      </c>
      <c r="E130" s="14">
        <v>314801.37000000005</v>
      </c>
      <c r="F130" s="14">
        <v>1470041.8397854918</v>
      </c>
      <c r="G130" s="14">
        <v>611996.38</v>
      </c>
      <c r="H130" s="14">
        <v>0</v>
      </c>
      <c r="I130" s="13">
        <f t="shared" si="1"/>
        <v>2396839.589785492</v>
      </c>
    </row>
    <row r="131" spans="1:9" ht="15.75" x14ac:dyDescent="0.25">
      <c r="A131" s="8"/>
      <c r="B131" s="8"/>
      <c r="C131" s="9"/>
      <c r="D131" s="12" t="s">
        <v>127</v>
      </c>
      <c r="E131" s="14">
        <v>3726200.2099999995</v>
      </c>
      <c r="F131" s="14">
        <v>8034407.6203106996</v>
      </c>
      <c r="G131" s="14">
        <v>11357299.909999996</v>
      </c>
      <c r="H131" s="14">
        <v>0</v>
      </c>
      <c r="I131" s="13">
        <f t="shared" si="1"/>
        <v>23117907.740310695</v>
      </c>
    </row>
    <row r="132" spans="1:9" ht="15.75" x14ac:dyDescent="0.25">
      <c r="A132" s="8"/>
      <c r="B132" s="8"/>
      <c r="C132" s="9"/>
      <c r="D132" s="12" t="s">
        <v>128</v>
      </c>
      <c r="E132" s="14">
        <v>818725.27</v>
      </c>
      <c r="F132" s="14">
        <v>4929625.3637108756</v>
      </c>
      <c r="G132" s="14">
        <v>244225.09</v>
      </c>
      <c r="H132" s="14">
        <v>0</v>
      </c>
      <c r="I132" s="13">
        <f t="shared" si="1"/>
        <v>5992575.723710876</v>
      </c>
    </row>
    <row r="133" spans="1:9" ht="15.75" x14ac:dyDescent="0.25">
      <c r="A133" s="8"/>
      <c r="B133" s="8"/>
      <c r="C133" s="9"/>
      <c r="D133" s="12" t="s">
        <v>129</v>
      </c>
      <c r="E133" s="14">
        <v>340676.2</v>
      </c>
      <c r="F133" s="14">
        <v>0</v>
      </c>
      <c r="G133" s="14">
        <v>25011940.969999999</v>
      </c>
      <c r="H133" s="14">
        <v>558094.34000000008</v>
      </c>
      <c r="I133" s="13">
        <f t="shared" si="1"/>
        <v>25910711.509999998</v>
      </c>
    </row>
    <row r="134" spans="1:9" ht="15.75" x14ac:dyDescent="0.25">
      <c r="A134" s="8"/>
      <c r="B134" s="8"/>
      <c r="C134" s="9"/>
      <c r="D134" s="12" t="s">
        <v>130</v>
      </c>
      <c r="E134" s="14">
        <v>188048.72</v>
      </c>
      <c r="F134" s="14">
        <v>243165.888684348</v>
      </c>
      <c r="G134" s="14">
        <v>12470.91</v>
      </c>
      <c r="H134" s="14">
        <v>0</v>
      </c>
      <c r="I134" s="13">
        <f t="shared" si="1"/>
        <v>443685.51868434798</v>
      </c>
    </row>
    <row r="135" spans="1:9" ht="15.75" x14ac:dyDescent="0.25">
      <c r="A135" s="8"/>
      <c r="B135" s="8"/>
      <c r="C135" s="9"/>
      <c r="D135" s="12" t="s">
        <v>131</v>
      </c>
      <c r="E135" s="14">
        <v>490784.42999999993</v>
      </c>
      <c r="F135" s="14">
        <v>3072727.4035663079</v>
      </c>
      <c r="G135" s="14">
        <v>446870.16999999993</v>
      </c>
      <c r="H135" s="14">
        <v>0</v>
      </c>
      <c r="I135" s="13">
        <f t="shared" si="1"/>
        <v>4010382.0035663079</v>
      </c>
    </row>
    <row r="136" spans="1:9" ht="15.75" x14ac:dyDescent="0.25">
      <c r="A136" s="8"/>
      <c r="B136" s="8"/>
      <c r="C136" s="9"/>
      <c r="D136" s="12" t="s">
        <v>132</v>
      </c>
      <c r="E136" s="14">
        <v>3053293.7</v>
      </c>
      <c r="F136" s="14">
        <v>3713795.9202891355</v>
      </c>
      <c r="G136" s="14">
        <v>4861330.74</v>
      </c>
      <c r="H136" s="14">
        <v>0</v>
      </c>
      <c r="I136" s="13">
        <f t="shared" si="1"/>
        <v>11628420.360289136</v>
      </c>
    </row>
    <row r="137" spans="1:9" ht="15.75" x14ac:dyDescent="0.25">
      <c r="A137" s="8"/>
      <c r="B137" s="8"/>
      <c r="C137" s="9"/>
      <c r="D137" s="12" t="s">
        <v>133</v>
      </c>
      <c r="E137" s="14">
        <v>2261084.81</v>
      </c>
      <c r="F137" s="14">
        <v>5839292.4263334246</v>
      </c>
      <c r="G137" s="14">
        <v>9239876.3299999982</v>
      </c>
      <c r="H137" s="14">
        <v>0</v>
      </c>
      <c r="I137" s="13">
        <f t="shared" si="1"/>
        <v>17340253.566333421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10162131.32</v>
      </c>
      <c r="H138" s="14">
        <v>0</v>
      </c>
      <c r="I138" s="13">
        <f t="shared" ref="I138:I144" si="2">SUM(E138:H138)</f>
        <v>10162131.32</v>
      </c>
    </row>
    <row r="139" spans="1:9" ht="15.75" x14ac:dyDescent="0.25">
      <c r="A139" s="8"/>
      <c r="B139" s="8"/>
      <c r="C139" s="9"/>
      <c r="D139" s="12" t="s">
        <v>135</v>
      </c>
      <c r="E139" s="14">
        <v>317363.28999999998</v>
      </c>
      <c r="F139" s="14">
        <v>874301.11167996004</v>
      </c>
      <c r="G139" s="14">
        <v>2347561.39</v>
      </c>
      <c r="H139" s="14">
        <v>0</v>
      </c>
      <c r="I139" s="13">
        <f t="shared" si="2"/>
        <v>3539225.7916799602</v>
      </c>
    </row>
    <row r="140" spans="1:9" ht="15.75" x14ac:dyDescent="0.25">
      <c r="A140" s="8"/>
      <c r="B140" s="8"/>
      <c r="C140" s="9"/>
      <c r="D140" s="12" t="s">
        <v>136</v>
      </c>
      <c r="E140" s="14">
        <v>2123057.5699999998</v>
      </c>
      <c r="F140" s="14">
        <v>6200715.8894771282</v>
      </c>
      <c r="G140" s="14">
        <v>2151982.2899999996</v>
      </c>
      <c r="H140" s="14">
        <v>0</v>
      </c>
      <c r="I140" s="13">
        <f t="shared" si="2"/>
        <v>10475755.749477128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11440796.15</v>
      </c>
      <c r="H141" s="14">
        <v>30916.205000000002</v>
      </c>
      <c r="I141" s="13">
        <f t="shared" si="2"/>
        <v>11471712.355</v>
      </c>
    </row>
    <row r="142" spans="1:9" ht="15.75" x14ac:dyDescent="0.25">
      <c r="A142" s="8"/>
      <c r="B142" s="8"/>
      <c r="C142" s="9"/>
      <c r="D142" s="12" t="s">
        <v>138</v>
      </c>
      <c r="E142" s="14">
        <v>0</v>
      </c>
      <c r="F142" s="14">
        <v>0</v>
      </c>
      <c r="G142" s="14">
        <v>2308933.86</v>
      </c>
      <c r="H142" s="14">
        <v>0</v>
      </c>
      <c r="I142" s="13">
        <f t="shared" si="2"/>
        <v>2308933.86</v>
      </c>
    </row>
    <row r="143" spans="1:9" ht="15.75" x14ac:dyDescent="0.25">
      <c r="A143" s="8"/>
      <c r="B143" s="8"/>
      <c r="C143" s="9"/>
      <c r="D143" s="12" t="s">
        <v>139</v>
      </c>
      <c r="E143" s="14">
        <v>137822.14000000001</v>
      </c>
      <c r="F143" s="14">
        <v>5730968.1456012828</v>
      </c>
      <c r="G143" s="14">
        <v>121700.94000000002</v>
      </c>
      <c r="H143" s="14">
        <v>0</v>
      </c>
      <c r="I143" s="13">
        <f t="shared" si="2"/>
        <v>5990491.2256012829</v>
      </c>
    </row>
    <row r="144" spans="1:9" ht="15.75" x14ac:dyDescent="0.25">
      <c r="A144" s="8"/>
      <c r="B144" s="8"/>
      <c r="C144" s="9"/>
      <c r="D144" s="12" t="s">
        <v>140</v>
      </c>
      <c r="E144" s="14">
        <v>1585535.6200000003</v>
      </c>
      <c r="F144" s="14">
        <v>696329.59906733991</v>
      </c>
      <c r="G144" s="14">
        <v>3464723.5799999996</v>
      </c>
      <c r="H144" s="14">
        <v>0</v>
      </c>
      <c r="I144" s="13">
        <f t="shared" si="2"/>
        <v>5746588.7990673399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141639906.92999992</v>
      </c>
      <c r="F145" s="22">
        <f>SUM(F10:F144)</f>
        <v>285426230.52836365</v>
      </c>
      <c r="G145" s="22">
        <f>SUM(G10:G144)</f>
        <v>612557602.41000009</v>
      </c>
      <c r="H145" s="22">
        <f>SUM(H10:H144)</f>
        <v>1415662.8950000003</v>
      </c>
      <c r="I145" s="22">
        <f>SUM(I10:I144)</f>
        <v>1041039402.7633641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>
      <selection activeCell="F21" sqref="F21"/>
    </sheetView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160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161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>
        <v>962762.52999999991</v>
      </c>
      <c r="F10" s="16">
        <v>6207396.157079949</v>
      </c>
      <c r="G10" s="16">
        <v>1048426.8</v>
      </c>
      <c r="H10" s="16">
        <v>0</v>
      </c>
      <c r="I10" s="13">
        <f t="shared" ref="I10:I73" si="0">SUM(E10:H10)</f>
        <v>8218585.4870799491</v>
      </c>
    </row>
    <row r="11" spans="1:9" ht="15.75" x14ac:dyDescent="0.25">
      <c r="A11" s="8"/>
      <c r="B11" s="8"/>
      <c r="C11" s="9"/>
      <c r="D11" s="12" t="s">
        <v>7</v>
      </c>
      <c r="E11" s="16">
        <v>1283916.56</v>
      </c>
      <c r="F11" s="16">
        <v>3484064.7269018763</v>
      </c>
      <c r="G11" s="16">
        <v>858576.3899999999</v>
      </c>
      <c r="H11" s="16">
        <v>0</v>
      </c>
      <c r="I11" s="13">
        <f t="shared" si="0"/>
        <v>5626557.676901876</v>
      </c>
    </row>
    <row r="12" spans="1:9" ht="15.75" x14ac:dyDescent="0.25">
      <c r="A12" s="8"/>
      <c r="B12" s="8"/>
      <c r="C12" s="9"/>
      <c r="D12" s="12" t="s">
        <v>8</v>
      </c>
      <c r="E12" s="16">
        <v>633232.81000000006</v>
      </c>
      <c r="F12" s="16">
        <v>1263075.5772843391</v>
      </c>
      <c r="G12" s="16">
        <v>1033354.5200000001</v>
      </c>
      <c r="H12" s="16">
        <v>0</v>
      </c>
      <c r="I12" s="13">
        <f t="shared" si="0"/>
        <v>2929662.9072843394</v>
      </c>
    </row>
    <row r="13" spans="1:9" ht="15.75" x14ac:dyDescent="0.25">
      <c r="A13" s="8"/>
      <c r="B13" s="8"/>
      <c r="C13" s="9"/>
      <c r="D13" s="12" t="s">
        <v>9</v>
      </c>
      <c r="E13" s="16">
        <v>110422.31</v>
      </c>
      <c r="F13" s="16">
        <v>33424.285960338006</v>
      </c>
      <c r="G13" s="16">
        <v>10832950.060000001</v>
      </c>
      <c r="H13" s="16">
        <v>0</v>
      </c>
      <c r="I13" s="13">
        <f t="shared" si="0"/>
        <v>10976796.655960338</v>
      </c>
    </row>
    <row r="14" spans="1:9" ht="15.75" x14ac:dyDescent="0.25">
      <c r="A14" s="8"/>
      <c r="B14" s="8"/>
      <c r="C14" s="9"/>
      <c r="D14" s="12" t="s">
        <v>10</v>
      </c>
      <c r="E14" s="16">
        <v>1562257.97</v>
      </c>
      <c r="F14" s="16">
        <v>1403417.3080937101</v>
      </c>
      <c r="G14" s="16">
        <v>1349337.4999999998</v>
      </c>
      <c r="H14" s="16">
        <v>0</v>
      </c>
      <c r="I14" s="13">
        <f t="shared" si="0"/>
        <v>4315012.7780937096</v>
      </c>
    </row>
    <row r="15" spans="1:9" ht="15.75" x14ac:dyDescent="0.25">
      <c r="A15" s="8"/>
      <c r="B15" s="8"/>
      <c r="C15" s="9"/>
      <c r="D15" s="12" t="s">
        <v>11</v>
      </c>
      <c r="E15" s="16">
        <v>840.9</v>
      </c>
      <c r="F15" s="16">
        <v>7795.1647979790005</v>
      </c>
      <c r="G15" s="16">
        <v>11783591.380000001</v>
      </c>
      <c r="H15" s="16">
        <v>0</v>
      </c>
      <c r="I15" s="13">
        <f t="shared" si="0"/>
        <v>11792227.44479798</v>
      </c>
    </row>
    <row r="16" spans="1:9" ht="15.75" x14ac:dyDescent="0.25">
      <c r="A16" s="8"/>
      <c r="B16" s="8"/>
      <c r="C16" s="9"/>
      <c r="D16" s="12" t="s">
        <v>12</v>
      </c>
      <c r="E16" s="16">
        <v>1251439.5900000001</v>
      </c>
      <c r="F16" s="16">
        <v>6691904.4812761052</v>
      </c>
      <c r="G16" s="16">
        <v>2278379.7800000003</v>
      </c>
      <c r="H16" s="16">
        <v>0</v>
      </c>
      <c r="I16" s="13">
        <f t="shared" si="0"/>
        <v>10221723.851276105</v>
      </c>
    </row>
    <row r="17" spans="1:9" ht="15.75" x14ac:dyDescent="0.25">
      <c r="A17" s="8"/>
      <c r="B17" s="8"/>
      <c r="C17" s="9"/>
      <c r="D17" s="12" t="s">
        <v>13</v>
      </c>
      <c r="E17" s="16">
        <v>2340916.3399999994</v>
      </c>
      <c r="F17" s="16">
        <v>6148371.5144030014</v>
      </c>
      <c r="G17" s="16">
        <v>3355957.06</v>
      </c>
      <c r="H17" s="16">
        <v>0</v>
      </c>
      <c r="I17" s="13">
        <f t="shared" si="0"/>
        <v>11845244.914403001</v>
      </c>
    </row>
    <row r="18" spans="1:9" ht="15.75" x14ac:dyDescent="0.25">
      <c r="A18" s="8"/>
      <c r="B18" s="8"/>
      <c r="C18" s="9"/>
      <c r="D18" s="12" t="s">
        <v>14</v>
      </c>
      <c r="E18" s="16">
        <v>1099550.2199999997</v>
      </c>
      <c r="F18" s="16">
        <v>501220.46717632504</v>
      </c>
      <c r="G18" s="16">
        <v>18654575.169999998</v>
      </c>
      <c r="H18" s="16">
        <v>0</v>
      </c>
      <c r="I18" s="13">
        <f t="shared" si="0"/>
        <v>20255345.857176322</v>
      </c>
    </row>
    <row r="19" spans="1:9" ht="15.75" x14ac:dyDescent="0.25">
      <c r="A19" s="8"/>
      <c r="B19" s="8"/>
      <c r="C19" s="9"/>
      <c r="D19" s="12" t="s">
        <v>15</v>
      </c>
      <c r="E19" s="16">
        <v>2878975.61</v>
      </c>
      <c r="F19" s="16">
        <v>4783930.0302991867</v>
      </c>
      <c r="G19" s="16">
        <v>2645974.1899999995</v>
      </c>
      <c r="H19" s="16">
        <v>0</v>
      </c>
      <c r="I19" s="13">
        <f t="shared" si="0"/>
        <v>10308879.830299186</v>
      </c>
    </row>
    <row r="20" spans="1:9" ht="15.75" x14ac:dyDescent="0.25">
      <c r="A20" s="8"/>
      <c r="B20" s="8"/>
      <c r="C20" s="9"/>
      <c r="D20" s="12" t="s">
        <v>16</v>
      </c>
      <c r="E20" s="16">
        <v>1832081.8000000003</v>
      </c>
      <c r="F20" s="16">
        <v>1314333.8196090572</v>
      </c>
      <c r="G20" s="16">
        <v>1471113.25</v>
      </c>
      <c r="H20" s="16">
        <v>0</v>
      </c>
      <c r="I20" s="13">
        <f t="shared" si="0"/>
        <v>4617528.8696090579</v>
      </c>
    </row>
    <row r="21" spans="1:9" ht="15.75" x14ac:dyDescent="0.25">
      <c r="A21" s="8"/>
      <c r="B21" s="8"/>
      <c r="C21" s="9"/>
      <c r="D21" s="12" t="s">
        <v>17</v>
      </c>
      <c r="E21" s="16">
        <v>1328581.4500000002</v>
      </c>
      <c r="F21" s="16">
        <v>5722887.8328837939</v>
      </c>
      <c r="G21" s="16">
        <v>981956.29999999993</v>
      </c>
      <c r="H21" s="16">
        <v>0</v>
      </c>
      <c r="I21" s="13">
        <f t="shared" si="0"/>
        <v>8033425.5828837939</v>
      </c>
    </row>
    <row r="22" spans="1:9" ht="15.75" x14ac:dyDescent="0.25">
      <c r="A22" s="8"/>
      <c r="B22" s="8"/>
      <c r="C22" s="9"/>
      <c r="D22" s="12" t="s">
        <v>18</v>
      </c>
      <c r="E22" s="16">
        <v>943478.3899999999</v>
      </c>
      <c r="F22" s="16">
        <v>245044.31333573104</v>
      </c>
      <c r="G22" s="16">
        <v>6690748.1200000001</v>
      </c>
      <c r="H22" s="16">
        <v>0</v>
      </c>
      <c r="I22" s="13">
        <f t="shared" si="0"/>
        <v>7879270.8233357314</v>
      </c>
    </row>
    <row r="23" spans="1:9" ht="15.75" x14ac:dyDescent="0.25">
      <c r="A23" s="8"/>
      <c r="B23" s="8"/>
      <c r="C23" s="9"/>
      <c r="D23" s="12" t="s">
        <v>19</v>
      </c>
      <c r="E23" s="16">
        <v>43463.15</v>
      </c>
      <c r="F23" s="16">
        <v>91327.115253075011</v>
      </c>
      <c r="G23" s="16">
        <v>2410861.1100000003</v>
      </c>
      <c r="H23" s="16">
        <v>0</v>
      </c>
      <c r="I23" s="13">
        <f t="shared" si="0"/>
        <v>2545651.3752530753</v>
      </c>
    </row>
    <row r="24" spans="1:9" ht="15.75" x14ac:dyDescent="0.25">
      <c r="A24" s="8"/>
      <c r="B24" s="8"/>
      <c r="C24" s="9"/>
      <c r="D24" s="12" t="s">
        <v>20</v>
      </c>
      <c r="E24" s="16">
        <v>1538108.7000000004</v>
      </c>
      <c r="F24" s="16">
        <v>3509693.8480642354</v>
      </c>
      <c r="G24" s="16">
        <v>2449378.15</v>
      </c>
      <c r="H24" s="16">
        <v>0</v>
      </c>
      <c r="I24" s="13">
        <f t="shared" si="0"/>
        <v>7497180.698064236</v>
      </c>
    </row>
    <row r="25" spans="1:9" ht="15.75" x14ac:dyDescent="0.25">
      <c r="A25" s="8"/>
      <c r="B25" s="8"/>
      <c r="C25" s="9"/>
      <c r="D25" s="12" t="s">
        <v>21</v>
      </c>
      <c r="E25" s="16">
        <v>865802.35000000021</v>
      </c>
      <c r="F25" s="16">
        <v>2606375.1937626391</v>
      </c>
      <c r="G25" s="16">
        <v>2594227.6800000002</v>
      </c>
      <c r="H25" s="16">
        <v>0</v>
      </c>
      <c r="I25" s="13">
        <f t="shared" si="0"/>
        <v>6066405.2237626389</v>
      </c>
    </row>
    <row r="26" spans="1:9" ht="15.75" x14ac:dyDescent="0.25">
      <c r="A26" s="8"/>
      <c r="B26" s="8"/>
      <c r="C26" s="9"/>
      <c r="D26" s="12" t="s">
        <v>22</v>
      </c>
      <c r="E26" s="16">
        <v>822864.05999999994</v>
      </c>
      <c r="F26" s="16">
        <v>1492529.5610241122</v>
      </c>
      <c r="G26" s="16">
        <v>2256390.4900000002</v>
      </c>
      <c r="H26" s="16">
        <v>0</v>
      </c>
      <c r="I26" s="13">
        <f t="shared" si="0"/>
        <v>4571784.1110241124</v>
      </c>
    </row>
    <row r="27" spans="1:9" ht="15.75" x14ac:dyDescent="0.25">
      <c r="A27" s="8"/>
      <c r="B27" s="8"/>
      <c r="C27" s="9"/>
      <c r="D27" s="12" t="s">
        <v>23</v>
      </c>
      <c r="E27" s="16">
        <v>2108357.0200000005</v>
      </c>
      <c r="F27" s="16">
        <v>256176.15384059399</v>
      </c>
      <c r="G27" s="16">
        <v>5779600.7800000012</v>
      </c>
      <c r="H27" s="16">
        <v>0</v>
      </c>
      <c r="I27" s="13">
        <f t="shared" si="0"/>
        <v>8144133.9538405957</v>
      </c>
    </row>
    <row r="28" spans="1:9" ht="15.75" x14ac:dyDescent="0.25">
      <c r="A28" s="8"/>
      <c r="B28" s="8"/>
      <c r="C28" s="9"/>
      <c r="D28" s="12" t="s">
        <v>24</v>
      </c>
      <c r="E28" s="16">
        <v>942519.2699999999</v>
      </c>
      <c r="F28" s="16">
        <v>1214089.726173792</v>
      </c>
      <c r="G28" s="16">
        <v>1845126.49</v>
      </c>
      <c r="H28" s="16">
        <v>0</v>
      </c>
      <c r="I28" s="13">
        <f t="shared" si="0"/>
        <v>4001735.4861737918</v>
      </c>
    </row>
    <row r="29" spans="1:9" ht="15.75" x14ac:dyDescent="0.25">
      <c r="A29" s="8"/>
      <c r="B29" s="8"/>
      <c r="C29" s="9"/>
      <c r="D29" s="12" t="s">
        <v>25</v>
      </c>
      <c r="E29" s="16">
        <v>592605.62</v>
      </c>
      <c r="F29" s="16">
        <v>679444.97303712904</v>
      </c>
      <c r="G29" s="16">
        <v>639726.11</v>
      </c>
      <c r="H29" s="16">
        <v>0</v>
      </c>
      <c r="I29" s="13">
        <f t="shared" si="0"/>
        <v>1911776.7030371288</v>
      </c>
    </row>
    <row r="30" spans="1:9" ht="15.75" x14ac:dyDescent="0.25">
      <c r="A30" s="8"/>
      <c r="B30" s="8"/>
      <c r="C30" s="9"/>
      <c r="D30" s="12" t="s">
        <v>26</v>
      </c>
      <c r="E30" s="16">
        <v>1457759.0700000003</v>
      </c>
      <c r="F30" s="16">
        <v>3664504.0950853531</v>
      </c>
      <c r="G30" s="16">
        <v>1947405.2999999998</v>
      </c>
      <c r="H30" s="16">
        <v>0</v>
      </c>
      <c r="I30" s="13">
        <f t="shared" si="0"/>
        <v>7069668.4650853528</v>
      </c>
    </row>
    <row r="31" spans="1:9" ht="15.75" x14ac:dyDescent="0.25">
      <c r="A31" s="8"/>
      <c r="B31" s="8"/>
      <c r="C31" s="9"/>
      <c r="D31" s="12" t="s">
        <v>27</v>
      </c>
      <c r="E31" s="16">
        <v>1265509.44</v>
      </c>
      <c r="F31" s="16">
        <v>3798172.4744809563</v>
      </c>
      <c r="G31" s="16">
        <v>993705.53000000014</v>
      </c>
      <c r="H31" s="16">
        <v>0</v>
      </c>
      <c r="I31" s="13">
        <f t="shared" si="0"/>
        <v>6057387.4444809565</v>
      </c>
    </row>
    <row r="32" spans="1:9" ht="15.75" x14ac:dyDescent="0.25">
      <c r="A32" s="8"/>
      <c r="B32" s="8"/>
      <c r="C32" s="9"/>
      <c r="D32" s="12" t="s">
        <v>28</v>
      </c>
      <c r="E32" s="16">
        <v>1014829.5800000001</v>
      </c>
      <c r="F32" s="16">
        <v>1282031.34703293</v>
      </c>
      <c r="G32" s="16">
        <v>908218.35999999987</v>
      </c>
      <c r="H32" s="16">
        <v>0</v>
      </c>
      <c r="I32" s="13">
        <f t="shared" si="0"/>
        <v>3205079.2870329297</v>
      </c>
    </row>
    <row r="33" spans="1:9" ht="15.75" x14ac:dyDescent="0.25">
      <c r="A33" s="8"/>
      <c r="B33" s="8"/>
      <c r="C33" s="9"/>
      <c r="D33" s="12" t="s">
        <v>29</v>
      </c>
      <c r="E33" s="16">
        <v>328298.31</v>
      </c>
      <c r="F33" s="16">
        <v>1938062.0612303731</v>
      </c>
      <c r="G33" s="16">
        <v>583954.87</v>
      </c>
      <c r="H33" s="16">
        <v>0</v>
      </c>
      <c r="I33" s="13">
        <f t="shared" si="0"/>
        <v>2850315.2412303733</v>
      </c>
    </row>
    <row r="34" spans="1:9" ht="15.75" x14ac:dyDescent="0.25">
      <c r="A34" s="8"/>
      <c r="B34" s="8"/>
      <c r="C34" s="9"/>
      <c r="D34" s="12" t="s">
        <v>30</v>
      </c>
      <c r="E34" s="16">
        <v>2241445.9699999997</v>
      </c>
      <c r="F34" s="16">
        <v>2781234.2594708097</v>
      </c>
      <c r="G34" s="16">
        <v>2898350.44</v>
      </c>
      <c r="H34" s="16">
        <v>0</v>
      </c>
      <c r="I34" s="13">
        <f t="shared" si="0"/>
        <v>7921030.6694708094</v>
      </c>
    </row>
    <row r="35" spans="1:9" ht="15.75" x14ac:dyDescent="0.25">
      <c r="A35" s="8"/>
      <c r="B35" s="8"/>
      <c r="C35" s="9"/>
      <c r="D35" s="12" t="s">
        <v>31</v>
      </c>
      <c r="E35" s="16">
        <v>1850358.56</v>
      </c>
      <c r="F35" s="16">
        <v>4088894.7276660996</v>
      </c>
      <c r="G35" s="16">
        <v>2191400.89</v>
      </c>
      <c r="H35" s="16">
        <v>0</v>
      </c>
      <c r="I35" s="13">
        <f t="shared" si="0"/>
        <v>8130654.1776660997</v>
      </c>
    </row>
    <row r="36" spans="1:9" ht="15.75" x14ac:dyDescent="0.25">
      <c r="A36" s="8"/>
      <c r="B36" s="8"/>
      <c r="C36" s="9"/>
      <c r="D36" s="12" t="s">
        <v>32</v>
      </c>
      <c r="E36" s="16">
        <v>1596141.9400000002</v>
      </c>
      <c r="F36" s="16">
        <v>2537311.7595192902</v>
      </c>
      <c r="G36" s="16">
        <v>4061559.8500000006</v>
      </c>
      <c r="H36" s="16">
        <v>0</v>
      </c>
      <c r="I36" s="13">
        <f t="shared" si="0"/>
        <v>8195013.5495192911</v>
      </c>
    </row>
    <row r="37" spans="1:9" ht="15.75" x14ac:dyDescent="0.25">
      <c r="A37" s="8"/>
      <c r="B37" s="8"/>
      <c r="C37" s="9"/>
      <c r="D37" s="12" t="s">
        <v>33</v>
      </c>
      <c r="E37" s="16">
        <v>429188.60999999993</v>
      </c>
      <c r="F37" s="16">
        <v>1403417.3080937101</v>
      </c>
      <c r="G37" s="16">
        <v>1088353.25</v>
      </c>
      <c r="H37" s="16">
        <v>0</v>
      </c>
      <c r="I37" s="13">
        <f t="shared" si="0"/>
        <v>2920959.1680937102</v>
      </c>
    </row>
    <row r="38" spans="1:9" ht="15.75" x14ac:dyDescent="0.25">
      <c r="A38" s="8"/>
      <c r="B38" s="8"/>
      <c r="C38" s="9"/>
      <c r="D38" s="12" t="s">
        <v>34</v>
      </c>
      <c r="E38" s="16">
        <v>1194992.98</v>
      </c>
      <c r="F38" s="16">
        <v>3049692.8316462273</v>
      </c>
      <c r="G38" s="16">
        <v>1361421.66</v>
      </c>
      <c r="H38" s="16">
        <v>0</v>
      </c>
      <c r="I38" s="13">
        <f t="shared" si="0"/>
        <v>5606107.4716462269</v>
      </c>
    </row>
    <row r="39" spans="1:9" ht="15.75" x14ac:dyDescent="0.25">
      <c r="A39" s="8"/>
      <c r="B39" s="8"/>
      <c r="C39" s="9"/>
      <c r="D39" s="12" t="s">
        <v>35</v>
      </c>
      <c r="E39" s="16">
        <v>629335.67999999993</v>
      </c>
      <c r="F39" s="16">
        <v>4775013.0521169966</v>
      </c>
      <c r="G39" s="16">
        <v>1444884.92</v>
      </c>
      <c r="H39" s="16">
        <v>0</v>
      </c>
      <c r="I39" s="13">
        <f t="shared" si="0"/>
        <v>6849233.6521169962</v>
      </c>
    </row>
    <row r="40" spans="1:9" ht="15.75" x14ac:dyDescent="0.25">
      <c r="A40" s="8"/>
      <c r="B40" s="8"/>
      <c r="C40" s="9"/>
      <c r="D40" s="12" t="s">
        <v>36</v>
      </c>
      <c r="E40" s="16">
        <v>228402.72999999998</v>
      </c>
      <c r="F40" s="16">
        <v>250624.61581103699</v>
      </c>
      <c r="G40" s="16">
        <v>1075018.2500000002</v>
      </c>
      <c r="H40" s="16">
        <v>0</v>
      </c>
      <c r="I40" s="13">
        <f t="shared" si="0"/>
        <v>1554045.5958110373</v>
      </c>
    </row>
    <row r="41" spans="1:9" ht="15.75" x14ac:dyDescent="0.25">
      <c r="A41" s="8"/>
      <c r="B41" s="8"/>
      <c r="C41" s="9"/>
      <c r="D41" s="12" t="s">
        <v>37</v>
      </c>
      <c r="E41" s="16">
        <v>3348910.39</v>
      </c>
      <c r="F41" s="16">
        <v>4188017.0077171531</v>
      </c>
      <c r="G41" s="16">
        <v>2527932.6500000004</v>
      </c>
      <c r="H41" s="16">
        <v>0</v>
      </c>
      <c r="I41" s="13">
        <f t="shared" si="0"/>
        <v>10064860.047717154</v>
      </c>
    </row>
    <row r="42" spans="1:9" ht="15.75" x14ac:dyDescent="0.25">
      <c r="A42" s="8"/>
      <c r="B42" s="8"/>
      <c r="C42" s="9"/>
      <c r="D42" s="12" t="s">
        <v>38</v>
      </c>
      <c r="E42" s="16">
        <v>1413768.4100000001</v>
      </c>
      <c r="F42" s="16">
        <v>4535549.0412565712</v>
      </c>
      <c r="G42" s="16">
        <v>1121346.3400000001</v>
      </c>
      <c r="H42" s="16">
        <v>0</v>
      </c>
      <c r="I42" s="13">
        <f t="shared" si="0"/>
        <v>7070663.7912565712</v>
      </c>
    </row>
    <row r="43" spans="1:9" ht="15.75" x14ac:dyDescent="0.25">
      <c r="A43" s="8"/>
      <c r="B43" s="8"/>
      <c r="C43" s="9"/>
      <c r="D43" s="12" t="s">
        <v>39</v>
      </c>
      <c r="E43" s="16">
        <v>326854.29000000004</v>
      </c>
      <c r="F43" s="16">
        <v>1649583.434813652</v>
      </c>
      <c r="G43" s="16">
        <v>1203377.9600000002</v>
      </c>
      <c r="H43" s="16">
        <v>0</v>
      </c>
      <c r="I43" s="13">
        <f t="shared" si="0"/>
        <v>3179815.6848136522</v>
      </c>
    </row>
    <row r="44" spans="1:9" ht="15.75" x14ac:dyDescent="0.25">
      <c r="A44" s="8"/>
      <c r="B44" s="8"/>
      <c r="C44" s="9"/>
      <c r="D44" s="12" t="s">
        <v>40</v>
      </c>
      <c r="E44" s="16">
        <v>1739.67</v>
      </c>
      <c r="F44" s="16">
        <v>126966.263536086</v>
      </c>
      <c r="G44" s="16">
        <v>1457821.48</v>
      </c>
      <c r="H44" s="16">
        <v>0</v>
      </c>
      <c r="I44" s="13">
        <f t="shared" si="0"/>
        <v>1586527.413536086</v>
      </c>
    </row>
    <row r="45" spans="1:9" ht="15.75" x14ac:dyDescent="0.25">
      <c r="A45" s="8"/>
      <c r="B45" s="8"/>
      <c r="C45" s="9"/>
      <c r="D45" s="12" t="s">
        <v>41</v>
      </c>
      <c r="E45" s="16">
        <v>456076.95</v>
      </c>
      <c r="F45" s="16">
        <v>36760.961667222</v>
      </c>
      <c r="G45" s="16">
        <v>5764724.9300000006</v>
      </c>
      <c r="H45" s="16">
        <v>0</v>
      </c>
      <c r="I45" s="13">
        <f t="shared" si="0"/>
        <v>6257562.8416672228</v>
      </c>
    </row>
    <row r="46" spans="1:9" ht="15.75" x14ac:dyDescent="0.25">
      <c r="A46" s="8"/>
      <c r="B46" s="8"/>
      <c r="C46" s="9"/>
      <c r="D46" s="12" t="s">
        <v>42</v>
      </c>
      <c r="E46" s="16">
        <v>69223.62</v>
      </c>
      <c r="F46" s="16">
        <v>122507.77444499101</v>
      </c>
      <c r="G46" s="16">
        <v>7847175.0000000009</v>
      </c>
      <c r="H46" s="16">
        <v>0</v>
      </c>
      <c r="I46" s="13">
        <f t="shared" si="0"/>
        <v>8038906.3944449918</v>
      </c>
    </row>
    <row r="47" spans="1:9" ht="15.75" x14ac:dyDescent="0.25">
      <c r="A47" s="8"/>
      <c r="B47" s="8"/>
      <c r="C47" s="9"/>
      <c r="D47" s="12" t="s">
        <v>43</v>
      </c>
      <c r="E47" s="16">
        <v>1244260.01</v>
      </c>
      <c r="F47" s="16">
        <v>777445.43970397208</v>
      </c>
      <c r="G47" s="16">
        <v>3903894.91</v>
      </c>
      <c r="H47" s="16">
        <v>0</v>
      </c>
      <c r="I47" s="13">
        <f t="shared" si="0"/>
        <v>5925600.359703972</v>
      </c>
    </row>
    <row r="48" spans="1:9" ht="15.75" x14ac:dyDescent="0.25">
      <c r="A48" s="8"/>
      <c r="B48" s="8"/>
      <c r="C48" s="9"/>
      <c r="D48" s="12" t="s">
        <v>44</v>
      </c>
      <c r="E48" s="16">
        <v>1343245.0899999999</v>
      </c>
      <c r="F48" s="16">
        <v>122507.77444499101</v>
      </c>
      <c r="G48" s="16">
        <v>3589261.5</v>
      </c>
      <c r="H48" s="16">
        <v>0</v>
      </c>
      <c r="I48" s="13">
        <f t="shared" si="0"/>
        <v>5055014.3644449906</v>
      </c>
    </row>
    <row r="49" spans="1:9" ht="15.75" x14ac:dyDescent="0.25">
      <c r="A49" s="8"/>
      <c r="B49" s="8"/>
      <c r="C49" s="9"/>
      <c r="D49" s="12" t="s">
        <v>45</v>
      </c>
      <c r="E49" s="16">
        <v>538970.25</v>
      </c>
      <c r="F49" s="16">
        <v>145922.03328467702</v>
      </c>
      <c r="G49" s="16">
        <v>8847839.3300000001</v>
      </c>
      <c r="H49" s="16">
        <v>0</v>
      </c>
      <c r="I49" s="13">
        <f t="shared" si="0"/>
        <v>9532731.6132846773</v>
      </c>
    </row>
    <row r="50" spans="1:9" ht="15.75" x14ac:dyDescent="0.25">
      <c r="A50" s="8"/>
      <c r="B50" s="8"/>
      <c r="C50" s="9"/>
      <c r="D50" s="12" t="s">
        <v>46</v>
      </c>
      <c r="E50" s="16">
        <v>449410.53999999992</v>
      </c>
      <c r="F50" s="16">
        <v>1410119.4239532272</v>
      </c>
      <c r="G50" s="16">
        <v>567870.65</v>
      </c>
      <c r="H50" s="16">
        <v>0</v>
      </c>
      <c r="I50" s="13">
        <f t="shared" si="0"/>
        <v>2427400.6139532272</v>
      </c>
    </row>
    <row r="51" spans="1:9" ht="15.75" x14ac:dyDescent="0.25">
      <c r="A51" s="8"/>
      <c r="B51" s="8"/>
      <c r="C51" s="9"/>
      <c r="D51" s="12" t="s">
        <v>47</v>
      </c>
      <c r="E51" s="16">
        <v>979970.51</v>
      </c>
      <c r="F51" s="16">
        <v>2564033.9296201114</v>
      </c>
      <c r="G51" s="16">
        <v>1286987.1599999999</v>
      </c>
      <c r="H51" s="16">
        <v>0</v>
      </c>
      <c r="I51" s="13">
        <f t="shared" si="0"/>
        <v>4830991.5996201113</v>
      </c>
    </row>
    <row r="52" spans="1:9" ht="15.75" x14ac:dyDescent="0.25">
      <c r="A52" s="8"/>
      <c r="B52" s="8"/>
      <c r="C52" s="9"/>
      <c r="D52" s="12" t="s">
        <v>48</v>
      </c>
      <c r="E52" s="16">
        <v>712238.33000000007</v>
      </c>
      <c r="F52" s="16">
        <v>2584082.7483071643</v>
      </c>
      <c r="G52" s="16">
        <v>500660.4499999999</v>
      </c>
      <c r="H52" s="16">
        <v>0</v>
      </c>
      <c r="I52" s="13">
        <f t="shared" si="0"/>
        <v>3796981.5283071641</v>
      </c>
    </row>
    <row r="53" spans="1:9" ht="15.75" x14ac:dyDescent="0.25">
      <c r="A53" s="8"/>
      <c r="B53" s="8"/>
      <c r="C53" s="9"/>
      <c r="D53" s="12" t="s">
        <v>49</v>
      </c>
      <c r="E53" s="16">
        <v>1012163.2399999999</v>
      </c>
      <c r="F53" s="16">
        <v>1770998.1603201809</v>
      </c>
      <c r="G53" s="16">
        <v>1406898.1500000001</v>
      </c>
      <c r="H53" s="16">
        <v>0</v>
      </c>
      <c r="I53" s="13">
        <f t="shared" si="0"/>
        <v>4190059.5503201811</v>
      </c>
    </row>
    <row r="54" spans="1:9" ht="15.75" x14ac:dyDescent="0.25">
      <c r="A54" s="8"/>
      <c r="B54" s="8"/>
      <c r="C54" s="9"/>
      <c r="D54" s="12" t="s">
        <v>50</v>
      </c>
      <c r="E54" s="16">
        <v>1492805.0200000003</v>
      </c>
      <c r="F54" s="16">
        <v>1626197.9404197151</v>
      </c>
      <c r="G54" s="16">
        <v>1043743.41</v>
      </c>
      <c r="H54" s="16">
        <v>0</v>
      </c>
      <c r="I54" s="13">
        <f t="shared" si="0"/>
        <v>4162746.3704197155</v>
      </c>
    </row>
    <row r="55" spans="1:9" ht="15.75" x14ac:dyDescent="0.25">
      <c r="A55" s="8"/>
      <c r="B55" s="8"/>
      <c r="C55" s="9"/>
      <c r="D55" s="12" t="s">
        <v>51</v>
      </c>
      <c r="E55" s="16">
        <v>804083.30999999994</v>
      </c>
      <c r="F55" s="16">
        <v>3330376.2932649693</v>
      </c>
      <c r="G55" s="16">
        <v>102648.86</v>
      </c>
      <c r="H55" s="16">
        <v>0</v>
      </c>
      <c r="I55" s="13">
        <f t="shared" si="0"/>
        <v>4237108.4632649692</v>
      </c>
    </row>
    <row r="56" spans="1:9" ht="15.75" x14ac:dyDescent="0.25">
      <c r="A56" s="8"/>
      <c r="B56" s="8"/>
      <c r="C56" s="9"/>
      <c r="D56" s="12" t="s">
        <v>52</v>
      </c>
      <c r="E56" s="16">
        <v>721808.87999999989</v>
      </c>
      <c r="F56" s="16">
        <v>3706845.3592278808</v>
      </c>
      <c r="G56" s="16">
        <v>620647.91</v>
      </c>
      <c r="H56" s="16">
        <v>0</v>
      </c>
      <c r="I56" s="13">
        <f t="shared" si="0"/>
        <v>5049302.1492278809</v>
      </c>
    </row>
    <row r="57" spans="1:9" ht="15.75" x14ac:dyDescent="0.25">
      <c r="A57" s="8"/>
      <c r="B57" s="8"/>
      <c r="C57" s="9"/>
      <c r="D57" s="12" t="s">
        <v>53</v>
      </c>
      <c r="E57" s="16">
        <v>442518.81999999989</v>
      </c>
      <c r="F57" s="16">
        <v>1225221.5666786551</v>
      </c>
      <c r="G57" s="16">
        <v>536338.27000000014</v>
      </c>
      <c r="H57" s="16">
        <v>0</v>
      </c>
      <c r="I57" s="13">
        <f t="shared" si="0"/>
        <v>2204078.6566786552</v>
      </c>
    </row>
    <row r="58" spans="1:9" ht="15.75" x14ac:dyDescent="0.25">
      <c r="A58" s="8"/>
      <c r="B58" s="8"/>
      <c r="C58" s="9"/>
      <c r="D58" s="12" t="s">
        <v>54</v>
      </c>
      <c r="E58" s="16">
        <v>770879.2</v>
      </c>
      <c r="F58" s="16">
        <v>1318792.308700152</v>
      </c>
      <c r="G58" s="16">
        <v>34566.949999999997</v>
      </c>
      <c r="H58" s="16">
        <v>0</v>
      </c>
      <c r="I58" s="13">
        <f t="shared" si="0"/>
        <v>2124238.4587001521</v>
      </c>
    </row>
    <row r="59" spans="1:9" ht="15.75" x14ac:dyDescent="0.25">
      <c r="A59" s="8"/>
      <c r="B59" s="8"/>
      <c r="C59" s="9"/>
      <c r="D59" s="12" t="s">
        <v>55</v>
      </c>
      <c r="E59" s="16">
        <v>723691.84999999986</v>
      </c>
      <c r="F59" s="16">
        <v>2227662.5010313052</v>
      </c>
      <c r="G59" s="16">
        <v>1043819.77</v>
      </c>
      <c r="H59" s="16">
        <v>0</v>
      </c>
      <c r="I59" s="13">
        <f t="shared" si="0"/>
        <v>3995174.1210313053</v>
      </c>
    </row>
    <row r="60" spans="1:9" ht="15.75" x14ac:dyDescent="0.25">
      <c r="A60" s="8"/>
      <c r="B60" s="8"/>
      <c r="C60" s="9"/>
      <c r="D60" s="12" t="s">
        <v>56</v>
      </c>
      <c r="E60" s="16">
        <v>288163.79999999993</v>
      </c>
      <c r="F60" s="16">
        <v>1347729.3411236461</v>
      </c>
      <c r="G60" s="16">
        <v>466070.58</v>
      </c>
      <c r="H60" s="16">
        <v>0</v>
      </c>
      <c r="I60" s="13">
        <f t="shared" si="0"/>
        <v>2101963.721123646</v>
      </c>
    </row>
    <row r="61" spans="1:9" ht="15.75" x14ac:dyDescent="0.25">
      <c r="A61" s="8"/>
      <c r="B61" s="8"/>
      <c r="C61" s="9"/>
      <c r="D61" s="12" t="s">
        <v>57</v>
      </c>
      <c r="E61" s="16">
        <v>2040914.7800000003</v>
      </c>
      <c r="F61" s="16">
        <v>2261086.7869916428</v>
      </c>
      <c r="G61" s="16">
        <v>2026971.5800000003</v>
      </c>
      <c r="H61" s="16">
        <v>0</v>
      </c>
      <c r="I61" s="13">
        <f t="shared" si="0"/>
        <v>6328973.1469916431</v>
      </c>
    </row>
    <row r="62" spans="1:9" ht="15.75" x14ac:dyDescent="0.25">
      <c r="A62" s="8"/>
      <c r="B62" s="8"/>
      <c r="C62" s="9"/>
      <c r="D62" s="12" t="s">
        <v>58</v>
      </c>
      <c r="E62" s="16">
        <v>1404526.85</v>
      </c>
      <c r="F62" s="16">
        <v>2522843.243307543</v>
      </c>
      <c r="G62" s="16">
        <v>46293865.460000001</v>
      </c>
      <c r="H62" s="16">
        <v>0</v>
      </c>
      <c r="I62" s="13">
        <f t="shared" si="0"/>
        <v>50221235.553307541</v>
      </c>
    </row>
    <row r="63" spans="1:9" ht="15.75" x14ac:dyDescent="0.25">
      <c r="A63" s="8"/>
      <c r="B63" s="8"/>
      <c r="C63" s="9"/>
      <c r="D63" s="12" t="s">
        <v>59</v>
      </c>
      <c r="E63" s="16">
        <v>226085.32</v>
      </c>
      <c r="F63" s="16">
        <v>278468.59929606901</v>
      </c>
      <c r="G63" s="16">
        <v>2690755.5200000005</v>
      </c>
      <c r="H63" s="16">
        <v>0</v>
      </c>
      <c r="I63" s="13">
        <f t="shared" si="0"/>
        <v>3195309.4392960696</v>
      </c>
    </row>
    <row r="64" spans="1:9" ht="15.75" x14ac:dyDescent="0.25">
      <c r="A64" s="8"/>
      <c r="B64" s="8"/>
      <c r="C64" s="9"/>
      <c r="D64" s="12" t="s">
        <v>60</v>
      </c>
      <c r="E64" s="16">
        <v>0</v>
      </c>
      <c r="F64" s="16">
        <v>0</v>
      </c>
      <c r="G64" s="16">
        <v>14748852.239999998</v>
      </c>
      <c r="H64" s="16">
        <v>0</v>
      </c>
      <c r="I64" s="13">
        <f t="shared" si="0"/>
        <v>14748852.239999998</v>
      </c>
    </row>
    <row r="65" spans="1:9" ht="15.75" x14ac:dyDescent="0.25">
      <c r="A65" s="8"/>
      <c r="B65" s="8"/>
      <c r="C65" s="9"/>
      <c r="D65" s="12" t="s">
        <v>61</v>
      </c>
      <c r="E65" s="16">
        <v>1847210.5899999999</v>
      </c>
      <c r="F65" s="16">
        <v>3296952.0073046312</v>
      </c>
      <c r="G65" s="16">
        <v>891560.4</v>
      </c>
      <c r="H65" s="16">
        <v>0</v>
      </c>
      <c r="I65" s="13">
        <f t="shared" si="0"/>
        <v>6035722.9973046314</v>
      </c>
    </row>
    <row r="66" spans="1:9" ht="15.75" x14ac:dyDescent="0.25">
      <c r="A66" s="8"/>
      <c r="B66" s="8"/>
      <c r="C66" s="9"/>
      <c r="D66" s="12" t="s">
        <v>62</v>
      </c>
      <c r="E66" s="16">
        <v>2822109.6</v>
      </c>
      <c r="F66" s="16">
        <v>6554928.1906193672</v>
      </c>
      <c r="G66" s="16">
        <v>2400739.38</v>
      </c>
      <c r="H66" s="16">
        <v>0</v>
      </c>
      <c r="I66" s="13">
        <f t="shared" si="0"/>
        <v>11777777.170619369</v>
      </c>
    </row>
    <row r="67" spans="1:9" ht="15.75" x14ac:dyDescent="0.25">
      <c r="A67" s="8"/>
      <c r="B67" s="8"/>
      <c r="C67" s="9"/>
      <c r="D67" s="12" t="s">
        <v>63</v>
      </c>
      <c r="E67" s="16">
        <v>1234553.75</v>
      </c>
      <c r="F67" s="16">
        <v>3029644.0129591748</v>
      </c>
      <c r="G67" s="16">
        <v>684295.78</v>
      </c>
      <c r="H67" s="16">
        <v>0</v>
      </c>
      <c r="I67" s="13">
        <f t="shared" si="0"/>
        <v>4948493.5429591751</v>
      </c>
    </row>
    <row r="68" spans="1:9" ht="15.75" x14ac:dyDescent="0.25">
      <c r="A68" s="8"/>
      <c r="B68" s="8"/>
      <c r="C68" s="9"/>
      <c r="D68" s="12" t="s">
        <v>64</v>
      </c>
      <c r="E68" s="16">
        <v>529391.42000000004</v>
      </c>
      <c r="F68" s="16">
        <v>1280909.5336487191</v>
      </c>
      <c r="G68" s="16">
        <v>362315.43</v>
      </c>
      <c r="H68" s="16">
        <v>0</v>
      </c>
      <c r="I68" s="13">
        <f t="shared" si="0"/>
        <v>2172616.3836487192</v>
      </c>
    </row>
    <row r="69" spans="1:9" ht="15.75" x14ac:dyDescent="0.25">
      <c r="A69" s="8"/>
      <c r="B69" s="8"/>
      <c r="C69" s="9"/>
      <c r="D69" s="12" t="s">
        <v>65</v>
      </c>
      <c r="E69" s="16">
        <v>0</v>
      </c>
      <c r="F69" s="16">
        <v>0</v>
      </c>
      <c r="G69" s="16">
        <v>3361701.4</v>
      </c>
      <c r="H69" s="16">
        <v>0</v>
      </c>
      <c r="I69" s="13">
        <f t="shared" si="0"/>
        <v>3361701.4</v>
      </c>
    </row>
    <row r="70" spans="1:9" ht="15.75" x14ac:dyDescent="0.25">
      <c r="A70" s="8"/>
      <c r="B70" s="8"/>
      <c r="C70" s="9"/>
      <c r="D70" s="12" t="s">
        <v>66</v>
      </c>
      <c r="E70" s="16">
        <v>0</v>
      </c>
      <c r="F70" s="16">
        <v>0</v>
      </c>
      <c r="G70" s="16">
        <v>4908695.13</v>
      </c>
      <c r="H70" s="16">
        <v>0</v>
      </c>
      <c r="I70" s="13">
        <f t="shared" si="0"/>
        <v>4908695.13</v>
      </c>
    </row>
    <row r="71" spans="1:9" ht="15.75" x14ac:dyDescent="0.25">
      <c r="A71" s="8"/>
      <c r="B71" s="8"/>
      <c r="C71" s="9"/>
      <c r="D71" s="12" t="s">
        <v>67</v>
      </c>
      <c r="E71" s="16">
        <v>8521.5499999999993</v>
      </c>
      <c r="F71" s="16">
        <v>33424.285960338006</v>
      </c>
      <c r="G71" s="16">
        <v>5011680.3499999996</v>
      </c>
      <c r="H71" s="16">
        <v>0</v>
      </c>
      <c r="I71" s="13">
        <f t="shared" si="0"/>
        <v>5053626.1859603375</v>
      </c>
    </row>
    <row r="72" spans="1:9" ht="15.75" x14ac:dyDescent="0.25">
      <c r="A72" s="8"/>
      <c r="B72" s="8"/>
      <c r="C72" s="9"/>
      <c r="D72" s="12" t="s">
        <v>68</v>
      </c>
      <c r="E72" s="16">
        <v>1133948.1200000001</v>
      </c>
      <c r="F72" s="16">
        <v>2080647.4188081659</v>
      </c>
      <c r="G72" s="16">
        <v>7098308.7999999998</v>
      </c>
      <c r="H72" s="16">
        <v>0</v>
      </c>
      <c r="I72" s="13">
        <f t="shared" si="0"/>
        <v>10312904.338808166</v>
      </c>
    </row>
    <row r="73" spans="1:9" ht="15.75" x14ac:dyDescent="0.25">
      <c r="A73" s="8"/>
      <c r="B73" s="8"/>
      <c r="C73" s="9"/>
      <c r="D73" s="12" t="s">
        <v>69</v>
      </c>
      <c r="E73" s="16">
        <v>4455.4399999999996</v>
      </c>
      <c r="F73" s="16">
        <v>0</v>
      </c>
      <c r="G73" s="16">
        <v>3876335.5999999996</v>
      </c>
      <c r="H73" s="16">
        <v>0</v>
      </c>
      <c r="I73" s="13">
        <f t="shared" si="0"/>
        <v>3880791.0399999996</v>
      </c>
    </row>
    <row r="74" spans="1:9" ht="15.75" x14ac:dyDescent="0.25">
      <c r="A74" s="8"/>
      <c r="B74" s="8"/>
      <c r="C74" s="9"/>
      <c r="D74" s="12" t="s">
        <v>70</v>
      </c>
      <c r="E74" s="16">
        <v>377700.56</v>
      </c>
      <c r="F74" s="16">
        <v>175980.87909238201</v>
      </c>
      <c r="G74" s="16">
        <v>26110169.649999999</v>
      </c>
      <c r="H74" s="16">
        <v>0</v>
      </c>
      <c r="I74" s="13">
        <f t="shared" ref="I74:I137" si="1">SUM(E74:H74)</f>
        <v>26663851.089092381</v>
      </c>
    </row>
    <row r="75" spans="1:9" ht="15.75" x14ac:dyDescent="0.25">
      <c r="A75" s="8"/>
      <c r="B75" s="8"/>
      <c r="C75" s="9"/>
      <c r="D75" s="12" t="s">
        <v>71</v>
      </c>
      <c r="E75" s="16">
        <v>1104918.3500000001</v>
      </c>
      <c r="F75" s="16">
        <v>683903.46212822408</v>
      </c>
      <c r="G75" s="16">
        <v>41880040.68</v>
      </c>
      <c r="H75" s="16">
        <v>0</v>
      </c>
      <c r="I75" s="13">
        <f t="shared" si="1"/>
        <v>43668862.492128223</v>
      </c>
    </row>
    <row r="76" spans="1:9" ht="15.75" x14ac:dyDescent="0.25">
      <c r="A76" s="8"/>
      <c r="B76" s="8"/>
      <c r="C76" s="9"/>
      <c r="D76" s="12" t="s">
        <v>72</v>
      </c>
      <c r="E76" s="16">
        <v>0</v>
      </c>
      <c r="F76" s="16">
        <v>0</v>
      </c>
      <c r="G76" s="16">
        <v>11733308.399999999</v>
      </c>
      <c r="H76" s="16">
        <v>0</v>
      </c>
      <c r="I76" s="13">
        <f t="shared" si="1"/>
        <v>11733308.399999999</v>
      </c>
    </row>
    <row r="77" spans="1:9" ht="15.75" x14ac:dyDescent="0.25">
      <c r="A77" s="8"/>
      <c r="B77" s="8"/>
      <c r="C77" s="9"/>
      <c r="D77" s="12" t="s">
        <v>73</v>
      </c>
      <c r="E77" s="16">
        <v>438140.64999999997</v>
      </c>
      <c r="F77" s="16">
        <v>3391615.7982645901</v>
      </c>
      <c r="G77" s="16">
        <v>792182.76</v>
      </c>
      <c r="H77" s="16">
        <v>0</v>
      </c>
      <c r="I77" s="13">
        <f t="shared" si="1"/>
        <v>4621939.2082645902</v>
      </c>
    </row>
    <row r="78" spans="1:9" ht="15.75" x14ac:dyDescent="0.25">
      <c r="A78" s="8"/>
      <c r="B78" s="8"/>
      <c r="C78" s="9"/>
      <c r="D78" s="12" t="s">
        <v>74</v>
      </c>
      <c r="E78" s="16">
        <v>765592.5199999999</v>
      </c>
      <c r="F78" s="16">
        <v>3441752.2272050972</v>
      </c>
      <c r="G78" s="16">
        <v>1126276.17</v>
      </c>
      <c r="H78" s="16">
        <v>0</v>
      </c>
      <c r="I78" s="13">
        <f t="shared" si="1"/>
        <v>5333620.9172050972</v>
      </c>
    </row>
    <row r="79" spans="1:9" ht="15.75" x14ac:dyDescent="0.25">
      <c r="A79" s="8"/>
      <c r="B79" s="8"/>
      <c r="C79" s="9"/>
      <c r="D79" s="12" t="s">
        <v>75</v>
      </c>
      <c r="E79" s="16">
        <v>1168953.96</v>
      </c>
      <c r="F79" s="16">
        <v>1932510.523200816</v>
      </c>
      <c r="G79" s="16">
        <v>1156353.6099999999</v>
      </c>
      <c r="H79" s="16">
        <v>0</v>
      </c>
      <c r="I79" s="13">
        <f t="shared" si="1"/>
        <v>4257818.0932008158</v>
      </c>
    </row>
    <row r="80" spans="1:9" ht="15.75" x14ac:dyDescent="0.25">
      <c r="A80" s="8"/>
      <c r="B80" s="8"/>
      <c r="C80" s="9"/>
      <c r="D80" s="12" t="s">
        <v>76</v>
      </c>
      <c r="E80" s="16">
        <v>378242.26999999996</v>
      </c>
      <c r="F80" s="16">
        <v>1021396.7041012412</v>
      </c>
      <c r="G80" s="16">
        <v>220720.32</v>
      </c>
      <c r="H80" s="16">
        <v>0</v>
      </c>
      <c r="I80" s="13">
        <f t="shared" si="1"/>
        <v>1620359.2941012413</v>
      </c>
    </row>
    <row r="81" spans="1:9" ht="15.75" x14ac:dyDescent="0.25">
      <c r="A81" s="8"/>
      <c r="B81" s="8"/>
      <c r="C81" s="9"/>
      <c r="D81" s="12" t="s">
        <v>77</v>
      </c>
      <c r="E81" s="16">
        <v>2484952.54</v>
      </c>
      <c r="F81" s="16">
        <v>6162840.0306147486</v>
      </c>
      <c r="G81" s="16">
        <v>3048876.44</v>
      </c>
      <c r="H81" s="16">
        <v>0</v>
      </c>
      <c r="I81" s="13">
        <f t="shared" si="1"/>
        <v>11696669.010614747</v>
      </c>
    </row>
    <row r="82" spans="1:9" ht="15.75" x14ac:dyDescent="0.25">
      <c r="A82" s="8"/>
      <c r="B82" s="8"/>
      <c r="C82" s="9"/>
      <c r="D82" s="12" t="s">
        <v>78</v>
      </c>
      <c r="E82" s="16">
        <v>2106779.3899999997</v>
      </c>
      <c r="F82" s="16">
        <v>4271548.9581722487</v>
      </c>
      <c r="G82" s="16">
        <v>1318210.32</v>
      </c>
      <c r="H82" s="16">
        <v>0</v>
      </c>
      <c r="I82" s="13">
        <f t="shared" si="1"/>
        <v>7696538.6681722486</v>
      </c>
    </row>
    <row r="83" spans="1:9" ht="15.75" x14ac:dyDescent="0.25">
      <c r="A83" s="8"/>
      <c r="B83" s="8"/>
      <c r="C83" s="9"/>
      <c r="D83" s="12" t="s">
        <v>79</v>
      </c>
      <c r="E83" s="16">
        <v>901726.6</v>
      </c>
      <c r="F83" s="16">
        <v>1754286.0173400121</v>
      </c>
      <c r="G83" s="16">
        <v>1932230.4600000002</v>
      </c>
      <c r="H83" s="16">
        <v>0</v>
      </c>
      <c r="I83" s="13">
        <f t="shared" si="1"/>
        <v>4588243.0773400124</v>
      </c>
    </row>
    <row r="84" spans="1:9" ht="15.75" x14ac:dyDescent="0.25">
      <c r="A84" s="8"/>
      <c r="B84" s="8"/>
      <c r="C84" s="9"/>
      <c r="D84" s="12" t="s">
        <v>80</v>
      </c>
      <c r="E84" s="16">
        <v>0</v>
      </c>
      <c r="F84" s="16">
        <v>0</v>
      </c>
      <c r="G84" s="16">
        <v>21586448.229999993</v>
      </c>
      <c r="H84" s="16">
        <v>0</v>
      </c>
      <c r="I84" s="13">
        <f t="shared" si="1"/>
        <v>21586448.229999993</v>
      </c>
    </row>
    <row r="85" spans="1:9" ht="15.75" x14ac:dyDescent="0.25">
      <c r="A85" s="8"/>
      <c r="B85" s="8"/>
      <c r="C85" s="9"/>
      <c r="D85" s="12" t="s">
        <v>81</v>
      </c>
      <c r="E85" s="16">
        <v>2074750.64</v>
      </c>
      <c r="F85" s="16">
        <v>545776.59364152607</v>
      </c>
      <c r="G85" s="16">
        <v>8556852.5199999996</v>
      </c>
      <c r="H85" s="16">
        <v>0</v>
      </c>
      <c r="I85" s="13">
        <f t="shared" si="1"/>
        <v>11177379.753641525</v>
      </c>
    </row>
    <row r="86" spans="1:9" ht="15.75" x14ac:dyDescent="0.25">
      <c r="A86" s="8"/>
      <c r="B86" s="8"/>
      <c r="C86" s="9"/>
      <c r="D86" s="12" t="s">
        <v>82</v>
      </c>
      <c r="E86" s="16">
        <v>1179837.3400000001</v>
      </c>
      <c r="F86" s="16">
        <v>2266667.089466949</v>
      </c>
      <c r="G86" s="16">
        <v>741824.06</v>
      </c>
      <c r="H86" s="16">
        <v>0</v>
      </c>
      <c r="I86" s="13">
        <f t="shared" si="1"/>
        <v>4188328.4894669489</v>
      </c>
    </row>
    <row r="87" spans="1:9" ht="15.75" x14ac:dyDescent="0.25">
      <c r="A87" s="8"/>
      <c r="B87" s="8"/>
      <c r="C87" s="9"/>
      <c r="D87" s="12" t="s">
        <v>83</v>
      </c>
      <c r="E87" s="16">
        <v>338990.4200000001</v>
      </c>
      <c r="F87" s="16">
        <v>2985087.8864939734</v>
      </c>
      <c r="G87" s="16">
        <v>441846.78</v>
      </c>
      <c r="H87" s="16">
        <v>0</v>
      </c>
      <c r="I87" s="13">
        <f t="shared" si="1"/>
        <v>3765925.0864939736</v>
      </c>
    </row>
    <row r="88" spans="1:9" ht="15.75" x14ac:dyDescent="0.25">
      <c r="A88" s="8"/>
      <c r="B88" s="8"/>
      <c r="C88" s="9"/>
      <c r="D88" s="12" t="s">
        <v>84</v>
      </c>
      <c r="E88" s="16">
        <v>512191.4599999999</v>
      </c>
      <c r="F88" s="16">
        <v>0</v>
      </c>
      <c r="G88" s="16">
        <v>18949762.360000003</v>
      </c>
      <c r="H88" s="16">
        <v>0</v>
      </c>
      <c r="I88" s="13">
        <f t="shared" si="1"/>
        <v>19461953.820000004</v>
      </c>
    </row>
    <row r="89" spans="1:9" ht="15.75" x14ac:dyDescent="0.25">
      <c r="A89" s="8"/>
      <c r="B89" s="8"/>
      <c r="C89" s="9"/>
      <c r="D89" s="12" t="s">
        <v>85</v>
      </c>
      <c r="E89" s="16">
        <v>631567.79</v>
      </c>
      <c r="F89" s="16">
        <v>2927156.2927554874</v>
      </c>
      <c r="G89" s="16">
        <v>1085079.7400000002</v>
      </c>
      <c r="H89" s="16">
        <v>0</v>
      </c>
      <c r="I89" s="13">
        <f t="shared" si="1"/>
        <v>4643803.8227554876</v>
      </c>
    </row>
    <row r="90" spans="1:9" ht="15.75" x14ac:dyDescent="0.25">
      <c r="A90" s="8"/>
      <c r="B90" s="8"/>
      <c r="C90" s="9"/>
      <c r="D90" s="12" t="s">
        <v>86</v>
      </c>
      <c r="E90" s="16">
        <v>258252.62999999998</v>
      </c>
      <c r="F90" s="16">
        <v>757396.62101691903</v>
      </c>
      <c r="G90" s="16">
        <v>1138771.9299999997</v>
      </c>
      <c r="H90" s="16">
        <v>0</v>
      </c>
      <c r="I90" s="13">
        <f t="shared" si="1"/>
        <v>2154421.1810169187</v>
      </c>
    </row>
    <row r="91" spans="1:9" ht="15.75" x14ac:dyDescent="0.25">
      <c r="A91" s="8"/>
      <c r="B91" s="8"/>
      <c r="C91" s="9"/>
      <c r="D91" s="12" t="s">
        <v>87</v>
      </c>
      <c r="E91" s="16">
        <v>576094.37999999989</v>
      </c>
      <c r="F91" s="16">
        <v>1727563.8472391912</v>
      </c>
      <c r="G91" s="16">
        <v>2379002.3999999994</v>
      </c>
      <c r="H91" s="16">
        <v>0</v>
      </c>
      <c r="I91" s="13">
        <f t="shared" si="1"/>
        <v>4682660.62723919</v>
      </c>
    </row>
    <row r="92" spans="1:9" ht="15.75" x14ac:dyDescent="0.25">
      <c r="A92" s="8"/>
      <c r="B92" s="8"/>
      <c r="C92" s="9"/>
      <c r="D92" s="12" t="s">
        <v>88</v>
      </c>
      <c r="E92" s="16">
        <v>157977.48000000001</v>
      </c>
      <c r="F92" s="16">
        <v>238370.961921963</v>
      </c>
      <c r="G92" s="16">
        <v>6791117.8600000003</v>
      </c>
      <c r="H92" s="16">
        <v>0</v>
      </c>
      <c r="I92" s="13">
        <f t="shared" si="1"/>
        <v>7187466.3019219637</v>
      </c>
    </row>
    <row r="93" spans="1:9" ht="15.75" x14ac:dyDescent="0.25">
      <c r="A93" s="8"/>
      <c r="B93" s="8"/>
      <c r="C93" s="9"/>
      <c r="D93" s="12" t="s">
        <v>89</v>
      </c>
      <c r="E93" s="16">
        <v>819650.3</v>
      </c>
      <c r="F93" s="16">
        <v>1931388.7098166051</v>
      </c>
      <c r="G93" s="16">
        <v>1254522.21</v>
      </c>
      <c r="H93" s="16">
        <v>0</v>
      </c>
      <c r="I93" s="13">
        <f t="shared" si="1"/>
        <v>4005561.2198166051</v>
      </c>
    </row>
    <row r="94" spans="1:9" ht="15.75" x14ac:dyDescent="0.25">
      <c r="A94" s="8"/>
      <c r="B94" s="8"/>
      <c r="C94" s="9"/>
      <c r="D94" s="12" t="s">
        <v>90</v>
      </c>
      <c r="E94" s="16">
        <v>96696.09</v>
      </c>
      <c r="F94" s="16">
        <v>0</v>
      </c>
      <c r="G94" s="16">
        <v>329720.40000000002</v>
      </c>
      <c r="H94" s="16">
        <v>0</v>
      </c>
      <c r="I94" s="13">
        <f t="shared" si="1"/>
        <v>426416.49</v>
      </c>
    </row>
    <row r="95" spans="1:9" ht="15.75" x14ac:dyDescent="0.25">
      <c r="A95" s="8"/>
      <c r="B95" s="8"/>
      <c r="C95" s="9"/>
      <c r="D95" s="12" t="s">
        <v>91</v>
      </c>
      <c r="E95" s="16">
        <v>256987.52999999997</v>
      </c>
      <c r="F95" s="16">
        <v>61268.269445370002</v>
      </c>
      <c r="G95" s="16">
        <v>6889298.6200000001</v>
      </c>
      <c r="H95" s="16">
        <v>0</v>
      </c>
      <c r="I95" s="13">
        <f t="shared" si="1"/>
        <v>7207554.4194453703</v>
      </c>
    </row>
    <row r="96" spans="1:9" ht="15.75" x14ac:dyDescent="0.25">
      <c r="A96" s="8"/>
      <c r="B96" s="8"/>
      <c r="C96" s="9"/>
      <c r="D96" s="12" t="s">
        <v>92</v>
      </c>
      <c r="E96" s="16">
        <v>0</v>
      </c>
      <c r="F96" s="16">
        <v>0</v>
      </c>
      <c r="G96" s="16">
        <v>14568959.720000001</v>
      </c>
      <c r="H96" s="16">
        <v>0</v>
      </c>
      <c r="I96" s="13">
        <f t="shared" si="1"/>
        <v>14568959.720000001</v>
      </c>
    </row>
    <row r="97" spans="1:9" ht="15.75" x14ac:dyDescent="0.25">
      <c r="A97" s="8"/>
      <c r="B97" s="8"/>
      <c r="C97" s="9"/>
      <c r="D97" s="12" t="s">
        <v>93</v>
      </c>
      <c r="E97" s="16">
        <v>334347.02999999997</v>
      </c>
      <c r="F97" s="16">
        <v>2751175.4136631051</v>
      </c>
      <c r="G97" s="16">
        <v>898860.33</v>
      </c>
      <c r="H97" s="16">
        <v>0</v>
      </c>
      <c r="I97" s="13">
        <f t="shared" si="1"/>
        <v>3984382.773663105</v>
      </c>
    </row>
    <row r="98" spans="1:9" ht="15.75" x14ac:dyDescent="0.25">
      <c r="A98" s="8"/>
      <c r="B98" s="8"/>
      <c r="C98" s="9"/>
      <c r="D98" s="12" t="s">
        <v>94</v>
      </c>
      <c r="E98" s="16">
        <v>2521881.1799999997</v>
      </c>
      <c r="F98" s="16">
        <v>3618854.9196816902</v>
      </c>
      <c r="G98" s="16">
        <v>5343489.1500000004</v>
      </c>
      <c r="H98" s="16">
        <v>0</v>
      </c>
      <c r="I98" s="13">
        <f t="shared" si="1"/>
        <v>11484225.249681691</v>
      </c>
    </row>
    <row r="99" spans="1:9" ht="15.75" x14ac:dyDescent="0.25">
      <c r="A99" s="8"/>
      <c r="B99" s="8"/>
      <c r="C99" s="9"/>
      <c r="D99" s="12" t="s">
        <v>95</v>
      </c>
      <c r="E99" s="16">
        <v>2520480.5700000003</v>
      </c>
      <c r="F99" s="16">
        <v>6895758.1082992684</v>
      </c>
      <c r="G99" s="16">
        <v>2479067.2200000002</v>
      </c>
      <c r="H99" s="16">
        <v>0</v>
      </c>
      <c r="I99" s="13">
        <f t="shared" si="1"/>
        <v>11895305.898299269</v>
      </c>
    </row>
    <row r="100" spans="1:9" ht="15.75" x14ac:dyDescent="0.25">
      <c r="A100" s="8"/>
      <c r="B100" s="8"/>
      <c r="C100" s="9"/>
      <c r="D100" s="12" t="s">
        <v>96</v>
      </c>
      <c r="E100" s="16">
        <v>3656113.2599999993</v>
      </c>
      <c r="F100" s="16">
        <v>6899094.7840061523</v>
      </c>
      <c r="G100" s="16">
        <v>5757275.6699999999</v>
      </c>
      <c r="H100" s="16">
        <v>0</v>
      </c>
      <c r="I100" s="13">
        <f t="shared" si="1"/>
        <v>16312483.714006152</v>
      </c>
    </row>
    <row r="101" spans="1:9" ht="15.75" x14ac:dyDescent="0.25">
      <c r="A101" s="8"/>
      <c r="B101" s="8"/>
      <c r="C101" s="9"/>
      <c r="D101" s="12" t="s">
        <v>97</v>
      </c>
      <c r="E101" s="16">
        <v>601209.82000000007</v>
      </c>
      <c r="F101" s="16">
        <v>9258124.5087731406</v>
      </c>
      <c r="G101" s="16">
        <v>106638.48000000001</v>
      </c>
      <c r="H101" s="16">
        <v>0</v>
      </c>
      <c r="I101" s="13">
        <f t="shared" si="1"/>
        <v>9965972.8087731414</v>
      </c>
    </row>
    <row r="102" spans="1:9" ht="15.75" x14ac:dyDescent="0.25">
      <c r="A102" s="8"/>
      <c r="B102" s="8"/>
      <c r="C102" s="9"/>
      <c r="D102" s="12" t="s">
        <v>98</v>
      </c>
      <c r="E102" s="16">
        <v>1189232.6100000003</v>
      </c>
      <c r="F102" s="16">
        <v>3980855.4694328555</v>
      </c>
      <c r="G102" s="16">
        <v>3222767.1499999994</v>
      </c>
      <c r="H102" s="16">
        <v>0</v>
      </c>
      <c r="I102" s="13">
        <f t="shared" si="1"/>
        <v>8392855.2294328548</v>
      </c>
    </row>
    <row r="103" spans="1:9" ht="15.75" x14ac:dyDescent="0.25">
      <c r="A103" s="8"/>
      <c r="B103" s="8"/>
      <c r="C103" s="9"/>
      <c r="D103" s="12" t="s">
        <v>99</v>
      </c>
      <c r="E103" s="16">
        <v>418354.44</v>
      </c>
      <c r="F103" s="16">
        <v>1264197.39066855</v>
      </c>
      <c r="G103" s="16">
        <v>431004.23</v>
      </c>
      <c r="H103" s="16">
        <v>0</v>
      </c>
      <c r="I103" s="13">
        <f t="shared" si="1"/>
        <v>2113556.06066855</v>
      </c>
    </row>
    <row r="104" spans="1:9" ht="15.75" x14ac:dyDescent="0.25">
      <c r="A104" s="8"/>
      <c r="B104" s="8"/>
      <c r="C104" s="9"/>
      <c r="D104" s="12" t="s">
        <v>100</v>
      </c>
      <c r="E104" s="16">
        <v>3122944.2299999995</v>
      </c>
      <c r="F104" s="16">
        <v>2310101.4025479387</v>
      </c>
      <c r="G104" s="16">
        <v>4779137.8500000006</v>
      </c>
      <c r="H104" s="16">
        <v>0</v>
      </c>
      <c r="I104" s="13">
        <f t="shared" si="1"/>
        <v>10212183.482547939</v>
      </c>
    </row>
    <row r="105" spans="1:9" ht="15.75" x14ac:dyDescent="0.25">
      <c r="A105" s="8"/>
      <c r="B105" s="8"/>
      <c r="C105" s="9"/>
      <c r="D105" s="12" t="s">
        <v>101</v>
      </c>
      <c r="E105" s="16">
        <v>929189.96</v>
      </c>
      <c r="F105" s="16">
        <v>3430620.3867002344</v>
      </c>
      <c r="G105" s="16">
        <v>61322.19</v>
      </c>
      <c r="H105" s="16">
        <v>0</v>
      </c>
      <c r="I105" s="13">
        <f t="shared" si="1"/>
        <v>4421132.5367002347</v>
      </c>
    </row>
    <row r="106" spans="1:9" ht="15.75" x14ac:dyDescent="0.25">
      <c r="A106" s="8"/>
      <c r="B106" s="8"/>
      <c r="C106" s="9"/>
      <c r="D106" s="12" t="s">
        <v>102</v>
      </c>
      <c r="E106" s="16">
        <v>962324.69</v>
      </c>
      <c r="F106" s="16">
        <v>211620.02737539299</v>
      </c>
      <c r="G106" s="16">
        <v>9499316.0999999996</v>
      </c>
      <c r="H106" s="16">
        <v>0</v>
      </c>
      <c r="I106" s="13">
        <f t="shared" si="1"/>
        <v>10673260.817375392</v>
      </c>
    </row>
    <row r="107" spans="1:9" ht="15.75" x14ac:dyDescent="0.25">
      <c r="A107" s="8"/>
      <c r="B107" s="8"/>
      <c r="C107" s="9"/>
      <c r="D107" s="12" t="s">
        <v>103</v>
      </c>
      <c r="E107" s="16">
        <v>38793.49</v>
      </c>
      <c r="F107" s="16">
        <v>0</v>
      </c>
      <c r="G107" s="16">
        <v>2314513.31</v>
      </c>
      <c r="H107" s="16">
        <v>0</v>
      </c>
      <c r="I107" s="13">
        <f t="shared" si="1"/>
        <v>2353306.8000000003</v>
      </c>
    </row>
    <row r="108" spans="1:9" ht="15.75" x14ac:dyDescent="0.25">
      <c r="A108" s="8"/>
      <c r="B108" s="8"/>
      <c r="C108" s="9"/>
      <c r="D108" s="12" t="s">
        <v>104</v>
      </c>
      <c r="E108" s="16">
        <v>221641.65</v>
      </c>
      <c r="F108" s="16">
        <v>0</v>
      </c>
      <c r="G108" s="16">
        <v>2384946.0499999998</v>
      </c>
      <c r="H108" s="16">
        <v>0</v>
      </c>
      <c r="I108" s="13">
        <f t="shared" si="1"/>
        <v>2606587.6999999997</v>
      </c>
    </row>
    <row r="109" spans="1:9" ht="15.75" x14ac:dyDescent="0.25">
      <c r="A109" s="8"/>
      <c r="B109" s="8"/>
      <c r="C109" s="9"/>
      <c r="D109" s="12" t="s">
        <v>105</v>
      </c>
      <c r="E109" s="16">
        <v>276363.5</v>
      </c>
      <c r="F109" s="16">
        <v>5517941.1569221681</v>
      </c>
      <c r="G109" s="16">
        <v>494530.70000000007</v>
      </c>
      <c r="H109" s="16">
        <v>0</v>
      </c>
      <c r="I109" s="13">
        <f t="shared" si="1"/>
        <v>6288835.3569221683</v>
      </c>
    </row>
    <row r="110" spans="1:9" ht="15.75" x14ac:dyDescent="0.25">
      <c r="A110" s="8"/>
      <c r="B110" s="8"/>
      <c r="C110" s="9"/>
      <c r="D110" s="12" t="s">
        <v>106</v>
      </c>
      <c r="E110" s="16">
        <v>463614.16000000009</v>
      </c>
      <c r="F110" s="16">
        <v>1355524.5059216251</v>
      </c>
      <c r="G110" s="16">
        <v>363028.05999999994</v>
      </c>
      <c r="H110" s="16">
        <v>0</v>
      </c>
      <c r="I110" s="13">
        <f t="shared" si="1"/>
        <v>2182166.7259216253</v>
      </c>
    </row>
    <row r="111" spans="1:9" ht="15.75" x14ac:dyDescent="0.25">
      <c r="A111" s="8"/>
      <c r="B111" s="8"/>
      <c r="C111" s="9"/>
      <c r="D111" s="12" t="s">
        <v>107</v>
      </c>
      <c r="E111" s="16">
        <v>99427.98</v>
      </c>
      <c r="F111" s="16">
        <v>21170.632071264001</v>
      </c>
      <c r="G111" s="16">
        <v>18767357.579999998</v>
      </c>
      <c r="H111" s="16">
        <v>0</v>
      </c>
      <c r="I111" s="13">
        <f t="shared" si="1"/>
        <v>18887956.192071263</v>
      </c>
    </row>
    <row r="112" spans="1:9" ht="15.75" x14ac:dyDescent="0.25">
      <c r="A112" s="8"/>
      <c r="B112" s="8"/>
      <c r="C112" s="9"/>
      <c r="D112" s="12" t="s">
        <v>108</v>
      </c>
      <c r="E112" s="16">
        <v>934307.12999999989</v>
      </c>
      <c r="F112" s="16">
        <v>1447973.434558911</v>
      </c>
      <c r="G112" s="16">
        <v>953822.21999999974</v>
      </c>
      <c r="H112" s="16">
        <v>0</v>
      </c>
      <c r="I112" s="13">
        <f t="shared" si="1"/>
        <v>3336102.7845589109</v>
      </c>
    </row>
    <row r="113" spans="1:9" ht="15.75" x14ac:dyDescent="0.25">
      <c r="A113" s="8"/>
      <c r="B113" s="8"/>
      <c r="C113" s="9"/>
      <c r="D113" s="12" t="s">
        <v>109</v>
      </c>
      <c r="E113" s="16">
        <v>738839.07000000018</v>
      </c>
      <c r="F113" s="16">
        <v>3486308.3536702981</v>
      </c>
      <c r="G113" s="16">
        <v>1136667.7699999998</v>
      </c>
      <c r="H113" s="16">
        <v>0</v>
      </c>
      <c r="I113" s="13">
        <f t="shared" si="1"/>
        <v>5361815.193670298</v>
      </c>
    </row>
    <row r="114" spans="1:9" ht="15.75" x14ac:dyDescent="0.25">
      <c r="A114" s="8"/>
      <c r="B114" s="8"/>
      <c r="C114" s="9"/>
      <c r="D114" s="12" t="s">
        <v>110</v>
      </c>
      <c r="E114" s="16">
        <v>769005.99999999988</v>
      </c>
      <c r="F114" s="16">
        <v>3998660.6613514856</v>
      </c>
      <c r="G114" s="16">
        <v>1478829.7400000002</v>
      </c>
      <c r="H114" s="16">
        <v>0</v>
      </c>
      <c r="I114" s="13">
        <f t="shared" si="1"/>
        <v>6246496.4013514854</v>
      </c>
    </row>
    <row r="115" spans="1:9" ht="15.75" x14ac:dyDescent="0.25">
      <c r="A115" s="8"/>
      <c r="B115" s="8"/>
      <c r="C115" s="9"/>
      <c r="D115" s="12" t="s">
        <v>111</v>
      </c>
      <c r="E115" s="16">
        <v>3816409.16</v>
      </c>
      <c r="F115" s="16">
        <v>1977066.6496660172</v>
      </c>
      <c r="G115" s="16">
        <v>2066819.0200000003</v>
      </c>
      <c r="H115" s="16">
        <v>0</v>
      </c>
      <c r="I115" s="13">
        <f t="shared" si="1"/>
        <v>7860294.8296660176</v>
      </c>
    </row>
    <row r="116" spans="1:9" ht="15.75" x14ac:dyDescent="0.25">
      <c r="A116" s="8"/>
      <c r="B116" s="8"/>
      <c r="C116" s="9"/>
      <c r="D116" s="12" t="s">
        <v>112</v>
      </c>
      <c r="E116" s="16">
        <v>575564.09000000008</v>
      </c>
      <c r="F116" s="16">
        <v>2567399.3697727439</v>
      </c>
      <c r="G116" s="16">
        <v>263870.3</v>
      </c>
      <c r="H116" s="16">
        <v>0</v>
      </c>
      <c r="I116" s="13">
        <f t="shared" si="1"/>
        <v>3406833.759772744</v>
      </c>
    </row>
    <row r="117" spans="1:9" ht="15.75" x14ac:dyDescent="0.25">
      <c r="A117" s="8"/>
      <c r="B117" s="8"/>
      <c r="C117" s="9"/>
      <c r="D117" s="12" t="s">
        <v>113</v>
      </c>
      <c r="E117" s="16">
        <v>406707.04000000004</v>
      </c>
      <c r="F117" s="16">
        <v>1982618.1876955742</v>
      </c>
      <c r="G117" s="16">
        <v>1102933.53</v>
      </c>
      <c r="H117" s="16">
        <v>0</v>
      </c>
      <c r="I117" s="13">
        <f t="shared" si="1"/>
        <v>3492258.7576955743</v>
      </c>
    </row>
    <row r="118" spans="1:9" ht="15.75" x14ac:dyDescent="0.25">
      <c r="A118" s="8"/>
      <c r="B118" s="8"/>
      <c r="C118" s="9"/>
      <c r="D118" s="12" t="s">
        <v>114</v>
      </c>
      <c r="E118" s="16">
        <v>805845.92999999993</v>
      </c>
      <c r="F118" s="16">
        <v>3096463.8204341009</v>
      </c>
      <c r="G118" s="16">
        <v>1757643.13</v>
      </c>
      <c r="H118" s="16">
        <v>0</v>
      </c>
      <c r="I118" s="13">
        <f t="shared" si="1"/>
        <v>5659952.8804341005</v>
      </c>
    </row>
    <row r="119" spans="1:9" ht="15.75" x14ac:dyDescent="0.25">
      <c r="A119" s="8"/>
      <c r="B119" s="8"/>
      <c r="C119" s="9"/>
      <c r="D119" s="12" t="s">
        <v>115</v>
      </c>
      <c r="E119" s="16">
        <v>204132.62</v>
      </c>
      <c r="F119" s="16">
        <v>300732.28030579502</v>
      </c>
      <c r="G119" s="16">
        <v>822493.78999999992</v>
      </c>
      <c r="H119" s="16">
        <v>0</v>
      </c>
      <c r="I119" s="13">
        <f t="shared" si="1"/>
        <v>1327358.6903057951</v>
      </c>
    </row>
    <row r="120" spans="1:9" ht="15.75" x14ac:dyDescent="0.25">
      <c r="A120" s="8"/>
      <c r="B120" s="8"/>
      <c r="C120" s="9"/>
      <c r="D120" s="12" t="s">
        <v>116</v>
      </c>
      <c r="E120" s="16">
        <v>1577649.2800000003</v>
      </c>
      <c r="F120" s="16">
        <v>1314333.8196090572</v>
      </c>
      <c r="G120" s="16">
        <v>1984477.79</v>
      </c>
      <c r="H120" s="16">
        <v>0</v>
      </c>
      <c r="I120" s="13">
        <f t="shared" si="1"/>
        <v>4876460.8896090575</v>
      </c>
    </row>
    <row r="121" spans="1:9" ht="15.75" x14ac:dyDescent="0.25">
      <c r="A121" s="8"/>
      <c r="B121" s="8"/>
      <c r="C121" s="9"/>
      <c r="D121" s="12" t="s">
        <v>117</v>
      </c>
      <c r="E121" s="16">
        <v>904398.02000000014</v>
      </c>
      <c r="F121" s="16">
        <v>1950315.7151194473</v>
      </c>
      <c r="G121" s="16">
        <v>1432637.2000000002</v>
      </c>
      <c r="H121" s="16">
        <v>0</v>
      </c>
      <c r="I121" s="13">
        <f t="shared" si="1"/>
        <v>4287350.9351194482</v>
      </c>
    </row>
    <row r="122" spans="1:9" ht="15.75" x14ac:dyDescent="0.25">
      <c r="A122" s="8"/>
      <c r="B122" s="8"/>
      <c r="C122" s="9"/>
      <c r="D122" s="12" t="s">
        <v>118</v>
      </c>
      <c r="E122" s="16">
        <v>1879517.08</v>
      </c>
      <c r="F122" s="16">
        <v>1437963.4074382591</v>
      </c>
      <c r="G122" s="16">
        <v>1464491.29</v>
      </c>
      <c r="H122" s="16">
        <v>0</v>
      </c>
      <c r="I122" s="13">
        <f t="shared" si="1"/>
        <v>4781971.7774382588</v>
      </c>
    </row>
    <row r="123" spans="1:9" ht="15.75" x14ac:dyDescent="0.25">
      <c r="A123" s="8"/>
      <c r="B123" s="8"/>
      <c r="C123" s="9"/>
      <c r="D123" s="12" t="s">
        <v>119</v>
      </c>
      <c r="E123" s="16">
        <v>843278.56000000017</v>
      </c>
      <c r="F123" s="16">
        <v>2642014.3420456499</v>
      </c>
      <c r="G123" s="16">
        <v>415695.40000000008</v>
      </c>
      <c r="H123" s="16">
        <v>0</v>
      </c>
      <c r="I123" s="13">
        <f t="shared" si="1"/>
        <v>3900988.3020456498</v>
      </c>
    </row>
    <row r="124" spans="1:9" ht="15.75" x14ac:dyDescent="0.25">
      <c r="A124" s="8"/>
      <c r="B124" s="8"/>
      <c r="C124" s="9"/>
      <c r="D124" s="12" t="s">
        <v>120</v>
      </c>
      <c r="E124" s="16">
        <v>191082.16999999998</v>
      </c>
      <c r="F124" s="16">
        <v>0</v>
      </c>
      <c r="G124" s="16">
        <v>4813057.8999999994</v>
      </c>
      <c r="H124" s="16">
        <v>639002.54499999993</v>
      </c>
      <c r="I124" s="13">
        <f t="shared" si="1"/>
        <v>5643142.6149999993</v>
      </c>
    </row>
    <row r="125" spans="1:9" ht="15.75" x14ac:dyDescent="0.25">
      <c r="A125" s="8"/>
      <c r="B125" s="8"/>
      <c r="C125" s="9"/>
      <c r="D125" s="12" t="s">
        <v>121</v>
      </c>
      <c r="E125" s="16">
        <v>0</v>
      </c>
      <c r="F125" s="16">
        <v>0</v>
      </c>
      <c r="G125" s="16">
        <v>27565239.719999999</v>
      </c>
      <c r="H125" s="16">
        <v>64481.67500000001</v>
      </c>
      <c r="I125" s="13">
        <f t="shared" si="1"/>
        <v>27629721.395</v>
      </c>
    </row>
    <row r="126" spans="1:9" ht="15.75" x14ac:dyDescent="0.25">
      <c r="A126" s="8"/>
      <c r="B126" s="8"/>
      <c r="C126" s="9"/>
      <c r="D126" s="12" t="s">
        <v>122</v>
      </c>
      <c r="E126" s="16">
        <v>7736.61</v>
      </c>
      <c r="F126" s="16">
        <v>0</v>
      </c>
      <c r="G126" s="16">
        <v>10883904.58</v>
      </c>
      <c r="H126" s="16">
        <v>0</v>
      </c>
      <c r="I126" s="13">
        <f t="shared" si="1"/>
        <v>10891641.189999999</v>
      </c>
    </row>
    <row r="127" spans="1:9" ht="15.75" x14ac:dyDescent="0.25">
      <c r="A127" s="8"/>
      <c r="B127" s="8"/>
      <c r="C127" s="9"/>
      <c r="D127" s="12" t="s">
        <v>123</v>
      </c>
      <c r="E127" s="16">
        <v>1900684.7799999998</v>
      </c>
      <c r="F127" s="16">
        <v>556908.43414638902</v>
      </c>
      <c r="G127" s="16">
        <v>5061594.55</v>
      </c>
      <c r="H127" s="16">
        <v>0</v>
      </c>
      <c r="I127" s="13">
        <f t="shared" si="1"/>
        <v>7519187.7641463885</v>
      </c>
    </row>
    <row r="128" spans="1:9" ht="15.75" x14ac:dyDescent="0.25">
      <c r="A128" s="8"/>
      <c r="B128" s="8"/>
      <c r="C128" s="9"/>
      <c r="D128" s="12" t="s">
        <v>124</v>
      </c>
      <c r="E128" s="16">
        <v>2507810.3199999998</v>
      </c>
      <c r="F128" s="16">
        <v>1737573.8743598431</v>
      </c>
      <c r="G128" s="16">
        <v>2760362.02</v>
      </c>
      <c r="H128" s="16">
        <v>0</v>
      </c>
      <c r="I128" s="13">
        <f t="shared" si="1"/>
        <v>7005746.2143598422</v>
      </c>
    </row>
    <row r="129" spans="1:9" ht="15.75" x14ac:dyDescent="0.25">
      <c r="A129" s="8"/>
      <c r="B129" s="8"/>
      <c r="C129" s="9"/>
      <c r="D129" s="12" t="s">
        <v>125</v>
      </c>
      <c r="E129" s="16">
        <v>1414117.1099999999</v>
      </c>
      <c r="F129" s="16">
        <v>840957.33591776399</v>
      </c>
      <c r="G129" s="16">
        <v>2104055.1999999997</v>
      </c>
      <c r="H129" s="16">
        <v>0</v>
      </c>
      <c r="I129" s="13">
        <f t="shared" si="1"/>
        <v>4359129.6459177639</v>
      </c>
    </row>
    <row r="130" spans="1:9" ht="15.75" x14ac:dyDescent="0.25">
      <c r="A130" s="8"/>
      <c r="B130" s="8"/>
      <c r="C130" s="9"/>
      <c r="D130" s="12" t="s">
        <v>126</v>
      </c>
      <c r="E130" s="16">
        <v>553038.68999999994</v>
      </c>
      <c r="F130" s="16">
        <v>1481397.7205192491</v>
      </c>
      <c r="G130" s="16">
        <v>487693.72</v>
      </c>
      <c r="H130" s="16">
        <v>0</v>
      </c>
      <c r="I130" s="13">
        <f t="shared" si="1"/>
        <v>2522130.130519249</v>
      </c>
    </row>
    <row r="131" spans="1:9" ht="15.75" x14ac:dyDescent="0.25">
      <c r="A131" s="8"/>
      <c r="B131" s="8"/>
      <c r="C131" s="9"/>
      <c r="D131" s="12" t="s">
        <v>127</v>
      </c>
      <c r="E131" s="16">
        <v>2765537.18</v>
      </c>
      <c r="F131" s="16">
        <v>8096472.3671997767</v>
      </c>
      <c r="G131" s="16">
        <v>12845077.229999999</v>
      </c>
      <c r="H131" s="16">
        <v>0</v>
      </c>
      <c r="I131" s="13">
        <f t="shared" si="1"/>
        <v>23707086.777199775</v>
      </c>
    </row>
    <row r="132" spans="1:9" ht="15.75" x14ac:dyDescent="0.25">
      <c r="A132" s="8"/>
      <c r="B132" s="8"/>
      <c r="C132" s="9"/>
      <c r="D132" s="12" t="s">
        <v>128</v>
      </c>
      <c r="E132" s="16">
        <v>907256.86</v>
      </c>
      <c r="F132" s="16">
        <v>4967706.0741895474</v>
      </c>
      <c r="G132" s="16">
        <v>163496.49000000002</v>
      </c>
      <c r="H132" s="16">
        <v>0</v>
      </c>
      <c r="I132" s="13">
        <f t="shared" si="1"/>
        <v>6038459.424189548</v>
      </c>
    </row>
    <row r="133" spans="1:9" ht="15.75" x14ac:dyDescent="0.25">
      <c r="A133" s="8"/>
      <c r="B133" s="8"/>
      <c r="C133" s="9"/>
      <c r="D133" s="12" t="s">
        <v>129</v>
      </c>
      <c r="E133" s="16">
        <v>1243888.1299999999</v>
      </c>
      <c r="F133" s="16">
        <v>0</v>
      </c>
      <c r="G133" s="16">
        <v>14384654.620000001</v>
      </c>
      <c r="H133" s="16">
        <v>464054.26999999996</v>
      </c>
      <c r="I133" s="13">
        <f t="shared" si="1"/>
        <v>16092597.02</v>
      </c>
    </row>
    <row r="134" spans="1:9" ht="15.75" x14ac:dyDescent="0.25">
      <c r="A134" s="8"/>
      <c r="B134" s="8"/>
      <c r="C134" s="9"/>
      <c r="D134" s="12" t="s">
        <v>130</v>
      </c>
      <c r="E134" s="16">
        <v>181422.05</v>
      </c>
      <c r="F134" s="16">
        <v>245044.31333573104</v>
      </c>
      <c r="G134" s="16">
        <v>25208.73</v>
      </c>
      <c r="H134" s="16">
        <v>0</v>
      </c>
      <c r="I134" s="13">
        <f t="shared" si="1"/>
        <v>451675.09333573101</v>
      </c>
    </row>
    <row r="135" spans="1:9" ht="15.75" x14ac:dyDescent="0.25">
      <c r="A135" s="8"/>
      <c r="B135" s="8"/>
      <c r="C135" s="9"/>
      <c r="D135" s="12" t="s">
        <v>131</v>
      </c>
      <c r="E135" s="16">
        <v>558059.27</v>
      </c>
      <c r="F135" s="16">
        <v>3096463.8204341009</v>
      </c>
      <c r="G135" s="16">
        <v>448240.18999999994</v>
      </c>
      <c r="H135" s="16">
        <v>0</v>
      </c>
      <c r="I135" s="13">
        <f t="shared" si="1"/>
        <v>4102763.2804341009</v>
      </c>
    </row>
    <row r="136" spans="1:9" ht="15.75" x14ac:dyDescent="0.25">
      <c r="A136" s="8"/>
      <c r="B136" s="8"/>
      <c r="C136" s="9"/>
      <c r="D136" s="12" t="s">
        <v>132</v>
      </c>
      <c r="E136" s="16">
        <v>2382133.2199999997</v>
      </c>
      <c r="F136" s="16">
        <v>3742484.5075108921</v>
      </c>
      <c r="G136" s="16">
        <v>4758500.9799999995</v>
      </c>
      <c r="H136" s="16">
        <v>0</v>
      </c>
      <c r="I136" s="13">
        <f t="shared" si="1"/>
        <v>10883118.707510892</v>
      </c>
    </row>
    <row r="137" spans="1:9" ht="15.75" x14ac:dyDescent="0.25">
      <c r="A137" s="8"/>
      <c r="B137" s="8"/>
      <c r="C137" s="9"/>
      <c r="D137" s="12" t="s">
        <v>133</v>
      </c>
      <c r="E137" s="16">
        <v>2567500.67</v>
      </c>
      <c r="F137" s="16">
        <v>5884400.1957644289</v>
      </c>
      <c r="G137" s="16">
        <v>7242836.5899999999</v>
      </c>
      <c r="H137" s="16">
        <v>0</v>
      </c>
      <c r="I137" s="13">
        <f t="shared" si="1"/>
        <v>15694737.455764428</v>
      </c>
    </row>
    <row r="138" spans="1:9" ht="15.75" x14ac:dyDescent="0.25">
      <c r="A138" s="8"/>
      <c r="B138" s="8"/>
      <c r="C138" s="9"/>
      <c r="D138" s="12" t="s">
        <v>134</v>
      </c>
      <c r="E138" s="16">
        <v>0</v>
      </c>
      <c r="F138" s="16">
        <v>0</v>
      </c>
      <c r="G138" s="16">
        <v>9617951.4499999993</v>
      </c>
      <c r="H138" s="16">
        <v>0</v>
      </c>
      <c r="I138" s="13">
        <f t="shared" ref="I138:I144" si="2">SUM(E138:H138)</f>
        <v>9617951.4499999993</v>
      </c>
    </row>
    <row r="139" spans="1:9" ht="15.75" x14ac:dyDescent="0.25">
      <c r="A139" s="8"/>
      <c r="B139" s="8"/>
      <c r="C139" s="9"/>
      <c r="D139" s="12" t="s">
        <v>135</v>
      </c>
      <c r="E139" s="16">
        <v>180748.22999999998</v>
      </c>
      <c r="F139" s="16">
        <v>881054.97329186997</v>
      </c>
      <c r="G139" s="16">
        <v>997508.03</v>
      </c>
      <c r="H139" s="16">
        <v>0</v>
      </c>
      <c r="I139" s="13">
        <f t="shared" si="2"/>
        <v>2059311.23329187</v>
      </c>
    </row>
    <row r="140" spans="1:9" ht="15.75" x14ac:dyDescent="0.25">
      <c r="A140" s="8"/>
      <c r="B140" s="8"/>
      <c r="C140" s="9"/>
      <c r="D140" s="12" t="s">
        <v>136</v>
      </c>
      <c r="E140" s="16">
        <v>1741674.34</v>
      </c>
      <c r="F140" s="16">
        <v>6248615.6078382665</v>
      </c>
      <c r="G140" s="16">
        <v>2142323.73</v>
      </c>
      <c r="H140" s="16">
        <v>0</v>
      </c>
      <c r="I140" s="13">
        <f t="shared" si="2"/>
        <v>10132613.677838266</v>
      </c>
    </row>
    <row r="141" spans="1:9" ht="15.75" x14ac:dyDescent="0.25">
      <c r="A141" s="8"/>
      <c r="B141" s="8"/>
      <c r="C141" s="9"/>
      <c r="D141" s="12" t="s">
        <v>137</v>
      </c>
      <c r="E141" s="16">
        <v>0</v>
      </c>
      <c r="F141" s="16">
        <v>0</v>
      </c>
      <c r="G141" s="16">
        <v>11679030.200000001</v>
      </c>
      <c r="H141" s="16">
        <v>100092.36</v>
      </c>
      <c r="I141" s="13">
        <f t="shared" si="2"/>
        <v>11779122.560000001</v>
      </c>
    </row>
    <row r="142" spans="1:9" ht="15.75" x14ac:dyDescent="0.25">
      <c r="A142" s="8"/>
      <c r="B142" s="8"/>
      <c r="C142" s="9"/>
      <c r="D142" s="12" t="s">
        <v>138</v>
      </c>
      <c r="E142" s="16">
        <v>81674.610000000015</v>
      </c>
      <c r="F142" s="16">
        <v>0</v>
      </c>
      <c r="G142" s="16">
        <v>1440195.95</v>
      </c>
      <c r="H142" s="16">
        <v>0</v>
      </c>
      <c r="I142" s="13">
        <f t="shared" si="2"/>
        <v>1521870.56</v>
      </c>
    </row>
    <row r="143" spans="1:9" ht="15.75" x14ac:dyDescent="0.25">
      <c r="A143" s="8"/>
      <c r="B143" s="8"/>
      <c r="C143" s="9"/>
      <c r="D143" s="12" t="s">
        <v>139</v>
      </c>
      <c r="E143" s="16">
        <v>130642.98999999999</v>
      </c>
      <c r="F143" s="16">
        <v>5775239.1241469728</v>
      </c>
      <c r="G143" s="16">
        <v>266631.15000000002</v>
      </c>
      <c r="H143" s="16">
        <v>0</v>
      </c>
      <c r="I143" s="13">
        <f t="shared" si="2"/>
        <v>6172513.2641469734</v>
      </c>
    </row>
    <row r="144" spans="1:9" ht="15.75" x14ac:dyDescent="0.25">
      <c r="A144" s="8"/>
      <c r="B144" s="8"/>
      <c r="C144" s="9"/>
      <c r="D144" s="12" t="s">
        <v>140</v>
      </c>
      <c r="E144" s="16">
        <v>1701272.85</v>
      </c>
      <c r="F144" s="16">
        <v>701708.65404685505</v>
      </c>
      <c r="G144" s="16">
        <v>3754275.97</v>
      </c>
      <c r="H144" s="16">
        <v>0</v>
      </c>
      <c r="I144" s="13">
        <f t="shared" si="2"/>
        <v>6157257.4740468552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132228794.64999996</v>
      </c>
      <c r="F145" s="22">
        <f>SUM(F10:F144)</f>
        <v>287631110.78717244</v>
      </c>
      <c r="G145" s="22">
        <f>SUM(G10:G144)</f>
        <v>607001277.87000024</v>
      </c>
      <c r="H145" s="22">
        <f>SUM(H10:H144)</f>
        <v>1267630.8500000001</v>
      </c>
      <c r="I145" s="22">
        <f>SUM(I10:I144)</f>
        <v>1028128814.1571729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2.8320312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162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163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>
        <v>12877990.399999997</v>
      </c>
      <c r="F10" s="16">
        <v>18248550.558552366</v>
      </c>
      <c r="G10" s="16">
        <v>1097304.1900000002</v>
      </c>
      <c r="H10" s="16">
        <v>0</v>
      </c>
      <c r="I10" s="13">
        <f t="shared" ref="I10:I73" si="0">SUM(E10:H10)</f>
        <v>32223845.148552362</v>
      </c>
    </row>
    <row r="11" spans="1:9" ht="15.75" x14ac:dyDescent="0.25">
      <c r="A11" s="8"/>
      <c r="B11" s="8"/>
      <c r="C11" s="9"/>
      <c r="D11" s="12" t="s">
        <v>7</v>
      </c>
      <c r="E11" s="16">
        <v>22785343.789999999</v>
      </c>
      <c r="F11" s="16">
        <v>10242480.052706415</v>
      </c>
      <c r="G11" s="16">
        <v>890701.75000000012</v>
      </c>
      <c r="H11" s="16">
        <v>0</v>
      </c>
      <c r="I11" s="13">
        <f t="shared" si="0"/>
        <v>33918525.592706412</v>
      </c>
    </row>
    <row r="12" spans="1:9" ht="15.75" x14ac:dyDescent="0.25">
      <c r="A12" s="8"/>
      <c r="B12" s="8"/>
      <c r="C12" s="9"/>
      <c r="D12" s="12" t="s">
        <v>8</v>
      </c>
      <c r="E12" s="16">
        <v>17647950.559999999</v>
      </c>
      <c r="F12" s="16">
        <v>3713199.2139822934</v>
      </c>
      <c r="G12" s="16">
        <v>9956812.3899999969</v>
      </c>
      <c r="H12" s="16">
        <v>0</v>
      </c>
      <c r="I12" s="13">
        <f t="shared" si="0"/>
        <v>31317962.163982291</v>
      </c>
    </row>
    <row r="13" spans="1:9" ht="15.75" x14ac:dyDescent="0.25">
      <c r="A13" s="8"/>
      <c r="B13" s="8"/>
      <c r="C13" s="9"/>
      <c r="D13" s="12" t="s">
        <v>9</v>
      </c>
      <c r="E13" s="16">
        <v>3762239.13</v>
      </c>
      <c r="F13" s="16">
        <v>98260.970751006025</v>
      </c>
      <c r="G13" s="16">
        <v>10100398.720000001</v>
      </c>
      <c r="H13" s="16">
        <v>0</v>
      </c>
      <c r="I13" s="13">
        <f t="shared" si="0"/>
        <v>13960898.820751008</v>
      </c>
    </row>
    <row r="14" spans="1:9" ht="15.75" x14ac:dyDescent="0.25">
      <c r="A14" s="8"/>
      <c r="B14" s="8"/>
      <c r="C14" s="9"/>
      <c r="D14" s="12" t="s">
        <v>10</v>
      </c>
      <c r="E14" s="16">
        <v>24467071.670000006</v>
      </c>
      <c r="F14" s="16">
        <v>4125776.9044247707</v>
      </c>
      <c r="G14" s="16">
        <v>1685525.32</v>
      </c>
      <c r="H14" s="16">
        <v>0</v>
      </c>
      <c r="I14" s="13">
        <f t="shared" si="0"/>
        <v>30278373.894424777</v>
      </c>
    </row>
    <row r="15" spans="1:9" ht="15.75" x14ac:dyDescent="0.25">
      <c r="A15" s="8"/>
      <c r="B15" s="8"/>
      <c r="C15" s="9"/>
      <c r="D15" s="12" t="s">
        <v>11</v>
      </c>
      <c r="E15" s="16">
        <v>1475452.0499999998</v>
      </c>
      <c r="F15" s="16">
        <v>22916.284916973007</v>
      </c>
      <c r="G15" s="16">
        <v>11268227.17</v>
      </c>
      <c r="H15" s="16">
        <v>0</v>
      </c>
      <c r="I15" s="13">
        <f t="shared" si="0"/>
        <v>12766595.504916973</v>
      </c>
    </row>
    <row r="16" spans="1:9" ht="15.75" x14ac:dyDescent="0.25">
      <c r="A16" s="8"/>
      <c r="B16" s="8"/>
      <c r="C16" s="9"/>
      <c r="D16" s="12" t="s">
        <v>12</v>
      </c>
      <c r="E16" s="16">
        <v>32560363.940000005</v>
      </c>
      <c r="F16" s="16">
        <v>19672911.82475714</v>
      </c>
      <c r="G16" s="16">
        <v>1743803.94</v>
      </c>
      <c r="H16" s="16">
        <v>0</v>
      </c>
      <c r="I16" s="13">
        <f t="shared" si="0"/>
        <v>53977079.704757139</v>
      </c>
    </row>
    <row r="17" spans="1:9" ht="15.75" x14ac:dyDescent="0.25">
      <c r="A17" s="8"/>
      <c r="B17" s="8"/>
      <c r="C17" s="9"/>
      <c r="D17" s="12" t="s">
        <v>13</v>
      </c>
      <c r="E17" s="16">
        <v>71259562.120000005</v>
      </c>
      <c r="F17" s="16">
        <v>18075029.463904291</v>
      </c>
      <c r="G17" s="16">
        <v>4280994.8100000005</v>
      </c>
      <c r="H17" s="16">
        <v>0</v>
      </c>
      <c r="I17" s="13">
        <f t="shared" si="0"/>
        <v>93615586.393904299</v>
      </c>
    </row>
    <row r="18" spans="1:9" ht="15.75" x14ac:dyDescent="0.25">
      <c r="A18" s="8"/>
      <c r="B18" s="8"/>
      <c r="C18" s="9"/>
      <c r="D18" s="12" t="s">
        <v>14</v>
      </c>
      <c r="E18" s="16">
        <v>9872191.4099999983</v>
      </c>
      <c r="F18" s="16">
        <v>1473491.7515802751</v>
      </c>
      <c r="G18" s="16">
        <v>23249976.530000005</v>
      </c>
      <c r="H18" s="16">
        <v>0</v>
      </c>
      <c r="I18" s="13">
        <f t="shared" si="0"/>
        <v>34595659.691580281</v>
      </c>
    </row>
    <row r="19" spans="1:9" ht="15.75" x14ac:dyDescent="0.25">
      <c r="A19" s="8"/>
      <c r="B19" s="8"/>
      <c r="C19" s="9"/>
      <c r="D19" s="12" t="s">
        <v>15</v>
      </c>
      <c r="E19" s="16">
        <v>67035555.420000002</v>
      </c>
      <c r="F19" s="16">
        <v>14063833.984064387</v>
      </c>
      <c r="G19" s="16">
        <v>5380189.75</v>
      </c>
      <c r="H19" s="16">
        <v>0</v>
      </c>
      <c r="I19" s="13">
        <f t="shared" si="0"/>
        <v>86479579.154064387</v>
      </c>
    </row>
    <row r="20" spans="1:9" ht="15.75" x14ac:dyDescent="0.25">
      <c r="A20" s="8"/>
      <c r="B20" s="8"/>
      <c r="C20" s="9"/>
      <c r="D20" s="12" t="s">
        <v>16</v>
      </c>
      <c r="E20" s="16">
        <v>20305561.869999997</v>
      </c>
      <c r="F20" s="16">
        <v>3863888.5856503597</v>
      </c>
      <c r="G20" s="16">
        <v>1416144.2100000002</v>
      </c>
      <c r="H20" s="16">
        <v>0</v>
      </c>
      <c r="I20" s="13">
        <f t="shared" si="0"/>
        <v>25585594.665650357</v>
      </c>
    </row>
    <row r="21" spans="1:9" ht="15.75" x14ac:dyDescent="0.25">
      <c r="A21" s="8"/>
      <c r="B21" s="8"/>
      <c r="C21" s="9"/>
      <c r="D21" s="12" t="s">
        <v>17</v>
      </c>
      <c r="E21" s="16">
        <v>32774607</v>
      </c>
      <c r="F21" s="16">
        <v>16824189.292347595</v>
      </c>
      <c r="G21" s="16">
        <v>1123166.03</v>
      </c>
      <c r="H21" s="16">
        <v>0</v>
      </c>
      <c r="I21" s="13">
        <f t="shared" si="0"/>
        <v>50721962.322347596</v>
      </c>
    </row>
    <row r="22" spans="1:9" ht="15.75" x14ac:dyDescent="0.25">
      <c r="A22" s="8"/>
      <c r="B22" s="8"/>
      <c r="C22" s="9"/>
      <c r="D22" s="12" t="s">
        <v>18</v>
      </c>
      <c r="E22" s="16">
        <v>1745485.1099999999</v>
      </c>
      <c r="F22" s="16">
        <v>720383.14098779717</v>
      </c>
      <c r="G22" s="16">
        <v>6852241.3999999994</v>
      </c>
      <c r="H22" s="16">
        <v>0</v>
      </c>
      <c r="I22" s="13">
        <f t="shared" si="0"/>
        <v>9318109.6509877965</v>
      </c>
    </row>
    <row r="23" spans="1:9" ht="15.75" x14ac:dyDescent="0.25">
      <c r="A23" s="8"/>
      <c r="B23" s="8"/>
      <c r="C23" s="9"/>
      <c r="D23" s="12" t="s">
        <v>19</v>
      </c>
      <c r="E23" s="16">
        <v>2103470.3499999996</v>
      </c>
      <c r="F23" s="16">
        <v>268484.14985752502</v>
      </c>
      <c r="G23" s="16">
        <v>2689909.78</v>
      </c>
      <c r="H23" s="16">
        <v>0</v>
      </c>
      <c r="I23" s="13">
        <f t="shared" si="0"/>
        <v>5061864.2798575237</v>
      </c>
    </row>
    <row r="24" spans="1:9" ht="15.75" x14ac:dyDescent="0.25">
      <c r="A24" s="8"/>
      <c r="B24" s="8"/>
      <c r="C24" s="9"/>
      <c r="D24" s="12" t="s">
        <v>20</v>
      </c>
      <c r="E24" s="16">
        <v>27066152.080000006</v>
      </c>
      <c r="F24" s="16">
        <v>10317824.738540448</v>
      </c>
      <c r="G24" s="16">
        <v>2493273.9099999997</v>
      </c>
      <c r="H24" s="16">
        <v>0</v>
      </c>
      <c r="I24" s="13">
        <f t="shared" si="0"/>
        <v>39877250.72854045</v>
      </c>
    </row>
    <row r="25" spans="1:9" ht="15.75" x14ac:dyDescent="0.25">
      <c r="A25" s="8"/>
      <c r="B25" s="8"/>
      <c r="C25" s="9"/>
      <c r="D25" s="12" t="s">
        <v>21</v>
      </c>
      <c r="E25" s="16">
        <v>19769131.870000005</v>
      </c>
      <c r="F25" s="16">
        <v>7662241.6701543946</v>
      </c>
      <c r="G25" s="16">
        <v>2302489.02</v>
      </c>
      <c r="H25" s="16">
        <v>0</v>
      </c>
      <c r="I25" s="13">
        <f t="shared" si="0"/>
        <v>29733862.560154397</v>
      </c>
    </row>
    <row r="26" spans="1:9" ht="15.75" x14ac:dyDescent="0.25">
      <c r="A26" s="8"/>
      <c r="B26" s="8"/>
      <c r="C26" s="9"/>
      <c r="D26" s="12" t="s">
        <v>22</v>
      </c>
      <c r="E26" s="16">
        <v>8839164.25</v>
      </c>
      <c r="F26" s="16">
        <v>4387749.7851361446</v>
      </c>
      <c r="G26" s="16">
        <v>2529687.36</v>
      </c>
      <c r="H26" s="16">
        <v>0</v>
      </c>
      <c r="I26" s="13">
        <f t="shared" si="0"/>
        <v>15756601.395136144</v>
      </c>
    </row>
    <row r="27" spans="1:9" ht="15.75" x14ac:dyDescent="0.25">
      <c r="A27" s="8"/>
      <c r="B27" s="8"/>
      <c r="C27" s="9"/>
      <c r="D27" s="12" t="s">
        <v>23</v>
      </c>
      <c r="E27" s="16">
        <v>6271622.1900000023</v>
      </c>
      <c r="F27" s="16">
        <v>753108.61059247819</v>
      </c>
      <c r="G27" s="16">
        <v>3731557.8099999996</v>
      </c>
      <c r="H27" s="16">
        <v>0</v>
      </c>
      <c r="I27" s="13">
        <f t="shared" si="0"/>
        <v>10756288.610592481</v>
      </c>
    </row>
    <row r="28" spans="1:9" ht="15.75" x14ac:dyDescent="0.25">
      <c r="A28" s="8"/>
      <c r="B28" s="8"/>
      <c r="C28" s="9"/>
      <c r="D28" s="12" t="s">
        <v>24</v>
      </c>
      <c r="E28" s="16">
        <v>12215136.630000003</v>
      </c>
      <c r="F28" s="16">
        <v>3569190.2353343046</v>
      </c>
      <c r="G28" s="16">
        <v>2305079.0099999998</v>
      </c>
      <c r="H28" s="16">
        <v>0</v>
      </c>
      <c r="I28" s="13">
        <f t="shared" si="0"/>
        <v>18089405.875334308</v>
      </c>
    </row>
    <row r="29" spans="1:9" ht="15.75" x14ac:dyDescent="0.25">
      <c r="A29" s="8"/>
      <c r="B29" s="8"/>
      <c r="C29" s="9"/>
      <c r="D29" s="12" t="s">
        <v>25</v>
      </c>
      <c r="E29" s="16">
        <v>10274711.549999997</v>
      </c>
      <c r="F29" s="16">
        <v>1997437.5130030233</v>
      </c>
      <c r="G29" s="16">
        <v>712074.94</v>
      </c>
      <c r="H29" s="16">
        <v>0</v>
      </c>
      <c r="I29" s="13">
        <f t="shared" si="0"/>
        <v>12984224.00300302</v>
      </c>
    </row>
    <row r="30" spans="1:9" ht="15.75" x14ac:dyDescent="0.25">
      <c r="A30" s="8"/>
      <c r="B30" s="8"/>
      <c r="C30" s="9"/>
      <c r="D30" s="12" t="s">
        <v>26</v>
      </c>
      <c r="E30" s="16">
        <v>21457645.750000004</v>
      </c>
      <c r="F30" s="16">
        <v>10772937.083275314</v>
      </c>
      <c r="G30" s="16">
        <v>1738972.01</v>
      </c>
      <c r="H30" s="16">
        <v>0</v>
      </c>
      <c r="I30" s="13">
        <f t="shared" si="0"/>
        <v>33969554.843275316</v>
      </c>
    </row>
    <row r="31" spans="1:9" ht="15.75" x14ac:dyDescent="0.25">
      <c r="A31" s="8"/>
      <c r="B31" s="8"/>
      <c r="C31" s="9"/>
      <c r="D31" s="12" t="s">
        <v>27</v>
      </c>
      <c r="E31" s="16">
        <v>23048288.610000003</v>
      </c>
      <c r="F31" s="16">
        <v>11165896.404342376</v>
      </c>
      <c r="G31" s="16">
        <v>1364889.9799999997</v>
      </c>
      <c r="H31" s="16">
        <v>0</v>
      </c>
      <c r="I31" s="13">
        <f t="shared" si="0"/>
        <v>35579074.994342379</v>
      </c>
    </row>
    <row r="32" spans="1:9" ht="15.75" x14ac:dyDescent="0.25">
      <c r="A32" s="8"/>
      <c r="B32" s="8"/>
      <c r="C32" s="9"/>
      <c r="D32" s="12" t="s">
        <v>28</v>
      </c>
      <c r="E32" s="16">
        <v>15427091.65</v>
      </c>
      <c r="F32" s="16">
        <v>3768925.5304409107</v>
      </c>
      <c r="G32" s="16">
        <v>1498438.87</v>
      </c>
      <c r="H32" s="16">
        <v>0</v>
      </c>
      <c r="I32" s="13">
        <f t="shared" si="0"/>
        <v>20694456.050440911</v>
      </c>
    </row>
    <row r="33" spans="1:9" ht="15.75" x14ac:dyDescent="0.25">
      <c r="A33" s="8"/>
      <c r="B33" s="8"/>
      <c r="C33" s="9"/>
      <c r="D33" s="12" t="s">
        <v>29</v>
      </c>
      <c r="E33" s="16">
        <v>5749327.5099999988</v>
      </c>
      <c r="F33" s="16">
        <v>5697529.6267560516</v>
      </c>
      <c r="G33" s="16">
        <v>634809.02</v>
      </c>
      <c r="H33" s="16">
        <v>0</v>
      </c>
      <c r="I33" s="13">
        <f t="shared" si="0"/>
        <v>12081666.156756051</v>
      </c>
    </row>
    <row r="34" spans="1:9" ht="15.75" x14ac:dyDescent="0.25">
      <c r="A34" s="8"/>
      <c r="B34" s="8"/>
      <c r="C34" s="9"/>
      <c r="D34" s="12" t="s">
        <v>30</v>
      </c>
      <c r="E34" s="16">
        <v>41838118.379999995</v>
      </c>
      <c r="F34" s="16">
        <v>8176293.6849524723</v>
      </c>
      <c r="G34" s="16">
        <v>3910760.4800000004</v>
      </c>
      <c r="H34" s="16">
        <v>0</v>
      </c>
      <c r="I34" s="13">
        <f t="shared" si="0"/>
        <v>53925172.544952467</v>
      </c>
    </row>
    <row r="35" spans="1:9" ht="15.75" x14ac:dyDescent="0.25">
      <c r="A35" s="8"/>
      <c r="B35" s="8"/>
      <c r="C35" s="9"/>
      <c r="D35" s="12" t="s">
        <v>31</v>
      </c>
      <c r="E35" s="16">
        <v>18290563.399999999</v>
      </c>
      <c r="F35" s="16">
        <v>12020563.901227416</v>
      </c>
      <c r="G35" s="16">
        <v>2753876.5799999996</v>
      </c>
      <c r="H35" s="16">
        <v>0</v>
      </c>
      <c r="I35" s="13">
        <f t="shared" si="0"/>
        <v>33065003.881227411</v>
      </c>
    </row>
    <row r="36" spans="1:9" ht="15.75" x14ac:dyDescent="0.25">
      <c r="A36" s="8"/>
      <c r="B36" s="8"/>
      <c r="C36" s="9"/>
      <c r="D36" s="12" t="s">
        <v>32</v>
      </c>
      <c r="E36" s="16">
        <v>20451290.770000003</v>
      </c>
      <c r="F36" s="16">
        <v>7459208.4595062304</v>
      </c>
      <c r="G36" s="16">
        <v>4177596.8299999991</v>
      </c>
      <c r="H36" s="16">
        <v>0</v>
      </c>
      <c r="I36" s="13">
        <f t="shared" si="0"/>
        <v>32088096.05950623</v>
      </c>
    </row>
    <row r="37" spans="1:9" ht="15.75" x14ac:dyDescent="0.25">
      <c r="A37" s="8"/>
      <c r="B37" s="8"/>
      <c r="C37" s="9"/>
      <c r="D37" s="12" t="s">
        <v>33</v>
      </c>
      <c r="E37" s="16">
        <v>20507562.750000004</v>
      </c>
      <c r="F37" s="16">
        <v>4125776.9044247707</v>
      </c>
      <c r="G37" s="16">
        <v>1027333.2699999999</v>
      </c>
      <c r="H37" s="16">
        <v>0</v>
      </c>
      <c r="I37" s="13">
        <f t="shared" si="0"/>
        <v>25660672.924424775</v>
      </c>
    </row>
    <row r="38" spans="1:9" ht="15.75" x14ac:dyDescent="0.25">
      <c r="A38" s="8"/>
      <c r="B38" s="8"/>
      <c r="C38" s="9"/>
      <c r="D38" s="12" t="s">
        <v>34</v>
      </c>
      <c r="E38" s="16">
        <v>23059061.420000006</v>
      </c>
      <c r="F38" s="16">
        <v>8965510.2426281516</v>
      </c>
      <c r="G38" s="16">
        <v>1400202.73</v>
      </c>
      <c r="H38" s="16">
        <v>0</v>
      </c>
      <c r="I38" s="13">
        <f t="shared" si="0"/>
        <v>33424774.392628159</v>
      </c>
    </row>
    <row r="39" spans="1:9" ht="15.75" x14ac:dyDescent="0.25">
      <c r="A39" s="8"/>
      <c r="B39" s="8"/>
      <c r="C39" s="9"/>
      <c r="D39" s="12" t="s">
        <v>35</v>
      </c>
      <c r="E39" s="16">
        <v>17044992.23</v>
      </c>
      <c r="F39" s="16">
        <v>14037619.783605853</v>
      </c>
      <c r="G39" s="16">
        <v>1347812.4300000002</v>
      </c>
      <c r="H39" s="16">
        <v>0</v>
      </c>
      <c r="I39" s="13">
        <f t="shared" si="0"/>
        <v>32430424.443605855</v>
      </c>
    </row>
    <row r="40" spans="1:9" ht="15.75" x14ac:dyDescent="0.25">
      <c r="A40" s="8"/>
      <c r="B40" s="8"/>
      <c r="C40" s="9"/>
      <c r="D40" s="12" t="s">
        <v>36</v>
      </c>
      <c r="E40" s="16">
        <v>1705753.0399999996</v>
      </c>
      <c r="F40" s="16">
        <v>736788.15675861912</v>
      </c>
      <c r="G40" s="16">
        <v>1070219.48</v>
      </c>
      <c r="H40" s="16">
        <v>0</v>
      </c>
      <c r="I40" s="13">
        <f t="shared" si="0"/>
        <v>3512760.6767586186</v>
      </c>
    </row>
    <row r="41" spans="1:9" ht="15.75" x14ac:dyDescent="0.25">
      <c r="A41" s="8"/>
      <c r="B41" s="8"/>
      <c r="C41" s="9"/>
      <c r="D41" s="12" t="s">
        <v>37</v>
      </c>
      <c r="E41" s="16">
        <v>36594283.859999999</v>
      </c>
      <c r="F41" s="16">
        <v>12311964.336001914</v>
      </c>
      <c r="G41" s="16">
        <v>2639515.2200000002</v>
      </c>
      <c r="H41" s="16">
        <v>0</v>
      </c>
      <c r="I41" s="13">
        <f t="shared" si="0"/>
        <v>51545763.416001916</v>
      </c>
    </row>
    <row r="42" spans="1:9" ht="15.75" x14ac:dyDescent="0.25">
      <c r="A42" s="8"/>
      <c r="B42" s="8"/>
      <c r="C42" s="9"/>
      <c r="D42" s="12" t="s">
        <v>38</v>
      </c>
      <c r="E42" s="16">
        <v>26668598.910000004</v>
      </c>
      <c r="F42" s="16">
        <v>13333641.658388877</v>
      </c>
      <c r="G42" s="16">
        <v>919293.76</v>
      </c>
      <c r="H42" s="16">
        <v>0</v>
      </c>
      <c r="I42" s="13">
        <f t="shared" si="0"/>
        <v>40921534.328388877</v>
      </c>
    </row>
    <row r="43" spans="1:9" ht="15.75" x14ac:dyDescent="0.25">
      <c r="A43" s="8"/>
      <c r="B43" s="8"/>
      <c r="C43" s="9"/>
      <c r="D43" s="12" t="s">
        <v>39</v>
      </c>
      <c r="E43" s="16">
        <v>5342126.9799999995</v>
      </c>
      <c r="F43" s="16">
        <v>4849457.960954126</v>
      </c>
      <c r="G43" s="16">
        <v>1201330.3699999999</v>
      </c>
      <c r="H43" s="16">
        <v>0</v>
      </c>
      <c r="I43" s="13">
        <f t="shared" si="0"/>
        <v>11392915.310954126</v>
      </c>
    </row>
    <row r="44" spans="1:9" ht="15.75" x14ac:dyDescent="0.25">
      <c r="A44" s="8"/>
      <c r="B44" s="8"/>
      <c r="C44" s="9"/>
      <c r="D44" s="12" t="s">
        <v>40</v>
      </c>
      <c r="E44" s="16">
        <v>1440.69</v>
      </c>
      <c r="F44" s="16">
        <v>373256.38975468208</v>
      </c>
      <c r="G44" s="16">
        <v>1926333.19</v>
      </c>
      <c r="H44" s="16">
        <v>0</v>
      </c>
      <c r="I44" s="13">
        <f t="shared" si="0"/>
        <v>2301030.2697546822</v>
      </c>
    </row>
    <row r="45" spans="1:9" ht="15.75" x14ac:dyDescent="0.25">
      <c r="A45" s="8"/>
      <c r="B45" s="8"/>
      <c r="C45" s="9"/>
      <c r="D45" s="12" t="s">
        <v>41</v>
      </c>
      <c r="E45" s="16">
        <v>7809088.0399999991</v>
      </c>
      <c r="F45" s="16">
        <v>108070.15543871402</v>
      </c>
      <c r="G45" s="16">
        <v>5636940.0999999996</v>
      </c>
      <c r="H45" s="16">
        <v>0</v>
      </c>
      <c r="I45" s="13">
        <f t="shared" si="0"/>
        <v>13554098.295438712</v>
      </c>
    </row>
    <row r="46" spans="1:9" ht="15.75" x14ac:dyDescent="0.25">
      <c r="A46" s="8"/>
      <c r="B46" s="8"/>
      <c r="C46" s="9"/>
      <c r="D46" s="12" t="s">
        <v>42</v>
      </c>
      <c r="E46" s="16">
        <v>2250484.0300000003</v>
      </c>
      <c r="F46" s="16">
        <v>360149.28952541709</v>
      </c>
      <c r="G46" s="16">
        <v>8038628.6500000004</v>
      </c>
      <c r="H46" s="16">
        <v>0</v>
      </c>
      <c r="I46" s="13">
        <f t="shared" si="0"/>
        <v>10649261.969525417</v>
      </c>
    </row>
    <row r="47" spans="1:9" ht="15.75" x14ac:dyDescent="0.25">
      <c r="A47" s="8"/>
      <c r="B47" s="8"/>
      <c r="C47" s="9"/>
      <c r="D47" s="12" t="s">
        <v>43</v>
      </c>
      <c r="E47" s="16">
        <v>12499925.709999999</v>
      </c>
      <c r="F47" s="16">
        <v>2285540.0322359647</v>
      </c>
      <c r="G47" s="16">
        <v>1002875.5299999999</v>
      </c>
      <c r="H47" s="16">
        <v>0</v>
      </c>
      <c r="I47" s="13">
        <f t="shared" si="0"/>
        <v>15788341.272235963</v>
      </c>
    </row>
    <row r="48" spans="1:9" ht="15.75" x14ac:dyDescent="0.25">
      <c r="A48" s="8"/>
      <c r="B48" s="8"/>
      <c r="C48" s="9"/>
      <c r="D48" s="12" t="s">
        <v>44</v>
      </c>
      <c r="E48" s="16">
        <v>7968315.6400000006</v>
      </c>
      <c r="F48" s="16">
        <v>360149.28952541709</v>
      </c>
      <c r="G48" s="16">
        <v>5243918.92</v>
      </c>
      <c r="H48" s="16">
        <v>0</v>
      </c>
      <c r="I48" s="13">
        <f t="shared" si="0"/>
        <v>13572383.849525418</v>
      </c>
    </row>
    <row r="49" spans="1:9" ht="15.75" x14ac:dyDescent="0.25">
      <c r="A49" s="8"/>
      <c r="B49" s="8"/>
      <c r="C49" s="9"/>
      <c r="D49" s="12" t="s">
        <v>45</v>
      </c>
      <c r="E49" s="16">
        <v>2887841.18</v>
      </c>
      <c r="F49" s="16">
        <v>428982.70621329907</v>
      </c>
      <c r="G49" s="16">
        <v>11014975.530000001</v>
      </c>
      <c r="H49" s="16">
        <v>0</v>
      </c>
      <c r="I49" s="13">
        <f t="shared" si="0"/>
        <v>14331799.4162133</v>
      </c>
    </row>
    <row r="50" spans="1:9" ht="15.75" x14ac:dyDescent="0.25">
      <c r="A50" s="8"/>
      <c r="B50" s="8"/>
      <c r="C50" s="9"/>
      <c r="D50" s="12" t="s">
        <v>46</v>
      </c>
      <c r="E50" s="16">
        <v>13952585.17</v>
      </c>
      <c r="F50" s="16">
        <v>4145479.8357371497</v>
      </c>
      <c r="G50" s="16">
        <v>459831.17</v>
      </c>
      <c r="H50" s="16">
        <v>0</v>
      </c>
      <c r="I50" s="13">
        <f t="shared" si="0"/>
        <v>18557896.17573715</v>
      </c>
    </row>
    <row r="51" spans="1:9" ht="15.75" x14ac:dyDescent="0.25">
      <c r="A51" s="8"/>
      <c r="B51" s="8"/>
      <c r="C51" s="9"/>
      <c r="D51" s="12" t="s">
        <v>47</v>
      </c>
      <c r="E51" s="16">
        <v>23490425.950000003</v>
      </c>
      <c r="F51" s="16">
        <v>7537766.498944859</v>
      </c>
      <c r="G51" s="16">
        <v>1845576.9200000002</v>
      </c>
      <c r="H51" s="16">
        <v>0</v>
      </c>
      <c r="I51" s="13">
        <f t="shared" si="0"/>
        <v>32873769.368944865</v>
      </c>
    </row>
    <row r="52" spans="1:9" ht="15.75" x14ac:dyDescent="0.25">
      <c r="A52" s="8"/>
      <c r="B52" s="8"/>
      <c r="C52" s="9"/>
      <c r="D52" s="12" t="s">
        <v>48</v>
      </c>
      <c r="E52" s="16">
        <v>13803242.720000003</v>
      </c>
      <c r="F52" s="16">
        <v>7596706.1690080697</v>
      </c>
      <c r="G52" s="16">
        <v>405929.44000000006</v>
      </c>
      <c r="H52" s="16">
        <v>0</v>
      </c>
      <c r="I52" s="13">
        <f t="shared" si="0"/>
        <v>21805878.329008073</v>
      </c>
    </row>
    <row r="53" spans="1:9" ht="15.75" x14ac:dyDescent="0.25">
      <c r="A53" s="8"/>
      <c r="B53" s="8"/>
      <c r="C53" s="9"/>
      <c r="D53" s="12" t="s">
        <v>49</v>
      </c>
      <c r="E53" s="16">
        <v>19422410.279999997</v>
      </c>
      <c r="F53" s="16">
        <v>5206393.8968749484</v>
      </c>
      <c r="G53" s="16">
        <v>1931431.53</v>
      </c>
      <c r="H53" s="16">
        <v>0</v>
      </c>
      <c r="I53" s="13">
        <f t="shared" si="0"/>
        <v>26560235.706874948</v>
      </c>
    </row>
    <row r="54" spans="1:9" ht="15.75" x14ac:dyDescent="0.25">
      <c r="A54" s="8"/>
      <c r="B54" s="8"/>
      <c r="C54" s="9"/>
      <c r="D54" s="12" t="s">
        <v>50</v>
      </c>
      <c r="E54" s="16">
        <v>15487157.870000003</v>
      </c>
      <c r="F54" s="16">
        <v>4780709.1062032068</v>
      </c>
      <c r="G54" s="16">
        <v>1022412.8499999999</v>
      </c>
      <c r="H54" s="16">
        <v>0</v>
      </c>
      <c r="I54" s="13">
        <f t="shared" si="0"/>
        <v>21290279.826203212</v>
      </c>
    </row>
    <row r="55" spans="1:9" ht="15.75" x14ac:dyDescent="0.25">
      <c r="A55" s="8"/>
      <c r="B55" s="8"/>
      <c r="C55" s="9"/>
      <c r="D55" s="12" t="s">
        <v>51</v>
      </c>
      <c r="E55" s="16">
        <v>6592973.1099999994</v>
      </c>
      <c r="F55" s="16">
        <v>9790665.6235131044</v>
      </c>
      <c r="G55" s="16">
        <v>90505.37000000001</v>
      </c>
      <c r="H55" s="16">
        <v>0</v>
      </c>
      <c r="I55" s="13">
        <f t="shared" si="0"/>
        <v>16474144.103513103</v>
      </c>
    </row>
    <row r="56" spans="1:9" ht="15.75" x14ac:dyDescent="0.25">
      <c r="A56" s="8"/>
      <c r="B56" s="8"/>
      <c r="C56" s="9"/>
      <c r="D56" s="12" t="s">
        <v>52</v>
      </c>
      <c r="E56" s="16">
        <v>18589914.930000003</v>
      </c>
      <c r="F56" s="16">
        <v>10897412.254484849</v>
      </c>
      <c r="G56" s="16">
        <v>769923.0399999998</v>
      </c>
      <c r="H56" s="16">
        <v>0</v>
      </c>
      <c r="I56" s="13">
        <f t="shared" si="0"/>
        <v>30257250.224484853</v>
      </c>
    </row>
    <row r="57" spans="1:9" ht="15.75" x14ac:dyDescent="0.25">
      <c r="A57" s="8"/>
      <c r="B57" s="8"/>
      <c r="C57" s="9"/>
      <c r="D57" s="12" t="s">
        <v>53</v>
      </c>
      <c r="E57" s="16">
        <v>3900450.95</v>
      </c>
      <c r="F57" s="16">
        <v>3601915.7049389854</v>
      </c>
      <c r="G57" s="16">
        <v>532806.47000000009</v>
      </c>
      <c r="H57" s="16">
        <v>0</v>
      </c>
      <c r="I57" s="13">
        <f t="shared" si="0"/>
        <v>8035173.1249389853</v>
      </c>
    </row>
    <row r="58" spans="1:9" ht="15.75" x14ac:dyDescent="0.25">
      <c r="A58" s="8"/>
      <c r="B58" s="8"/>
      <c r="C58" s="9"/>
      <c r="D58" s="12" t="s">
        <v>54</v>
      </c>
      <c r="E58" s="16">
        <v>5391835.1699999999</v>
      </c>
      <c r="F58" s="16">
        <v>3876995.6858796249</v>
      </c>
      <c r="G58" s="16">
        <v>82421.320000000007</v>
      </c>
      <c r="H58" s="16">
        <v>0</v>
      </c>
      <c r="I58" s="13">
        <f t="shared" si="0"/>
        <v>9351252.1758796256</v>
      </c>
    </row>
    <row r="59" spans="1:9" ht="15.75" x14ac:dyDescent="0.25">
      <c r="A59" s="8"/>
      <c r="B59" s="8"/>
      <c r="C59" s="9"/>
      <c r="D59" s="12" t="s">
        <v>55</v>
      </c>
      <c r="E59" s="16">
        <v>11296083.730000002</v>
      </c>
      <c r="F59" s="16">
        <v>6548899.2080995357</v>
      </c>
      <c r="G59" s="16">
        <v>1227173.5900000001</v>
      </c>
      <c r="H59" s="16">
        <v>0</v>
      </c>
      <c r="I59" s="13">
        <f t="shared" si="0"/>
        <v>19072156.528099537</v>
      </c>
    </row>
    <row r="60" spans="1:9" ht="15.75" x14ac:dyDescent="0.25">
      <c r="A60" s="8"/>
      <c r="B60" s="8"/>
      <c r="C60" s="9"/>
      <c r="D60" s="12" t="s">
        <v>56</v>
      </c>
      <c r="E60" s="16">
        <v>6196643.1399999997</v>
      </c>
      <c r="F60" s="16">
        <v>3962064.9944644026</v>
      </c>
      <c r="G60" s="16">
        <v>390039.53</v>
      </c>
      <c r="H60" s="16">
        <v>0</v>
      </c>
      <c r="I60" s="13">
        <f t="shared" si="0"/>
        <v>10548747.664464401</v>
      </c>
    </row>
    <row r="61" spans="1:9" ht="15.75" x14ac:dyDescent="0.25">
      <c r="A61" s="8"/>
      <c r="B61" s="8"/>
      <c r="C61" s="9"/>
      <c r="D61" s="12" t="s">
        <v>57</v>
      </c>
      <c r="E61" s="16">
        <v>26625547.350000005</v>
      </c>
      <c r="F61" s="16">
        <v>6647160.1788505418</v>
      </c>
      <c r="G61" s="16">
        <v>1218290.58</v>
      </c>
      <c r="H61" s="16">
        <v>0</v>
      </c>
      <c r="I61" s="13">
        <f t="shared" si="0"/>
        <v>34490998.108850546</v>
      </c>
    </row>
    <row r="62" spans="1:9" ht="15.75" x14ac:dyDescent="0.25">
      <c r="A62" s="8"/>
      <c r="B62" s="8"/>
      <c r="C62" s="9"/>
      <c r="D62" s="12" t="s">
        <v>58</v>
      </c>
      <c r="E62" s="16">
        <v>23109380.230000008</v>
      </c>
      <c r="F62" s="16">
        <v>7416673.8052138425</v>
      </c>
      <c r="G62" s="16">
        <v>52363203.099999994</v>
      </c>
      <c r="H62" s="16">
        <v>0</v>
      </c>
      <c r="I62" s="13">
        <f t="shared" si="0"/>
        <v>82889257.135213852</v>
      </c>
    </row>
    <row r="63" spans="1:9" ht="15.75" x14ac:dyDescent="0.25">
      <c r="A63" s="8"/>
      <c r="B63" s="8"/>
      <c r="C63" s="9"/>
      <c r="D63" s="12" t="s">
        <v>59</v>
      </c>
      <c r="E63" s="16">
        <v>7113733.6599999992</v>
      </c>
      <c r="F63" s="16">
        <v>818644.11173880321</v>
      </c>
      <c r="G63" s="16">
        <v>2809548.2399999998</v>
      </c>
      <c r="H63" s="16">
        <v>0</v>
      </c>
      <c r="I63" s="13">
        <f t="shared" si="0"/>
        <v>10741926.011738801</v>
      </c>
    </row>
    <row r="64" spans="1:9" ht="15.75" x14ac:dyDescent="0.25">
      <c r="A64" s="8"/>
      <c r="B64" s="8"/>
      <c r="C64" s="9"/>
      <c r="D64" s="12" t="s">
        <v>60</v>
      </c>
      <c r="E64" s="16">
        <v>0</v>
      </c>
      <c r="F64" s="16">
        <v>0</v>
      </c>
      <c r="G64" s="16">
        <v>14760531.900000002</v>
      </c>
      <c r="H64" s="16">
        <v>0</v>
      </c>
      <c r="I64" s="13">
        <f t="shared" si="0"/>
        <v>14760531.900000002</v>
      </c>
    </row>
    <row r="65" spans="1:9" ht="15.75" x14ac:dyDescent="0.25">
      <c r="A65" s="8"/>
      <c r="B65" s="8"/>
      <c r="C65" s="9"/>
      <c r="D65" s="12" t="s">
        <v>61</v>
      </c>
      <c r="E65" s="16">
        <v>14146629.739999998</v>
      </c>
      <c r="F65" s="16">
        <v>9692404.6527621001</v>
      </c>
      <c r="G65" s="16">
        <v>730379.64</v>
      </c>
      <c r="H65" s="16">
        <v>0</v>
      </c>
      <c r="I65" s="13">
        <f t="shared" si="0"/>
        <v>24569414.032762099</v>
      </c>
    </row>
    <row r="66" spans="1:9" ht="15.75" x14ac:dyDescent="0.25">
      <c r="A66" s="8"/>
      <c r="B66" s="8"/>
      <c r="C66" s="9"/>
      <c r="D66" s="12" t="s">
        <v>62</v>
      </c>
      <c r="E66" s="16">
        <v>74979375.61999999</v>
      </c>
      <c r="F66" s="16">
        <v>19270227.880939335</v>
      </c>
      <c r="G66" s="16">
        <v>2434082.6000000006</v>
      </c>
      <c r="H66" s="16">
        <v>0</v>
      </c>
      <c r="I66" s="13">
        <f t="shared" si="0"/>
        <v>96683686.100939319</v>
      </c>
    </row>
    <row r="67" spans="1:9" ht="15.75" x14ac:dyDescent="0.25">
      <c r="A67" s="8"/>
      <c r="B67" s="8"/>
      <c r="C67" s="9"/>
      <c r="D67" s="12" t="s">
        <v>63</v>
      </c>
      <c r="E67" s="16">
        <v>16746600.299999999</v>
      </c>
      <c r="F67" s="16">
        <v>8906570.5725649409</v>
      </c>
      <c r="G67" s="16">
        <v>1241706.72</v>
      </c>
      <c r="H67" s="16">
        <v>0</v>
      </c>
      <c r="I67" s="13">
        <f t="shared" si="0"/>
        <v>26894877.59256494</v>
      </c>
    </row>
    <row r="68" spans="1:9" ht="15.75" x14ac:dyDescent="0.25">
      <c r="A68" s="8"/>
      <c r="B68" s="8"/>
      <c r="C68" s="9"/>
      <c r="D68" s="12" t="s">
        <v>64</v>
      </c>
      <c r="E68" s="16">
        <v>16835877.930000003</v>
      </c>
      <c r="F68" s="16">
        <v>3765627.6148993536</v>
      </c>
      <c r="G68" s="16">
        <v>418775.57</v>
      </c>
      <c r="H68" s="16">
        <v>0</v>
      </c>
      <c r="I68" s="13">
        <f t="shared" si="0"/>
        <v>21020281.114899356</v>
      </c>
    </row>
    <row r="69" spans="1:9" ht="15.75" x14ac:dyDescent="0.25">
      <c r="A69" s="8"/>
      <c r="B69" s="8"/>
      <c r="C69" s="9"/>
      <c r="D69" s="12" t="s">
        <v>65</v>
      </c>
      <c r="E69" s="16">
        <v>0</v>
      </c>
      <c r="F69" s="16">
        <v>0</v>
      </c>
      <c r="G69" s="16">
        <v>4030840.1400000006</v>
      </c>
      <c r="H69" s="16">
        <v>0</v>
      </c>
      <c r="I69" s="13">
        <f t="shared" si="0"/>
        <v>4030840.1400000006</v>
      </c>
    </row>
    <row r="70" spans="1:9" ht="15.75" x14ac:dyDescent="0.25">
      <c r="A70" s="8"/>
      <c r="B70" s="8"/>
      <c r="C70" s="9"/>
      <c r="D70" s="12" t="s">
        <v>66</v>
      </c>
      <c r="E70" s="16">
        <v>0</v>
      </c>
      <c r="F70" s="16">
        <v>0</v>
      </c>
      <c r="G70" s="16">
        <v>6273828.4100000011</v>
      </c>
      <c r="H70" s="16">
        <v>0</v>
      </c>
      <c r="I70" s="13">
        <f t="shared" si="0"/>
        <v>6273828.4100000011</v>
      </c>
    </row>
    <row r="71" spans="1:9" ht="15.75" x14ac:dyDescent="0.25">
      <c r="A71" s="8"/>
      <c r="B71" s="8"/>
      <c r="C71" s="9"/>
      <c r="D71" s="12" t="s">
        <v>67</v>
      </c>
      <c r="E71" s="16">
        <v>84348.35</v>
      </c>
      <c r="F71" s="16">
        <v>98260.970751006025</v>
      </c>
      <c r="G71" s="16">
        <v>5363159.43</v>
      </c>
      <c r="H71" s="16">
        <v>0</v>
      </c>
      <c r="I71" s="13">
        <f t="shared" si="0"/>
        <v>5545768.7507510055</v>
      </c>
    </row>
    <row r="72" spans="1:9" ht="15.75" x14ac:dyDescent="0.25">
      <c r="A72" s="8"/>
      <c r="B72" s="8"/>
      <c r="C72" s="9"/>
      <c r="D72" s="12" t="s">
        <v>68</v>
      </c>
      <c r="E72" s="16">
        <v>19295555.5</v>
      </c>
      <c r="F72" s="16">
        <v>6116703.1482816441</v>
      </c>
      <c r="G72" s="16">
        <v>8184777.1000000006</v>
      </c>
      <c r="H72" s="16">
        <v>0</v>
      </c>
      <c r="I72" s="13">
        <f t="shared" si="0"/>
        <v>33597035.748281643</v>
      </c>
    </row>
    <row r="73" spans="1:9" ht="15.75" x14ac:dyDescent="0.25">
      <c r="A73" s="8"/>
      <c r="B73" s="8"/>
      <c r="C73" s="9"/>
      <c r="D73" s="12" t="s">
        <v>69</v>
      </c>
      <c r="E73" s="16">
        <v>2311.66</v>
      </c>
      <c r="F73" s="16">
        <v>0</v>
      </c>
      <c r="G73" s="16">
        <v>4498475.1800000006</v>
      </c>
      <c r="H73" s="16">
        <v>0</v>
      </c>
      <c r="I73" s="13">
        <f t="shared" si="0"/>
        <v>4500786.8400000008</v>
      </c>
    </row>
    <row r="74" spans="1:9" ht="15.75" x14ac:dyDescent="0.25">
      <c r="A74" s="8"/>
      <c r="B74" s="8"/>
      <c r="C74" s="9"/>
      <c r="D74" s="12" t="s">
        <v>70</v>
      </c>
      <c r="E74" s="16">
        <v>4310123.2299999995</v>
      </c>
      <c r="F74" s="16">
        <v>517349.93033963413</v>
      </c>
      <c r="G74" s="16">
        <v>34160958</v>
      </c>
      <c r="H74" s="16">
        <v>0</v>
      </c>
      <c r="I74" s="13">
        <f t="shared" ref="I74:I137" si="1">SUM(E74:H74)</f>
        <v>38988431.160339631</v>
      </c>
    </row>
    <row r="75" spans="1:9" ht="15.75" x14ac:dyDescent="0.25">
      <c r="A75" s="8"/>
      <c r="B75" s="8"/>
      <c r="C75" s="9"/>
      <c r="D75" s="12" t="s">
        <v>71</v>
      </c>
      <c r="E75" s="16">
        <v>10759759.569999998</v>
      </c>
      <c r="F75" s="16">
        <v>2010544.6132322883</v>
      </c>
      <c r="G75" s="16">
        <v>48052155.219999999</v>
      </c>
      <c r="H75" s="16">
        <v>0</v>
      </c>
      <c r="I75" s="13">
        <f t="shared" si="1"/>
        <v>60822459.403232284</v>
      </c>
    </row>
    <row r="76" spans="1:9" ht="15.75" x14ac:dyDescent="0.25">
      <c r="A76" s="8"/>
      <c r="B76" s="8"/>
      <c r="C76" s="9"/>
      <c r="D76" s="12" t="s">
        <v>72</v>
      </c>
      <c r="E76" s="16">
        <v>0</v>
      </c>
      <c r="F76" s="16">
        <v>0</v>
      </c>
      <c r="G76" s="16">
        <v>13251801.529999999</v>
      </c>
      <c r="H76" s="16">
        <v>0</v>
      </c>
      <c r="I76" s="13">
        <f t="shared" si="1"/>
        <v>13251801.529999999</v>
      </c>
    </row>
    <row r="77" spans="1:9" ht="15.75" x14ac:dyDescent="0.25">
      <c r="A77" s="8"/>
      <c r="B77" s="8"/>
      <c r="C77" s="9"/>
      <c r="D77" s="12" t="s">
        <v>73</v>
      </c>
      <c r="E77" s="16">
        <v>10266242.149999999</v>
      </c>
      <c r="F77" s="16">
        <v>9970697.9873073325</v>
      </c>
      <c r="G77" s="16">
        <v>741469.11</v>
      </c>
      <c r="H77" s="16">
        <v>0</v>
      </c>
      <c r="I77" s="13">
        <f t="shared" si="1"/>
        <v>20978409.24730733</v>
      </c>
    </row>
    <row r="78" spans="1:9" ht="15.75" x14ac:dyDescent="0.25">
      <c r="A78" s="8"/>
      <c r="B78" s="8"/>
      <c r="C78" s="9"/>
      <c r="D78" s="12" t="s">
        <v>74</v>
      </c>
      <c r="E78" s="16">
        <v>20747151.970000003</v>
      </c>
      <c r="F78" s="16">
        <v>10118089.443433842</v>
      </c>
      <c r="G78" s="16">
        <v>1405305.7</v>
      </c>
      <c r="H78" s="16">
        <v>0</v>
      </c>
      <c r="I78" s="13">
        <f t="shared" si="1"/>
        <v>32270547.113433842</v>
      </c>
    </row>
    <row r="79" spans="1:9" ht="15.75" x14ac:dyDescent="0.25">
      <c r="A79" s="8"/>
      <c r="B79" s="8"/>
      <c r="C79" s="9"/>
      <c r="D79" s="12" t="s">
        <v>75</v>
      </c>
      <c r="E79" s="16">
        <v>16603059.02</v>
      </c>
      <c r="F79" s="16">
        <v>5681209.1729221921</v>
      </c>
      <c r="G79" s="16">
        <v>1391894.3800000001</v>
      </c>
      <c r="H79" s="16">
        <v>0</v>
      </c>
      <c r="I79" s="13">
        <f t="shared" si="1"/>
        <v>23676162.572922189</v>
      </c>
    </row>
    <row r="80" spans="1:9" ht="15.75" x14ac:dyDescent="0.25">
      <c r="A80" s="8"/>
      <c r="B80" s="8"/>
      <c r="C80" s="9"/>
      <c r="D80" s="12" t="s">
        <v>76</v>
      </c>
      <c r="E80" s="16">
        <v>6379565.46</v>
      </c>
      <c r="F80" s="16">
        <v>3002709.8196191676</v>
      </c>
      <c r="G80" s="16">
        <v>283159.83999999991</v>
      </c>
      <c r="H80" s="16">
        <v>0</v>
      </c>
      <c r="I80" s="13">
        <f t="shared" si="1"/>
        <v>9665435.1196191683</v>
      </c>
    </row>
    <row r="81" spans="1:9" ht="15.75" x14ac:dyDescent="0.25">
      <c r="A81" s="8"/>
      <c r="B81" s="8"/>
      <c r="C81" s="9"/>
      <c r="D81" s="12" t="s">
        <v>77</v>
      </c>
      <c r="E81" s="16">
        <v>51922927.659999989</v>
      </c>
      <c r="F81" s="16">
        <v>18117564.118196681</v>
      </c>
      <c r="G81" s="16">
        <v>2999479.5899999989</v>
      </c>
      <c r="H81" s="16">
        <v>0</v>
      </c>
      <c r="I81" s="13">
        <f t="shared" si="1"/>
        <v>73039971.368196666</v>
      </c>
    </row>
    <row r="82" spans="1:9" ht="15.75" x14ac:dyDescent="0.25">
      <c r="A82" s="8"/>
      <c r="B82" s="8"/>
      <c r="C82" s="9"/>
      <c r="D82" s="12" t="s">
        <v>78</v>
      </c>
      <c r="E82" s="16">
        <v>72786755.969999999</v>
      </c>
      <c r="F82" s="16">
        <v>12557532.200942464</v>
      </c>
      <c r="G82" s="16">
        <v>1155223.54</v>
      </c>
      <c r="H82" s="16">
        <v>0</v>
      </c>
      <c r="I82" s="13">
        <f t="shared" si="1"/>
        <v>86499511.710942462</v>
      </c>
    </row>
    <row r="83" spans="1:9" ht="15.75" x14ac:dyDescent="0.25">
      <c r="A83" s="8"/>
      <c r="B83" s="8"/>
      <c r="C83" s="9"/>
      <c r="D83" s="12" t="s">
        <v>79</v>
      </c>
      <c r="E83" s="16">
        <v>12099894.839999998</v>
      </c>
      <c r="F83" s="16">
        <v>5157263.4114994444</v>
      </c>
      <c r="G83" s="16">
        <v>2208759.9899999998</v>
      </c>
      <c r="H83" s="16">
        <v>0</v>
      </c>
      <c r="I83" s="13">
        <f t="shared" si="1"/>
        <v>19465918.241499443</v>
      </c>
    </row>
    <row r="84" spans="1:9" ht="15.75" x14ac:dyDescent="0.25">
      <c r="A84" s="8"/>
      <c r="B84" s="8"/>
      <c r="C84" s="9"/>
      <c r="D84" s="12" t="s">
        <v>80</v>
      </c>
      <c r="E84" s="16">
        <v>0</v>
      </c>
      <c r="F84" s="16">
        <v>0</v>
      </c>
      <c r="G84" s="16">
        <v>19615810.229999997</v>
      </c>
      <c r="H84" s="16">
        <v>0</v>
      </c>
      <c r="I84" s="13">
        <f t="shared" si="1"/>
        <v>19615810.229999997</v>
      </c>
    </row>
    <row r="85" spans="1:9" ht="15.75" x14ac:dyDescent="0.25">
      <c r="A85" s="8"/>
      <c r="B85" s="8"/>
      <c r="C85" s="9"/>
      <c r="D85" s="12" t="s">
        <v>81</v>
      </c>
      <c r="E85" s="16">
        <v>14650594.98</v>
      </c>
      <c r="F85" s="16">
        <v>1604478.1919359621</v>
      </c>
      <c r="G85" s="16">
        <v>9477950.2699999996</v>
      </c>
      <c r="H85" s="16">
        <v>0</v>
      </c>
      <c r="I85" s="13">
        <f t="shared" si="1"/>
        <v>25733023.441935964</v>
      </c>
    </row>
    <row r="86" spans="1:9" ht="15.75" x14ac:dyDescent="0.25">
      <c r="A86" s="8"/>
      <c r="B86" s="8"/>
      <c r="C86" s="9"/>
      <c r="D86" s="12" t="s">
        <v>82</v>
      </c>
      <c r="E86" s="16">
        <v>8295804.9299999997</v>
      </c>
      <c r="F86" s="16">
        <v>6663565.1946213637</v>
      </c>
      <c r="G86" s="16">
        <v>928738.49</v>
      </c>
      <c r="H86" s="16">
        <v>0</v>
      </c>
      <c r="I86" s="13">
        <f t="shared" si="1"/>
        <v>15888108.614621364</v>
      </c>
    </row>
    <row r="87" spans="1:9" ht="15.75" x14ac:dyDescent="0.25">
      <c r="A87" s="8"/>
      <c r="B87" s="8"/>
      <c r="C87" s="9"/>
      <c r="D87" s="12" t="s">
        <v>83</v>
      </c>
      <c r="E87" s="16">
        <v>6709003.4000000013</v>
      </c>
      <c r="F87" s="16">
        <v>8775584.1322092526</v>
      </c>
      <c r="G87" s="16">
        <v>545720.21000000008</v>
      </c>
      <c r="H87" s="16">
        <v>0</v>
      </c>
      <c r="I87" s="13">
        <f t="shared" si="1"/>
        <v>16030307.742209256</v>
      </c>
    </row>
    <row r="88" spans="1:9" ht="15.75" x14ac:dyDescent="0.25">
      <c r="A88" s="8"/>
      <c r="B88" s="8"/>
      <c r="C88" s="9"/>
      <c r="D88" s="12" t="s">
        <v>84</v>
      </c>
      <c r="E88" s="16">
        <v>4053808.2300000004</v>
      </c>
      <c r="F88" s="16">
        <v>0</v>
      </c>
      <c r="G88" s="16">
        <v>8279836.6600000011</v>
      </c>
      <c r="H88" s="16">
        <v>0</v>
      </c>
      <c r="I88" s="13">
        <f t="shared" si="1"/>
        <v>12333644.890000001</v>
      </c>
    </row>
    <row r="89" spans="1:9" ht="15.75" x14ac:dyDescent="0.25">
      <c r="A89" s="8"/>
      <c r="B89" s="8"/>
      <c r="C89" s="9"/>
      <c r="D89" s="12" t="s">
        <v>85</v>
      </c>
      <c r="E89" s="16">
        <v>10625355.200000001</v>
      </c>
      <c r="F89" s="16">
        <v>8605276.3911657706</v>
      </c>
      <c r="G89" s="16">
        <v>692863.64</v>
      </c>
      <c r="H89" s="16">
        <v>0</v>
      </c>
      <c r="I89" s="13">
        <f t="shared" si="1"/>
        <v>19923495.231165774</v>
      </c>
    </row>
    <row r="90" spans="1:9" ht="15.75" x14ac:dyDescent="0.25">
      <c r="A90" s="8"/>
      <c r="B90" s="8"/>
      <c r="C90" s="9"/>
      <c r="D90" s="12" t="s">
        <v>86</v>
      </c>
      <c r="E90" s="16">
        <v>3449308.1000000006</v>
      </c>
      <c r="F90" s="16">
        <v>2226600.3621727531</v>
      </c>
      <c r="G90" s="16">
        <v>1010566.95</v>
      </c>
      <c r="H90" s="16">
        <v>0</v>
      </c>
      <c r="I90" s="13">
        <f t="shared" si="1"/>
        <v>6686475.4121727543</v>
      </c>
    </row>
    <row r="91" spans="1:9" ht="15.75" x14ac:dyDescent="0.25">
      <c r="A91" s="8"/>
      <c r="B91" s="8"/>
      <c r="C91" s="9"/>
      <c r="D91" s="12" t="s">
        <v>87</v>
      </c>
      <c r="E91" s="16">
        <v>10734979.299999997</v>
      </c>
      <c r="F91" s="16">
        <v>5078705.3720608177</v>
      </c>
      <c r="G91" s="16">
        <v>3272062.49</v>
      </c>
      <c r="H91" s="16">
        <v>0</v>
      </c>
      <c r="I91" s="13">
        <f t="shared" si="1"/>
        <v>19085747.162060812</v>
      </c>
    </row>
    <row r="92" spans="1:9" ht="15.75" x14ac:dyDescent="0.25">
      <c r="A92" s="8"/>
      <c r="B92" s="8"/>
      <c r="C92" s="9"/>
      <c r="D92" s="12" t="s">
        <v>88</v>
      </c>
      <c r="E92" s="16">
        <v>1858128.73</v>
      </c>
      <c r="F92" s="16">
        <v>700764.7716123811</v>
      </c>
      <c r="G92" s="16">
        <v>8241421.5500000007</v>
      </c>
      <c r="H92" s="16">
        <v>0</v>
      </c>
      <c r="I92" s="13">
        <f t="shared" si="1"/>
        <v>10800315.051612381</v>
      </c>
    </row>
    <row r="93" spans="1:9" ht="15.75" x14ac:dyDescent="0.25">
      <c r="A93" s="8"/>
      <c r="B93" s="8"/>
      <c r="C93" s="9"/>
      <c r="D93" s="12" t="s">
        <v>89</v>
      </c>
      <c r="E93" s="16">
        <v>18613890.400000002</v>
      </c>
      <c r="F93" s="16">
        <v>5677911.2573806364</v>
      </c>
      <c r="G93" s="16">
        <v>1055385.51</v>
      </c>
      <c r="H93" s="16">
        <v>0</v>
      </c>
      <c r="I93" s="13">
        <f t="shared" si="1"/>
        <v>25347187.167380642</v>
      </c>
    </row>
    <row r="94" spans="1:9" ht="15.75" x14ac:dyDescent="0.25">
      <c r="A94" s="8"/>
      <c r="B94" s="8"/>
      <c r="C94" s="9"/>
      <c r="D94" s="12" t="s">
        <v>90</v>
      </c>
      <c r="E94" s="16">
        <v>208191.06</v>
      </c>
      <c r="F94" s="16">
        <v>0</v>
      </c>
      <c r="G94" s="16">
        <v>201426.18</v>
      </c>
      <c r="H94" s="16">
        <v>0</v>
      </c>
      <c r="I94" s="13">
        <f t="shared" si="1"/>
        <v>409617.24</v>
      </c>
    </row>
    <row r="95" spans="1:9" ht="15.75" x14ac:dyDescent="0.25">
      <c r="A95" s="8"/>
      <c r="B95" s="8"/>
      <c r="C95" s="9"/>
      <c r="D95" s="12" t="s">
        <v>91</v>
      </c>
      <c r="E95" s="16">
        <v>2626389.87</v>
      </c>
      <c r="F95" s="16">
        <v>180116.92573119001</v>
      </c>
      <c r="G95" s="16">
        <v>7309763.5900000008</v>
      </c>
      <c r="H95" s="16">
        <v>0</v>
      </c>
      <c r="I95" s="13">
        <f t="shared" si="1"/>
        <v>10116270.38573119</v>
      </c>
    </row>
    <row r="96" spans="1:9" ht="15.75" x14ac:dyDescent="0.25">
      <c r="A96" s="8"/>
      <c r="B96" s="8"/>
      <c r="C96" s="9"/>
      <c r="D96" s="12" t="s">
        <v>92</v>
      </c>
      <c r="E96" s="16">
        <v>0</v>
      </c>
      <c r="F96" s="16">
        <v>0</v>
      </c>
      <c r="G96" s="16">
        <v>17789341.799999997</v>
      </c>
      <c r="H96" s="16">
        <v>0</v>
      </c>
      <c r="I96" s="13">
        <f t="shared" si="1"/>
        <v>17789341.799999997</v>
      </c>
    </row>
    <row r="97" spans="1:9" ht="15.75" x14ac:dyDescent="0.25">
      <c r="A97" s="8"/>
      <c r="B97" s="8"/>
      <c r="C97" s="9"/>
      <c r="D97" s="12" t="s">
        <v>93</v>
      </c>
      <c r="E97" s="16">
        <v>5376925.5800000001</v>
      </c>
      <c r="F97" s="16">
        <v>8087926.4608261371</v>
      </c>
      <c r="G97" s="16">
        <v>891348.62999999989</v>
      </c>
      <c r="H97" s="16">
        <v>0</v>
      </c>
      <c r="I97" s="13">
        <f t="shared" si="1"/>
        <v>14356200.670826137</v>
      </c>
    </row>
    <row r="98" spans="1:9" ht="15.75" x14ac:dyDescent="0.25">
      <c r="A98" s="8"/>
      <c r="B98" s="8"/>
      <c r="C98" s="9"/>
      <c r="D98" s="12" t="s">
        <v>94</v>
      </c>
      <c r="E98" s="16">
        <v>31030397.040000003</v>
      </c>
      <c r="F98" s="16">
        <v>10638737.289315032</v>
      </c>
      <c r="G98" s="16">
        <v>6421064.2300000004</v>
      </c>
      <c r="H98" s="16">
        <v>0</v>
      </c>
      <c r="I98" s="13">
        <f t="shared" si="1"/>
        <v>48090198.559315041</v>
      </c>
    </row>
    <row r="99" spans="1:9" ht="15.75" x14ac:dyDescent="0.25">
      <c r="A99" s="8"/>
      <c r="B99" s="8"/>
      <c r="C99" s="9"/>
      <c r="D99" s="12" t="s">
        <v>95</v>
      </c>
      <c r="E99" s="16">
        <v>29262708.360000007</v>
      </c>
      <c r="F99" s="16">
        <v>20272202.272013921</v>
      </c>
      <c r="G99" s="16">
        <v>2451582.6700000004</v>
      </c>
      <c r="H99" s="16">
        <v>0</v>
      </c>
      <c r="I99" s="13">
        <f t="shared" si="1"/>
        <v>51986493.302013934</v>
      </c>
    </row>
    <row r="100" spans="1:9" ht="15.75" x14ac:dyDescent="0.25">
      <c r="A100" s="8"/>
      <c r="B100" s="8"/>
      <c r="C100" s="9"/>
      <c r="D100" s="12" t="s">
        <v>96</v>
      </c>
      <c r="E100" s="16">
        <v>39876405.119999997</v>
      </c>
      <c r="F100" s="16">
        <v>20282011.456701633</v>
      </c>
      <c r="G100" s="16">
        <v>6532651.4900000002</v>
      </c>
      <c r="H100" s="16">
        <v>0</v>
      </c>
      <c r="I100" s="13">
        <f t="shared" si="1"/>
        <v>66691068.066701628</v>
      </c>
    </row>
    <row r="101" spans="1:9" ht="15.75" x14ac:dyDescent="0.25">
      <c r="A101" s="8"/>
      <c r="B101" s="8"/>
      <c r="C101" s="9"/>
      <c r="D101" s="12" t="s">
        <v>97</v>
      </c>
      <c r="E101" s="16">
        <v>967745.39</v>
      </c>
      <c r="F101" s="16">
        <v>27217105.030911185</v>
      </c>
      <c r="G101" s="16">
        <v>88799.760000000009</v>
      </c>
      <c r="H101" s="16">
        <v>0</v>
      </c>
      <c r="I101" s="13">
        <f t="shared" si="1"/>
        <v>28273650.180911187</v>
      </c>
    </row>
    <row r="102" spans="1:9" ht="15.75" x14ac:dyDescent="0.25">
      <c r="A102" s="8"/>
      <c r="B102" s="8"/>
      <c r="C102" s="9"/>
      <c r="D102" s="12" t="s">
        <v>98</v>
      </c>
      <c r="E102" s="16">
        <v>44485429.739999995</v>
      </c>
      <c r="F102" s="16">
        <v>11702949.265994387</v>
      </c>
      <c r="G102" s="16">
        <v>2575737.9700000002</v>
      </c>
      <c r="H102" s="16">
        <v>0</v>
      </c>
      <c r="I102" s="13">
        <f t="shared" si="1"/>
        <v>58764116.975994378</v>
      </c>
    </row>
    <row r="103" spans="1:9" ht="15.75" x14ac:dyDescent="0.25">
      <c r="A103" s="8"/>
      <c r="B103" s="8"/>
      <c r="C103" s="9"/>
      <c r="D103" s="12" t="s">
        <v>99</v>
      </c>
      <c r="E103" s="16">
        <v>12964982.690000001</v>
      </c>
      <c r="F103" s="16">
        <v>3716497.129523851</v>
      </c>
      <c r="G103" s="16">
        <v>517878.41</v>
      </c>
      <c r="H103" s="16">
        <v>0</v>
      </c>
      <c r="I103" s="13">
        <f t="shared" si="1"/>
        <v>17199358.229523852</v>
      </c>
    </row>
    <row r="104" spans="1:9" ht="15.75" x14ac:dyDescent="0.25">
      <c r="A104" s="8"/>
      <c r="B104" s="8"/>
      <c r="C104" s="9"/>
      <c r="D104" s="12" t="s">
        <v>100</v>
      </c>
      <c r="E104" s="16">
        <v>45049350.350000009</v>
      </c>
      <c r="F104" s="16">
        <v>6791253.7194354944</v>
      </c>
      <c r="G104" s="16">
        <v>6620815.4900000002</v>
      </c>
      <c r="H104" s="16">
        <v>0</v>
      </c>
      <c r="I104" s="13">
        <f t="shared" si="1"/>
        <v>58461419.559435509</v>
      </c>
    </row>
    <row r="105" spans="1:9" ht="15.75" x14ac:dyDescent="0.25">
      <c r="A105" s="8"/>
      <c r="B105" s="8"/>
      <c r="C105" s="9"/>
      <c r="D105" s="12" t="s">
        <v>101</v>
      </c>
      <c r="E105" s="16">
        <v>6856429.3299999991</v>
      </c>
      <c r="F105" s="16">
        <v>10085363.973829161</v>
      </c>
      <c r="G105" s="16">
        <v>21941.53</v>
      </c>
      <c r="H105" s="16">
        <v>0</v>
      </c>
      <c r="I105" s="13">
        <f t="shared" si="1"/>
        <v>16963734.833829161</v>
      </c>
    </row>
    <row r="106" spans="1:9" ht="15.75" x14ac:dyDescent="0.25">
      <c r="A106" s="8"/>
      <c r="B106" s="8"/>
      <c r="C106" s="9"/>
      <c r="D106" s="12" t="s">
        <v>102</v>
      </c>
      <c r="E106" s="16">
        <v>8462398.8800000008</v>
      </c>
      <c r="F106" s="16">
        <v>622122.17023679113</v>
      </c>
      <c r="G106" s="16">
        <v>12061757.560000002</v>
      </c>
      <c r="H106" s="16">
        <v>0</v>
      </c>
      <c r="I106" s="13">
        <f t="shared" si="1"/>
        <v>21146278.610236794</v>
      </c>
    </row>
    <row r="107" spans="1:9" ht="15.75" x14ac:dyDescent="0.25">
      <c r="A107" s="8"/>
      <c r="B107" s="8"/>
      <c r="C107" s="9"/>
      <c r="D107" s="12" t="s">
        <v>103</v>
      </c>
      <c r="E107" s="16">
        <v>13038.400000000003</v>
      </c>
      <c r="F107" s="16">
        <v>0</v>
      </c>
      <c r="G107" s="16">
        <v>3018206.51</v>
      </c>
      <c r="H107" s="16">
        <v>0</v>
      </c>
      <c r="I107" s="13">
        <f t="shared" si="1"/>
        <v>3031244.9099999997</v>
      </c>
    </row>
    <row r="108" spans="1:9" ht="15.75" x14ac:dyDescent="0.25">
      <c r="A108" s="8"/>
      <c r="B108" s="8"/>
      <c r="C108" s="9"/>
      <c r="D108" s="12" t="s">
        <v>104</v>
      </c>
      <c r="E108" s="16">
        <v>1075178.6499999999</v>
      </c>
      <c r="F108" s="16">
        <v>0</v>
      </c>
      <c r="G108" s="16">
        <v>2316544.87</v>
      </c>
      <c r="H108" s="16">
        <v>0</v>
      </c>
      <c r="I108" s="13">
        <f t="shared" si="1"/>
        <v>3391723.52</v>
      </c>
    </row>
    <row r="109" spans="1:9" ht="15.75" x14ac:dyDescent="0.25">
      <c r="A109" s="8"/>
      <c r="B109" s="8"/>
      <c r="C109" s="9"/>
      <c r="D109" s="12" t="s">
        <v>105</v>
      </c>
      <c r="E109" s="16">
        <v>4703685.7200000007</v>
      </c>
      <c r="F109" s="16">
        <v>16221685.49148622</v>
      </c>
      <c r="G109" s="16">
        <v>534951.86</v>
      </c>
      <c r="H109" s="16">
        <v>0</v>
      </c>
      <c r="I109" s="13">
        <f t="shared" si="1"/>
        <v>21460323.07148622</v>
      </c>
    </row>
    <row r="110" spans="1:9" ht="15.75" x14ac:dyDescent="0.25">
      <c r="A110" s="8"/>
      <c r="B110" s="8"/>
      <c r="C110" s="9"/>
      <c r="D110" s="12" t="s">
        <v>106</v>
      </c>
      <c r="E110" s="16">
        <v>4029575.21</v>
      </c>
      <c r="F110" s="16">
        <v>3984981.2793813758</v>
      </c>
      <c r="G110" s="16">
        <v>573470.26</v>
      </c>
      <c r="H110" s="16">
        <v>0</v>
      </c>
      <c r="I110" s="13">
        <f t="shared" si="1"/>
        <v>8588026.7493813764</v>
      </c>
    </row>
    <row r="111" spans="1:9" ht="15.75" x14ac:dyDescent="0.25">
      <c r="A111" s="8"/>
      <c r="B111" s="8"/>
      <c r="C111" s="9"/>
      <c r="D111" s="12" t="s">
        <v>107</v>
      </c>
      <c r="E111" s="16">
        <v>201081.1</v>
      </c>
      <c r="F111" s="16">
        <v>62237.585604768014</v>
      </c>
      <c r="G111" s="16">
        <v>19309114.68</v>
      </c>
      <c r="H111" s="16">
        <v>0</v>
      </c>
      <c r="I111" s="13">
        <f t="shared" si="1"/>
        <v>19572433.365604769</v>
      </c>
    </row>
    <row r="112" spans="1:9" ht="15.75" x14ac:dyDescent="0.25">
      <c r="A112" s="8"/>
      <c r="B112" s="8"/>
      <c r="C112" s="9"/>
      <c r="D112" s="12" t="s">
        <v>108</v>
      </c>
      <c r="E112" s="16">
        <v>12024873.07</v>
      </c>
      <c r="F112" s="16">
        <v>4256763.3447804581</v>
      </c>
      <c r="G112" s="16">
        <v>1233183.1100000001</v>
      </c>
      <c r="H112" s="16">
        <v>0</v>
      </c>
      <c r="I112" s="13">
        <f t="shared" si="1"/>
        <v>17514819.52478046</v>
      </c>
    </row>
    <row r="113" spans="1:9" ht="15.75" x14ac:dyDescent="0.25">
      <c r="A113" s="8"/>
      <c r="B113" s="8"/>
      <c r="C113" s="9"/>
      <c r="D113" s="12" t="s">
        <v>109</v>
      </c>
      <c r="E113" s="16">
        <v>13679751.430000002</v>
      </c>
      <c r="F113" s="16">
        <v>10249075.883789528</v>
      </c>
      <c r="G113" s="16">
        <v>1512857.93</v>
      </c>
      <c r="H113" s="16">
        <v>0</v>
      </c>
      <c r="I113" s="13">
        <f t="shared" si="1"/>
        <v>25441685.243789531</v>
      </c>
    </row>
    <row r="114" spans="1:9" ht="15.75" x14ac:dyDescent="0.25">
      <c r="A114" s="8"/>
      <c r="B114" s="8"/>
      <c r="C114" s="9"/>
      <c r="D114" s="12" t="s">
        <v>110</v>
      </c>
      <c r="E114" s="16">
        <v>37166674.870000005</v>
      </c>
      <c r="F114" s="16">
        <v>11755293.104974482</v>
      </c>
      <c r="G114" s="16">
        <v>1699209.9200000002</v>
      </c>
      <c r="H114" s="16">
        <v>0</v>
      </c>
      <c r="I114" s="13">
        <f t="shared" si="1"/>
        <v>50621177.894974485</v>
      </c>
    </row>
    <row r="115" spans="1:9" ht="15.75" x14ac:dyDescent="0.25">
      <c r="A115" s="8"/>
      <c r="B115" s="8"/>
      <c r="C115" s="9"/>
      <c r="D115" s="12" t="s">
        <v>111</v>
      </c>
      <c r="E115" s="16">
        <v>36981041.829999991</v>
      </c>
      <c r="F115" s="16">
        <v>5812195.6132778795</v>
      </c>
      <c r="G115" s="16">
        <v>2122140.0700000003</v>
      </c>
      <c r="H115" s="16">
        <v>0</v>
      </c>
      <c r="I115" s="13">
        <f t="shared" si="1"/>
        <v>44915377.513277873</v>
      </c>
    </row>
    <row r="116" spans="1:9" ht="15.75" x14ac:dyDescent="0.25">
      <c r="A116" s="8"/>
      <c r="B116" s="8"/>
      <c r="C116" s="9"/>
      <c r="D116" s="12" t="s">
        <v>112</v>
      </c>
      <c r="E116" s="16">
        <v>8857087.6100000013</v>
      </c>
      <c r="F116" s="16">
        <v>7547660.2455695299</v>
      </c>
      <c r="G116" s="16">
        <v>284194.96000000002</v>
      </c>
      <c r="H116" s="16">
        <v>0</v>
      </c>
      <c r="I116" s="13">
        <f t="shared" si="1"/>
        <v>16688942.815569531</v>
      </c>
    </row>
    <row r="117" spans="1:9" ht="15.75" x14ac:dyDescent="0.25">
      <c r="A117" s="8"/>
      <c r="B117" s="8"/>
      <c r="C117" s="9"/>
      <c r="D117" s="12" t="s">
        <v>113</v>
      </c>
      <c r="E117" s="16">
        <v>8802233.5300000012</v>
      </c>
      <c r="F117" s="16">
        <v>5828516.067111739</v>
      </c>
      <c r="G117" s="16">
        <v>1198320.67</v>
      </c>
      <c r="H117" s="16">
        <v>0</v>
      </c>
      <c r="I117" s="13">
        <f t="shared" si="1"/>
        <v>15829070.267111739</v>
      </c>
    </row>
    <row r="118" spans="1:9" ht="15.75" x14ac:dyDescent="0.25">
      <c r="A118" s="8"/>
      <c r="B118" s="8"/>
      <c r="C118" s="9"/>
      <c r="D118" s="12" t="s">
        <v>114</v>
      </c>
      <c r="E118" s="16">
        <v>15930585.699999999</v>
      </c>
      <c r="F118" s="16">
        <v>9103007.952129988</v>
      </c>
      <c r="G118" s="16">
        <v>1665883.0900000003</v>
      </c>
      <c r="H118" s="16">
        <v>0</v>
      </c>
      <c r="I118" s="13">
        <f t="shared" si="1"/>
        <v>26699476.742129985</v>
      </c>
    </row>
    <row r="119" spans="1:9" ht="15.75" x14ac:dyDescent="0.25">
      <c r="A119" s="8"/>
      <c r="B119" s="8"/>
      <c r="C119" s="9"/>
      <c r="D119" s="12" t="s">
        <v>115</v>
      </c>
      <c r="E119" s="16">
        <v>3656546.3999999994</v>
      </c>
      <c r="F119" s="16">
        <v>884095.05094816512</v>
      </c>
      <c r="G119" s="16">
        <v>666752.28999999992</v>
      </c>
      <c r="H119" s="16">
        <v>0</v>
      </c>
      <c r="I119" s="13">
        <f t="shared" si="1"/>
        <v>5207393.7409481648</v>
      </c>
    </row>
    <row r="120" spans="1:9" ht="15.75" x14ac:dyDescent="0.25">
      <c r="A120" s="8"/>
      <c r="B120" s="8"/>
      <c r="C120" s="9"/>
      <c r="D120" s="12" t="s">
        <v>116</v>
      </c>
      <c r="E120" s="16">
        <v>39265368.780000016</v>
      </c>
      <c r="F120" s="16">
        <v>3863888.5856503597</v>
      </c>
      <c r="G120" s="16">
        <v>1824126.05</v>
      </c>
      <c r="H120" s="16">
        <v>0</v>
      </c>
      <c r="I120" s="13">
        <f t="shared" si="1"/>
        <v>44953383.415650375</v>
      </c>
    </row>
    <row r="121" spans="1:9" ht="15.75" x14ac:dyDescent="0.25">
      <c r="A121" s="8"/>
      <c r="B121" s="8"/>
      <c r="C121" s="9"/>
      <c r="D121" s="12" t="s">
        <v>117</v>
      </c>
      <c r="E121" s="16">
        <v>14597805.300000001</v>
      </c>
      <c r="F121" s="16">
        <v>5733553.0119022904</v>
      </c>
      <c r="G121" s="16">
        <v>1090023.3899999999</v>
      </c>
      <c r="H121" s="16">
        <v>0</v>
      </c>
      <c r="I121" s="13">
        <f t="shared" si="1"/>
        <v>21421381.701902293</v>
      </c>
    </row>
    <row r="122" spans="1:9" ht="15.75" x14ac:dyDescent="0.25">
      <c r="A122" s="8"/>
      <c r="B122" s="8"/>
      <c r="C122" s="9"/>
      <c r="D122" s="12" t="s">
        <v>118</v>
      </c>
      <c r="E122" s="16">
        <v>17614340.400000002</v>
      </c>
      <c r="F122" s="16">
        <v>4227335.7907173336</v>
      </c>
      <c r="G122" s="16">
        <v>1800102.1600000004</v>
      </c>
      <c r="H122" s="16">
        <v>0</v>
      </c>
      <c r="I122" s="13">
        <f t="shared" si="1"/>
        <v>23641778.350717336</v>
      </c>
    </row>
    <row r="123" spans="1:9" ht="15.75" x14ac:dyDescent="0.25">
      <c r="A123" s="8"/>
      <c r="B123" s="8"/>
      <c r="C123" s="9"/>
      <c r="D123" s="12" t="s">
        <v>119</v>
      </c>
      <c r="E123" s="16">
        <v>20071556.309999995</v>
      </c>
      <c r="F123" s="16">
        <v>7767013.9100515507</v>
      </c>
      <c r="G123" s="16">
        <v>554611.42000000004</v>
      </c>
      <c r="H123" s="16">
        <v>0</v>
      </c>
      <c r="I123" s="13">
        <f t="shared" si="1"/>
        <v>28393181.640051547</v>
      </c>
    </row>
    <row r="124" spans="1:9" ht="15.75" x14ac:dyDescent="0.25">
      <c r="A124" s="8"/>
      <c r="B124" s="8"/>
      <c r="C124" s="9"/>
      <c r="D124" s="12" t="s">
        <v>120</v>
      </c>
      <c r="E124" s="16">
        <v>406330.52</v>
      </c>
      <c r="F124" s="16">
        <v>0</v>
      </c>
      <c r="G124" s="16">
        <v>5336012.4299999978</v>
      </c>
      <c r="H124" s="16">
        <v>1754140.085</v>
      </c>
      <c r="I124" s="13">
        <f t="shared" si="1"/>
        <v>7496483.0349999974</v>
      </c>
    </row>
    <row r="125" spans="1:9" ht="15.75" x14ac:dyDescent="0.25">
      <c r="A125" s="8"/>
      <c r="B125" s="8"/>
      <c r="C125" s="9"/>
      <c r="D125" s="12" t="s">
        <v>121</v>
      </c>
      <c r="E125" s="16">
        <v>0</v>
      </c>
      <c r="F125" s="16">
        <v>0</v>
      </c>
      <c r="G125" s="16">
        <v>20548216.329999998</v>
      </c>
      <c r="H125" s="16">
        <v>239347.13500000001</v>
      </c>
      <c r="I125" s="13">
        <f t="shared" si="1"/>
        <v>20787563.465</v>
      </c>
    </row>
    <row r="126" spans="1:9" ht="15.75" x14ac:dyDescent="0.25">
      <c r="A126" s="8"/>
      <c r="B126" s="8"/>
      <c r="C126" s="9"/>
      <c r="D126" s="12" t="s">
        <v>122</v>
      </c>
      <c r="E126" s="16">
        <v>64686.71</v>
      </c>
      <c r="F126" s="16">
        <v>0</v>
      </c>
      <c r="G126" s="16">
        <v>11228670.079999998</v>
      </c>
      <c r="H126" s="16">
        <v>0</v>
      </c>
      <c r="I126" s="13">
        <f t="shared" si="1"/>
        <v>11293356.789999999</v>
      </c>
    </row>
    <row r="127" spans="1:9" ht="15.75" x14ac:dyDescent="0.25">
      <c r="A127" s="8"/>
      <c r="B127" s="8"/>
      <c r="C127" s="9"/>
      <c r="D127" s="12" t="s">
        <v>123</v>
      </c>
      <c r="E127" s="16">
        <v>9763110.1699999999</v>
      </c>
      <c r="F127" s="16">
        <v>1637203.6615406435</v>
      </c>
      <c r="G127" s="16">
        <v>5881193.3800000008</v>
      </c>
      <c r="H127" s="16">
        <v>0</v>
      </c>
      <c r="I127" s="13">
        <f t="shared" si="1"/>
        <v>17281507.211540647</v>
      </c>
    </row>
    <row r="128" spans="1:9" ht="15.75" x14ac:dyDescent="0.25">
      <c r="A128" s="8"/>
      <c r="B128" s="8"/>
      <c r="C128" s="9"/>
      <c r="D128" s="12" t="s">
        <v>124</v>
      </c>
      <c r="E128" s="16">
        <v>20568265.239999998</v>
      </c>
      <c r="F128" s="16">
        <v>5108132.9261239422</v>
      </c>
      <c r="G128" s="16">
        <v>2063662.2399999998</v>
      </c>
      <c r="H128" s="16">
        <v>0</v>
      </c>
      <c r="I128" s="13">
        <f t="shared" si="1"/>
        <v>27740060.40612394</v>
      </c>
    </row>
    <row r="129" spans="1:9" ht="15.75" x14ac:dyDescent="0.25">
      <c r="A129" s="8"/>
      <c r="B129" s="8"/>
      <c r="C129" s="9"/>
      <c r="D129" s="12" t="s">
        <v>125</v>
      </c>
      <c r="E129" s="16">
        <v>5387899.75</v>
      </c>
      <c r="F129" s="16">
        <v>2472252.7890502685</v>
      </c>
      <c r="G129" s="16">
        <v>2202971.5</v>
      </c>
      <c r="H129" s="16">
        <v>0</v>
      </c>
      <c r="I129" s="13">
        <f t="shared" si="1"/>
        <v>10063124.039050268</v>
      </c>
    </row>
    <row r="130" spans="1:9" ht="15.75" x14ac:dyDescent="0.25">
      <c r="A130" s="8"/>
      <c r="B130" s="8"/>
      <c r="C130" s="9"/>
      <c r="D130" s="12" t="s">
        <v>126</v>
      </c>
      <c r="E130" s="16">
        <v>4037729.6399999992</v>
      </c>
      <c r="F130" s="16">
        <v>4355024.3155314643</v>
      </c>
      <c r="G130" s="16">
        <v>502928.03999999992</v>
      </c>
      <c r="H130" s="16">
        <v>0</v>
      </c>
      <c r="I130" s="13">
        <f t="shared" si="1"/>
        <v>8895681.9955314621</v>
      </c>
    </row>
    <row r="131" spans="1:9" ht="15.75" x14ac:dyDescent="0.25">
      <c r="A131" s="8"/>
      <c r="B131" s="8"/>
      <c r="C131" s="9"/>
      <c r="D131" s="12" t="s">
        <v>127</v>
      </c>
      <c r="E131" s="16">
        <v>71619752.879999995</v>
      </c>
      <c r="F131" s="16">
        <v>23802071.206660435</v>
      </c>
      <c r="G131" s="16">
        <v>11126689.09</v>
      </c>
      <c r="H131" s="16">
        <v>0</v>
      </c>
      <c r="I131" s="13">
        <f t="shared" si="1"/>
        <v>106548513.17666043</v>
      </c>
    </row>
    <row r="132" spans="1:9" ht="15.75" x14ac:dyDescent="0.25">
      <c r="A132" s="8"/>
      <c r="B132" s="8"/>
      <c r="C132" s="9"/>
      <c r="D132" s="12" t="s">
        <v>128</v>
      </c>
      <c r="E132" s="16">
        <v>12236779.450000003</v>
      </c>
      <c r="F132" s="16">
        <v>14604100.199320994</v>
      </c>
      <c r="G132" s="16">
        <v>169022.59000000003</v>
      </c>
      <c r="H132" s="16">
        <v>0</v>
      </c>
      <c r="I132" s="13">
        <f t="shared" si="1"/>
        <v>27009902.239320997</v>
      </c>
    </row>
    <row r="133" spans="1:9" ht="15.75" x14ac:dyDescent="0.25">
      <c r="A133" s="8"/>
      <c r="B133" s="8"/>
      <c r="C133" s="9"/>
      <c r="D133" s="12" t="s">
        <v>129</v>
      </c>
      <c r="E133" s="16">
        <v>7225412.0099999998</v>
      </c>
      <c r="F133" s="16">
        <v>0</v>
      </c>
      <c r="G133" s="16">
        <v>39945756.529999994</v>
      </c>
      <c r="H133" s="16">
        <v>622626.62499999988</v>
      </c>
      <c r="I133" s="13">
        <f t="shared" si="1"/>
        <v>47793795.164999992</v>
      </c>
    </row>
    <row r="134" spans="1:9" ht="15.75" x14ac:dyDescent="0.25">
      <c r="A134" s="8"/>
      <c r="B134" s="8"/>
      <c r="C134" s="9"/>
      <c r="D134" s="12" t="s">
        <v>130</v>
      </c>
      <c r="E134" s="16">
        <v>1545830.9700000002</v>
      </c>
      <c r="F134" s="16">
        <v>720383.14098779717</v>
      </c>
      <c r="G134" s="16">
        <v>24097.489999999998</v>
      </c>
      <c r="H134" s="16">
        <v>0</v>
      </c>
      <c r="I134" s="13">
        <f t="shared" si="1"/>
        <v>2290311.6009877976</v>
      </c>
    </row>
    <row r="135" spans="1:9" ht="15.75" x14ac:dyDescent="0.25">
      <c r="A135" s="8"/>
      <c r="B135" s="8"/>
      <c r="C135" s="9"/>
      <c r="D135" s="12" t="s">
        <v>131</v>
      </c>
      <c r="E135" s="16">
        <v>6747038.9299999997</v>
      </c>
      <c r="F135" s="16">
        <v>9103007.952129988</v>
      </c>
      <c r="G135" s="16">
        <v>633759.78</v>
      </c>
      <c r="H135" s="16">
        <v>0</v>
      </c>
      <c r="I135" s="13">
        <f t="shared" si="1"/>
        <v>16483806.662129987</v>
      </c>
    </row>
    <row r="136" spans="1:9" ht="15.75" x14ac:dyDescent="0.25">
      <c r="A136" s="8"/>
      <c r="B136" s="8"/>
      <c r="C136" s="9"/>
      <c r="D136" s="12" t="s">
        <v>132</v>
      </c>
      <c r="E136" s="16">
        <v>49975243.859999999</v>
      </c>
      <c r="F136" s="16">
        <v>11002184.494382005</v>
      </c>
      <c r="G136" s="16">
        <v>5042268.7700000005</v>
      </c>
      <c r="H136" s="16">
        <v>0</v>
      </c>
      <c r="I136" s="13">
        <f t="shared" si="1"/>
        <v>66019697.124382012</v>
      </c>
    </row>
    <row r="137" spans="1:9" ht="15.75" x14ac:dyDescent="0.25">
      <c r="A137" s="8"/>
      <c r="B137" s="8"/>
      <c r="C137" s="9"/>
      <c r="D137" s="12" t="s">
        <v>133</v>
      </c>
      <c r="E137" s="16">
        <v>55024540.350000009</v>
      </c>
      <c r="F137" s="16">
        <v>17299004.56839484</v>
      </c>
      <c r="G137" s="16">
        <v>7264460.3500000006</v>
      </c>
      <c r="H137" s="16">
        <v>0</v>
      </c>
      <c r="I137" s="13">
        <f t="shared" si="1"/>
        <v>79588005.268394843</v>
      </c>
    </row>
    <row r="138" spans="1:9" ht="15.75" x14ac:dyDescent="0.25">
      <c r="A138" s="8"/>
      <c r="B138" s="8"/>
      <c r="C138" s="9"/>
      <c r="D138" s="12" t="s">
        <v>134</v>
      </c>
      <c r="E138" s="16">
        <v>0</v>
      </c>
      <c r="F138" s="16">
        <v>0</v>
      </c>
      <c r="G138" s="16">
        <v>10838285.649999999</v>
      </c>
      <c r="H138" s="16">
        <v>0</v>
      </c>
      <c r="I138" s="13">
        <f t="shared" ref="I138:I144" si="2">SUM(E138:H138)</f>
        <v>10838285.649999999</v>
      </c>
    </row>
    <row r="139" spans="1:9" ht="15.75" x14ac:dyDescent="0.25">
      <c r="A139" s="8"/>
      <c r="B139" s="8"/>
      <c r="C139" s="9"/>
      <c r="D139" s="12" t="s">
        <v>135</v>
      </c>
      <c r="E139" s="16">
        <v>6115582.1699999981</v>
      </c>
      <c r="F139" s="16">
        <v>2590132.1291766907</v>
      </c>
      <c r="G139" s="16">
        <v>1011594.3399999999</v>
      </c>
      <c r="H139" s="16">
        <v>0</v>
      </c>
      <c r="I139" s="13">
        <f t="shared" si="2"/>
        <v>9717308.6391766891</v>
      </c>
    </row>
    <row r="140" spans="1:9" ht="15.75" x14ac:dyDescent="0.25">
      <c r="A140" s="8"/>
      <c r="B140" s="8"/>
      <c r="C140" s="9"/>
      <c r="D140" s="12" t="s">
        <v>136</v>
      </c>
      <c r="E140" s="16">
        <v>26934465.489999998</v>
      </c>
      <c r="F140" s="16">
        <v>18369727.814220347</v>
      </c>
      <c r="G140" s="16">
        <v>2449641.12</v>
      </c>
      <c r="H140" s="16">
        <v>0</v>
      </c>
      <c r="I140" s="13">
        <f t="shared" si="2"/>
        <v>47753834.424220346</v>
      </c>
    </row>
    <row r="141" spans="1:9" ht="15.75" x14ac:dyDescent="0.25">
      <c r="A141" s="8"/>
      <c r="B141" s="8"/>
      <c r="C141" s="9"/>
      <c r="D141" s="12" t="s">
        <v>137</v>
      </c>
      <c r="E141" s="16">
        <v>0</v>
      </c>
      <c r="F141" s="16">
        <v>0</v>
      </c>
      <c r="G141" s="16">
        <v>11711492.660000002</v>
      </c>
      <c r="H141" s="16">
        <v>73039.214999999997</v>
      </c>
      <c r="I141" s="13">
        <f t="shared" si="2"/>
        <v>11784531.875000002</v>
      </c>
    </row>
    <row r="142" spans="1:9" ht="15.75" x14ac:dyDescent="0.25">
      <c r="A142" s="8"/>
      <c r="B142" s="8"/>
      <c r="C142" s="9"/>
      <c r="D142" s="12" t="s">
        <v>138</v>
      </c>
      <c r="E142" s="16">
        <v>106081.84999999999</v>
      </c>
      <c r="F142" s="16">
        <v>0</v>
      </c>
      <c r="G142" s="16">
        <v>2919693.4599999995</v>
      </c>
      <c r="H142" s="16">
        <v>0</v>
      </c>
      <c r="I142" s="13">
        <f t="shared" si="2"/>
        <v>3025775.3099999996</v>
      </c>
    </row>
    <row r="143" spans="1:9" ht="15.75" x14ac:dyDescent="0.25">
      <c r="A143" s="8"/>
      <c r="B143" s="8"/>
      <c r="C143" s="9"/>
      <c r="D143" s="12" t="s">
        <v>139</v>
      </c>
      <c r="E143" s="16">
        <v>2217956.0500000003</v>
      </c>
      <c r="F143" s="16">
        <v>16978092.017620251</v>
      </c>
      <c r="G143" s="16">
        <v>448830.8</v>
      </c>
      <c r="H143" s="16">
        <v>0</v>
      </c>
      <c r="I143" s="13">
        <f t="shared" si="2"/>
        <v>19644878.867620252</v>
      </c>
    </row>
    <row r="144" spans="1:9" ht="15.75" x14ac:dyDescent="0.25">
      <c r="A144" s="8"/>
      <c r="B144" s="8"/>
      <c r="C144" s="9"/>
      <c r="D144" s="12" t="s">
        <v>140</v>
      </c>
      <c r="E144" s="16">
        <v>19490304.370000005</v>
      </c>
      <c r="F144" s="16">
        <v>2062888.4522123854</v>
      </c>
      <c r="G144" s="16">
        <v>3727982.15</v>
      </c>
      <c r="H144" s="16">
        <v>0</v>
      </c>
      <c r="I144" s="13">
        <f t="shared" si="2"/>
        <v>25281174.972212389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2102944788.5700002</v>
      </c>
      <c r="F145" s="22">
        <f>SUM(F10:F144)</f>
        <v>845580132.89124954</v>
      </c>
      <c r="G145" s="22">
        <f>SUM(G10:G144)</f>
        <v>676179525.06000006</v>
      </c>
      <c r="H145" s="22">
        <f>SUM(H10:H144)</f>
        <v>2689153.0599999996</v>
      </c>
      <c r="I145" s="22">
        <f>SUM(I10:I144)</f>
        <v>3627393599.5812497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topLeftCell="A136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164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165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>
        <v>442053.04</v>
      </c>
      <c r="F10" s="16">
        <v>7629185.9831017498</v>
      </c>
      <c r="G10" s="16">
        <v>879705.45</v>
      </c>
      <c r="H10" s="16">
        <v>0</v>
      </c>
      <c r="I10" s="13">
        <f t="shared" ref="I10:I73" si="0">SUM(E10:H10)</f>
        <v>8950944.47310175</v>
      </c>
    </row>
    <row r="11" spans="1:9" ht="15.75" x14ac:dyDescent="0.25">
      <c r="A11" s="8"/>
      <c r="B11" s="8"/>
      <c r="C11" s="9"/>
      <c r="D11" s="12" t="s">
        <v>7</v>
      </c>
      <c r="E11" s="16">
        <v>1274938.22</v>
      </c>
      <c r="F11" s="16">
        <v>4282081.7466889229</v>
      </c>
      <c r="G11" s="16">
        <v>1153555.6100000001</v>
      </c>
      <c r="H11" s="16">
        <v>0</v>
      </c>
      <c r="I11" s="13">
        <f t="shared" si="0"/>
        <v>6710575.5766889229</v>
      </c>
    </row>
    <row r="12" spans="1:9" ht="15.75" x14ac:dyDescent="0.25">
      <c r="A12" s="8"/>
      <c r="B12" s="8"/>
      <c r="C12" s="9"/>
      <c r="D12" s="12" t="s">
        <v>8</v>
      </c>
      <c r="E12" s="16">
        <v>794167.95</v>
      </c>
      <c r="F12" s="16">
        <v>1552380.1358843606</v>
      </c>
      <c r="G12" s="16">
        <v>2947002.7</v>
      </c>
      <c r="H12" s="16">
        <v>0</v>
      </c>
      <c r="I12" s="13">
        <f t="shared" si="0"/>
        <v>5293550.7858843608</v>
      </c>
    </row>
    <row r="13" spans="1:9" ht="15.75" x14ac:dyDescent="0.25">
      <c r="A13" s="8"/>
      <c r="B13" s="8"/>
      <c r="C13" s="9"/>
      <c r="D13" s="12" t="s">
        <v>9</v>
      </c>
      <c r="E13" s="16">
        <v>39243.379999999997</v>
      </c>
      <c r="F13" s="16">
        <v>41080.041855061994</v>
      </c>
      <c r="G13" s="16">
        <v>10672941.18</v>
      </c>
      <c r="H13" s="16">
        <v>0</v>
      </c>
      <c r="I13" s="13">
        <f t="shared" si="0"/>
        <v>10753264.601855062</v>
      </c>
    </row>
    <row r="14" spans="1:9" ht="15.75" x14ac:dyDescent="0.25">
      <c r="A14" s="8"/>
      <c r="B14" s="8"/>
      <c r="C14" s="9"/>
      <c r="D14" s="12" t="s">
        <v>10</v>
      </c>
      <c r="E14" s="16">
        <v>1209217.6700000002</v>
      </c>
      <c r="F14" s="16">
        <v>1724866.8176492895</v>
      </c>
      <c r="G14" s="16">
        <v>1899943.5999999999</v>
      </c>
      <c r="H14" s="16">
        <v>0</v>
      </c>
      <c r="I14" s="13">
        <f t="shared" si="0"/>
        <v>4834028.0876492895</v>
      </c>
    </row>
    <row r="15" spans="1:9" ht="15.75" x14ac:dyDescent="0.25">
      <c r="A15" s="8"/>
      <c r="B15" s="8"/>
      <c r="C15" s="9"/>
      <c r="D15" s="12" t="s">
        <v>11</v>
      </c>
      <c r="E15" s="16">
        <v>0</v>
      </c>
      <c r="F15" s="16">
        <v>9580.6293827209993</v>
      </c>
      <c r="G15" s="16">
        <v>11717947.730000002</v>
      </c>
      <c r="H15" s="16">
        <v>0</v>
      </c>
      <c r="I15" s="13">
        <f t="shared" si="0"/>
        <v>11727528.359382723</v>
      </c>
    </row>
    <row r="16" spans="1:9" ht="15.75" x14ac:dyDescent="0.25">
      <c r="A16" s="8"/>
      <c r="B16" s="8"/>
      <c r="C16" s="9"/>
      <c r="D16" s="12" t="s">
        <v>12</v>
      </c>
      <c r="E16" s="16">
        <v>1875143.9500000002</v>
      </c>
      <c r="F16" s="16">
        <v>8224669.8256203933</v>
      </c>
      <c r="G16" s="16">
        <v>1856533.1900000002</v>
      </c>
      <c r="H16" s="16">
        <v>0</v>
      </c>
      <c r="I16" s="13">
        <f t="shared" si="0"/>
        <v>11956346.965620393</v>
      </c>
    </row>
    <row r="17" spans="1:9" ht="15.75" x14ac:dyDescent="0.25">
      <c r="A17" s="8"/>
      <c r="B17" s="8"/>
      <c r="C17" s="9"/>
      <c r="D17" s="12" t="s">
        <v>13</v>
      </c>
      <c r="E17" s="16">
        <v>2798773.2100000004</v>
      </c>
      <c r="F17" s="16">
        <v>7556641.881650297</v>
      </c>
      <c r="G17" s="16">
        <v>3956333.9599999995</v>
      </c>
      <c r="H17" s="16">
        <v>0</v>
      </c>
      <c r="I17" s="13">
        <f t="shared" si="0"/>
        <v>14311749.051650297</v>
      </c>
    </row>
    <row r="18" spans="1:9" ht="15.75" x14ac:dyDescent="0.25">
      <c r="A18" s="8"/>
      <c r="B18" s="8"/>
      <c r="C18" s="9"/>
      <c r="D18" s="12" t="s">
        <v>14</v>
      </c>
      <c r="E18" s="16">
        <v>382024.59</v>
      </c>
      <c r="F18" s="16">
        <v>616023.86344617489</v>
      </c>
      <c r="G18" s="16">
        <v>23002084.149999999</v>
      </c>
      <c r="H18" s="16">
        <v>0</v>
      </c>
      <c r="I18" s="13">
        <f t="shared" si="0"/>
        <v>24000132.603446174</v>
      </c>
    </row>
    <row r="19" spans="1:9" ht="15.75" x14ac:dyDescent="0.25">
      <c r="A19" s="8"/>
      <c r="B19" s="8"/>
      <c r="C19" s="9"/>
      <c r="D19" s="12" t="s">
        <v>15</v>
      </c>
      <c r="E19" s="16">
        <v>3428862.8299999996</v>
      </c>
      <c r="F19" s="16">
        <v>5879678.2109146127</v>
      </c>
      <c r="G19" s="16">
        <v>5093555.59</v>
      </c>
      <c r="H19" s="16">
        <v>0</v>
      </c>
      <c r="I19" s="13">
        <f t="shared" si="0"/>
        <v>14402096.630914612</v>
      </c>
    </row>
    <row r="20" spans="1:9" ht="15.75" x14ac:dyDescent="0.25">
      <c r="A20" s="8"/>
      <c r="B20" s="8"/>
      <c r="C20" s="9"/>
      <c r="D20" s="12" t="s">
        <v>16</v>
      </c>
      <c r="E20" s="16">
        <v>1676985.45</v>
      </c>
      <c r="F20" s="16">
        <v>1615378.9608290426</v>
      </c>
      <c r="G20" s="16">
        <v>1918586.25</v>
      </c>
      <c r="H20" s="16">
        <v>0</v>
      </c>
      <c r="I20" s="13">
        <f t="shared" si="0"/>
        <v>5210950.660829043</v>
      </c>
    </row>
    <row r="21" spans="1:9" ht="15.75" x14ac:dyDescent="0.25">
      <c r="A21" s="8"/>
      <c r="B21" s="8"/>
      <c r="C21" s="9"/>
      <c r="D21" s="12" t="s">
        <v>17</v>
      </c>
      <c r="E21" s="16">
        <v>1752716.88</v>
      </c>
      <c r="F21" s="16">
        <v>7033702.1405831054</v>
      </c>
      <c r="G21" s="16">
        <v>1267708.3599999999</v>
      </c>
      <c r="H21" s="16">
        <v>0</v>
      </c>
      <c r="I21" s="13">
        <f t="shared" si="0"/>
        <v>10054127.380583104</v>
      </c>
    </row>
    <row r="22" spans="1:9" ht="15.75" x14ac:dyDescent="0.25">
      <c r="A22" s="8"/>
      <c r="B22" s="8"/>
      <c r="C22" s="9"/>
      <c r="D22" s="12" t="s">
        <v>18</v>
      </c>
      <c r="E22" s="16">
        <v>151175.13999999998</v>
      </c>
      <c r="F22" s="16">
        <v>301171.15022656892</v>
      </c>
      <c r="G22" s="16">
        <v>6569999.2400000012</v>
      </c>
      <c r="H22" s="16">
        <v>0</v>
      </c>
      <c r="I22" s="13">
        <f t="shared" si="0"/>
        <v>7022345.5302265696</v>
      </c>
    </row>
    <row r="23" spans="1:9" ht="15.75" x14ac:dyDescent="0.25">
      <c r="A23" s="8"/>
      <c r="B23" s="8"/>
      <c r="C23" s="9"/>
      <c r="D23" s="12" t="s">
        <v>19</v>
      </c>
      <c r="E23" s="16">
        <v>74438.979999999981</v>
      </c>
      <c r="F23" s="16">
        <v>112245.38114442496</v>
      </c>
      <c r="G23" s="16">
        <v>2991171.14</v>
      </c>
      <c r="H23" s="16">
        <v>0</v>
      </c>
      <c r="I23" s="13">
        <f t="shared" si="0"/>
        <v>3177855.501144425</v>
      </c>
    </row>
    <row r="24" spans="1:9" ht="15.75" x14ac:dyDescent="0.25">
      <c r="A24" s="8"/>
      <c r="B24" s="8"/>
      <c r="C24" s="9"/>
      <c r="D24" s="12" t="s">
        <v>20</v>
      </c>
      <c r="E24" s="16">
        <v>1705802.4500000002</v>
      </c>
      <c r="F24" s="16">
        <v>4313581.1591612641</v>
      </c>
      <c r="G24" s="16">
        <v>2342682.34</v>
      </c>
      <c r="H24" s="16">
        <v>0</v>
      </c>
      <c r="I24" s="13">
        <f t="shared" si="0"/>
        <v>8362065.9491612641</v>
      </c>
    </row>
    <row r="25" spans="1:9" ht="15.75" x14ac:dyDescent="0.25">
      <c r="A25" s="8"/>
      <c r="B25" s="8"/>
      <c r="C25" s="9"/>
      <c r="D25" s="12" t="s">
        <v>21</v>
      </c>
      <c r="E25" s="16">
        <v>1401597.9800000002</v>
      </c>
      <c r="F25" s="16">
        <v>3203359.4427960603</v>
      </c>
      <c r="G25" s="16">
        <v>2194102.92</v>
      </c>
      <c r="H25" s="16">
        <v>0</v>
      </c>
      <c r="I25" s="13">
        <f t="shared" si="0"/>
        <v>6799060.3427960603</v>
      </c>
    </row>
    <row r="26" spans="1:9" ht="15.75" x14ac:dyDescent="0.25">
      <c r="A26" s="8"/>
      <c r="B26" s="8"/>
      <c r="C26" s="9"/>
      <c r="D26" s="12" t="s">
        <v>22</v>
      </c>
      <c r="E26" s="16">
        <v>943810.51000000013</v>
      </c>
      <c r="F26" s="16">
        <v>1834390.0273454878</v>
      </c>
      <c r="G26" s="16">
        <v>1457461.4499999997</v>
      </c>
      <c r="H26" s="16">
        <v>0</v>
      </c>
      <c r="I26" s="13">
        <f t="shared" si="0"/>
        <v>4235661.9873454878</v>
      </c>
    </row>
    <row r="27" spans="1:9" ht="15.75" x14ac:dyDescent="0.25">
      <c r="A27" s="8"/>
      <c r="B27" s="8"/>
      <c r="C27" s="9"/>
      <c r="D27" s="12" t="s">
        <v>23</v>
      </c>
      <c r="E27" s="16">
        <v>387564.51999999996</v>
      </c>
      <c r="F27" s="16">
        <v>314852.71321960597</v>
      </c>
      <c r="G27" s="16">
        <v>4670252.5600000005</v>
      </c>
      <c r="H27" s="16">
        <v>0</v>
      </c>
      <c r="I27" s="13">
        <f t="shared" si="0"/>
        <v>5372669.7932196064</v>
      </c>
    </row>
    <row r="28" spans="1:9" ht="15.75" x14ac:dyDescent="0.25">
      <c r="A28" s="8"/>
      <c r="B28" s="8"/>
      <c r="C28" s="9"/>
      <c r="D28" s="12" t="s">
        <v>24</v>
      </c>
      <c r="E28" s="16">
        <v>697004.49000000011</v>
      </c>
      <c r="F28" s="16">
        <v>1492174.1881398077</v>
      </c>
      <c r="G28" s="16">
        <v>1795112.8200000003</v>
      </c>
      <c r="H28" s="16">
        <v>0</v>
      </c>
      <c r="I28" s="13">
        <f t="shared" si="0"/>
        <v>3984291.498139808</v>
      </c>
    </row>
    <row r="29" spans="1:9" ht="15.75" x14ac:dyDescent="0.25">
      <c r="A29" s="8"/>
      <c r="B29" s="8"/>
      <c r="C29" s="9"/>
      <c r="D29" s="12" t="s">
        <v>25</v>
      </c>
      <c r="E29" s="16">
        <v>666587.96</v>
      </c>
      <c r="F29" s="16">
        <v>835070.28283857089</v>
      </c>
      <c r="G29" s="16">
        <v>582807.59</v>
      </c>
      <c r="H29" s="16">
        <v>0</v>
      </c>
      <c r="I29" s="13">
        <f t="shared" si="0"/>
        <v>2084465.8328385707</v>
      </c>
    </row>
    <row r="30" spans="1:9" ht="15.75" x14ac:dyDescent="0.25">
      <c r="A30" s="8"/>
      <c r="B30" s="8"/>
      <c r="C30" s="9"/>
      <c r="D30" s="12" t="s">
        <v>26</v>
      </c>
      <c r="E30" s="16">
        <v>1928395.5899999999</v>
      </c>
      <c r="F30" s="16">
        <v>4503850.3375295456</v>
      </c>
      <c r="G30" s="16">
        <v>2178992.3499999996</v>
      </c>
      <c r="H30" s="16">
        <v>0</v>
      </c>
      <c r="I30" s="13">
        <f t="shared" si="0"/>
        <v>8611238.2775295451</v>
      </c>
    </row>
    <row r="31" spans="1:9" ht="15.75" x14ac:dyDescent="0.25">
      <c r="A31" s="8"/>
      <c r="B31" s="8"/>
      <c r="C31" s="9"/>
      <c r="D31" s="12" t="s">
        <v>27</v>
      </c>
      <c r="E31" s="16">
        <v>1531118.7300000002</v>
      </c>
      <c r="F31" s="16">
        <v>4668135.1520738425</v>
      </c>
      <c r="G31" s="16">
        <v>1438148.24</v>
      </c>
      <c r="H31" s="16">
        <v>0</v>
      </c>
      <c r="I31" s="13">
        <f t="shared" si="0"/>
        <v>7637402.1220738431</v>
      </c>
    </row>
    <row r="32" spans="1:9" ht="15.75" x14ac:dyDescent="0.25">
      <c r="A32" s="8"/>
      <c r="B32" s="8"/>
      <c r="C32" s="9"/>
      <c r="D32" s="12" t="s">
        <v>28</v>
      </c>
      <c r="E32" s="16">
        <v>1018576.1499999998</v>
      </c>
      <c r="F32" s="16">
        <v>1575677.6811360698</v>
      </c>
      <c r="G32" s="16">
        <v>917680.67999999993</v>
      </c>
      <c r="H32" s="16">
        <v>0</v>
      </c>
      <c r="I32" s="13">
        <f t="shared" si="0"/>
        <v>3511934.5111360699</v>
      </c>
    </row>
    <row r="33" spans="1:9" ht="15.75" x14ac:dyDescent="0.25">
      <c r="A33" s="8"/>
      <c r="B33" s="8"/>
      <c r="C33" s="9"/>
      <c r="D33" s="12" t="s">
        <v>29</v>
      </c>
      <c r="E33" s="16">
        <v>515312.58999999991</v>
      </c>
      <c r="F33" s="16">
        <v>2381970.7229505265</v>
      </c>
      <c r="G33" s="16">
        <v>660599.47</v>
      </c>
      <c r="H33" s="16">
        <v>0</v>
      </c>
      <c r="I33" s="13">
        <f t="shared" si="0"/>
        <v>3557882.7829505261</v>
      </c>
    </row>
    <row r="34" spans="1:9" ht="15.75" x14ac:dyDescent="0.25">
      <c r="A34" s="8"/>
      <c r="B34" s="8"/>
      <c r="C34" s="9"/>
      <c r="D34" s="12" t="s">
        <v>30</v>
      </c>
      <c r="E34" s="16">
        <v>2529570.6599999997</v>
      </c>
      <c r="F34" s="16">
        <v>3418269.5757021895</v>
      </c>
      <c r="G34" s="16">
        <v>3468892.11</v>
      </c>
      <c r="H34" s="16">
        <v>0</v>
      </c>
      <c r="I34" s="13">
        <f t="shared" si="0"/>
        <v>9416732.3457021881</v>
      </c>
    </row>
    <row r="35" spans="1:9" ht="15.75" x14ac:dyDescent="0.25">
      <c r="A35" s="8"/>
      <c r="B35" s="8"/>
      <c r="C35" s="9"/>
      <c r="D35" s="12" t="s">
        <v>31</v>
      </c>
      <c r="E35" s="16">
        <v>1436702.51</v>
      </c>
      <c r="F35" s="16">
        <v>5025446.6693105996</v>
      </c>
      <c r="G35" s="16">
        <v>2400763.2300000009</v>
      </c>
      <c r="H35" s="16">
        <v>0</v>
      </c>
      <c r="I35" s="13">
        <f t="shared" si="0"/>
        <v>8862912.4093105998</v>
      </c>
    </row>
    <row r="36" spans="1:9" ht="15.75" x14ac:dyDescent="0.25">
      <c r="A36" s="8"/>
      <c r="B36" s="8"/>
      <c r="C36" s="9"/>
      <c r="D36" s="12" t="s">
        <v>32</v>
      </c>
      <c r="E36" s="16">
        <v>718823.15</v>
      </c>
      <c r="F36" s="16">
        <v>3118477.1876377095</v>
      </c>
      <c r="G36" s="16">
        <v>3716438.9099999992</v>
      </c>
      <c r="H36" s="16">
        <v>0</v>
      </c>
      <c r="I36" s="13">
        <f t="shared" si="0"/>
        <v>7553739.2476377087</v>
      </c>
    </row>
    <row r="37" spans="1:9" ht="15.75" x14ac:dyDescent="0.25">
      <c r="A37" s="8"/>
      <c r="B37" s="8"/>
      <c r="C37" s="9"/>
      <c r="D37" s="12" t="s">
        <v>33</v>
      </c>
      <c r="E37" s="16">
        <v>646424.86999999988</v>
      </c>
      <c r="F37" s="16">
        <v>1724866.8176492895</v>
      </c>
      <c r="G37" s="16">
        <v>1254248.6399999999</v>
      </c>
      <c r="H37" s="16">
        <v>0</v>
      </c>
      <c r="I37" s="13">
        <f t="shared" si="0"/>
        <v>3625540.3276492888</v>
      </c>
    </row>
    <row r="38" spans="1:9" ht="15.75" x14ac:dyDescent="0.25">
      <c r="A38" s="8"/>
      <c r="B38" s="8"/>
      <c r="C38" s="9"/>
      <c r="D38" s="12" t="s">
        <v>34</v>
      </c>
      <c r="E38" s="16">
        <v>736148.97000000009</v>
      </c>
      <c r="F38" s="16">
        <v>3748217.9669528725</v>
      </c>
      <c r="G38" s="16">
        <v>1332941.8800000001</v>
      </c>
      <c r="H38" s="16">
        <v>0</v>
      </c>
      <c r="I38" s="13">
        <f t="shared" si="0"/>
        <v>5817308.8169528721</v>
      </c>
    </row>
    <row r="39" spans="1:9" ht="15.75" x14ac:dyDescent="0.25">
      <c r="A39" s="8"/>
      <c r="B39" s="8"/>
      <c r="C39" s="9"/>
      <c r="D39" s="12" t="s">
        <v>35</v>
      </c>
      <c r="E39" s="16">
        <v>743301.63</v>
      </c>
      <c r="F39" s="16">
        <v>5868718.8193698023</v>
      </c>
      <c r="G39" s="16">
        <v>1596701.35</v>
      </c>
      <c r="H39" s="16">
        <v>0</v>
      </c>
      <c r="I39" s="13">
        <f t="shared" si="0"/>
        <v>8208721.7993698027</v>
      </c>
    </row>
    <row r="40" spans="1:9" ht="15.75" x14ac:dyDescent="0.25">
      <c r="A40" s="8"/>
      <c r="B40" s="8"/>
      <c r="C40" s="9"/>
      <c r="D40" s="12" t="s">
        <v>36</v>
      </c>
      <c r="E40" s="16">
        <v>57205.959999999985</v>
      </c>
      <c r="F40" s="16">
        <v>308029.60816106293</v>
      </c>
      <c r="G40" s="16">
        <v>1199347.3299999998</v>
      </c>
      <c r="H40" s="16">
        <v>0</v>
      </c>
      <c r="I40" s="13">
        <f t="shared" si="0"/>
        <v>1564582.8981610627</v>
      </c>
    </row>
    <row r="41" spans="1:9" ht="15.75" x14ac:dyDescent="0.25">
      <c r="A41" s="8"/>
      <c r="B41" s="8"/>
      <c r="C41" s="9"/>
      <c r="D41" s="12" t="s">
        <v>37</v>
      </c>
      <c r="E41" s="16">
        <v>3121016.8500000006</v>
      </c>
      <c r="F41" s="16">
        <v>5147272.6798377456</v>
      </c>
      <c r="G41" s="16">
        <v>2955128.5100000002</v>
      </c>
      <c r="H41" s="16">
        <v>0</v>
      </c>
      <c r="I41" s="13">
        <f t="shared" si="0"/>
        <v>11223418.039837746</v>
      </c>
    </row>
    <row r="42" spans="1:9" ht="15.75" x14ac:dyDescent="0.25">
      <c r="A42" s="8"/>
      <c r="B42" s="8"/>
      <c r="C42" s="9"/>
      <c r="D42" s="12" t="s">
        <v>38</v>
      </c>
      <c r="E42" s="16">
        <v>1172527.8700000003</v>
      </c>
      <c r="F42" s="16">
        <v>5574406.1270777266</v>
      </c>
      <c r="G42" s="16">
        <v>1480027.2999999998</v>
      </c>
      <c r="H42" s="16">
        <v>0</v>
      </c>
      <c r="I42" s="13">
        <f t="shared" si="0"/>
        <v>8226961.2970777266</v>
      </c>
    </row>
    <row r="43" spans="1:9" ht="15.75" x14ac:dyDescent="0.25">
      <c r="A43" s="8"/>
      <c r="B43" s="8"/>
      <c r="C43" s="9"/>
      <c r="D43" s="12" t="s">
        <v>39</v>
      </c>
      <c r="E43" s="16">
        <v>226628.55999999997</v>
      </c>
      <c r="F43" s="16">
        <v>2027416.7300379477</v>
      </c>
      <c r="G43" s="16">
        <v>965954.0299999998</v>
      </c>
      <c r="H43" s="16">
        <v>0</v>
      </c>
      <c r="I43" s="13">
        <f t="shared" si="0"/>
        <v>3219999.3200379475</v>
      </c>
    </row>
    <row r="44" spans="1:9" ht="15.75" x14ac:dyDescent="0.25">
      <c r="A44" s="8"/>
      <c r="B44" s="8"/>
      <c r="C44" s="9"/>
      <c r="D44" s="12" t="s">
        <v>40</v>
      </c>
      <c r="E44" s="16">
        <v>13589.560000000001</v>
      </c>
      <c r="F44" s="16">
        <v>156047.59444771396</v>
      </c>
      <c r="G44" s="16">
        <v>1859518.03</v>
      </c>
      <c r="H44" s="16">
        <v>0</v>
      </c>
      <c r="I44" s="13">
        <f t="shared" si="0"/>
        <v>2029155.1844477139</v>
      </c>
    </row>
    <row r="45" spans="1:9" ht="15.75" x14ac:dyDescent="0.25">
      <c r="A45" s="8"/>
      <c r="B45" s="8"/>
      <c r="C45" s="9"/>
      <c r="D45" s="12" t="s">
        <v>41</v>
      </c>
      <c r="E45" s="16">
        <v>1541348.9499999997</v>
      </c>
      <c r="F45" s="16">
        <v>45180.975465377989</v>
      </c>
      <c r="G45" s="16">
        <v>7626770.1000000006</v>
      </c>
      <c r="H45" s="16">
        <v>0</v>
      </c>
      <c r="I45" s="13">
        <f t="shared" si="0"/>
        <v>9213300.0254653785</v>
      </c>
    </row>
    <row r="46" spans="1:9" ht="15.75" x14ac:dyDescent="0.25">
      <c r="A46" s="8"/>
      <c r="B46" s="8"/>
      <c r="C46" s="9"/>
      <c r="D46" s="12" t="s">
        <v>42</v>
      </c>
      <c r="E46" s="16">
        <v>27159.75</v>
      </c>
      <c r="F46" s="16">
        <v>150567.89867530897</v>
      </c>
      <c r="G46" s="16">
        <v>7502339.4000000013</v>
      </c>
      <c r="H46" s="16">
        <v>0</v>
      </c>
      <c r="I46" s="13">
        <f t="shared" si="0"/>
        <v>7680067.0486753099</v>
      </c>
    </row>
    <row r="47" spans="1:9" ht="15.75" x14ac:dyDescent="0.25">
      <c r="A47" s="8"/>
      <c r="B47" s="8"/>
      <c r="C47" s="9"/>
      <c r="D47" s="12" t="s">
        <v>43</v>
      </c>
      <c r="E47" s="16">
        <v>1676317.71</v>
      </c>
      <c r="F47" s="16">
        <v>955517.5312036277</v>
      </c>
      <c r="G47" s="16">
        <v>999416.69</v>
      </c>
      <c r="H47" s="16">
        <v>0</v>
      </c>
      <c r="I47" s="13">
        <f t="shared" si="0"/>
        <v>3631251.9312036275</v>
      </c>
    </row>
    <row r="48" spans="1:9" ht="15.75" x14ac:dyDescent="0.25">
      <c r="A48" s="8"/>
      <c r="B48" s="8"/>
      <c r="C48" s="9"/>
      <c r="D48" s="12" t="s">
        <v>44</v>
      </c>
      <c r="E48" s="16">
        <v>1306236.57</v>
      </c>
      <c r="F48" s="16">
        <v>150567.89867530897</v>
      </c>
      <c r="G48" s="16">
        <v>3785699.0199999996</v>
      </c>
      <c r="H48" s="16">
        <v>0</v>
      </c>
      <c r="I48" s="13">
        <f t="shared" si="0"/>
        <v>5242503.4886753084</v>
      </c>
    </row>
    <row r="49" spans="1:9" ht="15.75" x14ac:dyDescent="0.25">
      <c r="A49" s="8"/>
      <c r="B49" s="8"/>
      <c r="C49" s="9"/>
      <c r="D49" s="12" t="s">
        <v>45</v>
      </c>
      <c r="E49" s="16">
        <v>164008.69000000003</v>
      </c>
      <c r="F49" s="16">
        <v>179345.13969942293</v>
      </c>
      <c r="G49" s="16">
        <v>11682711.450000001</v>
      </c>
      <c r="H49" s="16">
        <v>0</v>
      </c>
      <c r="I49" s="13">
        <f t="shared" si="0"/>
        <v>12026065.279699424</v>
      </c>
    </row>
    <row r="50" spans="1:9" ht="15.75" x14ac:dyDescent="0.25">
      <c r="A50" s="8"/>
      <c r="B50" s="8"/>
      <c r="C50" s="9"/>
      <c r="D50" s="12" t="s">
        <v>46</v>
      </c>
      <c r="E50" s="16">
        <v>629992.17000000016</v>
      </c>
      <c r="F50" s="16">
        <v>1733104.0377458725</v>
      </c>
      <c r="G50" s="16">
        <v>536340</v>
      </c>
      <c r="H50" s="16">
        <v>0</v>
      </c>
      <c r="I50" s="13">
        <f t="shared" si="0"/>
        <v>2899436.2077458724</v>
      </c>
    </row>
    <row r="51" spans="1:9" ht="15.75" x14ac:dyDescent="0.25">
      <c r="A51" s="8"/>
      <c r="B51" s="8"/>
      <c r="C51" s="9"/>
      <c r="D51" s="12" t="s">
        <v>47</v>
      </c>
      <c r="E51" s="16">
        <v>843286.16999999993</v>
      </c>
      <c r="F51" s="16">
        <v>3151320.0093961884</v>
      </c>
      <c r="G51" s="16">
        <v>1717219.5100000002</v>
      </c>
      <c r="H51" s="16">
        <v>0</v>
      </c>
      <c r="I51" s="13">
        <f t="shared" si="0"/>
        <v>5711825.6893961886</v>
      </c>
    </row>
    <row r="52" spans="1:9" ht="15.75" x14ac:dyDescent="0.25">
      <c r="A52" s="8"/>
      <c r="B52" s="8"/>
      <c r="C52" s="9"/>
      <c r="D52" s="12" t="s">
        <v>48</v>
      </c>
      <c r="E52" s="16">
        <v>399709.89000000007</v>
      </c>
      <c r="F52" s="16">
        <v>3175960.963934035</v>
      </c>
      <c r="G52" s="16">
        <v>426454.55000000005</v>
      </c>
      <c r="H52" s="16">
        <v>0</v>
      </c>
      <c r="I52" s="13">
        <f t="shared" si="0"/>
        <v>4002125.4039340355</v>
      </c>
    </row>
    <row r="53" spans="1:9" ht="15.75" x14ac:dyDescent="0.25">
      <c r="A53" s="8"/>
      <c r="B53" s="8"/>
      <c r="C53" s="9"/>
      <c r="D53" s="12" t="s">
        <v>49</v>
      </c>
      <c r="E53" s="16">
        <v>871976.16</v>
      </c>
      <c r="F53" s="16">
        <v>2176641.2194271181</v>
      </c>
      <c r="G53" s="16">
        <v>2230943.75</v>
      </c>
      <c r="H53" s="16">
        <v>0</v>
      </c>
      <c r="I53" s="13">
        <f t="shared" si="0"/>
        <v>5279561.1294271182</v>
      </c>
    </row>
    <row r="54" spans="1:9" ht="15.75" x14ac:dyDescent="0.25">
      <c r="A54" s="8"/>
      <c r="B54" s="8"/>
      <c r="C54" s="9"/>
      <c r="D54" s="12" t="s">
        <v>50</v>
      </c>
      <c r="E54" s="16">
        <v>1558012.0500000003</v>
      </c>
      <c r="F54" s="16">
        <v>1998674.8418897844</v>
      </c>
      <c r="G54" s="16">
        <v>1309709.1699999997</v>
      </c>
      <c r="H54" s="16">
        <v>0</v>
      </c>
      <c r="I54" s="13">
        <f t="shared" si="0"/>
        <v>4866396.0618897844</v>
      </c>
    </row>
    <row r="55" spans="1:9" ht="15.75" x14ac:dyDescent="0.25">
      <c r="A55" s="8"/>
      <c r="B55" s="8"/>
      <c r="C55" s="9"/>
      <c r="D55" s="12" t="s">
        <v>51</v>
      </c>
      <c r="E55" s="16">
        <v>234193.55000000002</v>
      </c>
      <c r="F55" s="16">
        <v>4093191.3304827297</v>
      </c>
      <c r="G55" s="16">
        <v>151798.90999999997</v>
      </c>
      <c r="H55" s="16">
        <v>0</v>
      </c>
      <c r="I55" s="13">
        <f t="shared" si="0"/>
        <v>4479183.7904827297</v>
      </c>
    </row>
    <row r="56" spans="1:9" ht="15.75" x14ac:dyDescent="0.25">
      <c r="A56" s="8"/>
      <c r="B56" s="8"/>
      <c r="C56" s="9"/>
      <c r="D56" s="12" t="s">
        <v>52</v>
      </c>
      <c r="E56" s="16">
        <v>777312.83999999985</v>
      </c>
      <c r="F56" s="16">
        <v>4555889.7709294176</v>
      </c>
      <c r="G56" s="16">
        <v>721452.00999999989</v>
      </c>
      <c r="H56" s="16">
        <v>0</v>
      </c>
      <c r="I56" s="13">
        <f t="shared" si="0"/>
        <v>6054654.6209294172</v>
      </c>
    </row>
    <row r="57" spans="1:9" ht="15.75" x14ac:dyDescent="0.25">
      <c r="A57" s="8"/>
      <c r="B57" s="8"/>
      <c r="C57" s="9"/>
      <c r="D57" s="12" t="s">
        <v>53</v>
      </c>
      <c r="E57" s="16">
        <v>272297.61</v>
      </c>
      <c r="F57" s="16">
        <v>1505855.7511328447</v>
      </c>
      <c r="G57" s="16">
        <v>751350.99000000011</v>
      </c>
      <c r="H57" s="16">
        <v>0</v>
      </c>
      <c r="I57" s="13">
        <f t="shared" si="0"/>
        <v>2529504.351132845</v>
      </c>
    </row>
    <row r="58" spans="1:9" ht="15.75" x14ac:dyDescent="0.25">
      <c r="A58" s="8"/>
      <c r="B58" s="8"/>
      <c r="C58" s="9"/>
      <c r="D58" s="12" t="s">
        <v>54</v>
      </c>
      <c r="E58" s="16">
        <v>716073.43</v>
      </c>
      <c r="F58" s="16">
        <v>1620858.6566014476</v>
      </c>
      <c r="G58" s="16">
        <v>53486.420000000013</v>
      </c>
      <c r="H58" s="16">
        <v>0</v>
      </c>
      <c r="I58" s="13">
        <f t="shared" si="0"/>
        <v>2390418.5066014477</v>
      </c>
    </row>
    <row r="59" spans="1:9" ht="15.75" x14ac:dyDescent="0.25">
      <c r="A59" s="8"/>
      <c r="B59" s="8"/>
      <c r="C59" s="9"/>
      <c r="D59" s="12" t="s">
        <v>55</v>
      </c>
      <c r="E59" s="16">
        <v>1071321.2300000002</v>
      </c>
      <c r="F59" s="16">
        <v>2737903.4780251943</v>
      </c>
      <c r="G59" s="16">
        <v>1153219.8999999999</v>
      </c>
      <c r="H59" s="16">
        <v>0</v>
      </c>
      <c r="I59" s="13">
        <f t="shared" si="0"/>
        <v>4962444.6080251951</v>
      </c>
    </row>
    <row r="60" spans="1:9" ht="15.75" x14ac:dyDescent="0.25">
      <c r="A60" s="8"/>
      <c r="B60" s="8"/>
      <c r="C60" s="9"/>
      <c r="D60" s="12" t="s">
        <v>56</v>
      </c>
      <c r="E60" s="16">
        <v>474952.72</v>
      </c>
      <c r="F60" s="16">
        <v>1656423.6498081537</v>
      </c>
      <c r="G60" s="16">
        <v>423221.20999999996</v>
      </c>
      <c r="H60" s="16">
        <v>0</v>
      </c>
      <c r="I60" s="13">
        <f t="shared" si="0"/>
        <v>2554597.5798081537</v>
      </c>
    </row>
    <row r="61" spans="1:9" ht="15.75" x14ac:dyDescent="0.25">
      <c r="A61" s="8"/>
      <c r="B61" s="8"/>
      <c r="C61" s="9"/>
      <c r="D61" s="12" t="s">
        <v>57</v>
      </c>
      <c r="E61" s="16">
        <v>2499474.0399999996</v>
      </c>
      <c r="F61" s="16">
        <v>2778983.5198802566</v>
      </c>
      <c r="G61" s="16">
        <v>2642475.34</v>
      </c>
      <c r="H61" s="16">
        <v>0</v>
      </c>
      <c r="I61" s="13">
        <f t="shared" si="0"/>
        <v>7920932.8998802565</v>
      </c>
    </row>
    <row r="62" spans="1:9" ht="15.75" x14ac:dyDescent="0.25">
      <c r="A62" s="8"/>
      <c r="B62" s="8"/>
      <c r="C62" s="9"/>
      <c r="D62" s="12" t="s">
        <v>58</v>
      </c>
      <c r="E62" s="16">
        <v>1213936.83</v>
      </c>
      <c r="F62" s="16">
        <v>3100694.6910343566</v>
      </c>
      <c r="G62" s="16">
        <v>51249691.559999995</v>
      </c>
      <c r="H62" s="16">
        <v>0</v>
      </c>
      <c r="I62" s="13">
        <f t="shared" si="0"/>
        <v>55564323.081034347</v>
      </c>
    </row>
    <row r="63" spans="1:9" ht="15.75" x14ac:dyDescent="0.25">
      <c r="A63" s="8"/>
      <c r="B63" s="8"/>
      <c r="C63" s="9"/>
      <c r="D63" s="12" t="s">
        <v>59</v>
      </c>
      <c r="E63" s="16">
        <v>232698.74</v>
      </c>
      <c r="F63" s="16">
        <v>342251.19208163087</v>
      </c>
      <c r="G63" s="16">
        <v>3430957.4999999995</v>
      </c>
      <c r="H63" s="16">
        <v>0</v>
      </c>
      <c r="I63" s="13">
        <f t="shared" si="0"/>
        <v>4005907.4320816305</v>
      </c>
    </row>
    <row r="64" spans="1:9" ht="15.75" x14ac:dyDescent="0.25">
      <c r="A64" s="8"/>
      <c r="B64" s="8"/>
      <c r="C64" s="9"/>
      <c r="D64" s="12" t="s">
        <v>60</v>
      </c>
      <c r="E64" s="16">
        <v>0</v>
      </c>
      <c r="F64" s="16">
        <v>0</v>
      </c>
      <c r="G64" s="16">
        <v>14849307.870000001</v>
      </c>
      <c r="H64" s="16">
        <v>0</v>
      </c>
      <c r="I64" s="13">
        <f t="shared" si="0"/>
        <v>14849307.870000001</v>
      </c>
    </row>
    <row r="65" spans="1:9" ht="15.75" x14ac:dyDescent="0.25">
      <c r="A65" s="8"/>
      <c r="B65" s="8"/>
      <c r="C65" s="9"/>
      <c r="D65" s="12" t="s">
        <v>61</v>
      </c>
      <c r="E65" s="16">
        <v>1469444.8299999998</v>
      </c>
      <c r="F65" s="16">
        <v>4052111.2886276678</v>
      </c>
      <c r="G65" s="16">
        <v>780172.49</v>
      </c>
      <c r="H65" s="16">
        <v>0</v>
      </c>
      <c r="I65" s="13">
        <f t="shared" si="0"/>
        <v>6301728.6086276677</v>
      </c>
    </row>
    <row r="66" spans="1:9" ht="15.75" x14ac:dyDescent="0.25">
      <c r="A66" s="8"/>
      <c r="B66" s="8"/>
      <c r="C66" s="9"/>
      <c r="D66" s="12" t="s">
        <v>62</v>
      </c>
      <c r="E66" s="16">
        <v>4296355.6800000006</v>
      </c>
      <c r="F66" s="16">
        <v>8056319.4303417318</v>
      </c>
      <c r="G66" s="16">
        <v>1972544.9899999998</v>
      </c>
      <c r="H66" s="16">
        <v>0</v>
      </c>
      <c r="I66" s="13">
        <f t="shared" si="0"/>
        <v>14325220.100341732</v>
      </c>
    </row>
    <row r="67" spans="1:9" ht="15.75" x14ac:dyDescent="0.25">
      <c r="A67" s="8"/>
      <c r="B67" s="8"/>
      <c r="C67" s="9"/>
      <c r="D67" s="12" t="s">
        <v>63</v>
      </c>
      <c r="E67" s="16">
        <v>1018257.5399999999</v>
      </c>
      <c r="F67" s="16">
        <v>3723577.0124150254</v>
      </c>
      <c r="G67" s="16">
        <v>1330124.77</v>
      </c>
      <c r="H67" s="16">
        <v>0</v>
      </c>
      <c r="I67" s="13">
        <f t="shared" si="0"/>
        <v>6071959.3224150259</v>
      </c>
    </row>
    <row r="68" spans="1:9" ht="15.75" x14ac:dyDescent="0.25">
      <c r="A68" s="8"/>
      <c r="B68" s="8"/>
      <c r="C68" s="9"/>
      <c r="D68" s="12" t="s">
        <v>64</v>
      </c>
      <c r="E68" s="16">
        <v>632305.35</v>
      </c>
      <c r="F68" s="16">
        <v>1574298.9189739805</v>
      </c>
      <c r="G68" s="16">
        <v>397607.18</v>
      </c>
      <c r="H68" s="16">
        <v>0</v>
      </c>
      <c r="I68" s="13">
        <f t="shared" si="0"/>
        <v>2604211.4489739807</v>
      </c>
    </row>
    <row r="69" spans="1:9" ht="15.75" x14ac:dyDescent="0.25">
      <c r="A69" s="8"/>
      <c r="B69" s="8"/>
      <c r="C69" s="9"/>
      <c r="D69" s="12" t="s">
        <v>65</v>
      </c>
      <c r="E69" s="16">
        <v>0</v>
      </c>
      <c r="F69" s="16">
        <v>0</v>
      </c>
      <c r="G69" s="16">
        <v>3883320.4800000004</v>
      </c>
      <c r="H69" s="16">
        <v>0</v>
      </c>
      <c r="I69" s="13">
        <f t="shared" si="0"/>
        <v>3883320.4800000004</v>
      </c>
    </row>
    <row r="70" spans="1:9" ht="15.75" x14ac:dyDescent="0.25">
      <c r="A70" s="8"/>
      <c r="B70" s="8"/>
      <c r="C70" s="9"/>
      <c r="D70" s="12" t="s">
        <v>66</v>
      </c>
      <c r="E70" s="16">
        <v>0</v>
      </c>
      <c r="F70" s="16">
        <v>0</v>
      </c>
      <c r="G70" s="16">
        <v>4808914.3399999989</v>
      </c>
      <c r="H70" s="16">
        <v>0</v>
      </c>
      <c r="I70" s="13">
        <f t="shared" si="0"/>
        <v>4808914.3399999989</v>
      </c>
    </row>
    <row r="71" spans="1:9" ht="15.75" x14ac:dyDescent="0.25">
      <c r="A71" s="8"/>
      <c r="B71" s="8"/>
      <c r="C71" s="9"/>
      <c r="D71" s="12" t="s">
        <v>67</v>
      </c>
      <c r="E71" s="16">
        <v>11140.83</v>
      </c>
      <c r="F71" s="16">
        <v>41080.041855061994</v>
      </c>
      <c r="G71" s="16">
        <v>5102063.3099999996</v>
      </c>
      <c r="H71" s="16">
        <v>0</v>
      </c>
      <c r="I71" s="13">
        <f t="shared" si="0"/>
        <v>5154284.181855062</v>
      </c>
    </row>
    <row r="72" spans="1:9" ht="15.75" x14ac:dyDescent="0.25">
      <c r="A72" s="8"/>
      <c r="B72" s="8"/>
      <c r="C72" s="9"/>
      <c r="D72" s="12" t="s">
        <v>68</v>
      </c>
      <c r="E72" s="16">
        <v>1302578.5799999998</v>
      </c>
      <c r="F72" s="16">
        <v>2557214.9290396334</v>
      </c>
      <c r="G72" s="16">
        <v>7936511.7600000007</v>
      </c>
      <c r="H72" s="16">
        <v>0</v>
      </c>
      <c r="I72" s="13">
        <f t="shared" si="0"/>
        <v>11796305.269039635</v>
      </c>
    </row>
    <row r="73" spans="1:9" ht="15.75" x14ac:dyDescent="0.25">
      <c r="A73" s="8"/>
      <c r="B73" s="8"/>
      <c r="C73" s="9"/>
      <c r="D73" s="12" t="s">
        <v>69</v>
      </c>
      <c r="E73" s="16">
        <v>100539.61</v>
      </c>
      <c r="F73" s="16">
        <v>0</v>
      </c>
      <c r="G73" s="16">
        <v>4285701</v>
      </c>
      <c r="H73" s="16">
        <v>0</v>
      </c>
      <c r="I73" s="13">
        <f t="shared" si="0"/>
        <v>4386240.6100000003</v>
      </c>
    </row>
    <row r="74" spans="1:9" ht="15.75" x14ac:dyDescent="0.25">
      <c r="A74" s="8"/>
      <c r="B74" s="8"/>
      <c r="C74" s="9"/>
      <c r="D74" s="12" t="s">
        <v>70</v>
      </c>
      <c r="E74" s="16">
        <v>622659.76</v>
      </c>
      <c r="F74" s="16">
        <v>216288.89506821794</v>
      </c>
      <c r="G74" s="16">
        <v>26590777.769999996</v>
      </c>
      <c r="H74" s="16">
        <v>0</v>
      </c>
      <c r="I74" s="13">
        <f t="shared" ref="I74:I137" si="1">SUM(E74:H74)</f>
        <v>27429726.425068215</v>
      </c>
    </row>
    <row r="75" spans="1:9" ht="15.75" x14ac:dyDescent="0.25">
      <c r="A75" s="8"/>
      <c r="B75" s="8"/>
      <c r="C75" s="9"/>
      <c r="D75" s="12" t="s">
        <v>71</v>
      </c>
      <c r="E75" s="16">
        <v>1483437.39</v>
      </c>
      <c r="F75" s="16">
        <v>840549.97861097567</v>
      </c>
      <c r="G75" s="16">
        <v>53200878.189999998</v>
      </c>
      <c r="H75" s="16">
        <v>0</v>
      </c>
      <c r="I75" s="13">
        <f t="shared" si="1"/>
        <v>55524865.558610976</v>
      </c>
    </row>
    <row r="76" spans="1:9" ht="15.75" x14ac:dyDescent="0.25">
      <c r="A76" s="8"/>
      <c r="B76" s="8"/>
      <c r="C76" s="9"/>
      <c r="D76" s="12" t="s">
        <v>72</v>
      </c>
      <c r="E76" s="16">
        <v>0</v>
      </c>
      <c r="F76" s="16">
        <v>0</v>
      </c>
      <c r="G76" s="16">
        <v>13790709.350000001</v>
      </c>
      <c r="H76" s="16">
        <v>0</v>
      </c>
      <c r="I76" s="13">
        <f t="shared" si="1"/>
        <v>13790709.350000001</v>
      </c>
    </row>
    <row r="77" spans="1:9" ht="15.75" x14ac:dyDescent="0.25">
      <c r="A77" s="8"/>
      <c r="B77" s="8"/>
      <c r="C77" s="9"/>
      <c r="D77" s="12" t="s">
        <v>73</v>
      </c>
      <c r="E77" s="16">
        <v>307671.48000000004</v>
      </c>
      <c r="F77" s="16">
        <v>4168457.6033824086</v>
      </c>
      <c r="G77" s="16">
        <v>914317.72</v>
      </c>
      <c r="H77" s="16">
        <v>0</v>
      </c>
      <c r="I77" s="13">
        <f t="shared" si="1"/>
        <v>5390446.8033824088</v>
      </c>
    </row>
    <row r="78" spans="1:9" ht="15.75" x14ac:dyDescent="0.25">
      <c r="A78" s="8"/>
      <c r="B78" s="8"/>
      <c r="C78" s="9"/>
      <c r="D78" s="12" t="s">
        <v>74</v>
      </c>
      <c r="E78" s="16">
        <v>1016221.73</v>
      </c>
      <c r="F78" s="16">
        <v>4230077.6661650026</v>
      </c>
      <c r="G78" s="16">
        <v>1083514.04</v>
      </c>
      <c r="H78" s="16">
        <v>0</v>
      </c>
      <c r="I78" s="13">
        <f t="shared" si="1"/>
        <v>6329813.4361650022</v>
      </c>
    </row>
    <row r="79" spans="1:9" ht="15.75" x14ac:dyDescent="0.25">
      <c r="A79" s="8"/>
      <c r="B79" s="8"/>
      <c r="C79" s="9"/>
      <c r="D79" s="12" t="s">
        <v>75</v>
      </c>
      <c r="E79" s="16">
        <v>1435407.9699999995</v>
      </c>
      <c r="F79" s="16">
        <v>2375147.6178919836</v>
      </c>
      <c r="G79" s="16">
        <v>1400241.42</v>
      </c>
      <c r="H79" s="16">
        <v>0</v>
      </c>
      <c r="I79" s="13">
        <f t="shared" si="1"/>
        <v>5210797.0078919828</v>
      </c>
    </row>
    <row r="80" spans="1:9" ht="15.75" x14ac:dyDescent="0.25">
      <c r="A80" s="8"/>
      <c r="B80" s="8"/>
      <c r="C80" s="9"/>
      <c r="D80" s="12" t="s">
        <v>76</v>
      </c>
      <c r="E80" s="16">
        <v>634771.06999999995</v>
      </c>
      <c r="F80" s="16">
        <v>1255345.2721440587</v>
      </c>
      <c r="G80" s="16">
        <v>171523.16</v>
      </c>
      <c r="H80" s="16">
        <v>0</v>
      </c>
      <c r="I80" s="13">
        <f t="shared" si="1"/>
        <v>2061639.5021440585</v>
      </c>
    </row>
    <row r="81" spans="1:9" ht="15.75" x14ac:dyDescent="0.25">
      <c r="A81" s="8"/>
      <c r="B81" s="8"/>
      <c r="C81" s="9"/>
      <c r="D81" s="12" t="s">
        <v>77</v>
      </c>
      <c r="E81" s="16">
        <v>2958901.1600000006</v>
      </c>
      <c r="F81" s="16">
        <v>7574424.3782536509</v>
      </c>
      <c r="G81" s="16">
        <v>2805547.8899999997</v>
      </c>
      <c r="H81" s="16">
        <v>0</v>
      </c>
      <c r="I81" s="13">
        <f t="shared" si="1"/>
        <v>13338873.428253651</v>
      </c>
    </row>
    <row r="82" spans="1:9" ht="15.75" x14ac:dyDescent="0.25">
      <c r="A82" s="8"/>
      <c r="B82" s="8"/>
      <c r="C82" s="9"/>
      <c r="D82" s="12" t="s">
        <v>78</v>
      </c>
      <c r="E82" s="16">
        <v>2244629.59</v>
      </c>
      <c r="F82" s="16">
        <v>5249937.4315994494</v>
      </c>
      <c r="G82" s="16">
        <v>1619979.1799999997</v>
      </c>
      <c r="H82" s="16">
        <v>0</v>
      </c>
      <c r="I82" s="13">
        <f t="shared" si="1"/>
        <v>9114546.2015994489</v>
      </c>
    </row>
    <row r="83" spans="1:9" ht="15.75" x14ac:dyDescent="0.25">
      <c r="A83" s="8"/>
      <c r="B83" s="8"/>
      <c r="C83" s="9"/>
      <c r="D83" s="12" t="s">
        <v>79</v>
      </c>
      <c r="E83" s="16">
        <v>1064723.95</v>
      </c>
      <c r="F83" s="16">
        <v>2156101.1984995874</v>
      </c>
      <c r="G83" s="16">
        <v>2250076.63</v>
      </c>
      <c r="H83" s="16">
        <v>0</v>
      </c>
      <c r="I83" s="13">
        <f t="shared" si="1"/>
        <v>5470901.7784995874</v>
      </c>
    </row>
    <row r="84" spans="1:9" ht="15.75" x14ac:dyDescent="0.25">
      <c r="A84" s="8"/>
      <c r="B84" s="8"/>
      <c r="C84" s="9"/>
      <c r="D84" s="12" t="s">
        <v>80</v>
      </c>
      <c r="E84" s="16">
        <v>0</v>
      </c>
      <c r="F84" s="16">
        <v>0</v>
      </c>
      <c r="G84" s="16">
        <v>24390095.339999996</v>
      </c>
      <c r="H84" s="16">
        <v>0</v>
      </c>
      <c r="I84" s="13">
        <f t="shared" si="1"/>
        <v>24390095.339999996</v>
      </c>
    </row>
    <row r="85" spans="1:9" ht="15.75" x14ac:dyDescent="0.25">
      <c r="A85" s="8"/>
      <c r="B85" s="8"/>
      <c r="C85" s="9"/>
      <c r="D85" s="12" t="s">
        <v>81</v>
      </c>
      <c r="E85" s="16">
        <v>1553620.0199999998</v>
      </c>
      <c r="F85" s="16">
        <v>670785.46829427383</v>
      </c>
      <c r="G85" s="16">
        <v>9632070.3800000008</v>
      </c>
      <c r="H85" s="16">
        <v>0</v>
      </c>
      <c r="I85" s="13">
        <f t="shared" si="1"/>
        <v>11856475.868294274</v>
      </c>
    </row>
    <row r="86" spans="1:9" ht="15.75" x14ac:dyDescent="0.25">
      <c r="A86" s="8"/>
      <c r="B86" s="8"/>
      <c r="C86" s="9"/>
      <c r="D86" s="12" t="s">
        <v>82</v>
      </c>
      <c r="E86" s="16">
        <v>588485.37999999989</v>
      </c>
      <c r="F86" s="16">
        <v>2785841.9778147503</v>
      </c>
      <c r="G86" s="16">
        <v>806096.86999999988</v>
      </c>
      <c r="H86" s="16">
        <v>0</v>
      </c>
      <c r="I86" s="13">
        <f t="shared" si="1"/>
        <v>4180424.2278147498</v>
      </c>
    </row>
    <row r="87" spans="1:9" ht="15.75" x14ac:dyDescent="0.25">
      <c r="A87" s="8"/>
      <c r="B87" s="8"/>
      <c r="C87" s="9"/>
      <c r="D87" s="12" t="s">
        <v>83</v>
      </c>
      <c r="E87" s="16">
        <v>243540.14999999997</v>
      </c>
      <c r="F87" s="16">
        <v>3668815.4075669264</v>
      </c>
      <c r="G87" s="16">
        <v>510577</v>
      </c>
      <c r="H87" s="16">
        <v>0</v>
      </c>
      <c r="I87" s="13">
        <f t="shared" si="1"/>
        <v>4422932.5575669259</v>
      </c>
    </row>
    <row r="88" spans="1:9" ht="15.75" x14ac:dyDescent="0.25">
      <c r="A88" s="8"/>
      <c r="B88" s="8"/>
      <c r="C88" s="9"/>
      <c r="D88" s="12" t="s">
        <v>84</v>
      </c>
      <c r="E88" s="16">
        <v>679991.21</v>
      </c>
      <c r="F88" s="16">
        <v>0</v>
      </c>
      <c r="G88" s="16">
        <v>18624831.829999998</v>
      </c>
      <c r="H88" s="16">
        <v>0</v>
      </c>
      <c r="I88" s="13">
        <f t="shared" si="1"/>
        <v>19304823.039999999</v>
      </c>
    </row>
    <row r="89" spans="1:9" ht="15.75" x14ac:dyDescent="0.25">
      <c r="A89" s="8"/>
      <c r="B89" s="8"/>
      <c r="C89" s="9"/>
      <c r="D89" s="12" t="s">
        <v>85</v>
      </c>
      <c r="E89" s="16">
        <v>722759.54999999993</v>
      </c>
      <c r="F89" s="16">
        <v>3597614.7154016122</v>
      </c>
      <c r="G89" s="16">
        <v>640465.32000000007</v>
      </c>
      <c r="H89" s="16">
        <v>0</v>
      </c>
      <c r="I89" s="13">
        <f t="shared" si="1"/>
        <v>4960839.5854016123</v>
      </c>
    </row>
    <row r="90" spans="1:9" ht="15.75" x14ac:dyDescent="0.25">
      <c r="A90" s="8"/>
      <c r="B90" s="8"/>
      <c r="C90" s="9"/>
      <c r="D90" s="12" t="s">
        <v>86</v>
      </c>
      <c r="E90" s="16">
        <v>288542.55</v>
      </c>
      <c r="F90" s="16">
        <v>930876.57666578074</v>
      </c>
      <c r="G90" s="16">
        <v>1368829.8700000003</v>
      </c>
      <c r="H90" s="16">
        <v>0</v>
      </c>
      <c r="I90" s="13">
        <f t="shared" si="1"/>
        <v>2588248.9966657814</v>
      </c>
    </row>
    <row r="91" spans="1:9" ht="15.75" x14ac:dyDescent="0.25">
      <c r="A91" s="8"/>
      <c r="B91" s="8"/>
      <c r="C91" s="9"/>
      <c r="D91" s="12" t="s">
        <v>87</v>
      </c>
      <c r="E91" s="16">
        <v>649510.85000000021</v>
      </c>
      <c r="F91" s="16">
        <v>2123258.376741108</v>
      </c>
      <c r="G91" s="16">
        <v>3078298.3000000003</v>
      </c>
      <c r="H91" s="16">
        <v>0</v>
      </c>
      <c r="I91" s="13">
        <f t="shared" si="1"/>
        <v>5851067.5267411079</v>
      </c>
    </row>
    <row r="92" spans="1:9" ht="15.75" x14ac:dyDescent="0.25">
      <c r="A92" s="8"/>
      <c r="B92" s="8"/>
      <c r="C92" s="9"/>
      <c r="D92" s="12" t="s">
        <v>88</v>
      </c>
      <c r="E92" s="16">
        <v>145084.14000000001</v>
      </c>
      <c r="F92" s="16">
        <v>292969.28300593694</v>
      </c>
      <c r="G92" s="16">
        <v>8269461.7300000014</v>
      </c>
      <c r="H92" s="16">
        <v>0</v>
      </c>
      <c r="I92" s="13">
        <f t="shared" si="1"/>
        <v>8707515.153005939</v>
      </c>
    </row>
    <row r="93" spans="1:9" ht="15.75" x14ac:dyDescent="0.25">
      <c r="A93" s="8"/>
      <c r="B93" s="8"/>
      <c r="C93" s="9"/>
      <c r="D93" s="12" t="s">
        <v>89</v>
      </c>
      <c r="E93" s="16">
        <v>728020.35</v>
      </c>
      <c r="F93" s="16">
        <v>2373768.8557298942</v>
      </c>
      <c r="G93" s="16">
        <v>1036181.9299999998</v>
      </c>
      <c r="H93" s="16">
        <v>0</v>
      </c>
      <c r="I93" s="13">
        <f t="shared" si="1"/>
        <v>4137971.135729894</v>
      </c>
    </row>
    <row r="94" spans="1:9" ht="15.75" x14ac:dyDescent="0.25">
      <c r="A94" s="8"/>
      <c r="B94" s="8"/>
      <c r="C94" s="9"/>
      <c r="D94" s="12" t="s">
        <v>90</v>
      </c>
      <c r="E94" s="16">
        <v>25594.26</v>
      </c>
      <c r="F94" s="16">
        <v>0</v>
      </c>
      <c r="G94" s="16">
        <v>332545.70000000007</v>
      </c>
      <c r="H94" s="16">
        <v>0</v>
      </c>
      <c r="I94" s="13">
        <f t="shared" si="1"/>
        <v>358139.96000000008</v>
      </c>
    </row>
    <row r="95" spans="1:9" ht="15.75" x14ac:dyDescent="0.25">
      <c r="A95" s="8"/>
      <c r="B95" s="8"/>
      <c r="C95" s="9"/>
      <c r="D95" s="12" t="s">
        <v>91</v>
      </c>
      <c r="E95" s="16">
        <v>145599.44</v>
      </c>
      <c r="F95" s="16">
        <v>75301.625775629975</v>
      </c>
      <c r="G95" s="16">
        <v>7947136.9799999977</v>
      </c>
      <c r="H95" s="16">
        <v>0</v>
      </c>
      <c r="I95" s="13">
        <f t="shared" si="1"/>
        <v>8168038.0457756277</v>
      </c>
    </row>
    <row r="96" spans="1:9" ht="15.75" x14ac:dyDescent="0.25">
      <c r="A96" s="8"/>
      <c r="B96" s="8"/>
      <c r="C96" s="9"/>
      <c r="D96" s="12" t="s">
        <v>92</v>
      </c>
      <c r="E96" s="16">
        <v>0</v>
      </c>
      <c r="F96" s="16">
        <v>0</v>
      </c>
      <c r="G96" s="16">
        <v>17030686.91</v>
      </c>
      <c r="H96" s="16">
        <v>0</v>
      </c>
      <c r="I96" s="13">
        <f t="shared" si="1"/>
        <v>17030686.91</v>
      </c>
    </row>
    <row r="97" spans="1:9" ht="15.75" x14ac:dyDescent="0.25">
      <c r="A97" s="8"/>
      <c r="B97" s="8"/>
      <c r="C97" s="9"/>
      <c r="D97" s="12" t="s">
        <v>93</v>
      </c>
      <c r="E97" s="16">
        <v>430630.83999999997</v>
      </c>
      <c r="F97" s="16">
        <v>3381325.8203333942</v>
      </c>
      <c r="G97" s="16">
        <v>773830.90999999992</v>
      </c>
      <c r="H97" s="16">
        <v>0</v>
      </c>
      <c r="I97" s="13">
        <f t="shared" si="1"/>
        <v>4585787.5703333942</v>
      </c>
    </row>
    <row r="98" spans="1:9" ht="15.75" x14ac:dyDescent="0.25">
      <c r="A98" s="8"/>
      <c r="B98" s="8"/>
      <c r="C98" s="9"/>
      <c r="D98" s="12" t="s">
        <v>94</v>
      </c>
      <c r="E98" s="16">
        <v>1966373.8499999999</v>
      </c>
      <c r="F98" s="16">
        <v>4447745.3233953081</v>
      </c>
      <c r="G98" s="16">
        <v>7558875.9199999999</v>
      </c>
      <c r="H98" s="16">
        <v>0</v>
      </c>
      <c r="I98" s="13">
        <f t="shared" si="1"/>
        <v>13972995.093395308</v>
      </c>
    </row>
    <row r="99" spans="1:9" ht="15.75" x14ac:dyDescent="0.25">
      <c r="A99" s="8"/>
      <c r="B99" s="8"/>
      <c r="C99" s="9"/>
      <c r="D99" s="12" t="s">
        <v>95</v>
      </c>
      <c r="E99" s="16">
        <v>2280792.7500000005</v>
      </c>
      <c r="F99" s="16">
        <v>8475215.6574851312</v>
      </c>
      <c r="G99" s="16">
        <v>3055592.9000000004</v>
      </c>
      <c r="H99" s="16">
        <v>0</v>
      </c>
      <c r="I99" s="13">
        <f t="shared" si="1"/>
        <v>13811601.307485132</v>
      </c>
    </row>
    <row r="100" spans="1:9" ht="15.75" x14ac:dyDescent="0.25">
      <c r="A100" s="8"/>
      <c r="B100" s="8"/>
      <c r="C100" s="9"/>
      <c r="D100" s="12" t="s">
        <v>96</v>
      </c>
      <c r="E100" s="16">
        <v>5660339.7699999996</v>
      </c>
      <c r="F100" s="16">
        <v>8479316.5910954457</v>
      </c>
      <c r="G100" s="16">
        <v>6418241.8500000006</v>
      </c>
      <c r="H100" s="16">
        <v>0</v>
      </c>
      <c r="I100" s="13">
        <f t="shared" si="1"/>
        <v>20557898.211095445</v>
      </c>
    </row>
    <row r="101" spans="1:9" ht="15.75" x14ac:dyDescent="0.25">
      <c r="A101" s="8"/>
      <c r="B101" s="8"/>
      <c r="C101" s="9"/>
      <c r="D101" s="12" t="s">
        <v>97</v>
      </c>
      <c r="E101" s="16">
        <v>60623.520000000004</v>
      </c>
      <c r="F101" s="16">
        <v>11378676.653588858</v>
      </c>
      <c r="G101" s="16">
        <v>112579.77000000002</v>
      </c>
      <c r="H101" s="16">
        <v>0</v>
      </c>
      <c r="I101" s="13">
        <f t="shared" si="1"/>
        <v>11551879.943588857</v>
      </c>
    </row>
    <row r="102" spans="1:9" ht="15.75" x14ac:dyDescent="0.25">
      <c r="A102" s="8"/>
      <c r="B102" s="8"/>
      <c r="C102" s="9"/>
      <c r="D102" s="12" t="s">
        <v>98</v>
      </c>
      <c r="E102" s="16">
        <v>1613128.94</v>
      </c>
      <c r="F102" s="16">
        <v>4892661.267238644</v>
      </c>
      <c r="G102" s="16">
        <v>2369889.44</v>
      </c>
      <c r="H102" s="16">
        <v>0</v>
      </c>
      <c r="I102" s="13">
        <f t="shared" si="1"/>
        <v>8875679.6472386438</v>
      </c>
    </row>
    <row r="103" spans="1:9" ht="15.75" x14ac:dyDescent="0.25">
      <c r="A103" s="8"/>
      <c r="B103" s="8"/>
      <c r="C103" s="9"/>
      <c r="D103" s="12" t="s">
        <v>99</v>
      </c>
      <c r="E103" s="16">
        <v>1384826.1999999997</v>
      </c>
      <c r="F103" s="16">
        <v>1553758.8980464495</v>
      </c>
      <c r="G103" s="16">
        <v>524236.1</v>
      </c>
      <c r="H103" s="16">
        <v>0</v>
      </c>
      <c r="I103" s="13">
        <f t="shared" si="1"/>
        <v>3462821.1980464491</v>
      </c>
    </row>
    <row r="104" spans="1:9" ht="15.75" x14ac:dyDescent="0.25">
      <c r="A104" s="8"/>
      <c r="B104" s="8"/>
      <c r="C104" s="9"/>
      <c r="D104" s="12" t="s">
        <v>100</v>
      </c>
      <c r="E104" s="16">
        <v>3432914.2199999997</v>
      </c>
      <c r="F104" s="16">
        <v>2839224.8205007603</v>
      </c>
      <c r="G104" s="16">
        <v>6617311.0099999998</v>
      </c>
      <c r="H104" s="16">
        <v>0</v>
      </c>
      <c r="I104" s="13">
        <f t="shared" si="1"/>
        <v>12889450.05050076</v>
      </c>
    </row>
    <row r="105" spans="1:9" ht="15.75" x14ac:dyDescent="0.25">
      <c r="A105" s="8"/>
      <c r="B105" s="8"/>
      <c r="C105" s="9"/>
      <c r="D105" s="12" t="s">
        <v>101</v>
      </c>
      <c r="E105" s="16">
        <v>875104.42999999982</v>
      </c>
      <c r="F105" s="16">
        <v>4216396.1031719651</v>
      </c>
      <c r="G105" s="16">
        <v>31540.739999999994</v>
      </c>
      <c r="H105" s="16">
        <v>0</v>
      </c>
      <c r="I105" s="13">
        <f t="shared" si="1"/>
        <v>5123041.273171965</v>
      </c>
    </row>
    <row r="106" spans="1:9" ht="15.75" x14ac:dyDescent="0.25">
      <c r="A106" s="8"/>
      <c r="B106" s="8"/>
      <c r="C106" s="9"/>
      <c r="D106" s="12" t="s">
        <v>102</v>
      </c>
      <c r="E106" s="16">
        <v>1258440.57</v>
      </c>
      <c r="F106" s="16">
        <v>260091.10837150691</v>
      </c>
      <c r="G106" s="16">
        <v>14233240.790000001</v>
      </c>
      <c r="H106" s="16">
        <v>0</v>
      </c>
      <c r="I106" s="13">
        <f t="shared" si="1"/>
        <v>15751772.468371509</v>
      </c>
    </row>
    <row r="107" spans="1:9" ht="15.75" x14ac:dyDescent="0.25">
      <c r="A107" s="8"/>
      <c r="B107" s="8"/>
      <c r="C107" s="9"/>
      <c r="D107" s="12" t="s">
        <v>103</v>
      </c>
      <c r="E107" s="16">
        <v>17651.71</v>
      </c>
      <c r="F107" s="16">
        <v>0</v>
      </c>
      <c r="G107" s="16">
        <v>2840992.05</v>
      </c>
      <c r="H107" s="16">
        <v>0</v>
      </c>
      <c r="I107" s="13">
        <f t="shared" si="1"/>
        <v>2858643.76</v>
      </c>
    </row>
    <row r="108" spans="1:9" ht="15.75" x14ac:dyDescent="0.25">
      <c r="A108" s="8"/>
      <c r="B108" s="8"/>
      <c r="C108" s="9"/>
      <c r="D108" s="12" t="s">
        <v>104</v>
      </c>
      <c r="E108" s="16">
        <v>95296.459999999992</v>
      </c>
      <c r="F108" s="16">
        <v>0</v>
      </c>
      <c r="G108" s="16">
        <v>1152392.05</v>
      </c>
      <c r="H108" s="16">
        <v>0</v>
      </c>
      <c r="I108" s="13">
        <f t="shared" si="1"/>
        <v>1247688.51</v>
      </c>
    </row>
    <row r="109" spans="1:9" ht="15.75" x14ac:dyDescent="0.25">
      <c r="A109" s="8"/>
      <c r="B109" s="8"/>
      <c r="C109" s="9"/>
      <c r="D109" s="12" t="s">
        <v>105</v>
      </c>
      <c r="E109" s="16">
        <v>230756.5</v>
      </c>
      <c r="F109" s="16">
        <v>6781812.8994322307</v>
      </c>
      <c r="G109" s="16">
        <v>443821.04</v>
      </c>
      <c r="H109" s="16">
        <v>0</v>
      </c>
      <c r="I109" s="13">
        <f t="shared" si="1"/>
        <v>7456390.4394322308</v>
      </c>
    </row>
    <row r="110" spans="1:9" ht="15.75" x14ac:dyDescent="0.25">
      <c r="A110" s="8"/>
      <c r="B110" s="8"/>
      <c r="C110" s="9"/>
      <c r="D110" s="12" t="s">
        <v>106</v>
      </c>
      <c r="E110" s="16">
        <v>409646.8</v>
      </c>
      <c r="F110" s="16">
        <v>1666004.2791908747</v>
      </c>
      <c r="G110" s="16">
        <v>797036.16999999993</v>
      </c>
      <c r="H110" s="16">
        <v>0</v>
      </c>
      <c r="I110" s="13">
        <f t="shared" si="1"/>
        <v>2872687.2491908744</v>
      </c>
    </row>
    <row r="111" spans="1:9" ht="15.75" x14ac:dyDescent="0.25">
      <c r="A111" s="8"/>
      <c r="B111" s="8"/>
      <c r="C111" s="9"/>
      <c r="D111" s="12" t="s">
        <v>107</v>
      </c>
      <c r="E111" s="16">
        <v>42096.46</v>
      </c>
      <c r="F111" s="16">
        <v>26019.716699935994</v>
      </c>
      <c r="G111" s="16">
        <v>17642369.02</v>
      </c>
      <c r="H111" s="16">
        <v>0</v>
      </c>
      <c r="I111" s="13">
        <f t="shared" si="1"/>
        <v>17710485.196699936</v>
      </c>
    </row>
    <row r="112" spans="1:9" ht="15.75" x14ac:dyDescent="0.25">
      <c r="A112" s="8"/>
      <c r="B112" s="8"/>
      <c r="C112" s="9"/>
      <c r="D112" s="12" t="s">
        <v>108</v>
      </c>
      <c r="E112" s="16">
        <v>1209142.4700000002</v>
      </c>
      <c r="F112" s="16">
        <v>1779628.4224973887</v>
      </c>
      <c r="G112" s="16">
        <v>1729265.26</v>
      </c>
      <c r="H112" s="16">
        <v>0</v>
      </c>
      <c r="I112" s="13">
        <f t="shared" si="1"/>
        <v>4718036.1524973884</v>
      </c>
    </row>
    <row r="113" spans="1:9" ht="15.75" x14ac:dyDescent="0.25">
      <c r="A113" s="8"/>
      <c r="B113" s="8"/>
      <c r="C113" s="9"/>
      <c r="D113" s="12" t="s">
        <v>109</v>
      </c>
      <c r="E113" s="16">
        <v>514283.01000000007</v>
      </c>
      <c r="F113" s="16">
        <v>4284839.2710131016</v>
      </c>
      <c r="G113" s="16">
        <v>1762576.53</v>
      </c>
      <c r="H113" s="16">
        <v>0</v>
      </c>
      <c r="I113" s="13">
        <f t="shared" si="1"/>
        <v>6561698.8110131016</v>
      </c>
    </row>
    <row r="114" spans="1:9" ht="15.75" x14ac:dyDescent="0.25">
      <c r="A114" s="8"/>
      <c r="B114" s="8"/>
      <c r="C114" s="9"/>
      <c r="D114" s="12" t="s">
        <v>110</v>
      </c>
      <c r="E114" s="16">
        <v>1222013.6400000001</v>
      </c>
      <c r="F114" s="16">
        <v>4914544.6974523123</v>
      </c>
      <c r="G114" s="16">
        <v>1615527.44</v>
      </c>
      <c r="H114" s="16">
        <v>0</v>
      </c>
      <c r="I114" s="13">
        <f t="shared" si="1"/>
        <v>7752085.7774523124</v>
      </c>
    </row>
    <row r="115" spans="1:9" ht="15.75" x14ac:dyDescent="0.25">
      <c r="A115" s="8"/>
      <c r="B115" s="8"/>
      <c r="C115" s="9"/>
      <c r="D115" s="12" t="s">
        <v>111</v>
      </c>
      <c r="E115" s="16">
        <v>1845160.6400000001</v>
      </c>
      <c r="F115" s="16">
        <v>2429909.2227400825</v>
      </c>
      <c r="G115" s="16">
        <v>2138608.3200000003</v>
      </c>
      <c r="H115" s="16">
        <v>0</v>
      </c>
      <c r="I115" s="13">
        <f t="shared" si="1"/>
        <v>6413678.182740083</v>
      </c>
    </row>
    <row r="116" spans="1:9" ht="15.75" x14ac:dyDescent="0.25">
      <c r="A116" s="8"/>
      <c r="B116" s="8"/>
      <c r="C116" s="9"/>
      <c r="D116" s="12" t="s">
        <v>112</v>
      </c>
      <c r="E116" s="16">
        <v>465117.12000000005</v>
      </c>
      <c r="F116" s="16">
        <v>3155456.2958824551</v>
      </c>
      <c r="G116" s="16">
        <v>201529.45</v>
      </c>
      <c r="H116" s="16">
        <v>0</v>
      </c>
      <c r="I116" s="13">
        <f t="shared" si="1"/>
        <v>3822102.8658824554</v>
      </c>
    </row>
    <row r="117" spans="1:9" ht="15.75" x14ac:dyDescent="0.25">
      <c r="A117" s="8"/>
      <c r="B117" s="8"/>
      <c r="C117" s="9"/>
      <c r="D117" s="12" t="s">
        <v>113</v>
      </c>
      <c r="E117" s="16">
        <v>592084.85</v>
      </c>
      <c r="F117" s="16">
        <v>2436732.3277986255</v>
      </c>
      <c r="G117" s="16">
        <v>1684701.9</v>
      </c>
      <c r="H117" s="16">
        <v>0</v>
      </c>
      <c r="I117" s="13">
        <f t="shared" si="1"/>
        <v>4713519.0777986255</v>
      </c>
    </row>
    <row r="118" spans="1:9" ht="15.75" x14ac:dyDescent="0.25">
      <c r="A118" s="8"/>
      <c r="B118" s="8"/>
      <c r="C118" s="9"/>
      <c r="D118" s="12" t="s">
        <v>114</v>
      </c>
      <c r="E118" s="16">
        <v>758552.24</v>
      </c>
      <c r="F118" s="16">
        <v>3805701.743249198</v>
      </c>
      <c r="G118" s="16">
        <v>1594023.48</v>
      </c>
      <c r="H118" s="16">
        <v>0</v>
      </c>
      <c r="I118" s="13">
        <f t="shared" si="1"/>
        <v>6158277.4632491972</v>
      </c>
    </row>
    <row r="119" spans="1:9" ht="15.75" x14ac:dyDescent="0.25">
      <c r="A119" s="8"/>
      <c r="B119" s="8"/>
      <c r="C119" s="9"/>
      <c r="D119" s="12" t="s">
        <v>115</v>
      </c>
      <c r="E119" s="16">
        <v>186614.37000000005</v>
      </c>
      <c r="F119" s="16">
        <v>369614.31806770491</v>
      </c>
      <c r="G119" s="16">
        <v>970252.87</v>
      </c>
      <c r="H119" s="16">
        <v>0</v>
      </c>
      <c r="I119" s="13">
        <f t="shared" si="1"/>
        <v>1526481.558067705</v>
      </c>
    </row>
    <row r="120" spans="1:9" ht="15.75" x14ac:dyDescent="0.25">
      <c r="A120" s="8"/>
      <c r="B120" s="8"/>
      <c r="C120" s="9"/>
      <c r="D120" s="12" t="s">
        <v>116</v>
      </c>
      <c r="E120" s="16">
        <v>1730770.55</v>
      </c>
      <c r="F120" s="16">
        <v>1615378.9608290426</v>
      </c>
      <c r="G120" s="16">
        <v>2481220.29</v>
      </c>
      <c r="H120" s="16">
        <v>0</v>
      </c>
      <c r="I120" s="13">
        <f t="shared" si="1"/>
        <v>5827369.8008290427</v>
      </c>
    </row>
    <row r="121" spans="1:9" ht="15.75" x14ac:dyDescent="0.25">
      <c r="A121" s="8"/>
      <c r="B121" s="8"/>
      <c r="C121" s="9"/>
      <c r="D121" s="12" t="s">
        <v>117</v>
      </c>
      <c r="E121" s="16">
        <v>1015834.1199999999</v>
      </c>
      <c r="F121" s="16">
        <v>2397031.0481056524</v>
      </c>
      <c r="G121" s="16">
        <v>1157632.2</v>
      </c>
      <c r="H121" s="16">
        <v>0</v>
      </c>
      <c r="I121" s="13">
        <f t="shared" si="1"/>
        <v>4570497.3681056527</v>
      </c>
    </row>
    <row r="122" spans="1:9" ht="15.75" x14ac:dyDescent="0.25">
      <c r="A122" s="8"/>
      <c r="B122" s="8"/>
      <c r="C122" s="9"/>
      <c r="D122" s="12" t="s">
        <v>118</v>
      </c>
      <c r="E122" s="16">
        <v>571519.28</v>
      </c>
      <c r="F122" s="16">
        <v>1767325.6216664407</v>
      </c>
      <c r="G122" s="16">
        <v>1439521.0899999999</v>
      </c>
      <c r="H122" s="16">
        <v>0</v>
      </c>
      <c r="I122" s="13">
        <f t="shared" si="1"/>
        <v>3778365.9916664409</v>
      </c>
    </row>
    <row r="123" spans="1:9" ht="15.75" x14ac:dyDescent="0.25">
      <c r="A123" s="8"/>
      <c r="B123" s="8"/>
      <c r="C123" s="9"/>
      <c r="D123" s="12" t="s">
        <v>119</v>
      </c>
      <c r="E123" s="16">
        <v>933139.94</v>
      </c>
      <c r="F123" s="16">
        <v>3247161.6560993493</v>
      </c>
      <c r="G123" s="16">
        <v>505352.67000000004</v>
      </c>
      <c r="H123" s="16">
        <v>0</v>
      </c>
      <c r="I123" s="13">
        <f t="shared" si="1"/>
        <v>4685654.2660993496</v>
      </c>
    </row>
    <row r="124" spans="1:9" ht="15.75" x14ac:dyDescent="0.25">
      <c r="A124" s="8"/>
      <c r="B124" s="8"/>
      <c r="C124" s="9"/>
      <c r="D124" s="12" t="s">
        <v>120</v>
      </c>
      <c r="E124" s="16">
        <v>157413.13999999996</v>
      </c>
      <c r="F124" s="16">
        <v>0</v>
      </c>
      <c r="G124" s="16">
        <v>5183696.7700000005</v>
      </c>
      <c r="H124" s="16">
        <v>5821788.8900000006</v>
      </c>
      <c r="I124" s="13">
        <f t="shared" si="1"/>
        <v>11162898.800000001</v>
      </c>
    </row>
    <row r="125" spans="1:9" ht="15.75" x14ac:dyDescent="0.25">
      <c r="A125" s="8"/>
      <c r="B125" s="8"/>
      <c r="C125" s="9"/>
      <c r="D125" s="12" t="s">
        <v>121</v>
      </c>
      <c r="E125" s="16">
        <v>0</v>
      </c>
      <c r="F125" s="16">
        <v>0</v>
      </c>
      <c r="G125" s="16">
        <v>33685837.159999996</v>
      </c>
      <c r="H125" s="16">
        <v>1296200.8800000001</v>
      </c>
      <c r="I125" s="13">
        <f t="shared" si="1"/>
        <v>34982038.039999999</v>
      </c>
    </row>
    <row r="126" spans="1:9" ht="15.75" x14ac:dyDescent="0.25">
      <c r="A126" s="8"/>
      <c r="B126" s="8"/>
      <c r="C126" s="9"/>
      <c r="D126" s="12" t="s">
        <v>122</v>
      </c>
      <c r="E126" s="16">
        <v>5471.59</v>
      </c>
      <c r="F126" s="16">
        <v>0</v>
      </c>
      <c r="G126" s="16">
        <v>9111721.0900000017</v>
      </c>
      <c r="H126" s="16">
        <v>0</v>
      </c>
      <c r="I126" s="13">
        <f t="shared" si="1"/>
        <v>9117192.6800000016</v>
      </c>
    </row>
    <row r="127" spans="1:9" ht="15.75" x14ac:dyDescent="0.25">
      <c r="A127" s="8"/>
      <c r="B127" s="8"/>
      <c r="C127" s="9"/>
      <c r="D127" s="12" t="s">
        <v>123</v>
      </c>
      <c r="E127" s="16">
        <v>1050380.1199999999</v>
      </c>
      <c r="F127" s="16">
        <v>684467.03128731088</v>
      </c>
      <c r="G127" s="16">
        <v>6201735.9999999991</v>
      </c>
      <c r="H127" s="16">
        <v>0</v>
      </c>
      <c r="I127" s="13">
        <f t="shared" si="1"/>
        <v>7936583.1512873098</v>
      </c>
    </row>
    <row r="128" spans="1:9" ht="15.75" x14ac:dyDescent="0.25">
      <c r="A128" s="8"/>
      <c r="B128" s="8"/>
      <c r="C128" s="9"/>
      <c r="D128" s="12" t="s">
        <v>124</v>
      </c>
      <c r="E128" s="16">
        <v>2112348.1</v>
      </c>
      <c r="F128" s="16">
        <v>2135561.1775720567</v>
      </c>
      <c r="G128" s="16">
        <v>2546988.4099999997</v>
      </c>
      <c r="H128" s="16">
        <v>0</v>
      </c>
      <c r="I128" s="13">
        <f t="shared" si="1"/>
        <v>6794897.6875720564</v>
      </c>
    </row>
    <row r="129" spans="1:9" ht="15.75" x14ac:dyDescent="0.25">
      <c r="A129" s="8"/>
      <c r="B129" s="8"/>
      <c r="C129" s="9"/>
      <c r="D129" s="12" t="s">
        <v>125</v>
      </c>
      <c r="E129" s="16">
        <v>598079.19999999995</v>
      </c>
      <c r="F129" s="16">
        <v>1033576.6813034358</v>
      </c>
      <c r="G129" s="16">
        <v>2225092.04</v>
      </c>
      <c r="H129" s="16">
        <v>0</v>
      </c>
      <c r="I129" s="13">
        <f t="shared" si="1"/>
        <v>3856747.9213034357</v>
      </c>
    </row>
    <row r="130" spans="1:9" ht="15.75" x14ac:dyDescent="0.25">
      <c r="A130" s="8"/>
      <c r="B130" s="8"/>
      <c r="C130" s="9"/>
      <c r="D130" s="12" t="s">
        <v>126</v>
      </c>
      <c r="E130" s="16">
        <v>519112.28</v>
      </c>
      <c r="F130" s="16">
        <v>1820708.4643524506</v>
      </c>
      <c r="G130" s="16">
        <v>469319.95999999996</v>
      </c>
      <c r="H130" s="16">
        <v>0</v>
      </c>
      <c r="I130" s="13">
        <f t="shared" si="1"/>
        <v>2809140.7043524506</v>
      </c>
    </row>
    <row r="131" spans="1:9" ht="15.75" x14ac:dyDescent="0.25">
      <c r="A131" s="8"/>
      <c r="B131" s="8"/>
      <c r="C131" s="9"/>
      <c r="D131" s="12" t="s">
        <v>127</v>
      </c>
      <c r="E131" s="16">
        <v>3500547.4899999998</v>
      </c>
      <c r="F131" s="16">
        <v>9950950.7583077233</v>
      </c>
      <c r="G131" s="16">
        <v>12392458.300000001</v>
      </c>
      <c r="H131" s="16">
        <v>0</v>
      </c>
      <c r="I131" s="13">
        <f t="shared" si="1"/>
        <v>25843956.548307724</v>
      </c>
    </row>
    <row r="132" spans="1:9" ht="15.75" x14ac:dyDescent="0.25">
      <c r="A132" s="8"/>
      <c r="B132" s="8"/>
      <c r="C132" s="9"/>
      <c r="D132" s="12" t="s">
        <v>128</v>
      </c>
      <c r="E132" s="16">
        <v>625400.43000000005</v>
      </c>
      <c r="F132" s="16">
        <v>6105547.7353655519</v>
      </c>
      <c r="G132" s="16">
        <v>202055.80000000002</v>
      </c>
      <c r="H132" s="16">
        <v>0</v>
      </c>
      <c r="I132" s="13">
        <f t="shared" si="1"/>
        <v>6933003.9653655514</v>
      </c>
    </row>
    <row r="133" spans="1:9" ht="15.75" x14ac:dyDescent="0.25">
      <c r="A133" s="8"/>
      <c r="B133" s="8"/>
      <c r="C133" s="9"/>
      <c r="D133" s="12" t="s">
        <v>129</v>
      </c>
      <c r="E133" s="16">
        <v>229412.32</v>
      </c>
      <c r="F133" s="16">
        <v>0</v>
      </c>
      <c r="G133" s="16">
        <v>16563292.430000002</v>
      </c>
      <c r="H133" s="16">
        <v>4156382.6100000008</v>
      </c>
      <c r="I133" s="13">
        <f t="shared" si="1"/>
        <v>20949087.359999999</v>
      </c>
    </row>
    <row r="134" spans="1:9" ht="15.75" x14ac:dyDescent="0.25">
      <c r="A134" s="8"/>
      <c r="B134" s="8"/>
      <c r="C134" s="9"/>
      <c r="D134" s="12" t="s">
        <v>130</v>
      </c>
      <c r="E134" s="16">
        <v>538305.15</v>
      </c>
      <c r="F134" s="16">
        <v>301171.15022656892</v>
      </c>
      <c r="G134" s="16">
        <v>18629.769999999997</v>
      </c>
      <c r="H134" s="16">
        <v>0</v>
      </c>
      <c r="I134" s="13">
        <f t="shared" si="1"/>
        <v>858106.07022656896</v>
      </c>
    </row>
    <row r="135" spans="1:9" ht="15.75" x14ac:dyDescent="0.25">
      <c r="A135" s="8"/>
      <c r="B135" s="8"/>
      <c r="C135" s="9"/>
      <c r="D135" s="12" t="s">
        <v>131</v>
      </c>
      <c r="E135" s="16">
        <v>541105.44999999995</v>
      </c>
      <c r="F135" s="16">
        <v>3805701.743249198</v>
      </c>
      <c r="G135" s="16">
        <v>576800.15</v>
      </c>
      <c r="H135" s="16">
        <v>0</v>
      </c>
      <c r="I135" s="13">
        <f t="shared" si="1"/>
        <v>4923607.343249198</v>
      </c>
    </row>
    <row r="136" spans="1:9" ht="15.75" x14ac:dyDescent="0.25">
      <c r="A136" s="8"/>
      <c r="B136" s="8"/>
      <c r="C136" s="9"/>
      <c r="D136" s="12" t="s">
        <v>132</v>
      </c>
      <c r="E136" s="16">
        <v>1927253.5</v>
      </c>
      <c r="F136" s="16">
        <v>4599691.9842327069</v>
      </c>
      <c r="G136" s="16">
        <v>5086636.2499999991</v>
      </c>
      <c r="H136" s="16">
        <v>0</v>
      </c>
      <c r="I136" s="13">
        <f t="shared" si="1"/>
        <v>11613581.734232705</v>
      </c>
    </row>
    <row r="137" spans="1:9" ht="15.75" x14ac:dyDescent="0.25">
      <c r="A137" s="8"/>
      <c r="B137" s="8"/>
      <c r="C137" s="9"/>
      <c r="D137" s="12" t="s">
        <v>133</v>
      </c>
      <c r="E137" s="16">
        <v>1929690.7600000005</v>
      </c>
      <c r="F137" s="16">
        <v>7232208.5390479714</v>
      </c>
      <c r="G137" s="16">
        <v>6752926.3499999996</v>
      </c>
      <c r="H137" s="16">
        <v>0</v>
      </c>
      <c r="I137" s="13">
        <f t="shared" si="1"/>
        <v>15914825.649047971</v>
      </c>
    </row>
    <row r="138" spans="1:9" ht="15.75" x14ac:dyDescent="0.25">
      <c r="A138" s="8"/>
      <c r="B138" s="8"/>
      <c r="C138" s="9"/>
      <c r="D138" s="12" t="s">
        <v>134</v>
      </c>
      <c r="E138" s="16">
        <v>0</v>
      </c>
      <c r="F138" s="16">
        <v>0</v>
      </c>
      <c r="G138" s="16">
        <v>10376785.99</v>
      </c>
      <c r="H138" s="16">
        <v>0</v>
      </c>
      <c r="I138" s="13">
        <f t="shared" ref="I138:I144" si="2">SUM(E138:H138)</f>
        <v>10376785.99</v>
      </c>
    </row>
    <row r="139" spans="1:9" ht="15.75" x14ac:dyDescent="0.25">
      <c r="A139" s="8"/>
      <c r="B139" s="8"/>
      <c r="C139" s="9"/>
      <c r="D139" s="12" t="s">
        <v>135</v>
      </c>
      <c r="E139" s="16">
        <v>298911.46000000002</v>
      </c>
      <c r="F139" s="16">
        <v>1082858.5903791299</v>
      </c>
      <c r="G139" s="16">
        <v>604899.09</v>
      </c>
      <c r="H139" s="16">
        <v>0</v>
      </c>
      <c r="I139" s="13">
        <f t="shared" si="2"/>
        <v>1986669.1403791299</v>
      </c>
    </row>
    <row r="140" spans="1:9" ht="15.75" x14ac:dyDescent="0.25">
      <c r="A140" s="8"/>
      <c r="B140" s="8"/>
      <c r="C140" s="9"/>
      <c r="D140" s="12" t="s">
        <v>136</v>
      </c>
      <c r="E140" s="16">
        <v>1689972.2999999998</v>
      </c>
      <c r="F140" s="16">
        <v>7679846.6543395333</v>
      </c>
      <c r="G140" s="16">
        <v>2490053.2399999998</v>
      </c>
      <c r="H140" s="16">
        <v>0</v>
      </c>
      <c r="I140" s="13">
        <f t="shared" si="2"/>
        <v>11859872.194339534</v>
      </c>
    </row>
    <row r="141" spans="1:9" ht="15.75" x14ac:dyDescent="0.25">
      <c r="A141" s="8"/>
      <c r="B141" s="8"/>
      <c r="C141" s="9"/>
      <c r="D141" s="12" t="s">
        <v>137</v>
      </c>
      <c r="E141" s="16">
        <v>0</v>
      </c>
      <c r="F141" s="16">
        <v>0</v>
      </c>
      <c r="G141" s="16">
        <v>12559491.739999998</v>
      </c>
      <c r="H141" s="16">
        <v>454619.86499999999</v>
      </c>
      <c r="I141" s="13">
        <f t="shared" si="2"/>
        <v>13014111.604999999</v>
      </c>
    </row>
    <row r="142" spans="1:9" ht="15.75" x14ac:dyDescent="0.25">
      <c r="A142" s="8"/>
      <c r="B142" s="8"/>
      <c r="C142" s="9"/>
      <c r="D142" s="12" t="s">
        <v>138</v>
      </c>
      <c r="E142" s="16">
        <v>6264.16</v>
      </c>
      <c r="F142" s="16">
        <v>0</v>
      </c>
      <c r="G142" s="16">
        <v>2235660.98</v>
      </c>
      <c r="H142" s="16">
        <v>0</v>
      </c>
      <c r="I142" s="13">
        <f t="shared" si="2"/>
        <v>2241925.14</v>
      </c>
    </row>
    <row r="143" spans="1:9" ht="15.75" x14ac:dyDescent="0.25">
      <c r="A143" s="8"/>
      <c r="B143" s="8"/>
      <c r="C143" s="9"/>
      <c r="D143" s="12" t="s">
        <v>139</v>
      </c>
      <c r="E143" s="16">
        <v>162294.58000000005</v>
      </c>
      <c r="F143" s="16">
        <v>7098044.3748139245</v>
      </c>
      <c r="G143" s="16">
        <v>117069.26</v>
      </c>
      <c r="H143" s="16">
        <v>0</v>
      </c>
      <c r="I143" s="13">
        <f t="shared" si="2"/>
        <v>7377408.2148139244</v>
      </c>
    </row>
    <row r="144" spans="1:9" ht="15.75" x14ac:dyDescent="0.25">
      <c r="A144" s="8"/>
      <c r="B144" s="8"/>
      <c r="C144" s="9"/>
      <c r="D144" s="12" t="s">
        <v>140</v>
      </c>
      <c r="E144" s="16">
        <v>1204182.23</v>
      </c>
      <c r="F144" s="16">
        <v>862433.40882464475</v>
      </c>
      <c r="G144" s="16">
        <v>3472450.17</v>
      </c>
      <c r="H144" s="16">
        <v>0</v>
      </c>
      <c r="I144" s="13">
        <f t="shared" si="2"/>
        <v>5539065.8088246444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128876555.87999992</v>
      </c>
      <c r="F145" s="22">
        <f>SUM(F10:F144)</f>
        <v>353512355.77555859</v>
      </c>
      <c r="G145" s="22">
        <f>SUM(G10:G144)</f>
        <v>672357001.27999997</v>
      </c>
      <c r="H145" s="22">
        <f>SUM(H10:H144)</f>
        <v>11728992.245000001</v>
      </c>
      <c r="I145" s="22">
        <f>SUM(I10:I144)</f>
        <v>1166474905.1805589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tabSelected="1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2.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166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167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>
        <v>12436740.219999997</v>
      </c>
      <c r="F10" s="16">
        <v>20386924.044578552</v>
      </c>
      <c r="G10" s="16">
        <v>1208720.0799999998</v>
      </c>
      <c r="H10" s="16">
        <v>0</v>
      </c>
      <c r="I10" s="13">
        <f>SUM(E10:H10)</f>
        <v>34032384.344578549</v>
      </c>
    </row>
    <row r="11" spans="1:9" ht="15.75" x14ac:dyDescent="0.25">
      <c r="A11" s="8"/>
      <c r="B11" s="8"/>
      <c r="C11" s="9"/>
      <c r="D11" s="12" t="s">
        <v>7</v>
      </c>
      <c r="E11" s="16">
        <v>20236302.929999992</v>
      </c>
      <c r="F11" s="16">
        <v>11442698.541598663</v>
      </c>
      <c r="G11" s="16">
        <v>854557.27</v>
      </c>
      <c r="H11" s="16">
        <v>0</v>
      </c>
      <c r="I11" s="13">
        <f t="shared" ref="I11:I73" si="0">SUM(E11:H11)</f>
        <v>32533558.741598655</v>
      </c>
    </row>
    <row r="12" spans="1:9" ht="15.75" x14ac:dyDescent="0.25">
      <c r="A12" s="8"/>
      <c r="B12" s="8"/>
      <c r="C12" s="9"/>
      <c r="D12" s="12" t="s">
        <v>8</v>
      </c>
      <c r="E12" s="16">
        <v>17376308.319999997</v>
      </c>
      <c r="F12" s="16">
        <v>4148313.5931783859</v>
      </c>
      <c r="G12" s="16">
        <v>2181220.0100000002</v>
      </c>
      <c r="H12" s="16">
        <v>0</v>
      </c>
      <c r="I12" s="13">
        <f t="shared" si="0"/>
        <v>23705841.923178386</v>
      </c>
    </row>
    <row r="13" spans="1:9" ht="15.75" x14ac:dyDescent="0.25">
      <c r="A13" s="8"/>
      <c r="B13" s="8"/>
      <c r="C13" s="9"/>
      <c r="D13" s="12" t="s">
        <v>9</v>
      </c>
      <c r="E13" s="16">
        <v>2863941.1900000004</v>
      </c>
      <c r="F13" s="16">
        <v>109775.23616572806</v>
      </c>
      <c r="G13" s="16">
        <v>13635174.369999999</v>
      </c>
      <c r="H13" s="16">
        <v>0</v>
      </c>
      <c r="I13" s="13">
        <f t="shared" si="0"/>
        <v>16608890.796165727</v>
      </c>
    </row>
    <row r="14" spans="1:9" ht="15.75" x14ac:dyDescent="0.25">
      <c r="A14" s="8"/>
      <c r="B14" s="8"/>
      <c r="C14" s="9"/>
      <c r="D14" s="12" t="s">
        <v>10</v>
      </c>
      <c r="E14" s="16">
        <v>20857276.699999999</v>
      </c>
      <c r="F14" s="16">
        <v>4609237.3257537615</v>
      </c>
      <c r="G14" s="16">
        <v>1800793.0000000002</v>
      </c>
      <c r="H14" s="16">
        <v>0</v>
      </c>
      <c r="I14" s="13">
        <f t="shared" si="0"/>
        <v>27267307.025753759</v>
      </c>
    </row>
    <row r="15" spans="1:9" ht="15.75" x14ac:dyDescent="0.25">
      <c r="A15" s="8"/>
      <c r="B15" s="8"/>
      <c r="C15" s="9"/>
      <c r="D15" s="12" t="s">
        <v>11</v>
      </c>
      <c r="E15" s="16">
        <v>1422158.8</v>
      </c>
      <c r="F15" s="16">
        <v>25601.625646224013</v>
      </c>
      <c r="G15" s="16">
        <v>15433057.109999999</v>
      </c>
      <c r="H15" s="16">
        <v>0</v>
      </c>
      <c r="I15" s="13">
        <f t="shared" si="0"/>
        <v>16880817.535646223</v>
      </c>
    </row>
    <row r="16" spans="1:9" ht="15.75" x14ac:dyDescent="0.25">
      <c r="A16" s="8"/>
      <c r="B16" s="8"/>
      <c r="C16" s="9"/>
      <c r="D16" s="12" t="s">
        <v>12</v>
      </c>
      <c r="E16" s="16">
        <v>32504289.84</v>
      </c>
      <c r="F16" s="16">
        <v>21978192.614264891</v>
      </c>
      <c r="G16" s="16">
        <v>2357212.2800000003</v>
      </c>
      <c r="H16" s="16">
        <v>0</v>
      </c>
      <c r="I16" s="13">
        <f t="shared" si="0"/>
        <v>56839694.734264895</v>
      </c>
    </row>
    <row r="17" spans="1:9" ht="15.75" x14ac:dyDescent="0.25">
      <c r="A17" s="8"/>
      <c r="B17" s="8"/>
      <c r="C17" s="9"/>
      <c r="D17" s="12" t="s">
        <v>13</v>
      </c>
      <c r="E17" s="16">
        <v>68012324.810000002</v>
      </c>
      <c r="F17" s="16">
        <v>20193069.668836668</v>
      </c>
      <c r="G17" s="16">
        <v>4950303.04</v>
      </c>
      <c r="H17" s="16">
        <v>0</v>
      </c>
      <c r="I17" s="13">
        <f t="shared" si="0"/>
        <v>93155697.518836677</v>
      </c>
    </row>
    <row r="18" spans="1:9" ht="15.75" x14ac:dyDescent="0.25">
      <c r="A18" s="8"/>
      <c r="B18" s="8"/>
      <c r="C18" s="9"/>
      <c r="D18" s="12" t="s">
        <v>14</v>
      </c>
      <c r="E18" s="16">
        <v>8578221.2399999984</v>
      </c>
      <c r="F18" s="16">
        <v>1646156.1877692007</v>
      </c>
      <c r="G18" s="16">
        <v>25145571.93</v>
      </c>
      <c r="H18" s="16">
        <v>0</v>
      </c>
      <c r="I18" s="13">
        <f t="shared" si="0"/>
        <v>35369949.357769199</v>
      </c>
    </row>
    <row r="19" spans="1:9" ht="15.75" x14ac:dyDescent="0.25">
      <c r="A19" s="8"/>
      <c r="B19" s="8"/>
      <c r="C19" s="9"/>
      <c r="D19" s="12" t="s">
        <v>15</v>
      </c>
      <c r="E19" s="16">
        <v>61079969.079999998</v>
      </c>
      <c r="F19" s="16">
        <v>15711840.471314024</v>
      </c>
      <c r="G19" s="16">
        <v>3046702.8700000006</v>
      </c>
      <c r="H19" s="16">
        <v>0</v>
      </c>
      <c r="I19" s="13">
        <f t="shared" si="0"/>
        <v>79838512.421314031</v>
      </c>
    </row>
    <row r="20" spans="1:9" ht="15.75" x14ac:dyDescent="0.25">
      <c r="A20" s="8"/>
      <c r="B20" s="8"/>
      <c r="C20" s="9"/>
      <c r="D20" s="12" t="s">
        <v>16</v>
      </c>
      <c r="E20" s="16">
        <v>18139828.09</v>
      </c>
      <c r="F20" s="16">
        <v>4316660.8142173933</v>
      </c>
      <c r="G20" s="16">
        <v>2350620.02</v>
      </c>
      <c r="H20" s="16">
        <v>0</v>
      </c>
      <c r="I20" s="13">
        <f t="shared" si="0"/>
        <v>24807108.924217392</v>
      </c>
    </row>
    <row r="21" spans="1:9" ht="15.75" x14ac:dyDescent="0.25">
      <c r="A21" s="8"/>
      <c r="B21" s="8"/>
      <c r="C21" s="9"/>
      <c r="D21" s="12" t="s">
        <v>17</v>
      </c>
      <c r="E21" s="16">
        <v>29071690.66</v>
      </c>
      <c r="F21" s="16">
        <v>18795655.474892214</v>
      </c>
      <c r="G21" s="16">
        <v>1103661.6299999999</v>
      </c>
      <c r="H21" s="16">
        <v>0</v>
      </c>
      <c r="I21" s="13">
        <f t="shared" si="0"/>
        <v>48971007.764892213</v>
      </c>
    </row>
    <row r="22" spans="1:9" ht="15.75" x14ac:dyDescent="0.25">
      <c r="A22" s="8"/>
      <c r="B22" s="8"/>
      <c r="C22" s="9"/>
      <c r="D22" s="12" t="s">
        <v>18</v>
      </c>
      <c r="E22" s="16">
        <v>659271.29</v>
      </c>
      <c r="F22" s="16">
        <v>804797.96634753642</v>
      </c>
      <c r="G22" s="16">
        <v>6522478.9399999995</v>
      </c>
      <c r="H22" s="16">
        <v>0</v>
      </c>
      <c r="I22" s="13">
        <f t="shared" si="0"/>
        <v>7986548.1963475365</v>
      </c>
    </row>
    <row r="23" spans="1:9" ht="15.75" x14ac:dyDescent="0.25">
      <c r="A23" s="8"/>
      <c r="B23" s="8"/>
      <c r="C23" s="9"/>
      <c r="D23" s="12" t="s">
        <v>19</v>
      </c>
      <c r="E23" s="16">
        <v>461509.42999999993</v>
      </c>
      <c r="F23" s="16">
        <v>299945.24511720019</v>
      </c>
      <c r="G23" s="16">
        <v>5044506.66</v>
      </c>
      <c r="H23" s="16">
        <v>0</v>
      </c>
      <c r="I23" s="13">
        <f t="shared" si="0"/>
        <v>5805961.3351172004</v>
      </c>
    </row>
    <row r="24" spans="1:9" ht="15.75" x14ac:dyDescent="0.25">
      <c r="A24" s="8"/>
      <c r="B24" s="8"/>
      <c r="C24" s="9"/>
      <c r="D24" s="12" t="s">
        <v>20</v>
      </c>
      <c r="E24" s="16">
        <v>25757689.859999999</v>
      </c>
      <c r="F24" s="16">
        <v>11526872.152118165</v>
      </c>
      <c r="G24" s="16">
        <v>2534281.7999999998</v>
      </c>
      <c r="H24" s="16">
        <v>0</v>
      </c>
      <c r="I24" s="13">
        <f t="shared" si="0"/>
        <v>39818843.812118158</v>
      </c>
    </row>
    <row r="25" spans="1:9" ht="15.75" x14ac:dyDescent="0.25">
      <c r="A25" s="8"/>
      <c r="B25" s="8"/>
      <c r="C25" s="9"/>
      <c r="D25" s="12" t="s">
        <v>21</v>
      </c>
      <c r="E25" s="16">
        <v>17031123.710000001</v>
      </c>
      <c r="F25" s="16">
        <v>8560106.6473431885</v>
      </c>
      <c r="G25" s="16">
        <v>2208368.5399999996</v>
      </c>
      <c r="H25" s="16">
        <v>0</v>
      </c>
      <c r="I25" s="13">
        <f t="shared" si="0"/>
        <v>27799598.897343189</v>
      </c>
    </row>
    <row r="26" spans="1:9" ht="15.75" x14ac:dyDescent="0.25">
      <c r="A26" s="8"/>
      <c r="B26" s="8"/>
      <c r="C26" s="9"/>
      <c r="D26" s="12" t="s">
        <v>22</v>
      </c>
      <c r="E26" s="16">
        <v>9824516.0700000003</v>
      </c>
      <c r="F26" s="16">
        <v>4901908.3082334753</v>
      </c>
      <c r="G26" s="16">
        <v>3976366.5300000003</v>
      </c>
      <c r="H26" s="16">
        <v>0</v>
      </c>
      <c r="I26" s="13">
        <f t="shared" si="0"/>
        <v>18702790.908233475</v>
      </c>
    </row>
    <row r="27" spans="1:9" ht="15.75" x14ac:dyDescent="0.25">
      <c r="A27" s="8"/>
      <c r="B27" s="8"/>
      <c r="C27" s="9"/>
      <c r="D27" s="12" t="s">
        <v>23</v>
      </c>
      <c r="E27" s="16">
        <v>6557423.8900000006</v>
      </c>
      <c r="F27" s="16">
        <v>841358.22142166435</v>
      </c>
      <c r="G27" s="16">
        <v>5002565.4499999993</v>
      </c>
      <c r="H27" s="16">
        <v>0</v>
      </c>
      <c r="I27" s="13">
        <f t="shared" si="0"/>
        <v>12401347.561421664</v>
      </c>
    </row>
    <row r="28" spans="1:9" ht="15.75" x14ac:dyDescent="0.25">
      <c r="A28" s="8"/>
      <c r="B28" s="8"/>
      <c r="C28" s="9"/>
      <c r="D28" s="12" t="s">
        <v>24</v>
      </c>
      <c r="E28" s="16">
        <v>10091445.200000003</v>
      </c>
      <c r="F28" s="16">
        <v>3987429.5766635542</v>
      </c>
      <c r="G28" s="16">
        <v>2684150.8699999996</v>
      </c>
      <c r="H28" s="16">
        <v>0</v>
      </c>
      <c r="I28" s="13">
        <f t="shared" si="0"/>
        <v>16763025.646663556</v>
      </c>
    </row>
    <row r="29" spans="1:9" ht="15.75" x14ac:dyDescent="0.25">
      <c r="A29" s="8"/>
      <c r="B29" s="8"/>
      <c r="C29" s="9"/>
      <c r="D29" s="12" t="s">
        <v>25</v>
      </c>
      <c r="E29" s="16">
        <v>9926230.8800000008</v>
      </c>
      <c r="F29" s="16">
        <v>2231498.1527286251</v>
      </c>
      <c r="G29" s="16">
        <v>805358.19</v>
      </c>
      <c r="H29" s="16">
        <v>0</v>
      </c>
      <c r="I29" s="13">
        <f t="shared" si="0"/>
        <v>12963087.222728625</v>
      </c>
    </row>
    <row r="30" spans="1:9" ht="15.75" x14ac:dyDescent="0.25">
      <c r="A30" s="8"/>
      <c r="B30" s="8"/>
      <c r="C30" s="9"/>
      <c r="D30" s="12" t="s">
        <v>26</v>
      </c>
      <c r="E30" s="16">
        <v>22472824.950000007</v>
      </c>
      <c r="F30" s="16">
        <v>12035314.769195575</v>
      </c>
      <c r="G30" s="16">
        <v>1551100.5200000003</v>
      </c>
      <c r="H30" s="16">
        <v>0</v>
      </c>
      <c r="I30" s="13">
        <f t="shared" si="0"/>
        <v>36059240.239195585</v>
      </c>
    </row>
    <row r="31" spans="1:9" ht="15.75" x14ac:dyDescent="0.25">
      <c r="A31" s="8"/>
      <c r="B31" s="8"/>
      <c r="C31" s="9"/>
      <c r="D31" s="12" t="s">
        <v>27</v>
      </c>
      <c r="E31" s="16">
        <v>20736983.600000001</v>
      </c>
      <c r="F31" s="16">
        <v>12474321.242915142</v>
      </c>
      <c r="G31" s="16">
        <v>921780.59000000008</v>
      </c>
      <c r="H31" s="16">
        <v>0</v>
      </c>
      <c r="I31" s="13">
        <f t="shared" si="0"/>
        <v>34133085.432915144</v>
      </c>
    </row>
    <row r="32" spans="1:9" ht="15.75" x14ac:dyDescent="0.25">
      <c r="A32" s="8"/>
      <c r="B32" s="8"/>
      <c r="C32" s="9"/>
      <c r="D32" s="12" t="s">
        <v>28</v>
      </c>
      <c r="E32" s="16">
        <v>15326049.270000003</v>
      </c>
      <c r="F32" s="16">
        <v>4210569.9448420815</v>
      </c>
      <c r="G32" s="16">
        <v>754856.91</v>
      </c>
      <c r="H32" s="16">
        <v>0</v>
      </c>
      <c r="I32" s="13">
        <f t="shared" si="0"/>
        <v>20291476.124842085</v>
      </c>
    </row>
    <row r="33" spans="1:9" ht="15.75" x14ac:dyDescent="0.25">
      <c r="A33" s="8"/>
      <c r="B33" s="8"/>
      <c r="C33" s="9"/>
      <c r="D33" s="12" t="s">
        <v>29</v>
      </c>
      <c r="E33" s="16">
        <v>5236099.2799999993</v>
      </c>
      <c r="F33" s="16">
        <v>6365168.7496886905</v>
      </c>
      <c r="G33" s="16">
        <v>677736.36</v>
      </c>
      <c r="H33" s="16">
        <v>0</v>
      </c>
      <c r="I33" s="13">
        <f t="shared" si="0"/>
        <v>12279004.389688689</v>
      </c>
    </row>
    <row r="34" spans="1:9" ht="15.75" x14ac:dyDescent="0.25">
      <c r="A34" s="8"/>
      <c r="B34" s="8"/>
      <c r="C34" s="9"/>
      <c r="D34" s="12" t="s">
        <v>30</v>
      </c>
      <c r="E34" s="16">
        <v>43351778.090000011</v>
      </c>
      <c r="F34" s="16">
        <v>9134395.5119313635</v>
      </c>
      <c r="G34" s="16">
        <v>3233759.3600000008</v>
      </c>
      <c r="H34" s="16">
        <v>0</v>
      </c>
      <c r="I34" s="13">
        <f t="shared" si="0"/>
        <v>55719932.961931378</v>
      </c>
    </row>
    <row r="35" spans="1:9" ht="15.75" x14ac:dyDescent="0.25">
      <c r="A35" s="8"/>
      <c r="B35" s="8"/>
      <c r="C35" s="9"/>
      <c r="D35" s="12" t="s">
        <v>31</v>
      </c>
      <c r="E35" s="16">
        <v>16933632.27</v>
      </c>
      <c r="F35" s="16">
        <v>13429139.067292949</v>
      </c>
      <c r="G35" s="16">
        <v>3198611.3</v>
      </c>
      <c r="H35" s="16">
        <v>0</v>
      </c>
      <c r="I35" s="13">
        <f t="shared" si="0"/>
        <v>33561382.637292944</v>
      </c>
    </row>
    <row r="36" spans="1:9" ht="15.75" x14ac:dyDescent="0.25">
      <c r="A36" s="8"/>
      <c r="B36" s="8"/>
      <c r="C36" s="9"/>
      <c r="D36" s="12" t="s">
        <v>32</v>
      </c>
      <c r="E36" s="16">
        <v>21073240.669999998</v>
      </c>
      <c r="F36" s="16">
        <v>8333281.912374245</v>
      </c>
      <c r="G36" s="16">
        <v>4306630.9400000004</v>
      </c>
      <c r="H36" s="16">
        <v>0</v>
      </c>
      <c r="I36" s="13">
        <f t="shared" si="0"/>
        <v>33713153.522374243</v>
      </c>
    </row>
    <row r="37" spans="1:9" ht="15.75" x14ac:dyDescent="0.25">
      <c r="A37" s="8"/>
      <c r="B37" s="8"/>
      <c r="C37" s="9"/>
      <c r="D37" s="12" t="s">
        <v>33</v>
      </c>
      <c r="E37" s="16">
        <v>24078597.149999995</v>
      </c>
      <c r="F37" s="16">
        <v>4609237.3257537615</v>
      </c>
      <c r="G37" s="16">
        <v>1227865.6100000001</v>
      </c>
      <c r="H37" s="16">
        <v>0</v>
      </c>
      <c r="I37" s="13">
        <f t="shared" si="0"/>
        <v>29915700.085753754</v>
      </c>
    </row>
    <row r="38" spans="1:9" ht="15.75" x14ac:dyDescent="0.25">
      <c r="A38" s="8"/>
      <c r="B38" s="8"/>
      <c r="C38" s="9"/>
      <c r="D38" s="12" t="s">
        <v>34</v>
      </c>
      <c r="E38" s="16">
        <v>19862593.759999998</v>
      </c>
      <c r="F38" s="16">
        <v>10016092.826160917</v>
      </c>
      <c r="G38" s="16">
        <v>1378598.45</v>
      </c>
      <c r="H38" s="16">
        <v>0</v>
      </c>
      <c r="I38" s="13">
        <f t="shared" si="0"/>
        <v>31257285.036160912</v>
      </c>
    </row>
    <row r="39" spans="1:9" ht="15.75" x14ac:dyDescent="0.25">
      <c r="A39" s="8"/>
      <c r="B39" s="8"/>
      <c r="C39" s="9"/>
      <c r="D39" s="12" t="s">
        <v>35</v>
      </c>
      <c r="E39" s="16">
        <v>16667688.989999998</v>
      </c>
      <c r="F39" s="16">
        <v>15682554.478877384</v>
      </c>
      <c r="G39" s="16">
        <v>1717090.56</v>
      </c>
      <c r="H39" s="16">
        <v>0</v>
      </c>
      <c r="I39" s="13">
        <f t="shared" si="0"/>
        <v>34067334.028877385</v>
      </c>
    </row>
    <row r="40" spans="1:9" ht="15.75" x14ac:dyDescent="0.25">
      <c r="A40" s="8"/>
      <c r="B40" s="8"/>
      <c r="C40" s="9"/>
      <c r="D40" s="12" t="s">
        <v>36</v>
      </c>
      <c r="E40" s="16">
        <v>1287528.8699999999</v>
      </c>
      <c r="F40" s="16">
        <v>823125.32935627247</v>
      </c>
      <c r="G40" s="16">
        <v>1381543.16</v>
      </c>
      <c r="H40" s="16">
        <v>0</v>
      </c>
      <c r="I40" s="13">
        <f t="shared" si="0"/>
        <v>3492197.359356272</v>
      </c>
    </row>
    <row r="41" spans="1:9" ht="15.75" x14ac:dyDescent="0.25">
      <c r="A41" s="8"/>
      <c r="B41" s="8"/>
      <c r="C41" s="9"/>
      <c r="D41" s="12" t="s">
        <v>37</v>
      </c>
      <c r="E41" s="16">
        <v>35861249.030000001</v>
      </c>
      <c r="F41" s="16">
        <v>13754685.938056374</v>
      </c>
      <c r="G41" s="16">
        <v>2936515.56</v>
      </c>
      <c r="H41" s="16">
        <v>0</v>
      </c>
      <c r="I41" s="13">
        <f t="shared" si="0"/>
        <v>52552450.528056376</v>
      </c>
    </row>
    <row r="42" spans="1:9" ht="15.75" x14ac:dyDescent="0.25">
      <c r="A42" s="8"/>
      <c r="B42" s="8"/>
      <c r="C42" s="9"/>
      <c r="D42" s="12" t="s">
        <v>38</v>
      </c>
      <c r="E42" s="16">
        <v>24803020.399999999</v>
      </c>
      <c r="F42" s="16">
        <v>14896083.87553858</v>
      </c>
      <c r="G42" s="16">
        <v>1091801.1300000001</v>
      </c>
      <c r="H42" s="16">
        <v>0</v>
      </c>
      <c r="I42" s="13">
        <f t="shared" si="0"/>
        <v>40790905.405538581</v>
      </c>
    </row>
    <row r="43" spans="1:9" ht="15.75" x14ac:dyDescent="0.25">
      <c r="A43" s="8"/>
      <c r="B43" s="8"/>
      <c r="C43" s="9"/>
      <c r="D43" s="12" t="s">
        <v>39</v>
      </c>
      <c r="E43" s="16">
        <v>4590613.38</v>
      </c>
      <c r="F43" s="16">
        <v>5417719.6588917142</v>
      </c>
      <c r="G43" s="16">
        <v>1976384.3699999996</v>
      </c>
      <c r="H43" s="16">
        <v>0</v>
      </c>
      <c r="I43" s="13">
        <f t="shared" si="0"/>
        <v>11984717.408891713</v>
      </c>
    </row>
    <row r="44" spans="1:9" ht="15.75" x14ac:dyDescent="0.25">
      <c r="A44" s="8"/>
      <c r="B44" s="8"/>
      <c r="C44" s="9"/>
      <c r="D44" s="12" t="s">
        <v>40</v>
      </c>
      <c r="E44" s="16">
        <v>10899.84</v>
      </c>
      <c r="F44" s="16">
        <v>416994.74392041616</v>
      </c>
      <c r="G44" s="16">
        <v>1670977.62</v>
      </c>
      <c r="H44" s="16">
        <v>0</v>
      </c>
      <c r="I44" s="13">
        <f t="shared" si="0"/>
        <v>2098872.2039204165</v>
      </c>
    </row>
    <row r="45" spans="1:9" ht="15.75" x14ac:dyDescent="0.25">
      <c r="A45" s="8"/>
      <c r="B45" s="8"/>
      <c r="C45" s="9"/>
      <c r="D45" s="12" t="s">
        <v>41</v>
      </c>
      <c r="E45" s="16">
        <v>8923474.3300000001</v>
      </c>
      <c r="F45" s="16">
        <v>120733.86559363206</v>
      </c>
      <c r="G45" s="16">
        <v>8668235.4000000004</v>
      </c>
      <c r="H45" s="16">
        <v>0</v>
      </c>
      <c r="I45" s="13">
        <f t="shared" si="0"/>
        <v>17712443.595593631</v>
      </c>
    </row>
    <row r="46" spans="1:9" ht="15.75" x14ac:dyDescent="0.25">
      <c r="A46" s="8"/>
      <c r="B46" s="8"/>
      <c r="C46" s="9"/>
      <c r="D46" s="12" t="s">
        <v>42</v>
      </c>
      <c r="E46" s="16">
        <v>6899409.2699999996</v>
      </c>
      <c r="F46" s="16">
        <v>402351.74770209624</v>
      </c>
      <c r="G46" s="16">
        <v>8075394.9100000001</v>
      </c>
      <c r="H46" s="16">
        <v>0</v>
      </c>
      <c r="I46" s="13">
        <f t="shared" si="0"/>
        <v>15377155.927702095</v>
      </c>
    </row>
    <row r="47" spans="1:9" ht="15.75" x14ac:dyDescent="0.25">
      <c r="A47" s="8"/>
      <c r="B47" s="8"/>
      <c r="C47" s="9"/>
      <c r="D47" s="12" t="s">
        <v>43</v>
      </c>
      <c r="E47" s="16">
        <v>11216310.25</v>
      </c>
      <c r="F47" s="16">
        <v>2553360.6567016332</v>
      </c>
      <c r="G47" s="16">
        <v>1565604.92</v>
      </c>
      <c r="H47" s="16">
        <v>0</v>
      </c>
      <c r="I47" s="13">
        <f t="shared" si="0"/>
        <v>15335275.826701634</v>
      </c>
    </row>
    <row r="48" spans="1:9" ht="15.75" x14ac:dyDescent="0.25">
      <c r="A48" s="8"/>
      <c r="B48" s="8"/>
      <c r="C48" s="9"/>
      <c r="D48" s="12" t="s">
        <v>44</v>
      </c>
      <c r="E48" s="16">
        <v>9209260.6499999985</v>
      </c>
      <c r="F48" s="16">
        <v>402351.74770209624</v>
      </c>
      <c r="G48" s="16">
        <v>5198676.4499999993</v>
      </c>
      <c r="H48" s="16">
        <v>0</v>
      </c>
      <c r="I48" s="13">
        <f t="shared" si="0"/>
        <v>14810288.847702093</v>
      </c>
    </row>
    <row r="49" spans="1:9" ht="15.75" x14ac:dyDescent="0.25">
      <c r="A49" s="8"/>
      <c r="B49" s="8"/>
      <c r="C49" s="9"/>
      <c r="D49" s="12" t="s">
        <v>45</v>
      </c>
      <c r="E49" s="16">
        <v>2000154.0400000003</v>
      </c>
      <c r="F49" s="16">
        <v>479251.09558411222</v>
      </c>
      <c r="G49" s="16">
        <v>14892414.4</v>
      </c>
      <c r="H49" s="16">
        <v>0</v>
      </c>
      <c r="I49" s="13">
        <f t="shared" si="0"/>
        <v>17371819.535584114</v>
      </c>
    </row>
    <row r="50" spans="1:9" ht="15.75" x14ac:dyDescent="0.25">
      <c r="A50" s="8"/>
      <c r="B50" s="8"/>
      <c r="C50" s="9"/>
      <c r="D50" s="12" t="s">
        <v>46</v>
      </c>
      <c r="E50" s="16">
        <v>15103235.930000002</v>
      </c>
      <c r="F50" s="16">
        <v>4631249.0555529138</v>
      </c>
      <c r="G50" s="16">
        <v>372983.72000000003</v>
      </c>
      <c r="H50" s="16">
        <v>0</v>
      </c>
      <c r="I50" s="13">
        <f t="shared" si="0"/>
        <v>20107468.705552913</v>
      </c>
    </row>
    <row r="51" spans="1:9" ht="15.75" x14ac:dyDescent="0.25">
      <c r="A51" s="8"/>
      <c r="B51" s="8"/>
      <c r="C51" s="9"/>
      <c r="D51" s="12" t="s">
        <v>47</v>
      </c>
      <c r="E51" s="16">
        <v>20522396.259999998</v>
      </c>
      <c r="F51" s="16">
        <v>8421045.4187408201</v>
      </c>
      <c r="G51" s="16">
        <v>2009332.8</v>
      </c>
      <c r="H51" s="16">
        <v>0</v>
      </c>
      <c r="I51" s="13">
        <f t="shared" si="0"/>
        <v>30952774.478740819</v>
      </c>
    </row>
    <row r="52" spans="1:9" ht="15.75" x14ac:dyDescent="0.25">
      <c r="A52" s="8"/>
      <c r="B52" s="8"/>
      <c r="C52" s="9"/>
      <c r="D52" s="12" t="s">
        <v>48</v>
      </c>
      <c r="E52" s="16">
        <v>11814778.820000002</v>
      </c>
      <c r="F52" s="16">
        <v>8486891.6662515886</v>
      </c>
      <c r="G52" s="16">
        <v>479628.30000000005</v>
      </c>
      <c r="H52" s="16">
        <v>0</v>
      </c>
      <c r="I52" s="13">
        <f t="shared" si="0"/>
        <v>20781298.786251593</v>
      </c>
    </row>
    <row r="53" spans="1:9" ht="15.75" x14ac:dyDescent="0.25">
      <c r="A53" s="8"/>
      <c r="B53" s="8"/>
      <c r="C53" s="9"/>
      <c r="D53" s="12" t="s">
        <v>49</v>
      </c>
      <c r="E53" s="16">
        <v>18934643.949999996</v>
      </c>
      <c r="F53" s="16">
        <v>5816481.5107467379</v>
      </c>
      <c r="G53" s="16">
        <v>1978140.6600000001</v>
      </c>
      <c r="H53" s="16">
        <v>0</v>
      </c>
      <c r="I53" s="13">
        <f t="shared" si="0"/>
        <v>26729266.120746735</v>
      </c>
    </row>
    <row r="54" spans="1:9" ht="15.75" x14ac:dyDescent="0.25">
      <c r="A54" s="8"/>
      <c r="B54" s="8"/>
      <c r="C54" s="9"/>
      <c r="D54" s="12" t="s">
        <v>50</v>
      </c>
      <c r="E54" s="16">
        <v>14366537.189999998</v>
      </c>
      <c r="F54" s="16">
        <v>5340914.7819530433</v>
      </c>
      <c r="G54" s="16">
        <v>1181813.95</v>
      </c>
      <c r="H54" s="16">
        <v>0</v>
      </c>
      <c r="I54" s="13">
        <f t="shared" si="0"/>
        <v>20889265.921953041</v>
      </c>
    </row>
    <row r="55" spans="1:9" ht="15.75" x14ac:dyDescent="0.25">
      <c r="A55" s="8"/>
      <c r="B55" s="8"/>
      <c r="C55" s="9"/>
      <c r="D55" s="12" t="s">
        <v>51</v>
      </c>
      <c r="E55" s="16">
        <v>6321184.8400000008</v>
      </c>
      <c r="F55" s="16">
        <v>10937940.29131167</v>
      </c>
      <c r="G55" s="16">
        <v>70514.069999999992</v>
      </c>
      <c r="H55" s="16">
        <v>0</v>
      </c>
      <c r="I55" s="13">
        <f t="shared" si="0"/>
        <v>17329639.20131167</v>
      </c>
    </row>
    <row r="56" spans="1:9" ht="15.75" x14ac:dyDescent="0.25">
      <c r="A56" s="8"/>
      <c r="B56" s="8"/>
      <c r="C56" s="9"/>
      <c r="D56" s="12" t="s">
        <v>52</v>
      </c>
      <c r="E56" s="16">
        <v>16369066.689999998</v>
      </c>
      <c r="F56" s="16">
        <v>12174375.99779794</v>
      </c>
      <c r="G56" s="16">
        <v>698612.26000000013</v>
      </c>
      <c r="H56" s="16">
        <v>0</v>
      </c>
      <c r="I56" s="13">
        <f t="shared" si="0"/>
        <v>29242054.947797939</v>
      </c>
    </row>
    <row r="57" spans="1:9" ht="15.75" x14ac:dyDescent="0.25">
      <c r="A57" s="8"/>
      <c r="B57" s="8"/>
      <c r="C57" s="9"/>
      <c r="D57" s="12" t="s">
        <v>53</v>
      </c>
      <c r="E57" s="16">
        <v>3871203.7600000002</v>
      </c>
      <c r="F57" s="16">
        <v>4023989.8317376818</v>
      </c>
      <c r="G57" s="16">
        <v>582462.99</v>
      </c>
      <c r="H57" s="16">
        <v>0</v>
      </c>
      <c r="I57" s="13">
        <f t="shared" si="0"/>
        <v>8477656.5817376822</v>
      </c>
    </row>
    <row r="58" spans="1:9" ht="15.75" x14ac:dyDescent="0.25">
      <c r="A58" s="8"/>
      <c r="B58" s="8"/>
      <c r="C58" s="9"/>
      <c r="D58" s="12" t="s">
        <v>54</v>
      </c>
      <c r="E58" s="16">
        <v>6251417.0699999994</v>
      </c>
      <c r="F58" s="16">
        <v>4331303.8104357142</v>
      </c>
      <c r="G58" s="16">
        <v>47924.360000000008</v>
      </c>
      <c r="H58" s="16">
        <v>0</v>
      </c>
      <c r="I58" s="13">
        <f t="shared" si="0"/>
        <v>10630645.240435712</v>
      </c>
    </row>
    <row r="59" spans="1:9" ht="15.75" x14ac:dyDescent="0.25">
      <c r="A59" s="8"/>
      <c r="B59" s="8"/>
      <c r="C59" s="9"/>
      <c r="D59" s="12" t="s">
        <v>55</v>
      </c>
      <c r="E59" s="16">
        <v>10583074.600000001</v>
      </c>
      <c r="F59" s="16">
        <v>7316302.2072760835</v>
      </c>
      <c r="G59" s="16">
        <v>1147701.54</v>
      </c>
      <c r="H59" s="16">
        <v>0</v>
      </c>
      <c r="I59" s="13">
        <f t="shared" si="0"/>
        <v>19047078.347276084</v>
      </c>
    </row>
    <row r="60" spans="1:9" ht="15.75" x14ac:dyDescent="0.25">
      <c r="A60" s="8"/>
      <c r="B60" s="8"/>
      <c r="C60" s="9"/>
      <c r="D60" s="12" t="s">
        <v>56</v>
      </c>
      <c r="E60" s="16">
        <v>5858147.790000001</v>
      </c>
      <c r="F60" s="16">
        <v>4426341.5794397779</v>
      </c>
      <c r="G60" s="16">
        <v>419860.18</v>
      </c>
      <c r="H60" s="16">
        <v>0</v>
      </c>
      <c r="I60" s="13">
        <f t="shared" si="0"/>
        <v>10704349.549439779</v>
      </c>
    </row>
    <row r="61" spans="1:9" ht="15.75" x14ac:dyDescent="0.25">
      <c r="A61" s="8"/>
      <c r="B61" s="8"/>
      <c r="C61" s="9"/>
      <c r="D61" s="12" t="s">
        <v>57</v>
      </c>
      <c r="E61" s="16">
        <v>28519396.119999997</v>
      </c>
      <c r="F61" s="16">
        <v>7426077.4434418119</v>
      </c>
      <c r="G61" s="16">
        <v>1301340.18</v>
      </c>
      <c r="H61" s="16">
        <v>0</v>
      </c>
      <c r="I61" s="13">
        <f t="shared" si="0"/>
        <v>37246813.743441813</v>
      </c>
    </row>
    <row r="62" spans="1:9" ht="15.75" x14ac:dyDescent="0.25">
      <c r="A62" s="8"/>
      <c r="B62" s="8"/>
      <c r="C62" s="9"/>
      <c r="D62" s="12" t="s">
        <v>58</v>
      </c>
      <c r="E62" s="16">
        <v>21346824.350000009</v>
      </c>
      <c r="F62" s="16">
        <v>8285763.0278722132</v>
      </c>
      <c r="G62" s="16">
        <v>55958787.509999998</v>
      </c>
      <c r="H62" s="16">
        <v>0</v>
      </c>
      <c r="I62" s="13">
        <f t="shared" si="0"/>
        <v>85591374.887872219</v>
      </c>
    </row>
    <row r="63" spans="1:9" ht="15.75" x14ac:dyDescent="0.25">
      <c r="A63" s="8"/>
      <c r="B63" s="8"/>
      <c r="C63" s="9"/>
      <c r="D63" s="12" t="s">
        <v>59</v>
      </c>
      <c r="E63" s="16">
        <v>5917900.9799999995</v>
      </c>
      <c r="F63" s="16">
        <v>914573.20251326449</v>
      </c>
      <c r="G63" s="16">
        <v>3514024.9999999995</v>
      </c>
      <c r="H63" s="16">
        <v>0</v>
      </c>
      <c r="I63" s="13">
        <f t="shared" si="0"/>
        <v>10346499.182513263</v>
      </c>
    </row>
    <row r="64" spans="1:9" ht="15.75" x14ac:dyDescent="0.25">
      <c r="A64" s="8"/>
      <c r="B64" s="8"/>
      <c r="C64" s="9"/>
      <c r="D64" s="12" t="s">
        <v>60</v>
      </c>
      <c r="E64" s="16">
        <v>0</v>
      </c>
      <c r="F64" s="16">
        <v>0</v>
      </c>
      <c r="G64" s="16">
        <v>18844524.879999999</v>
      </c>
      <c r="H64" s="16">
        <v>0</v>
      </c>
      <c r="I64" s="13">
        <f t="shared" si="0"/>
        <v>18844524.879999999</v>
      </c>
    </row>
    <row r="65" spans="1:9" ht="15.75" x14ac:dyDescent="0.25">
      <c r="A65" s="8"/>
      <c r="B65" s="8"/>
      <c r="C65" s="9"/>
      <c r="D65" s="12" t="s">
        <v>61</v>
      </c>
      <c r="E65" s="16">
        <v>16260559.089999998</v>
      </c>
      <c r="F65" s="16">
        <v>10828165.055145942</v>
      </c>
      <c r="G65" s="16">
        <v>1095235.1400000001</v>
      </c>
      <c r="H65" s="16">
        <v>0</v>
      </c>
      <c r="I65" s="13">
        <f t="shared" si="0"/>
        <v>28183959.285145938</v>
      </c>
    </row>
    <row r="66" spans="1:9" ht="15.75" x14ac:dyDescent="0.25">
      <c r="A66" s="8"/>
      <c r="B66" s="8"/>
      <c r="C66" s="9"/>
      <c r="D66" s="12" t="s">
        <v>62</v>
      </c>
      <c r="E66" s="16">
        <v>74606362.50999999</v>
      </c>
      <c r="F66" s="16">
        <v>21528321.982060764</v>
      </c>
      <c r="G66" s="16">
        <v>2101650.31</v>
      </c>
      <c r="H66" s="16">
        <v>0</v>
      </c>
      <c r="I66" s="13">
        <f t="shared" si="0"/>
        <v>98236334.802060753</v>
      </c>
    </row>
    <row r="67" spans="1:9" ht="15.75" x14ac:dyDescent="0.25">
      <c r="A67" s="8"/>
      <c r="B67" s="8"/>
      <c r="C67" s="9"/>
      <c r="D67" s="12" t="s">
        <v>63</v>
      </c>
      <c r="E67" s="16">
        <v>16061359.51</v>
      </c>
      <c r="F67" s="16">
        <v>9950246.5786501486</v>
      </c>
      <c r="G67" s="16">
        <v>1081870.8</v>
      </c>
      <c r="H67" s="16">
        <v>0</v>
      </c>
      <c r="I67" s="13">
        <f t="shared" si="0"/>
        <v>27093476.888650149</v>
      </c>
    </row>
    <row r="68" spans="1:9" ht="15.75" x14ac:dyDescent="0.25">
      <c r="A68" s="8"/>
      <c r="B68" s="8"/>
      <c r="C68" s="9"/>
      <c r="D68" s="12" t="s">
        <v>64</v>
      </c>
      <c r="E68" s="16">
        <v>16798633.559999999</v>
      </c>
      <c r="F68" s="16">
        <v>4206885.5780516667</v>
      </c>
      <c r="G68" s="16">
        <v>288611.04999999993</v>
      </c>
      <c r="H68" s="16">
        <v>0</v>
      </c>
      <c r="I68" s="13">
        <f t="shared" si="0"/>
        <v>21294130.188051667</v>
      </c>
    </row>
    <row r="69" spans="1:9" ht="15.75" x14ac:dyDescent="0.25">
      <c r="A69" s="8"/>
      <c r="B69" s="8"/>
      <c r="C69" s="9"/>
      <c r="D69" s="12" t="s">
        <v>65</v>
      </c>
      <c r="E69" s="16">
        <v>0</v>
      </c>
      <c r="F69" s="16">
        <v>0</v>
      </c>
      <c r="G69" s="16">
        <v>4400023.0999999996</v>
      </c>
      <c r="H69" s="16">
        <v>0</v>
      </c>
      <c r="I69" s="13">
        <f t="shared" si="0"/>
        <v>4400023.0999999996</v>
      </c>
    </row>
    <row r="70" spans="1:9" ht="15.75" x14ac:dyDescent="0.25">
      <c r="A70" s="8"/>
      <c r="B70" s="8"/>
      <c r="C70" s="9"/>
      <c r="D70" s="12" t="s">
        <v>66</v>
      </c>
      <c r="E70" s="16">
        <v>0</v>
      </c>
      <c r="F70" s="16">
        <v>0</v>
      </c>
      <c r="G70" s="16">
        <v>6732014.8699999992</v>
      </c>
      <c r="H70" s="16">
        <v>0</v>
      </c>
      <c r="I70" s="13">
        <f t="shared" si="0"/>
        <v>6732014.8699999992</v>
      </c>
    </row>
    <row r="71" spans="1:9" ht="15.75" x14ac:dyDescent="0.25">
      <c r="A71" s="8"/>
      <c r="B71" s="8"/>
      <c r="C71" s="9"/>
      <c r="D71" s="12" t="s">
        <v>67</v>
      </c>
      <c r="E71" s="16">
        <v>11504.77</v>
      </c>
      <c r="F71" s="16">
        <v>109775.23616572806</v>
      </c>
      <c r="G71" s="16">
        <v>5521094.8099999996</v>
      </c>
      <c r="H71" s="16">
        <v>0</v>
      </c>
      <c r="I71" s="13">
        <f t="shared" si="0"/>
        <v>5642374.8161657276</v>
      </c>
    </row>
    <row r="72" spans="1:9" ht="15.75" x14ac:dyDescent="0.25">
      <c r="A72" s="8"/>
      <c r="B72" s="8"/>
      <c r="C72" s="9"/>
      <c r="D72" s="12" t="s">
        <v>68</v>
      </c>
      <c r="E72" s="16">
        <v>23237230.41</v>
      </c>
      <c r="F72" s="16">
        <v>6833461.2158448985</v>
      </c>
      <c r="G72" s="16">
        <v>9233018.9400000032</v>
      </c>
      <c r="H72" s="16">
        <v>0</v>
      </c>
      <c r="I72" s="13">
        <f t="shared" si="0"/>
        <v>39303710.565844901</v>
      </c>
    </row>
    <row r="73" spans="1:9" ht="15.75" x14ac:dyDescent="0.25">
      <c r="A73" s="8"/>
      <c r="B73" s="8"/>
      <c r="C73" s="9"/>
      <c r="D73" s="12" t="s">
        <v>69</v>
      </c>
      <c r="E73" s="16">
        <v>3004.69</v>
      </c>
      <c r="F73" s="16">
        <v>0</v>
      </c>
      <c r="G73" s="16">
        <v>4855894.5600000005</v>
      </c>
      <c r="H73" s="16">
        <v>0</v>
      </c>
      <c r="I73" s="13">
        <f t="shared" si="0"/>
        <v>4858899.2500000009</v>
      </c>
    </row>
    <row r="74" spans="1:9" ht="15.75" x14ac:dyDescent="0.25">
      <c r="A74" s="8"/>
      <c r="B74" s="8"/>
      <c r="C74" s="9"/>
      <c r="D74" s="12" t="s">
        <v>70</v>
      </c>
      <c r="E74" s="16">
        <v>4208809.8500000006</v>
      </c>
      <c r="F74" s="16">
        <v>577973.23137859232</v>
      </c>
      <c r="G74" s="16">
        <v>30695084.160000004</v>
      </c>
      <c r="H74" s="16">
        <v>0</v>
      </c>
      <c r="I74" s="13">
        <f t="shared" ref="I74:I137" si="1">SUM(E74:H74)</f>
        <v>35481867.241378598</v>
      </c>
    </row>
    <row r="75" spans="1:9" ht="15.75" x14ac:dyDescent="0.25">
      <c r="A75" s="8"/>
      <c r="B75" s="8"/>
      <c r="C75" s="9"/>
      <c r="D75" s="12" t="s">
        <v>71</v>
      </c>
      <c r="E75" s="16">
        <v>9635152.5600000005</v>
      </c>
      <c r="F75" s="16">
        <v>2246141.1489469451</v>
      </c>
      <c r="G75" s="16">
        <v>62744360.229999997</v>
      </c>
      <c r="H75" s="16">
        <v>0</v>
      </c>
      <c r="I75" s="13">
        <f t="shared" si="1"/>
        <v>74625653.938946947</v>
      </c>
    </row>
    <row r="76" spans="1:9" ht="15.75" x14ac:dyDescent="0.25">
      <c r="A76" s="8"/>
      <c r="B76" s="8"/>
      <c r="C76" s="9"/>
      <c r="D76" s="12" t="s">
        <v>72</v>
      </c>
      <c r="E76" s="16">
        <v>0</v>
      </c>
      <c r="F76" s="16">
        <v>0</v>
      </c>
      <c r="G76" s="16">
        <v>15011505.040000001</v>
      </c>
      <c r="H76" s="16">
        <v>0</v>
      </c>
      <c r="I76" s="13">
        <f t="shared" si="1"/>
        <v>15011505.040000001</v>
      </c>
    </row>
    <row r="77" spans="1:9" ht="15.75" x14ac:dyDescent="0.25">
      <c r="A77" s="8"/>
      <c r="B77" s="8"/>
      <c r="C77" s="9"/>
      <c r="D77" s="12" t="s">
        <v>73</v>
      </c>
      <c r="E77" s="16">
        <v>10095859.35</v>
      </c>
      <c r="F77" s="16">
        <v>11139068.929691046</v>
      </c>
      <c r="G77" s="16">
        <v>795659.09000000008</v>
      </c>
      <c r="H77" s="16">
        <v>0</v>
      </c>
      <c r="I77" s="13">
        <f t="shared" si="1"/>
        <v>22030587.369691048</v>
      </c>
    </row>
    <row r="78" spans="1:9" ht="15.75" x14ac:dyDescent="0.25">
      <c r="A78" s="8"/>
      <c r="B78" s="8"/>
      <c r="C78" s="9"/>
      <c r="D78" s="12" t="s">
        <v>74</v>
      </c>
      <c r="E78" s="16">
        <v>18606277.219999999</v>
      </c>
      <c r="F78" s="16">
        <v>11303731.783939637</v>
      </c>
      <c r="G78" s="16">
        <v>1306840.4099999999</v>
      </c>
      <c r="H78" s="16">
        <v>0</v>
      </c>
      <c r="I78" s="13">
        <f t="shared" si="1"/>
        <v>31216849.413939636</v>
      </c>
    </row>
    <row r="79" spans="1:9" ht="15.75" x14ac:dyDescent="0.25">
      <c r="A79" s="8"/>
      <c r="B79" s="8"/>
      <c r="C79" s="9"/>
      <c r="D79" s="12" t="s">
        <v>75</v>
      </c>
      <c r="E79" s="16">
        <v>18711210.569999997</v>
      </c>
      <c r="F79" s="16">
        <v>6346935.8576232996</v>
      </c>
      <c r="G79" s="16">
        <v>1097399.46</v>
      </c>
      <c r="H79" s="16">
        <v>0</v>
      </c>
      <c r="I79" s="13">
        <f t="shared" si="1"/>
        <v>26155545.887623295</v>
      </c>
    </row>
    <row r="80" spans="1:9" ht="15.75" x14ac:dyDescent="0.25">
      <c r="A80" s="8"/>
      <c r="B80" s="8"/>
      <c r="C80" s="9"/>
      <c r="D80" s="12" t="s">
        <v>76</v>
      </c>
      <c r="E80" s="16">
        <v>5967517.8699999992</v>
      </c>
      <c r="F80" s="16">
        <v>3354568.7272020974</v>
      </c>
      <c r="G80" s="16">
        <v>364206.51999999996</v>
      </c>
      <c r="H80" s="16">
        <v>0</v>
      </c>
      <c r="I80" s="13">
        <f t="shared" si="1"/>
        <v>9686293.1172020957</v>
      </c>
    </row>
    <row r="81" spans="1:9" ht="15.75" x14ac:dyDescent="0.25">
      <c r="A81" s="8"/>
      <c r="B81" s="8"/>
      <c r="C81" s="9"/>
      <c r="D81" s="12" t="s">
        <v>77</v>
      </c>
      <c r="E81" s="16">
        <v>50750647.049999997</v>
      </c>
      <c r="F81" s="16">
        <v>20240588.553338699</v>
      </c>
      <c r="G81" s="16">
        <v>2810877.55</v>
      </c>
      <c r="H81" s="16">
        <v>0</v>
      </c>
      <c r="I81" s="13">
        <f t="shared" si="1"/>
        <v>73802113.153338686</v>
      </c>
    </row>
    <row r="82" spans="1:9" ht="15.75" x14ac:dyDescent="0.25">
      <c r="A82" s="8"/>
      <c r="B82" s="8"/>
      <c r="C82" s="9"/>
      <c r="D82" s="12" t="s">
        <v>78</v>
      </c>
      <c r="E82" s="16">
        <v>70508658.529999986</v>
      </c>
      <c r="F82" s="16">
        <v>14029029.55752735</v>
      </c>
      <c r="G82" s="16">
        <v>1399949.1800000002</v>
      </c>
      <c r="H82" s="16">
        <v>0</v>
      </c>
      <c r="I82" s="13">
        <f t="shared" si="1"/>
        <v>85937637.267527342</v>
      </c>
    </row>
    <row r="83" spans="1:9" ht="15.75" x14ac:dyDescent="0.25">
      <c r="A83" s="8"/>
      <c r="B83" s="8"/>
      <c r="C83" s="9"/>
      <c r="D83" s="12" t="s">
        <v>79</v>
      </c>
      <c r="E83" s="16">
        <v>11921897.819999995</v>
      </c>
      <c r="F83" s="16">
        <v>5761593.8926638747</v>
      </c>
      <c r="G83" s="16">
        <v>2152567.4099999997</v>
      </c>
      <c r="H83" s="16">
        <v>0</v>
      </c>
      <c r="I83" s="13">
        <f t="shared" si="1"/>
        <v>19836059.12266387</v>
      </c>
    </row>
    <row r="84" spans="1:9" ht="15.75" x14ac:dyDescent="0.25">
      <c r="A84" s="8"/>
      <c r="B84" s="8"/>
      <c r="C84" s="9"/>
      <c r="D84" s="12" t="s">
        <v>80</v>
      </c>
      <c r="E84" s="16">
        <v>0</v>
      </c>
      <c r="F84" s="16">
        <v>0</v>
      </c>
      <c r="G84" s="16">
        <v>24208133.75</v>
      </c>
      <c r="H84" s="16">
        <v>0</v>
      </c>
      <c r="I84" s="13">
        <f t="shared" si="1"/>
        <v>24208133.75</v>
      </c>
    </row>
    <row r="85" spans="1:9" ht="15.75" x14ac:dyDescent="0.25">
      <c r="A85" s="8"/>
      <c r="B85" s="8"/>
      <c r="C85" s="9"/>
      <c r="D85" s="12" t="s">
        <v>81</v>
      </c>
      <c r="E85" s="16">
        <v>15246195.609999998</v>
      </c>
      <c r="F85" s="16">
        <v>1792491.6790090569</v>
      </c>
      <c r="G85" s="16">
        <v>8047377.9800000004</v>
      </c>
      <c r="H85" s="16">
        <v>0</v>
      </c>
      <c r="I85" s="13">
        <f t="shared" si="1"/>
        <v>25086065.269009054</v>
      </c>
    </row>
    <row r="86" spans="1:9" ht="15.75" x14ac:dyDescent="0.25">
      <c r="A86" s="8"/>
      <c r="B86" s="8"/>
      <c r="C86" s="9"/>
      <c r="D86" s="12" t="s">
        <v>82</v>
      </c>
      <c r="E86" s="16">
        <v>9245973.1199999992</v>
      </c>
      <c r="F86" s="16">
        <v>7444404.8064505477</v>
      </c>
      <c r="G86" s="16">
        <v>1114840.21</v>
      </c>
      <c r="H86" s="16">
        <v>0</v>
      </c>
      <c r="I86" s="13">
        <f t="shared" si="1"/>
        <v>17805218.136450548</v>
      </c>
    </row>
    <row r="87" spans="1:9" ht="15.75" x14ac:dyDescent="0.25">
      <c r="A87" s="8"/>
      <c r="B87" s="8"/>
      <c r="C87" s="9"/>
      <c r="D87" s="12" t="s">
        <v>83</v>
      </c>
      <c r="E87" s="16">
        <v>6224992.9599999981</v>
      </c>
      <c r="F87" s="16">
        <v>9803911.0874102935</v>
      </c>
      <c r="G87" s="16">
        <v>527828.83000000007</v>
      </c>
      <c r="H87" s="16">
        <v>0</v>
      </c>
      <c r="I87" s="13">
        <f t="shared" si="1"/>
        <v>16556732.877410291</v>
      </c>
    </row>
    <row r="88" spans="1:9" ht="15.75" x14ac:dyDescent="0.25">
      <c r="A88" s="8"/>
      <c r="B88" s="8"/>
      <c r="C88" s="9"/>
      <c r="D88" s="12" t="s">
        <v>84</v>
      </c>
      <c r="E88" s="16">
        <v>4156758.62</v>
      </c>
      <c r="F88" s="16">
        <v>0</v>
      </c>
      <c r="G88" s="16">
        <v>19319899.649999999</v>
      </c>
      <c r="H88" s="16">
        <v>0</v>
      </c>
      <c r="I88" s="13">
        <f t="shared" si="1"/>
        <v>23476658.27</v>
      </c>
    </row>
    <row r="89" spans="1:9" ht="15.75" x14ac:dyDescent="0.25">
      <c r="A89" s="8"/>
      <c r="B89" s="8"/>
      <c r="C89" s="9"/>
      <c r="D89" s="12" t="s">
        <v>85</v>
      </c>
      <c r="E89" s="16">
        <v>10440753.419999998</v>
      </c>
      <c r="F89" s="16">
        <v>9613646.6075154766</v>
      </c>
      <c r="G89" s="16">
        <v>715923.59000000008</v>
      </c>
      <c r="H89" s="16">
        <v>0</v>
      </c>
      <c r="I89" s="13">
        <f t="shared" si="1"/>
        <v>20770323.617515475</v>
      </c>
    </row>
    <row r="90" spans="1:9" ht="15.75" x14ac:dyDescent="0.25">
      <c r="A90" s="8"/>
      <c r="B90" s="8"/>
      <c r="C90" s="9"/>
      <c r="D90" s="12" t="s">
        <v>86</v>
      </c>
      <c r="E90" s="16">
        <v>3103661.0699999994</v>
      </c>
      <c r="F90" s="16">
        <v>2487514.4091908652</v>
      </c>
      <c r="G90" s="16">
        <v>1847238.92</v>
      </c>
      <c r="H90" s="16">
        <v>0</v>
      </c>
      <c r="I90" s="13">
        <f t="shared" si="1"/>
        <v>7438414.3991908645</v>
      </c>
    </row>
    <row r="91" spans="1:9" ht="15.75" x14ac:dyDescent="0.25">
      <c r="A91" s="8"/>
      <c r="B91" s="8"/>
      <c r="C91" s="9"/>
      <c r="D91" s="12" t="s">
        <v>87</v>
      </c>
      <c r="E91" s="16">
        <v>8969324.9400000013</v>
      </c>
      <c r="F91" s="16">
        <v>5673830.3862972986</v>
      </c>
      <c r="G91" s="16">
        <v>2954191.59</v>
      </c>
      <c r="H91" s="16">
        <v>0</v>
      </c>
      <c r="I91" s="13">
        <f t="shared" si="1"/>
        <v>17597346.916297302</v>
      </c>
    </row>
    <row r="92" spans="1:9" ht="15.75" x14ac:dyDescent="0.25">
      <c r="A92" s="8"/>
      <c r="B92" s="8"/>
      <c r="C92" s="9"/>
      <c r="D92" s="12" t="s">
        <v>88</v>
      </c>
      <c r="E92" s="16">
        <v>1152273.03</v>
      </c>
      <c r="F92" s="16">
        <v>782880.70749172824</v>
      </c>
      <c r="G92" s="16">
        <v>8961194.9100000001</v>
      </c>
      <c r="H92" s="16">
        <v>0</v>
      </c>
      <c r="I92" s="13">
        <f t="shared" si="1"/>
        <v>10896348.647491729</v>
      </c>
    </row>
    <row r="93" spans="1:9" ht="15.75" x14ac:dyDescent="0.25">
      <c r="A93" s="8"/>
      <c r="B93" s="8"/>
      <c r="C93" s="9"/>
      <c r="D93" s="12" t="s">
        <v>89</v>
      </c>
      <c r="E93" s="16">
        <v>17806522.57</v>
      </c>
      <c r="F93" s="16">
        <v>6343251.4908328829</v>
      </c>
      <c r="G93" s="16">
        <v>1455326.1500000001</v>
      </c>
      <c r="H93" s="16">
        <v>0</v>
      </c>
      <c r="I93" s="13">
        <f t="shared" si="1"/>
        <v>25605100.210832883</v>
      </c>
    </row>
    <row r="94" spans="1:9" ht="15.75" x14ac:dyDescent="0.25">
      <c r="A94" s="8"/>
      <c r="B94" s="8"/>
      <c r="C94" s="9"/>
      <c r="D94" s="12" t="s">
        <v>90</v>
      </c>
      <c r="E94" s="16">
        <v>228221.83</v>
      </c>
      <c r="F94" s="16">
        <v>0</v>
      </c>
      <c r="G94" s="16">
        <v>232538.41000000003</v>
      </c>
      <c r="H94" s="16">
        <v>0</v>
      </c>
      <c r="I94" s="13">
        <f t="shared" si="1"/>
        <v>460760.24</v>
      </c>
    </row>
    <row r="95" spans="1:9" ht="15.75" x14ac:dyDescent="0.25">
      <c r="A95" s="8"/>
      <c r="B95" s="8"/>
      <c r="C95" s="9"/>
      <c r="D95" s="12" t="s">
        <v>91</v>
      </c>
      <c r="E95" s="16">
        <v>2372383.6900000004</v>
      </c>
      <c r="F95" s="16">
        <v>201223.10932272009</v>
      </c>
      <c r="G95" s="16">
        <v>8952532.5099999998</v>
      </c>
      <c r="H95" s="16">
        <v>0</v>
      </c>
      <c r="I95" s="13">
        <f t="shared" si="1"/>
        <v>11526139.30932272</v>
      </c>
    </row>
    <row r="96" spans="1:9" ht="15.75" x14ac:dyDescent="0.25">
      <c r="A96" s="8"/>
      <c r="B96" s="8"/>
      <c r="C96" s="9"/>
      <c r="D96" s="12" t="s">
        <v>92</v>
      </c>
      <c r="E96" s="16">
        <v>0</v>
      </c>
      <c r="F96" s="16">
        <v>0</v>
      </c>
      <c r="G96" s="16">
        <v>19517846.82</v>
      </c>
      <c r="H96" s="16">
        <v>0</v>
      </c>
      <c r="I96" s="13">
        <f t="shared" si="1"/>
        <v>19517846.82</v>
      </c>
    </row>
    <row r="97" spans="1:9" ht="15.75" x14ac:dyDescent="0.25">
      <c r="A97" s="8"/>
      <c r="B97" s="8"/>
      <c r="C97" s="9"/>
      <c r="D97" s="12" t="s">
        <v>93</v>
      </c>
      <c r="E97" s="16">
        <v>5716155.8400000008</v>
      </c>
      <c r="F97" s="16">
        <v>9035673.3761368841</v>
      </c>
      <c r="G97" s="16">
        <v>979091.6</v>
      </c>
      <c r="H97" s="16">
        <v>0</v>
      </c>
      <c r="I97" s="13">
        <f t="shared" si="1"/>
        <v>15730920.816136884</v>
      </c>
    </row>
    <row r="98" spans="1:9" ht="15.75" x14ac:dyDescent="0.25">
      <c r="A98" s="8"/>
      <c r="B98" s="8"/>
      <c r="C98" s="9"/>
      <c r="D98" s="12" t="s">
        <v>94</v>
      </c>
      <c r="E98" s="16">
        <v>27722584.490000006</v>
      </c>
      <c r="F98" s="16">
        <v>11885389.382108647</v>
      </c>
      <c r="G98" s="16">
        <v>6239967.9400000013</v>
      </c>
      <c r="H98" s="16">
        <v>0</v>
      </c>
      <c r="I98" s="13">
        <f t="shared" si="1"/>
        <v>45847941.812108651</v>
      </c>
    </row>
    <row r="99" spans="1:9" ht="15.75" x14ac:dyDescent="0.25">
      <c r="A99" s="8"/>
      <c r="B99" s="8"/>
      <c r="C99" s="9"/>
      <c r="D99" s="12" t="s">
        <v>95</v>
      </c>
      <c r="E99" s="16">
        <v>31472404.16</v>
      </c>
      <c r="F99" s="16">
        <v>22647708.189743821</v>
      </c>
      <c r="G99" s="16">
        <v>2902040.1800000006</v>
      </c>
      <c r="H99" s="16">
        <v>0</v>
      </c>
      <c r="I99" s="13">
        <f t="shared" si="1"/>
        <v>57022152.52974382</v>
      </c>
    </row>
    <row r="100" spans="1:9" ht="15.75" x14ac:dyDescent="0.25">
      <c r="A100" s="8"/>
      <c r="B100" s="8"/>
      <c r="C100" s="9"/>
      <c r="D100" s="12" t="s">
        <v>96</v>
      </c>
      <c r="E100" s="16">
        <v>37050320.030000009</v>
      </c>
      <c r="F100" s="16">
        <v>22658666.819171727</v>
      </c>
      <c r="G100" s="16">
        <v>8166736.870000001</v>
      </c>
      <c r="H100" s="16">
        <v>0</v>
      </c>
      <c r="I100" s="13">
        <f t="shared" si="1"/>
        <v>67875723.719171733</v>
      </c>
    </row>
    <row r="101" spans="1:9" ht="15.75" x14ac:dyDescent="0.25">
      <c r="A101" s="8"/>
      <c r="B101" s="8"/>
      <c r="C101" s="9"/>
      <c r="D101" s="12" t="s">
        <v>97</v>
      </c>
      <c r="E101" s="16">
        <v>677491.87000000011</v>
      </c>
      <c r="F101" s="16">
        <v>30406417.824699853</v>
      </c>
      <c r="G101" s="16">
        <v>192094.61000000002</v>
      </c>
      <c r="H101" s="16">
        <v>0</v>
      </c>
      <c r="I101" s="13">
        <f t="shared" si="1"/>
        <v>31276004.304699853</v>
      </c>
    </row>
    <row r="102" spans="1:9" ht="15.75" x14ac:dyDescent="0.25">
      <c r="A102" s="8"/>
      <c r="B102" s="8"/>
      <c r="C102" s="9"/>
      <c r="D102" s="12" t="s">
        <v>98</v>
      </c>
      <c r="E102" s="16">
        <v>42489200.989999995</v>
      </c>
      <c r="F102" s="16">
        <v>13074306.204092884</v>
      </c>
      <c r="G102" s="16">
        <v>3574158.4799999995</v>
      </c>
      <c r="H102" s="16">
        <v>0</v>
      </c>
      <c r="I102" s="13">
        <f t="shared" si="1"/>
        <v>59137665.674092874</v>
      </c>
    </row>
    <row r="103" spans="1:9" ht="15.75" x14ac:dyDescent="0.25">
      <c r="A103" s="8"/>
      <c r="B103" s="8"/>
      <c r="C103" s="9"/>
      <c r="D103" s="12" t="s">
        <v>99</v>
      </c>
      <c r="E103" s="16">
        <v>13538699.569999997</v>
      </c>
      <c r="F103" s="16">
        <v>4151997.9599688021</v>
      </c>
      <c r="G103" s="16">
        <v>817297.12999999989</v>
      </c>
      <c r="H103" s="16">
        <v>0</v>
      </c>
      <c r="I103" s="13">
        <f t="shared" si="1"/>
        <v>18507994.659968797</v>
      </c>
    </row>
    <row r="104" spans="1:9" ht="15.75" x14ac:dyDescent="0.25">
      <c r="A104" s="8"/>
      <c r="B104" s="8"/>
      <c r="C104" s="9"/>
      <c r="D104" s="12" t="s">
        <v>100</v>
      </c>
      <c r="E104" s="16">
        <v>49596986.390000015</v>
      </c>
      <c r="F104" s="16">
        <v>7587055.9308999879</v>
      </c>
      <c r="G104" s="16">
        <v>7786211.6600000001</v>
      </c>
      <c r="H104" s="16">
        <v>0</v>
      </c>
      <c r="I104" s="13">
        <f t="shared" si="1"/>
        <v>64970253.980900005</v>
      </c>
    </row>
    <row r="105" spans="1:9" ht="15.75" x14ac:dyDescent="0.25">
      <c r="A105" s="8"/>
      <c r="B105" s="8"/>
      <c r="C105" s="9"/>
      <c r="D105" s="12" t="s">
        <v>101</v>
      </c>
      <c r="E105" s="16">
        <v>7253565.0899999989</v>
      </c>
      <c r="F105" s="16">
        <v>11267171.528865511</v>
      </c>
      <c r="G105" s="16">
        <v>62293.02</v>
      </c>
      <c r="H105" s="16">
        <v>0</v>
      </c>
      <c r="I105" s="13">
        <f t="shared" si="1"/>
        <v>18583029.638865508</v>
      </c>
    </row>
    <row r="106" spans="1:9" ht="15.75" x14ac:dyDescent="0.25">
      <c r="A106" s="8"/>
      <c r="B106" s="8"/>
      <c r="C106" s="9"/>
      <c r="D106" s="12" t="s">
        <v>102</v>
      </c>
      <c r="E106" s="16">
        <v>8697545.3099999987</v>
      </c>
      <c r="F106" s="16">
        <v>695022.73018180835</v>
      </c>
      <c r="G106" s="16">
        <v>13952751.779999999</v>
      </c>
      <c r="H106" s="16">
        <v>0</v>
      </c>
      <c r="I106" s="13">
        <f t="shared" si="1"/>
        <v>23345319.820181806</v>
      </c>
    </row>
    <row r="107" spans="1:9" ht="15.75" x14ac:dyDescent="0.25">
      <c r="A107" s="8"/>
      <c r="B107" s="8"/>
      <c r="C107" s="9"/>
      <c r="D107" s="12" t="s">
        <v>103</v>
      </c>
      <c r="E107" s="16">
        <v>5932.74</v>
      </c>
      <c r="F107" s="16">
        <v>0</v>
      </c>
      <c r="G107" s="16">
        <v>2889787.0399999996</v>
      </c>
      <c r="H107" s="16">
        <v>0</v>
      </c>
      <c r="I107" s="13">
        <f t="shared" si="1"/>
        <v>2895719.78</v>
      </c>
    </row>
    <row r="108" spans="1:9" ht="15.75" x14ac:dyDescent="0.25">
      <c r="A108" s="8"/>
      <c r="B108" s="8"/>
      <c r="C108" s="9"/>
      <c r="D108" s="12" t="s">
        <v>104</v>
      </c>
      <c r="E108" s="16">
        <v>920563.9600000002</v>
      </c>
      <c r="F108" s="16">
        <v>0</v>
      </c>
      <c r="G108" s="16">
        <v>3211627.0500000007</v>
      </c>
      <c r="H108" s="16">
        <v>0</v>
      </c>
      <c r="I108" s="13">
        <f t="shared" si="1"/>
        <v>4132191.0100000007</v>
      </c>
    </row>
    <row r="109" spans="1:9" ht="15.75" x14ac:dyDescent="0.25">
      <c r="A109" s="8"/>
      <c r="B109" s="8"/>
      <c r="C109" s="9"/>
      <c r="D109" s="12" t="s">
        <v>105</v>
      </c>
      <c r="E109" s="16">
        <v>4497901.870000001</v>
      </c>
      <c r="F109" s="16">
        <v>18122550.003566217</v>
      </c>
      <c r="G109" s="16">
        <v>511918.61000000004</v>
      </c>
      <c r="H109" s="16">
        <v>0</v>
      </c>
      <c r="I109" s="13">
        <f t="shared" si="1"/>
        <v>23132370.483566217</v>
      </c>
    </row>
    <row r="110" spans="1:9" ht="15.75" x14ac:dyDescent="0.25">
      <c r="A110" s="8"/>
      <c r="B110" s="8"/>
      <c r="C110" s="9"/>
      <c r="D110" s="12" t="s">
        <v>106</v>
      </c>
      <c r="E110" s="16">
        <v>4279876.3900000006</v>
      </c>
      <c r="F110" s="16">
        <v>4451943.2050860021</v>
      </c>
      <c r="G110" s="16">
        <v>792730.38</v>
      </c>
      <c r="H110" s="16">
        <v>0</v>
      </c>
      <c r="I110" s="13">
        <f t="shared" si="1"/>
        <v>9524549.9750860035</v>
      </c>
    </row>
    <row r="111" spans="1:9" ht="15.75" x14ac:dyDescent="0.25">
      <c r="A111" s="8"/>
      <c r="B111" s="8"/>
      <c r="C111" s="9"/>
      <c r="D111" s="12" t="s">
        <v>107</v>
      </c>
      <c r="E111" s="16">
        <v>80315.239999999991</v>
      </c>
      <c r="F111" s="16">
        <v>69530.614301184032</v>
      </c>
      <c r="G111" s="16">
        <v>20774845.170000002</v>
      </c>
      <c r="H111" s="16">
        <v>0</v>
      </c>
      <c r="I111" s="13">
        <f t="shared" si="1"/>
        <v>20924691.024301186</v>
      </c>
    </row>
    <row r="112" spans="1:9" ht="15.75" x14ac:dyDescent="0.25">
      <c r="A112" s="8"/>
      <c r="B112" s="8"/>
      <c r="C112" s="9"/>
      <c r="D112" s="12" t="s">
        <v>108</v>
      </c>
      <c r="E112" s="16">
        <v>12390586.189999999</v>
      </c>
      <c r="F112" s="16">
        <v>4755572.8169936175</v>
      </c>
      <c r="G112" s="16">
        <v>1480952.04</v>
      </c>
      <c r="H112" s="16">
        <v>0</v>
      </c>
      <c r="I112" s="13">
        <f t="shared" si="1"/>
        <v>18627111.046993617</v>
      </c>
    </row>
    <row r="113" spans="1:9" ht="15.75" x14ac:dyDescent="0.25">
      <c r="A113" s="8"/>
      <c r="B113" s="8"/>
      <c r="C113" s="9"/>
      <c r="D113" s="12" t="s">
        <v>109</v>
      </c>
      <c r="E113" s="16">
        <v>11863124.139999997</v>
      </c>
      <c r="F113" s="16">
        <v>11450067.275179494</v>
      </c>
      <c r="G113" s="16">
        <v>1921201.1799999997</v>
      </c>
      <c r="H113" s="16">
        <v>0</v>
      </c>
      <c r="I113" s="13">
        <f t="shared" si="1"/>
        <v>25234392.595179491</v>
      </c>
    </row>
    <row r="114" spans="1:9" ht="15.75" x14ac:dyDescent="0.25">
      <c r="A114" s="8"/>
      <c r="B114" s="8"/>
      <c r="C114" s="9"/>
      <c r="D114" s="12" t="s">
        <v>110</v>
      </c>
      <c r="E114" s="16">
        <v>35227979.279999994</v>
      </c>
      <c r="F114" s="16">
        <v>13132783.71802282</v>
      </c>
      <c r="G114" s="16">
        <v>2426768.62</v>
      </c>
      <c r="H114" s="16">
        <v>0</v>
      </c>
      <c r="I114" s="13">
        <f t="shared" si="1"/>
        <v>50787531.618022807</v>
      </c>
    </row>
    <row r="115" spans="1:9" ht="15.75" x14ac:dyDescent="0.25">
      <c r="A115" s="8"/>
      <c r="B115" s="8"/>
      <c r="C115" s="9"/>
      <c r="D115" s="12" t="s">
        <v>111</v>
      </c>
      <c r="E115" s="16">
        <v>44313565.939999998</v>
      </c>
      <c r="F115" s="16">
        <v>6493271.3488631546</v>
      </c>
      <c r="G115" s="16">
        <v>2424564.0999999996</v>
      </c>
      <c r="H115" s="16">
        <v>0</v>
      </c>
      <c r="I115" s="13">
        <f t="shared" si="1"/>
        <v>53231401.388863154</v>
      </c>
    </row>
    <row r="116" spans="1:9" ht="15.75" x14ac:dyDescent="0.25">
      <c r="A116" s="8"/>
      <c r="B116" s="8"/>
      <c r="C116" s="9"/>
      <c r="D116" s="12" t="s">
        <v>112</v>
      </c>
      <c r="E116" s="16">
        <v>9323435.9699999988</v>
      </c>
      <c r="F116" s="16">
        <v>8432098.5191120692</v>
      </c>
      <c r="G116" s="16">
        <v>353731.86</v>
      </c>
      <c r="H116" s="16">
        <v>0</v>
      </c>
      <c r="I116" s="13">
        <f t="shared" si="1"/>
        <v>18109266.349112067</v>
      </c>
    </row>
    <row r="117" spans="1:9" ht="15.75" x14ac:dyDescent="0.25">
      <c r="A117" s="8"/>
      <c r="B117" s="8"/>
      <c r="C117" s="9"/>
      <c r="D117" s="12" t="s">
        <v>113</v>
      </c>
      <c r="E117" s="16">
        <v>8056938.6099999994</v>
      </c>
      <c r="F117" s="16">
        <v>6511504.2409285475</v>
      </c>
      <c r="G117" s="16">
        <v>1312453.3799999999</v>
      </c>
      <c r="H117" s="16">
        <v>0</v>
      </c>
      <c r="I117" s="13">
        <f t="shared" si="1"/>
        <v>15880896.230928548</v>
      </c>
    </row>
    <row r="118" spans="1:9" ht="15.75" x14ac:dyDescent="0.25">
      <c r="A118" s="8"/>
      <c r="B118" s="8"/>
      <c r="C118" s="9"/>
      <c r="D118" s="12" t="s">
        <v>114</v>
      </c>
      <c r="E118" s="16">
        <v>14419944.440000001</v>
      </c>
      <c r="F118" s="16">
        <v>10169702.580038261</v>
      </c>
      <c r="G118" s="16">
        <v>1901785.17</v>
      </c>
      <c r="H118" s="16">
        <v>0</v>
      </c>
      <c r="I118" s="13">
        <f t="shared" si="1"/>
        <v>26491432.190038264</v>
      </c>
    </row>
    <row r="119" spans="1:9" ht="15.75" x14ac:dyDescent="0.25">
      <c r="A119" s="8"/>
      <c r="B119" s="8"/>
      <c r="C119" s="9"/>
      <c r="D119" s="12" t="s">
        <v>115</v>
      </c>
      <c r="E119" s="16">
        <v>4180512.0999999992</v>
      </c>
      <c r="F119" s="16">
        <v>987693.71266152058</v>
      </c>
      <c r="G119" s="16">
        <v>633569.78999999992</v>
      </c>
      <c r="H119" s="16">
        <v>0</v>
      </c>
      <c r="I119" s="13">
        <f t="shared" si="1"/>
        <v>5801775.6026615193</v>
      </c>
    </row>
    <row r="120" spans="1:9" ht="15.75" x14ac:dyDescent="0.25">
      <c r="A120" s="8"/>
      <c r="B120" s="8"/>
      <c r="C120" s="9"/>
      <c r="D120" s="12" t="s">
        <v>116</v>
      </c>
      <c r="E120" s="16">
        <v>34708739.140000001</v>
      </c>
      <c r="F120" s="16">
        <v>4316660.8142173933</v>
      </c>
      <c r="G120" s="16">
        <v>2461131.41</v>
      </c>
      <c r="H120" s="16">
        <v>0</v>
      </c>
      <c r="I120" s="13">
        <f t="shared" si="1"/>
        <v>41486531.364217401</v>
      </c>
    </row>
    <row r="121" spans="1:9" ht="15.75" x14ac:dyDescent="0.25">
      <c r="A121" s="8"/>
      <c r="B121" s="8"/>
      <c r="C121" s="9"/>
      <c r="D121" s="12" t="s">
        <v>117</v>
      </c>
      <c r="E121" s="16">
        <v>13350609.459999999</v>
      </c>
      <c r="F121" s="16">
        <v>6405413.3715532348</v>
      </c>
      <c r="G121" s="16">
        <v>1203727.1300000001</v>
      </c>
      <c r="H121" s="16">
        <v>0</v>
      </c>
      <c r="I121" s="13">
        <f t="shared" si="1"/>
        <v>20959749.961553235</v>
      </c>
    </row>
    <row r="122" spans="1:9" ht="15.75" x14ac:dyDescent="0.25">
      <c r="A122" s="8"/>
      <c r="B122" s="8"/>
      <c r="C122" s="9"/>
      <c r="D122" s="12" t="s">
        <v>118</v>
      </c>
      <c r="E122" s="16">
        <v>15803888.190000001</v>
      </c>
      <c r="F122" s="16">
        <v>4722696.9287099065</v>
      </c>
      <c r="G122" s="16">
        <v>1392821.6</v>
      </c>
      <c r="H122" s="16">
        <v>0</v>
      </c>
      <c r="I122" s="13">
        <f t="shared" si="1"/>
        <v>21919406.718709908</v>
      </c>
    </row>
    <row r="123" spans="1:9" ht="15.75" x14ac:dyDescent="0.25">
      <c r="A123" s="8"/>
      <c r="B123" s="8"/>
      <c r="C123" s="9"/>
      <c r="D123" s="12" t="s">
        <v>119</v>
      </c>
      <c r="E123" s="16">
        <v>19394958.759999998</v>
      </c>
      <c r="F123" s="16">
        <v>8677156.1461464036</v>
      </c>
      <c r="G123" s="16">
        <v>573883.39</v>
      </c>
      <c r="H123" s="16">
        <v>0</v>
      </c>
      <c r="I123" s="13">
        <f t="shared" si="1"/>
        <v>28645998.2961464</v>
      </c>
    </row>
    <row r="124" spans="1:9" ht="15.75" x14ac:dyDescent="0.25">
      <c r="A124" s="8"/>
      <c r="B124" s="8"/>
      <c r="C124" s="9"/>
      <c r="D124" s="12" t="s">
        <v>120</v>
      </c>
      <c r="E124" s="16">
        <v>158842.63</v>
      </c>
      <c r="F124" s="16">
        <v>0</v>
      </c>
      <c r="G124" s="16">
        <v>6003020.0200000023</v>
      </c>
      <c r="H124" s="16">
        <v>71704740.814999983</v>
      </c>
      <c r="I124" s="13">
        <f t="shared" si="1"/>
        <v>77866603.464999989</v>
      </c>
    </row>
    <row r="125" spans="1:9" ht="15.75" x14ac:dyDescent="0.25">
      <c r="A125" s="8"/>
      <c r="B125" s="8"/>
      <c r="C125" s="9"/>
      <c r="D125" s="12" t="s">
        <v>121</v>
      </c>
      <c r="E125" s="16">
        <v>0</v>
      </c>
      <c r="F125" s="16">
        <v>0</v>
      </c>
      <c r="G125" s="16">
        <v>28059763.430000003</v>
      </c>
      <c r="H125" s="16">
        <v>12587403.355000004</v>
      </c>
      <c r="I125" s="13">
        <f t="shared" si="1"/>
        <v>40647166.785000011</v>
      </c>
    </row>
    <row r="126" spans="1:9" ht="15.75" x14ac:dyDescent="0.25">
      <c r="A126" s="8"/>
      <c r="B126" s="8"/>
      <c r="C126" s="9"/>
      <c r="D126" s="12" t="s">
        <v>122</v>
      </c>
      <c r="E126" s="16">
        <v>53357.880000000005</v>
      </c>
      <c r="F126" s="16">
        <v>0</v>
      </c>
      <c r="G126" s="16">
        <v>9976205.089999998</v>
      </c>
      <c r="H126" s="16">
        <v>0</v>
      </c>
      <c r="I126" s="13">
        <f t="shared" si="1"/>
        <v>10029562.969999999</v>
      </c>
    </row>
    <row r="127" spans="1:9" ht="15.75" x14ac:dyDescent="0.25">
      <c r="A127" s="8"/>
      <c r="B127" s="8"/>
      <c r="C127" s="9"/>
      <c r="D127" s="12" t="s">
        <v>123</v>
      </c>
      <c r="E127" s="16">
        <v>9524185.6999999993</v>
      </c>
      <c r="F127" s="16">
        <v>1829051.9340831847</v>
      </c>
      <c r="G127" s="16">
        <v>6311763.21</v>
      </c>
      <c r="H127" s="16">
        <v>0</v>
      </c>
      <c r="I127" s="13">
        <f t="shared" si="1"/>
        <v>17665000.844083183</v>
      </c>
    </row>
    <row r="128" spans="1:9" ht="15.75" x14ac:dyDescent="0.25">
      <c r="A128" s="8"/>
      <c r="B128" s="8"/>
      <c r="C128" s="9"/>
      <c r="D128" s="12" t="s">
        <v>124</v>
      </c>
      <c r="E128" s="16">
        <v>19014962.170000002</v>
      </c>
      <c r="F128" s="16">
        <v>5706706.2745810105</v>
      </c>
      <c r="G128" s="16">
        <v>2754016.0000000005</v>
      </c>
      <c r="H128" s="16">
        <v>0</v>
      </c>
      <c r="I128" s="13">
        <f t="shared" si="1"/>
        <v>27475684.444581013</v>
      </c>
    </row>
    <row r="129" spans="1:9" ht="15.75" x14ac:dyDescent="0.25">
      <c r="A129" s="8"/>
      <c r="B129" s="8"/>
      <c r="C129" s="9"/>
      <c r="D129" s="12" t="s">
        <v>125</v>
      </c>
      <c r="E129" s="16">
        <v>4540429.17</v>
      </c>
      <c r="F129" s="16">
        <v>2761952.4996051854</v>
      </c>
      <c r="G129" s="16">
        <v>2891619.5500000003</v>
      </c>
      <c r="H129" s="16">
        <v>0</v>
      </c>
      <c r="I129" s="13">
        <f t="shared" si="1"/>
        <v>10194001.219605185</v>
      </c>
    </row>
    <row r="130" spans="1:9" ht="15.75" x14ac:dyDescent="0.25">
      <c r="A130" s="8"/>
      <c r="B130" s="8"/>
      <c r="C130" s="9"/>
      <c r="D130" s="12" t="s">
        <v>126</v>
      </c>
      <c r="E130" s="16">
        <v>4494172.2299999995</v>
      </c>
      <c r="F130" s="16">
        <v>4865348.0531593459</v>
      </c>
      <c r="G130" s="16">
        <v>575852.05999999982</v>
      </c>
      <c r="H130" s="16">
        <v>0</v>
      </c>
      <c r="I130" s="13">
        <f t="shared" si="1"/>
        <v>9935372.3431593459</v>
      </c>
    </row>
    <row r="131" spans="1:9" ht="15.75" x14ac:dyDescent="0.25">
      <c r="A131" s="8"/>
      <c r="B131" s="8"/>
      <c r="C131" s="9"/>
      <c r="D131" s="12" t="s">
        <v>127</v>
      </c>
      <c r="E131" s="16">
        <v>60160917.589999989</v>
      </c>
      <c r="F131" s="16">
        <v>26591208.777752414</v>
      </c>
      <c r="G131" s="16">
        <v>13404153.689999999</v>
      </c>
      <c r="H131" s="16">
        <v>0</v>
      </c>
      <c r="I131" s="13">
        <f t="shared" si="1"/>
        <v>100156280.0577524</v>
      </c>
    </row>
    <row r="132" spans="1:9" ht="15.75" x14ac:dyDescent="0.25">
      <c r="A132" s="8"/>
      <c r="B132" s="8"/>
      <c r="C132" s="9"/>
      <c r="D132" s="12" t="s">
        <v>128</v>
      </c>
      <c r="E132" s="16">
        <v>10983372.810000002</v>
      </c>
      <c r="F132" s="16">
        <v>16315415.328338839</v>
      </c>
      <c r="G132" s="16">
        <v>174889.25</v>
      </c>
      <c r="H132" s="16">
        <v>0</v>
      </c>
      <c r="I132" s="13">
        <f t="shared" si="1"/>
        <v>27473677.388338841</v>
      </c>
    </row>
    <row r="133" spans="1:9" ht="15.75" x14ac:dyDescent="0.25">
      <c r="A133" s="8"/>
      <c r="B133" s="8"/>
      <c r="C133" s="9"/>
      <c r="D133" s="12" t="s">
        <v>129</v>
      </c>
      <c r="E133" s="16">
        <v>8549449.8900000006</v>
      </c>
      <c r="F133" s="16">
        <v>0</v>
      </c>
      <c r="G133" s="16">
        <v>36496429.870000005</v>
      </c>
      <c r="H133" s="16">
        <v>42714192.794999994</v>
      </c>
      <c r="I133" s="13">
        <f t="shared" si="1"/>
        <v>87760072.555000007</v>
      </c>
    </row>
    <row r="134" spans="1:9" ht="15.75" x14ac:dyDescent="0.25">
      <c r="A134" s="8"/>
      <c r="B134" s="8"/>
      <c r="C134" s="9"/>
      <c r="D134" s="12" t="s">
        <v>130</v>
      </c>
      <c r="E134" s="16">
        <v>2470847.81</v>
      </c>
      <c r="F134" s="16">
        <v>804797.96634753642</v>
      </c>
      <c r="G134" s="16">
        <v>22925.449999999997</v>
      </c>
      <c r="H134" s="16">
        <v>0</v>
      </c>
      <c r="I134" s="13">
        <f t="shared" si="1"/>
        <v>3298571.2263475368</v>
      </c>
    </row>
    <row r="135" spans="1:9" ht="15.75" x14ac:dyDescent="0.25">
      <c r="A135" s="8"/>
      <c r="B135" s="8"/>
      <c r="C135" s="9"/>
      <c r="D135" s="12" t="s">
        <v>131</v>
      </c>
      <c r="E135" s="16">
        <v>6685410.0199999996</v>
      </c>
      <c r="F135" s="16">
        <v>10169702.580038261</v>
      </c>
      <c r="G135" s="16">
        <v>680931.53</v>
      </c>
      <c r="H135" s="16">
        <v>0</v>
      </c>
      <c r="I135" s="13">
        <f t="shared" si="1"/>
        <v>17536044.130038261</v>
      </c>
    </row>
    <row r="136" spans="1:9" ht="15.75" x14ac:dyDescent="0.25">
      <c r="A136" s="8"/>
      <c r="B136" s="8"/>
      <c r="C136" s="9"/>
      <c r="D136" s="12" t="s">
        <v>132</v>
      </c>
      <c r="E136" s="16">
        <v>45538735.99000001</v>
      </c>
      <c r="F136" s="16">
        <v>12291425.496601157</v>
      </c>
      <c r="G136" s="16">
        <v>4688604.75</v>
      </c>
      <c r="H136" s="16">
        <v>0</v>
      </c>
      <c r="I136" s="13">
        <f t="shared" si="1"/>
        <v>62518766.236601166</v>
      </c>
    </row>
    <row r="137" spans="1:9" ht="15.75" x14ac:dyDescent="0.25">
      <c r="A137" s="8"/>
      <c r="B137" s="8"/>
      <c r="C137" s="9"/>
      <c r="D137" s="12" t="s">
        <v>133</v>
      </c>
      <c r="E137" s="16">
        <v>50956630.269999996</v>
      </c>
      <c r="F137" s="16">
        <v>19326109.821768779</v>
      </c>
      <c r="G137" s="16">
        <v>6680728.9499999993</v>
      </c>
      <c r="H137" s="16">
        <v>0</v>
      </c>
      <c r="I137" s="13">
        <f t="shared" si="1"/>
        <v>76963469.041768774</v>
      </c>
    </row>
    <row r="138" spans="1:9" ht="15.75" x14ac:dyDescent="0.25">
      <c r="A138" s="8"/>
      <c r="B138" s="8"/>
      <c r="C138" s="9"/>
      <c r="D138" s="12" t="s">
        <v>134</v>
      </c>
      <c r="E138" s="16">
        <v>0</v>
      </c>
      <c r="F138" s="16">
        <v>0</v>
      </c>
      <c r="G138" s="16">
        <v>11569618.700000001</v>
      </c>
      <c r="H138" s="16">
        <v>0</v>
      </c>
      <c r="I138" s="13">
        <f t="shared" ref="I138:I144" si="2">SUM(E138:H138)</f>
        <v>11569618.700000001</v>
      </c>
    </row>
    <row r="139" spans="1:9" ht="15.75" x14ac:dyDescent="0.25">
      <c r="A139" s="8"/>
      <c r="B139" s="8"/>
      <c r="C139" s="9"/>
      <c r="D139" s="12" t="s">
        <v>135</v>
      </c>
      <c r="E139" s="16">
        <v>5963114.080000001</v>
      </c>
      <c r="F139" s="16">
        <v>2893644.9946267214</v>
      </c>
      <c r="G139" s="16">
        <v>840392.8899999999</v>
      </c>
      <c r="H139" s="16">
        <v>0</v>
      </c>
      <c r="I139" s="13">
        <f t="shared" si="2"/>
        <v>9697151.964626722</v>
      </c>
    </row>
    <row r="140" spans="1:9" ht="15.75" x14ac:dyDescent="0.25">
      <c r="A140" s="8"/>
      <c r="B140" s="8"/>
      <c r="C140" s="9"/>
      <c r="D140" s="12" t="s">
        <v>136</v>
      </c>
      <c r="E140" s="16">
        <v>26831546.890000004</v>
      </c>
      <c r="F140" s="16">
        <v>20522300.906390507</v>
      </c>
      <c r="G140" s="16">
        <v>3088838.28</v>
      </c>
      <c r="H140" s="16">
        <v>0</v>
      </c>
      <c r="I140" s="13">
        <f t="shared" si="2"/>
        <v>50442686.076390512</v>
      </c>
    </row>
    <row r="141" spans="1:9" ht="15.75" x14ac:dyDescent="0.25">
      <c r="A141" s="8"/>
      <c r="B141" s="8"/>
      <c r="C141" s="9"/>
      <c r="D141" s="12" t="s">
        <v>137</v>
      </c>
      <c r="E141" s="16">
        <v>0</v>
      </c>
      <c r="F141" s="16">
        <v>0</v>
      </c>
      <c r="G141" s="16">
        <v>14108691.430000002</v>
      </c>
      <c r="H141" s="16">
        <v>4533886.7100000009</v>
      </c>
      <c r="I141" s="13">
        <f t="shared" si="2"/>
        <v>18642578.140000001</v>
      </c>
    </row>
    <row r="142" spans="1:9" ht="15.75" x14ac:dyDescent="0.25">
      <c r="A142" s="8"/>
      <c r="B142" s="8"/>
      <c r="C142" s="9"/>
      <c r="D142" s="12" t="s">
        <v>138</v>
      </c>
      <c r="E142" s="16">
        <v>109440.98999999999</v>
      </c>
      <c r="F142" s="16">
        <v>0</v>
      </c>
      <c r="G142" s="16">
        <v>2809820.4000000004</v>
      </c>
      <c r="H142" s="16">
        <v>0</v>
      </c>
      <c r="I142" s="13">
        <f t="shared" si="2"/>
        <v>2919261.3900000006</v>
      </c>
    </row>
    <row r="143" spans="1:9" ht="15.75" x14ac:dyDescent="0.25">
      <c r="A143" s="8"/>
      <c r="B143" s="8"/>
      <c r="C143" s="9"/>
      <c r="D143" s="12" t="s">
        <v>139</v>
      </c>
      <c r="E143" s="16">
        <v>1559473.6600000001</v>
      </c>
      <c r="F143" s="16">
        <v>18967592.591778297</v>
      </c>
      <c r="G143" s="16">
        <v>163109.78000000003</v>
      </c>
      <c r="H143" s="16">
        <v>0</v>
      </c>
      <c r="I143" s="13">
        <f t="shared" si="2"/>
        <v>20690176.031778298</v>
      </c>
    </row>
    <row r="144" spans="1:9" ht="15.75" x14ac:dyDescent="0.25">
      <c r="A144" s="8"/>
      <c r="B144" s="8"/>
      <c r="C144" s="9"/>
      <c r="D144" s="12" t="s">
        <v>140</v>
      </c>
      <c r="E144" s="16">
        <v>19826720.540000003</v>
      </c>
      <c r="F144" s="16">
        <v>2304618.6628768807</v>
      </c>
      <c r="G144" s="16">
        <v>4441185.13</v>
      </c>
      <c r="H144" s="16">
        <v>0</v>
      </c>
      <c r="I144" s="13">
        <f t="shared" si="2"/>
        <v>26572524.332876883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2029996661.3499999</v>
      </c>
      <c r="F145" s="22">
        <f>SUM(F10:F144)</f>
        <v>944665598.92228925</v>
      </c>
      <c r="G145" s="22">
        <f>SUM(G10:G144)</f>
        <v>756104338.10999966</v>
      </c>
      <c r="H145" s="22">
        <f>SUM(H10:H144)</f>
        <v>131540223.67499998</v>
      </c>
      <c r="I145" s="22">
        <f>SUM(I10:I144)</f>
        <v>3862306822.0572891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tabColor rgb="FF44AEAC"/>
    <pageSetUpPr fitToPage="1"/>
  </sheetPr>
  <dimension ref="A1:I145"/>
  <sheetViews>
    <sheetView showGridLines="0" zoomScale="80" zoomScaleNormal="80" workbookViewId="0"/>
  </sheetViews>
  <sheetFormatPr baseColWidth="10" defaultColWidth="12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2.83203125" style="2" customWidth="1"/>
    <col min="10" max="10" width="19.33203125" style="2" customWidth="1"/>
    <col min="11" max="16384" width="12" style="2"/>
  </cols>
  <sheetData>
    <row r="1" spans="1:9" ht="18.75" customHeight="1" x14ac:dyDescent="0.2"/>
    <row r="2" spans="1:9" ht="43.5" customHeight="1" x14ac:dyDescent="0.2"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168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169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f>+Enero!E10+Febrero!E10+Marzo!E10+Abril!E10+Mayo!E10+Junio!E10+Julio!E10+Agosto!E10+Septiembre!E10+Octubre!E10+Noviembre!E10+Diciembre!E10</f>
        <v>58764841.869999997</v>
      </c>
      <c r="F10" s="14">
        <f>+Enero!F10+Febrero!F10+Marzo!F10+Abril!F10+Mayo!F10+Junio!F10+Julio!F10+Agosto!F10+Septiembre!F10+Octubre!F10+Noviembre!F10+Diciembre!F10</f>
        <v>122864023.8750477</v>
      </c>
      <c r="G10" s="14">
        <f>+Enero!G10+Febrero!G10+Marzo!G10+Abril!G10+Mayo!G10+Junio!G10+Julio!G10+Agosto!G10+Septiembre!G10+Octubre!G10+Noviembre!G10+Diciembre!G10</f>
        <v>12722471.299999999</v>
      </c>
      <c r="H10" s="14">
        <f>+Enero!H10+Febrero!H10+Marzo!H10+Abril!H10+Mayo!H10+Junio!H10+Julio!H10+Agosto!H10+Septiembre!H10+Octubre!H10+Noviembre!H10+Diciembre!H10</f>
        <v>0</v>
      </c>
      <c r="I10" s="13">
        <f t="shared" ref="I10:I41" si="0">SUM(E10:H10)</f>
        <v>194351337.0450477</v>
      </c>
    </row>
    <row r="11" spans="1:9" ht="15.75" x14ac:dyDescent="0.25">
      <c r="A11" s="8"/>
      <c r="B11" s="8"/>
      <c r="C11" s="9"/>
      <c r="D11" s="12" t="s">
        <v>7</v>
      </c>
      <c r="E11" s="14">
        <f>+Enero!E11+Febrero!E11+Marzo!E11+Abril!E11+Mayo!E11+Junio!E11+Julio!E11+Agosto!E11+Septiembre!E11+Octubre!E11+Noviembre!E11+Diciembre!E11</f>
        <v>94757299.50999999</v>
      </c>
      <c r="F11" s="14">
        <f>+Enero!F11+Febrero!F11+Marzo!F11+Abril!F11+Mayo!F11+Junio!F11+Julio!F11+Agosto!F11+Septiembre!F11+Octubre!F11+Noviembre!F11+Diciembre!F11</f>
        <v>68960673.461065471</v>
      </c>
      <c r="G11" s="14">
        <f>+Enero!G11+Febrero!G11+Marzo!G11+Abril!G11+Mayo!G11+Junio!G11+Julio!G11+Agosto!G11+Septiembre!G11+Octubre!G11+Noviembre!G11+Diciembre!G11</f>
        <v>9249973.3399999999</v>
      </c>
      <c r="H11" s="14">
        <f>+Enero!H11+Febrero!H11+Marzo!H11+Abril!H11+Mayo!H11+Junio!H11+Julio!H11+Agosto!H11+Septiembre!H11+Octubre!H11+Noviembre!H11+Diciembre!H11</f>
        <v>0</v>
      </c>
      <c r="I11" s="13">
        <f t="shared" si="0"/>
        <v>172967946.31106547</v>
      </c>
    </row>
    <row r="12" spans="1:9" ht="15.75" x14ac:dyDescent="0.25">
      <c r="A12" s="8"/>
      <c r="B12" s="8"/>
      <c r="C12" s="9"/>
      <c r="D12" s="12" t="s">
        <v>8</v>
      </c>
      <c r="E12" s="14">
        <f>+Enero!E12+Febrero!E12+Marzo!E12+Abril!E12+Mayo!E12+Junio!E12+Julio!E12+Agosto!E12+Septiembre!E12+Octubre!E12+Noviembre!E12+Diciembre!E12</f>
        <v>82131519.450000003</v>
      </c>
      <c r="F12" s="14">
        <f>+Enero!F12+Febrero!F12+Marzo!F12+Abril!F12+Mayo!F12+Junio!F12+Julio!F12+Agosto!F12+Septiembre!F12+Octubre!F12+Noviembre!F12+Diciembre!F12</f>
        <v>25000267.838015385</v>
      </c>
      <c r="G12" s="14">
        <f>+Enero!G12+Febrero!G12+Marzo!G12+Abril!G12+Mayo!G12+Junio!G12+Julio!G12+Agosto!G12+Septiembre!G12+Octubre!G12+Noviembre!G12+Diciembre!G12</f>
        <v>22158506.229999997</v>
      </c>
      <c r="H12" s="14">
        <f>+Enero!H12+Febrero!H12+Marzo!H12+Abril!H12+Mayo!H12+Junio!H12+Julio!H12+Agosto!H12+Septiembre!H12+Octubre!H12+Noviembre!H12+Diciembre!H12</f>
        <v>0</v>
      </c>
      <c r="I12" s="13">
        <f t="shared" si="0"/>
        <v>129290293.51801538</v>
      </c>
    </row>
    <row r="13" spans="1:9" ht="15.75" x14ac:dyDescent="0.25">
      <c r="A13" s="8"/>
      <c r="B13" s="8"/>
      <c r="C13" s="9"/>
      <c r="D13" s="12" t="s">
        <v>9</v>
      </c>
      <c r="E13" s="14">
        <f>+Enero!E13+Febrero!E13+Marzo!E13+Abril!E13+Mayo!E13+Junio!E13+Julio!E13+Agosto!E13+Septiembre!E13+Octubre!E13+Noviembre!E13+Diciembre!E13</f>
        <v>16452400.540000003</v>
      </c>
      <c r="F13" s="14">
        <f>+Enero!F13+Febrero!F13+Marzo!F13+Abril!F13+Mayo!F13+Junio!F13+Julio!F13+Agosto!F13+Septiembre!F13+Octubre!F13+Noviembre!F13+Diciembre!F13</f>
        <v>661570.50371545414</v>
      </c>
      <c r="G13" s="14">
        <f>+Enero!G13+Febrero!G13+Marzo!G13+Abril!G13+Mayo!G13+Junio!G13+Julio!G13+Agosto!G13+Septiembre!G13+Octubre!G13+Noviembre!G13+Diciembre!G13</f>
        <v>104560512.65000001</v>
      </c>
      <c r="H13" s="14">
        <f>+Enero!H13+Febrero!H13+Marzo!H13+Abril!H13+Mayo!H13+Junio!H13+Julio!H13+Agosto!H13+Septiembre!H13+Octubre!H13+Noviembre!H13+Diciembre!H13</f>
        <v>0</v>
      </c>
      <c r="I13" s="13">
        <f t="shared" si="0"/>
        <v>121674483.69371547</v>
      </c>
    </row>
    <row r="14" spans="1:9" ht="15.75" x14ac:dyDescent="0.25">
      <c r="A14" s="8"/>
      <c r="B14" s="8"/>
      <c r="C14" s="9"/>
      <c r="D14" s="12" t="s">
        <v>10</v>
      </c>
      <c r="E14" s="14">
        <f>+Enero!E14+Febrero!E14+Marzo!E14+Abril!E14+Mayo!E14+Junio!E14+Julio!E14+Agosto!E14+Septiembre!E14+Octubre!E14+Noviembre!E14+Diciembre!E14</f>
        <v>109073714.11000003</v>
      </c>
      <c r="F14" s="14">
        <f>+Enero!F14+Febrero!F14+Marzo!F14+Abril!F14+Mayo!F14+Junio!F14+Julio!F14+Agosto!F14+Septiembre!F14+Octubre!F14+Noviembre!F14+Diciembre!F14</f>
        <v>27778075.375572652</v>
      </c>
      <c r="G14" s="14">
        <f>+Enero!G14+Febrero!G14+Marzo!G14+Abril!G14+Mayo!G14+Junio!G14+Julio!G14+Agosto!G14+Septiembre!G14+Octubre!G14+Noviembre!G14+Diciembre!G14</f>
        <v>16384494.35</v>
      </c>
      <c r="H14" s="14">
        <f>+Enero!H14+Febrero!H14+Marzo!H14+Abril!H14+Mayo!H14+Junio!H14+Julio!H14+Agosto!H14+Septiembre!H14+Octubre!H14+Noviembre!H14+Diciembre!H14</f>
        <v>0</v>
      </c>
      <c r="I14" s="13">
        <f t="shared" si="0"/>
        <v>153236283.83557269</v>
      </c>
    </row>
    <row r="15" spans="1:9" ht="15.75" x14ac:dyDescent="0.25">
      <c r="A15" s="8"/>
      <c r="B15" s="8"/>
      <c r="C15" s="9"/>
      <c r="D15" s="12" t="s">
        <v>11</v>
      </c>
      <c r="E15" s="14">
        <f>+Enero!E15+Febrero!E15+Marzo!E15+Abril!E15+Mayo!E15+Junio!E15+Julio!E15+Agosto!E15+Septiembre!E15+Octubre!E15+Noviembre!E15+Diciembre!E15</f>
        <v>7538033.8300000001</v>
      </c>
      <c r="F15" s="14">
        <f>+Enero!F15+Febrero!F15+Marzo!F15+Abril!F15+Mayo!F15+Junio!F15+Julio!F15+Agosto!F15+Septiembre!F15+Octubre!F15+Noviembre!F15+Diciembre!F15</f>
        <v>154294.84987002503</v>
      </c>
      <c r="G15" s="14">
        <f>+Enero!G15+Febrero!G15+Marzo!G15+Abril!G15+Mayo!G15+Junio!G15+Julio!G15+Agosto!G15+Septiembre!G15+Octubre!G15+Noviembre!G15+Diciembre!G15</f>
        <v>112588303.48</v>
      </c>
      <c r="H15" s="14">
        <f>+Enero!H15+Febrero!H15+Marzo!H15+Abril!H15+Mayo!H15+Junio!H15+Julio!H15+Agosto!H15+Septiembre!H15+Octubre!H15+Noviembre!H15+Diciembre!H15</f>
        <v>0</v>
      </c>
      <c r="I15" s="13">
        <f t="shared" si="0"/>
        <v>120280632.15987003</v>
      </c>
    </row>
    <row r="16" spans="1:9" ht="15.75" x14ac:dyDescent="0.25">
      <c r="A16" s="8"/>
      <c r="B16" s="8"/>
      <c r="C16" s="9"/>
      <c r="D16" s="12" t="s">
        <v>12</v>
      </c>
      <c r="E16" s="14">
        <f>+Enero!E16+Febrero!E16+Marzo!E16+Abril!E16+Mayo!E16+Junio!E16+Julio!E16+Agosto!E16+Septiembre!E16+Octubre!E16+Noviembre!E16+Diciembre!E16</f>
        <v>139725705.69</v>
      </c>
      <c r="F16" s="14">
        <f>+Enero!F16+Febrero!F16+Marzo!F16+Abril!F16+Mayo!F16+Junio!F16+Julio!F16+Agosto!F16+Septiembre!F16+Octubre!F16+Noviembre!F16+Diciembre!F16</f>
        <v>132453979.21080911</v>
      </c>
      <c r="G16" s="14">
        <f>+Enero!G16+Febrero!G16+Marzo!G16+Abril!G16+Mayo!G16+Junio!G16+Julio!G16+Agosto!G16+Septiembre!G16+Octubre!G16+Noviembre!G16+Diciembre!G16</f>
        <v>19130870.280000001</v>
      </c>
      <c r="H16" s="14">
        <f>+Enero!H16+Febrero!H16+Marzo!H16+Abril!H16+Mayo!H16+Junio!H16+Julio!H16+Agosto!H16+Septiembre!H16+Octubre!H16+Noviembre!H16+Diciembre!H16</f>
        <v>0</v>
      </c>
      <c r="I16" s="13">
        <f t="shared" si="0"/>
        <v>291310555.18080914</v>
      </c>
    </row>
    <row r="17" spans="1:9" ht="15.75" x14ac:dyDescent="0.25">
      <c r="A17" s="8"/>
      <c r="B17" s="8"/>
      <c r="C17" s="9"/>
      <c r="D17" s="12" t="s">
        <v>13</v>
      </c>
      <c r="E17" s="14">
        <f>+Enero!E17+Febrero!E17+Marzo!E17+Abril!E17+Mayo!E17+Junio!E17+Julio!E17+Agosto!E17+Septiembre!E17+Octubre!E17+Noviembre!E17+Diciembre!E17</f>
        <v>292090867.23000002</v>
      </c>
      <c r="F17" s="14">
        <f>+Enero!F17+Febrero!F17+Marzo!F17+Abril!F17+Mayo!F17+Junio!F17+Julio!F17+Agosto!F17+Septiembre!F17+Octubre!F17+Noviembre!F17+Diciembre!F17</f>
        <v>121765190.31165126</v>
      </c>
      <c r="G17" s="14">
        <f>+Enero!G17+Febrero!G17+Marzo!G17+Abril!G17+Mayo!G17+Junio!G17+Julio!G17+Agosto!G17+Septiembre!G17+Octubre!G17+Noviembre!G17+Diciembre!G17</f>
        <v>38995679.880000003</v>
      </c>
      <c r="H17" s="14">
        <f>+Enero!H17+Febrero!H17+Marzo!H17+Abril!H17+Mayo!H17+Junio!H17+Julio!H17+Agosto!H17+Septiembre!H17+Octubre!H17+Noviembre!H17+Diciembre!H17</f>
        <v>0</v>
      </c>
      <c r="I17" s="13">
        <f t="shared" si="0"/>
        <v>452851737.42165124</v>
      </c>
    </row>
    <row r="18" spans="1:9" ht="15.75" x14ac:dyDescent="0.25">
      <c r="A18" s="8"/>
      <c r="B18" s="8"/>
      <c r="C18" s="9"/>
      <c r="D18" s="12" t="s">
        <v>14</v>
      </c>
      <c r="E18" s="14">
        <f>+Enero!E18+Febrero!E18+Marzo!E18+Abril!E18+Mayo!E18+Junio!E18+Julio!E18+Agosto!E18+Septiembre!E18+Octubre!E18+Noviembre!E18+Diciembre!E18</f>
        <v>45098586.850000009</v>
      </c>
      <c r="F18" s="14">
        <f>+Enero!F18+Febrero!F18+Marzo!F18+Abril!F18+Mayo!F18+Junio!F18+Julio!F18+Agosto!F18+Septiembre!F18+Octubre!F18+Noviembre!F18+Diciembre!F18</f>
        <v>9920744.913216792</v>
      </c>
      <c r="G18" s="14">
        <f>+Enero!G18+Febrero!G18+Marzo!G18+Abril!G18+Mayo!G18+Junio!G18+Julio!G18+Agosto!G18+Septiembre!G18+Octubre!G18+Noviembre!G18+Diciembre!G18</f>
        <v>203818751.60000002</v>
      </c>
      <c r="H18" s="14">
        <f>+Enero!H18+Febrero!H18+Marzo!H18+Abril!H18+Mayo!H18+Junio!H18+Julio!H18+Agosto!H18+Septiembre!H18+Octubre!H18+Noviembre!H18+Diciembre!H18</f>
        <v>0</v>
      </c>
      <c r="I18" s="13">
        <f t="shared" si="0"/>
        <v>258838083.36321682</v>
      </c>
    </row>
    <row r="19" spans="1:9" ht="15.75" x14ac:dyDescent="0.25">
      <c r="A19" s="8"/>
      <c r="B19" s="8"/>
      <c r="C19" s="9"/>
      <c r="D19" s="12" t="s">
        <v>15</v>
      </c>
      <c r="E19" s="14">
        <f>+Enero!E19+Febrero!E19+Marzo!E19+Abril!E19+Mayo!E19+Junio!E19+Julio!E19+Agosto!E19+Septiembre!E19+Octubre!E19+Noviembre!E19+Diciembre!E19</f>
        <v>277157399.22000003</v>
      </c>
      <c r="F19" s="14">
        <f>+Enero!F19+Febrero!F19+Marzo!F19+Abril!F19+Mayo!F19+Junio!F19+Julio!F19+Agosto!F19+Septiembre!F19+Octubre!F19+Noviembre!F19+Diciembre!F19</f>
        <v>94689120.087137625</v>
      </c>
      <c r="G19" s="14">
        <f>+Enero!G19+Febrero!G19+Marzo!G19+Abril!G19+Mayo!G19+Junio!G19+Julio!G19+Agosto!G19+Septiembre!G19+Octubre!G19+Noviembre!G19+Diciembre!G19</f>
        <v>35854573.299999997</v>
      </c>
      <c r="H19" s="14">
        <f>+Enero!H19+Febrero!H19+Marzo!H19+Abril!H19+Mayo!H19+Junio!H19+Julio!H19+Agosto!H19+Septiembre!H19+Octubre!H19+Noviembre!H19+Diciembre!H19</f>
        <v>0</v>
      </c>
      <c r="I19" s="13">
        <f t="shared" si="0"/>
        <v>407701092.60713768</v>
      </c>
    </row>
    <row r="20" spans="1:9" ht="15.75" x14ac:dyDescent="0.25">
      <c r="A20" s="8"/>
      <c r="B20" s="8"/>
      <c r="C20" s="9"/>
      <c r="D20" s="12" t="s">
        <v>16</v>
      </c>
      <c r="E20" s="14">
        <f>+Enero!E20+Febrero!E20+Marzo!E20+Abril!E20+Mayo!E20+Junio!E20+Julio!E20+Agosto!E20+Septiembre!E20+Octubre!E20+Noviembre!E20+Diciembre!E20</f>
        <v>97252134.320000008</v>
      </c>
      <c r="F20" s="14">
        <f>+Enero!F20+Febrero!F20+Marzo!F20+Abril!F20+Mayo!F20+Junio!F20+Julio!F20+Agosto!F20+Septiembre!F20+Octubre!F20+Noviembre!F20+Diciembre!F20</f>
        <v>26019456.186389185</v>
      </c>
      <c r="G20" s="14">
        <f>+Enero!G20+Febrero!G20+Marzo!G20+Abril!G20+Mayo!G20+Junio!G20+Julio!G20+Agosto!G20+Septiembre!G20+Octubre!G20+Noviembre!G20+Diciembre!G20</f>
        <v>14713502.879999999</v>
      </c>
      <c r="H20" s="14">
        <f>+Enero!H20+Febrero!H20+Marzo!H20+Abril!H20+Mayo!H20+Junio!H20+Julio!H20+Agosto!H20+Septiembre!H20+Octubre!H20+Noviembre!H20+Diciembre!H20</f>
        <v>0</v>
      </c>
      <c r="I20" s="13">
        <f t="shared" si="0"/>
        <v>137985093.3863892</v>
      </c>
    </row>
    <row r="21" spans="1:9" ht="15.75" x14ac:dyDescent="0.25">
      <c r="A21" s="8"/>
      <c r="B21" s="8"/>
      <c r="C21" s="9"/>
      <c r="D21" s="12" t="s">
        <v>17</v>
      </c>
      <c r="E21" s="14">
        <f>+Enero!E21+Febrero!E21+Marzo!E21+Abril!E21+Mayo!E21+Junio!E21+Julio!E21+Agosto!E21+Septiembre!E21+Octubre!E21+Noviembre!E21+Diciembre!E21</f>
        <v>134641031.15000001</v>
      </c>
      <c r="F21" s="14">
        <f>+Enero!F21+Febrero!F21+Marzo!F21+Abril!F21+Mayo!F21+Junio!F21+Julio!F21+Agosto!F21+Septiembre!F21+Octubre!F21+Noviembre!F21+Diciembre!F21</f>
        <v>113274068.53928627</v>
      </c>
      <c r="G21" s="14">
        <f>+Enero!G21+Febrero!G21+Marzo!G21+Abril!G21+Mayo!G21+Junio!G21+Julio!G21+Agosto!G21+Septiembre!G21+Octubre!G21+Noviembre!G21+Diciembre!G21</f>
        <v>10863634.580000002</v>
      </c>
      <c r="H21" s="14">
        <f>+Enero!H21+Febrero!H21+Marzo!H21+Abril!H21+Mayo!H21+Junio!H21+Julio!H21+Agosto!H21+Septiembre!H21+Octubre!H21+Noviembre!H21+Diciembre!H21</f>
        <v>0</v>
      </c>
      <c r="I21" s="13">
        <f t="shared" si="0"/>
        <v>258778734.2692863</v>
      </c>
    </row>
    <row r="22" spans="1:9" ht="15.75" x14ac:dyDescent="0.25">
      <c r="A22" s="8"/>
      <c r="B22" s="8"/>
      <c r="C22" s="9"/>
      <c r="D22" s="12" t="s">
        <v>18</v>
      </c>
      <c r="E22" s="14">
        <f>+Enero!E22+Febrero!E22+Marzo!E22+Abril!E22+Mayo!E22+Junio!E22+Julio!E22+Agosto!E22+Septiembre!E22+Octubre!E22+Noviembre!E22+Diciembre!E22</f>
        <v>6050870.0299999993</v>
      </c>
      <c r="F22" s="14">
        <f>+Enero!F22+Febrero!F22+Marzo!F22+Abril!F22+Mayo!F22+Junio!F22+Julio!F22+Agosto!F22+Septiembre!F22+Octubre!F22+Noviembre!F22+Diciembre!F22</f>
        <v>4850205.6142323613</v>
      </c>
      <c r="G22" s="14">
        <f>+Enero!G22+Febrero!G22+Marzo!G22+Abril!G22+Mayo!G22+Junio!G22+Julio!G22+Agosto!G22+Septiembre!G22+Octubre!G22+Noviembre!G22+Diciembre!G22</f>
        <v>68263239.650000006</v>
      </c>
      <c r="H22" s="14">
        <f>+Enero!H22+Febrero!H22+Marzo!H22+Abril!H22+Mayo!H22+Junio!H22+Julio!H22+Agosto!H22+Septiembre!H22+Octubre!H22+Noviembre!H22+Diciembre!H22</f>
        <v>0</v>
      </c>
      <c r="I22" s="13">
        <f t="shared" si="0"/>
        <v>79164315.294232368</v>
      </c>
    </row>
    <row r="23" spans="1:9" ht="15.75" x14ac:dyDescent="0.25">
      <c r="A23" s="8"/>
      <c r="B23" s="8"/>
      <c r="C23" s="9"/>
      <c r="D23" s="12" t="s">
        <v>19</v>
      </c>
      <c r="E23" s="14">
        <f>+Enero!E23+Febrero!E23+Marzo!E23+Abril!E23+Mayo!E23+Junio!E23+Julio!E23+Agosto!E23+Septiembre!E23+Octubre!E23+Noviembre!E23+Diciembre!E23</f>
        <v>5795575.6999999993</v>
      </c>
      <c r="F23" s="14">
        <f>+Enero!F23+Febrero!F23+Marzo!F23+Abril!F23+Mayo!F23+Junio!F23+Julio!F23+Agosto!F23+Septiembre!F23+Octubre!F23+Noviembre!F23+Diciembre!F23</f>
        <v>1807655.9852970652</v>
      </c>
      <c r="G23" s="14">
        <f>+Enero!G23+Febrero!G23+Marzo!G23+Abril!G23+Mayo!G23+Junio!G23+Julio!G23+Agosto!G23+Septiembre!G23+Octubre!G23+Noviembre!G23+Diciembre!G23</f>
        <v>33879159.150000006</v>
      </c>
      <c r="H23" s="14">
        <f>+Enero!H23+Febrero!H23+Marzo!H23+Abril!H23+Mayo!H23+Junio!H23+Julio!H23+Agosto!H23+Septiembre!H23+Octubre!H23+Noviembre!H23+Diciembre!H23</f>
        <v>0</v>
      </c>
      <c r="I23" s="13">
        <f t="shared" si="0"/>
        <v>41482390.83529707</v>
      </c>
    </row>
    <row r="24" spans="1:9" ht="15.75" x14ac:dyDescent="0.25">
      <c r="A24" s="8"/>
      <c r="B24" s="8"/>
      <c r="C24" s="9"/>
      <c r="D24" s="12" t="s">
        <v>20</v>
      </c>
      <c r="E24" s="14">
        <f>+Enero!E24+Febrero!E24+Marzo!E24+Abril!E24+Mayo!E24+Junio!E24+Julio!E24+Agosto!E24+Septiembre!E24+Octubre!E24+Noviembre!E24+Diciembre!E24</f>
        <v>126433172.62</v>
      </c>
      <c r="F24" s="14">
        <f>+Enero!F24+Febrero!F24+Marzo!F24+Abril!F24+Mayo!F24+Junio!F24+Julio!F24+Agosto!F24+Septiembre!F24+Octubre!F24+Noviembre!F24+Diciembre!F24</f>
        <v>69467957.766106218</v>
      </c>
      <c r="G24" s="14">
        <f>+Enero!G24+Febrero!G24+Marzo!G24+Abril!G24+Mayo!G24+Junio!G24+Julio!G24+Agosto!G24+Septiembre!G24+Octubre!G24+Noviembre!G24+Diciembre!G24</f>
        <v>23875841.960000001</v>
      </c>
      <c r="H24" s="14">
        <f>+Enero!H24+Febrero!H24+Marzo!H24+Abril!H24+Mayo!H24+Junio!H24+Julio!H24+Agosto!H24+Septiembre!H24+Octubre!H24+Noviembre!H24+Diciembre!H24</f>
        <v>0</v>
      </c>
      <c r="I24" s="13">
        <f t="shared" si="0"/>
        <v>219776972.34610623</v>
      </c>
    </row>
    <row r="25" spans="1:9" ht="15.75" x14ac:dyDescent="0.25">
      <c r="A25" s="8"/>
      <c r="B25" s="8"/>
      <c r="C25" s="9"/>
      <c r="D25" s="12" t="s">
        <v>21</v>
      </c>
      <c r="E25" s="14">
        <f>+Enero!E25+Febrero!E25+Marzo!E25+Abril!E25+Mayo!E25+Junio!E25+Julio!E25+Agosto!E25+Septiembre!E25+Octubre!E25+Noviembre!E25+Diciembre!E25</f>
        <v>91475592.469999999</v>
      </c>
      <c r="F25" s="14">
        <f>+Enero!F25+Febrero!F25+Marzo!F25+Abril!F25+Mayo!F25+Junio!F25+Julio!F25+Agosto!F25+Septiembre!F25+Octubre!F25+Noviembre!F25+Diciembre!F25</f>
        <v>51588418.774839714</v>
      </c>
      <c r="G25" s="14">
        <f>+Enero!G25+Febrero!G25+Marzo!G25+Abril!G25+Mayo!G25+Junio!G25+Julio!G25+Agosto!G25+Septiembre!G25+Octubre!G25+Noviembre!G25+Diciembre!G25</f>
        <v>22859557.039999999</v>
      </c>
      <c r="H25" s="14">
        <f>+Enero!H25+Febrero!H25+Marzo!H25+Abril!H25+Mayo!H25+Junio!H25+Julio!H25+Agosto!H25+Septiembre!H25+Octubre!H25+Noviembre!H25+Diciembre!H25</f>
        <v>0</v>
      </c>
      <c r="I25" s="13">
        <f t="shared" si="0"/>
        <v>165923568.28483972</v>
      </c>
    </row>
    <row r="26" spans="1:9" ht="15.75" x14ac:dyDescent="0.25">
      <c r="A26" s="8"/>
      <c r="B26" s="8"/>
      <c r="C26" s="9"/>
      <c r="D26" s="12" t="s">
        <v>22</v>
      </c>
      <c r="E26" s="14">
        <f>+Enero!E26+Febrero!E26+Marzo!E26+Abril!E26+Mayo!E26+Junio!E26+Julio!E26+Agosto!E26+Septiembre!E26+Octubre!E26+Noviembre!E26+Diciembre!E26</f>
        <v>50018744.319999993</v>
      </c>
      <c r="F26" s="14">
        <f>+Enero!F26+Febrero!F26+Marzo!F26+Abril!F26+Mayo!F26+Junio!F26+Julio!F26+Agosto!F26+Septiembre!F26+Octubre!F26+Noviembre!F26+Diciembre!F26</f>
        <v>29541892.403703004</v>
      </c>
      <c r="G26" s="14">
        <f>+Enero!G26+Febrero!G26+Marzo!G26+Abril!G26+Mayo!G26+Junio!G26+Julio!G26+Agosto!G26+Septiembre!G26+Octubre!G26+Noviembre!G26+Diciembre!G26</f>
        <v>20247841.829999998</v>
      </c>
      <c r="H26" s="14">
        <f>+Enero!H26+Febrero!H26+Marzo!H26+Abril!H26+Mayo!H26+Junio!H26+Julio!H26+Agosto!H26+Septiembre!H26+Octubre!H26+Noviembre!H26+Diciembre!H26</f>
        <v>0</v>
      </c>
      <c r="I26" s="13">
        <f t="shared" si="0"/>
        <v>99808478.553702995</v>
      </c>
    </row>
    <row r="27" spans="1:9" ht="15.75" x14ac:dyDescent="0.25">
      <c r="A27" s="8"/>
      <c r="B27" s="8"/>
      <c r="C27" s="9"/>
      <c r="D27" s="12" t="s">
        <v>23</v>
      </c>
      <c r="E27" s="14">
        <f>+Enero!E27+Febrero!E27+Marzo!E27+Abril!E27+Mayo!E27+Junio!E27+Julio!E27+Agosto!E27+Septiembre!E27+Octubre!E27+Noviembre!E27+Diciembre!E27</f>
        <v>36355975.710000001</v>
      </c>
      <c r="F27" s="14">
        <f>+Enero!F27+Febrero!F27+Marzo!F27+Abril!F27+Mayo!F27+Junio!F27+Julio!F27+Agosto!F27+Septiembre!F27+Octubre!F27+Noviembre!F27+Diciembre!F27</f>
        <v>5070539.2989844317</v>
      </c>
      <c r="G27" s="14">
        <f>+Enero!G27+Febrero!G27+Marzo!G27+Abril!G27+Mayo!G27+Junio!G27+Julio!G27+Agosto!G27+Septiembre!G27+Octubre!G27+Noviembre!G27+Diciembre!G27</f>
        <v>44164794.819999993</v>
      </c>
      <c r="H27" s="14">
        <f>+Enero!H27+Febrero!H27+Marzo!H27+Abril!H27+Mayo!H27+Junio!H27+Julio!H27+Agosto!H27+Septiembre!H27+Octubre!H27+Noviembre!H27+Diciembre!H27</f>
        <v>0</v>
      </c>
      <c r="I27" s="13">
        <f t="shared" si="0"/>
        <v>85591309.828984424</v>
      </c>
    </row>
    <row r="28" spans="1:9" ht="15.75" x14ac:dyDescent="0.25">
      <c r="A28" s="8"/>
      <c r="B28" s="8"/>
      <c r="C28" s="9"/>
      <c r="D28" s="12" t="s">
        <v>24</v>
      </c>
      <c r="E28" s="14">
        <f>+Enero!E28+Febrero!E28+Marzo!E28+Abril!E28+Mayo!E28+Junio!E28+Julio!E28+Agosto!E28+Septiembre!E28+Octubre!E28+Noviembre!E28+Diciembre!E28</f>
        <v>53771766.63000001</v>
      </c>
      <c r="F28" s="14">
        <f>+Enero!F28+Febrero!F28+Marzo!F28+Abril!F28+Mayo!F28+Junio!F28+Julio!F28+Agosto!F28+Septiembre!F28+Octubre!F28+Noviembre!F28+Diciembre!F28</f>
        <v>24030677.084019132</v>
      </c>
      <c r="G28" s="14">
        <f>+Enero!G28+Febrero!G28+Marzo!G28+Abril!G28+Mayo!G28+Junio!G28+Julio!G28+Agosto!G28+Septiembre!G28+Octubre!G28+Noviembre!G28+Diciembre!G28</f>
        <v>22304408.27</v>
      </c>
      <c r="H28" s="14">
        <f>+Enero!H28+Febrero!H28+Marzo!H28+Abril!H28+Mayo!H28+Junio!H28+Julio!H28+Agosto!H28+Septiembre!H28+Octubre!H28+Noviembre!H28+Diciembre!H28</f>
        <v>0</v>
      </c>
      <c r="I28" s="13">
        <f t="shared" si="0"/>
        <v>100106851.98401915</v>
      </c>
    </row>
    <row r="29" spans="1:9" ht="15.75" x14ac:dyDescent="0.25">
      <c r="A29" s="8"/>
      <c r="B29" s="8"/>
      <c r="C29" s="9"/>
      <c r="D29" s="12" t="s">
        <v>25</v>
      </c>
      <c r="E29" s="14">
        <f>+Enero!E29+Febrero!E29+Marzo!E29+Abril!E29+Mayo!E29+Junio!E29+Julio!E29+Agosto!E29+Septiembre!E29+Octubre!E29+Noviembre!E29+Diciembre!E29</f>
        <v>46259531.020000011</v>
      </c>
      <c r="F29" s="14">
        <f>+Enero!F29+Febrero!F29+Marzo!F29+Abril!F29+Mayo!F29+Junio!F29+Julio!F29+Agosto!F29+Septiembre!F29+Octubre!F29+Noviembre!F29+Diciembre!F29</f>
        <v>13448361.667086884</v>
      </c>
      <c r="G29" s="14">
        <f>+Enero!G29+Febrero!G29+Marzo!G29+Abril!G29+Mayo!G29+Junio!G29+Julio!G29+Agosto!G29+Septiembre!G29+Octubre!G29+Noviembre!G29+Diciembre!G29</f>
        <v>7050904.9800000004</v>
      </c>
      <c r="H29" s="14">
        <f>+Enero!H29+Febrero!H29+Marzo!H29+Abril!H29+Mayo!H29+Junio!H29+Julio!H29+Agosto!H29+Septiembre!H29+Octubre!H29+Noviembre!H29+Diciembre!H29</f>
        <v>0</v>
      </c>
      <c r="I29" s="13">
        <f t="shared" si="0"/>
        <v>66758797.667086899</v>
      </c>
    </row>
    <row r="30" spans="1:9" ht="15.75" x14ac:dyDescent="0.25">
      <c r="A30" s="8"/>
      <c r="B30" s="8"/>
      <c r="C30" s="9"/>
      <c r="D30" s="12" t="s">
        <v>26</v>
      </c>
      <c r="E30" s="14">
        <f>+Enero!E30+Febrero!E30+Marzo!E30+Abril!E30+Mayo!E30+Junio!E30+Julio!E30+Agosto!E30+Septiembre!E30+Octubre!E30+Noviembre!E30+Diciembre!E30</f>
        <v>103055299.37</v>
      </c>
      <c r="F30" s="14">
        <f>+Enero!F30+Febrero!F30+Marzo!F30+Abril!F30+Mayo!F30+Junio!F30+Julio!F30+Agosto!F30+Septiembre!F30+Octubre!F30+Noviembre!F30+Diciembre!F30</f>
        <v>72532146.474492908</v>
      </c>
      <c r="G30" s="14">
        <f>+Enero!G30+Febrero!G30+Marzo!G30+Abril!G30+Mayo!G30+Junio!G30+Julio!G30+Agosto!G30+Septiembre!G30+Octubre!G30+Noviembre!G30+Diciembre!G30</f>
        <v>18681421.329999998</v>
      </c>
      <c r="H30" s="14">
        <f>+Enero!H30+Febrero!H30+Marzo!H30+Abril!H30+Mayo!H30+Junio!H30+Julio!H30+Agosto!H30+Septiembre!H30+Octubre!H30+Noviembre!H30+Diciembre!H30</f>
        <v>0</v>
      </c>
      <c r="I30" s="13">
        <f t="shared" si="0"/>
        <v>194268867.1744929</v>
      </c>
    </row>
    <row r="31" spans="1:9" ht="15.75" x14ac:dyDescent="0.25">
      <c r="A31" s="8"/>
      <c r="B31" s="8"/>
      <c r="C31" s="9"/>
      <c r="D31" s="12" t="s">
        <v>27</v>
      </c>
      <c r="E31" s="14">
        <f>+Enero!E31+Febrero!E31+Marzo!E31+Abril!E31+Mayo!E31+Junio!E31+Julio!E31+Agosto!E31+Septiembre!E31+Octubre!E31+Noviembre!E31+Diciembre!E31</f>
        <v>97964489.040000021</v>
      </c>
      <c r="F31" s="14">
        <f>+Enero!F31+Febrero!F31+Marzo!F31+Abril!F31+Mayo!F31+Junio!F31+Julio!F31+Agosto!F31+Septiembre!F31+Octubre!F31+Noviembre!F31+Diciembre!F31</f>
        <v>75177859.03989546</v>
      </c>
      <c r="G31" s="14">
        <f>+Enero!G31+Febrero!G31+Marzo!G31+Abril!G31+Mayo!G31+Junio!G31+Julio!G31+Agosto!G31+Septiembre!G31+Octubre!G31+Noviembre!G31+Diciembre!G31</f>
        <v>12820214.93</v>
      </c>
      <c r="H31" s="14">
        <f>+Enero!H31+Febrero!H31+Marzo!H31+Abril!H31+Mayo!H31+Junio!H31+Julio!H31+Agosto!H31+Septiembre!H31+Octubre!H31+Noviembre!H31+Diciembre!H31</f>
        <v>0</v>
      </c>
      <c r="I31" s="13">
        <f t="shared" si="0"/>
        <v>185962563.0098955</v>
      </c>
    </row>
    <row r="32" spans="1:9" ht="15.75" x14ac:dyDescent="0.25">
      <c r="A32" s="8"/>
      <c r="B32" s="8"/>
      <c r="C32" s="9"/>
      <c r="D32" s="12" t="s">
        <v>28</v>
      </c>
      <c r="E32" s="14">
        <f>+Enero!E32+Febrero!E32+Marzo!E32+Abril!E32+Mayo!E32+Junio!E32+Julio!E32+Agosto!E32+Septiembre!E32+Octubre!E32+Noviembre!E32+Diciembre!E32</f>
        <v>75241474.450000003</v>
      </c>
      <c r="F32" s="14">
        <f>+Enero!F32+Febrero!F32+Marzo!F32+Abril!F32+Mayo!F32+Junio!F32+Julio!F32+Agosto!F32+Septiembre!F32+Octubre!F32+Noviembre!F32+Diciembre!F32</f>
        <v>25375457.170901421</v>
      </c>
      <c r="G32" s="14">
        <f>+Enero!G32+Febrero!G32+Marzo!G32+Abril!G32+Mayo!G32+Junio!G32+Julio!G32+Agosto!G32+Septiembre!G32+Octubre!G32+Noviembre!G32+Diciembre!G32</f>
        <v>8933313.5899999999</v>
      </c>
      <c r="H32" s="14">
        <f>+Enero!H32+Febrero!H32+Marzo!H32+Abril!H32+Mayo!H32+Junio!H32+Julio!H32+Agosto!H32+Septiembre!H32+Octubre!H32+Noviembre!H32+Diciembre!H32</f>
        <v>0</v>
      </c>
      <c r="I32" s="13">
        <f t="shared" si="0"/>
        <v>109550245.21090142</v>
      </c>
    </row>
    <row r="33" spans="1:9" ht="15.75" x14ac:dyDescent="0.25">
      <c r="A33" s="8"/>
      <c r="B33" s="8"/>
      <c r="C33" s="9"/>
      <c r="D33" s="12" t="s">
        <v>29</v>
      </c>
      <c r="E33" s="14">
        <f>+Enero!E33+Febrero!E33+Marzo!E33+Abril!E33+Mayo!E33+Junio!E33+Julio!E33+Agosto!E33+Septiembre!E33+Octubre!E33+Noviembre!E33+Diciembre!E33</f>
        <v>24313961.799999997</v>
      </c>
      <c r="F33" s="14">
        <f>+Enero!F33+Febrero!F33+Marzo!F33+Abril!F33+Mayo!F33+Junio!F33+Julio!F33+Agosto!F33+Septiembre!F33+Octubre!F33+Noviembre!F33+Diciembre!F33</f>
        <v>38360390.792504899</v>
      </c>
      <c r="G33" s="14">
        <f>+Enero!G33+Febrero!G33+Marzo!G33+Abril!G33+Mayo!G33+Junio!G33+Julio!G33+Agosto!G33+Septiembre!G33+Octubre!G33+Noviembre!G33+Diciembre!G33</f>
        <v>5883498.8900000006</v>
      </c>
      <c r="H33" s="14">
        <f>+Enero!H33+Febrero!H33+Marzo!H33+Abril!H33+Mayo!H33+Junio!H33+Julio!H33+Agosto!H33+Septiembre!H33+Octubre!H33+Noviembre!H33+Diciembre!H33</f>
        <v>0</v>
      </c>
      <c r="I33" s="13">
        <f t="shared" si="0"/>
        <v>68557851.482504904</v>
      </c>
    </row>
    <row r="34" spans="1:9" ht="15.75" x14ac:dyDescent="0.25">
      <c r="A34" s="8"/>
      <c r="B34" s="8"/>
      <c r="C34" s="9"/>
      <c r="D34" s="12" t="s">
        <v>30</v>
      </c>
      <c r="E34" s="14">
        <f>+Enero!E34+Febrero!E34+Marzo!E34+Abril!E34+Mayo!E34+Junio!E34+Julio!E34+Agosto!E34+Septiembre!E34+Octubre!E34+Noviembre!E34+Diciembre!E34</f>
        <v>204237403.75</v>
      </c>
      <c r="F34" s="14">
        <f>+Enero!F34+Febrero!F34+Marzo!F34+Abril!F34+Mayo!F34+Junio!F34+Julio!F34+Agosto!F34+Septiembre!F34+Octubre!F34+Noviembre!F34+Diciembre!F34</f>
        <v>55049435.895563826</v>
      </c>
      <c r="G34" s="14">
        <f>+Enero!G34+Febrero!G34+Marzo!G34+Abril!G34+Mayo!G34+Junio!G34+Julio!G34+Agosto!G34+Septiembre!G34+Octubre!G34+Noviembre!G34+Diciembre!G34</f>
        <v>34059413</v>
      </c>
      <c r="H34" s="14">
        <f>+Enero!H34+Febrero!H34+Marzo!H34+Abril!H34+Mayo!H34+Junio!H34+Julio!H34+Agosto!H34+Septiembre!H34+Octubre!H34+Noviembre!H34+Diciembre!H34</f>
        <v>0</v>
      </c>
      <c r="I34" s="13">
        <f t="shared" si="0"/>
        <v>293346252.64556384</v>
      </c>
    </row>
    <row r="35" spans="1:9" ht="15.75" x14ac:dyDescent="0.25">
      <c r="A35" s="8"/>
      <c r="B35" s="8"/>
      <c r="C35" s="9"/>
      <c r="D35" s="12" t="s">
        <v>31</v>
      </c>
      <c r="E35" s="14">
        <f>+Enero!E35+Febrero!E35+Marzo!E35+Abril!E35+Mayo!E35+Junio!E35+Julio!E35+Agosto!E35+Septiembre!E35+Octubre!E35+Noviembre!E35+Diciembre!E35</f>
        <v>87801641.320000008</v>
      </c>
      <c r="F35" s="14">
        <f>+Enero!F35+Febrero!F35+Marzo!F35+Abril!F35+Mayo!F35+Junio!F35+Julio!F35+Agosto!F35+Septiembre!F35+Octubre!F35+Noviembre!F35+Diciembre!F35</f>
        <v>81236777.306964502</v>
      </c>
      <c r="G35" s="14">
        <f>+Enero!G35+Febrero!G35+Marzo!G35+Abril!G35+Mayo!G35+Junio!G35+Julio!G35+Agosto!G35+Septiembre!G35+Octubre!G35+Noviembre!G35+Diciembre!G35</f>
        <v>24434178.18</v>
      </c>
      <c r="H35" s="14">
        <f>+Enero!H35+Febrero!H35+Marzo!H35+Abril!H35+Mayo!H35+Junio!H35+Julio!H35+Agosto!H35+Septiembre!H35+Octubre!H35+Noviembre!H35+Diciembre!H35</f>
        <v>0</v>
      </c>
      <c r="I35" s="13">
        <f t="shared" si="0"/>
        <v>193472596.80696452</v>
      </c>
    </row>
    <row r="36" spans="1:9" ht="15.75" x14ac:dyDescent="0.25">
      <c r="A36" s="8"/>
      <c r="B36" s="8"/>
      <c r="C36" s="9"/>
      <c r="D36" s="12" t="s">
        <v>32</v>
      </c>
      <c r="E36" s="14">
        <f>+Enero!E36+Febrero!E36+Marzo!E36+Abril!E36+Mayo!E36+Junio!E36+Julio!E36+Agosto!E36+Septiembre!E36+Octubre!E36+Noviembre!E36+Diciembre!E36</f>
        <v>95287159.750000015</v>
      </c>
      <c r="F36" s="14">
        <f>+Enero!F36+Febrero!F36+Marzo!F36+Abril!F36+Mayo!F36+Junio!F36+Julio!F36+Agosto!F36+Septiembre!F36+Octubre!F36+Noviembre!F36+Diciembre!F36</f>
        <v>50221430.159046784</v>
      </c>
      <c r="G36" s="14">
        <f>+Enero!G36+Febrero!G36+Marzo!G36+Abril!G36+Mayo!G36+Junio!G36+Julio!G36+Agosto!G36+Septiembre!G36+Octubre!G36+Noviembre!G36+Diciembre!G36</f>
        <v>40816992.769999988</v>
      </c>
      <c r="H36" s="14">
        <f>+Enero!H36+Febrero!H36+Marzo!H36+Abril!H36+Mayo!H36+Junio!H36+Julio!H36+Agosto!H36+Septiembre!H36+Octubre!H36+Noviembre!H36+Diciembre!H36</f>
        <v>0</v>
      </c>
      <c r="I36" s="13">
        <f t="shared" si="0"/>
        <v>186325582.67904678</v>
      </c>
    </row>
    <row r="37" spans="1:9" ht="15.75" x14ac:dyDescent="0.25">
      <c r="A37" s="8"/>
      <c r="B37" s="8"/>
      <c r="C37" s="9"/>
      <c r="D37" s="12" t="s">
        <v>33</v>
      </c>
      <c r="E37" s="14">
        <f>+Enero!E37+Febrero!E37+Marzo!E37+Abril!E37+Mayo!E37+Junio!E37+Julio!E37+Agosto!E37+Septiembre!E37+Octubre!E37+Noviembre!E37+Diciembre!E37</f>
        <v>95270368.429999992</v>
      </c>
      <c r="F37" s="14">
        <f>+Enero!F37+Febrero!F37+Marzo!F37+Abril!F37+Mayo!F37+Junio!F37+Julio!F37+Agosto!F37+Septiembre!F37+Octubre!F37+Noviembre!F37+Diciembre!F37</f>
        <v>27888213.742987879</v>
      </c>
      <c r="G37" s="14">
        <f>+Enero!G37+Febrero!G37+Marzo!G37+Abril!G37+Mayo!G37+Junio!G37+Julio!G37+Agosto!G37+Septiembre!G37+Octubre!G37+Noviembre!G37+Diciembre!G37</f>
        <v>11431476.970000001</v>
      </c>
      <c r="H37" s="14">
        <f>+Enero!H37+Febrero!H37+Marzo!H37+Abril!H37+Mayo!H37+Junio!H37+Julio!H37+Agosto!H37+Septiembre!H37+Octubre!H37+Noviembre!H37+Diciembre!H37</f>
        <v>0</v>
      </c>
      <c r="I37" s="13">
        <f t="shared" si="0"/>
        <v>134590059.14298788</v>
      </c>
    </row>
    <row r="38" spans="1:9" ht="15.75" x14ac:dyDescent="0.25">
      <c r="A38" s="8"/>
      <c r="B38" s="8"/>
      <c r="C38" s="9"/>
      <c r="D38" s="12" t="s">
        <v>34</v>
      </c>
      <c r="E38" s="14">
        <f>+Enero!E38+Febrero!E38+Marzo!E38+Abril!E38+Mayo!E38+Junio!E38+Julio!E38+Agosto!E38+Septiembre!E38+Octubre!E38+Noviembre!E38+Diciembre!E38</f>
        <v>91805916.129999995</v>
      </c>
      <c r="F38" s="14">
        <f>+Enero!F38+Febrero!F38+Marzo!F38+Abril!F38+Mayo!F38+Junio!F38+Julio!F38+Agosto!F38+Septiembre!F38+Octubre!F38+Noviembre!F38+Diciembre!F38</f>
        <v>60363069.55527959</v>
      </c>
      <c r="G38" s="14">
        <f>+Enero!G38+Febrero!G38+Marzo!G38+Abril!G38+Mayo!G38+Junio!G38+Julio!G38+Agosto!G38+Septiembre!G38+Octubre!G38+Noviembre!G38+Diciembre!G38</f>
        <v>12569421.649999999</v>
      </c>
      <c r="H38" s="14">
        <f>+Enero!H38+Febrero!H38+Marzo!H38+Abril!H38+Mayo!H38+Junio!H38+Julio!H38+Agosto!H38+Septiembre!H38+Octubre!H38+Noviembre!H38+Diciembre!H38</f>
        <v>0</v>
      </c>
      <c r="I38" s="13">
        <f t="shared" si="0"/>
        <v>164738407.33527958</v>
      </c>
    </row>
    <row r="39" spans="1:9" ht="15.75" x14ac:dyDescent="0.25">
      <c r="A39" s="8"/>
      <c r="B39" s="8"/>
      <c r="C39" s="9"/>
      <c r="D39" s="12" t="s">
        <v>35</v>
      </c>
      <c r="E39" s="14">
        <f>+Enero!E39+Febrero!E39+Marzo!E39+Abril!E39+Mayo!E39+Junio!E39+Julio!E39+Agosto!E39+Septiembre!E39+Octubre!E39+Noviembre!E39+Diciembre!E39</f>
        <v>70968700.390000001</v>
      </c>
      <c r="F39" s="14">
        <f>+Enero!F39+Febrero!F39+Marzo!F39+Abril!F39+Mayo!F39+Junio!F39+Julio!F39+Agosto!F39+Septiembre!F39+Octubre!F39+Noviembre!F39+Diciembre!F39</f>
        <v>94512625.359552249</v>
      </c>
      <c r="G39" s="14">
        <f>+Enero!G39+Febrero!G39+Marzo!G39+Abril!G39+Mayo!G39+Junio!G39+Julio!G39+Agosto!G39+Septiembre!G39+Octubre!G39+Noviembre!G39+Diciembre!G39</f>
        <v>14791564.029999999</v>
      </c>
      <c r="H39" s="14">
        <f>+Enero!H39+Febrero!H39+Marzo!H39+Abril!H39+Mayo!H39+Junio!H39+Julio!H39+Agosto!H39+Septiembre!H39+Octubre!H39+Noviembre!H39+Diciembre!H39</f>
        <v>0</v>
      </c>
      <c r="I39" s="13">
        <f t="shared" si="0"/>
        <v>180272889.77955225</v>
      </c>
    </row>
    <row r="40" spans="1:9" ht="15.75" x14ac:dyDescent="0.25">
      <c r="A40" s="8"/>
      <c r="B40" s="8"/>
      <c r="C40" s="9"/>
      <c r="D40" s="12" t="s">
        <v>36</v>
      </c>
      <c r="E40" s="14">
        <f>+Enero!E40+Febrero!E40+Marzo!E40+Abril!E40+Mayo!E40+Junio!E40+Julio!E40+Agosto!E40+Septiembre!E40+Octubre!E40+Noviembre!E40+Diciembre!E40</f>
        <v>8980767.7799999993</v>
      </c>
      <c r="F40" s="14">
        <f>+Enero!F40+Febrero!F40+Marzo!F40+Abril!F40+Mayo!F40+Junio!F40+Julio!F40+Agosto!F40+Septiembre!F40+Octubre!F40+Noviembre!F40+Diciembre!F40</f>
        <v>4960652.8557403674</v>
      </c>
      <c r="G40" s="14">
        <f>+Enero!G40+Febrero!G40+Marzo!G40+Abril!G40+Mayo!G40+Junio!G40+Julio!G40+Agosto!G40+Septiembre!G40+Octubre!G40+Noviembre!G40+Diciembre!G40</f>
        <v>10503848.120000001</v>
      </c>
      <c r="H40" s="14">
        <f>+Enero!H40+Febrero!H40+Marzo!H40+Abril!H40+Mayo!H40+Junio!H40+Julio!H40+Agosto!H40+Septiembre!H40+Octubre!H40+Noviembre!H40+Diciembre!H40</f>
        <v>0</v>
      </c>
      <c r="I40" s="13">
        <f t="shared" si="0"/>
        <v>24445268.755740367</v>
      </c>
    </row>
    <row r="41" spans="1:9" ht="15.75" x14ac:dyDescent="0.25">
      <c r="A41" s="8"/>
      <c r="B41" s="8"/>
      <c r="C41" s="9"/>
      <c r="D41" s="12" t="s">
        <v>37</v>
      </c>
      <c r="E41" s="14">
        <f>+Enero!E41+Febrero!E41+Marzo!E41+Abril!E41+Mayo!E41+Junio!E41+Julio!E41+Agosto!E41+Septiembre!E41+Octubre!E41+Noviembre!E41+Diciembre!E41</f>
        <v>160450647.19</v>
      </c>
      <c r="F41" s="14">
        <f>+Enero!F41+Febrero!F41+Marzo!F41+Abril!F41+Mayo!F41+Junio!F41+Julio!F41+Agosto!F41+Septiembre!F41+Octubre!F41+Noviembre!F41+Diciembre!F41</f>
        <v>82983417.193405658</v>
      </c>
      <c r="G41" s="14">
        <f>+Enero!G41+Febrero!G41+Marzo!G41+Abril!G41+Mayo!G41+Junio!G41+Julio!G41+Agosto!G41+Septiembre!G41+Octubre!G41+Noviembre!G41+Diciembre!G41</f>
        <v>29951456.609999999</v>
      </c>
      <c r="H41" s="14">
        <f>+Enero!H41+Febrero!H41+Marzo!H41+Abril!H41+Mayo!H41+Junio!H41+Julio!H41+Agosto!H41+Septiembre!H41+Octubre!H41+Noviembre!H41+Diciembre!H41</f>
        <v>0</v>
      </c>
      <c r="I41" s="13">
        <f t="shared" si="0"/>
        <v>273385520.99340564</v>
      </c>
    </row>
    <row r="42" spans="1:9" ht="15.75" x14ac:dyDescent="0.25">
      <c r="A42" s="8"/>
      <c r="B42" s="8"/>
      <c r="C42" s="9"/>
      <c r="D42" s="12" t="s">
        <v>38</v>
      </c>
      <c r="E42" s="14">
        <f>+Enero!E42+Febrero!E42+Marzo!E42+Abril!E42+Mayo!E42+Junio!E42+Julio!E42+Agosto!E42+Septiembre!E42+Octubre!E42+Noviembre!E42+Diciembre!E42</f>
        <v>114231013.16000003</v>
      </c>
      <c r="F42" s="14">
        <f>+Enero!F42+Febrero!F42+Marzo!F42+Abril!F42+Mayo!F42+Junio!F42+Julio!F42+Agosto!F42+Septiembre!F42+Octubre!F42+Noviembre!F42+Diciembre!F42</f>
        <v>89742440.732943743</v>
      </c>
      <c r="G42" s="14">
        <f>+Enero!G42+Febrero!G42+Marzo!G42+Abril!G42+Mayo!G42+Junio!G42+Julio!G42+Agosto!G42+Septiembre!G42+Octubre!G42+Noviembre!G42+Diciembre!G42</f>
        <v>11228598.060000001</v>
      </c>
      <c r="H42" s="14">
        <f>+Enero!H42+Febrero!H42+Marzo!H42+Abril!H42+Mayo!H42+Junio!H42+Julio!H42+Agosto!H42+Septiembre!H42+Octubre!H42+Noviembre!H42+Diciembre!H42</f>
        <v>0</v>
      </c>
      <c r="I42" s="13">
        <f t="shared" ref="I42:I73" si="1">SUM(E42:H42)</f>
        <v>215202051.95294377</v>
      </c>
    </row>
    <row r="43" spans="1:9" ht="15.75" x14ac:dyDescent="0.25">
      <c r="A43" s="8"/>
      <c r="B43" s="8"/>
      <c r="C43" s="9"/>
      <c r="D43" s="12" t="s">
        <v>39</v>
      </c>
      <c r="E43" s="14">
        <f>+Enero!E43+Febrero!E43+Marzo!E43+Abril!E43+Mayo!E43+Junio!E43+Julio!E43+Agosto!E43+Septiembre!E43+Octubre!E43+Noviembre!E43+Diciembre!E43</f>
        <v>24417651.819999997</v>
      </c>
      <c r="F43" s="14">
        <f>+Enero!F43+Febrero!F43+Marzo!F43+Abril!F43+Mayo!F43+Junio!F43+Julio!F43+Agosto!F43+Septiembre!F43+Octubre!F43+Noviembre!F43+Diciembre!F43</f>
        <v>32650480.867520344</v>
      </c>
      <c r="G43" s="14">
        <f>+Enero!G43+Febrero!G43+Marzo!G43+Abril!G43+Mayo!G43+Junio!G43+Julio!G43+Agosto!G43+Septiembre!G43+Octubre!G43+Noviembre!G43+Diciembre!G43</f>
        <v>12584085.959999999</v>
      </c>
      <c r="H43" s="14">
        <f>+Enero!H43+Febrero!H43+Marzo!H43+Abril!H43+Mayo!H43+Junio!H43+Julio!H43+Agosto!H43+Septiembre!H43+Octubre!H43+Noviembre!H43+Diciembre!H43</f>
        <v>0</v>
      </c>
      <c r="I43" s="13">
        <f t="shared" si="1"/>
        <v>69652218.647520334</v>
      </c>
    </row>
    <row r="44" spans="1:9" ht="15.75" x14ac:dyDescent="0.25">
      <c r="A44" s="8"/>
      <c r="B44" s="8"/>
      <c r="C44" s="9"/>
      <c r="D44" s="12" t="s">
        <v>40</v>
      </c>
      <c r="E44" s="14">
        <f>+Enero!E44+Febrero!E44+Marzo!E44+Abril!E44+Mayo!E44+Junio!E44+Julio!E44+Agosto!E44+Septiembre!E44+Octubre!E44+Noviembre!E44+Diciembre!E44</f>
        <v>130288.01</v>
      </c>
      <c r="F44" s="14">
        <f>+Enero!F44+Febrero!F44+Marzo!F44+Abril!F44+Mayo!F44+Junio!F44+Julio!F44+Agosto!F44+Septiembre!F44+Octubre!F44+Noviembre!F44+Diciembre!F44</f>
        <v>2513065.4461792344</v>
      </c>
      <c r="G44" s="14">
        <f>+Enero!G44+Febrero!G44+Marzo!G44+Abril!G44+Mayo!G44+Junio!G44+Julio!G44+Agosto!G44+Septiembre!G44+Octubre!G44+Noviembre!G44+Diciembre!G44</f>
        <v>20086165.740000002</v>
      </c>
      <c r="H44" s="14">
        <f>+Enero!H44+Febrero!H44+Marzo!H44+Abril!H44+Mayo!H44+Junio!H44+Julio!H44+Agosto!H44+Septiembre!H44+Octubre!H44+Noviembre!H44+Diciembre!H44</f>
        <v>0</v>
      </c>
      <c r="I44" s="13">
        <f t="shared" si="1"/>
        <v>22729519.196179237</v>
      </c>
    </row>
    <row r="45" spans="1:9" ht="15.75" x14ac:dyDescent="0.25">
      <c r="A45" s="8"/>
      <c r="B45" s="8"/>
      <c r="C45" s="9"/>
      <c r="D45" s="12" t="s">
        <v>41</v>
      </c>
      <c r="E45" s="14">
        <f>+Enero!E45+Febrero!E45+Marzo!E45+Abril!E45+Mayo!E45+Junio!E45+Julio!E45+Agosto!E45+Septiembre!E45+Octubre!E45+Noviembre!E45+Diciembre!E45</f>
        <v>40423048.139999993</v>
      </c>
      <c r="F45" s="14">
        <f>+Enero!F45+Febrero!F45+Marzo!F45+Abril!F45+Mayo!F45+Junio!F45+Julio!F45+Agosto!F45+Septiembre!F45+Octubre!F45+Noviembre!F45+Diciembre!F45</f>
        <v>727617.98979280225</v>
      </c>
      <c r="G45" s="14">
        <f>+Enero!G45+Febrero!G45+Marzo!G45+Abril!G45+Mayo!G45+Junio!G45+Julio!G45+Agosto!G45+Septiembre!G45+Octubre!G45+Noviembre!G45+Diciembre!G45</f>
        <v>58901857.850000001</v>
      </c>
      <c r="H45" s="14">
        <f>+Enero!H45+Febrero!H45+Marzo!H45+Abril!H45+Mayo!H45+Junio!H45+Julio!H45+Agosto!H45+Septiembre!H45+Octubre!H45+Noviembre!H45+Diciembre!H45</f>
        <v>0</v>
      </c>
      <c r="I45" s="13">
        <f t="shared" si="1"/>
        <v>100052523.9797928</v>
      </c>
    </row>
    <row r="46" spans="1:9" ht="15.75" x14ac:dyDescent="0.25">
      <c r="A46" s="8"/>
      <c r="B46" s="8"/>
      <c r="C46" s="9"/>
      <c r="D46" s="12" t="s">
        <v>42</v>
      </c>
      <c r="E46" s="14">
        <f>+Enero!E46+Febrero!E46+Marzo!E46+Abril!E46+Mayo!E46+Junio!E46+Julio!E46+Agosto!E46+Septiembre!E46+Octubre!E46+Noviembre!E46+Diciembre!E46</f>
        <v>16041366.690000001</v>
      </c>
      <c r="F46" s="14">
        <f>+Enero!F46+Febrero!F46+Marzo!F46+Abril!F46+Mayo!F46+Junio!F46+Julio!F46+Agosto!F46+Septiembre!F46+Octubre!F46+Noviembre!F46+Diciembre!F46</f>
        <v>2424818.0823865575</v>
      </c>
      <c r="G46" s="14">
        <f>+Enero!G46+Febrero!G46+Marzo!G46+Abril!G46+Mayo!G46+Junio!G46+Julio!G46+Agosto!G46+Septiembre!G46+Octubre!G46+Noviembre!G46+Diciembre!G46</f>
        <v>75497212.069999993</v>
      </c>
      <c r="H46" s="14">
        <f>+Enero!H46+Febrero!H46+Marzo!H46+Abril!H46+Mayo!H46+Junio!H46+Julio!H46+Agosto!H46+Septiembre!H46+Octubre!H46+Noviembre!H46+Diciembre!H46</f>
        <v>0</v>
      </c>
      <c r="I46" s="13">
        <f t="shared" si="1"/>
        <v>93963396.842386544</v>
      </c>
    </row>
    <row r="47" spans="1:9" ht="15.75" x14ac:dyDescent="0.25">
      <c r="A47" s="8"/>
      <c r="B47" s="8"/>
      <c r="C47" s="9"/>
      <c r="D47" s="12" t="s">
        <v>43</v>
      </c>
      <c r="E47" s="14">
        <f>+Enero!E47+Febrero!E47+Marzo!E47+Abril!E47+Mayo!E47+Junio!E47+Julio!E47+Agosto!E47+Septiembre!E47+Octubre!E47+Noviembre!E47+Diciembre!E47</f>
        <v>59847821.060000002</v>
      </c>
      <c r="F47" s="14">
        <f>+Enero!F47+Febrero!F47+Marzo!F47+Abril!F47+Mayo!F47+Junio!F47+Julio!F47+Agosto!F47+Septiembre!F47+Octubre!F47+Noviembre!F47+Diciembre!F47</f>
        <v>15417215.245541302</v>
      </c>
      <c r="G47" s="14">
        <f>+Enero!G47+Febrero!G47+Marzo!G47+Abril!G47+Mayo!G47+Junio!G47+Julio!G47+Agosto!G47+Septiembre!G47+Octubre!G47+Noviembre!G47+Diciembre!G47</f>
        <v>15008338.219999999</v>
      </c>
      <c r="H47" s="14">
        <f>+Enero!H47+Febrero!H47+Marzo!H47+Abril!H47+Mayo!H47+Junio!H47+Julio!H47+Agosto!H47+Septiembre!H47+Octubre!H47+Noviembre!H47+Diciembre!H47</f>
        <v>0</v>
      </c>
      <c r="I47" s="13">
        <f t="shared" si="1"/>
        <v>90273374.525541306</v>
      </c>
    </row>
    <row r="48" spans="1:9" ht="15.75" x14ac:dyDescent="0.25">
      <c r="A48" s="8"/>
      <c r="B48" s="8"/>
      <c r="C48" s="9"/>
      <c r="D48" s="12" t="s">
        <v>44</v>
      </c>
      <c r="E48" s="14">
        <f>+Enero!E48+Febrero!E48+Marzo!E48+Abril!E48+Mayo!E48+Junio!E48+Julio!E48+Agosto!E48+Septiembre!E48+Octubre!E48+Noviembre!E48+Diciembre!E48</f>
        <v>44318904.730000004</v>
      </c>
      <c r="F48" s="14">
        <f>+Enero!F48+Febrero!F48+Marzo!F48+Abril!F48+Mayo!F48+Junio!F48+Julio!F48+Agosto!F48+Septiembre!F48+Octubre!F48+Noviembre!F48+Diciembre!F48</f>
        <v>2424818.0823865575</v>
      </c>
      <c r="G48" s="14">
        <f>+Enero!G48+Febrero!G48+Marzo!G48+Abril!G48+Mayo!G48+Junio!G48+Julio!G48+Agosto!G48+Septiembre!G48+Octubre!G48+Noviembre!G48+Diciembre!G48</f>
        <v>37131045.07</v>
      </c>
      <c r="H48" s="14">
        <f>+Enero!H48+Febrero!H48+Marzo!H48+Abril!H48+Mayo!H48+Junio!H48+Julio!H48+Agosto!H48+Septiembre!H48+Octubre!H48+Noviembre!H48+Diciembre!H48</f>
        <v>0</v>
      </c>
      <c r="I48" s="13">
        <f t="shared" si="1"/>
        <v>83874767.882386565</v>
      </c>
    </row>
    <row r="49" spans="1:9" ht="15.75" x14ac:dyDescent="0.25">
      <c r="A49" s="8"/>
      <c r="B49" s="8"/>
      <c r="C49" s="9"/>
      <c r="D49" s="12" t="s">
        <v>45</v>
      </c>
      <c r="E49" s="14">
        <f>+Enero!E49+Febrero!E49+Marzo!E49+Abril!E49+Mayo!E49+Junio!E49+Julio!E49+Agosto!E49+Septiembre!E49+Octubre!E49+Noviembre!E49+Diciembre!E49</f>
        <v>14423332.620000001</v>
      </c>
      <c r="F49" s="14">
        <f>+Enero!F49+Febrero!F49+Marzo!F49+Abril!F49+Mayo!F49+Junio!F49+Julio!F49+Agosto!F49+Septiembre!F49+Octubre!F49+Noviembre!F49+Diciembre!F49</f>
        <v>2888254.7790652704</v>
      </c>
      <c r="G49" s="14">
        <f>+Enero!G49+Febrero!G49+Marzo!G49+Abril!G49+Mayo!G49+Junio!G49+Julio!G49+Agosto!G49+Septiembre!G49+Octubre!G49+Noviembre!G49+Diciembre!G49</f>
        <v>97872709.200000003</v>
      </c>
      <c r="H49" s="14">
        <f>+Enero!H49+Febrero!H49+Marzo!H49+Abril!H49+Mayo!H49+Junio!H49+Julio!H49+Agosto!H49+Septiembre!H49+Octubre!H49+Noviembre!H49+Diciembre!H49</f>
        <v>0</v>
      </c>
      <c r="I49" s="13">
        <f t="shared" si="1"/>
        <v>115184296.59906527</v>
      </c>
    </row>
    <row r="50" spans="1:9" ht="15.75" x14ac:dyDescent="0.25">
      <c r="A50" s="8"/>
      <c r="B50" s="8"/>
      <c r="C50" s="9"/>
      <c r="D50" s="12" t="s">
        <v>46</v>
      </c>
      <c r="E50" s="14">
        <f>+Enero!E50+Febrero!E50+Marzo!E50+Abril!E50+Mayo!E50+Junio!E50+Julio!E50+Agosto!E50+Septiembre!E50+Octubre!E50+Noviembre!E50+Diciembre!E50</f>
        <v>60755419.439999998</v>
      </c>
      <c r="F50" s="14">
        <f>+Enero!F50+Febrero!F50+Marzo!F50+Abril!F50+Mayo!F50+Junio!F50+Julio!F50+Agosto!F50+Septiembre!F50+Octubre!F50+Noviembre!F50+Diciembre!F50</f>
        <v>28001352.416800693</v>
      </c>
      <c r="G50" s="14">
        <f>+Enero!G50+Febrero!G50+Marzo!G50+Abril!G50+Mayo!G50+Junio!G50+Julio!G50+Agosto!G50+Septiembre!G50+Octubre!G50+Noviembre!G50+Diciembre!G50</f>
        <v>4967471.9499999993</v>
      </c>
      <c r="H50" s="14">
        <f>+Enero!H50+Febrero!H50+Marzo!H50+Abril!H50+Mayo!H50+Junio!H50+Julio!H50+Agosto!H50+Septiembre!H50+Octubre!H50+Noviembre!H50+Diciembre!H50</f>
        <v>0</v>
      </c>
      <c r="I50" s="13">
        <f t="shared" si="1"/>
        <v>93724243.806800693</v>
      </c>
    </row>
    <row r="51" spans="1:9" ht="15.75" x14ac:dyDescent="0.25">
      <c r="A51" s="8"/>
      <c r="B51" s="8"/>
      <c r="C51" s="9"/>
      <c r="D51" s="12" t="s">
        <v>47</v>
      </c>
      <c r="E51" s="14">
        <f>+Enero!E51+Febrero!E51+Marzo!E51+Abril!E51+Mayo!E51+Junio!E51+Julio!E51+Agosto!E51+Septiembre!E51+Octubre!E51+Noviembre!E51+Diciembre!E51</f>
        <v>92249310.680000007</v>
      </c>
      <c r="F51" s="14">
        <f>+Enero!F51+Febrero!F51+Marzo!F51+Abril!F51+Mayo!F51+Junio!F51+Julio!F51+Agosto!F51+Septiembre!F51+Octubre!F51+Noviembre!F51+Diciembre!F51</f>
        <v>50750353.543538898</v>
      </c>
      <c r="G51" s="14">
        <f>+Enero!G51+Febrero!G51+Marzo!G51+Abril!G51+Mayo!G51+Junio!G51+Julio!G51+Agosto!G51+Septiembre!G51+Octubre!G51+Noviembre!G51+Diciembre!G51</f>
        <v>18088856.260000002</v>
      </c>
      <c r="H51" s="14">
        <f>+Enero!H51+Febrero!H51+Marzo!H51+Abril!H51+Mayo!H51+Junio!H51+Julio!H51+Agosto!H51+Septiembre!H51+Octubre!H51+Noviembre!H51+Diciembre!H51</f>
        <v>0</v>
      </c>
      <c r="I51" s="13">
        <f t="shared" si="1"/>
        <v>161088520.4835389</v>
      </c>
    </row>
    <row r="52" spans="1:9" ht="15.75" x14ac:dyDescent="0.25">
      <c r="A52" s="8"/>
      <c r="B52" s="8"/>
      <c r="C52" s="9"/>
      <c r="D52" s="12" t="s">
        <v>48</v>
      </c>
      <c r="E52" s="14">
        <f>+Enero!E52+Febrero!E52+Marzo!E52+Abril!E52+Mayo!E52+Junio!E52+Julio!E52+Agosto!E52+Septiembre!E52+Octubre!E52+Noviembre!E52+Diciembre!E52</f>
        <v>55930692.479999997</v>
      </c>
      <c r="F52" s="14">
        <f>+Enero!F52+Febrero!F52+Marzo!F52+Abril!F52+Mayo!F52+Junio!F52+Julio!F52+Agosto!F52+Septiembre!F52+Octubre!F52+Noviembre!F52+Diciembre!F52</f>
        <v>51147181.955876336</v>
      </c>
      <c r="G52" s="14">
        <f>+Enero!G52+Febrero!G52+Marzo!G52+Abril!G52+Mayo!G52+Junio!G52+Julio!G52+Agosto!G52+Septiembre!G52+Octubre!G52+Noviembre!G52+Diciembre!G52</f>
        <v>4572674.8199999994</v>
      </c>
      <c r="H52" s="14">
        <f>+Enero!H52+Febrero!H52+Marzo!H52+Abril!H52+Mayo!H52+Junio!H52+Julio!H52+Agosto!H52+Septiembre!H52+Octubre!H52+Noviembre!H52+Diciembre!H52</f>
        <v>0</v>
      </c>
      <c r="I52" s="13">
        <f t="shared" si="1"/>
        <v>111650549.25587633</v>
      </c>
    </row>
    <row r="53" spans="1:9" ht="15.75" x14ac:dyDescent="0.25">
      <c r="A53" s="8"/>
      <c r="B53" s="8"/>
      <c r="C53" s="9"/>
      <c r="D53" s="12" t="s">
        <v>49</v>
      </c>
      <c r="E53" s="14">
        <f>+Enero!E53+Febrero!E53+Marzo!E53+Abril!E53+Mayo!E53+Junio!E53+Julio!E53+Agosto!E53+Septiembre!E53+Octubre!E53+Noviembre!E53+Diciembre!E53</f>
        <v>88918315.799999982</v>
      </c>
      <c r="F53" s="14">
        <f>+Enero!F53+Febrero!F53+Marzo!F53+Abril!F53+Mayo!F53+Junio!F53+Julio!F53+Agosto!F53+Septiembre!F53+Octubre!F53+Noviembre!F53+Diciembre!F53</f>
        <v>35053659.870455518</v>
      </c>
      <c r="G53" s="14">
        <f>+Enero!G53+Febrero!G53+Marzo!G53+Abril!G53+Mayo!G53+Junio!G53+Julio!G53+Agosto!G53+Septiembre!G53+Octubre!G53+Noviembre!G53+Diciembre!G53</f>
        <v>17267907.66</v>
      </c>
      <c r="H53" s="14">
        <f>+Enero!H53+Febrero!H53+Marzo!H53+Abril!H53+Mayo!H53+Junio!H53+Julio!H53+Agosto!H53+Septiembre!H53+Octubre!H53+Noviembre!H53+Diciembre!H53</f>
        <v>0</v>
      </c>
      <c r="I53" s="13">
        <f t="shared" si="1"/>
        <v>141239883.33045551</v>
      </c>
    </row>
    <row r="54" spans="1:9" ht="15.75" x14ac:dyDescent="0.25">
      <c r="A54" s="8"/>
      <c r="B54" s="8"/>
      <c r="C54" s="9"/>
      <c r="D54" s="12" t="s">
        <v>50</v>
      </c>
      <c r="E54" s="14">
        <f>+Enero!E54+Febrero!E54+Marzo!E54+Abril!E54+Mayo!E54+Junio!E54+Julio!E54+Agosto!E54+Septiembre!E54+Octubre!E54+Noviembre!E54+Diciembre!E54</f>
        <v>72609412.180000007</v>
      </c>
      <c r="F54" s="14">
        <f>+Enero!F54+Febrero!F54+Marzo!F54+Abril!F54+Mayo!F54+Junio!F54+Julio!F54+Agosto!F54+Septiembre!F54+Octubre!F54+Noviembre!F54+Diciembre!F54</f>
        <v>32187604.969105575</v>
      </c>
      <c r="G54" s="14">
        <f>+Enero!G54+Febrero!G54+Marzo!G54+Abril!G54+Mayo!G54+Junio!G54+Julio!G54+Agosto!G54+Septiembre!G54+Octubre!G54+Noviembre!G54+Diciembre!G54</f>
        <v>11659455.51</v>
      </c>
      <c r="H54" s="14">
        <f>+Enero!H54+Febrero!H54+Marzo!H54+Abril!H54+Mayo!H54+Junio!H54+Julio!H54+Agosto!H54+Septiembre!H54+Octubre!H54+Noviembre!H54+Diciembre!H54</f>
        <v>0</v>
      </c>
      <c r="I54" s="13">
        <f t="shared" si="1"/>
        <v>116456472.65910558</v>
      </c>
    </row>
    <row r="55" spans="1:9" ht="15.75" x14ac:dyDescent="0.25">
      <c r="A55" s="8"/>
      <c r="B55" s="8"/>
      <c r="C55" s="9"/>
      <c r="D55" s="12" t="s">
        <v>51</v>
      </c>
      <c r="E55" s="14">
        <f>+Enero!E55+Febrero!E55+Marzo!E55+Abril!E55+Mayo!E55+Junio!E55+Julio!E55+Agosto!E55+Septiembre!E55+Octubre!E55+Noviembre!E55+Diciembre!E55</f>
        <v>29718870.510000002</v>
      </c>
      <c r="F55" s="14">
        <f>+Enero!F55+Febrero!F55+Marzo!F55+Abril!F55+Mayo!F55+Junio!F55+Julio!F55+Agosto!F55+Septiembre!F55+Octubre!F55+Noviembre!F55+Diciembre!F55</f>
        <v>65945148.636829063</v>
      </c>
      <c r="G55" s="14">
        <f>+Enero!G55+Febrero!G55+Marzo!G55+Abril!G55+Mayo!G55+Junio!G55+Julio!G55+Agosto!G55+Septiembre!G55+Octubre!G55+Noviembre!G55+Diciembre!G55</f>
        <v>882937.14</v>
      </c>
      <c r="H55" s="14">
        <f>+Enero!H55+Febrero!H55+Marzo!H55+Abril!H55+Mayo!H55+Junio!H55+Julio!H55+Agosto!H55+Septiembre!H55+Octubre!H55+Noviembre!H55+Diciembre!H55</f>
        <v>0</v>
      </c>
      <c r="I55" s="13">
        <f t="shared" si="1"/>
        <v>96546956.286829069</v>
      </c>
    </row>
    <row r="56" spans="1:9" ht="15.75" x14ac:dyDescent="0.25">
      <c r="A56" s="8"/>
      <c r="B56" s="8"/>
      <c r="C56" s="9"/>
      <c r="D56" s="12" t="s">
        <v>52</v>
      </c>
      <c r="E56" s="14">
        <f>+Enero!E56+Febrero!E56+Marzo!E56+Abril!E56+Mayo!E56+Junio!E56+Julio!E56+Agosto!E56+Septiembre!E56+Octubre!E56+Noviembre!E56+Diciembre!E56</f>
        <v>74629672.829999998</v>
      </c>
      <c r="F56" s="14">
        <f>+Enero!F56+Febrero!F56+Marzo!F56+Abril!F56+Mayo!F56+Junio!F56+Julio!F56+Agosto!F56+Septiembre!F56+Octubre!F56+Noviembre!F56+Diciembre!F56</f>
        <v>73499858.518619433</v>
      </c>
      <c r="G56" s="14">
        <f>+Enero!G56+Febrero!G56+Marzo!G56+Abril!G56+Mayo!G56+Junio!G56+Julio!G56+Agosto!G56+Septiembre!G56+Octubre!G56+Noviembre!G56+Diciembre!G56</f>
        <v>6614938.5999999996</v>
      </c>
      <c r="H56" s="14">
        <f>+Enero!H56+Febrero!H56+Marzo!H56+Abril!H56+Mayo!H56+Junio!H56+Julio!H56+Agosto!H56+Septiembre!H56+Octubre!H56+Noviembre!H56+Diciembre!H56</f>
        <v>0</v>
      </c>
      <c r="I56" s="13">
        <f t="shared" si="1"/>
        <v>154744469.94861943</v>
      </c>
    </row>
    <row r="57" spans="1:9" ht="15.75" x14ac:dyDescent="0.25">
      <c r="A57" s="8"/>
      <c r="B57" s="8"/>
      <c r="C57" s="9"/>
      <c r="D57" s="12" t="s">
        <v>53</v>
      </c>
      <c r="E57" s="14">
        <f>+Enero!E57+Febrero!E57+Marzo!E57+Abril!E57+Mayo!E57+Junio!E57+Julio!E57+Agosto!E57+Septiembre!E57+Octubre!E57+Noviembre!E57+Diciembre!E57</f>
        <v>17656408.670000002</v>
      </c>
      <c r="F57" s="14">
        <f>+Enero!F57+Febrero!F57+Marzo!F57+Abril!F57+Mayo!F57+Junio!F57+Julio!F57+Agosto!F57+Septiembre!F57+Octubre!F57+Noviembre!F57+Diciembre!F57</f>
        <v>24251010.768771201</v>
      </c>
      <c r="G57" s="14">
        <f>+Enero!G57+Febrero!G57+Marzo!G57+Abril!G57+Mayo!G57+Junio!G57+Julio!G57+Agosto!G57+Septiembre!G57+Octubre!G57+Noviembre!G57+Diciembre!G57</f>
        <v>5798829.3399999999</v>
      </c>
      <c r="H57" s="14">
        <f>+Enero!H57+Febrero!H57+Marzo!H57+Abril!H57+Mayo!H57+Junio!H57+Julio!H57+Agosto!H57+Septiembre!H57+Octubre!H57+Noviembre!H57+Diciembre!H57</f>
        <v>0</v>
      </c>
      <c r="I57" s="13">
        <f t="shared" si="1"/>
        <v>47706248.778771207</v>
      </c>
    </row>
    <row r="58" spans="1:9" ht="15.75" x14ac:dyDescent="0.25">
      <c r="A58" s="8"/>
      <c r="B58" s="8"/>
      <c r="C58" s="9"/>
      <c r="D58" s="12" t="s">
        <v>54</v>
      </c>
      <c r="E58" s="14">
        <f>+Enero!E58+Febrero!E58+Marzo!E58+Abril!E58+Mayo!E58+Junio!E58+Julio!E58+Agosto!E58+Septiembre!E58+Octubre!E58+Noviembre!E58+Diciembre!E58</f>
        <v>25907228.850000001</v>
      </c>
      <c r="F58" s="14">
        <f>+Enero!F58+Febrero!F58+Marzo!F58+Abril!F58+Mayo!F58+Junio!F58+Julio!F58+Agosto!F58+Septiembre!F58+Octubre!F58+Noviembre!F58+Diciembre!F58</f>
        <v>26103075.160694227</v>
      </c>
      <c r="G58" s="14">
        <f>+Enero!G58+Febrero!G58+Marzo!G58+Abril!G58+Mayo!G58+Junio!G58+Julio!G58+Agosto!G58+Septiembre!G58+Octubre!G58+Noviembre!G58+Diciembre!G58</f>
        <v>1290911.1200000001</v>
      </c>
      <c r="H58" s="14">
        <f>+Enero!H58+Febrero!H58+Marzo!H58+Abril!H58+Mayo!H58+Junio!H58+Julio!H58+Agosto!H58+Septiembre!H58+Octubre!H58+Noviembre!H58+Diciembre!H58</f>
        <v>0</v>
      </c>
      <c r="I58" s="13">
        <f t="shared" si="1"/>
        <v>53301215.130694225</v>
      </c>
    </row>
    <row r="59" spans="1:9" ht="15.75" x14ac:dyDescent="0.25">
      <c r="A59" s="8"/>
      <c r="B59" s="8"/>
      <c r="C59" s="9"/>
      <c r="D59" s="12" t="s">
        <v>55</v>
      </c>
      <c r="E59" s="14">
        <f>+Enero!E59+Febrero!E59+Marzo!E59+Abril!E59+Mayo!E59+Junio!E59+Julio!E59+Agosto!E59+Septiembre!E59+Octubre!E59+Noviembre!E59+Diciembre!E59</f>
        <v>53237690.089999996</v>
      </c>
      <c r="F59" s="14">
        <f>+Enero!F59+Febrero!F59+Marzo!F59+Abril!F59+Mayo!F59+Junio!F59+Julio!F59+Agosto!F59+Septiembre!F59+Octubre!F59+Noviembre!F59+Diciembre!F59</f>
        <v>44092491.944009475</v>
      </c>
      <c r="G59" s="14">
        <f>+Enero!G59+Febrero!G59+Marzo!G59+Abril!G59+Mayo!G59+Junio!G59+Julio!G59+Agosto!G59+Septiembre!G59+Octubre!G59+Noviembre!G59+Diciembre!G59</f>
        <v>12127134.390000001</v>
      </c>
      <c r="H59" s="14">
        <f>+Enero!H59+Febrero!H59+Marzo!H59+Abril!H59+Mayo!H59+Junio!H59+Julio!H59+Agosto!H59+Septiembre!H59+Octubre!H59+Noviembre!H59+Diciembre!H59</f>
        <v>0</v>
      </c>
      <c r="I59" s="13">
        <f t="shared" si="1"/>
        <v>109457316.42400947</v>
      </c>
    </row>
    <row r="60" spans="1:9" ht="15.75" x14ac:dyDescent="0.25">
      <c r="A60" s="8"/>
      <c r="B60" s="8"/>
      <c r="C60" s="9"/>
      <c r="D60" s="12" t="s">
        <v>56</v>
      </c>
      <c r="E60" s="14">
        <f>+Enero!E60+Febrero!E60+Marzo!E60+Abril!E60+Mayo!E60+Junio!E60+Julio!E60+Agosto!E60+Septiembre!E60+Octubre!E60+Noviembre!E60+Diciembre!E60</f>
        <v>31102802.059999995</v>
      </c>
      <c r="F60" s="14">
        <f>+Enero!F60+Febrero!F60+Marzo!F60+Abril!F60+Mayo!F60+Junio!F60+Julio!F60+Agosto!F60+Septiembre!F60+Octubre!F60+Noviembre!F60+Diciembre!F60</f>
        <v>26675837.502353061</v>
      </c>
      <c r="G60" s="14">
        <f>+Enero!G60+Febrero!G60+Marzo!G60+Abril!G60+Mayo!G60+Junio!G60+Julio!G60+Agosto!G60+Septiembre!G60+Octubre!G60+Noviembre!G60+Diciembre!G60</f>
        <v>4864317.29</v>
      </c>
      <c r="H60" s="14">
        <f>+Enero!H60+Febrero!H60+Marzo!H60+Abril!H60+Mayo!H60+Junio!H60+Julio!H60+Agosto!H60+Septiembre!H60+Octubre!H60+Noviembre!H60+Diciembre!H60</f>
        <v>0</v>
      </c>
      <c r="I60" s="13">
        <f t="shared" si="1"/>
        <v>62642956.852353059</v>
      </c>
    </row>
    <row r="61" spans="1:9" ht="15.75" x14ac:dyDescent="0.25">
      <c r="A61" s="8"/>
      <c r="B61" s="8"/>
      <c r="C61" s="9"/>
      <c r="D61" s="12" t="s">
        <v>57</v>
      </c>
      <c r="E61" s="14">
        <f>+Enero!E61+Febrero!E61+Marzo!E61+Abril!E61+Mayo!E61+Junio!E61+Julio!E61+Agosto!E61+Septiembre!E61+Octubre!E61+Noviembre!E61+Diciembre!E61</f>
        <v>120569970.24000001</v>
      </c>
      <c r="F61" s="14">
        <f>+Enero!F61+Febrero!F61+Marzo!F61+Abril!F61+Mayo!F61+Junio!F61+Julio!F61+Agosto!F61+Septiembre!F61+Octubre!F61+Noviembre!F61+Diciembre!F61</f>
        <v>44754062.447724938</v>
      </c>
      <c r="G61" s="14">
        <f>+Enero!G61+Febrero!G61+Marzo!G61+Abril!G61+Mayo!G61+Junio!G61+Julio!G61+Agosto!G61+Septiembre!G61+Octubre!G61+Noviembre!G61+Diciembre!G61</f>
        <v>14890831.390000001</v>
      </c>
      <c r="H61" s="14">
        <f>+Enero!H61+Febrero!H61+Marzo!H61+Abril!H61+Mayo!H61+Junio!H61+Julio!H61+Agosto!H61+Septiembre!H61+Octubre!H61+Noviembre!H61+Diciembre!H61</f>
        <v>0</v>
      </c>
      <c r="I61" s="13">
        <f t="shared" si="1"/>
        <v>180214864.07772493</v>
      </c>
    </row>
    <row r="62" spans="1:9" ht="15.75" x14ac:dyDescent="0.25">
      <c r="A62" s="8"/>
      <c r="B62" s="8"/>
      <c r="C62" s="9"/>
      <c r="D62" s="12" t="s">
        <v>58</v>
      </c>
      <c r="E62" s="14">
        <f>+Enero!E62+Febrero!E62+Marzo!E62+Abril!E62+Mayo!E62+Junio!E62+Julio!E62+Agosto!E62+Septiembre!E62+Octubre!E62+Noviembre!E62+Diciembre!E62</f>
        <v>98950629.210000008</v>
      </c>
      <c r="F62" s="14">
        <f>+Enero!F62+Febrero!F62+Marzo!F62+Abril!F62+Mayo!F62+Junio!F62+Julio!F62+Agosto!F62+Septiembre!F62+Octubre!F62+Noviembre!F62+Diciembre!F62</f>
        <v>49935057.639412671</v>
      </c>
      <c r="G62" s="14">
        <f>+Enero!G62+Febrero!G62+Marzo!G62+Abril!G62+Mayo!G62+Junio!G62+Julio!G62+Agosto!G62+Septiembre!G62+Octubre!G62+Noviembre!G62+Diciembre!G62</f>
        <v>491573638.04000002</v>
      </c>
      <c r="H62" s="14">
        <f>+Enero!H62+Febrero!H62+Marzo!H62+Abril!H62+Mayo!H62+Junio!H62+Julio!H62+Agosto!H62+Septiembre!H62+Octubre!H62+Noviembre!H62+Diciembre!H62</f>
        <v>0</v>
      </c>
      <c r="I62" s="13">
        <f t="shared" si="1"/>
        <v>640459324.88941264</v>
      </c>
    </row>
    <row r="63" spans="1:9" ht="15.75" x14ac:dyDescent="0.25">
      <c r="A63" s="8"/>
      <c r="B63" s="8"/>
      <c r="C63" s="9"/>
      <c r="D63" s="12" t="s">
        <v>59</v>
      </c>
      <c r="E63" s="14">
        <f>+Enero!E63+Febrero!E63+Marzo!E63+Abril!E63+Mayo!E63+Junio!E63+Julio!E63+Agosto!E63+Septiembre!E63+Octubre!E63+Noviembre!E63+Diciembre!E63</f>
        <v>28610048.43</v>
      </c>
      <c r="F63" s="14">
        <f>+Enero!F63+Febrero!F63+Marzo!F63+Abril!F63+Mayo!F63+Junio!F63+Julio!F63+Agosto!F63+Septiembre!F63+Octubre!F63+Noviembre!F63+Diciembre!F63</f>
        <v>5511776.117947815</v>
      </c>
      <c r="G63" s="14">
        <f>+Enero!G63+Febrero!G63+Marzo!G63+Abril!G63+Mayo!G63+Junio!G63+Julio!G63+Agosto!G63+Septiembre!G63+Octubre!G63+Noviembre!G63+Diciembre!G63</f>
        <v>27392459.809999999</v>
      </c>
      <c r="H63" s="14">
        <f>+Enero!H63+Febrero!H63+Marzo!H63+Abril!H63+Mayo!H63+Junio!H63+Julio!H63+Agosto!H63+Septiembre!H63+Octubre!H63+Noviembre!H63+Diciembre!H63</f>
        <v>0</v>
      </c>
      <c r="I63" s="13">
        <f t="shared" si="1"/>
        <v>61514284.357947811</v>
      </c>
    </row>
    <row r="64" spans="1:9" ht="15.75" x14ac:dyDescent="0.25">
      <c r="A64" s="8"/>
      <c r="B64" s="8"/>
      <c r="C64" s="9"/>
      <c r="D64" s="12" t="s">
        <v>60</v>
      </c>
      <c r="E64" s="14">
        <f>+Enero!E64+Febrero!E64+Marzo!E64+Abril!E64+Mayo!E64+Junio!E64+Julio!E64+Agosto!E64+Septiembre!E64+Octubre!E64+Noviembre!E64+Diciembre!E64</f>
        <v>0</v>
      </c>
      <c r="F64" s="14">
        <f>+Enero!F64+Febrero!F64+Marzo!F64+Abril!F64+Mayo!F64+Junio!F64+Julio!F64+Agosto!F64+Septiembre!F64+Octubre!F64+Noviembre!F64+Diciembre!F64</f>
        <v>0</v>
      </c>
      <c r="G64" s="14">
        <f>+Enero!G64+Febrero!G64+Marzo!G64+Abril!G64+Mayo!G64+Junio!G64+Julio!G64+Agosto!G64+Septiembre!G64+Octubre!G64+Noviembre!G64+Diciembre!G64</f>
        <v>145531061.22999999</v>
      </c>
      <c r="H64" s="14">
        <f>+Enero!H64+Febrero!H64+Marzo!H64+Abril!H64+Mayo!H64+Junio!H64+Julio!H64+Agosto!H64+Septiembre!H64+Octubre!H64+Noviembre!H64+Diciembre!H64</f>
        <v>0</v>
      </c>
      <c r="I64" s="13">
        <f t="shared" si="1"/>
        <v>145531061.22999999</v>
      </c>
    </row>
    <row r="65" spans="1:9" ht="15.75" x14ac:dyDescent="0.25">
      <c r="A65" s="8"/>
      <c r="B65" s="8"/>
      <c r="C65" s="9"/>
      <c r="D65" s="12" t="s">
        <v>61</v>
      </c>
      <c r="E65" s="14">
        <f>+Enero!E65+Febrero!E65+Marzo!E65+Abril!E65+Mayo!E65+Junio!E65+Julio!E65+Agosto!E65+Septiembre!E65+Octubre!E65+Noviembre!E65+Diciembre!E65</f>
        <v>74433818.230000004</v>
      </c>
      <c r="F65" s="14">
        <f>+Enero!F65+Febrero!F65+Marzo!F65+Abril!F65+Mayo!F65+Junio!F65+Julio!F65+Agosto!F65+Septiembre!F65+Octubre!F65+Noviembre!F65+Diciembre!F65</f>
        <v>65257122.777873971</v>
      </c>
      <c r="G65" s="14">
        <f>+Enero!G65+Febrero!G65+Marzo!G65+Abril!G65+Mayo!G65+Junio!G65+Julio!G65+Agosto!G65+Septiembre!G65+Octubre!G65+Noviembre!G65+Diciembre!G65</f>
        <v>8509734.0599999987</v>
      </c>
      <c r="H65" s="14">
        <f>+Enero!H65+Febrero!H65+Marzo!H65+Abril!H65+Mayo!H65+Junio!H65+Julio!H65+Agosto!H65+Septiembre!H65+Octubre!H65+Noviembre!H65+Diciembre!H65</f>
        <v>0</v>
      </c>
      <c r="I65" s="13">
        <f t="shared" si="1"/>
        <v>148200675.06787398</v>
      </c>
    </row>
    <row r="66" spans="1:9" ht="15.75" x14ac:dyDescent="0.25">
      <c r="A66" s="8"/>
      <c r="B66" s="8"/>
      <c r="C66" s="9"/>
      <c r="D66" s="12" t="s">
        <v>62</v>
      </c>
      <c r="E66" s="14">
        <f>+Enero!E66+Febrero!E66+Marzo!E66+Abril!E66+Mayo!E66+Junio!E66+Julio!E66+Agosto!E66+Septiembre!E66+Octubre!E66+Noviembre!E66+Diciembre!E66</f>
        <v>348003420.53999996</v>
      </c>
      <c r="F66" s="14">
        <f>+Enero!F66+Febrero!F66+Marzo!F66+Abril!F66+Mayo!F66+Junio!F66+Julio!F66+Agosto!F66+Septiembre!F66+Octubre!F66+Noviembre!F66+Diciembre!F66</f>
        <v>129742779.95759314</v>
      </c>
      <c r="G66" s="14">
        <f>+Enero!G66+Febrero!G66+Marzo!G66+Abril!G66+Mayo!G66+Junio!G66+Julio!G66+Agosto!G66+Septiembre!G66+Octubre!G66+Noviembre!G66+Diciembre!G66</f>
        <v>22949269.559999999</v>
      </c>
      <c r="H66" s="14">
        <f>+Enero!H66+Febrero!H66+Marzo!H66+Abril!H66+Mayo!H66+Junio!H66+Julio!H66+Agosto!H66+Septiembre!H66+Octubre!H66+Noviembre!H66+Diciembre!H66</f>
        <v>0</v>
      </c>
      <c r="I66" s="13">
        <f t="shared" si="1"/>
        <v>500695470.05759311</v>
      </c>
    </row>
    <row r="67" spans="1:9" ht="15.75" x14ac:dyDescent="0.25">
      <c r="A67" s="8"/>
      <c r="B67" s="8"/>
      <c r="C67" s="9"/>
      <c r="D67" s="12" t="s">
        <v>63</v>
      </c>
      <c r="E67" s="14">
        <f>+Enero!E67+Febrero!E67+Marzo!E67+Abril!E67+Mayo!E67+Junio!E67+Julio!E67+Agosto!E67+Septiembre!E67+Octubre!E67+Noviembre!E67+Diciembre!E67</f>
        <v>72293208.060000002</v>
      </c>
      <c r="F67" s="14">
        <f>+Enero!F67+Febrero!F67+Marzo!F67+Abril!F67+Mayo!F67+Junio!F67+Julio!F67+Agosto!F67+Septiembre!F67+Octubre!F67+Noviembre!F67+Diciembre!F67</f>
        <v>59966241.14294216</v>
      </c>
      <c r="G67" s="14">
        <f>+Enero!G67+Febrero!G67+Marzo!G67+Abril!G67+Mayo!G67+Junio!G67+Julio!G67+Agosto!G67+Septiembre!G67+Octubre!G67+Noviembre!G67+Diciembre!G67</f>
        <v>10255532.020000001</v>
      </c>
      <c r="H67" s="14">
        <f>+Enero!H67+Febrero!H67+Marzo!H67+Abril!H67+Mayo!H67+Junio!H67+Julio!H67+Agosto!H67+Septiembre!H67+Octubre!H67+Noviembre!H67+Diciembre!H67</f>
        <v>0</v>
      </c>
      <c r="I67" s="13">
        <f t="shared" si="1"/>
        <v>142514981.22294217</v>
      </c>
    </row>
    <row r="68" spans="1:9" ht="15.75" x14ac:dyDescent="0.25">
      <c r="A68" s="8"/>
      <c r="B68" s="8"/>
      <c r="C68" s="9"/>
      <c r="D68" s="12" t="s">
        <v>64</v>
      </c>
      <c r="E68" s="14">
        <f>+Enero!E68+Febrero!E68+Marzo!E68+Abril!E68+Mayo!E68+Junio!E68+Julio!E68+Agosto!E68+Septiembre!E68+Octubre!E68+Noviembre!E68+Diciembre!E68</f>
        <v>70752578.530000001</v>
      </c>
      <c r="F68" s="14">
        <f>+Enero!F68+Febrero!F68+Marzo!F68+Abril!F68+Mayo!F68+Junio!F68+Julio!F68+Agosto!F68+Septiembre!F68+Octubre!F68+Noviembre!F68+Diciembre!F68</f>
        <v>25353257.293186095</v>
      </c>
      <c r="G68" s="14">
        <f>+Enero!G68+Febrero!G68+Marzo!G68+Abril!G68+Mayo!G68+Junio!G68+Julio!G68+Agosto!G68+Septiembre!G68+Octubre!G68+Noviembre!G68+Diciembre!G68</f>
        <v>3713723.86</v>
      </c>
      <c r="H68" s="14">
        <f>+Enero!H68+Febrero!H68+Marzo!H68+Abril!H68+Mayo!H68+Junio!H68+Julio!H68+Agosto!H68+Septiembre!H68+Octubre!H68+Noviembre!H68+Diciembre!H68</f>
        <v>0</v>
      </c>
      <c r="I68" s="13">
        <f t="shared" si="1"/>
        <v>99819559.683186099</v>
      </c>
    </row>
    <row r="69" spans="1:9" ht="15.75" x14ac:dyDescent="0.25">
      <c r="A69" s="8"/>
      <c r="B69" s="8"/>
      <c r="C69" s="9"/>
      <c r="D69" s="12" t="s">
        <v>65</v>
      </c>
      <c r="E69" s="14">
        <f>+Enero!E69+Febrero!E69+Marzo!E69+Abril!E69+Mayo!E69+Junio!E69+Julio!E69+Agosto!E69+Septiembre!E69+Octubre!E69+Noviembre!E69+Diciembre!E69</f>
        <v>0</v>
      </c>
      <c r="F69" s="14">
        <f>+Enero!F69+Febrero!F69+Marzo!F69+Abril!F69+Mayo!F69+Junio!F69+Julio!F69+Agosto!F69+Septiembre!F69+Octubre!F69+Noviembre!F69+Diciembre!F69</f>
        <v>0</v>
      </c>
      <c r="G69" s="14">
        <f>+Enero!G69+Febrero!G69+Marzo!G69+Abril!G69+Mayo!G69+Junio!G69+Julio!G69+Agosto!G69+Septiembre!G69+Octubre!G69+Noviembre!G69+Diciembre!G69</f>
        <v>36923132.630000003</v>
      </c>
      <c r="H69" s="14">
        <f>+Enero!H69+Febrero!H69+Marzo!H69+Abril!H69+Mayo!H69+Junio!H69+Julio!H69+Agosto!H69+Septiembre!H69+Octubre!H69+Noviembre!H69+Diciembre!H69</f>
        <v>0</v>
      </c>
      <c r="I69" s="13">
        <f t="shared" si="1"/>
        <v>36923132.630000003</v>
      </c>
    </row>
    <row r="70" spans="1:9" ht="15.75" x14ac:dyDescent="0.25">
      <c r="A70" s="8"/>
      <c r="B70" s="8"/>
      <c r="C70" s="9"/>
      <c r="D70" s="12" t="s">
        <v>66</v>
      </c>
      <c r="E70" s="14">
        <f>+Enero!E70+Febrero!E70+Marzo!E70+Abril!E70+Mayo!E70+Junio!E70+Julio!E70+Agosto!E70+Septiembre!E70+Octubre!E70+Noviembre!E70+Diciembre!E70</f>
        <v>0</v>
      </c>
      <c r="F70" s="14">
        <f>+Enero!F70+Febrero!F70+Marzo!F70+Abril!F70+Mayo!F70+Junio!F70+Julio!F70+Agosto!F70+Septiembre!F70+Octubre!F70+Noviembre!F70+Diciembre!F70</f>
        <v>0</v>
      </c>
      <c r="G70" s="14">
        <f>+Enero!G70+Febrero!G70+Marzo!G70+Abril!G70+Mayo!G70+Junio!G70+Julio!G70+Agosto!G70+Septiembre!G70+Octubre!G70+Noviembre!G70+Diciembre!G70</f>
        <v>60648609.710000001</v>
      </c>
      <c r="H70" s="14">
        <f>+Enero!H70+Febrero!H70+Marzo!H70+Abril!H70+Mayo!H70+Junio!H70+Julio!H70+Agosto!H70+Septiembre!H70+Octubre!H70+Noviembre!H70+Diciembre!H70</f>
        <v>0</v>
      </c>
      <c r="I70" s="13">
        <f t="shared" si="1"/>
        <v>60648609.710000001</v>
      </c>
    </row>
    <row r="71" spans="1:9" ht="15.75" x14ac:dyDescent="0.25">
      <c r="A71" s="8"/>
      <c r="B71" s="8"/>
      <c r="C71" s="9"/>
      <c r="D71" s="12" t="s">
        <v>67</v>
      </c>
      <c r="E71" s="14">
        <f>+Enero!E71+Febrero!E71+Marzo!E71+Abril!E71+Mayo!E71+Junio!E71+Julio!E71+Agosto!E71+Septiembre!E71+Octubre!E71+Noviembre!E71+Diciembre!E71</f>
        <v>347173.2</v>
      </c>
      <c r="F71" s="14">
        <f>+Enero!F71+Febrero!F71+Marzo!F71+Abril!F71+Mayo!F71+Junio!F71+Julio!F71+Agosto!F71+Septiembre!F71+Octubre!F71+Noviembre!F71+Diciembre!F71</f>
        <v>661570.50371545414</v>
      </c>
      <c r="G71" s="14">
        <f>+Enero!G71+Febrero!G71+Marzo!G71+Abril!G71+Mayo!G71+Junio!G71+Julio!G71+Agosto!G71+Septiembre!G71+Octubre!G71+Noviembre!G71+Diciembre!G71</f>
        <v>47776091.150000006</v>
      </c>
      <c r="H71" s="14">
        <f>+Enero!H71+Febrero!H71+Marzo!H71+Abril!H71+Mayo!H71+Junio!H71+Julio!H71+Agosto!H71+Septiembre!H71+Octubre!H71+Noviembre!H71+Diciembre!H71</f>
        <v>0</v>
      </c>
      <c r="I71" s="13">
        <f t="shared" si="1"/>
        <v>48784834.853715457</v>
      </c>
    </row>
    <row r="72" spans="1:9" ht="15.75" x14ac:dyDescent="0.25">
      <c r="A72" s="8"/>
      <c r="B72" s="8"/>
      <c r="C72" s="9"/>
      <c r="D72" s="12" t="s">
        <v>68</v>
      </c>
      <c r="E72" s="14">
        <f>+Enero!E72+Febrero!E72+Marzo!E72+Abril!E72+Mayo!E72+Junio!E72+Julio!E72+Agosto!E72+Septiembre!E72+Octubre!E72+Noviembre!E72+Diciembre!E72</f>
        <v>104959421.53999998</v>
      </c>
      <c r="F72" s="14">
        <f>+Enero!F72+Febrero!F72+Marzo!F72+Abril!F72+Mayo!F72+Junio!F72+Julio!F72+Agosto!F72+Septiembre!F72+Octubre!F72+Noviembre!F72+Diciembre!F72</f>
        <v>41182598.08549282</v>
      </c>
      <c r="G72" s="14">
        <f>+Enero!G72+Febrero!G72+Marzo!G72+Abril!G72+Mayo!G72+Junio!G72+Julio!G72+Agosto!G72+Septiembre!G72+Octubre!G72+Noviembre!G72+Diciembre!G72</f>
        <v>75325833.140000001</v>
      </c>
      <c r="H72" s="14">
        <f>+Enero!H72+Febrero!H72+Marzo!H72+Abril!H72+Mayo!H72+Junio!H72+Julio!H72+Agosto!H72+Septiembre!H72+Octubre!H72+Noviembre!H72+Diciembre!H72</f>
        <v>0</v>
      </c>
      <c r="I72" s="13">
        <f t="shared" si="1"/>
        <v>221467852.7654928</v>
      </c>
    </row>
    <row r="73" spans="1:9" ht="15.75" x14ac:dyDescent="0.25">
      <c r="A73" s="8"/>
      <c r="B73" s="8"/>
      <c r="C73" s="9"/>
      <c r="D73" s="12" t="s">
        <v>69</v>
      </c>
      <c r="E73" s="14">
        <f>+Enero!E73+Febrero!E73+Marzo!E73+Abril!E73+Mayo!E73+Junio!E73+Julio!E73+Agosto!E73+Septiembre!E73+Octubre!E73+Noviembre!E73+Diciembre!E73</f>
        <v>214543.37</v>
      </c>
      <c r="F73" s="14">
        <f>+Enero!F73+Febrero!F73+Marzo!F73+Abril!F73+Mayo!F73+Junio!F73+Julio!F73+Agosto!F73+Septiembre!F73+Octubre!F73+Noviembre!F73+Diciembre!F73</f>
        <v>0</v>
      </c>
      <c r="G73" s="14">
        <f>+Enero!G73+Febrero!G73+Marzo!G73+Abril!G73+Mayo!G73+Junio!G73+Julio!G73+Agosto!G73+Septiembre!G73+Octubre!G73+Noviembre!G73+Diciembre!G73</f>
        <v>52706775.150000006</v>
      </c>
      <c r="H73" s="14">
        <f>+Enero!H73+Febrero!H73+Marzo!H73+Abril!H73+Mayo!H73+Junio!H73+Julio!H73+Agosto!H73+Septiembre!H73+Octubre!H73+Noviembre!H73+Diciembre!H73</f>
        <v>0</v>
      </c>
      <c r="I73" s="13">
        <f t="shared" si="1"/>
        <v>52921318.520000003</v>
      </c>
    </row>
    <row r="74" spans="1:9" ht="15.75" x14ac:dyDescent="0.25">
      <c r="A74" s="8"/>
      <c r="B74" s="8"/>
      <c r="C74" s="9"/>
      <c r="D74" s="12" t="s">
        <v>70</v>
      </c>
      <c r="E74" s="14">
        <f>+Enero!E74+Febrero!E74+Marzo!E74+Abril!E74+Mayo!E74+Junio!E74+Julio!E74+Agosto!E74+Septiembre!E74+Octubre!E74+Noviembre!E74+Diciembre!E74</f>
        <v>20027002.719999999</v>
      </c>
      <c r="F74" s="14">
        <f>+Enero!F74+Febrero!F74+Marzo!F74+Abril!F74+Mayo!F74+Junio!F74+Julio!F74+Agosto!F74+Septiembre!F74+Octubre!F74+Noviembre!F74+Diciembre!F74</f>
        <v>3483216.998439434</v>
      </c>
      <c r="G74" s="14">
        <f>+Enero!G74+Febrero!G74+Marzo!G74+Abril!G74+Mayo!G74+Junio!G74+Julio!G74+Agosto!G74+Septiembre!G74+Octubre!G74+Noviembre!G74+Diciembre!G74</f>
        <v>256618194.30000004</v>
      </c>
      <c r="H74" s="14">
        <f>+Enero!H74+Febrero!H74+Marzo!H74+Abril!H74+Mayo!H74+Junio!H74+Julio!H74+Agosto!H74+Septiembre!H74+Octubre!H74+Noviembre!H74+Diciembre!H74</f>
        <v>0</v>
      </c>
      <c r="I74" s="13">
        <f t="shared" ref="I74:I105" si="2">SUM(E74:H74)</f>
        <v>280128414.01843947</v>
      </c>
    </row>
    <row r="75" spans="1:9" ht="15.75" x14ac:dyDescent="0.25">
      <c r="A75" s="8"/>
      <c r="B75" s="8"/>
      <c r="C75" s="9"/>
      <c r="D75" s="12" t="s">
        <v>71</v>
      </c>
      <c r="E75" s="14">
        <f>+Enero!E75+Febrero!E75+Marzo!E75+Abril!E75+Mayo!E75+Junio!E75+Julio!E75+Agosto!E75+Septiembre!E75+Octubre!E75+Noviembre!E75+Diciembre!E75</f>
        <v>50550628.780000001</v>
      </c>
      <c r="F75" s="14">
        <f>+Enero!F75+Febrero!F75+Marzo!F75+Abril!F75+Mayo!F75+Junio!F75+Julio!F75+Agosto!F75+Septiembre!F75+Octubre!F75+Noviembre!F75+Diciembre!F75</f>
        <v>13536609.030879561</v>
      </c>
      <c r="G75" s="14">
        <f>+Enero!G75+Febrero!G75+Marzo!G75+Abril!G75+Mayo!G75+Junio!G75+Julio!G75+Agosto!G75+Septiembre!G75+Octubre!G75+Noviembre!G75+Diciembre!G75</f>
        <v>461875701.29000002</v>
      </c>
      <c r="H75" s="14">
        <f>+Enero!H75+Febrero!H75+Marzo!H75+Abril!H75+Mayo!H75+Junio!H75+Julio!H75+Agosto!H75+Septiembre!H75+Octubre!H75+Noviembre!H75+Diciembre!H75</f>
        <v>0</v>
      </c>
      <c r="I75" s="13">
        <f t="shared" si="2"/>
        <v>525962939.10087955</v>
      </c>
    </row>
    <row r="76" spans="1:9" ht="15.75" x14ac:dyDescent="0.25">
      <c r="A76" s="8"/>
      <c r="B76" s="8"/>
      <c r="C76" s="9"/>
      <c r="D76" s="12" t="s">
        <v>72</v>
      </c>
      <c r="E76" s="14">
        <f>+Enero!E76+Febrero!E76+Marzo!E76+Abril!E76+Mayo!E76+Junio!E76+Julio!E76+Agosto!E76+Septiembre!E76+Octubre!E76+Noviembre!E76+Diciembre!E76</f>
        <v>0</v>
      </c>
      <c r="F76" s="14">
        <f>+Enero!F76+Febrero!F76+Marzo!F76+Abril!F76+Mayo!F76+Junio!F76+Julio!F76+Agosto!F76+Septiembre!F76+Octubre!F76+Noviembre!F76+Diciembre!F76</f>
        <v>0</v>
      </c>
      <c r="G76" s="14">
        <f>+Enero!G76+Febrero!G76+Marzo!G76+Abril!G76+Mayo!G76+Junio!G76+Julio!G76+Agosto!G76+Septiembre!G76+Octubre!G76+Noviembre!G76+Diciembre!G76</f>
        <v>121589787.39999999</v>
      </c>
      <c r="H76" s="14">
        <f>+Enero!H76+Febrero!H76+Marzo!H76+Abril!H76+Mayo!H76+Junio!H76+Julio!H76+Agosto!H76+Septiembre!H76+Octubre!H76+Noviembre!H76+Diciembre!H76</f>
        <v>0</v>
      </c>
      <c r="I76" s="13">
        <f t="shared" si="2"/>
        <v>121589787.39999999</v>
      </c>
    </row>
    <row r="77" spans="1:9" ht="15.75" x14ac:dyDescent="0.25">
      <c r="A77" s="8"/>
      <c r="B77" s="8"/>
      <c r="C77" s="9"/>
      <c r="D77" s="12" t="s">
        <v>73</v>
      </c>
      <c r="E77" s="14">
        <f>+Enero!E77+Febrero!E77+Marzo!E77+Abril!E77+Mayo!E77+Junio!E77+Julio!E77+Agosto!E77+Septiembre!E77+Octubre!E77+Noviembre!E77+Diciembre!E77</f>
        <v>43992667.149999991</v>
      </c>
      <c r="F77" s="14">
        <f>+Enero!F77+Febrero!F77+Marzo!F77+Abril!F77+Mayo!F77+Junio!F77+Julio!F77+Agosto!F77+Septiembre!F77+Octubre!F77+Noviembre!F77+Diciembre!F77</f>
        <v>67130817.598053098</v>
      </c>
      <c r="G77" s="14">
        <f>+Enero!G77+Febrero!G77+Marzo!G77+Abril!G77+Mayo!G77+Junio!G77+Julio!G77+Agosto!G77+Septiembre!G77+Octubre!G77+Noviembre!G77+Diciembre!G77</f>
        <v>7675229.4199999999</v>
      </c>
      <c r="H77" s="14">
        <f>+Enero!H77+Febrero!H77+Marzo!H77+Abril!H77+Mayo!H77+Junio!H77+Julio!H77+Agosto!H77+Septiembre!H77+Octubre!H77+Noviembre!H77+Diciembre!H77</f>
        <v>0</v>
      </c>
      <c r="I77" s="13">
        <f t="shared" si="2"/>
        <v>118798714.16805309</v>
      </c>
    </row>
    <row r="78" spans="1:9" ht="15.75" x14ac:dyDescent="0.25">
      <c r="A78" s="8"/>
      <c r="B78" s="8"/>
      <c r="C78" s="9"/>
      <c r="D78" s="12" t="s">
        <v>74</v>
      </c>
      <c r="E78" s="14">
        <f>+Enero!E78+Febrero!E78+Marzo!E78+Abril!E78+Mayo!E78+Junio!E78+Julio!E78+Agosto!E78+Septiembre!E78+Octubre!E78+Noviembre!E78+Diciembre!E78</f>
        <v>88485565.590000018</v>
      </c>
      <c r="F78" s="14">
        <f>+Enero!F78+Febrero!F78+Marzo!F78+Abril!F78+Mayo!F78+Junio!F78+Julio!F78+Agosto!F78+Septiembre!F78+Octubre!F78+Noviembre!F78+Diciembre!F78</f>
        <v>68123169.028028607</v>
      </c>
      <c r="G78" s="14">
        <f>+Enero!G78+Febrero!G78+Marzo!G78+Abril!G78+Mayo!G78+Junio!G78+Julio!G78+Agosto!G78+Septiembre!G78+Octubre!G78+Noviembre!G78+Diciembre!G78</f>
        <v>11888043.52</v>
      </c>
      <c r="H78" s="14">
        <f>+Enero!H78+Febrero!H78+Marzo!H78+Abril!H78+Mayo!H78+Junio!H78+Julio!H78+Agosto!H78+Septiembre!H78+Octubre!H78+Noviembre!H78+Diciembre!H78</f>
        <v>0</v>
      </c>
      <c r="I78" s="13">
        <f t="shared" si="2"/>
        <v>168496778.13802865</v>
      </c>
    </row>
    <row r="79" spans="1:9" ht="15.75" x14ac:dyDescent="0.25">
      <c r="A79" s="8"/>
      <c r="B79" s="8"/>
      <c r="C79" s="9"/>
      <c r="D79" s="12" t="s">
        <v>75</v>
      </c>
      <c r="E79" s="14">
        <f>+Enero!E79+Febrero!E79+Marzo!E79+Abril!E79+Mayo!E79+Junio!E79+Julio!E79+Agosto!E79+Septiembre!E79+Octubre!E79+Noviembre!E79+Diciembre!E79</f>
        <v>83750482.409999996</v>
      </c>
      <c r="F79" s="14">
        <f>+Enero!F79+Febrero!F79+Marzo!F79+Abril!F79+Mayo!F79+Junio!F79+Julio!F79+Agosto!F79+Septiembre!F79+Octubre!F79+Noviembre!F79+Diciembre!F79</f>
        <v>38250495.698065534</v>
      </c>
      <c r="G79" s="14">
        <f>+Enero!G79+Febrero!G79+Marzo!G79+Abril!G79+Mayo!G79+Junio!G79+Julio!G79+Agosto!G79+Septiembre!G79+Octubre!G79+Noviembre!G79+Diciembre!G79</f>
        <v>12029788.460000001</v>
      </c>
      <c r="H79" s="14">
        <f>+Enero!H79+Febrero!H79+Marzo!H79+Abril!H79+Mayo!H79+Junio!H79+Julio!H79+Agosto!H79+Septiembre!H79+Octubre!H79+Noviembre!H79+Diciembre!H79</f>
        <v>0</v>
      </c>
      <c r="I79" s="13">
        <f t="shared" si="2"/>
        <v>134030766.56806552</v>
      </c>
    </row>
    <row r="80" spans="1:9" ht="15.75" x14ac:dyDescent="0.25">
      <c r="A80" s="8"/>
      <c r="B80" s="8"/>
      <c r="C80" s="9"/>
      <c r="D80" s="12" t="s">
        <v>76</v>
      </c>
      <c r="E80" s="14">
        <f>+Enero!E80+Febrero!E80+Marzo!E80+Abril!E80+Mayo!E80+Junio!E80+Julio!E80+Agosto!E80+Septiembre!E80+Octubre!E80+Noviembre!E80+Diciembre!E80</f>
        <v>31426477.469999999</v>
      </c>
      <c r="F80" s="14">
        <f>+Enero!F80+Febrero!F80+Marzo!F80+Abril!F80+Mayo!F80+Junio!F80+Julio!F80+Agosto!F80+Septiembre!F80+Octubre!F80+Noviembre!F80+Diciembre!F80</f>
        <v>20216670.508124318</v>
      </c>
      <c r="G80" s="14">
        <f>+Enero!G80+Febrero!G80+Marzo!G80+Abril!G80+Mayo!G80+Junio!G80+Julio!G80+Agosto!G80+Septiembre!G80+Octubre!G80+Noviembre!G80+Diciembre!G80</f>
        <v>2170011.4399999995</v>
      </c>
      <c r="H80" s="14">
        <f>+Enero!H80+Febrero!H80+Marzo!H80+Abril!H80+Mayo!H80+Junio!H80+Julio!H80+Agosto!H80+Septiembre!H80+Octubre!H80+Noviembre!H80+Diciembre!H80</f>
        <v>0</v>
      </c>
      <c r="I80" s="13">
        <f t="shared" si="2"/>
        <v>53813159.418124318</v>
      </c>
    </row>
    <row r="81" spans="1:9" ht="15.75" x14ac:dyDescent="0.25">
      <c r="A81" s="8"/>
      <c r="B81" s="8"/>
      <c r="C81" s="9"/>
      <c r="D81" s="12" t="s">
        <v>77</v>
      </c>
      <c r="E81" s="14">
        <f>+Enero!E81+Febrero!E81+Marzo!E81+Abril!E81+Mayo!E81+Junio!E81+Julio!E81+Agosto!E81+Septiembre!E81+Octubre!E81+Noviembre!E81+Diciembre!E81</f>
        <v>225350423.34999996</v>
      </c>
      <c r="F81" s="14">
        <f>+Enero!F81+Febrero!F81+Marzo!F81+Abril!F81+Mayo!F81+Junio!F81+Julio!F81+Agosto!F81+Septiembre!F81+Octubre!F81+Noviembre!F81+Diciembre!F81</f>
        <v>121982119.68658018</v>
      </c>
      <c r="G81" s="14">
        <f>+Enero!G81+Febrero!G81+Marzo!G81+Abril!G81+Mayo!G81+Junio!G81+Julio!G81+Agosto!G81+Septiembre!G81+Octubre!G81+Noviembre!G81+Diciembre!G81</f>
        <v>29138719.490000002</v>
      </c>
      <c r="H81" s="14">
        <f>+Enero!H81+Febrero!H81+Marzo!H81+Abril!H81+Mayo!H81+Junio!H81+Julio!H81+Agosto!H81+Septiembre!H81+Octubre!H81+Noviembre!H81+Diciembre!H81</f>
        <v>0</v>
      </c>
      <c r="I81" s="13">
        <f t="shared" si="2"/>
        <v>376471262.52658015</v>
      </c>
    </row>
    <row r="82" spans="1:9" ht="15.75" x14ac:dyDescent="0.25">
      <c r="A82" s="8"/>
      <c r="B82" s="8"/>
      <c r="C82" s="9"/>
      <c r="D82" s="12" t="s">
        <v>78</v>
      </c>
      <c r="E82" s="14">
        <f>+Enero!E82+Febrero!E82+Marzo!E82+Abril!E82+Mayo!E82+Junio!E82+Julio!E82+Agosto!E82+Septiembre!E82+Octubre!E82+Noviembre!E82+Diciembre!E82</f>
        <v>299195570.24999994</v>
      </c>
      <c r="F82" s="14">
        <f>+Enero!F82+Febrero!F82+Marzo!F82+Abril!F82+Mayo!F82+Junio!F82+Julio!F82+Agosto!F82+Septiembre!F82+Octubre!F82+Noviembre!F82+Diciembre!F82</f>
        <v>84547480.690904796</v>
      </c>
      <c r="G82" s="14">
        <f>+Enero!G82+Febrero!G82+Marzo!G82+Abril!G82+Mayo!G82+Junio!G82+Julio!G82+Agosto!G82+Septiembre!G82+Octubre!G82+Noviembre!G82+Diciembre!G82</f>
        <v>15655791.120000001</v>
      </c>
      <c r="H82" s="14">
        <f>+Enero!H82+Febrero!H82+Marzo!H82+Abril!H82+Mayo!H82+Junio!H82+Julio!H82+Agosto!H82+Septiembre!H82+Octubre!H82+Noviembre!H82+Diciembre!H82</f>
        <v>0</v>
      </c>
      <c r="I82" s="13">
        <f t="shared" si="2"/>
        <v>399398842.06090474</v>
      </c>
    </row>
    <row r="83" spans="1:9" ht="15.75" x14ac:dyDescent="0.25">
      <c r="A83" s="8"/>
      <c r="B83" s="8"/>
      <c r="C83" s="9"/>
      <c r="D83" s="12" t="s">
        <v>79</v>
      </c>
      <c r="E83" s="14">
        <f>+Enero!E83+Febrero!E83+Marzo!E83+Abril!E83+Mayo!E83+Junio!E83+Julio!E83+Agosto!E83+Septiembre!E83+Octubre!E83+Noviembre!E83+Diciembre!E83</f>
        <v>56301436.439999998</v>
      </c>
      <c r="F83" s="14">
        <f>+Enero!F83+Febrero!F83+Marzo!F83+Abril!F83+Mayo!F83+Junio!F83+Julio!F83+Agosto!F83+Septiembre!F83+Octubre!F83+Noviembre!F83+Diciembre!F83</f>
        <v>34722878.944195434</v>
      </c>
      <c r="G83" s="14">
        <f>+Enero!G83+Febrero!G83+Marzo!G83+Abril!G83+Mayo!G83+Junio!G83+Julio!G83+Agosto!G83+Septiembre!G83+Octubre!G83+Noviembre!G83+Diciembre!G83</f>
        <v>21022734.890000001</v>
      </c>
      <c r="H83" s="14">
        <f>+Enero!H83+Febrero!H83+Marzo!H83+Abril!H83+Mayo!H83+Junio!H83+Julio!H83+Agosto!H83+Septiembre!H83+Octubre!H83+Noviembre!H83+Diciembre!H83</f>
        <v>0</v>
      </c>
      <c r="I83" s="13">
        <f t="shared" si="2"/>
        <v>112047050.27419543</v>
      </c>
    </row>
    <row r="84" spans="1:9" ht="15.75" x14ac:dyDescent="0.25">
      <c r="A84" s="8"/>
      <c r="B84" s="8"/>
      <c r="C84" s="9"/>
      <c r="D84" s="12" t="s">
        <v>80</v>
      </c>
      <c r="E84" s="14">
        <f>+Enero!E84+Febrero!E84+Marzo!E84+Abril!E84+Mayo!E84+Junio!E84+Julio!E84+Agosto!E84+Septiembre!E84+Octubre!E84+Noviembre!E84+Diciembre!E84</f>
        <v>0</v>
      </c>
      <c r="F84" s="14">
        <f>+Enero!F84+Febrero!F84+Marzo!F84+Abril!F84+Mayo!F84+Junio!F84+Julio!F84+Agosto!F84+Septiembre!F84+Octubre!F84+Noviembre!F84+Diciembre!F84</f>
        <v>0</v>
      </c>
      <c r="G84" s="14">
        <f>+Enero!G84+Febrero!G84+Marzo!G84+Abril!G84+Mayo!G84+Junio!G84+Julio!G84+Agosto!G84+Septiembre!G84+Octubre!G84+Noviembre!G84+Diciembre!G84</f>
        <v>199604481.15000001</v>
      </c>
      <c r="H84" s="14">
        <f>+Enero!H84+Febrero!H84+Marzo!H84+Abril!H84+Mayo!H84+Junio!H84+Julio!H84+Agosto!H84+Septiembre!H84+Octubre!H84+Noviembre!H84+Diciembre!H84</f>
        <v>0</v>
      </c>
      <c r="I84" s="13">
        <f t="shared" si="2"/>
        <v>199604481.15000001</v>
      </c>
    </row>
    <row r="85" spans="1:9" ht="15.75" x14ac:dyDescent="0.25">
      <c r="A85" s="8"/>
      <c r="B85" s="8"/>
      <c r="C85" s="9"/>
      <c r="D85" s="12" t="s">
        <v>81</v>
      </c>
      <c r="E85" s="14">
        <f>+Enero!E85+Febrero!E85+Marzo!E85+Abril!E85+Mayo!E85+Junio!E85+Julio!E85+Agosto!E85+Septiembre!E85+Octubre!E85+Noviembre!E85+Diciembre!E85</f>
        <v>72333218.459999993</v>
      </c>
      <c r="F85" s="14">
        <f>+Enero!F85+Febrero!F85+Marzo!F85+Abril!F85+Mayo!F85+Junio!F85+Julio!F85+Agosto!F85+Septiembre!F85+Octubre!F85+Noviembre!F85+Diciembre!F85</f>
        <v>10802649.101684315</v>
      </c>
      <c r="G85" s="14">
        <f>+Enero!G85+Febrero!G85+Marzo!G85+Abril!G85+Mayo!G85+Junio!G85+Julio!G85+Agosto!G85+Septiembre!G85+Octubre!G85+Noviembre!G85+Diciembre!G85</f>
        <v>78164361.859999999</v>
      </c>
      <c r="H85" s="14">
        <f>+Enero!H85+Febrero!H85+Marzo!H85+Abril!H85+Mayo!H85+Junio!H85+Julio!H85+Agosto!H85+Septiembre!H85+Octubre!H85+Noviembre!H85+Diciembre!H85</f>
        <v>0</v>
      </c>
      <c r="I85" s="13">
        <f t="shared" si="2"/>
        <v>161300229.42168432</v>
      </c>
    </row>
    <row r="86" spans="1:9" ht="15.75" x14ac:dyDescent="0.25">
      <c r="A86" s="8"/>
      <c r="B86" s="8"/>
      <c r="C86" s="9"/>
      <c r="D86" s="12" t="s">
        <v>82</v>
      </c>
      <c r="E86" s="14">
        <f>+Enero!E86+Febrero!E86+Marzo!E86+Abril!E86+Mayo!E86+Junio!E86+Julio!E86+Agosto!E86+Septiembre!E86+Octubre!E86+Noviembre!E86+Diciembre!E86</f>
        <v>42149133.599999994</v>
      </c>
      <c r="F86" s="14">
        <f>+Enero!F86+Febrero!F86+Marzo!F86+Abril!F86+Mayo!F86+Junio!F86+Julio!F86+Agosto!F86+Septiembre!F86+Octubre!F86+Noviembre!F86+Diciembre!F86</f>
        <v>44864518.340428241</v>
      </c>
      <c r="G86" s="14">
        <f>+Enero!G86+Febrero!G86+Marzo!G86+Abril!G86+Mayo!G86+Junio!G86+Julio!G86+Agosto!G86+Septiembre!G86+Octubre!G86+Noviembre!G86+Diciembre!G86</f>
        <v>7966865.9299999997</v>
      </c>
      <c r="H86" s="14">
        <f>+Enero!H86+Febrero!H86+Marzo!H86+Abril!H86+Mayo!H86+Junio!H86+Julio!H86+Agosto!H86+Septiembre!H86+Octubre!H86+Noviembre!H86+Diciembre!H86</f>
        <v>0</v>
      </c>
      <c r="I86" s="13">
        <f t="shared" si="2"/>
        <v>94980517.870428234</v>
      </c>
    </row>
    <row r="87" spans="1:9" ht="15.75" x14ac:dyDescent="0.25">
      <c r="A87" s="8"/>
      <c r="B87" s="8"/>
      <c r="C87" s="9"/>
      <c r="D87" s="12" t="s">
        <v>83</v>
      </c>
      <c r="E87" s="14">
        <f>+Enero!E87+Febrero!E87+Marzo!E87+Abril!E87+Mayo!E87+Junio!E87+Julio!E87+Agosto!E87+Septiembre!E87+Octubre!E87+Noviembre!E87+Diciembre!E87</f>
        <v>28686762.52</v>
      </c>
      <c r="F87" s="14">
        <f>+Enero!F87+Febrero!F87+Marzo!F87+Abril!F87+Mayo!F87+Junio!F87+Julio!F87+Agosto!F87+Septiembre!F87+Octubre!F87+Noviembre!F87+Diciembre!F87</f>
        <v>59084336.954474643</v>
      </c>
      <c r="G87" s="14">
        <f>+Enero!G87+Febrero!G87+Marzo!G87+Abril!G87+Mayo!G87+Junio!G87+Julio!G87+Agosto!G87+Septiembre!G87+Octubre!G87+Noviembre!G87+Diciembre!G87</f>
        <v>5020290.45</v>
      </c>
      <c r="H87" s="14">
        <f>+Enero!H87+Febrero!H87+Marzo!H87+Abril!H87+Mayo!H87+Junio!H87+Julio!H87+Agosto!H87+Septiembre!H87+Octubre!H87+Noviembre!H87+Diciembre!H87</f>
        <v>0</v>
      </c>
      <c r="I87" s="13">
        <f t="shared" si="2"/>
        <v>92791389.924474642</v>
      </c>
    </row>
    <row r="88" spans="1:9" ht="15.75" x14ac:dyDescent="0.25">
      <c r="A88" s="8"/>
      <c r="B88" s="8"/>
      <c r="C88" s="9"/>
      <c r="D88" s="12" t="s">
        <v>84</v>
      </c>
      <c r="E88" s="14">
        <f>+Enero!E88+Febrero!E88+Marzo!E88+Abril!E88+Mayo!E88+Junio!E88+Julio!E88+Agosto!E88+Septiembre!E88+Octubre!E88+Noviembre!E88+Diciembre!E88</f>
        <v>16755089.950000003</v>
      </c>
      <c r="F88" s="14">
        <f>+Enero!F88+Febrero!F88+Marzo!F88+Abril!F88+Mayo!F88+Junio!F88+Julio!F88+Agosto!F88+Septiembre!F88+Octubre!F88+Noviembre!F88+Diciembre!F88</f>
        <v>0</v>
      </c>
      <c r="G88" s="14">
        <f>+Enero!G88+Febrero!G88+Marzo!G88+Abril!G88+Mayo!G88+Junio!G88+Julio!G88+Agosto!G88+Septiembre!G88+Octubre!G88+Noviembre!G88+Diciembre!G88</f>
        <v>128483600.57999998</v>
      </c>
      <c r="H88" s="14">
        <f>+Enero!H88+Febrero!H88+Marzo!H88+Abril!H88+Mayo!H88+Junio!H88+Julio!H88+Agosto!H88+Septiembre!H88+Octubre!H88+Noviembre!H88+Diciembre!H88</f>
        <v>0</v>
      </c>
      <c r="I88" s="13">
        <f t="shared" si="2"/>
        <v>145238690.52999997</v>
      </c>
    </row>
    <row r="89" spans="1:9" ht="15.75" x14ac:dyDescent="0.25">
      <c r="A89" s="8"/>
      <c r="B89" s="8"/>
      <c r="C89" s="9"/>
      <c r="D89" s="12" t="s">
        <v>85</v>
      </c>
      <c r="E89" s="14">
        <f>+Enero!E89+Febrero!E89+Marzo!E89+Abril!E89+Mayo!E89+Junio!E89+Julio!E89+Agosto!E89+Septiembre!E89+Octubre!E89+Noviembre!E89+Diciembre!E89</f>
        <v>47837396.599999994</v>
      </c>
      <c r="F89" s="14">
        <f>+Enero!F89+Febrero!F89+Marzo!F89+Abril!F89+Mayo!F89+Junio!F89+Julio!F89+Agosto!F89+Septiembre!F89+Octubre!F89+Noviembre!F89+Diciembre!F89</f>
        <v>57937690.674629092</v>
      </c>
      <c r="G89" s="14">
        <f>+Enero!G89+Febrero!G89+Marzo!G89+Abril!G89+Mayo!G89+Junio!G89+Julio!G89+Agosto!G89+Septiembre!G89+Octubre!G89+Noviembre!G89+Diciembre!G89</f>
        <v>8902931.1400000006</v>
      </c>
      <c r="H89" s="14">
        <f>+Enero!H89+Febrero!H89+Marzo!H89+Abril!H89+Mayo!H89+Junio!H89+Julio!H89+Agosto!H89+Septiembre!H89+Octubre!H89+Noviembre!H89+Diciembre!H89</f>
        <v>0</v>
      </c>
      <c r="I89" s="13">
        <f t="shared" si="2"/>
        <v>114678018.41462909</v>
      </c>
    </row>
    <row r="90" spans="1:9" ht="15.75" x14ac:dyDescent="0.25">
      <c r="A90" s="8"/>
      <c r="B90" s="8"/>
      <c r="C90" s="9"/>
      <c r="D90" s="12" t="s">
        <v>86</v>
      </c>
      <c r="E90" s="14">
        <f>+Enero!E90+Febrero!E90+Marzo!E90+Abril!E90+Mayo!E90+Junio!E90+Julio!E90+Agosto!E90+Septiembre!E90+Octubre!E90+Noviembre!E90+Diciembre!E90</f>
        <v>17005108.460000005</v>
      </c>
      <c r="F90" s="14">
        <f>+Enero!F90+Febrero!F90+Marzo!F90+Abril!F90+Mayo!F90+Junio!F90+Julio!F90+Agosto!F90+Septiembre!F90+Octubre!F90+Noviembre!F90+Diciembre!F90</f>
        <v>14991284.212201223</v>
      </c>
      <c r="G90" s="14">
        <f>+Enero!G90+Febrero!G90+Marzo!G90+Abril!G90+Mayo!G90+Junio!G90+Julio!G90+Agosto!G90+Septiembre!G90+Octubre!G90+Noviembre!G90+Diciembre!G90</f>
        <v>12051682.02</v>
      </c>
      <c r="H90" s="14">
        <f>+Enero!H90+Febrero!H90+Marzo!H90+Abril!H90+Mayo!H90+Junio!H90+Julio!H90+Agosto!H90+Septiembre!H90+Octubre!H90+Noviembre!H90+Diciembre!H90</f>
        <v>0</v>
      </c>
      <c r="I90" s="13">
        <f t="shared" si="2"/>
        <v>44048074.692201227</v>
      </c>
    </row>
    <row r="91" spans="1:9" ht="15.75" x14ac:dyDescent="0.25">
      <c r="A91" s="8"/>
      <c r="B91" s="8"/>
      <c r="C91" s="9"/>
      <c r="D91" s="12" t="s">
        <v>87</v>
      </c>
      <c r="E91" s="14">
        <f>+Enero!E91+Febrero!E91+Marzo!E91+Abril!E91+Mayo!E91+Junio!E91+Julio!E91+Agosto!E91+Septiembre!E91+Octubre!E91+Noviembre!E91+Diciembre!E91</f>
        <v>49946165.549999997</v>
      </c>
      <c r="F91" s="14">
        <f>+Enero!F91+Febrero!F91+Marzo!F91+Abril!F91+Mayo!F91+Junio!F91+Julio!F91+Agosto!F91+Septiembre!F91+Octubre!F91+Noviembre!F91+Diciembre!F91</f>
        <v>34193955.55970332</v>
      </c>
      <c r="G91" s="14">
        <f>+Enero!G91+Febrero!G91+Marzo!G91+Abril!G91+Mayo!G91+Junio!G91+Julio!G91+Agosto!G91+Septiembre!G91+Octubre!G91+Noviembre!G91+Diciembre!G91</f>
        <v>27649587.140000001</v>
      </c>
      <c r="H91" s="14">
        <f>+Enero!H91+Febrero!H91+Marzo!H91+Abril!H91+Mayo!H91+Junio!H91+Julio!H91+Agosto!H91+Septiembre!H91+Octubre!H91+Noviembre!H91+Diciembre!H91</f>
        <v>0</v>
      </c>
      <c r="I91" s="13">
        <f t="shared" si="2"/>
        <v>111789708.24970332</v>
      </c>
    </row>
    <row r="92" spans="1:9" ht="15.75" x14ac:dyDescent="0.25">
      <c r="A92" s="8"/>
      <c r="B92" s="8"/>
      <c r="C92" s="9"/>
      <c r="D92" s="12" t="s">
        <v>88</v>
      </c>
      <c r="E92" s="14">
        <f>+Enero!E92+Febrero!E92+Marzo!E92+Abril!E92+Mayo!E92+Junio!E92+Julio!E92+Agosto!E92+Septiembre!E92+Octubre!E92+Noviembre!E92+Diciembre!E92</f>
        <v>7774832.290000001</v>
      </c>
      <c r="F92" s="14">
        <f>+Enero!F92+Febrero!F92+Marzo!F92+Abril!F92+Mayo!F92+Junio!F92+Julio!F92+Agosto!F92+Septiembre!F92+Octubre!F92+Noviembre!F92+Diciembre!F92</f>
        <v>4718110.6420776648</v>
      </c>
      <c r="G92" s="14">
        <f>+Enero!G92+Febrero!G92+Marzo!G92+Abril!G92+Mayo!G92+Junio!G92+Julio!G92+Agosto!G92+Septiembre!G92+Octubre!G92+Noviembre!G92+Diciembre!G92</f>
        <v>76099182.969999999</v>
      </c>
      <c r="H92" s="14">
        <f>+Enero!H92+Febrero!H92+Marzo!H92+Abril!H92+Mayo!H92+Junio!H92+Julio!H92+Agosto!H92+Septiembre!H92+Octubre!H92+Noviembre!H92+Diciembre!H92</f>
        <v>0</v>
      </c>
      <c r="I92" s="13">
        <f t="shared" si="2"/>
        <v>88592125.90207766</v>
      </c>
    </row>
    <row r="93" spans="1:9" ht="15.75" x14ac:dyDescent="0.25">
      <c r="A93" s="8"/>
      <c r="B93" s="8"/>
      <c r="C93" s="9"/>
      <c r="D93" s="12" t="s">
        <v>89</v>
      </c>
      <c r="E93" s="14">
        <f>+Enero!E93+Febrero!E93+Marzo!E93+Abril!E93+Mayo!E93+Junio!E93+Julio!E93+Agosto!E93+Septiembre!E93+Octubre!E93+Noviembre!E93+Diciembre!E93</f>
        <v>83008286.400000006</v>
      </c>
      <c r="F93" s="14">
        <f>+Enero!F93+Febrero!F93+Marzo!F93+Abril!F93+Mayo!F93+Junio!F93+Julio!F93+Agosto!F93+Septiembre!F93+Octubre!F93+Noviembre!F93+Diciembre!F93</f>
        <v>38246818.029496059</v>
      </c>
      <c r="G93" s="14">
        <f>+Enero!G93+Febrero!G93+Marzo!G93+Abril!G93+Mayo!G93+Junio!G93+Julio!G93+Agosto!G93+Septiembre!G93+Octubre!G93+Noviembre!G93+Diciembre!G93</f>
        <v>11207077.700000001</v>
      </c>
      <c r="H93" s="14">
        <f>+Enero!H93+Febrero!H93+Marzo!H93+Abril!H93+Mayo!H93+Junio!H93+Julio!H93+Agosto!H93+Septiembre!H93+Octubre!H93+Noviembre!H93+Diciembre!H93</f>
        <v>0</v>
      </c>
      <c r="I93" s="13">
        <f t="shared" si="2"/>
        <v>132462182.12949607</v>
      </c>
    </row>
    <row r="94" spans="1:9" ht="15.75" x14ac:dyDescent="0.25">
      <c r="A94" s="8"/>
      <c r="B94" s="8"/>
      <c r="C94" s="9"/>
      <c r="D94" s="12" t="s">
        <v>90</v>
      </c>
      <c r="E94" s="14">
        <f>+Enero!E94+Febrero!E94+Marzo!E94+Abril!E94+Mayo!E94+Junio!E94+Julio!E94+Agosto!E94+Septiembre!E94+Octubre!E94+Noviembre!E94+Diciembre!E94</f>
        <v>1075583.99</v>
      </c>
      <c r="F94" s="14">
        <f>+Enero!F94+Febrero!F94+Marzo!F94+Abril!F94+Mayo!F94+Junio!F94+Julio!F94+Agosto!F94+Septiembre!F94+Octubre!F94+Noviembre!F94+Diciembre!F94</f>
        <v>0</v>
      </c>
      <c r="G94" s="14">
        <f>+Enero!G94+Febrero!G94+Marzo!G94+Abril!G94+Mayo!G94+Junio!G94+Julio!G94+Agosto!G94+Septiembre!G94+Octubre!G94+Noviembre!G94+Diciembre!G94</f>
        <v>3486791.08</v>
      </c>
      <c r="H94" s="14">
        <f>+Enero!H94+Febrero!H94+Marzo!H94+Abril!H94+Mayo!H94+Junio!H94+Julio!H94+Agosto!H94+Septiembre!H94+Octubre!H94+Noviembre!H94+Diciembre!H94</f>
        <v>0</v>
      </c>
      <c r="I94" s="13">
        <f t="shared" si="2"/>
        <v>4562375.07</v>
      </c>
    </row>
    <row r="95" spans="1:9" ht="15.75" x14ac:dyDescent="0.25">
      <c r="A95" s="8"/>
      <c r="B95" s="8"/>
      <c r="C95" s="9"/>
      <c r="D95" s="12" t="s">
        <v>91</v>
      </c>
      <c r="E95" s="14">
        <f>+Enero!E95+Febrero!E95+Marzo!E95+Abril!E95+Mayo!E95+Junio!E95+Julio!E95+Agosto!E95+Septiembre!E95+Octubre!E95+Noviembre!E95+Diciembre!E95</f>
        <v>11707021.580000002</v>
      </c>
      <c r="F95" s="14">
        <f>+Enero!F95+Febrero!F95+Marzo!F95+Abril!F95+Mayo!F95+Junio!F95+Julio!F95+Agosto!F95+Septiembre!F95+Octubre!F95+Noviembre!F95+Diciembre!F95</f>
        <v>1212693.7659229022</v>
      </c>
      <c r="G95" s="14">
        <f>+Enero!G95+Febrero!G95+Marzo!G95+Abril!G95+Mayo!G95+Junio!G95+Julio!G95+Agosto!G95+Septiembre!G95+Octubre!G95+Noviembre!G95+Diciembre!G95</f>
        <v>70749183.519999996</v>
      </c>
      <c r="H95" s="14">
        <f>+Enero!H95+Febrero!H95+Marzo!H95+Abril!H95+Mayo!H95+Junio!H95+Julio!H95+Agosto!H95+Septiembre!H95+Octubre!H95+Noviembre!H95+Diciembre!H95</f>
        <v>0</v>
      </c>
      <c r="I95" s="13">
        <f t="shared" si="2"/>
        <v>83668898.865922898</v>
      </c>
    </row>
    <row r="96" spans="1:9" ht="15.75" x14ac:dyDescent="0.25">
      <c r="A96" s="8"/>
      <c r="B96" s="8"/>
      <c r="C96" s="9"/>
      <c r="D96" s="12" t="s">
        <v>92</v>
      </c>
      <c r="E96" s="14">
        <f>+Enero!E96+Febrero!E96+Marzo!E96+Abril!E96+Mayo!E96+Junio!E96+Julio!E96+Agosto!E96+Septiembre!E96+Octubre!E96+Noviembre!E96+Diciembre!E96</f>
        <v>0</v>
      </c>
      <c r="F96" s="14">
        <f>+Enero!F96+Febrero!F96+Marzo!F96+Abril!F96+Mayo!F96+Junio!F96+Julio!F96+Agosto!F96+Septiembre!F96+Octubre!F96+Noviembre!F96+Diciembre!F96</f>
        <v>0</v>
      </c>
      <c r="G96" s="14">
        <f>+Enero!G96+Febrero!G96+Marzo!G96+Abril!G96+Mayo!G96+Junio!G96+Julio!G96+Agosto!G96+Septiembre!G96+Octubre!G96+Noviembre!G96+Diciembre!G96</f>
        <v>149163378.03999999</v>
      </c>
      <c r="H96" s="14">
        <f>+Enero!H96+Febrero!H96+Marzo!H96+Abril!H96+Mayo!H96+Junio!H96+Julio!H96+Agosto!H96+Septiembre!H96+Octubre!H96+Noviembre!H96+Diciembre!H96</f>
        <v>0</v>
      </c>
      <c r="I96" s="13">
        <f t="shared" si="2"/>
        <v>149163378.03999999</v>
      </c>
    </row>
    <row r="97" spans="1:9" ht="15.75" x14ac:dyDescent="0.25">
      <c r="A97" s="8"/>
      <c r="B97" s="8"/>
      <c r="C97" s="9"/>
      <c r="D97" s="12" t="s">
        <v>93</v>
      </c>
      <c r="E97" s="14">
        <f>+Enero!E97+Febrero!E97+Marzo!E97+Abril!E97+Mayo!E97+Junio!E97+Julio!E97+Agosto!E97+Septiembre!E97+Octubre!E97+Noviembre!E97+Diciembre!E97</f>
        <v>28853469.75</v>
      </c>
      <c r="F97" s="14">
        <f>+Enero!F97+Febrero!F97+Marzo!F97+Abril!F97+Mayo!F97+Junio!F97+Julio!F97+Agosto!F97+Septiembre!F97+Octubre!F97+Noviembre!F97+Diciembre!F97</f>
        <v>54454473.676189654</v>
      </c>
      <c r="G97" s="14">
        <f>+Enero!G97+Febrero!G97+Marzo!G97+Abril!G97+Mayo!G97+Junio!G97+Julio!G97+Agosto!G97+Septiembre!G97+Octubre!G97+Noviembre!G97+Diciembre!G97</f>
        <v>8488319.0700000003</v>
      </c>
      <c r="H97" s="14">
        <f>+Enero!H97+Febrero!H97+Marzo!H97+Abril!H97+Mayo!H97+Junio!H97+Julio!H97+Agosto!H97+Septiembre!H97+Octubre!H97+Noviembre!H97+Diciembre!H97</f>
        <v>0</v>
      </c>
      <c r="I97" s="13">
        <f t="shared" si="2"/>
        <v>91796262.496189654</v>
      </c>
    </row>
    <row r="98" spans="1:9" ht="15.75" x14ac:dyDescent="0.25">
      <c r="A98" s="8"/>
      <c r="B98" s="8"/>
      <c r="C98" s="9"/>
      <c r="D98" s="12" t="s">
        <v>94</v>
      </c>
      <c r="E98" s="14">
        <f>+Enero!E98+Febrero!E98+Marzo!E98+Abril!E98+Mayo!E98+Junio!E98+Julio!E98+Agosto!E98+Septiembre!E98+Octubre!E98+Noviembre!E98+Diciembre!E98</f>
        <v>134792151.10999998</v>
      </c>
      <c r="F98" s="14">
        <f>+Enero!F98+Febrero!F98+Marzo!F98+Abril!F98+Mayo!F98+Junio!F98+Julio!F98+Agosto!F98+Septiembre!F98+Octubre!F98+Noviembre!F98+Diciembre!F98</f>
        <v>71628594.555378675</v>
      </c>
      <c r="G98" s="14">
        <f>+Enero!G98+Febrero!G98+Marzo!G98+Abril!G98+Mayo!G98+Junio!G98+Julio!G98+Agosto!G98+Septiembre!G98+Octubre!G98+Noviembre!G98+Diciembre!G98</f>
        <v>61932425.36999999</v>
      </c>
      <c r="H98" s="14">
        <f>+Enero!H98+Febrero!H98+Marzo!H98+Abril!H98+Mayo!H98+Junio!H98+Julio!H98+Agosto!H98+Septiembre!H98+Octubre!H98+Noviembre!H98+Diciembre!H98</f>
        <v>0</v>
      </c>
      <c r="I98" s="13">
        <f t="shared" si="2"/>
        <v>268353171.03537863</v>
      </c>
    </row>
    <row r="99" spans="1:9" ht="15.75" x14ac:dyDescent="0.25">
      <c r="A99" s="8"/>
      <c r="B99" s="8"/>
      <c r="C99" s="9"/>
      <c r="D99" s="12" t="s">
        <v>95</v>
      </c>
      <c r="E99" s="14">
        <f>+Enero!E99+Febrero!E99+Marzo!E99+Abril!E99+Mayo!E99+Junio!E99+Julio!E99+Agosto!E99+Septiembre!E99+Octubre!E99+Noviembre!E99+Diciembre!E99</f>
        <v>156270911.12</v>
      </c>
      <c r="F99" s="14">
        <f>+Enero!F99+Febrero!F99+Marzo!F99+Abril!F99+Mayo!F99+Junio!F99+Julio!F99+Agosto!F99+Septiembre!F99+Octubre!F99+Noviembre!F99+Diciembre!F99</f>
        <v>136488880.26971993</v>
      </c>
      <c r="G99" s="14">
        <f>+Enero!G99+Febrero!G99+Marzo!G99+Abril!G99+Mayo!G99+Junio!G99+Julio!G99+Agosto!G99+Septiembre!G99+Octubre!G99+Noviembre!G99+Diciembre!G99</f>
        <v>27322184.530000001</v>
      </c>
      <c r="H99" s="14">
        <f>+Enero!H99+Febrero!H99+Marzo!H99+Abril!H99+Mayo!H99+Junio!H99+Julio!H99+Agosto!H99+Septiembre!H99+Octubre!H99+Noviembre!H99+Diciembre!H99</f>
        <v>0</v>
      </c>
      <c r="I99" s="13">
        <f t="shared" si="2"/>
        <v>320081975.91971993</v>
      </c>
    </row>
    <row r="100" spans="1:9" ht="15.75" x14ac:dyDescent="0.25">
      <c r="A100" s="8"/>
      <c r="B100" s="8"/>
      <c r="C100" s="9"/>
      <c r="D100" s="12" t="s">
        <v>96</v>
      </c>
      <c r="E100" s="14">
        <f>+Enero!E100+Febrero!E100+Marzo!E100+Abril!E100+Mayo!E100+Junio!E100+Julio!E100+Agosto!E100+Septiembre!E100+Octubre!E100+Noviembre!E100+Diciembre!E100</f>
        <v>172255977.66000003</v>
      </c>
      <c r="F100" s="14">
        <f>+Enero!F100+Febrero!F100+Marzo!F100+Abril!F100+Mayo!F100+Junio!F100+Julio!F100+Agosto!F100+Septiembre!F100+Octubre!F100+Noviembre!F100+Diciembre!F100</f>
        <v>136611151.87407798</v>
      </c>
      <c r="G100" s="14">
        <f>+Enero!G100+Febrero!G100+Marzo!G100+Abril!G100+Mayo!G100+Junio!G100+Julio!G100+Agosto!G100+Septiembre!G100+Octubre!G100+Noviembre!G100+Diciembre!G100</f>
        <v>61230712.340000004</v>
      </c>
      <c r="H100" s="14">
        <f>+Enero!H100+Febrero!H100+Marzo!H100+Abril!H100+Mayo!H100+Junio!H100+Julio!H100+Agosto!H100+Septiembre!H100+Octubre!H100+Noviembre!H100+Diciembre!H100</f>
        <v>0</v>
      </c>
      <c r="I100" s="13">
        <f t="shared" si="2"/>
        <v>370097841.87407804</v>
      </c>
    </row>
    <row r="101" spans="1:9" ht="15.75" x14ac:dyDescent="0.25">
      <c r="A101" s="8"/>
      <c r="B101" s="8"/>
      <c r="C101" s="9"/>
      <c r="D101" s="12" t="s">
        <v>97</v>
      </c>
      <c r="E101" s="14">
        <f>+Enero!E101+Febrero!E101+Marzo!E101+Abril!E101+Mayo!E101+Junio!E101+Julio!E101+Agosto!E101+Septiembre!E101+Octubre!E101+Noviembre!E101+Diciembre!E101</f>
        <v>6854710.3499999996</v>
      </c>
      <c r="F101" s="14">
        <f>+Enero!F101+Febrero!F101+Marzo!F101+Abril!F101+Mayo!F101+Junio!F101+Julio!F101+Agosto!F101+Septiembre!F101+Octubre!F101+Noviembre!F101+Diciembre!F101</f>
        <v>183247602.26205546</v>
      </c>
      <c r="G101" s="14">
        <f>+Enero!G101+Febrero!G101+Marzo!G101+Abril!G101+Mayo!G101+Junio!G101+Julio!G101+Agosto!G101+Septiembre!G101+Octubre!G101+Noviembre!G101+Diciembre!G101</f>
        <v>1231810.25</v>
      </c>
      <c r="H101" s="14">
        <f>+Enero!H101+Febrero!H101+Marzo!H101+Abril!H101+Mayo!H101+Junio!H101+Julio!H101+Agosto!H101+Septiembre!H101+Octubre!H101+Noviembre!H101+Diciembre!H101</f>
        <v>0</v>
      </c>
      <c r="I101" s="13">
        <f t="shared" si="2"/>
        <v>191334122.86205545</v>
      </c>
    </row>
    <row r="102" spans="1:9" ht="15.75" x14ac:dyDescent="0.25">
      <c r="A102" s="8"/>
      <c r="B102" s="8"/>
      <c r="C102" s="9"/>
      <c r="D102" s="12" t="s">
        <v>98</v>
      </c>
      <c r="E102" s="14">
        <f>+Enero!E102+Febrero!E102+Marzo!E102+Abril!E102+Mayo!E102+Junio!E102+Julio!E102+Agosto!E102+Septiembre!E102+Octubre!E102+Noviembre!E102+Diciembre!E102</f>
        <v>184357504.84999996</v>
      </c>
      <c r="F102" s="14">
        <f>+Enero!F102+Febrero!F102+Marzo!F102+Abril!F102+Mayo!F102+Junio!F102+Julio!F102+Agosto!F102+Septiembre!F102+Octubre!F102+Noviembre!F102+Diciembre!F102</f>
        <v>78801336.209425747</v>
      </c>
      <c r="G102" s="14">
        <f>+Enero!G102+Febrero!G102+Marzo!G102+Abril!G102+Mayo!G102+Junio!G102+Julio!G102+Agosto!G102+Septiembre!G102+Octubre!G102+Noviembre!G102+Diciembre!G102</f>
        <v>28223715.75</v>
      </c>
      <c r="H102" s="14">
        <f>+Enero!H102+Febrero!H102+Marzo!H102+Abril!H102+Mayo!H102+Junio!H102+Julio!H102+Agosto!H102+Septiembre!H102+Octubre!H102+Noviembre!H102+Diciembre!H102</f>
        <v>0</v>
      </c>
      <c r="I102" s="13">
        <f t="shared" si="2"/>
        <v>291382556.80942571</v>
      </c>
    </row>
    <row r="103" spans="1:9" ht="15.75" x14ac:dyDescent="0.25">
      <c r="A103" s="8"/>
      <c r="B103" s="8"/>
      <c r="C103" s="9"/>
      <c r="D103" s="12" t="s">
        <v>99</v>
      </c>
      <c r="E103" s="14">
        <f>+Enero!E103+Febrero!E103+Marzo!E103+Abril!E103+Mayo!E103+Junio!E103+Julio!E103+Agosto!E103+Septiembre!E103+Octubre!E103+Noviembre!E103+Diciembre!E103</f>
        <v>57981941.750000015</v>
      </c>
      <c r="F103" s="14">
        <f>+Enero!F103+Febrero!F103+Marzo!F103+Abril!F103+Mayo!F103+Junio!F103+Julio!F103+Agosto!F103+Septiembre!F103+Octubre!F103+Noviembre!F103+Diciembre!F103</f>
        <v>25022467.715730716</v>
      </c>
      <c r="G103" s="14">
        <f>+Enero!G103+Febrero!G103+Marzo!G103+Abril!G103+Mayo!G103+Junio!G103+Julio!G103+Agosto!G103+Septiembre!G103+Octubre!G103+Noviembre!G103+Diciembre!G103</f>
        <v>5353352.75</v>
      </c>
      <c r="H103" s="14">
        <f>+Enero!H103+Febrero!H103+Marzo!H103+Abril!H103+Mayo!H103+Junio!H103+Julio!H103+Agosto!H103+Septiembre!H103+Octubre!H103+Noviembre!H103+Diciembre!H103</f>
        <v>0</v>
      </c>
      <c r="I103" s="13">
        <f t="shared" si="2"/>
        <v>88357762.215730727</v>
      </c>
    </row>
    <row r="104" spans="1:9" ht="15.75" x14ac:dyDescent="0.25">
      <c r="A104" s="8"/>
      <c r="B104" s="8"/>
      <c r="C104" s="9"/>
      <c r="D104" s="12" t="s">
        <v>100</v>
      </c>
      <c r="E104" s="14">
        <f>+Enero!E104+Febrero!E104+Marzo!E104+Abril!E104+Mayo!E104+Junio!E104+Julio!E104+Agosto!E104+Septiembre!E104+Octubre!E104+Noviembre!E104+Diciembre!E104</f>
        <v>242675649.28000003</v>
      </c>
      <c r="F104" s="14">
        <f>+Enero!F104+Febrero!F104+Marzo!F104+Abril!F104+Mayo!F104+Junio!F104+Julio!F104+Agosto!F104+Septiembre!F104+Octubre!F104+Noviembre!F104+Diciembre!F104</f>
        <v>45724222.651180439</v>
      </c>
      <c r="G104" s="14">
        <f>+Enero!G104+Febrero!G104+Marzo!G104+Abril!G104+Mayo!G104+Junio!G104+Julio!G104+Agosto!G104+Septiembre!G104+Octubre!G104+Noviembre!G104+Diciembre!G104</f>
        <v>62356711.289999992</v>
      </c>
      <c r="H104" s="14">
        <f>+Enero!H104+Febrero!H104+Marzo!H104+Abril!H104+Mayo!H104+Junio!H104+Julio!H104+Agosto!H104+Septiembre!H104+Octubre!H104+Noviembre!H104+Diciembre!H104</f>
        <v>0</v>
      </c>
      <c r="I104" s="13">
        <f t="shared" si="2"/>
        <v>350756583.22118044</v>
      </c>
    </row>
    <row r="105" spans="1:9" ht="15.75" x14ac:dyDescent="0.25">
      <c r="A105" s="8"/>
      <c r="B105" s="8"/>
      <c r="C105" s="9"/>
      <c r="D105" s="12" t="s">
        <v>101</v>
      </c>
      <c r="E105" s="14">
        <f>+Enero!E105+Febrero!E105+Marzo!E105+Abril!E105+Mayo!E105+Junio!E105+Julio!E105+Agosto!E105+Septiembre!E105+Octubre!E105+Noviembre!E105+Diciembre!E105</f>
        <v>36805584.599999994</v>
      </c>
      <c r="F105" s="14">
        <f>+Enero!F105+Febrero!F105+Marzo!F105+Abril!F105+Mayo!F105+Junio!F105+Julio!F105+Agosto!F105+Septiembre!F105+Octubre!F105+Noviembre!F105+Diciembre!F105</f>
        <v>67902835.343276545</v>
      </c>
      <c r="G105" s="14">
        <f>+Enero!G105+Febrero!G105+Marzo!G105+Abril!G105+Mayo!G105+Junio!G105+Julio!G105+Agosto!G105+Septiembre!G105+Octubre!G105+Noviembre!G105+Diciembre!G105</f>
        <v>462287.55000000005</v>
      </c>
      <c r="H105" s="14">
        <f>+Enero!H105+Febrero!H105+Marzo!H105+Abril!H105+Mayo!H105+Junio!H105+Julio!H105+Agosto!H105+Septiembre!H105+Octubre!H105+Noviembre!H105+Diciembre!H105</f>
        <v>0</v>
      </c>
      <c r="I105" s="13">
        <f t="shared" si="2"/>
        <v>105170707.49327654</v>
      </c>
    </row>
    <row r="106" spans="1:9" ht="15.75" x14ac:dyDescent="0.25">
      <c r="A106" s="8"/>
      <c r="B106" s="8"/>
      <c r="C106" s="9"/>
      <c r="D106" s="12" t="s">
        <v>102</v>
      </c>
      <c r="E106" s="14">
        <f>+Enero!E106+Febrero!E106+Marzo!E106+Abril!E106+Mayo!E106+Junio!E106+Julio!E106+Agosto!E106+Septiembre!E106+Octubre!E106+Noviembre!E106+Diciembre!E106</f>
        <v>49044314.230000004</v>
      </c>
      <c r="F106" s="14">
        <f>+Enero!F106+Febrero!F106+Marzo!F106+Abril!F106+Mayo!F106+Junio!F106+Julio!F106+Agosto!F106+Septiembre!F106+Octubre!F106+Noviembre!F106+Diciembre!F106</f>
        <v>4188635.1105169076</v>
      </c>
      <c r="G106" s="14">
        <f>+Enero!G106+Febrero!G106+Marzo!G106+Abril!G106+Mayo!G106+Junio!G106+Julio!G106+Agosto!G106+Septiembre!G106+Octubre!G106+Noviembre!G106+Diciembre!G106</f>
        <v>136360794.08000001</v>
      </c>
      <c r="H106" s="14">
        <f>+Enero!H106+Febrero!H106+Marzo!H106+Abril!H106+Mayo!H106+Junio!H106+Julio!H106+Agosto!H106+Septiembre!H106+Octubre!H106+Noviembre!H106+Diciembre!H106</f>
        <v>0</v>
      </c>
      <c r="I106" s="13">
        <f t="shared" ref="I106:I137" si="3">SUM(E106:H106)</f>
        <v>189593743.42051691</v>
      </c>
    </row>
    <row r="107" spans="1:9" ht="15.75" x14ac:dyDescent="0.25">
      <c r="A107" s="8"/>
      <c r="B107" s="8"/>
      <c r="C107" s="9"/>
      <c r="D107" s="12" t="s">
        <v>103</v>
      </c>
      <c r="E107" s="14">
        <f>+Enero!E107+Febrero!E107+Marzo!E107+Abril!E107+Mayo!E107+Junio!E107+Julio!E107+Agosto!E107+Septiembre!E107+Octubre!E107+Noviembre!E107+Diciembre!E107</f>
        <v>337985.44</v>
      </c>
      <c r="F107" s="14">
        <f>+Enero!F107+Febrero!F107+Marzo!F107+Abril!F107+Mayo!F107+Junio!F107+Julio!F107+Agosto!F107+Septiembre!F107+Octubre!F107+Noviembre!F107+Diciembre!F107</f>
        <v>0</v>
      </c>
      <c r="G107" s="14">
        <f>+Enero!G107+Febrero!G107+Marzo!G107+Abril!G107+Mayo!G107+Junio!G107+Julio!G107+Agosto!G107+Septiembre!G107+Octubre!G107+Noviembre!G107+Diciembre!G107</f>
        <v>36610576.029999994</v>
      </c>
      <c r="H107" s="14">
        <f>+Enero!H107+Febrero!H107+Marzo!H107+Abril!H107+Mayo!H107+Junio!H107+Julio!H107+Agosto!H107+Septiembre!H107+Octubre!H107+Noviembre!H107+Diciembre!H107</f>
        <v>0</v>
      </c>
      <c r="I107" s="13">
        <f t="shared" si="3"/>
        <v>36948561.469999991</v>
      </c>
    </row>
    <row r="108" spans="1:9" ht="15.75" x14ac:dyDescent="0.25">
      <c r="A108" s="8"/>
      <c r="B108" s="8"/>
      <c r="C108" s="9"/>
      <c r="D108" s="12" t="s">
        <v>104</v>
      </c>
      <c r="E108" s="14">
        <f>+Enero!E108+Febrero!E108+Marzo!E108+Abril!E108+Mayo!E108+Junio!E108+Julio!E108+Agosto!E108+Septiembre!E108+Octubre!E108+Noviembre!E108+Diciembre!E108</f>
        <v>5761320.0499999998</v>
      </c>
      <c r="F108" s="14">
        <f>+Enero!F108+Febrero!F108+Marzo!F108+Abril!F108+Mayo!F108+Junio!F108+Julio!F108+Agosto!F108+Septiembre!F108+Octubre!F108+Noviembre!F108+Diciembre!F108</f>
        <v>0</v>
      </c>
      <c r="G108" s="14">
        <f>+Enero!G108+Febrero!G108+Marzo!G108+Abril!G108+Mayo!G108+Junio!G108+Julio!G108+Agosto!G108+Septiembre!G108+Octubre!G108+Noviembre!G108+Diciembre!G108</f>
        <v>22951723.880000003</v>
      </c>
      <c r="H108" s="14">
        <f>+Enero!H108+Febrero!H108+Marzo!H108+Abril!H108+Mayo!H108+Junio!H108+Julio!H108+Agosto!H108+Septiembre!H108+Octubre!H108+Noviembre!H108+Diciembre!H108</f>
        <v>0</v>
      </c>
      <c r="I108" s="13">
        <f t="shared" si="3"/>
        <v>28713043.930000003</v>
      </c>
    </row>
    <row r="109" spans="1:9" ht="15.75" x14ac:dyDescent="0.25">
      <c r="A109" s="8"/>
      <c r="B109" s="8"/>
      <c r="C109" s="9"/>
      <c r="D109" s="12" t="s">
        <v>105</v>
      </c>
      <c r="E109" s="14">
        <f>+Enero!E109+Febrero!E109+Marzo!E109+Abril!E109+Mayo!E109+Junio!E109+Julio!E109+Agosto!E109+Septiembre!E109+Octubre!E109+Noviembre!E109+Diciembre!E109</f>
        <v>22234511.870000001</v>
      </c>
      <c r="F109" s="14">
        <f>+Enero!F109+Febrero!F109+Marzo!F109+Abril!F109+Mayo!F109+Junio!F109+Julio!F109+Agosto!F109+Septiembre!F109+Octubre!F109+Noviembre!F109+Diciembre!F109</f>
        <v>109265153.23107259</v>
      </c>
      <c r="G109" s="14">
        <f>+Enero!G109+Febrero!G109+Marzo!G109+Abril!G109+Mayo!G109+Junio!G109+Julio!G109+Agosto!G109+Septiembre!G109+Octubre!G109+Noviembre!G109+Diciembre!G109</f>
        <v>4955078.99</v>
      </c>
      <c r="H109" s="14">
        <f>+Enero!H109+Febrero!H109+Marzo!H109+Abril!H109+Mayo!H109+Junio!H109+Julio!H109+Agosto!H109+Septiembre!H109+Octubre!H109+Noviembre!H109+Diciembre!H109</f>
        <v>0</v>
      </c>
      <c r="I109" s="13">
        <f t="shared" si="3"/>
        <v>136454744.09107259</v>
      </c>
    </row>
    <row r="110" spans="1:9" ht="15.75" x14ac:dyDescent="0.25">
      <c r="A110" s="8"/>
      <c r="B110" s="8"/>
      <c r="C110" s="9"/>
      <c r="D110" s="12" t="s">
        <v>106</v>
      </c>
      <c r="E110" s="14">
        <f>+Enero!E110+Febrero!E110+Marzo!E110+Abril!E110+Mayo!E110+Junio!E110+Julio!E110+Agosto!E110+Septiembre!E110+Octubre!E110+Noviembre!E110+Diciembre!E110</f>
        <v>21863020.230000004</v>
      </c>
      <c r="F110" s="14">
        <f>+Enero!F110+Febrero!F110+Marzo!F110+Abril!F110+Mayo!F110+Junio!F110+Julio!F110+Agosto!F110+Septiembre!F110+Octubre!F110+Noviembre!F110+Diciembre!F110</f>
        <v>26880395.796939328</v>
      </c>
      <c r="G110" s="14">
        <f>+Enero!G110+Febrero!G110+Marzo!G110+Abril!G110+Mayo!G110+Junio!G110+Julio!G110+Agosto!G110+Septiembre!G110+Octubre!G110+Noviembre!G110+Diciembre!G110</f>
        <v>6651239.6699999999</v>
      </c>
      <c r="H110" s="14">
        <f>+Enero!H110+Febrero!H110+Marzo!H110+Abril!H110+Mayo!H110+Junio!H110+Julio!H110+Agosto!H110+Septiembre!H110+Octubre!H110+Noviembre!H110+Diciembre!H110</f>
        <v>0</v>
      </c>
      <c r="I110" s="13">
        <f t="shared" si="3"/>
        <v>55394655.696939334</v>
      </c>
    </row>
    <row r="111" spans="1:9" ht="15.75" x14ac:dyDescent="0.25">
      <c r="A111" s="8"/>
      <c r="B111" s="8"/>
      <c r="C111" s="9"/>
      <c r="D111" s="12" t="s">
        <v>107</v>
      </c>
      <c r="E111" s="14">
        <f>+Enero!E111+Febrero!E111+Marzo!E111+Abril!E111+Mayo!E111+Junio!E111+Julio!E111+Agosto!E111+Septiembre!E111+Octubre!E111+Noviembre!E111+Diciembre!E111</f>
        <v>1031452.14</v>
      </c>
      <c r="F111" s="14">
        <f>+Enero!F111+Febrero!F111+Marzo!F111+Abril!F111+Mayo!F111+Junio!F111+Julio!F111+Agosto!F111+Septiembre!F111+Octubre!F111+Noviembre!F111+Diciembre!F111</f>
        <v>419028.29005275213</v>
      </c>
      <c r="G111" s="14">
        <f>+Enero!G111+Febrero!G111+Marzo!G111+Abril!G111+Mayo!G111+Junio!G111+Julio!G111+Agosto!G111+Septiembre!G111+Octubre!G111+Noviembre!G111+Diciembre!G111</f>
        <v>172308170.93000001</v>
      </c>
      <c r="H111" s="14">
        <f>+Enero!H111+Febrero!H111+Marzo!H111+Abril!H111+Mayo!H111+Junio!H111+Julio!H111+Agosto!H111+Septiembre!H111+Octubre!H111+Noviembre!H111+Diciembre!H111</f>
        <v>0</v>
      </c>
      <c r="I111" s="13">
        <f t="shared" si="3"/>
        <v>173758651.36005276</v>
      </c>
    </row>
    <row r="112" spans="1:9" ht="15.75" x14ac:dyDescent="0.25">
      <c r="A112" s="8"/>
      <c r="B112" s="8"/>
      <c r="C112" s="9"/>
      <c r="D112" s="12" t="s">
        <v>108</v>
      </c>
      <c r="E112" s="14">
        <f>+Enero!E112+Febrero!E112+Marzo!E112+Abril!E112+Mayo!E112+Junio!E112+Julio!E112+Agosto!E112+Septiembre!E112+Octubre!E112+Noviembre!E112+Diciembre!E112</f>
        <v>73633484.88000001</v>
      </c>
      <c r="F112" s="14">
        <f>+Enero!F112+Febrero!F112+Marzo!F112+Abril!F112+Mayo!F112+Junio!F112+Julio!F112+Agosto!F112+Septiembre!F112+Octubre!F112+Noviembre!F112+Diciembre!F112</f>
        <v>28659979.564040173</v>
      </c>
      <c r="G112" s="14">
        <f>+Enero!G112+Febrero!G112+Marzo!G112+Abril!G112+Mayo!G112+Junio!G112+Julio!G112+Agosto!G112+Septiembre!G112+Octubre!G112+Noviembre!G112+Diciembre!G112</f>
        <v>12574682.169999998</v>
      </c>
      <c r="H112" s="14">
        <f>+Enero!H112+Febrero!H112+Marzo!H112+Abril!H112+Mayo!H112+Junio!H112+Julio!H112+Agosto!H112+Septiembre!H112+Octubre!H112+Noviembre!H112+Diciembre!H112</f>
        <v>0</v>
      </c>
      <c r="I112" s="13">
        <f t="shared" si="3"/>
        <v>114868146.61404018</v>
      </c>
    </row>
    <row r="113" spans="1:9" ht="15.75" x14ac:dyDescent="0.25">
      <c r="A113" s="8"/>
      <c r="B113" s="8"/>
      <c r="C113" s="9"/>
      <c r="D113" s="12" t="s">
        <v>109</v>
      </c>
      <c r="E113" s="14">
        <f>+Enero!E113+Febrero!E113+Marzo!E113+Abril!E113+Mayo!E113+Junio!E113+Julio!E113+Agosto!E113+Septiembre!E113+Octubre!E113+Noviembre!E113+Diciembre!E113</f>
        <v>55571576.549999997</v>
      </c>
      <c r="F113" s="14">
        <f>+Enero!F113+Febrero!F113+Marzo!F113+Abril!F113+Mayo!F113+Junio!F113+Julio!F113+Agosto!F113+Septiembre!F113+Octubre!F113+Noviembre!F113+Diciembre!F113</f>
        <v>69005081.867691457</v>
      </c>
      <c r="G113" s="14">
        <f>+Enero!G113+Febrero!G113+Marzo!G113+Abril!G113+Mayo!G113+Junio!G113+Julio!G113+Agosto!G113+Septiembre!G113+Octubre!G113+Noviembre!G113+Diciembre!G113</f>
        <v>15516533.269999998</v>
      </c>
      <c r="H113" s="14">
        <f>+Enero!H113+Febrero!H113+Marzo!H113+Abril!H113+Mayo!H113+Junio!H113+Julio!H113+Agosto!H113+Septiembre!H113+Octubre!H113+Noviembre!H113+Diciembre!H113</f>
        <v>0</v>
      </c>
      <c r="I113" s="13">
        <f t="shared" si="3"/>
        <v>140093191.68769145</v>
      </c>
    </row>
    <row r="114" spans="1:9" ht="15.75" x14ac:dyDescent="0.25">
      <c r="A114" s="8"/>
      <c r="B114" s="8"/>
      <c r="C114" s="9"/>
      <c r="D114" s="12" t="s">
        <v>110</v>
      </c>
      <c r="E114" s="14">
        <f>+Enero!E114+Febrero!E114+Marzo!E114+Abril!E114+Mayo!E114+Junio!E114+Julio!E114+Agosto!E114+Septiembre!E114+Octubre!E114+Noviembre!E114+Diciembre!E114</f>
        <v>150035790.15000001</v>
      </c>
      <c r="F114" s="14">
        <f>+Enero!F114+Febrero!F114+Marzo!F114+Abril!F114+Mayo!F114+Junio!F114+Julio!F114+Agosto!F114+Septiembre!F114+Octubre!F114+Noviembre!F114+Diciembre!F114</f>
        <v>79146160.465660289</v>
      </c>
      <c r="G114" s="14">
        <f>+Enero!G114+Febrero!G114+Marzo!G114+Abril!G114+Mayo!G114+Junio!G114+Julio!G114+Agosto!G114+Septiembre!G114+Octubre!G114+Noviembre!G114+Diciembre!G114</f>
        <v>19216237.41</v>
      </c>
      <c r="H114" s="14">
        <f>+Enero!H114+Febrero!H114+Marzo!H114+Abril!H114+Mayo!H114+Junio!H114+Julio!H114+Agosto!H114+Septiembre!H114+Octubre!H114+Noviembre!H114+Diciembre!H114</f>
        <v>0</v>
      </c>
      <c r="I114" s="13">
        <f t="shared" si="3"/>
        <v>248398188.02566031</v>
      </c>
    </row>
    <row r="115" spans="1:9" ht="15.75" x14ac:dyDescent="0.25">
      <c r="A115" s="8"/>
      <c r="B115" s="8"/>
      <c r="C115" s="9"/>
      <c r="D115" s="12" t="s">
        <v>111</v>
      </c>
      <c r="E115" s="14">
        <f>+Enero!E115+Febrero!E115+Marzo!E115+Abril!E115+Mayo!E115+Junio!E115+Julio!E115+Agosto!E115+Septiembre!E115+Octubre!E115+Noviembre!E115+Diciembre!E115</f>
        <v>201012575.31999996</v>
      </c>
      <c r="F115" s="14">
        <f>+Enero!F115+Febrero!F115+Marzo!F115+Abril!F115+Mayo!F115+Junio!F115+Julio!F115+Agosto!F115+Septiembre!F115+Octubre!F115+Noviembre!F115+Diciembre!F115</f>
        <v>39132408.537728354</v>
      </c>
      <c r="G115" s="14">
        <f>+Enero!G115+Febrero!G115+Marzo!G115+Abril!G115+Mayo!G115+Junio!G115+Julio!G115+Agosto!G115+Septiembre!G115+Octubre!G115+Noviembre!G115+Diciembre!G115</f>
        <v>21332381.82</v>
      </c>
      <c r="H115" s="14">
        <f>+Enero!H115+Febrero!H115+Marzo!H115+Abril!H115+Mayo!H115+Junio!H115+Julio!H115+Agosto!H115+Septiembre!H115+Octubre!H115+Noviembre!H115+Diciembre!H115</f>
        <v>0</v>
      </c>
      <c r="I115" s="13">
        <f t="shared" si="3"/>
        <v>261477365.6777283</v>
      </c>
    </row>
    <row r="116" spans="1:9" ht="15.75" x14ac:dyDescent="0.25">
      <c r="A116" s="8"/>
      <c r="B116" s="8"/>
      <c r="C116" s="9"/>
      <c r="D116" s="12" t="s">
        <v>112</v>
      </c>
      <c r="E116" s="14">
        <f>+Enero!E116+Febrero!E116+Marzo!E116+Abril!E116+Mayo!E116+Junio!E116+Julio!E116+Agosto!E116+Septiembre!E116+Octubre!E116+Noviembre!E116+Diciembre!E116</f>
        <v>43243782.490000002</v>
      </c>
      <c r="F116" s="14">
        <f>+Enero!F116+Febrero!F116+Marzo!F116+Abril!F116+Mayo!F116+Junio!F116+Julio!F116+Agosto!F116+Septiembre!F116+Octubre!F116+Noviembre!F116+Diciembre!F116</f>
        <v>50816961.827880204</v>
      </c>
      <c r="G116" s="14">
        <f>+Enero!G116+Febrero!G116+Marzo!G116+Abril!G116+Mayo!G116+Junio!G116+Julio!G116+Agosto!G116+Septiembre!G116+Octubre!G116+Noviembre!G116+Diciembre!G116</f>
        <v>3315816.69</v>
      </c>
      <c r="H116" s="14">
        <f>+Enero!H116+Febrero!H116+Marzo!H116+Abril!H116+Mayo!H116+Junio!H116+Julio!H116+Agosto!H116+Septiembre!H116+Octubre!H116+Noviembre!H116+Diciembre!H116</f>
        <v>0</v>
      </c>
      <c r="I116" s="13">
        <f t="shared" si="3"/>
        <v>97376561.007880211</v>
      </c>
    </row>
    <row r="117" spans="1:9" ht="15.75" x14ac:dyDescent="0.25">
      <c r="A117" s="8"/>
      <c r="B117" s="8"/>
      <c r="C117" s="9"/>
      <c r="D117" s="12" t="s">
        <v>113</v>
      </c>
      <c r="E117" s="14">
        <f>+Enero!E117+Febrero!E117+Marzo!E117+Abril!E117+Mayo!E117+Junio!E117+Julio!E117+Agosto!E117+Septiembre!E117+Octubre!E117+Noviembre!E117+Diciembre!E117</f>
        <v>37816279.209999993</v>
      </c>
      <c r="F117" s="14">
        <f>+Enero!F117+Febrero!F117+Marzo!F117+Abril!F117+Mayo!F117+Junio!F117+Julio!F117+Agosto!F117+Septiembre!F117+Octubre!F117+Noviembre!F117+Diciembre!F117</f>
        <v>39242294.980972417</v>
      </c>
      <c r="G117" s="14">
        <f>+Enero!G117+Febrero!G117+Marzo!G117+Abril!G117+Mayo!G117+Junio!G117+Julio!G117+Agosto!G117+Septiembre!G117+Octubre!G117+Noviembre!G117+Diciembre!G117</f>
        <v>13648970.27</v>
      </c>
      <c r="H117" s="14">
        <f>+Enero!H117+Febrero!H117+Marzo!H117+Abril!H117+Mayo!H117+Junio!H117+Julio!H117+Agosto!H117+Septiembre!H117+Octubre!H117+Noviembre!H117+Diciembre!H117</f>
        <v>0</v>
      </c>
      <c r="I117" s="13">
        <f t="shared" si="3"/>
        <v>90707544.460972413</v>
      </c>
    </row>
    <row r="118" spans="1:9" ht="15.75" x14ac:dyDescent="0.25">
      <c r="A118" s="8"/>
      <c r="B118" s="8"/>
      <c r="C118" s="9"/>
      <c r="D118" s="12" t="s">
        <v>114</v>
      </c>
      <c r="E118" s="14">
        <f>+Enero!E118+Febrero!E118+Marzo!E118+Abril!E118+Mayo!E118+Junio!E118+Julio!E118+Agosto!E118+Septiembre!E118+Octubre!E118+Noviembre!E118+Diciembre!E118</f>
        <v>67614189.180000007</v>
      </c>
      <c r="F118" s="14">
        <f>+Enero!F118+Febrero!F118+Marzo!F118+Abril!F118+Mayo!F118+Junio!F118+Julio!F118+Agosto!F118+Septiembre!F118+Octubre!F118+Noviembre!F118+Diciembre!F118</f>
        <v>61288821.352109134</v>
      </c>
      <c r="G118" s="14">
        <f>+Enero!G118+Febrero!G118+Marzo!G118+Abril!G118+Mayo!G118+Junio!G118+Julio!G118+Agosto!G118+Septiembre!G118+Octubre!G118+Noviembre!G118+Diciembre!G118</f>
        <v>16613121.17</v>
      </c>
      <c r="H118" s="14">
        <f>+Enero!H118+Febrero!H118+Marzo!H118+Abril!H118+Mayo!H118+Junio!H118+Julio!H118+Agosto!H118+Septiembre!H118+Octubre!H118+Noviembre!H118+Diciembre!H118</f>
        <v>0</v>
      </c>
      <c r="I118" s="13">
        <f t="shared" si="3"/>
        <v>145516131.70210913</v>
      </c>
    </row>
    <row r="119" spans="1:9" ht="15.75" x14ac:dyDescent="0.25">
      <c r="A119" s="8"/>
      <c r="B119" s="8"/>
      <c r="C119" s="9"/>
      <c r="D119" s="12" t="s">
        <v>115</v>
      </c>
      <c r="E119" s="14">
        <f>+Enero!E119+Febrero!E119+Marzo!E119+Abril!E119+Mayo!E119+Junio!E119+Julio!E119+Agosto!E119+Septiembre!E119+Octubre!E119+Noviembre!E119+Diciembre!E119</f>
        <v>17150867.059999999</v>
      </c>
      <c r="F119" s="14">
        <f>+Enero!F119+Febrero!F119+Marzo!F119+Abril!F119+Mayo!F119+Junio!F119+Julio!F119+Agosto!F119+Septiembre!F119+Octubre!F119+Noviembre!F119+Diciembre!F119</f>
        <v>5952443.4874519547</v>
      </c>
      <c r="G119" s="14">
        <f>+Enero!G119+Febrero!G119+Marzo!G119+Abril!G119+Mayo!G119+Junio!G119+Julio!G119+Agosto!G119+Septiembre!G119+Octubre!G119+Noviembre!G119+Diciembre!G119</f>
        <v>7745915.1500000004</v>
      </c>
      <c r="H119" s="14">
        <f>+Enero!H119+Febrero!H119+Marzo!H119+Abril!H119+Mayo!H119+Junio!H119+Julio!H119+Agosto!H119+Septiembre!H119+Octubre!H119+Noviembre!H119+Diciembre!H119</f>
        <v>0</v>
      </c>
      <c r="I119" s="13">
        <f t="shared" si="3"/>
        <v>30849225.697451957</v>
      </c>
    </row>
    <row r="120" spans="1:9" ht="15.75" x14ac:dyDescent="0.25">
      <c r="A120" s="8"/>
      <c r="B120" s="8"/>
      <c r="C120" s="9"/>
      <c r="D120" s="12" t="s">
        <v>116</v>
      </c>
      <c r="E120" s="14">
        <f>+Enero!E120+Febrero!E120+Marzo!E120+Abril!E120+Mayo!E120+Junio!E120+Julio!E120+Agosto!E120+Septiembre!E120+Octubre!E120+Noviembre!E120+Diciembre!E120</f>
        <v>175273282.92000002</v>
      </c>
      <c r="F120" s="14">
        <f>+Enero!F120+Febrero!F120+Marzo!F120+Abril!F120+Mayo!F120+Junio!F120+Julio!F120+Agosto!F120+Septiembre!F120+Octubre!F120+Noviembre!F120+Diciembre!F120</f>
        <v>26014827.796901546</v>
      </c>
      <c r="G120" s="14">
        <f>+Enero!G120+Febrero!G120+Marzo!G120+Abril!G120+Mayo!G120+Junio!G120+Julio!G120+Agosto!G120+Septiembre!G120+Octubre!G120+Noviembre!G120+Diciembre!G120</f>
        <v>20503506.870000001</v>
      </c>
      <c r="H120" s="14">
        <f>+Enero!H120+Febrero!H120+Marzo!H120+Abril!H120+Mayo!H120+Junio!H120+Julio!H120+Agosto!H120+Septiembre!H120+Octubre!H120+Noviembre!H120+Diciembre!H120</f>
        <v>0</v>
      </c>
      <c r="I120" s="13">
        <f t="shared" si="3"/>
        <v>221791617.58690158</v>
      </c>
    </row>
    <row r="121" spans="1:9" ht="15.75" x14ac:dyDescent="0.25">
      <c r="A121" s="8"/>
      <c r="B121" s="8"/>
      <c r="C121" s="9"/>
      <c r="D121" s="12" t="s">
        <v>117</v>
      </c>
      <c r="E121" s="14">
        <f>+Enero!E121+Febrero!E121+Marzo!E121+Abril!E121+Mayo!E121+Junio!E121+Julio!E121+Agosto!E121+Septiembre!E121+Octubre!E121+Noviembre!E121+Diciembre!E121</f>
        <v>63928017.620000005</v>
      </c>
      <c r="F121" s="14">
        <f>+Enero!F121+Febrero!F121+Marzo!F121+Abril!F121+Mayo!F121+Junio!F121+Julio!F121+Agosto!F121+Septiembre!F121+Octubre!F121+Noviembre!F121+Diciembre!F121</f>
        <v>38622441.451578125</v>
      </c>
      <c r="G121" s="14">
        <f>+Enero!G121+Febrero!G121+Marzo!G121+Abril!G121+Mayo!G121+Junio!G121+Julio!G121+Agosto!G121+Septiembre!G121+Octubre!G121+Noviembre!G121+Diciembre!G121</f>
        <v>11210199.780000001</v>
      </c>
      <c r="H121" s="14">
        <f>+Enero!H121+Febrero!H121+Marzo!H121+Abril!H121+Mayo!H121+Junio!H121+Julio!H121+Agosto!H121+Septiembre!H121+Octubre!H121+Noviembre!H121+Diciembre!H121</f>
        <v>0</v>
      </c>
      <c r="I121" s="13">
        <f t="shared" si="3"/>
        <v>113760658.85157813</v>
      </c>
    </row>
    <row r="122" spans="1:9" ht="15.75" x14ac:dyDescent="0.25">
      <c r="A122" s="8"/>
      <c r="B122" s="8"/>
      <c r="C122" s="9"/>
      <c r="D122" s="12" t="s">
        <v>118</v>
      </c>
      <c r="E122" s="14">
        <f>+Enero!E122+Febrero!E122+Marzo!E122+Abril!E122+Mayo!E122+Junio!E122+Julio!E122+Agosto!E122+Septiembre!E122+Octubre!E122+Noviembre!E122+Diciembre!E122</f>
        <v>79574687.560000002</v>
      </c>
      <c r="F122" s="14">
        <f>+Enero!F122+Febrero!F122+Marzo!F122+Abril!F122+Mayo!F122+Junio!F122+Julio!F122+Agosto!F122+Septiembre!F122+Octubre!F122+Noviembre!F122+Diciembre!F122</f>
        <v>28461845.757003438</v>
      </c>
      <c r="G122" s="14">
        <f>+Enero!G122+Febrero!G122+Marzo!G122+Abril!G122+Mayo!G122+Junio!G122+Julio!G122+Agosto!G122+Septiembre!G122+Octubre!G122+Noviembre!G122+Diciembre!G122</f>
        <v>18793491.41</v>
      </c>
      <c r="H122" s="14">
        <f>+Enero!H122+Febrero!H122+Marzo!H122+Abril!H122+Mayo!H122+Junio!H122+Julio!H122+Agosto!H122+Septiembre!H122+Octubre!H122+Noviembre!H122+Diciembre!H122</f>
        <v>0</v>
      </c>
      <c r="I122" s="13">
        <f t="shared" si="3"/>
        <v>126830024.72700344</v>
      </c>
    </row>
    <row r="123" spans="1:9" ht="15.75" x14ac:dyDescent="0.25">
      <c r="A123" s="8"/>
      <c r="B123" s="8"/>
      <c r="C123" s="9"/>
      <c r="D123" s="12" t="s">
        <v>119</v>
      </c>
      <c r="E123" s="14">
        <f>+Enero!E123+Febrero!E123+Marzo!E123+Abril!E123+Mayo!E123+Junio!E123+Julio!E123+Agosto!E123+Septiembre!E123+Octubre!E123+Noviembre!E123+Diciembre!E123</f>
        <v>84392956.670000002</v>
      </c>
      <c r="F123" s="14">
        <f>+Enero!F123+Febrero!F123+Marzo!F123+Abril!F123+Mayo!F123+Junio!F123+Julio!F123+Agosto!F123+Septiembre!F123+Octubre!F123+Noviembre!F123+Diciembre!F123</f>
        <v>52293828.235721879</v>
      </c>
      <c r="G123" s="14">
        <f>+Enero!G123+Febrero!G123+Marzo!G123+Abril!G123+Mayo!G123+Junio!G123+Julio!G123+Agosto!G123+Septiembre!G123+Octubre!G123+Noviembre!G123+Diciembre!G123</f>
        <v>5180335.45</v>
      </c>
      <c r="H123" s="14">
        <f>+Enero!H123+Febrero!H123+Marzo!H123+Abril!H123+Mayo!H123+Junio!H123+Julio!H123+Agosto!H123+Septiembre!H123+Octubre!H123+Noviembre!H123+Diciembre!H123</f>
        <v>0</v>
      </c>
      <c r="I123" s="13">
        <f t="shared" si="3"/>
        <v>141867120.35572186</v>
      </c>
    </row>
    <row r="124" spans="1:9" ht="15.75" x14ac:dyDescent="0.25">
      <c r="A124" s="8"/>
      <c r="B124" s="8"/>
      <c r="C124" s="9"/>
      <c r="D124" s="12" t="s">
        <v>120</v>
      </c>
      <c r="E124" s="14">
        <f>+Enero!E124+Febrero!E124+Marzo!E124+Abril!E124+Mayo!E124+Junio!E124+Julio!E124+Agosto!E124+Septiembre!E124+Octubre!E124+Noviembre!E124+Diciembre!E124</f>
        <v>2169025.3199999998</v>
      </c>
      <c r="F124" s="14">
        <f>+Enero!F124+Febrero!F124+Marzo!F124+Abril!F124+Mayo!F124+Junio!F124+Julio!F124+Agosto!F124+Septiembre!F124+Octubre!F124+Noviembre!F124+Diciembre!F124</f>
        <v>0</v>
      </c>
      <c r="G124" s="14">
        <f>+Enero!G124+Febrero!G124+Marzo!G124+Abril!G124+Mayo!G124+Junio!G124+Julio!G124+Agosto!G124+Septiembre!G124+Octubre!G124+Noviembre!G124+Diciembre!G124</f>
        <v>50465440.170000009</v>
      </c>
      <c r="H124" s="14">
        <f>+Enero!H124+Febrero!H124+Marzo!H124+Abril!H124+Mayo!H124+Junio!H124+Julio!H124+Agosto!H124+Septiembre!H124+Octubre!H124+Noviembre!H124+Diciembre!H124</f>
        <v>189221915.87999997</v>
      </c>
      <c r="I124" s="13">
        <f t="shared" si="3"/>
        <v>241856381.36999997</v>
      </c>
    </row>
    <row r="125" spans="1:9" ht="15.75" x14ac:dyDescent="0.25">
      <c r="A125" s="8"/>
      <c r="B125" s="8"/>
      <c r="C125" s="9"/>
      <c r="D125" s="12" t="s">
        <v>121</v>
      </c>
      <c r="E125" s="14">
        <f>+Enero!E125+Febrero!E125+Marzo!E125+Abril!E125+Mayo!E125+Junio!E125+Julio!E125+Agosto!E125+Septiembre!E125+Octubre!E125+Noviembre!E125+Diciembre!E125</f>
        <v>0</v>
      </c>
      <c r="F125" s="14">
        <f>+Enero!F125+Febrero!F125+Marzo!F125+Abril!F125+Mayo!F125+Junio!F125+Julio!F125+Agosto!F125+Septiembre!F125+Octubre!F125+Noviembre!F125+Diciembre!F125</f>
        <v>0</v>
      </c>
      <c r="G125" s="14">
        <f>+Enero!G125+Febrero!G125+Marzo!G125+Abril!G125+Mayo!G125+Junio!G125+Julio!G125+Agosto!G125+Septiembre!G125+Octubre!G125+Noviembre!G125+Diciembre!G125</f>
        <v>244570860.84999999</v>
      </c>
      <c r="H125" s="14">
        <f>+Enero!H125+Febrero!H125+Marzo!H125+Abril!H125+Mayo!H125+Junio!H125+Julio!H125+Agosto!H125+Septiembre!H125+Octubre!H125+Noviembre!H125+Diciembre!H125</f>
        <v>34122897.515000008</v>
      </c>
      <c r="I125" s="13">
        <f t="shared" si="3"/>
        <v>278693758.36500001</v>
      </c>
    </row>
    <row r="126" spans="1:9" ht="15.75" x14ac:dyDescent="0.25">
      <c r="A126" s="8"/>
      <c r="B126" s="8"/>
      <c r="C126" s="9"/>
      <c r="D126" s="12" t="s">
        <v>122</v>
      </c>
      <c r="E126" s="14">
        <f>+Enero!E126+Febrero!E126+Marzo!E126+Abril!E126+Mayo!E126+Junio!E126+Julio!E126+Agosto!E126+Septiembre!E126+Octubre!E126+Noviembre!E126+Diciembre!E126</f>
        <v>1226793.4900000002</v>
      </c>
      <c r="F126" s="14">
        <f>+Enero!F126+Febrero!F126+Marzo!F126+Abril!F126+Mayo!F126+Junio!F126+Julio!F126+Agosto!F126+Septiembre!F126+Octubre!F126+Noviembre!F126+Diciembre!F126</f>
        <v>0</v>
      </c>
      <c r="G126" s="14">
        <f>+Enero!G126+Febrero!G126+Marzo!G126+Abril!G126+Mayo!G126+Junio!G126+Julio!G126+Agosto!G126+Septiembre!G126+Octubre!G126+Noviembre!G126+Diciembre!G126</f>
        <v>86697535.780000001</v>
      </c>
      <c r="H126" s="14">
        <f>+Enero!H126+Febrero!H126+Marzo!H126+Abril!H126+Mayo!H126+Junio!H126+Julio!H126+Agosto!H126+Septiembre!H126+Octubre!H126+Noviembre!H126+Diciembre!H126</f>
        <v>0</v>
      </c>
      <c r="I126" s="13">
        <f t="shared" si="3"/>
        <v>87924329.269999996</v>
      </c>
    </row>
    <row r="127" spans="1:9" ht="15.75" x14ac:dyDescent="0.25">
      <c r="A127" s="8"/>
      <c r="B127" s="8"/>
      <c r="C127" s="9"/>
      <c r="D127" s="12" t="s">
        <v>123</v>
      </c>
      <c r="E127" s="14">
        <f>+Enero!E127+Febrero!E127+Marzo!E127+Abril!E127+Mayo!E127+Junio!E127+Julio!E127+Agosto!E127+Septiembre!E127+Octubre!E127+Noviembre!E127+Diciembre!E127</f>
        <v>51248352.689999998</v>
      </c>
      <c r="F127" s="14">
        <f>+Enero!F127+Febrero!F127+Marzo!F127+Abril!F127+Mayo!F127+Junio!F127+Julio!F127+Agosto!F127+Septiembre!F127+Octubre!F127+Noviembre!F127+Diciembre!F127</f>
        <v>11022982.786436385</v>
      </c>
      <c r="G127" s="14">
        <f>+Enero!G127+Febrero!G127+Marzo!G127+Abril!G127+Mayo!G127+Junio!G127+Julio!G127+Agosto!G127+Septiembre!G127+Octubre!G127+Noviembre!G127+Diciembre!G127</f>
        <v>90332414.179999992</v>
      </c>
      <c r="H127" s="14">
        <f>+Enero!H127+Febrero!H127+Marzo!H127+Abril!H127+Mayo!H127+Junio!H127+Julio!H127+Agosto!H127+Septiembre!H127+Octubre!H127+Noviembre!H127+Diciembre!H127</f>
        <v>0</v>
      </c>
      <c r="I127" s="13">
        <f t="shared" si="3"/>
        <v>152603749.65643638</v>
      </c>
    </row>
    <row r="128" spans="1:9" ht="15.75" x14ac:dyDescent="0.25">
      <c r="A128" s="8"/>
      <c r="B128" s="8"/>
      <c r="C128" s="9"/>
      <c r="D128" s="12" t="s">
        <v>124</v>
      </c>
      <c r="E128" s="14">
        <f>+Enero!E128+Febrero!E128+Marzo!E128+Abril!E128+Mayo!E128+Junio!E128+Julio!E128+Agosto!E128+Septiembre!E128+Octubre!E128+Noviembre!E128+Diciembre!E128</f>
        <v>88972655.640000001</v>
      </c>
      <c r="F128" s="14">
        <f>+Enero!F128+Febrero!F128+Marzo!F128+Abril!F128+Mayo!F128+Junio!F128+Julio!F128+Agosto!F128+Septiembre!F128+Octubre!F128+Noviembre!F128+Diciembre!F128</f>
        <v>34349092.926079176</v>
      </c>
      <c r="G128" s="14">
        <f>+Enero!G128+Febrero!G128+Marzo!G128+Abril!G128+Mayo!G128+Junio!G128+Julio!G128+Agosto!G128+Septiembre!G128+Octubre!G128+Noviembre!G128+Diciembre!G128</f>
        <v>24277234.989999998</v>
      </c>
      <c r="H128" s="14">
        <f>+Enero!H128+Febrero!H128+Marzo!H128+Abril!H128+Mayo!H128+Junio!H128+Julio!H128+Agosto!H128+Septiembre!H128+Octubre!H128+Noviembre!H128+Diciembre!H128</f>
        <v>0</v>
      </c>
      <c r="I128" s="13">
        <f t="shared" si="3"/>
        <v>147598983.55607918</v>
      </c>
    </row>
    <row r="129" spans="1:9" ht="15.75" x14ac:dyDescent="0.25">
      <c r="A129" s="8"/>
      <c r="B129" s="8"/>
      <c r="C129" s="9"/>
      <c r="D129" s="12" t="s">
        <v>125</v>
      </c>
      <c r="E129" s="14">
        <f>+Enero!E129+Febrero!E129+Marzo!E129+Abril!E129+Mayo!E129+Junio!E129+Julio!E129+Agosto!E129+Septiembre!E129+Octubre!E129+Noviembre!E129+Diciembre!E129</f>
        <v>29140750.390000001</v>
      </c>
      <c r="F129" s="14">
        <f>+Enero!F129+Febrero!F129+Marzo!F129+Abril!F129+Mayo!F129+Junio!F129+Julio!F129+Agosto!F129+Septiembre!F129+Octubre!F129+Noviembre!F129+Diciembre!F129</f>
        <v>16645206.145892203</v>
      </c>
      <c r="G129" s="14">
        <f>+Enero!G129+Febrero!G129+Marzo!G129+Abril!G129+Mayo!G129+Junio!G129+Julio!G129+Agosto!G129+Septiembre!G129+Octubre!G129+Noviembre!G129+Diciembre!G129</f>
        <v>19964767.210000001</v>
      </c>
      <c r="H129" s="14">
        <f>+Enero!H129+Febrero!H129+Marzo!H129+Abril!H129+Mayo!H129+Junio!H129+Julio!H129+Agosto!H129+Septiembre!H129+Octubre!H129+Noviembre!H129+Diciembre!H129</f>
        <v>0</v>
      </c>
      <c r="I129" s="13">
        <f t="shared" si="3"/>
        <v>65750723.745892204</v>
      </c>
    </row>
    <row r="130" spans="1:9" ht="15.75" x14ac:dyDescent="0.25">
      <c r="A130" s="8"/>
      <c r="B130" s="8"/>
      <c r="C130" s="9"/>
      <c r="D130" s="12" t="s">
        <v>126</v>
      </c>
      <c r="E130" s="14">
        <f>+Enero!E130+Febrero!E130+Marzo!E130+Abril!E130+Mayo!E130+Junio!E130+Julio!E130+Agosto!E130+Septiembre!E130+Octubre!E130+Noviembre!E130+Diciembre!E130</f>
        <v>25180941.400000002</v>
      </c>
      <c r="F130" s="14">
        <f>+Enero!F130+Febrero!F130+Marzo!F130+Abril!F130+Mayo!F130+Junio!F130+Julio!F130+Agosto!F130+Septiembre!F130+Octubre!F130+Noviembre!F130+Diciembre!F130</f>
        <v>29321550.067755628</v>
      </c>
      <c r="G130" s="14">
        <f>+Enero!G130+Febrero!G130+Marzo!G130+Abril!G130+Mayo!G130+Junio!G130+Julio!G130+Agosto!G130+Septiembre!G130+Octubre!G130+Noviembre!G130+Diciembre!G130</f>
        <v>4754454.38</v>
      </c>
      <c r="H130" s="14">
        <f>+Enero!H130+Febrero!H130+Marzo!H130+Abril!H130+Mayo!H130+Junio!H130+Julio!H130+Agosto!H130+Septiembre!H130+Octubre!H130+Noviembre!H130+Diciembre!H130</f>
        <v>0</v>
      </c>
      <c r="I130" s="13">
        <f t="shared" si="3"/>
        <v>59256945.847755633</v>
      </c>
    </row>
    <row r="131" spans="1:9" ht="15.75" x14ac:dyDescent="0.25">
      <c r="A131" s="8"/>
      <c r="B131" s="8"/>
      <c r="C131" s="9"/>
      <c r="D131" s="12" t="s">
        <v>127</v>
      </c>
      <c r="E131" s="14">
        <f>+Enero!E131+Febrero!E131+Marzo!E131+Abril!E131+Mayo!E131+Junio!E131+Julio!E131+Agosto!E131+Septiembre!E131+Octubre!E131+Noviembre!E131+Diciembre!E131</f>
        <v>282310334.38999999</v>
      </c>
      <c r="F131" s="14">
        <f>+Enero!F131+Febrero!F131+Marzo!F131+Abril!F131+Mayo!F131+Junio!F131+Julio!F131+Agosto!F131+Septiembre!F131+Octubre!F131+Noviembre!F131+Diciembre!F131</f>
        <v>160254823.91355634</v>
      </c>
      <c r="G131" s="14">
        <f>+Enero!G131+Febrero!G131+Marzo!G131+Abril!G131+Mayo!G131+Junio!G131+Julio!G131+Agosto!G131+Septiembre!G131+Octubre!G131+Noviembre!G131+Diciembre!G131</f>
        <v>121920801.23</v>
      </c>
      <c r="H131" s="14">
        <f>+Enero!H131+Febrero!H131+Marzo!H131+Abril!H131+Mayo!H131+Junio!H131+Julio!H131+Agosto!H131+Septiembre!H131+Octubre!H131+Noviembre!H131+Diciembre!H131</f>
        <v>0</v>
      </c>
      <c r="I131" s="13">
        <f t="shared" si="3"/>
        <v>564485959.53355634</v>
      </c>
    </row>
    <row r="132" spans="1:9" ht="15.75" x14ac:dyDescent="0.25">
      <c r="A132" s="8"/>
      <c r="B132" s="8"/>
      <c r="C132" s="9"/>
      <c r="D132" s="12" t="s">
        <v>128</v>
      </c>
      <c r="E132" s="14">
        <f>+Enero!E132+Febrero!E132+Marzo!E132+Abril!E132+Mayo!E132+Junio!E132+Julio!E132+Agosto!E132+Septiembre!E132+Octubre!E132+Noviembre!E132+Diciembre!E132</f>
        <v>54697870.620000005</v>
      </c>
      <c r="F132" s="14">
        <f>+Enero!F132+Febrero!F132+Marzo!F132+Abril!F132+Mayo!F132+Junio!F132+Julio!F132+Agosto!F132+Septiembre!F132+Octubre!F132+Noviembre!F132+Diciembre!F132</f>
        <v>98326631.935447067</v>
      </c>
      <c r="G132" s="14">
        <f>+Enero!G132+Febrero!G132+Marzo!G132+Abril!G132+Mayo!G132+Junio!G132+Julio!G132+Agosto!G132+Septiembre!G132+Octubre!G132+Noviembre!G132+Diciembre!G132</f>
        <v>2092632.5300000003</v>
      </c>
      <c r="H132" s="14">
        <f>+Enero!H132+Febrero!H132+Marzo!H132+Abril!H132+Mayo!H132+Junio!H132+Julio!H132+Agosto!H132+Septiembre!H132+Octubre!H132+Noviembre!H132+Diciembre!H132</f>
        <v>0</v>
      </c>
      <c r="I132" s="13">
        <f t="shared" si="3"/>
        <v>155117135.08544707</v>
      </c>
    </row>
    <row r="133" spans="1:9" ht="15.75" x14ac:dyDescent="0.25">
      <c r="A133" s="8"/>
      <c r="B133" s="8"/>
      <c r="C133" s="9"/>
      <c r="D133" s="12" t="s">
        <v>129</v>
      </c>
      <c r="E133" s="14">
        <f>+Enero!E133+Febrero!E133+Marzo!E133+Abril!E133+Mayo!E133+Junio!E133+Julio!E133+Agosto!E133+Septiembre!E133+Octubre!E133+Noviembre!E133+Diciembre!E133</f>
        <v>35606846.57</v>
      </c>
      <c r="F133" s="14">
        <f>+Enero!F133+Febrero!F133+Marzo!F133+Abril!F133+Mayo!F133+Junio!F133+Julio!F133+Agosto!F133+Septiembre!F133+Octubre!F133+Noviembre!F133+Diciembre!F133</f>
        <v>0</v>
      </c>
      <c r="G133" s="14">
        <f>+Enero!G133+Febrero!G133+Marzo!G133+Abril!G133+Mayo!G133+Junio!G133+Julio!G133+Agosto!G133+Septiembre!G133+Octubre!G133+Noviembre!G133+Diciembre!G133</f>
        <v>201741902.51000002</v>
      </c>
      <c r="H133" s="14">
        <f>+Enero!H133+Febrero!H133+Marzo!H133+Abril!H133+Mayo!H133+Junio!H133+Julio!H133+Agosto!H133+Septiembre!H133+Octubre!H133+Noviembre!H133+Diciembre!H133</f>
        <v>110047276.27000001</v>
      </c>
      <c r="I133" s="13">
        <f t="shared" si="3"/>
        <v>347396025.35000002</v>
      </c>
    </row>
    <row r="134" spans="1:9" ht="15.75" x14ac:dyDescent="0.25">
      <c r="A134" s="8"/>
      <c r="B134" s="8"/>
      <c r="C134" s="9"/>
      <c r="D134" s="12" t="s">
        <v>130</v>
      </c>
      <c r="E134" s="14">
        <f>+Enero!E134+Febrero!E134+Marzo!E134+Abril!E134+Mayo!E134+Junio!E134+Julio!E134+Agosto!E134+Septiembre!E134+Octubre!E134+Noviembre!E134+Diciembre!E134</f>
        <v>9047488.2000000011</v>
      </c>
      <c r="F134" s="14">
        <f>+Enero!F134+Febrero!F134+Marzo!F134+Abril!F134+Mayo!F134+Junio!F134+Julio!F134+Agosto!F134+Septiembre!F134+Octubre!F134+Noviembre!F134+Diciembre!F134</f>
        <v>4850205.6142323613</v>
      </c>
      <c r="G134" s="14">
        <f>+Enero!G134+Febrero!G134+Marzo!G134+Abril!G134+Mayo!G134+Junio!G134+Julio!G134+Agosto!G134+Septiembre!G134+Octubre!G134+Noviembre!G134+Diciembre!G134</f>
        <v>204335.37</v>
      </c>
      <c r="H134" s="14">
        <f>+Enero!H134+Febrero!H134+Marzo!H134+Abril!H134+Mayo!H134+Junio!H134+Julio!H134+Agosto!H134+Septiembre!H134+Octubre!H134+Noviembre!H134+Diciembre!H134</f>
        <v>0</v>
      </c>
      <c r="I134" s="13">
        <f t="shared" si="3"/>
        <v>14102029.184232362</v>
      </c>
    </row>
    <row r="135" spans="1:9" ht="15.75" x14ac:dyDescent="0.25">
      <c r="A135" s="8"/>
      <c r="B135" s="8"/>
      <c r="C135" s="9"/>
      <c r="D135" s="12" t="s">
        <v>131</v>
      </c>
      <c r="E135" s="14">
        <f>+Enero!E135+Febrero!E135+Marzo!E135+Abril!E135+Mayo!E135+Junio!E135+Julio!E135+Agosto!E135+Septiembre!E135+Octubre!E135+Noviembre!E135+Diciembre!E135</f>
        <v>32785360.169999998</v>
      </c>
      <c r="F135" s="14">
        <f>+Enero!F135+Febrero!F135+Marzo!F135+Abril!F135+Mayo!F135+Junio!F135+Julio!F135+Agosto!F135+Septiembre!F135+Octubre!F135+Noviembre!F135+Diciembre!F135</f>
        <v>61288821.352109134</v>
      </c>
      <c r="G135" s="14">
        <f>+Enero!G135+Febrero!G135+Marzo!G135+Abril!G135+Mayo!G135+Junio!G135+Julio!G135+Agosto!G135+Septiembre!G135+Octubre!G135+Noviembre!G135+Diciembre!G135</f>
        <v>5640586.5300000003</v>
      </c>
      <c r="H135" s="14">
        <f>+Enero!H135+Febrero!H135+Marzo!H135+Abril!H135+Mayo!H135+Junio!H135+Julio!H135+Agosto!H135+Septiembre!H135+Octubre!H135+Noviembre!H135+Diciembre!H135</f>
        <v>0</v>
      </c>
      <c r="I135" s="13">
        <f t="shared" si="3"/>
        <v>99714768.052109137</v>
      </c>
    </row>
    <row r="136" spans="1:9" ht="15.75" x14ac:dyDescent="0.25">
      <c r="A136" s="8"/>
      <c r="B136" s="8"/>
      <c r="C136" s="9"/>
      <c r="D136" s="12" t="s">
        <v>132</v>
      </c>
      <c r="E136" s="14">
        <f>+Enero!E136+Febrero!E136+Marzo!E136+Abril!E136+Mayo!E136+Junio!E136+Julio!E136+Agosto!E136+Septiembre!E136+Octubre!E136+Noviembre!E136+Diciembre!E136</f>
        <v>208309617.74000001</v>
      </c>
      <c r="F136" s="14">
        <f>+Enero!F136+Febrero!F136+Marzo!F136+Abril!F136+Mayo!F136+Junio!F136+Julio!F136+Agosto!F136+Septiembre!F136+Octubre!F136+Noviembre!F136+Diciembre!F136</f>
        <v>74075621.166675866</v>
      </c>
      <c r="G136" s="14">
        <f>+Enero!G136+Febrero!G136+Marzo!G136+Abril!G136+Mayo!G136+Junio!G136+Julio!G136+Agosto!G136+Septiembre!G136+Octubre!G136+Noviembre!G136+Diciembre!G136</f>
        <v>46030144.809999995</v>
      </c>
      <c r="H136" s="14">
        <f>+Enero!H136+Febrero!H136+Marzo!H136+Abril!H136+Mayo!H136+Junio!H136+Julio!H136+Agosto!H136+Septiembre!H136+Octubre!H136+Noviembre!H136+Diciembre!H136</f>
        <v>0</v>
      </c>
      <c r="I136" s="13">
        <f t="shared" si="3"/>
        <v>328415383.71667588</v>
      </c>
    </row>
    <row r="137" spans="1:9" ht="15.75" x14ac:dyDescent="0.25">
      <c r="A137" s="8"/>
      <c r="B137" s="8"/>
      <c r="C137" s="9"/>
      <c r="D137" s="12" t="s">
        <v>133</v>
      </c>
      <c r="E137" s="14">
        <f>+Enero!E137+Febrero!E137+Marzo!E137+Abril!E137+Mayo!E137+Junio!E137+Julio!E137+Agosto!E137+Septiembre!E137+Octubre!E137+Noviembre!E137+Diciembre!E137</f>
        <v>226869585.65999997</v>
      </c>
      <c r="F137" s="14">
        <f>+Enero!F137+Febrero!F137+Marzo!F137+Abril!F137+Mayo!F137+Junio!F137+Julio!F137+Agosto!F137+Septiembre!F137+Octubre!F137+Noviembre!F137+Diciembre!F137</f>
        <v>116590636.90990365</v>
      </c>
      <c r="G137" s="14">
        <f>+Enero!G137+Febrero!G137+Marzo!G137+Abril!G137+Mayo!G137+Junio!G137+Julio!G137+Agosto!G137+Septiembre!G137+Octubre!G137+Noviembre!G137+Diciembre!G137</f>
        <v>71385612.13000001</v>
      </c>
      <c r="H137" s="14">
        <f>+Enero!H137+Febrero!H137+Marzo!H137+Abril!H137+Mayo!H137+Junio!H137+Julio!H137+Agosto!H137+Septiembre!H137+Octubre!H137+Noviembre!H137+Diciembre!H137</f>
        <v>0</v>
      </c>
      <c r="I137" s="13">
        <f t="shared" si="3"/>
        <v>414845834.69990361</v>
      </c>
    </row>
    <row r="138" spans="1:9" ht="15.75" x14ac:dyDescent="0.25">
      <c r="A138" s="8"/>
      <c r="B138" s="8"/>
      <c r="C138" s="9"/>
      <c r="D138" s="12" t="s">
        <v>134</v>
      </c>
      <c r="E138" s="14">
        <f>+Enero!E138+Febrero!E138+Marzo!E138+Abril!E138+Mayo!E138+Junio!E138+Julio!E138+Agosto!E138+Septiembre!E138+Octubre!E138+Noviembre!E138+Diciembre!E138</f>
        <v>0</v>
      </c>
      <c r="F138" s="14">
        <f>+Enero!F138+Febrero!F138+Marzo!F138+Abril!F138+Mayo!F138+Junio!F138+Julio!F138+Agosto!F138+Septiembre!F138+Octubre!F138+Noviembre!F138+Diciembre!F138</f>
        <v>0</v>
      </c>
      <c r="G138" s="14">
        <f>+Enero!G138+Febrero!G138+Marzo!G138+Abril!G138+Mayo!G138+Junio!G138+Julio!G138+Agosto!G138+Septiembre!G138+Octubre!G138+Noviembre!G138+Diciembre!G138</f>
        <v>102577593.12</v>
      </c>
      <c r="H138" s="14">
        <f>+Enero!H138+Febrero!H138+Marzo!H138+Abril!H138+Mayo!H138+Junio!H138+Julio!H138+Agosto!H138+Septiembre!H138+Octubre!H138+Noviembre!H138+Diciembre!H138</f>
        <v>0</v>
      </c>
      <c r="I138" s="13">
        <f t="shared" ref="I138:I144" si="4">SUM(E138:H138)</f>
        <v>102577593.12</v>
      </c>
    </row>
    <row r="139" spans="1:9" ht="15.75" x14ac:dyDescent="0.25">
      <c r="A139" s="8"/>
      <c r="B139" s="8"/>
      <c r="C139" s="9"/>
      <c r="D139" s="12" t="s">
        <v>135</v>
      </c>
      <c r="E139" s="14">
        <f>+Enero!E139+Febrero!E139+Marzo!E139+Abril!E139+Mayo!E139+Junio!E139+Julio!E139+Agosto!E139+Septiembre!E139+Octubre!E139+Noviembre!E139+Diciembre!E139</f>
        <v>26536338.609999999</v>
      </c>
      <c r="F139" s="14">
        <f>+Enero!F139+Febrero!F139+Marzo!F139+Abril!F139+Mayo!F139+Junio!F139+Julio!F139+Agosto!F139+Septiembre!F139+Octubre!F139+Noviembre!F139+Diciembre!F139</f>
        <v>17438862.970567055</v>
      </c>
      <c r="G139" s="14">
        <f>+Enero!G139+Febrero!G139+Marzo!G139+Abril!G139+Mayo!G139+Junio!G139+Julio!G139+Agosto!G139+Septiembre!G139+Octubre!G139+Noviembre!G139+Diciembre!G139</f>
        <v>9713963.7100000028</v>
      </c>
      <c r="H139" s="14">
        <f>+Enero!H139+Febrero!H139+Marzo!H139+Abril!H139+Mayo!H139+Junio!H139+Julio!H139+Agosto!H139+Septiembre!H139+Octubre!H139+Noviembre!H139+Diciembre!H139</f>
        <v>0</v>
      </c>
      <c r="I139" s="13">
        <f t="shared" si="4"/>
        <v>53689165.290567055</v>
      </c>
    </row>
    <row r="140" spans="1:9" ht="15.75" x14ac:dyDescent="0.25">
      <c r="A140" s="8"/>
      <c r="B140" s="8"/>
      <c r="C140" s="9"/>
      <c r="D140" s="12" t="s">
        <v>136</v>
      </c>
      <c r="E140" s="14">
        <f>+Enero!E140+Febrero!E140+Marzo!E140+Abril!E140+Mayo!E140+Junio!E140+Julio!E140+Agosto!E140+Septiembre!E140+Octubre!E140+Noviembre!E140+Diciembre!E140</f>
        <v>125457926.82999998</v>
      </c>
      <c r="F140" s="14">
        <f>+Enero!F140+Febrero!F140+Marzo!F140+Abril!F140+Mayo!F140+Junio!F140+Julio!F140+Agosto!F140+Septiembre!F140+Octubre!F140+Noviembre!F140+Diciembre!F140</f>
        <v>123679889.22863317</v>
      </c>
      <c r="G140" s="14">
        <f>+Enero!G140+Febrero!G140+Marzo!G140+Abril!G140+Mayo!G140+Junio!G140+Julio!G140+Agosto!G140+Septiembre!G140+Octubre!G140+Noviembre!G140+Diciembre!G140</f>
        <v>24728028.32</v>
      </c>
      <c r="H140" s="14">
        <f>+Enero!H140+Febrero!H140+Marzo!H140+Abril!H140+Mayo!H140+Junio!H140+Julio!H140+Agosto!H140+Septiembre!H140+Octubre!H140+Noviembre!H140+Diciembre!H140</f>
        <v>0</v>
      </c>
      <c r="I140" s="13">
        <f t="shared" si="4"/>
        <v>273865844.37863314</v>
      </c>
    </row>
    <row r="141" spans="1:9" ht="15.75" x14ac:dyDescent="0.25">
      <c r="A141" s="8"/>
      <c r="B141" s="8"/>
      <c r="C141" s="9"/>
      <c r="D141" s="12" t="s">
        <v>137</v>
      </c>
      <c r="E141" s="14">
        <f>+Enero!E141+Febrero!E141+Marzo!E141+Abril!E141+Mayo!E141+Junio!E141+Julio!E141+Agosto!E141+Septiembre!E141+Octubre!E141+Noviembre!E141+Diciembre!E141</f>
        <v>0</v>
      </c>
      <c r="F141" s="14">
        <f>+Enero!F141+Febrero!F141+Marzo!F141+Abril!F141+Mayo!F141+Junio!F141+Julio!F141+Agosto!F141+Septiembre!F141+Octubre!F141+Noviembre!F141+Diciembre!F141</f>
        <v>0</v>
      </c>
      <c r="G141" s="14">
        <f>+Enero!G141+Febrero!G141+Marzo!G141+Abril!G141+Mayo!G141+Junio!G141+Julio!G141+Agosto!G141+Septiembre!G141+Octubre!G141+Noviembre!G141+Diciembre!G141</f>
        <v>129232947.3</v>
      </c>
      <c r="H141" s="14">
        <f>+Enero!H141+Febrero!H141+Marzo!H141+Abril!H141+Mayo!H141+Junio!H141+Julio!H141+Agosto!H141+Septiembre!H141+Octubre!H141+Noviembre!H141+Diciembre!H141</f>
        <v>11641600.485000003</v>
      </c>
      <c r="I141" s="13">
        <f t="shared" si="4"/>
        <v>140874547.785</v>
      </c>
    </row>
    <row r="142" spans="1:9" ht="15.75" x14ac:dyDescent="0.25">
      <c r="A142" s="8"/>
      <c r="B142" s="8"/>
      <c r="C142" s="9"/>
      <c r="D142" s="12" t="s">
        <v>138</v>
      </c>
      <c r="E142" s="14">
        <f>+Enero!E142+Febrero!E142+Marzo!E142+Abril!E142+Mayo!E142+Junio!E142+Julio!E142+Agosto!E142+Septiembre!E142+Octubre!E142+Noviembre!E142+Diciembre!E142</f>
        <v>1546333.5299999998</v>
      </c>
      <c r="F142" s="14">
        <f>+Enero!F142+Febrero!F142+Marzo!F142+Abril!F142+Mayo!F142+Junio!F142+Julio!F142+Agosto!F142+Septiembre!F142+Octubre!F142+Noviembre!F142+Diciembre!F142</f>
        <v>0</v>
      </c>
      <c r="G142" s="14">
        <f>+Enero!G142+Febrero!G142+Marzo!G142+Abril!G142+Mayo!G142+Junio!G142+Julio!G142+Agosto!G142+Septiembre!G142+Octubre!G142+Noviembre!G142+Diciembre!G142</f>
        <v>30401962</v>
      </c>
      <c r="H142" s="14">
        <f>+Enero!H142+Febrero!H142+Marzo!H142+Abril!H142+Mayo!H142+Junio!H142+Julio!H142+Agosto!H142+Septiembre!H142+Octubre!H142+Noviembre!H142+Diciembre!H142</f>
        <v>0</v>
      </c>
      <c r="I142" s="13">
        <f t="shared" si="4"/>
        <v>31948295.530000001</v>
      </c>
    </row>
    <row r="143" spans="1:9" ht="15.75" x14ac:dyDescent="0.25">
      <c r="A143" s="8"/>
      <c r="B143" s="8"/>
      <c r="C143" s="9"/>
      <c r="D143" s="12" t="s">
        <v>139</v>
      </c>
      <c r="E143" s="14">
        <f>+Enero!E143+Febrero!E143+Marzo!E143+Abril!E143+Mayo!E143+Junio!E143+Julio!E143+Agosto!E143+Septiembre!E143+Octubre!E143+Noviembre!E143+Diciembre!E143</f>
        <v>12913307.93</v>
      </c>
      <c r="F143" s="14">
        <f>+Enero!F143+Febrero!F143+Marzo!F143+Abril!F143+Mayo!F143+Junio!F143+Julio!F143+Agosto!F143+Septiembre!F143+Octubre!F143+Noviembre!F143+Diciembre!F143</f>
        <v>114310267.5776238</v>
      </c>
      <c r="G143" s="14">
        <f>+Enero!G143+Febrero!G143+Marzo!G143+Abril!G143+Mayo!G143+Junio!G143+Julio!G143+Agosto!G143+Septiembre!G143+Octubre!G143+Noviembre!G143+Diciembre!G143</f>
        <v>2206869.6399999997</v>
      </c>
      <c r="H143" s="14">
        <f>+Enero!H143+Febrero!H143+Marzo!H143+Abril!H143+Mayo!H143+Junio!H143+Julio!H143+Agosto!H143+Septiembre!H143+Octubre!H143+Noviembre!H143+Diciembre!H143</f>
        <v>0</v>
      </c>
      <c r="I143" s="13">
        <f t="shared" si="4"/>
        <v>129430445.14762379</v>
      </c>
    </row>
    <row r="144" spans="1:9" ht="15.75" x14ac:dyDescent="0.25">
      <c r="A144" s="8"/>
      <c r="B144" s="8"/>
      <c r="C144" s="9"/>
      <c r="D144" s="12" t="s">
        <v>140</v>
      </c>
      <c r="E144" s="14">
        <f>+Enero!E144+Febrero!E144+Marzo!E144+Abril!E144+Mayo!E144+Junio!E144+Julio!E144+Agosto!E144+Septiembre!E144+Octubre!E144+Noviembre!E144+Diciembre!E144</f>
        <v>93897687.830000013</v>
      </c>
      <c r="F144" s="14">
        <f>+Enero!F144+Febrero!F144+Marzo!F144+Abril!F144+Mayo!F144+Junio!F144+Julio!F144+Agosto!F144+Septiembre!F144+Octubre!F144+Noviembre!F144+Diciembre!F144</f>
        <v>13889037.687786326</v>
      </c>
      <c r="G144" s="14">
        <f>+Enero!G144+Febrero!G144+Marzo!G144+Abril!G144+Mayo!G144+Junio!G144+Julio!G144+Agosto!G144+Septiembre!G144+Octubre!G144+Noviembre!G144+Diciembre!G144</f>
        <v>37978058.699999996</v>
      </c>
      <c r="H144" s="14">
        <f>+Enero!H144+Febrero!H144+Marzo!H144+Abril!H144+Mayo!H144+Junio!H144+Julio!H144+Agosto!H144+Septiembre!H144+Octubre!H144+Noviembre!H144+Diciembre!H144</f>
        <v>0</v>
      </c>
      <c r="I144" s="13">
        <f t="shared" si="4"/>
        <v>145764784.21778634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9477550717.4500027</v>
      </c>
      <c r="F145" s="22">
        <f>SUM(F10:F144)</f>
        <v>5694230419.8280745</v>
      </c>
      <c r="G145" s="22">
        <f>SUM(G10:G144)</f>
        <v>6310427813.9499979</v>
      </c>
      <c r="H145" s="22">
        <f>SUM(H10:H144)</f>
        <v>345033690.14999998</v>
      </c>
      <c r="I145" s="22">
        <f>SUM(I10:I144)</f>
        <v>21827242641.378071</v>
      </c>
    </row>
  </sheetData>
  <customSheetViews>
    <customSheetView guid="{F1F511AB-5865-40AB-8DB4-DDEDE7CBB603}" scale="80" showGridLines="0" fitToPage="1">
      <selection activeCell="I20" sqref="I20"/>
      <pageMargins left="0" right="0" top="0.19685039370078741" bottom="0.43307086614173229" header="0.15748031496062992" footer="0"/>
      <printOptions horizontalCentered="1"/>
      <pageSetup paperSize="9" scale="86" fitToHeight="7" orientation="landscape" horizontalDpi="300" verticalDpi="300" r:id="rId1"/>
      <headerFooter alignWithMargins="0">
        <oddFooter>&amp;C&amp;"Arial,Negrita"&amp;K09-024Ministerio de Economía &amp;"Arial,Normal"&amp;K000000| Subsecretaría de Coordinación Económica | Dirección Provincial de Coordinación Municipal&amp;R&amp;P</oddFooter>
      </headerFooter>
    </customSheetView>
    <customSheetView guid="{1154F945-E781-4016-ADEC-250E9B61A614}" scale="80" showGridLines="0" fitToPage="1">
      <pane xSplit="4" ySplit="9" topLeftCell="E10" activePane="bottomRight" state="frozen"/>
      <selection pane="bottomRight" activeCell="M10" sqref="M10"/>
      <pageMargins left="0" right="0" top="0.19685039370078741" bottom="0.43307086614173229" header="0.15748031496062992" footer="0"/>
      <printOptions horizontalCentered="1"/>
      <pageSetup paperSize="9" scale="85" fitToHeight="7" orientation="landscape" horizontalDpi="300" verticalDpi="300" r:id="rId2"/>
      <headerFooter alignWithMargins="0">
        <oddFooter>&amp;C&amp;"Arial,Negrita"&amp;K09-023MINISTERIO DE ECONOMÍA - SUBSECRETARÍA DE COORDINACIÓN ECONÓMICA
Dirección Provincial de Coordinación Municipal &amp;R&amp;P</oddFooter>
      </headerFooter>
    </customSheetView>
  </customSheetViews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4" fitToHeight="7" orientation="portrait" r:id="rId3"/>
  <headerFooter alignWithMargins="0">
    <oddFooter>&amp;C&amp;"Arial,Normal"&amp;9Subsecretaría de Coordinación Económica y Estadística
MINISTERIO DE HACIENDA Y FINANZAS&amp;R&amp;P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26</vt:i4>
      </vt:variant>
    </vt:vector>
  </HeadingPairs>
  <TitlesOfParts>
    <vt:vector size="39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Acumulado</vt:lpstr>
      <vt:lpstr>Abril!Área_de_impresión</vt:lpstr>
      <vt:lpstr>Acumulado!Área_de_impresión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  <vt:lpstr>Abril!Títulos_a_imprimir</vt:lpstr>
      <vt:lpstr>Acumulado!Títulos_a_imprimir</vt:lpstr>
      <vt:lpstr>Agosto!Títulos_a_imprimir</vt:lpstr>
      <vt:lpstr>Diciembre!Títulos_a_imprimir</vt:lpstr>
      <vt:lpstr>Enero!Títulos_a_imprimir</vt:lpstr>
      <vt:lpstr>Febrero!Títulos_a_imprimir</vt:lpstr>
      <vt:lpstr>Julio!Títulos_a_imprimir</vt:lpstr>
      <vt:lpstr>Junio!Títulos_a_imprimir</vt:lpstr>
      <vt:lpstr>Marzo!Títulos_a_imprimir</vt:lpstr>
      <vt:lpstr>Mayo!Títulos_a_imprimir</vt:lpstr>
      <vt:lpstr>Noviembre!Títulos_a_imprimir</vt:lpstr>
      <vt:lpstr>Octubre!Títulos_a_imprimir</vt:lpstr>
      <vt:lpstr>Septiembre!Títulos_a_imprimir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Mariela Tuerde</cp:lastModifiedBy>
  <cp:lastPrinted>2021-02-02T11:49:13Z</cp:lastPrinted>
  <dcterms:created xsi:type="dcterms:W3CDTF">2012-05-08T13:32:03Z</dcterms:created>
  <dcterms:modified xsi:type="dcterms:W3CDTF">2024-01-09T15:37:10Z</dcterms:modified>
</cp:coreProperties>
</file>