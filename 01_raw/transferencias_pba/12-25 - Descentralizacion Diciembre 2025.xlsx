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5\12-Diciembre\"/>
    </mc:Choice>
  </mc:AlternateContent>
  <bookViews>
    <workbookView xWindow="0" yWindow="0" windowWidth="15360" windowHeight="7635" firstSheet="4" activeTab="11"/>
  </bookViews>
  <sheets>
    <sheet name="Enero" sheetId="1" r:id="rId1"/>
    <sheet name="Febrero" sheetId="21" r:id="rId2"/>
    <sheet name="Marzo" sheetId="22" r:id="rId3"/>
    <sheet name="Abril" sheetId="23" r:id="rId4"/>
    <sheet name="Mayo" sheetId="24" r:id="rId5"/>
    <sheet name="Junio" sheetId="35" r:id="rId6"/>
    <sheet name="Julio" sheetId="36" r:id="rId7"/>
    <sheet name="Agosto" sheetId="37" r:id="rId8"/>
    <sheet name="Septiembre" sheetId="38" r:id="rId9"/>
    <sheet name="Octubre" sheetId="39" r:id="rId10"/>
    <sheet name="Noviembre" sheetId="40" r:id="rId11"/>
    <sheet name="Diciembre" sheetId="41" r:id="rId12"/>
    <sheet name="Acumulado" sheetId="18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0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Abril!$B$9:$G$145</definedName>
    <definedName name="_xlnm._FilterDatabase" localSheetId="12" hidden="1">Acumulado!$B$9:$G$145</definedName>
    <definedName name="_xlnm._FilterDatabase" localSheetId="7" hidden="1">Agosto!$B$9:$G$145</definedName>
    <definedName name="_xlnm._FilterDatabase" localSheetId="11" hidden="1">Diciembre!$B$9:$G$145</definedName>
    <definedName name="_xlnm._FilterDatabase" localSheetId="0" hidden="1">Enero!$B$9:$G$145</definedName>
    <definedName name="_xlnm._FilterDatabase" localSheetId="1" hidden="1">Febrero!$B$9:$G$145</definedName>
    <definedName name="_xlnm._FilterDatabase" localSheetId="6" hidden="1">Julio!$B$9:$G$145</definedName>
    <definedName name="_xlnm._FilterDatabase" localSheetId="5" hidden="1">Junio!$B$9:$G$145</definedName>
    <definedName name="_xlnm._FilterDatabase" localSheetId="2" hidden="1">Marzo!$B$9:$G$145</definedName>
    <definedName name="_xlnm._FilterDatabase" localSheetId="4" hidden="1">Mayo!$B$9:$G$145</definedName>
    <definedName name="_xlnm._FilterDatabase" localSheetId="10" hidden="1">Noviembre!$B$9:$G$145</definedName>
    <definedName name="_xlnm._FilterDatabase" localSheetId="9" hidden="1">Octubre!$B$9:$G$145</definedName>
    <definedName name="_xlnm._FilterDatabase" localSheetId="8" hidden="1">Septiembre!$B$9:$G$145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0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0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Abril!$D$1:$I$145</definedName>
    <definedName name="_xlnm.Print_Area" localSheetId="12">Acumulado!$D$1:$I$145</definedName>
    <definedName name="_xlnm.Print_Area" localSheetId="7">Agosto!$D$1:$I$145</definedName>
    <definedName name="_xlnm.Print_Area" localSheetId="11">Diciembre!$D$1:$I$145</definedName>
    <definedName name="_xlnm.Print_Area" localSheetId="0">Enero!$D$1:$I$145</definedName>
    <definedName name="_xlnm.Print_Area" localSheetId="1">Febrero!$D$1:$I$145</definedName>
    <definedName name="_xlnm.Print_Area" localSheetId="6">Julio!$D$1:$I$145</definedName>
    <definedName name="_xlnm.Print_Area" localSheetId="5">Junio!$D$1:$I$145</definedName>
    <definedName name="_xlnm.Print_Area" localSheetId="2">Marzo!$D$1:$I$145</definedName>
    <definedName name="_xlnm.Print_Area" localSheetId="4">Mayo!$D$1:$I$145</definedName>
    <definedName name="_xlnm.Print_Area" localSheetId="10">Noviembre!$D$1:$I$145</definedName>
    <definedName name="_xlnm.Print_Area" localSheetId="9">Octubre!$D$1:$I$145</definedName>
    <definedName name="_xlnm.Print_Area" localSheetId="8">Septiembre!$D$1:$I$145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0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0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h" localSheetId="3">#REF!</definedName>
    <definedName name="h" localSheetId="7">#REF!</definedName>
    <definedName name="h" localSheetId="11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 localSheetId="10">#REF!</definedName>
    <definedName name="h" localSheetId="9">#REF!</definedName>
    <definedName name="h" localSheetId="8">#REF!</definedName>
    <definedName name="h">#REF!</definedName>
    <definedName name="Junio" localSheetId="3" hidden="1">#REF!</definedName>
    <definedName name="Junio" localSheetId="7" hidden="1">#REF!</definedName>
    <definedName name="Junio" localSheetId="11" hidden="1">#REF!</definedName>
    <definedName name="Junio" localSheetId="1" hidden="1">#REF!</definedName>
    <definedName name="Junio" localSheetId="6" hidden="1">#REF!</definedName>
    <definedName name="Junio" localSheetId="5" hidden="1">#REF!</definedName>
    <definedName name="Junio" localSheetId="2" hidden="1">#REF!</definedName>
    <definedName name="Junio" localSheetId="4" hidden="1">#REF!</definedName>
    <definedName name="Junio" localSheetId="10" hidden="1">#REF!</definedName>
    <definedName name="Junio" localSheetId="9" hidden="1">#REF!</definedName>
    <definedName name="Junio" localSheetId="8" hidden="1">#REF!</definedName>
    <definedName name="Junio" hidden="1">#REF!</definedName>
    <definedName name="_xlnm.Print_Titles" localSheetId="3">Abril!$D:$D,Abril!$1:$9</definedName>
    <definedName name="_xlnm.Print_Titles" localSheetId="12">Acumulado!$D:$D,Acumulado!$1:$9</definedName>
    <definedName name="_xlnm.Print_Titles" localSheetId="7">Agosto!$D:$D,Agosto!$1:$9</definedName>
    <definedName name="_xlnm.Print_Titles" localSheetId="11">Diciembre!$D:$D,Diciembre!$1:$9</definedName>
    <definedName name="_xlnm.Print_Titles" localSheetId="0">Enero!$D:$D,Enero!$1:$9</definedName>
    <definedName name="_xlnm.Print_Titles" localSheetId="1">Febrero!$D:$D,Febrero!$1:$9</definedName>
    <definedName name="_xlnm.Print_Titles" localSheetId="6">Julio!$D:$D,Julio!$1:$9</definedName>
    <definedName name="_xlnm.Print_Titles" localSheetId="5">Junio!$D:$D,Junio!$1:$9</definedName>
    <definedName name="_xlnm.Print_Titles" localSheetId="2">Marzo!$D:$D,Marzo!$1:$9</definedName>
    <definedName name="_xlnm.Print_Titles" localSheetId="4">Mayo!$D:$D,Mayo!$1:$9</definedName>
    <definedName name="_xlnm.Print_Titles" localSheetId="10">Noviembre!$D:$D,Noviembre!$1:$9</definedName>
    <definedName name="_xlnm.Print_Titles" localSheetId="9">Octubre!$D:$D,Octubre!$1:$9</definedName>
    <definedName name="_xlnm.Print_Titles" localSheetId="8">Septiembre!$D:$D,Septiembre!$1:$9</definedName>
    <definedName name="Z_1154F945_E781_4016_ADEC_250E9B61A614_.wvu.FilterData" localSheetId="3" hidden="1">Abril!$B$9:$G$145</definedName>
    <definedName name="Z_1154F945_E781_4016_ADEC_250E9B61A614_.wvu.FilterData" localSheetId="12" hidden="1">Acumulado!$B$9:$G$145</definedName>
    <definedName name="Z_1154F945_E781_4016_ADEC_250E9B61A614_.wvu.FilterData" localSheetId="7" hidden="1">Agosto!$B$9:$G$145</definedName>
    <definedName name="Z_1154F945_E781_4016_ADEC_250E9B61A614_.wvu.FilterData" localSheetId="11" hidden="1">Diciembre!$B$9:$G$145</definedName>
    <definedName name="Z_1154F945_E781_4016_ADEC_250E9B61A614_.wvu.FilterData" localSheetId="0" hidden="1">Enero!$B$9:$G$145</definedName>
    <definedName name="Z_1154F945_E781_4016_ADEC_250E9B61A614_.wvu.FilterData" localSheetId="1" hidden="1">Febrero!$B$9:$G$145</definedName>
    <definedName name="Z_1154F945_E781_4016_ADEC_250E9B61A614_.wvu.FilterData" localSheetId="6" hidden="1">Julio!$B$9:$G$145</definedName>
    <definedName name="Z_1154F945_E781_4016_ADEC_250E9B61A614_.wvu.FilterData" localSheetId="5" hidden="1">Junio!$B$9:$G$145</definedName>
    <definedName name="Z_1154F945_E781_4016_ADEC_250E9B61A614_.wvu.FilterData" localSheetId="2" hidden="1">Marzo!$B$9:$G$145</definedName>
    <definedName name="Z_1154F945_E781_4016_ADEC_250E9B61A614_.wvu.FilterData" localSheetId="4" hidden="1">Mayo!$B$9:$G$145</definedName>
    <definedName name="Z_1154F945_E781_4016_ADEC_250E9B61A614_.wvu.FilterData" localSheetId="10" hidden="1">Noviembre!$B$9:$G$145</definedName>
    <definedName name="Z_1154F945_E781_4016_ADEC_250E9B61A614_.wvu.FilterData" localSheetId="9" hidden="1">Octubre!$B$9:$G$145</definedName>
    <definedName name="Z_1154F945_E781_4016_ADEC_250E9B61A614_.wvu.FilterData" localSheetId="8" hidden="1">Septiembre!$B$9:$G$145</definedName>
    <definedName name="Z_1154F945_E781_4016_ADEC_250E9B61A614_.wvu.PrintArea" localSheetId="3" hidden="1">Abril!$D$1:$I$145</definedName>
    <definedName name="Z_1154F945_E781_4016_ADEC_250E9B61A614_.wvu.PrintArea" localSheetId="12" hidden="1">Acumulado!$D$1:$I$145</definedName>
    <definedName name="Z_1154F945_E781_4016_ADEC_250E9B61A614_.wvu.PrintArea" localSheetId="7" hidden="1">Agosto!$D$1:$I$145</definedName>
    <definedName name="Z_1154F945_E781_4016_ADEC_250E9B61A614_.wvu.PrintArea" localSheetId="11" hidden="1">Diciembre!$D$1:$I$145</definedName>
    <definedName name="Z_1154F945_E781_4016_ADEC_250E9B61A614_.wvu.PrintArea" localSheetId="0" hidden="1">Enero!$D$1:$I$145</definedName>
    <definedName name="Z_1154F945_E781_4016_ADEC_250E9B61A614_.wvu.PrintArea" localSheetId="1" hidden="1">Febrero!$D$1:$I$145</definedName>
    <definedName name="Z_1154F945_E781_4016_ADEC_250E9B61A614_.wvu.PrintArea" localSheetId="6" hidden="1">Julio!$D$1:$I$145</definedName>
    <definedName name="Z_1154F945_E781_4016_ADEC_250E9B61A614_.wvu.PrintArea" localSheetId="5" hidden="1">Junio!$D$1:$I$145</definedName>
    <definedName name="Z_1154F945_E781_4016_ADEC_250E9B61A614_.wvu.PrintArea" localSheetId="2" hidden="1">Marzo!$D$1:$I$145</definedName>
    <definedName name="Z_1154F945_E781_4016_ADEC_250E9B61A614_.wvu.PrintArea" localSheetId="4" hidden="1">Mayo!$D$1:$I$145</definedName>
    <definedName name="Z_1154F945_E781_4016_ADEC_250E9B61A614_.wvu.PrintArea" localSheetId="10" hidden="1">Noviembre!$D$1:$I$145</definedName>
    <definedName name="Z_1154F945_E781_4016_ADEC_250E9B61A614_.wvu.PrintArea" localSheetId="9" hidden="1">Octubre!$D$1:$I$145</definedName>
    <definedName name="Z_1154F945_E781_4016_ADEC_250E9B61A614_.wvu.PrintArea" localSheetId="8" hidden="1">Septiembre!$D$1:$I$145</definedName>
    <definedName name="Z_1154F945_E781_4016_ADEC_250E9B61A614_.wvu.PrintTitles" localSheetId="3" hidden="1">Abril!$D:$D,Abril!$1:$9</definedName>
    <definedName name="Z_1154F945_E781_4016_ADEC_250E9B61A614_.wvu.PrintTitles" localSheetId="12" hidden="1">Acumulado!$D:$D,Acumulado!$1:$9</definedName>
    <definedName name="Z_1154F945_E781_4016_ADEC_250E9B61A614_.wvu.PrintTitles" localSheetId="7" hidden="1">Agosto!$D:$D,Agosto!$1:$9</definedName>
    <definedName name="Z_1154F945_E781_4016_ADEC_250E9B61A614_.wvu.PrintTitles" localSheetId="11" hidden="1">Diciembre!$D:$D,Diciembre!$1:$9</definedName>
    <definedName name="Z_1154F945_E781_4016_ADEC_250E9B61A614_.wvu.PrintTitles" localSheetId="0" hidden="1">Enero!$D:$D,Enero!$1:$9</definedName>
    <definedName name="Z_1154F945_E781_4016_ADEC_250E9B61A614_.wvu.PrintTitles" localSheetId="1" hidden="1">Febrero!$D:$D,Febrero!$1:$9</definedName>
    <definedName name="Z_1154F945_E781_4016_ADEC_250E9B61A614_.wvu.PrintTitles" localSheetId="6" hidden="1">Julio!$D:$D,Julio!$1:$9</definedName>
    <definedName name="Z_1154F945_E781_4016_ADEC_250E9B61A614_.wvu.PrintTitles" localSheetId="5" hidden="1">Junio!$D:$D,Junio!$1:$9</definedName>
    <definedName name="Z_1154F945_E781_4016_ADEC_250E9B61A614_.wvu.PrintTitles" localSheetId="2" hidden="1">Marzo!$D:$D,Marzo!$1:$9</definedName>
    <definedName name="Z_1154F945_E781_4016_ADEC_250E9B61A614_.wvu.PrintTitles" localSheetId="4" hidden="1">Mayo!$D:$D,Mayo!$1:$9</definedName>
    <definedName name="Z_1154F945_E781_4016_ADEC_250E9B61A614_.wvu.PrintTitles" localSheetId="10" hidden="1">Noviembre!$D:$D,Noviembre!$1:$9</definedName>
    <definedName name="Z_1154F945_E781_4016_ADEC_250E9B61A614_.wvu.PrintTitles" localSheetId="9" hidden="1">Octubre!$D:$D,Octubre!$1:$9</definedName>
    <definedName name="Z_1154F945_E781_4016_ADEC_250E9B61A614_.wvu.PrintTitles" localSheetId="8" hidden="1">Septiembre!$D:$D,Septiembre!$1:$9</definedName>
    <definedName name="Z_F1F511AB_5865_40AB_8DB4_DDEDE7CBB603_.wvu.FilterData" localSheetId="3" hidden="1">Abril!$B$9:$G$145</definedName>
    <definedName name="Z_F1F511AB_5865_40AB_8DB4_DDEDE7CBB603_.wvu.FilterData" localSheetId="12" hidden="1">Acumulado!$B$9:$G$145</definedName>
    <definedName name="Z_F1F511AB_5865_40AB_8DB4_DDEDE7CBB603_.wvu.FilterData" localSheetId="7" hidden="1">Agosto!$B$9:$G$145</definedName>
    <definedName name="Z_F1F511AB_5865_40AB_8DB4_DDEDE7CBB603_.wvu.FilterData" localSheetId="11" hidden="1">Diciembre!$B$9:$G$145</definedName>
    <definedName name="Z_F1F511AB_5865_40AB_8DB4_DDEDE7CBB603_.wvu.FilterData" localSheetId="0" hidden="1">Enero!$B$9:$G$145</definedName>
    <definedName name="Z_F1F511AB_5865_40AB_8DB4_DDEDE7CBB603_.wvu.FilterData" localSheetId="1" hidden="1">Febrero!$B$9:$G$145</definedName>
    <definedName name="Z_F1F511AB_5865_40AB_8DB4_DDEDE7CBB603_.wvu.FilterData" localSheetId="6" hidden="1">Julio!$B$9:$G$145</definedName>
    <definedName name="Z_F1F511AB_5865_40AB_8DB4_DDEDE7CBB603_.wvu.FilterData" localSheetId="5" hidden="1">Junio!$B$9:$G$145</definedName>
    <definedName name="Z_F1F511AB_5865_40AB_8DB4_DDEDE7CBB603_.wvu.FilterData" localSheetId="2" hidden="1">Marzo!$B$9:$G$145</definedName>
    <definedName name="Z_F1F511AB_5865_40AB_8DB4_DDEDE7CBB603_.wvu.FilterData" localSheetId="4" hidden="1">Mayo!$B$9:$G$145</definedName>
    <definedName name="Z_F1F511AB_5865_40AB_8DB4_DDEDE7CBB603_.wvu.FilterData" localSheetId="10" hidden="1">Noviembre!$B$9:$G$145</definedName>
    <definedName name="Z_F1F511AB_5865_40AB_8DB4_DDEDE7CBB603_.wvu.FilterData" localSheetId="9" hidden="1">Octubre!$B$9:$G$145</definedName>
    <definedName name="Z_F1F511AB_5865_40AB_8DB4_DDEDE7CBB603_.wvu.FilterData" localSheetId="8" hidden="1">Septiembre!$B$9:$G$145</definedName>
    <definedName name="Z_F1F511AB_5865_40AB_8DB4_DDEDE7CBB603_.wvu.PrintArea" localSheetId="3" hidden="1">Abril!$D$1:$I$145</definedName>
    <definedName name="Z_F1F511AB_5865_40AB_8DB4_DDEDE7CBB603_.wvu.PrintArea" localSheetId="12" hidden="1">Acumulado!$D$1:$I$145</definedName>
    <definedName name="Z_F1F511AB_5865_40AB_8DB4_DDEDE7CBB603_.wvu.PrintArea" localSheetId="7" hidden="1">Agosto!$D$1:$I$145</definedName>
    <definedName name="Z_F1F511AB_5865_40AB_8DB4_DDEDE7CBB603_.wvu.PrintArea" localSheetId="11" hidden="1">Diciembre!$D$1:$I$145</definedName>
    <definedName name="Z_F1F511AB_5865_40AB_8DB4_DDEDE7CBB603_.wvu.PrintArea" localSheetId="0" hidden="1">Enero!$D$1:$I$145</definedName>
    <definedName name="Z_F1F511AB_5865_40AB_8DB4_DDEDE7CBB603_.wvu.PrintArea" localSheetId="1" hidden="1">Febrero!$D$1:$I$145</definedName>
    <definedName name="Z_F1F511AB_5865_40AB_8DB4_DDEDE7CBB603_.wvu.PrintArea" localSheetId="6" hidden="1">Julio!$D$1:$I$145</definedName>
    <definedName name="Z_F1F511AB_5865_40AB_8DB4_DDEDE7CBB603_.wvu.PrintArea" localSheetId="5" hidden="1">Junio!$D$1:$I$145</definedName>
    <definedName name="Z_F1F511AB_5865_40AB_8DB4_DDEDE7CBB603_.wvu.PrintArea" localSheetId="2" hidden="1">Marzo!$D$1:$I$145</definedName>
    <definedName name="Z_F1F511AB_5865_40AB_8DB4_DDEDE7CBB603_.wvu.PrintArea" localSheetId="4" hidden="1">Mayo!$D$1:$I$145</definedName>
    <definedName name="Z_F1F511AB_5865_40AB_8DB4_DDEDE7CBB603_.wvu.PrintArea" localSheetId="10" hidden="1">Noviembre!$D$1:$I$145</definedName>
    <definedName name="Z_F1F511AB_5865_40AB_8DB4_DDEDE7CBB603_.wvu.PrintArea" localSheetId="9" hidden="1">Octubre!$D$1:$I$145</definedName>
    <definedName name="Z_F1F511AB_5865_40AB_8DB4_DDEDE7CBB603_.wvu.PrintArea" localSheetId="8" hidden="1">Septiembre!$D$1:$I$145</definedName>
    <definedName name="Z_F1F511AB_5865_40AB_8DB4_DDEDE7CBB603_.wvu.PrintTitles" localSheetId="3" hidden="1">Abril!$D:$D,Abril!$1:$9</definedName>
    <definedName name="Z_F1F511AB_5865_40AB_8DB4_DDEDE7CBB603_.wvu.PrintTitles" localSheetId="12" hidden="1">Acumulado!$D:$D,Acumulado!$1:$9</definedName>
    <definedName name="Z_F1F511AB_5865_40AB_8DB4_DDEDE7CBB603_.wvu.PrintTitles" localSheetId="7" hidden="1">Agosto!$D:$D,Agosto!$1:$9</definedName>
    <definedName name="Z_F1F511AB_5865_40AB_8DB4_DDEDE7CBB603_.wvu.PrintTitles" localSheetId="11" hidden="1">Diciembre!$D:$D,Diciembre!$1:$9</definedName>
    <definedName name="Z_F1F511AB_5865_40AB_8DB4_DDEDE7CBB603_.wvu.PrintTitles" localSheetId="0" hidden="1">Enero!$D:$D,Enero!$1:$9</definedName>
    <definedName name="Z_F1F511AB_5865_40AB_8DB4_DDEDE7CBB603_.wvu.PrintTitles" localSheetId="1" hidden="1">Febrero!$D:$D,Febrero!$1:$9</definedName>
    <definedName name="Z_F1F511AB_5865_40AB_8DB4_DDEDE7CBB603_.wvu.PrintTitles" localSheetId="6" hidden="1">Julio!$D:$D,Julio!$1:$9</definedName>
    <definedName name="Z_F1F511AB_5865_40AB_8DB4_DDEDE7CBB603_.wvu.PrintTitles" localSheetId="5" hidden="1">Junio!$D:$D,Junio!$1:$9</definedName>
    <definedName name="Z_F1F511AB_5865_40AB_8DB4_DDEDE7CBB603_.wvu.PrintTitles" localSheetId="2" hidden="1">Marzo!$D:$D,Marzo!$1:$9</definedName>
    <definedName name="Z_F1F511AB_5865_40AB_8DB4_DDEDE7CBB603_.wvu.PrintTitles" localSheetId="4" hidden="1">Mayo!$D:$D,Mayo!$1:$9</definedName>
    <definedName name="Z_F1F511AB_5865_40AB_8DB4_DDEDE7CBB603_.wvu.PrintTitles" localSheetId="10" hidden="1">Noviembre!$D:$D,Noviembre!$1:$9</definedName>
    <definedName name="Z_F1F511AB_5865_40AB_8DB4_DDEDE7CBB603_.wvu.PrintTitles" localSheetId="9" hidden="1">Octubre!$D:$D,Octubre!$1:$9</definedName>
    <definedName name="Z_F1F511AB_5865_40AB_8DB4_DDEDE7CBB603_.wvu.PrintTitles" localSheetId="8" hidden="1">Septiembre!$D:$D,Septiembre!$1:$9</definedName>
  </definedNames>
  <calcPr calcId="162913"/>
  <customWorkbookViews>
    <customWorkbookView name="paola - Vista personalizada" guid="{F1F511AB-5865-40AB-8DB4-DDEDE7CBB603}" mergeInterval="0" personalView="1" maximized="1" windowWidth="1436" windowHeight="635" activeSheetId="18"/>
    <customWorkbookView name="Eliana Beatriz Koladynski - Vista personalizada" guid="{1154F945-E781-4016-ADEC-250E9B61A614}" mergeInterval="0" personalView="1" maximized="1" windowWidth="1362" windowHeight="462" activeSheetId="18"/>
  </customWorkbookViews>
</workbook>
</file>

<file path=xl/calcChain.xml><?xml version="1.0" encoding="utf-8"?>
<calcChain xmlns="http://schemas.openxmlformats.org/spreadsheetml/2006/main">
  <c r="I144" i="21" l="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H145" i="21"/>
  <c r="G145" i="21"/>
  <c r="I14" i="21"/>
  <c r="E145" i="21"/>
  <c r="F145" i="21" l="1"/>
  <c r="I10" i="41" l="1"/>
  <c r="I144" i="41" l="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H145" i="41"/>
  <c r="G145" i="41"/>
  <c r="I19" i="41"/>
  <c r="F145" i="41" l="1"/>
  <c r="H10" i="18" l="1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0" i="18"/>
  <c r="E145" i="41" l="1"/>
  <c r="I18" i="41"/>
  <c r="I17" i="41"/>
  <c r="I16" i="41"/>
  <c r="I15" i="41"/>
  <c r="I14" i="41"/>
  <c r="I13" i="41"/>
  <c r="I12" i="41"/>
  <c r="I11" i="41"/>
  <c r="I145" i="41" l="1"/>
  <c r="H145" i="18"/>
  <c r="H145" i="40" l="1"/>
  <c r="G145" i="40"/>
  <c r="F145" i="40"/>
  <c r="E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145" i="40" l="1"/>
  <c r="H145" i="39"/>
  <c r="G145" i="39"/>
  <c r="F145" i="39"/>
  <c r="E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145" i="39" l="1"/>
  <c r="H145" i="38" l="1"/>
  <c r="G145" i="38"/>
  <c r="F145" i="38"/>
  <c r="E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145" i="38" l="1"/>
  <c r="H145" i="37" l="1"/>
  <c r="G145" i="37"/>
  <c r="F145" i="37"/>
  <c r="E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145" i="37" l="1"/>
  <c r="H145" i="36" l="1"/>
  <c r="G145" i="36"/>
  <c r="E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H145" i="35"/>
  <c r="G145" i="35"/>
  <c r="F145" i="35"/>
  <c r="E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145" i="35" l="1"/>
  <c r="G145" i="24"/>
  <c r="H145" i="24" l="1"/>
  <c r="F145" i="24"/>
  <c r="E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145" i="24" l="1"/>
  <c r="H145" i="23"/>
  <c r="G145" i="23"/>
  <c r="F145" i="23"/>
  <c r="E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145" i="23" l="1"/>
  <c r="H145" i="22"/>
  <c r="G145" i="22"/>
  <c r="F145" i="22"/>
  <c r="E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145" i="22" l="1"/>
  <c r="H145" i="1" l="1"/>
  <c r="G145" i="1"/>
  <c r="F145" i="1"/>
  <c r="E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145" i="18"/>
  <c r="I145" i="1" l="1"/>
  <c r="I11" i="18" l="1"/>
  <c r="I11" i="21"/>
  <c r="I12" i="18"/>
  <c r="I12" i="21"/>
  <c r="I14" i="18"/>
  <c r="I16" i="18"/>
  <c r="I19" i="18"/>
  <c r="I21" i="18"/>
  <c r="I22" i="18"/>
  <c r="I25" i="18"/>
  <c r="I27" i="18"/>
  <c r="I29" i="18"/>
  <c r="I30" i="18"/>
  <c r="I32" i="18"/>
  <c r="I34" i="18"/>
  <c r="I36" i="18"/>
  <c r="I38" i="18"/>
  <c r="I40" i="18"/>
  <c r="I43" i="18"/>
  <c r="I45" i="18"/>
  <c r="I46" i="18"/>
  <c r="I47" i="18"/>
  <c r="I49" i="18"/>
  <c r="I51" i="18"/>
  <c r="I53" i="18"/>
  <c r="I55" i="18"/>
  <c r="I58" i="18"/>
  <c r="I60" i="18"/>
  <c r="I62" i="18"/>
  <c r="I64" i="18"/>
  <c r="I67" i="18"/>
  <c r="I68" i="18"/>
  <c r="I70" i="18"/>
  <c r="I73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0" i="21"/>
  <c r="I145" i="21" s="1"/>
  <c r="I13" i="18"/>
  <c r="I13" i="21"/>
  <c r="I15" i="18"/>
  <c r="I17" i="18"/>
  <c r="I18" i="18"/>
  <c r="I20" i="18"/>
  <c r="I23" i="18"/>
  <c r="I24" i="18"/>
  <c r="I26" i="18"/>
  <c r="I28" i="18"/>
  <c r="I31" i="18"/>
  <c r="I33" i="18"/>
  <c r="I35" i="18"/>
  <c r="I37" i="18"/>
  <c r="I39" i="18"/>
  <c r="I41" i="18"/>
  <c r="I42" i="18"/>
  <c r="I44" i="18"/>
  <c r="I48" i="18"/>
  <c r="I50" i="18"/>
  <c r="I52" i="18"/>
  <c r="I54" i="18"/>
  <c r="I56" i="18"/>
  <c r="I57" i="18"/>
  <c r="I59" i="18"/>
  <c r="I61" i="18"/>
  <c r="I63" i="18"/>
  <c r="I65" i="18"/>
  <c r="I66" i="18"/>
  <c r="I69" i="18"/>
  <c r="I71" i="18"/>
  <c r="I72" i="18"/>
  <c r="I74" i="18"/>
  <c r="F145" i="18"/>
  <c r="E145" i="18" l="1"/>
  <c r="I10" i="18"/>
  <c r="I145" i="18" l="1"/>
  <c r="F145" i="36"/>
  <c r="I10" i="36"/>
  <c r="I145" i="36" s="1"/>
</calcChain>
</file>

<file path=xl/sharedStrings.xml><?xml version="1.0" encoding="utf-8"?>
<sst xmlns="http://schemas.openxmlformats.org/spreadsheetml/2006/main" count="1898" uniqueCount="170">
  <si>
    <t>(En pesos)</t>
  </si>
  <si>
    <t>Municipio</t>
  </si>
  <si>
    <t>Inmobiliario
Rural
Libre
Disponibilidad</t>
  </si>
  <si>
    <t>Inmobiliario
Rural
Fondo
Compensador</t>
  </si>
  <si>
    <t>Ingresos
Brutos
Pequeños
Contribuyentes</t>
  </si>
  <si>
    <t>Otros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</si>
  <si>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</si>
  <si>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</si>
  <si>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</si>
  <si>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</si>
  <si>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</si>
  <si>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</si>
  <si>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</si>
  <si>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</si>
  <si>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</si>
  <si>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</si>
  <si>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</si>
  <si>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</si>
  <si>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</si>
  <si>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</si>
  <si>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</si>
  <si>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</si>
  <si>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</si>
  <si>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</si>
  <si>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</si>
  <si>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</si>
  <si>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</si>
  <si>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</si>
  <si>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</si>
  <si>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</si>
  <si>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</si>
  <si>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</si>
  <si>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</si>
  <si>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</si>
  <si>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</si>
  <si>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</si>
  <si>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</si>
  <si>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</si>
  <si>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</si>
  <si>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</si>
  <si>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</si>
  <si>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</si>
  <si>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</si>
  <si>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</si>
  <si>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</si>
  <si>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</si>
  <si>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</si>
  <si>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</si>
  <si>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</si>
  <si>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</si>
  <si>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</si>
  <si>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</si>
  <si>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</si>
  <si>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</si>
  <si>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</si>
  <si>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</si>
  <si>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</si>
  <si>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</si>
  <si>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</si>
  <si>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</si>
  <si>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</si>
  <si>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</si>
  <si>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</si>
  <si>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</si>
  <si>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</si>
  <si>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</si>
  <si>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</si>
  <si>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</si>
  <si>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</si>
  <si>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</si>
  <si>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</si>
  <si>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</si>
  <si>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</si>
  <si>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</si>
  <si>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</si>
  <si>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</si>
  <si>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</si>
  <si>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</si>
  <si>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</si>
  <si>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</si>
  <si>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</si>
  <si>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</si>
  <si>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</si>
  <si>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</si>
  <si>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</si>
  <si>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</si>
  <si>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</si>
  <si>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</si>
  <si>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</si>
  <si>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</si>
  <si>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</si>
  <si>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</si>
  <si>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</si>
  <si>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</si>
  <si>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</si>
  <si>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</si>
  <si>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</si>
  <si>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</si>
  <si>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</si>
  <si>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</si>
  <si>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</si>
  <si>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</si>
  <si>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</si>
  <si>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</si>
  <si>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</si>
  <si>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</si>
  <si>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</si>
  <si>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</si>
  <si>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</si>
  <si>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</si>
  <si>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</si>
  <si>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</si>
  <si>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</si>
  <si>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</si>
  <si>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</si>
  <si>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</si>
  <si>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</si>
  <si>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</si>
  <si>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</si>
  <si>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</si>
  <si>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</si>
  <si>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</si>
  <si>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</si>
  <si>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</si>
  <si>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</si>
  <si>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</si>
  <si>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</si>
  <si>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</si>
  <si>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</si>
  <si>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</si>
  <si>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</si>
  <si>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</si>
  <si>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</si>
  <si>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</si>
  <si>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</si>
  <si>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</si>
  <si>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</si>
  <si>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</si>
  <si>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</si>
  <si>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</si>
  <si>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</si>
  <si>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</si>
  <si>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 xml:space="preserve">Total      </t>
  </si>
  <si>
    <t>LEY 13.010 Y MODIFICATORIAS. DESCENTRALIZACIÓN ADMINISTRATIVA TRIBUTARIA</t>
  </si>
  <si>
    <t>MES DE ENERO 2025</t>
  </si>
  <si>
    <t>ENERO 2025</t>
  </si>
  <si>
    <t>MES DE FEBRERO 2025</t>
  </si>
  <si>
    <t>FEBRERO 2025</t>
  </si>
  <si>
    <t>MES DE MARZO 2025</t>
  </si>
  <si>
    <t>MARZO 2025</t>
  </si>
  <si>
    <t>MES DE ABRIL 2025</t>
  </si>
  <si>
    <t>ABRIL 2025</t>
  </si>
  <si>
    <t>MES DE MAYO 2025</t>
  </si>
  <si>
    <t>MAYO 2025</t>
  </si>
  <si>
    <t>MES DE JUNIO 2025</t>
  </si>
  <si>
    <t>JUNIO 2025</t>
  </si>
  <si>
    <t>MES DE JULIO 2025</t>
  </si>
  <si>
    <t>JULIO 2025</t>
  </si>
  <si>
    <t>MES DE AGOSTO 2025</t>
  </si>
  <si>
    <t>AGOSTO 2025</t>
  </si>
  <si>
    <t>MES DE SEPTIEMBRE 2025</t>
  </si>
  <si>
    <t>SEPTIEMBRE 2025</t>
  </si>
  <si>
    <t>MES DE OCTUBRE 2025</t>
  </si>
  <si>
    <t>OCTUBRE 2025</t>
  </si>
  <si>
    <t>MES DE NOVIEMBRE 2025</t>
  </si>
  <si>
    <t>NOVIEMBRE 2025</t>
  </si>
  <si>
    <t>MES DE DICIEMBRE 2025</t>
  </si>
  <si>
    <t>DICIEMBRE 2025</t>
  </si>
  <si>
    <t>ACUMULADO ENERO - DICIEMBRE 2025</t>
  </si>
  <si>
    <t>Acumulado ENERO -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</si>
</sst>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\-#,##0_ ;_ * &quot;-&quot;_ ;_ @_ "/>
    <numFmt numFmtId="165" formatCode="_(* #,##0.00_);_(* \(#,##0.00\);_(* &quot;-&quot;??_);_(@_)"/>
    <numFmt numFmtId="166" formatCode="#,"/>
    <numFmt numFmtId="167" formatCode="#,#00"/>
    <numFmt numFmtId="168" formatCode="#.##000"/>
    <numFmt numFmtId="169" formatCode="&quot;$&quot;#,#00"/>
    <numFmt numFmtId="170" formatCode="\$#,##0\ ;\(\$#,##0\)"/>
    <numFmt numFmtId="171" formatCode="#,##0.0"/>
    <numFmt numFmtId="172" formatCode="_(* #,##0_);_(* \(#,##0\);_(* &quot;-&quot;??_);_(@_)"/>
    <numFmt numFmtId="173" formatCode="_ * #,##0.0000000_ ;_ * \-#,##0.0000000_ ;_ * &quot;-&quot;_ ;_ @_ 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AEAC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2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6" fontId="15" fillId="0" borderId="0">
      <protection locked="0"/>
    </xf>
    <xf numFmtId="166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7" fontId="14" fillId="0" borderId="0">
      <protection locked="0"/>
    </xf>
    <xf numFmtId="168" fontId="14" fillId="0" borderId="0">
      <protection locked="0"/>
    </xf>
    <xf numFmtId="165" fontId="1" fillId="0" borderId="0" applyFont="0" applyFill="0" applyBorder="0" applyAlignment="0" applyProtection="0"/>
    <xf numFmtId="169" fontId="14" fillId="0" borderId="0">
      <protection locked="0"/>
    </xf>
    <xf numFmtId="170" fontId="17" fillId="0" borderId="0" applyFont="0" applyFill="0" applyBorder="0" applyAlignment="0" applyProtection="0"/>
    <xf numFmtId="171" fontId="7" fillId="0" borderId="0" applyFill="0" applyBorder="0" applyAlignment="0" applyProtection="0"/>
    <xf numFmtId="3" fontId="17" fillId="0" borderId="0" applyFont="0" applyFill="0" applyBorder="0" applyAlignment="0" applyProtection="0"/>
    <xf numFmtId="0" fontId="18" fillId="0" borderId="0"/>
  </cellStyleXfs>
  <cellXfs count="28">
    <xf numFmtId="0" fontId="0" fillId="0" borderId="0" xfId="0"/>
    <xf numFmtId="164" fontId="2" fillId="0" borderId="0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Fill="1" applyBorder="1" applyAlignment="1" applyProtection="1">
      <alignment horizontal="center" vertical="center" textRotation="90" wrapText="1"/>
    </xf>
    <xf numFmtId="164" fontId="7" fillId="0" borderId="0" xfId="0" applyNumberFormat="1" applyFont="1" applyFill="1" applyBorder="1" applyAlignment="1" applyProtection="1">
      <alignment horizontal="center"/>
    </xf>
    <xf numFmtId="164" fontId="7" fillId="0" borderId="0" xfId="0" applyNumberFormat="1" applyFont="1" applyFill="1" applyBorder="1" applyProtection="1"/>
    <xf numFmtId="164" fontId="10" fillId="0" borderId="0" xfId="0" applyNumberFormat="1" applyFont="1" applyFill="1" applyBorder="1" applyProtection="1"/>
    <xf numFmtId="173" fontId="2" fillId="0" borderId="0" xfId="0" applyNumberFormat="1" applyFont="1"/>
    <xf numFmtId="0" fontId="8" fillId="0" borderId="1" xfId="0" applyFont="1" applyFill="1" applyBorder="1" applyAlignment="1" applyProtection="1">
      <alignment horizontal="left" indent="1"/>
    </xf>
    <xf numFmtId="164" fontId="8" fillId="2" borderId="1" xfId="16" applyNumberFormat="1" applyFont="1" applyFill="1" applyBorder="1" applyAlignment="1" applyProtection="1">
      <alignment horizontal="right" indent="2"/>
    </xf>
    <xf numFmtId="172" fontId="9" fillId="2" borderId="1" xfId="16" applyNumberFormat="1" applyFont="1" applyFill="1" applyBorder="1" applyAlignment="1" applyProtection="1">
      <alignment horizontal="right"/>
    </xf>
    <xf numFmtId="0" fontId="19" fillId="2" borderId="0" xfId="21" applyFont="1" applyFill="1" applyAlignment="1">
      <alignment vertical="center"/>
    </xf>
    <xf numFmtId="164" fontId="9" fillId="0" borderId="1" xfId="16" applyNumberFormat="1" applyFont="1" applyFill="1" applyBorder="1" applyAlignment="1" applyProtection="1">
      <alignment horizontal="right" indent="2"/>
    </xf>
    <xf numFmtId="172" fontId="9" fillId="0" borderId="1" xfId="16" applyNumberFormat="1" applyFont="1" applyFill="1" applyBorder="1" applyAlignment="1" applyProtection="1">
      <alignment horizontal="right"/>
    </xf>
    <xf numFmtId="164" fontId="20" fillId="0" borderId="0" xfId="0" applyNumberFormat="1" applyFont="1" applyBorder="1"/>
    <xf numFmtId="164" fontId="21" fillId="0" borderId="0" xfId="0" applyNumberFormat="1" applyFont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left" vertical="center" wrapText="1" indent="1"/>
    </xf>
    <xf numFmtId="172" fontId="11" fillId="3" borderId="1" xfId="16" applyNumberFormat="1" applyFont="1" applyFill="1" applyBorder="1" applyAlignment="1" applyProtection="1">
      <alignment horizontal="right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2" xfId="0" quotePrefix="1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</cellXfs>
  <cellStyles count="22">
    <cellStyle name="Cabecera 1" xfId="1"/>
    <cellStyle name="Cabecera 2" xfId="2"/>
    <cellStyle name="Dia" xfId="3"/>
    <cellStyle name="Encabez1" xfId="4"/>
    <cellStyle name="Encabez2" xf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Fecha" xfId="13"/>
    <cellStyle name="Fijo" xfId="14"/>
    <cellStyle name="Financiero" xfId="15"/>
    <cellStyle name="Millares" xfId="16" builtinId="3"/>
    <cellStyle name="Monetario" xfId="17"/>
    <cellStyle name="Monetario0" xfId="18"/>
    <cellStyle name="Normal" xfId="0" builtinId="0"/>
    <cellStyle name="Normal 5" xfId="21"/>
    <cellStyle name="Punto" xfId="19"/>
    <cellStyle name="Punto0" xfId="20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1035844</xdr:colOff>
      <xdr:row>0</xdr:row>
      <xdr:rowOff>178595</xdr:rowOff>
    </xdr:from>
    <xdr:to>
      <xdr:col>8</xdr:col>
      <xdr:colOff>999165</xdr:colOff>
      <xdr:row>1</xdr:row>
      <xdr:rowOff>487910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4" y="17859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11907</xdr:colOff>
      <xdr:row>0</xdr:row>
      <xdr:rowOff>154782</xdr:rowOff>
    </xdr:from>
    <xdr:to>
      <xdr:col>8</xdr:col>
      <xdr:colOff>1130134</xdr:colOff>
      <xdr:row>1</xdr:row>
      <xdr:rowOff>464097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313" y="154782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1070603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1118228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3.6640625" style="2" customWidth="1"/>
    <col min="6" max="8" width="20.1640625" style="2" customWidth="1"/>
    <col min="9" max="9" width="21.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7">
        <v>23536811.540000003</v>
      </c>
      <c r="F10" s="17">
        <v>21894691.134271413</v>
      </c>
      <c r="G10" s="17">
        <v>5670613.1800000006</v>
      </c>
      <c r="H10" s="17">
        <v>0</v>
      </c>
      <c r="I10" s="13">
        <f t="shared" ref="I10:I73" si="0">SUM(E10:H10)</f>
        <v>51102115.854271419</v>
      </c>
    </row>
    <row r="11" spans="1:9" ht="15.75" x14ac:dyDescent="0.25">
      <c r="A11" s="8"/>
      <c r="B11" s="8"/>
      <c r="C11" s="9"/>
      <c r="D11" s="12" t="s">
        <v>7</v>
      </c>
      <c r="E11" s="17">
        <v>15427818.74</v>
      </c>
      <c r="F11" s="17">
        <v>12288953.156052852</v>
      </c>
      <c r="G11" s="17">
        <v>4470003.49</v>
      </c>
      <c r="H11" s="17">
        <v>0</v>
      </c>
      <c r="I11" s="13">
        <f t="shared" si="0"/>
        <v>32186775.386052854</v>
      </c>
    </row>
    <row r="12" spans="1:9" ht="15.75" x14ac:dyDescent="0.25">
      <c r="A12" s="8"/>
      <c r="B12" s="8"/>
      <c r="C12" s="9"/>
      <c r="D12" s="12" t="s">
        <v>8</v>
      </c>
      <c r="E12" s="17">
        <v>21065416.080000002</v>
      </c>
      <c r="F12" s="17">
        <v>4455161.2070430527</v>
      </c>
      <c r="G12" s="17">
        <v>2964903.55</v>
      </c>
      <c r="H12" s="17">
        <v>0</v>
      </c>
      <c r="I12" s="13">
        <f t="shared" si="0"/>
        <v>28485480.837043054</v>
      </c>
    </row>
    <row r="13" spans="1:9" ht="15.75" x14ac:dyDescent="0.25">
      <c r="A13" s="8"/>
      <c r="B13" s="8"/>
      <c r="C13" s="9"/>
      <c r="D13" s="12" t="s">
        <v>9</v>
      </c>
      <c r="E13" s="17">
        <v>2060630.47</v>
      </c>
      <c r="F13" s="17">
        <v>117812.05504037204</v>
      </c>
      <c r="G13" s="17">
        <v>59553707.329999991</v>
      </c>
      <c r="H13" s="17">
        <v>0</v>
      </c>
      <c r="I13" s="13">
        <f t="shared" si="0"/>
        <v>61732149.855040364</v>
      </c>
    </row>
    <row r="14" spans="1:9" ht="15.75" x14ac:dyDescent="0.25">
      <c r="A14" s="8"/>
      <c r="B14" s="8"/>
      <c r="C14" s="9"/>
      <c r="D14" s="12" t="s">
        <v>10</v>
      </c>
      <c r="E14" s="17">
        <v>31523354.859999999</v>
      </c>
      <c r="F14" s="17">
        <v>4950134.0579097448</v>
      </c>
      <c r="G14" s="17">
        <v>7516532.129999999</v>
      </c>
      <c r="H14" s="17">
        <v>0</v>
      </c>
      <c r="I14" s="13">
        <f t="shared" si="0"/>
        <v>43990021.047909737</v>
      </c>
    </row>
    <row r="15" spans="1:9" ht="15.75" x14ac:dyDescent="0.25">
      <c r="A15" s="8"/>
      <c r="B15" s="8"/>
      <c r="C15" s="9"/>
      <c r="D15" s="12" t="s">
        <v>11</v>
      </c>
      <c r="E15" s="17">
        <v>28593.43</v>
      </c>
      <c r="F15" s="17">
        <v>27475.961201326005</v>
      </c>
      <c r="G15" s="17">
        <v>60734883.420000002</v>
      </c>
      <c r="H15" s="17">
        <v>0</v>
      </c>
      <c r="I15" s="13">
        <f t="shared" si="0"/>
        <v>60790952.811201327</v>
      </c>
    </row>
    <row r="16" spans="1:9" ht="15.75" x14ac:dyDescent="0.25">
      <c r="A16" s="8"/>
      <c r="B16" s="8"/>
      <c r="C16" s="9"/>
      <c r="D16" s="12" t="s">
        <v>12</v>
      </c>
      <c r="E16" s="17">
        <v>10905161.999999998</v>
      </c>
      <c r="F16" s="17">
        <v>23603675.643531743</v>
      </c>
      <c r="G16" s="17">
        <v>5849049.2799999993</v>
      </c>
      <c r="H16" s="17">
        <v>0</v>
      </c>
      <c r="I16" s="13">
        <f t="shared" si="0"/>
        <v>40357886.923531741</v>
      </c>
    </row>
    <row r="17" spans="1:9" ht="15.75" x14ac:dyDescent="0.25">
      <c r="A17" s="8"/>
      <c r="B17" s="8"/>
      <c r="C17" s="9"/>
      <c r="D17" s="12" t="s">
        <v>13</v>
      </c>
      <c r="E17" s="17">
        <v>56614436.729999989</v>
      </c>
      <c r="F17" s="17">
        <v>21686441.598081287</v>
      </c>
      <c r="G17" s="17">
        <v>20333403.160000004</v>
      </c>
      <c r="H17" s="17">
        <v>0</v>
      </c>
      <c r="I17" s="13">
        <f t="shared" si="0"/>
        <v>98634281.488081276</v>
      </c>
    </row>
    <row r="18" spans="1:9" ht="15.75" x14ac:dyDescent="0.25">
      <c r="A18" s="8"/>
      <c r="B18" s="8"/>
      <c r="C18" s="9"/>
      <c r="D18" s="12" t="s">
        <v>14</v>
      </c>
      <c r="E18" s="17">
        <v>20046367.340000004</v>
      </c>
      <c r="F18" s="17">
        <v>1767890.5367805222</v>
      </c>
      <c r="G18" s="17">
        <v>136834977.55000001</v>
      </c>
      <c r="H18" s="17">
        <v>0</v>
      </c>
      <c r="I18" s="13">
        <f t="shared" si="0"/>
        <v>158649235.42678052</v>
      </c>
    </row>
    <row r="19" spans="1:9" ht="15.75" x14ac:dyDescent="0.25">
      <c r="A19" s="8"/>
      <c r="B19" s="8"/>
      <c r="C19" s="9"/>
      <c r="D19" s="12" t="s">
        <v>15</v>
      </c>
      <c r="E19" s="17">
        <v>22682097.059999999</v>
      </c>
      <c r="F19" s="17">
        <v>16873788.73348888</v>
      </c>
      <c r="G19" s="17">
        <v>18137577.890000001</v>
      </c>
      <c r="H19" s="17">
        <v>0</v>
      </c>
      <c r="I19" s="13">
        <f t="shared" si="0"/>
        <v>57693463.683488876</v>
      </c>
    </row>
    <row r="20" spans="1:9" ht="15.75" x14ac:dyDescent="0.25">
      <c r="A20" s="8"/>
      <c r="B20" s="8"/>
      <c r="C20" s="9"/>
      <c r="D20" s="12" t="s">
        <v>16</v>
      </c>
      <c r="E20" s="17">
        <v>23886258.98</v>
      </c>
      <c r="F20" s="17">
        <v>4199766.5713746389</v>
      </c>
      <c r="G20" s="17">
        <v>8685939.5299999993</v>
      </c>
      <c r="H20" s="17">
        <v>0</v>
      </c>
      <c r="I20" s="13">
        <f t="shared" si="0"/>
        <v>36771965.081374638</v>
      </c>
    </row>
    <row r="21" spans="1:9" ht="15.75" x14ac:dyDescent="0.25">
      <c r="A21" s="8"/>
      <c r="B21" s="8"/>
      <c r="C21" s="9"/>
      <c r="D21" s="12" t="s">
        <v>17</v>
      </c>
      <c r="E21" s="17">
        <v>16747594.770000001</v>
      </c>
      <c r="F21" s="17">
        <v>20185706.625011072</v>
      </c>
      <c r="G21" s="17">
        <v>4354487.79</v>
      </c>
      <c r="H21" s="17">
        <v>0</v>
      </c>
      <c r="I21" s="13">
        <f t="shared" si="0"/>
        <v>41287789.185011074</v>
      </c>
    </row>
    <row r="22" spans="1:9" ht="15.75" x14ac:dyDescent="0.25">
      <c r="A22" s="8"/>
      <c r="B22" s="8"/>
      <c r="C22" s="9"/>
      <c r="D22" s="12" t="s">
        <v>18</v>
      </c>
      <c r="E22" s="17">
        <v>383646.33999999997</v>
      </c>
      <c r="F22" s="17">
        <v>864326.82376865018</v>
      </c>
      <c r="G22" s="17">
        <v>35919746.119999997</v>
      </c>
      <c r="H22" s="17">
        <v>0</v>
      </c>
      <c r="I22" s="13">
        <f t="shared" si="0"/>
        <v>37167719.283768646</v>
      </c>
    </row>
    <row r="23" spans="1:9" ht="15.75" x14ac:dyDescent="0.25">
      <c r="A23" s="8"/>
      <c r="B23" s="8"/>
      <c r="C23" s="9"/>
      <c r="D23" s="12" t="s">
        <v>19</v>
      </c>
      <c r="E23" s="17">
        <v>1702596.01</v>
      </c>
      <c r="F23" s="17">
        <v>322107.48611296201</v>
      </c>
      <c r="G23" s="17">
        <v>16660481.730000002</v>
      </c>
      <c r="H23" s="17">
        <v>0</v>
      </c>
      <c r="I23" s="13">
        <f t="shared" si="0"/>
        <v>18685185.226112965</v>
      </c>
    </row>
    <row r="24" spans="1:9" ht="15.75" x14ac:dyDescent="0.25">
      <c r="A24" s="8"/>
      <c r="B24" s="8"/>
      <c r="C24" s="9"/>
      <c r="D24" s="12" t="s">
        <v>20</v>
      </c>
      <c r="E24" s="17">
        <v>27848847.089999992</v>
      </c>
      <c r="F24" s="17">
        <v>12379390.637202602</v>
      </c>
      <c r="G24" s="17">
        <v>10257444.819999998</v>
      </c>
      <c r="H24" s="17">
        <v>0</v>
      </c>
      <c r="I24" s="13">
        <f t="shared" si="0"/>
        <v>50485682.547202595</v>
      </c>
    </row>
    <row r="25" spans="1:9" ht="15.75" x14ac:dyDescent="0.25">
      <c r="A25" s="8"/>
      <c r="B25" s="8"/>
      <c r="C25" s="9"/>
      <c r="D25" s="12" t="s">
        <v>21</v>
      </c>
      <c r="E25" s="17">
        <v>23552256.039999999</v>
      </c>
      <c r="F25" s="17">
        <v>9193193.0109558459</v>
      </c>
      <c r="G25" s="17">
        <v>10854017.469999999</v>
      </c>
      <c r="H25" s="17">
        <v>0</v>
      </c>
      <c r="I25" s="13">
        <f t="shared" si="0"/>
        <v>43599466.520955846</v>
      </c>
    </row>
    <row r="26" spans="1:9" ht="15.75" x14ac:dyDescent="0.25">
      <c r="A26" s="8"/>
      <c r="B26" s="8"/>
      <c r="C26" s="9"/>
      <c r="D26" s="12" t="s">
        <v>22</v>
      </c>
      <c r="E26" s="17">
        <v>25173798.77</v>
      </c>
      <c r="F26" s="17">
        <v>5264434.7210983457</v>
      </c>
      <c r="G26" s="17">
        <v>31692537.700000003</v>
      </c>
      <c r="H26" s="17">
        <v>0</v>
      </c>
      <c r="I26" s="13">
        <f t="shared" si="0"/>
        <v>62130771.191098347</v>
      </c>
    </row>
    <row r="27" spans="1:9" ht="15.75" x14ac:dyDescent="0.25">
      <c r="A27" s="8"/>
      <c r="B27" s="8"/>
      <c r="C27" s="9"/>
      <c r="D27" s="12" t="s">
        <v>23</v>
      </c>
      <c r="E27" s="17">
        <v>7949897.2800000012</v>
      </c>
      <c r="F27" s="17">
        <v>903563.71301187226</v>
      </c>
      <c r="G27" s="17">
        <v>25199557.809999999</v>
      </c>
      <c r="H27" s="17">
        <v>0</v>
      </c>
      <c r="I27" s="13">
        <f t="shared" si="0"/>
        <v>34053018.803011872</v>
      </c>
    </row>
    <row r="28" spans="1:9" ht="15.75" x14ac:dyDescent="0.25">
      <c r="A28" s="8"/>
      <c r="B28" s="8"/>
      <c r="C28" s="9"/>
      <c r="D28" s="12" t="s">
        <v>24</v>
      </c>
      <c r="E28" s="17">
        <v>11023024.689999999</v>
      </c>
      <c r="F28" s="17">
        <v>4282295.842289323</v>
      </c>
      <c r="G28" s="17">
        <v>11177423.59</v>
      </c>
      <c r="H28" s="17">
        <v>0</v>
      </c>
      <c r="I28" s="13">
        <f t="shared" si="0"/>
        <v>26482744.122289322</v>
      </c>
    </row>
    <row r="29" spans="1:9" ht="15.75" x14ac:dyDescent="0.25">
      <c r="A29" s="8"/>
      <c r="B29" s="8"/>
      <c r="C29" s="9"/>
      <c r="D29" s="12" t="s">
        <v>25</v>
      </c>
      <c r="E29" s="17">
        <v>6217938.8300000001</v>
      </c>
      <c r="F29" s="17">
        <v>2396491.8631577226</v>
      </c>
      <c r="G29" s="17">
        <v>2848670.79</v>
      </c>
      <c r="H29" s="17">
        <v>0</v>
      </c>
      <c r="I29" s="13">
        <f t="shared" si="0"/>
        <v>11463101.483157724</v>
      </c>
    </row>
    <row r="30" spans="1:9" ht="15.75" x14ac:dyDescent="0.25">
      <c r="A30" s="8"/>
      <c r="B30" s="8"/>
      <c r="C30" s="9"/>
      <c r="D30" s="12" t="s">
        <v>26</v>
      </c>
      <c r="E30" s="17">
        <v>17835614.040000003</v>
      </c>
      <c r="F30" s="17">
        <v>12925462.692665119</v>
      </c>
      <c r="G30" s="17">
        <v>7825267.9100000001</v>
      </c>
      <c r="H30" s="17">
        <v>0</v>
      </c>
      <c r="I30" s="13">
        <f t="shared" si="0"/>
        <v>38586344.642665118</v>
      </c>
    </row>
    <row r="31" spans="1:9" ht="15.75" x14ac:dyDescent="0.25">
      <c r="A31" s="8"/>
      <c r="B31" s="8"/>
      <c r="C31" s="9"/>
      <c r="D31" s="12" t="s">
        <v>27</v>
      </c>
      <c r="E31" s="17">
        <v>8859616.2699999996</v>
      </c>
      <c r="F31" s="17">
        <v>13396913.687448019</v>
      </c>
      <c r="G31" s="17">
        <v>4739978.42</v>
      </c>
      <c r="H31" s="17">
        <v>0</v>
      </c>
      <c r="I31" s="13">
        <f t="shared" si="0"/>
        <v>26996508.377448022</v>
      </c>
    </row>
    <row r="32" spans="1:9" ht="15.75" x14ac:dyDescent="0.25">
      <c r="A32" s="8"/>
      <c r="B32" s="8"/>
      <c r="C32" s="9"/>
      <c r="D32" s="12" t="s">
        <v>28</v>
      </c>
      <c r="E32" s="17">
        <v>11631943.710000001</v>
      </c>
      <c r="F32" s="17">
        <v>4521975.4447983066</v>
      </c>
      <c r="G32" s="17">
        <v>3011376.2200000007</v>
      </c>
      <c r="H32" s="17">
        <v>0</v>
      </c>
      <c r="I32" s="13">
        <f t="shared" si="0"/>
        <v>19165295.374798305</v>
      </c>
    </row>
    <row r="33" spans="1:9" ht="15.75" x14ac:dyDescent="0.25">
      <c r="A33" s="8"/>
      <c r="B33" s="8"/>
      <c r="C33" s="9"/>
      <c r="D33" s="12" t="s">
        <v>29</v>
      </c>
      <c r="E33" s="17">
        <v>1481694.27</v>
      </c>
      <c r="F33" s="17">
        <v>6835938.0370413447</v>
      </c>
      <c r="G33" s="17">
        <v>3060747.9799999995</v>
      </c>
      <c r="H33" s="17">
        <v>0</v>
      </c>
      <c r="I33" s="13">
        <f t="shared" si="0"/>
        <v>11378380.287041344</v>
      </c>
    </row>
    <row r="34" spans="1:9" ht="15.75" x14ac:dyDescent="0.25">
      <c r="A34" s="8"/>
      <c r="B34" s="8"/>
      <c r="C34" s="9"/>
      <c r="D34" s="12" t="s">
        <v>30</v>
      </c>
      <c r="E34" s="17">
        <v>42120202.950000003</v>
      </c>
      <c r="F34" s="17">
        <v>9809932.021980444</v>
      </c>
      <c r="G34" s="17">
        <v>14965384.479999999</v>
      </c>
      <c r="H34" s="17">
        <v>0</v>
      </c>
      <c r="I34" s="13">
        <f t="shared" si="0"/>
        <v>66895519.451980442</v>
      </c>
    </row>
    <row r="35" spans="1:9" ht="15.75" x14ac:dyDescent="0.25">
      <c r="A35" s="8"/>
      <c r="B35" s="8"/>
      <c r="C35" s="9"/>
      <c r="D35" s="12" t="s">
        <v>31</v>
      </c>
      <c r="E35" s="17">
        <v>12499662.409999998</v>
      </c>
      <c r="F35" s="17">
        <v>14422243.560617797</v>
      </c>
      <c r="G35" s="17">
        <v>12884663.809999999</v>
      </c>
      <c r="H35" s="17">
        <v>0</v>
      </c>
      <c r="I35" s="13">
        <f t="shared" si="0"/>
        <v>39806569.780617788</v>
      </c>
    </row>
    <row r="36" spans="1:9" ht="15.75" x14ac:dyDescent="0.25">
      <c r="A36" s="8"/>
      <c r="B36" s="8"/>
      <c r="C36" s="9"/>
      <c r="D36" s="12" t="s">
        <v>32</v>
      </c>
      <c r="E36" s="17">
        <v>22956039.73</v>
      </c>
      <c r="F36" s="17">
        <v>8949559.3033293281</v>
      </c>
      <c r="G36" s="17">
        <v>17369529.999999996</v>
      </c>
      <c r="H36" s="17">
        <v>0</v>
      </c>
      <c r="I36" s="13">
        <f t="shared" si="0"/>
        <v>49275129.033329323</v>
      </c>
    </row>
    <row r="37" spans="1:9" ht="15.75" x14ac:dyDescent="0.25">
      <c r="A37" s="8"/>
      <c r="B37" s="8"/>
      <c r="C37" s="9"/>
      <c r="D37" s="12" t="s">
        <v>33</v>
      </c>
      <c r="E37" s="17">
        <v>26690806.870000005</v>
      </c>
      <c r="F37" s="17">
        <v>4950134.0579097448</v>
      </c>
      <c r="G37" s="17">
        <v>6026527.790000001</v>
      </c>
      <c r="H37" s="17">
        <v>0</v>
      </c>
      <c r="I37" s="13">
        <f t="shared" si="0"/>
        <v>37667468.717909753</v>
      </c>
    </row>
    <row r="38" spans="1:9" ht="15.75" x14ac:dyDescent="0.25">
      <c r="A38" s="8"/>
      <c r="B38" s="8"/>
      <c r="C38" s="9"/>
      <c r="D38" s="12" t="s">
        <v>34</v>
      </c>
      <c r="E38" s="17">
        <v>7068169.3999999994</v>
      </c>
      <c r="F38" s="17">
        <v>10756788.116663776</v>
      </c>
      <c r="G38" s="17">
        <v>5611952.3200000003</v>
      </c>
      <c r="H38" s="17">
        <v>0</v>
      </c>
      <c r="I38" s="13">
        <f t="shared" si="0"/>
        <v>23436909.836663775</v>
      </c>
    </row>
    <row r="39" spans="1:9" ht="15.75" x14ac:dyDescent="0.25">
      <c r="A39" s="8"/>
      <c r="B39" s="8"/>
      <c r="C39" s="9"/>
      <c r="D39" s="12" t="s">
        <v>35</v>
      </c>
      <c r="E39" s="17">
        <v>7517566.0300000012</v>
      </c>
      <c r="F39" s="17">
        <v>16842358.667170018</v>
      </c>
      <c r="G39" s="17">
        <v>6095457.29</v>
      </c>
      <c r="H39" s="17">
        <v>0</v>
      </c>
      <c r="I39" s="13">
        <f t="shared" si="0"/>
        <v>30455381.987170018</v>
      </c>
    </row>
    <row r="40" spans="1:9" ht="15.75" x14ac:dyDescent="0.25">
      <c r="A40" s="8"/>
      <c r="B40" s="8"/>
      <c r="C40" s="9"/>
      <c r="D40" s="12" t="s">
        <v>36</v>
      </c>
      <c r="E40" s="17">
        <v>1672553.81</v>
      </c>
      <c r="F40" s="17">
        <v>883995.96204561414</v>
      </c>
      <c r="G40" s="17">
        <v>5351918.8600000003</v>
      </c>
      <c r="H40" s="17">
        <v>0</v>
      </c>
      <c r="I40" s="13">
        <f t="shared" si="0"/>
        <v>7908468.6320456145</v>
      </c>
    </row>
    <row r="41" spans="1:9" ht="15.75" x14ac:dyDescent="0.25">
      <c r="A41" s="8"/>
      <c r="B41" s="8"/>
      <c r="C41" s="9"/>
      <c r="D41" s="12" t="s">
        <v>37</v>
      </c>
      <c r="E41" s="17">
        <v>26520168.059999999</v>
      </c>
      <c r="F41" s="17">
        <v>14771928.395242792</v>
      </c>
      <c r="G41" s="17">
        <v>14988118.670000002</v>
      </c>
      <c r="H41" s="17">
        <v>0</v>
      </c>
      <c r="I41" s="13">
        <f t="shared" si="0"/>
        <v>56280215.125242792</v>
      </c>
    </row>
    <row r="42" spans="1:9" ht="15.75" x14ac:dyDescent="0.25">
      <c r="A42" s="8"/>
      <c r="B42" s="8"/>
      <c r="C42" s="9"/>
      <c r="D42" s="12" t="s">
        <v>38</v>
      </c>
      <c r="E42" s="17">
        <v>13180811.84</v>
      </c>
      <c r="F42" s="17">
        <v>15997700.981678331</v>
      </c>
      <c r="G42" s="17">
        <v>6125350.9400000004</v>
      </c>
      <c r="H42" s="17">
        <v>0</v>
      </c>
      <c r="I42" s="13">
        <f t="shared" si="0"/>
        <v>35303863.761678331</v>
      </c>
    </row>
    <row r="43" spans="1:9" ht="15.75" x14ac:dyDescent="0.25">
      <c r="A43" s="8"/>
      <c r="B43" s="8"/>
      <c r="C43" s="9"/>
      <c r="D43" s="12" t="s">
        <v>39</v>
      </c>
      <c r="E43" s="17">
        <v>2483705.2499999995</v>
      </c>
      <c r="F43" s="17">
        <v>5818414.9867959283</v>
      </c>
      <c r="G43" s="17">
        <v>7015597.2800000003</v>
      </c>
      <c r="H43" s="17">
        <v>0</v>
      </c>
      <c r="I43" s="13">
        <f t="shared" si="0"/>
        <v>15317717.51679593</v>
      </c>
    </row>
    <row r="44" spans="1:9" ht="15.75" x14ac:dyDescent="0.25">
      <c r="A44" s="8"/>
      <c r="B44" s="8"/>
      <c r="C44" s="9"/>
      <c r="D44" s="12" t="s">
        <v>40</v>
      </c>
      <c r="E44" s="17">
        <v>680112.67</v>
      </c>
      <c r="F44" s="17">
        <v>447827.75138840207</v>
      </c>
      <c r="G44" s="17">
        <v>9482662.4200000018</v>
      </c>
      <c r="H44" s="17">
        <v>0</v>
      </c>
      <c r="I44" s="13">
        <f t="shared" si="0"/>
        <v>10610602.841388404</v>
      </c>
    </row>
    <row r="45" spans="1:9" ht="15.75" x14ac:dyDescent="0.25">
      <c r="A45" s="8"/>
      <c r="B45" s="8"/>
      <c r="C45" s="9"/>
      <c r="D45" s="12" t="s">
        <v>41</v>
      </c>
      <c r="E45" s="17">
        <v>2041153.1499999997</v>
      </c>
      <c r="F45" s="17">
        <v>129674.370392974</v>
      </c>
      <c r="G45" s="17">
        <v>29155412.250000004</v>
      </c>
      <c r="H45" s="17">
        <v>0</v>
      </c>
      <c r="I45" s="13">
        <f t="shared" si="0"/>
        <v>31326239.770392977</v>
      </c>
    </row>
    <row r="46" spans="1:9" ht="15.75" x14ac:dyDescent="0.25">
      <c r="A46" s="8"/>
      <c r="B46" s="8"/>
      <c r="C46" s="9"/>
      <c r="D46" s="12" t="s">
        <v>42</v>
      </c>
      <c r="E46" s="17">
        <v>394420.89000000007</v>
      </c>
      <c r="F46" s="17">
        <v>432112.71822897211</v>
      </c>
      <c r="G46" s="17">
        <v>35862684.350000001</v>
      </c>
      <c r="H46" s="17">
        <v>0</v>
      </c>
      <c r="I46" s="13">
        <f t="shared" si="0"/>
        <v>36689217.958228976</v>
      </c>
    </row>
    <row r="47" spans="1:9" ht="15.75" x14ac:dyDescent="0.25">
      <c r="A47" s="8"/>
      <c r="B47" s="8"/>
      <c r="C47" s="9"/>
      <c r="D47" s="12" t="s">
        <v>43</v>
      </c>
      <c r="E47" s="17">
        <v>7030754.2200000007</v>
      </c>
      <c r="F47" s="17">
        <v>2742222.5926651824</v>
      </c>
      <c r="G47" s="17">
        <v>5600587.96</v>
      </c>
      <c r="H47" s="17">
        <v>0</v>
      </c>
      <c r="I47" s="13">
        <f t="shared" si="0"/>
        <v>15373564.772665184</v>
      </c>
    </row>
    <row r="48" spans="1:9" ht="15.75" x14ac:dyDescent="0.25">
      <c r="A48" s="8"/>
      <c r="B48" s="8"/>
      <c r="C48" s="9"/>
      <c r="D48" s="12" t="s">
        <v>44</v>
      </c>
      <c r="E48" s="17">
        <v>5800687.1300000008</v>
      </c>
      <c r="F48" s="17">
        <v>432112.71822897211</v>
      </c>
      <c r="G48" s="17">
        <v>22975824.579999998</v>
      </c>
      <c r="H48" s="17">
        <v>0</v>
      </c>
      <c r="I48" s="13">
        <f t="shared" si="0"/>
        <v>29208624.428228971</v>
      </c>
    </row>
    <row r="49" spans="1:9" ht="15.75" x14ac:dyDescent="0.25">
      <c r="A49" s="8"/>
      <c r="B49" s="8"/>
      <c r="C49" s="9"/>
      <c r="D49" s="12" t="s">
        <v>45</v>
      </c>
      <c r="E49" s="17">
        <v>1630058.6500000001</v>
      </c>
      <c r="F49" s="17">
        <v>514641.9891436561</v>
      </c>
      <c r="G49" s="17">
        <v>45761419.649999999</v>
      </c>
      <c r="H49" s="17">
        <v>0</v>
      </c>
      <c r="I49" s="13">
        <f t="shared" si="0"/>
        <v>47906120.289143652</v>
      </c>
    </row>
    <row r="50" spans="1:9" ht="15.75" x14ac:dyDescent="0.25">
      <c r="A50" s="8"/>
      <c r="B50" s="8"/>
      <c r="C50" s="9"/>
      <c r="D50" s="12" t="s">
        <v>46</v>
      </c>
      <c r="E50" s="17">
        <v>7723684.71</v>
      </c>
      <c r="F50" s="17">
        <v>4973757.3013042426</v>
      </c>
      <c r="G50" s="17">
        <v>2436425.6</v>
      </c>
      <c r="H50" s="17">
        <v>0</v>
      </c>
      <c r="I50" s="13">
        <f t="shared" si="0"/>
        <v>15133867.611304242</v>
      </c>
    </row>
    <row r="51" spans="1:9" ht="15.75" x14ac:dyDescent="0.25">
      <c r="A51" s="8"/>
      <c r="B51" s="8"/>
      <c r="C51" s="9"/>
      <c r="D51" s="12" t="s">
        <v>47</v>
      </c>
      <c r="E51" s="17">
        <v>15279889.410000002</v>
      </c>
      <c r="F51" s="17">
        <v>9043849.502285907</v>
      </c>
      <c r="G51" s="17">
        <v>7029118.6900000004</v>
      </c>
      <c r="H51" s="17">
        <v>0</v>
      </c>
      <c r="I51" s="13">
        <f t="shared" si="0"/>
        <v>31352857.60228591</v>
      </c>
    </row>
    <row r="52" spans="1:9" ht="15.75" x14ac:dyDescent="0.25">
      <c r="A52" s="8"/>
      <c r="B52" s="8"/>
      <c r="C52" s="9"/>
      <c r="D52" s="12" t="s">
        <v>48</v>
      </c>
      <c r="E52" s="17">
        <v>10097087.229999999</v>
      </c>
      <c r="F52" s="17">
        <v>9114617.8451586962</v>
      </c>
      <c r="G52" s="17">
        <v>1853433.9700000002</v>
      </c>
      <c r="H52" s="17">
        <v>0</v>
      </c>
      <c r="I52" s="13">
        <f t="shared" si="0"/>
        <v>21065139.045158692</v>
      </c>
    </row>
    <row r="53" spans="1:9" ht="15.75" x14ac:dyDescent="0.25">
      <c r="A53" s="8"/>
      <c r="B53" s="8"/>
      <c r="C53" s="9"/>
      <c r="D53" s="12" t="s">
        <v>49</v>
      </c>
      <c r="E53" s="17">
        <v>15061110.039999999</v>
      </c>
      <c r="F53" s="17">
        <v>6246674.9872180726</v>
      </c>
      <c r="G53" s="17">
        <v>6494062.0999999996</v>
      </c>
      <c r="H53" s="17">
        <v>0</v>
      </c>
      <c r="I53" s="13">
        <f t="shared" si="0"/>
        <v>27801847.127218075</v>
      </c>
    </row>
    <row r="54" spans="1:9" ht="15.75" x14ac:dyDescent="0.25">
      <c r="A54" s="8"/>
      <c r="B54" s="8"/>
      <c r="C54" s="9"/>
      <c r="D54" s="12" t="s">
        <v>50</v>
      </c>
      <c r="E54" s="17">
        <v>15814634.470000001</v>
      </c>
      <c r="F54" s="17">
        <v>5735885.7158812452</v>
      </c>
      <c r="G54" s="17">
        <v>5911852.0499999998</v>
      </c>
      <c r="H54" s="17">
        <v>0</v>
      </c>
      <c r="I54" s="13">
        <f t="shared" si="0"/>
        <v>27462372.235881247</v>
      </c>
    </row>
    <row r="55" spans="1:9" ht="15.75" x14ac:dyDescent="0.25">
      <c r="A55" s="8"/>
      <c r="B55" s="8"/>
      <c r="C55" s="9"/>
      <c r="D55" s="12" t="s">
        <v>51</v>
      </c>
      <c r="E55" s="17">
        <v>2956894.6500000004</v>
      </c>
      <c r="F55" s="17">
        <v>11746835.205707867</v>
      </c>
      <c r="G55" s="17">
        <v>482491.34</v>
      </c>
      <c r="H55" s="17">
        <v>0</v>
      </c>
      <c r="I55" s="13">
        <f t="shared" si="0"/>
        <v>15186221.195707867</v>
      </c>
    </row>
    <row r="56" spans="1:9" ht="15.75" x14ac:dyDescent="0.25">
      <c r="A56" s="8"/>
      <c r="B56" s="8"/>
      <c r="C56" s="9"/>
      <c r="D56" s="12" t="s">
        <v>52</v>
      </c>
      <c r="E56" s="17">
        <v>10127986.68</v>
      </c>
      <c r="F56" s="17">
        <v>13074704.81402435</v>
      </c>
      <c r="G56" s="17">
        <v>3785397.37</v>
      </c>
      <c r="H56" s="17">
        <v>0</v>
      </c>
      <c r="I56" s="13">
        <f t="shared" si="0"/>
        <v>26988088.864024352</v>
      </c>
    </row>
    <row r="57" spans="1:9" ht="15.75" x14ac:dyDescent="0.25">
      <c r="A57" s="8"/>
      <c r="B57" s="8"/>
      <c r="C57" s="9"/>
      <c r="D57" s="12" t="s">
        <v>53</v>
      </c>
      <c r="E57" s="17">
        <v>2743344.3099999996</v>
      </c>
      <c r="F57" s="17">
        <v>4321532.7315325448</v>
      </c>
      <c r="G57" s="17">
        <v>3808279.49</v>
      </c>
      <c r="H57" s="17">
        <v>0</v>
      </c>
      <c r="I57" s="13">
        <f t="shared" si="0"/>
        <v>10873156.531532545</v>
      </c>
    </row>
    <row r="58" spans="1:9" ht="15.75" x14ac:dyDescent="0.25">
      <c r="A58" s="8"/>
      <c r="B58" s="8"/>
      <c r="C58" s="9"/>
      <c r="D58" s="12" t="s">
        <v>54</v>
      </c>
      <c r="E58" s="17">
        <v>1666711.78</v>
      </c>
      <c r="F58" s="17">
        <v>4651548.4278805749</v>
      </c>
      <c r="G58" s="17">
        <v>519186.94</v>
      </c>
      <c r="H58" s="17">
        <v>0</v>
      </c>
      <c r="I58" s="13">
        <f t="shared" si="0"/>
        <v>6837447.1478805756</v>
      </c>
    </row>
    <row r="59" spans="1:9" ht="15.75" x14ac:dyDescent="0.25">
      <c r="A59" s="8"/>
      <c r="B59" s="8"/>
      <c r="C59" s="9"/>
      <c r="D59" s="12" t="s">
        <v>55</v>
      </c>
      <c r="E59" s="17">
        <v>6275732.8599999994</v>
      </c>
      <c r="F59" s="17">
        <v>7857415.1924042944</v>
      </c>
      <c r="G59" s="17">
        <v>4823177.96</v>
      </c>
      <c r="H59" s="17">
        <v>0</v>
      </c>
      <c r="I59" s="13">
        <f t="shared" si="0"/>
        <v>18956326.012404293</v>
      </c>
    </row>
    <row r="60" spans="1:9" ht="15.75" x14ac:dyDescent="0.25">
      <c r="A60" s="8"/>
      <c r="B60" s="8"/>
      <c r="C60" s="9"/>
      <c r="D60" s="12" t="s">
        <v>56</v>
      </c>
      <c r="E60" s="17">
        <v>6145941.0800000001</v>
      </c>
      <c r="F60" s="17">
        <v>4753746.8370722234</v>
      </c>
      <c r="G60" s="17">
        <v>2254372.66</v>
      </c>
      <c r="H60" s="17">
        <v>0</v>
      </c>
      <c r="I60" s="13">
        <f t="shared" si="0"/>
        <v>13154060.577072224</v>
      </c>
    </row>
    <row r="61" spans="1:9" ht="15.75" x14ac:dyDescent="0.25">
      <c r="A61" s="8"/>
      <c r="B61" s="8"/>
      <c r="C61" s="9"/>
      <c r="D61" s="12" t="s">
        <v>57</v>
      </c>
      <c r="E61" s="17">
        <v>15529605.75</v>
      </c>
      <c r="F61" s="17">
        <v>7975227.2474446669</v>
      </c>
      <c r="G61" s="17">
        <v>3554752.0700000008</v>
      </c>
      <c r="H61" s="17">
        <v>0</v>
      </c>
      <c r="I61" s="13">
        <f t="shared" si="0"/>
        <v>27059585.067444667</v>
      </c>
    </row>
    <row r="62" spans="1:9" ht="15.75" x14ac:dyDescent="0.25">
      <c r="A62" s="8"/>
      <c r="B62" s="8"/>
      <c r="C62" s="9"/>
      <c r="D62" s="12" t="s">
        <v>58</v>
      </c>
      <c r="E62" s="17">
        <v>13940835.25</v>
      </c>
      <c r="F62" s="17">
        <v>8898561.4860442095</v>
      </c>
      <c r="G62" s="17">
        <v>240370645.19999999</v>
      </c>
      <c r="H62" s="17">
        <v>0</v>
      </c>
      <c r="I62" s="13">
        <f t="shared" si="0"/>
        <v>263210041.93604419</v>
      </c>
    </row>
    <row r="63" spans="1:9" ht="15.75" x14ac:dyDescent="0.25">
      <c r="A63" s="8"/>
      <c r="B63" s="8"/>
      <c r="C63" s="9"/>
      <c r="D63" s="12" t="s">
        <v>59</v>
      </c>
      <c r="E63" s="17">
        <v>2247521.13</v>
      </c>
      <c r="F63" s="17">
        <v>982138.87880902214</v>
      </c>
      <c r="G63" s="17">
        <v>19087937.510000002</v>
      </c>
      <c r="H63" s="17">
        <v>0</v>
      </c>
      <c r="I63" s="13">
        <f t="shared" si="0"/>
        <v>22317597.518809024</v>
      </c>
    </row>
    <row r="64" spans="1:9" ht="15.75" x14ac:dyDescent="0.25">
      <c r="A64" s="8"/>
      <c r="B64" s="8"/>
      <c r="C64" s="9"/>
      <c r="D64" s="12" t="s">
        <v>60</v>
      </c>
      <c r="E64" s="17">
        <v>0</v>
      </c>
      <c r="F64" s="17">
        <v>0</v>
      </c>
      <c r="G64" s="17">
        <v>85930156.540000007</v>
      </c>
      <c r="H64" s="17">
        <v>0</v>
      </c>
      <c r="I64" s="13">
        <f t="shared" si="0"/>
        <v>85930156.540000007</v>
      </c>
    </row>
    <row r="65" spans="1:9" ht="15.75" x14ac:dyDescent="0.25">
      <c r="A65" s="8"/>
      <c r="B65" s="8"/>
      <c r="C65" s="9"/>
      <c r="D65" s="12" t="s">
        <v>61</v>
      </c>
      <c r="E65" s="17">
        <v>18606481.729999997</v>
      </c>
      <c r="F65" s="17">
        <v>11628921.76335679</v>
      </c>
      <c r="G65" s="17">
        <v>4214748.45</v>
      </c>
      <c r="H65" s="17">
        <v>0</v>
      </c>
      <c r="I65" s="13">
        <f t="shared" si="0"/>
        <v>34450151.94335679</v>
      </c>
    </row>
    <row r="66" spans="1:9" ht="15.75" x14ac:dyDescent="0.25">
      <c r="A66" s="8"/>
      <c r="B66" s="8"/>
      <c r="C66" s="9"/>
      <c r="D66" s="12" t="s">
        <v>62</v>
      </c>
      <c r="E66" s="17">
        <v>89817312.700000003</v>
      </c>
      <c r="F66" s="17">
        <v>23120463.720706947</v>
      </c>
      <c r="G66" s="17">
        <v>8210910.9800000004</v>
      </c>
      <c r="H66" s="17">
        <v>0</v>
      </c>
      <c r="I66" s="13">
        <f t="shared" si="0"/>
        <v>121148687.40070696</v>
      </c>
    </row>
    <row r="67" spans="1:9" ht="15.75" x14ac:dyDescent="0.25">
      <c r="A67" s="8"/>
      <c r="B67" s="8"/>
      <c r="C67" s="9"/>
      <c r="D67" s="12" t="s">
        <v>63</v>
      </c>
      <c r="E67" s="17">
        <v>6921862.7000000002</v>
      </c>
      <c r="F67" s="17">
        <v>10686121.161101695</v>
      </c>
      <c r="G67" s="17">
        <v>4250323.2699999996</v>
      </c>
      <c r="H67" s="17">
        <v>0</v>
      </c>
      <c r="I67" s="13">
        <f t="shared" si="0"/>
        <v>21858307.131101694</v>
      </c>
    </row>
    <row r="68" spans="1:9" ht="15.75" x14ac:dyDescent="0.25">
      <c r="A68" s="8"/>
      <c r="B68" s="8"/>
      <c r="C68" s="9"/>
      <c r="D68" s="12" t="s">
        <v>64</v>
      </c>
      <c r="E68" s="17">
        <v>18985274.98</v>
      </c>
      <c r="F68" s="17">
        <v>4518021.3396807732</v>
      </c>
      <c r="G68" s="17">
        <v>876721.21000000008</v>
      </c>
      <c r="H68" s="17">
        <v>0</v>
      </c>
      <c r="I68" s="13">
        <f t="shared" si="0"/>
        <v>24380017.529680774</v>
      </c>
    </row>
    <row r="69" spans="1:9" ht="15.75" x14ac:dyDescent="0.25">
      <c r="A69" s="8"/>
      <c r="B69" s="8"/>
      <c r="C69" s="9"/>
      <c r="D69" s="12" t="s">
        <v>65</v>
      </c>
      <c r="E69" s="17">
        <v>0</v>
      </c>
      <c r="F69" s="17">
        <v>0</v>
      </c>
      <c r="G69" s="17">
        <v>27124585.570000004</v>
      </c>
      <c r="H69" s="17">
        <v>0</v>
      </c>
      <c r="I69" s="13">
        <f t="shared" si="0"/>
        <v>27124585.570000004</v>
      </c>
    </row>
    <row r="70" spans="1:9" ht="15.75" x14ac:dyDescent="0.25">
      <c r="A70" s="8"/>
      <c r="B70" s="8"/>
      <c r="C70" s="9"/>
      <c r="D70" s="12" t="s">
        <v>66</v>
      </c>
      <c r="E70" s="17">
        <v>0</v>
      </c>
      <c r="F70" s="17">
        <v>0</v>
      </c>
      <c r="G70" s="17">
        <v>32545201</v>
      </c>
      <c r="H70" s="17">
        <v>0</v>
      </c>
      <c r="I70" s="13">
        <f t="shared" si="0"/>
        <v>32545201</v>
      </c>
    </row>
    <row r="71" spans="1:9" ht="15.75" x14ac:dyDescent="0.25">
      <c r="A71" s="8"/>
      <c r="B71" s="8"/>
      <c r="C71" s="9"/>
      <c r="D71" s="12" t="s">
        <v>67</v>
      </c>
      <c r="E71" s="17">
        <v>2811.66</v>
      </c>
      <c r="F71" s="17">
        <v>117812.05504037204</v>
      </c>
      <c r="G71" s="17">
        <v>26843633.649999999</v>
      </c>
      <c r="H71" s="17">
        <v>0</v>
      </c>
      <c r="I71" s="13">
        <f t="shared" si="0"/>
        <v>26964257.365040369</v>
      </c>
    </row>
    <row r="72" spans="1:9" ht="15.75" x14ac:dyDescent="0.25">
      <c r="A72" s="8"/>
      <c r="B72" s="8"/>
      <c r="C72" s="9"/>
      <c r="D72" s="12" t="s">
        <v>68</v>
      </c>
      <c r="E72" s="17">
        <v>16161396.489999998</v>
      </c>
      <c r="F72" s="17">
        <v>7338819.0981431054</v>
      </c>
      <c r="G72" s="17">
        <v>29427279.539999999</v>
      </c>
      <c r="H72" s="17">
        <v>0</v>
      </c>
      <c r="I72" s="13">
        <f t="shared" si="0"/>
        <v>52927495.128143102</v>
      </c>
    </row>
    <row r="73" spans="1:9" ht="15.75" x14ac:dyDescent="0.25">
      <c r="A73" s="8"/>
      <c r="B73" s="8"/>
      <c r="C73" s="9"/>
      <c r="D73" s="12" t="s">
        <v>69</v>
      </c>
      <c r="E73" s="17">
        <v>96838.199999999983</v>
      </c>
      <c r="F73" s="17">
        <v>0</v>
      </c>
      <c r="G73" s="17">
        <v>21785504.07</v>
      </c>
      <c r="H73" s="17">
        <v>0</v>
      </c>
      <c r="I73" s="13">
        <f t="shared" si="0"/>
        <v>21882342.27</v>
      </c>
    </row>
    <row r="74" spans="1:9" ht="15.75" x14ac:dyDescent="0.25">
      <c r="A74" s="8"/>
      <c r="B74" s="8"/>
      <c r="C74" s="9"/>
      <c r="D74" s="12" t="s">
        <v>70</v>
      </c>
      <c r="E74" s="17">
        <v>664223.21</v>
      </c>
      <c r="F74" s="17">
        <v>620693.11614213209</v>
      </c>
      <c r="G74" s="17">
        <v>160073673.24000004</v>
      </c>
      <c r="H74" s="17">
        <v>0</v>
      </c>
      <c r="I74" s="13">
        <f t="shared" ref="I74:I137" si="1">SUM(E74:H74)</f>
        <v>161358589.56614217</v>
      </c>
    </row>
    <row r="75" spans="1:9" ht="15.75" x14ac:dyDescent="0.25">
      <c r="A75" s="8"/>
      <c r="B75" s="8"/>
      <c r="C75" s="9"/>
      <c r="D75" s="12" t="s">
        <v>71</v>
      </c>
      <c r="E75" s="17">
        <v>8023777.7000000002</v>
      </c>
      <c r="F75" s="17">
        <v>2412206.8963171523</v>
      </c>
      <c r="G75" s="17">
        <v>229932759.55000001</v>
      </c>
      <c r="H75" s="17">
        <v>0</v>
      </c>
      <c r="I75" s="13">
        <f t="shared" si="1"/>
        <v>240368744.14631715</v>
      </c>
    </row>
    <row r="76" spans="1:9" ht="15.75" x14ac:dyDescent="0.25">
      <c r="A76" s="8"/>
      <c r="B76" s="8"/>
      <c r="C76" s="9"/>
      <c r="D76" s="12" t="s">
        <v>72</v>
      </c>
      <c r="E76" s="17">
        <v>0</v>
      </c>
      <c r="F76" s="17">
        <v>0</v>
      </c>
      <c r="G76" s="17">
        <v>70210551.060000002</v>
      </c>
      <c r="H76" s="17">
        <v>0</v>
      </c>
      <c r="I76" s="13">
        <f t="shared" si="1"/>
        <v>70210551.060000002</v>
      </c>
    </row>
    <row r="77" spans="1:9" ht="15.75" x14ac:dyDescent="0.25">
      <c r="A77" s="8"/>
      <c r="B77" s="8"/>
      <c r="C77" s="9"/>
      <c r="D77" s="12" t="s">
        <v>73</v>
      </c>
      <c r="E77" s="17">
        <v>3232553.4</v>
      </c>
      <c r="F77" s="17">
        <v>11962891.564822353</v>
      </c>
      <c r="G77" s="17">
        <v>3368899.0399999996</v>
      </c>
      <c r="H77" s="17">
        <v>0</v>
      </c>
      <c r="I77" s="13">
        <f t="shared" si="1"/>
        <v>18564344.004822355</v>
      </c>
    </row>
    <row r="78" spans="1:9" ht="15.75" x14ac:dyDescent="0.25">
      <c r="A78" s="8"/>
      <c r="B78" s="8"/>
      <c r="C78" s="9"/>
      <c r="D78" s="12" t="s">
        <v>74</v>
      </c>
      <c r="E78" s="17">
        <v>14719089.559999999</v>
      </c>
      <c r="F78" s="17">
        <v>12139711.034693617</v>
      </c>
      <c r="G78" s="17">
        <v>5936412.1899999995</v>
      </c>
      <c r="H78" s="17">
        <v>0</v>
      </c>
      <c r="I78" s="13">
        <f t="shared" si="1"/>
        <v>32795212.784693614</v>
      </c>
    </row>
    <row r="79" spans="1:9" ht="15.75" x14ac:dyDescent="0.25">
      <c r="A79" s="8"/>
      <c r="B79" s="8"/>
      <c r="C79" s="9"/>
      <c r="D79" s="12" t="s">
        <v>75</v>
      </c>
      <c r="E79" s="17">
        <v>13025503.119999997</v>
      </c>
      <c r="F79" s="17">
        <v>6816268.8987643812</v>
      </c>
      <c r="G79" s="17">
        <v>5564016.6200000001</v>
      </c>
      <c r="H79" s="17">
        <v>0</v>
      </c>
      <c r="I79" s="13">
        <f t="shared" si="1"/>
        <v>25405788.638764378</v>
      </c>
    </row>
    <row r="80" spans="1:9" ht="15.75" x14ac:dyDescent="0.25">
      <c r="A80" s="8"/>
      <c r="B80" s="8"/>
      <c r="C80" s="9"/>
      <c r="D80" s="12" t="s">
        <v>76</v>
      </c>
      <c r="E80" s="17">
        <v>4205564.67</v>
      </c>
      <c r="F80" s="17">
        <v>3602595.3113162983</v>
      </c>
      <c r="G80" s="17">
        <v>1477938.1600000001</v>
      </c>
      <c r="H80" s="17">
        <v>0</v>
      </c>
      <c r="I80" s="13">
        <f t="shared" si="1"/>
        <v>9286098.1413162984</v>
      </c>
    </row>
    <row r="81" spans="1:9" ht="15.75" x14ac:dyDescent="0.25">
      <c r="A81" s="8"/>
      <c r="B81" s="8"/>
      <c r="C81" s="9"/>
      <c r="D81" s="12" t="s">
        <v>77</v>
      </c>
      <c r="E81" s="17">
        <v>50267018.25999999</v>
      </c>
      <c r="F81" s="17">
        <v>21737540.802677114</v>
      </c>
      <c r="G81" s="17">
        <v>11973636.42</v>
      </c>
      <c r="H81" s="17">
        <v>0</v>
      </c>
      <c r="I81" s="13">
        <f t="shared" si="1"/>
        <v>83978195.482677102</v>
      </c>
    </row>
    <row r="82" spans="1:9" ht="15.75" x14ac:dyDescent="0.25">
      <c r="A82" s="8"/>
      <c r="B82" s="8"/>
      <c r="C82" s="9"/>
      <c r="D82" s="12" t="s">
        <v>78</v>
      </c>
      <c r="E82" s="17">
        <v>54244988.280000001</v>
      </c>
      <c r="F82" s="17">
        <v>15066559.920154428</v>
      </c>
      <c r="G82" s="17">
        <v>3960820.3699999992</v>
      </c>
      <c r="H82" s="17">
        <v>0</v>
      </c>
      <c r="I82" s="13">
        <f t="shared" si="1"/>
        <v>73272368.570154428</v>
      </c>
    </row>
    <row r="83" spans="1:9" ht="15.75" x14ac:dyDescent="0.25">
      <c r="A83" s="8"/>
      <c r="B83" s="8"/>
      <c r="C83" s="9"/>
      <c r="D83" s="12" t="s">
        <v>79</v>
      </c>
      <c r="E83" s="17">
        <v>6371079.6200000001</v>
      </c>
      <c r="F83" s="17">
        <v>6187667.5723871803</v>
      </c>
      <c r="G83" s="17">
        <v>11565008.25</v>
      </c>
      <c r="H83" s="17">
        <v>0</v>
      </c>
      <c r="I83" s="13">
        <f t="shared" si="1"/>
        <v>24123755.442387179</v>
      </c>
    </row>
    <row r="84" spans="1:9" ht="15.75" x14ac:dyDescent="0.25">
      <c r="A84" s="8"/>
      <c r="B84" s="8"/>
      <c r="C84" s="9"/>
      <c r="D84" s="12" t="s">
        <v>80</v>
      </c>
      <c r="E84" s="17">
        <v>0</v>
      </c>
      <c r="F84" s="17">
        <v>0</v>
      </c>
      <c r="G84" s="17">
        <v>99859899.24000001</v>
      </c>
      <c r="H84" s="17">
        <v>0</v>
      </c>
      <c r="I84" s="13">
        <f t="shared" si="1"/>
        <v>99859899.24000001</v>
      </c>
    </row>
    <row r="85" spans="1:9" ht="15.75" x14ac:dyDescent="0.25">
      <c r="A85" s="8"/>
      <c r="B85" s="8"/>
      <c r="C85" s="9"/>
      <c r="D85" s="12" t="s">
        <v>81</v>
      </c>
      <c r="E85" s="17">
        <v>13533279.02</v>
      </c>
      <c r="F85" s="17">
        <v>1925040.8683748227</v>
      </c>
      <c r="G85" s="17">
        <v>36627624.070000008</v>
      </c>
      <c r="H85" s="17">
        <v>0</v>
      </c>
      <c r="I85" s="13">
        <f t="shared" si="1"/>
        <v>52085943.958374828</v>
      </c>
    </row>
    <row r="86" spans="1:9" ht="15.75" x14ac:dyDescent="0.25">
      <c r="A86" s="8"/>
      <c r="B86" s="8"/>
      <c r="C86" s="9"/>
      <c r="D86" s="12" t="s">
        <v>82</v>
      </c>
      <c r="E86" s="17">
        <v>14540520.9</v>
      </c>
      <c r="F86" s="17">
        <v>7994896.3857216313</v>
      </c>
      <c r="G86" s="17">
        <v>5183022.5600000005</v>
      </c>
      <c r="H86" s="17">
        <v>0</v>
      </c>
      <c r="I86" s="13">
        <f t="shared" si="1"/>
        <v>27718439.845721632</v>
      </c>
    </row>
    <row r="87" spans="1:9" ht="15.75" x14ac:dyDescent="0.25">
      <c r="A87" s="8"/>
      <c r="B87" s="8"/>
      <c r="C87" s="9"/>
      <c r="D87" s="12" t="s">
        <v>83</v>
      </c>
      <c r="E87" s="17">
        <v>3451027.0599999996</v>
      </c>
      <c r="F87" s="17">
        <v>10528970.829507396</v>
      </c>
      <c r="G87" s="17">
        <v>2494760.16</v>
      </c>
      <c r="H87" s="17">
        <v>0</v>
      </c>
      <c r="I87" s="13">
        <f t="shared" si="1"/>
        <v>16474758.049507394</v>
      </c>
    </row>
    <row r="88" spans="1:9" ht="15.75" x14ac:dyDescent="0.25">
      <c r="A88" s="8"/>
      <c r="B88" s="8"/>
      <c r="C88" s="9"/>
      <c r="D88" s="12" t="s">
        <v>84</v>
      </c>
      <c r="E88" s="17">
        <v>2451868.5300000003</v>
      </c>
      <c r="F88" s="17">
        <v>0</v>
      </c>
      <c r="G88" s="17">
        <v>82965901.269999996</v>
      </c>
      <c r="H88" s="17">
        <v>0</v>
      </c>
      <c r="I88" s="13">
        <f t="shared" si="1"/>
        <v>85417769.799999997</v>
      </c>
    </row>
    <row r="89" spans="1:9" ht="15.75" x14ac:dyDescent="0.25">
      <c r="A89" s="8"/>
      <c r="B89" s="8"/>
      <c r="C89" s="9"/>
      <c r="D89" s="12" t="s">
        <v>85</v>
      </c>
      <c r="E89" s="17">
        <v>8195007.1799999988</v>
      </c>
      <c r="F89" s="17">
        <v>10324675.398434807</v>
      </c>
      <c r="G89" s="17">
        <v>5360003.9000000004</v>
      </c>
      <c r="H89" s="17">
        <v>0</v>
      </c>
      <c r="I89" s="13">
        <f t="shared" si="1"/>
        <v>23879686.478434809</v>
      </c>
    </row>
    <row r="90" spans="1:9" ht="15.75" x14ac:dyDescent="0.25">
      <c r="A90" s="8"/>
      <c r="B90" s="8"/>
      <c r="C90" s="9"/>
      <c r="D90" s="12" t="s">
        <v>86</v>
      </c>
      <c r="E90" s="17">
        <v>1128539.2599999998</v>
      </c>
      <c r="F90" s="17">
        <v>2671555.6371031003</v>
      </c>
      <c r="G90" s="17">
        <v>6638573.1700000009</v>
      </c>
      <c r="H90" s="17">
        <v>0</v>
      </c>
      <c r="I90" s="13">
        <f t="shared" si="1"/>
        <v>10438668.067103101</v>
      </c>
    </row>
    <row r="91" spans="1:9" ht="15.75" x14ac:dyDescent="0.25">
      <c r="A91" s="8"/>
      <c r="B91" s="8"/>
      <c r="C91" s="9"/>
      <c r="D91" s="12" t="s">
        <v>87</v>
      </c>
      <c r="E91" s="17">
        <v>7385391.620000001</v>
      </c>
      <c r="F91" s="17">
        <v>6093377.3734306004</v>
      </c>
      <c r="G91" s="17">
        <v>15973411.91</v>
      </c>
      <c r="H91" s="17">
        <v>0</v>
      </c>
      <c r="I91" s="13">
        <f t="shared" si="1"/>
        <v>29452180.903430603</v>
      </c>
    </row>
    <row r="92" spans="1:9" ht="15.75" x14ac:dyDescent="0.25">
      <c r="A92" s="8"/>
      <c r="B92" s="8"/>
      <c r="C92" s="9"/>
      <c r="D92" s="12" t="s">
        <v>88</v>
      </c>
      <c r="E92" s="17">
        <v>589751.39</v>
      </c>
      <c r="F92" s="17">
        <v>840703.58037415217</v>
      </c>
      <c r="G92" s="17">
        <v>44159098.5</v>
      </c>
      <c r="H92" s="17">
        <v>0</v>
      </c>
      <c r="I92" s="13">
        <f t="shared" si="1"/>
        <v>45589553.470374152</v>
      </c>
    </row>
    <row r="93" spans="1:9" ht="15.75" x14ac:dyDescent="0.25">
      <c r="A93" s="8"/>
      <c r="B93" s="8"/>
      <c r="C93" s="9"/>
      <c r="D93" s="12" t="s">
        <v>89</v>
      </c>
      <c r="E93" s="17">
        <v>19033284.829999998</v>
      </c>
      <c r="F93" s="17">
        <v>6812416.180957553</v>
      </c>
      <c r="G93" s="17">
        <v>5897601.6699999999</v>
      </c>
      <c r="H93" s="17">
        <v>0</v>
      </c>
      <c r="I93" s="13">
        <f t="shared" si="1"/>
        <v>31743302.680957548</v>
      </c>
    </row>
    <row r="94" spans="1:9" ht="15.75" x14ac:dyDescent="0.25">
      <c r="A94" s="8"/>
      <c r="B94" s="8"/>
      <c r="C94" s="9"/>
      <c r="D94" s="12" t="s">
        <v>90</v>
      </c>
      <c r="E94" s="17">
        <v>51772.89</v>
      </c>
      <c r="F94" s="17">
        <v>0</v>
      </c>
      <c r="G94" s="17">
        <v>1053670.3899999999</v>
      </c>
      <c r="H94" s="17">
        <v>0</v>
      </c>
      <c r="I94" s="13">
        <f t="shared" si="1"/>
        <v>1105443.2799999998</v>
      </c>
    </row>
    <row r="95" spans="1:9" ht="15.75" x14ac:dyDescent="0.25">
      <c r="A95" s="8"/>
      <c r="B95" s="8"/>
      <c r="C95" s="9"/>
      <c r="D95" s="12" t="s">
        <v>91</v>
      </c>
      <c r="E95" s="17">
        <v>967750.58000000007</v>
      </c>
      <c r="F95" s="17">
        <v>216056.35911448605</v>
      </c>
      <c r="G95" s="17">
        <v>52075336.280000009</v>
      </c>
      <c r="H95" s="17">
        <v>0</v>
      </c>
      <c r="I95" s="13">
        <f t="shared" si="1"/>
        <v>53259143.219114497</v>
      </c>
    </row>
    <row r="96" spans="1:9" ht="15.75" x14ac:dyDescent="0.25">
      <c r="A96" s="8"/>
      <c r="B96" s="8"/>
      <c r="C96" s="9"/>
      <c r="D96" s="12" t="s">
        <v>92</v>
      </c>
      <c r="E96" s="17">
        <v>0</v>
      </c>
      <c r="F96" s="17">
        <v>0</v>
      </c>
      <c r="G96" s="17">
        <v>77420832.010000005</v>
      </c>
      <c r="H96" s="17">
        <v>0</v>
      </c>
      <c r="I96" s="13">
        <f t="shared" si="1"/>
        <v>77420832.010000005</v>
      </c>
    </row>
    <row r="97" spans="1:9" ht="15.75" x14ac:dyDescent="0.25">
      <c r="A97" s="8"/>
      <c r="B97" s="8"/>
      <c r="C97" s="9"/>
      <c r="D97" s="12" t="s">
        <v>93</v>
      </c>
      <c r="E97" s="17">
        <v>3858264.89</v>
      </c>
      <c r="F97" s="17">
        <v>9703880.8949819673</v>
      </c>
      <c r="G97" s="17">
        <v>4349801.8899999997</v>
      </c>
      <c r="H97" s="17">
        <v>0</v>
      </c>
      <c r="I97" s="13">
        <f t="shared" si="1"/>
        <v>17911947.674981967</v>
      </c>
    </row>
    <row r="98" spans="1:9" ht="15.75" x14ac:dyDescent="0.25">
      <c r="A98" s="8"/>
      <c r="B98" s="8"/>
      <c r="C98" s="9"/>
      <c r="D98" s="12" t="s">
        <v>94</v>
      </c>
      <c r="E98" s="17">
        <v>25150396.150000006</v>
      </c>
      <c r="F98" s="17">
        <v>12764358.255953282</v>
      </c>
      <c r="G98" s="17">
        <v>29101377.800000004</v>
      </c>
      <c r="H98" s="17">
        <v>0</v>
      </c>
      <c r="I98" s="13">
        <f t="shared" si="1"/>
        <v>67016132.205953293</v>
      </c>
    </row>
    <row r="99" spans="1:9" ht="15.75" x14ac:dyDescent="0.25">
      <c r="A99" s="8"/>
      <c r="B99" s="8"/>
      <c r="C99" s="9"/>
      <c r="D99" s="12" t="s">
        <v>95</v>
      </c>
      <c r="E99" s="17">
        <v>50209025.920000002</v>
      </c>
      <c r="F99" s="17">
        <v>24322613.063747991</v>
      </c>
      <c r="G99" s="17">
        <v>13881611</v>
      </c>
      <c r="H99" s="17">
        <v>0</v>
      </c>
      <c r="I99" s="13">
        <f t="shared" si="1"/>
        <v>88413249.983747989</v>
      </c>
    </row>
    <row r="100" spans="1:9" ht="15.75" x14ac:dyDescent="0.25">
      <c r="A100" s="8"/>
      <c r="B100" s="8"/>
      <c r="C100" s="9"/>
      <c r="D100" s="12" t="s">
        <v>96</v>
      </c>
      <c r="E100" s="17">
        <v>22707931.129999999</v>
      </c>
      <c r="F100" s="17">
        <v>24334373.991789889</v>
      </c>
      <c r="G100" s="17">
        <v>26331755.170000002</v>
      </c>
      <c r="H100" s="17">
        <v>0</v>
      </c>
      <c r="I100" s="13">
        <f t="shared" si="1"/>
        <v>73374060.291789889</v>
      </c>
    </row>
    <row r="101" spans="1:9" ht="15.75" x14ac:dyDescent="0.25">
      <c r="A101" s="8"/>
      <c r="B101" s="8"/>
      <c r="C101" s="9"/>
      <c r="D101" s="12" t="s">
        <v>97</v>
      </c>
      <c r="E101" s="17">
        <v>1785559.47</v>
      </c>
      <c r="F101" s="17">
        <v>32656143.067227665</v>
      </c>
      <c r="G101" s="17">
        <v>358858.1</v>
      </c>
      <c r="H101" s="17">
        <v>0</v>
      </c>
      <c r="I101" s="13">
        <f t="shared" si="1"/>
        <v>34800560.637227669</v>
      </c>
    </row>
    <row r="102" spans="1:9" ht="15.75" x14ac:dyDescent="0.25">
      <c r="A102" s="8"/>
      <c r="B102" s="8"/>
      <c r="C102" s="9"/>
      <c r="D102" s="12" t="s">
        <v>98</v>
      </c>
      <c r="E102" s="17">
        <v>54103791.799999997</v>
      </c>
      <c r="F102" s="17">
        <v>14041230.04698465</v>
      </c>
      <c r="G102" s="17">
        <v>14813279.109999999</v>
      </c>
      <c r="H102" s="17">
        <v>0</v>
      </c>
      <c r="I102" s="13">
        <f t="shared" si="1"/>
        <v>82958300.956984654</v>
      </c>
    </row>
    <row r="103" spans="1:9" ht="15.75" x14ac:dyDescent="0.25">
      <c r="A103" s="8"/>
      <c r="B103" s="8"/>
      <c r="C103" s="9"/>
      <c r="D103" s="12" t="s">
        <v>99</v>
      </c>
      <c r="E103" s="17">
        <v>2980630.5300000003</v>
      </c>
      <c r="F103" s="17">
        <v>4459115.3121605869</v>
      </c>
      <c r="G103" s="17">
        <v>1957215.5700000003</v>
      </c>
      <c r="H103" s="17">
        <v>0</v>
      </c>
      <c r="I103" s="13">
        <f t="shared" si="1"/>
        <v>9396961.4121605866</v>
      </c>
    </row>
    <row r="104" spans="1:9" ht="15.75" x14ac:dyDescent="0.25">
      <c r="A104" s="8"/>
      <c r="B104" s="8"/>
      <c r="C104" s="9"/>
      <c r="D104" s="12" t="s">
        <v>100</v>
      </c>
      <c r="E104" s="17">
        <v>45487677.930000007</v>
      </c>
      <c r="F104" s="17">
        <v>8148092.6121983984</v>
      </c>
      <c r="G104" s="17">
        <v>30948784.390000004</v>
      </c>
      <c r="H104" s="17">
        <v>0</v>
      </c>
      <c r="I104" s="13">
        <f t="shared" si="1"/>
        <v>84584554.932198405</v>
      </c>
    </row>
    <row r="105" spans="1:9" ht="15.75" x14ac:dyDescent="0.25">
      <c r="A105" s="8"/>
      <c r="B105" s="8"/>
      <c r="C105" s="9"/>
      <c r="D105" s="12" t="s">
        <v>101</v>
      </c>
      <c r="E105" s="17">
        <v>8302661.3699999992</v>
      </c>
      <c r="F105" s="17">
        <v>12100372.758139692</v>
      </c>
      <c r="G105" s="17">
        <v>524504.37</v>
      </c>
      <c r="H105" s="17">
        <v>0</v>
      </c>
      <c r="I105" s="13">
        <f t="shared" si="1"/>
        <v>20927538.498139691</v>
      </c>
    </row>
    <row r="106" spans="1:9" ht="15.75" x14ac:dyDescent="0.25">
      <c r="A106" s="8"/>
      <c r="B106" s="8"/>
      <c r="C106" s="9"/>
      <c r="D106" s="12" t="s">
        <v>102</v>
      </c>
      <c r="E106" s="17">
        <v>6679573.7199999997</v>
      </c>
      <c r="F106" s="17">
        <v>746413.38141757227</v>
      </c>
      <c r="G106" s="17">
        <v>58234619.730000004</v>
      </c>
      <c r="H106" s="17">
        <v>0</v>
      </c>
      <c r="I106" s="13">
        <f t="shared" si="1"/>
        <v>65660606.831417575</v>
      </c>
    </row>
    <row r="107" spans="1:9" ht="15.75" x14ac:dyDescent="0.25">
      <c r="A107" s="8"/>
      <c r="B107" s="8"/>
      <c r="C107" s="9"/>
      <c r="D107" s="12" t="s">
        <v>103</v>
      </c>
      <c r="E107" s="17">
        <v>2958506.7700000005</v>
      </c>
      <c r="F107" s="17">
        <v>0</v>
      </c>
      <c r="G107" s="17">
        <v>16529162.9</v>
      </c>
      <c r="H107" s="17">
        <v>0</v>
      </c>
      <c r="I107" s="13">
        <f t="shared" si="1"/>
        <v>19487669.670000002</v>
      </c>
    </row>
    <row r="108" spans="1:9" ht="15.75" x14ac:dyDescent="0.25">
      <c r="A108" s="8"/>
      <c r="B108" s="8"/>
      <c r="C108" s="9"/>
      <c r="D108" s="12" t="s">
        <v>104</v>
      </c>
      <c r="E108" s="17">
        <v>1503956.2200000002</v>
      </c>
      <c r="F108" s="17">
        <v>0</v>
      </c>
      <c r="G108" s="17">
        <v>11063167.400000002</v>
      </c>
      <c r="H108" s="17">
        <v>0</v>
      </c>
      <c r="I108" s="13">
        <f t="shared" si="1"/>
        <v>12567123.620000003</v>
      </c>
    </row>
    <row r="109" spans="1:9" ht="15.75" x14ac:dyDescent="0.25">
      <c r="A109" s="8"/>
      <c r="B109" s="8"/>
      <c r="C109" s="9"/>
      <c r="D109" s="12" t="s">
        <v>105</v>
      </c>
      <c r="E109" s="17">
        <v>3870195.54</v>
      </c>
      <c r="F109" s="17">
        <v>19462815.099677294</v>
      </c>
      <c r="G109" s="17">
        <v>1805058</v>
      </c>
      <c r="H109" s="17">
        <v>0</v>
      </c>
      <c r="I109" s="13">
        <f t="shared" si="1"/>
        <v>25138068.639677294</v>
      </c>
    </row>
    <row r="110" spans="1:9" ht="15.75" x14ac:dyDescent="0.25">
      <c r="A110" s="8"/>
      <c r="B110" s="8"/>
      <c r="C110" s="9"/>
      <c r="D110" s="12" t="s">
        <v>106</v>
      </c>
      <c r="E110" s="17">
        <v>2705656.43</v>
      </c>
      <c r="F110" s="17">
        <v>4514067.2345632389</v>
      </c>
      <c r="G110" s="17">
        <v>2965161.53</v>
      </c>
      <c r="H110" s="17">
        <v>0</v>
      </c>
      <c r="I110" s="13">
        <f t="shared" si="1"/>
        <v>10184885.194563238</v>
      </c>
    </row>
    <row r="111" spans="1:9" ht="15.75" x14ac:dyDescent="0.25">
      <c r="A111" s="8"/>
      <c r="B111" s="8"/>
      <c r="C111" s="9"/>
      <c r="D111" s="12" t="s">
        <v>107</v>
      </c>
      <c r="E111" s="17">
        <v>47374.789999999994</v>
      </c>
      <c r="F111" s="17">
        <v>74621.060679616014</v>
      </c>
      <c r="G111" s="17">
        <v>160350976.34999999</v>
      </c>
      <c r="H111" s="17">
        <v>0</v>
      </c>
      <c r="I111" s="13">
        <f t="shared" si="1"/>
        <v>160472972.2006796</v>
      </c>
    </row>
    <row r="112" spans="1:9" ht="15.75" x14ac:dyDescent="0.25">
      <c r="A112" s="8"/>
      <c r="B112" s="8"/>
      <c r="C112" s="9"/>
      <c r="D112" s="12" t="s">
        <v>108</v>
      </c>
      <c r="E112" s="17">
        <v>10620090.229999999</v>
      </c>
      <c r="F112" s="17">
        <v>5107284.3895040443</v>
      </c>
      <c r="G112" s="17">
        <v>11042054.24</v>
      </c>
      <c r="H112" s="17">
        <v>0</v>
      </c>
      <c r="I112" s="13">
        <f t="shared" si="1"/>
        <v>26769428.859504044</v>
      </c>
    </row>
    <row r="113" spans="1:9" ht="15.75" x14ac:dyDescent="0.25">
      <c r="A113" s="8"/>
      <c r="B113" s="8"/>
      <c r="C113" s="9"/>
      <c r="D113" s="12" t="s">
        <v>109</v>
      </c>
      <c r="E113" s="17">
        <v>5299970.6100000003</v>
      </c>
      <c r="F113" s="17">
        <v>12296861.366287917</v>
      </c>
      <c r="G113" s="17">
        <v>6237703.0999999996</v>
      </c>
      <c r="H113" s="17">
        <v>0</v>
      </c>
      <c r="I113" s="13">
        <f t="shared" si="1"/>
        <v>23834535.076287918</v>
      </c>
    </row>
    <row r="114" spans="1:9" ht="15.75" x14ac:dyDescent="0.25">
      <c r="A114" s="8"/>
      <c r="B114" s="8"/>
      <c r="C114" s="9"/>
      <c r="D114" s="12" t="s">
        <v>110</v>
      </c>
      <c r="E114" s="17">
        <v>13356781.32</v>
      </c>
      <c r="F114" s="17">
        <v>14104090.179622369</v>
      </c>
      <c r="G114" s="17">
        <v>11116223.310000002</v>
      </c>
      <c r="H114" s="17">
        <v>0</v>
      </c>
      <c r="I114" s="13">
        <f t="shared" si="1"/>
        <v>38577094.80962237</v>
      </c>
    </row>
    <row r="115" spans="1:9" ht="15.75" x14ac:dyDescent="0.25">
      <c r="A115" s="8"/>
      <c r="B115" s="8"/>
      <c r="C115" s="9"/>
      <c r="D115" s="12" t="s">
        <v>111</v>
      </c>
      <c r="E115" s="17">
        <v>40729014.000000007</v>
      </c>
      <c r="F115" s="17">
        <v>6973419.2303586807</v>
      </c>
      <c r="G115" s="17">
        <v>10948421.98</v>
      </c>
      <c r="H115" s="17">
        <v>0</v>
      </c>
      <c r="I115" s="13">
        <f t="shared" si="1"/>
        <v>58650855.210358694</v>
      </c>
    </row>
    <row r="116" spans="1:9" ht="15.75" x14ac:dyDescent="0.25">
      <c r="A116" s="8"/>
      <c r="B116" s="8"/>
      <c r="C116" s="9"/>
      <c r="D116" s="12" t="s">
        <v>112</v>
      </c>
      <c r="E116" s="17">
        <v>12123318.740000002</v>
      </c>
      <c r="F116" s="17">
        <v>9055711.817638509</v>
      </c>
      <c r="G116" s="17">
        <v>956170.81</v>
      </c>
      <c r="H116" s="17">
        <v>0</v>
      </c>
      <c r="I116" s="13">
        <f t="shared" si="1"/>
        <v>22135201.36763851</v>
      </c>
    </row>
    <row r="117" spans="1:9" ht="15.75" x14ac:dyDescent="0.25">
      <c r="A117" s="8"/>
      <c r="B117" s="8"/>
      <c r="C117" s="9"/>
      <c r="D117" s="12" t="s">
        <v>113</v>
      </c>
      <c r="E117" s="17">
        <v>5513281.9700000007</v>
      </c>
      <c r="F117" s="17">
        <v>6993088.3686356461</v>
      </c>
      <c r="G117" s="17">
        <v>5917547.1199999992</v>
      </c>
      <c r="H117" s="17">
        <v>0</v>
      </c>
      <c r="I117" s="13">
        <f t="shared" si="1"/>
        <v>18423917.458635643</v>
      </c>
    </row>
    <row r="118" spans="1:9" ht="15.75" x14ac:dyDescent="0.25">
      <c r="A118" s="8"/>
      <c r="B118" s="8"/>
      <c r="C118" s="9"/>
      <c r="D118" s="12" t="s">
        <v>114</v>
      </c>
      <c r="E118" s="17">
        <v>6479183.7199999988</v>
      </c>
      <c r="F118" s="17">
        <v>10921846.658493146</v>
      </c>
      <c r="G118" s="17">
        <v>9955709.9100000001</v>
      </c>
      <c r="H118" s="17">
        <v>0</v>
      </c>
      <c r="I118" s="13">
        <f t="shared" si="1"/>
        <v>27356740.288493145</v>
      </c>
    </row>
    <row r="119" spans="1:9" ht="15.75" x14ac:dyDescent="0.25">
      <c r="A119" s="8"/>
      <c r="B119" s="8"/>
      <c r="C119" s="9"/>
      <c r="D119" s="12" t="s">
        <v>115</v>
      </c>
      <c r="E119" s="17">
        <v>4798896.2300000004</v>
      </c>
      <c r="F119" s="17">
        <v>1060714.0446061722</v>
      </c>
      <c r="G119" s="17">
        <v>2933924.87</v>
      </c>
      <c r="H119" s="17">
        <v>0</v>
      </c>
      <c r="I119" s="13">
        <f t="shared" si="1"/>
        <v>8793535.144606173</v>
      </c>
    </row>
    <row r="120" spans="1:9" ht="15.75" x14ac:dyDescent="0.25">
      <c r="A120" s="8"/>
      <c r="B120" s="8"/>
      <c r="C120" s="9"/>
      <c r="D120" s="12" t="s">
        <v>116</v>
      </c>
      <c r="E120" s="17">
        <v>36571864.889999993</v>
      </c>
      <c r="F120" s="17">
        <v>4635833.3947211448</v>
      </c>
      <c r="G120" s="17">
        <v>8689580.7600000016</v>
      </c>
      <c r="H120" s="17">
        <v>0</v>
      </c>
      <c r="I120" s="13">
        <f t="shared" si="1"/>
        <v>49897279.044721141</v>
      </c>
    </row>
    <row r="121" spans="1:9" ht="15.75" x14ac:dyDescent="0.25">
      <c r="A121" s="8"/>
      <c r="B121" s="8"/>
      <c r="C121" s="9"/>
      <c r="D121" s="12" t="s">
        <v>117</v>
      </c>
      <c r="E121" s="17">
        <v>10878452.470000003</v>
      </c>
      <c r="F121" s="17">
        <v>6879129.0314021008</v>
      </c>
      <c r="G121" s="17">
        <v>5765402.8699999992</v>
      </c>
      <c r="H121" s="17">
        <v>0</v>
      </c>
      <c r="I121" s="13">
        <f t="shared" si="1"/>
        <v>23522984.3714021</v>
      </c>
    </row>
    <row r="122" spans="1:9" ht="15.75" x14ac:dyDescent="0.25">
      <c r="A122" s="8"/>
      <c r="B122" s="8"/>
      <c r="C122" s="9"/>
      <c r="D122" s="12" t="s">
        <v>118</v>
      </c>
      <c r="E122" s="17">
        <v>24932171.639999997</v>
      </c>
      <c r="F122" s="17">
        <v>5072001.6053783577</v>
      </c>
      <c r="G122" s="17">
        <v>11239202.33</v>
      </c>
      <c r="H122" s="17">
        <v>0</v>
      </c>
      <c r="I122" s="13">
        <f t="shared" si="1"/>
        <v>41243375.575378351</v>
      </c>
    </row>
    <row r="123" spans="1:9" ht="15.75" x14ac:dyDescent="0.25">
      <c r="A123" s="8"/>
      <c r="B123" s="8"/>
      <c r="C123" s="9"/>
      <c r="D123" s="12" t="s">
        <v>119</v>
      </c>
      <c r="E123" s="17">
        <v>8388575.4299999997</v>
      </c>
      <c r="F123" s="17">
        <v>9318913.2762312852</v>
      </c>
      <c r="G123" s="17">
        <v>2381446.36</v>
      </c>
      <c r="H123" s="17">
        <v>0</v>
      </c>
      <c r="I123" s="13">
        <f t="shared" si="1"/>
        <v>20088935.066231284</v>
      </c>
    </row>
    <row r="124" spans="1:9" ht="15.75" x14ac:dyDescent="0.25">
      <c r="A124" s="8"/>
      <c r="B124" s="8"/>
      <c r="C124" s="9"/>
      <c r="D124" s="12" t="s">
        <v>120</v>
      </c>
      <c r="E124" s="17">
        <v>768097.7699999999</v>
      </c>
      <c r="F124" s="17">
        <v>0</v>
      </c>
      <c r="G124" s="17">
        <v>27265259.57</v>
      </c>
      <c r="H124" s="17">
        <v>30978758.199999996</v>
      </c>
      <c r="I124" s="13">
        <f t="shared" si="1"/>
        <v>59012115.539999992</v>
      </c>
    </row>
    <row r="125" spans="1:9" ht="15.75" x14ac:dyDescent="0.25">
      <c r="A125" s="8"/>
      <c r="B125" s="8"/>
      <c r="C125" s="9"/>
      <c r="D125" s="12" t="s">
        <v>121</v>
      </c>
      <c r="E125" s="17">
        <v>0</v>
      </c>
      <c r="F125" s="17">
        <v>0</v>
      </c>
      <c r="G125" s="17">
        <v>91561826.519999996</v>
      </c>
      <c r="H125" s="17">
        <v>3735560.1750000003</v>
      </c>
      <c r="I125" s="13">
        <f t="shared" si="1"/>
        <v>95297386.694999993</v>
      </c>
    </row>
    <row r="126" spans="1:9" ht="15.75" x14ac:dyDescent="0.25">
      <c r="A126" s="8"/>
      <c r="B126" s="8"/>
      <c r="C126" s="9"/>
      <c r="D126" s="12" t="s">
        <v>122</v>
      </c>
      <c r="E126" s="17">
        <v>742.36</v>
      </c>
      <c r="F126" s="17">
        <v>0</v>
      </c>
      <c r="G126" s="17">
        <v>48968531.009999998</v>
      </c>
      <c r="H126" s="17">
        <v>0</v>
      </c>
      <c r="I126" s="13">
        <f t="shared" si="1"/>
        <v>48969273.369999997</v>
      </c>
    </row>
    <row r="127" spans="1:9" ht="15.75" x14ac:dyDescent="0.25">
      <c r="A127" s="8"/>
      <c r="B127" s="8"/>
      <c r="C127" s="9"/>
      <c r="D127" s="12" t="s">
        <v>123</v>
      </c>
      <c r="E127" s="17">
        <v>5373299.9499999993</v>
      </c>
      <c r="F127" s="17">
        <v>1964379.1449287506</v>
      </c>
      <c r="G127" s="17">
        <v>42820939.300000004</v>
      </c>
      <c r="H127" s="17">
        <v>0</v>
      </c>
      <c r="I127" s="13">
        <f t="shared" si="1"/>
        <v>50158618.394928753</v>
      </c>
    </row>
    <row r="128" spans="1:9" ht="15.75" x14ac:dyDescent="0.25">
      <c r="A128" s="8"/>
      <c r="B128" s="8"/>
      <c r="C128" s="9"/>
      <c r="D128" s="12" t="s">
        <v>124</v>
      </c>
      <c r="E128" s="17">
        <v>13770428.359999999</v>
      </c>
      <c r="F128" s="17">
        <v>6128761.544866994</v>
      </c>
      <c r="G128" s="17">
        <v>13367003.939999999</v>
      </c>
      <c r="H128" s="17">
        <v>0</v>
      </c>
      <c r="I128" s="13">
        <f t="shared" si="1"/>
        <v>33266193.844866991</v>
      </c>
    </row>
    <row r="129" spans="1:9" ht="15.75" x14ac:dyDescent="0.25">
      <c r="A129" s="8"/>
      <c r="B129" s="8"/>
      <c r="C129" s="9"/>
      <c r="D129" s="12" t="s">
        <v>125</v>
      </c>
      <c r="E129" s="17">
        <v>4356229.1100000003</v>
      </c>
      <c r="F129" s="17">
        <v>2966187.1620147368</v>
      </c>
      <c r="G129" s="17">
        <v>12153329.77</v>
      </c>
      <c r="H129" s="17">
        <v>0</v>
      </c>
      <c r="I129" s="13">
        <f t="shared" si="1"/>
        <v>19475746.042014737</v>
      </c>
    </row>
    <row r="130" spans="1:9" ht="15.75" x14ac:dyDescent="0.25">
      <c r="A130" s="8"/>
      <c r="B130" s="8"/>
      <c r="C130" s="9"/>
      <c r="D130" s="12" t="s">
        <v>126</v>
      </c>
      <c r="E130" s="17">
        <v>1189502.95</v>
      </c>
      <c r="F130" s="17">
        <v>5225197.8318551229</v>
      </c>
      <c r="G130" s="17">
        <v>2198718.84</v>
      </c>
      <c r="H130" s="17">
        <v>0</v>
      </c>
      <c r="I130" s="13">
        <f t="shared" si="1"/>
        <v>8613419.621855123</v>
      </c>
    </row>
    <row r="131" spans="1:9" ht="15.75" x14ac:dyDescent="0.25">
      <c r="A131" s="8"/>
      <c r="B131" s="8"/>
      <c r="C131" s="9"/>
      <c r="D131" s="12" t="s">
        <v>127</v>
      </c>
      <c r="E131" s="17">
        <v>50739709.25</v>
      </c>
      <c r="F131" s="17">
        <v>28557763.806559026</v>
      </c>
      <c r="G131" s="17">
        <v>67249798.590000004</v>
      </c>
      <c r="H131" s="17">
        <v>0</v>
      </c>
      <c r="I131" s="13">
        <f t="shared" si="1"/>
        <v>146547271.64655903</v>
      </c>
    </row>
    <row r="132" spans="1:9" ht="15.75" x14ac:dyDescent="0.25">
      <c r="A132" s="8"/>
      <c r="B132" s="8"/>
      <c r="C132" s="9"/>
      <c r="D132" s="12" t="s">
        <v>128</v>
      </c>
      <c r="E132" s="17">
        <v>11146520.599999998</v>
      </c>
      <c r="F132" s="17">
        <v>17522059.198143043</v>
      </c>
      <c r="G132" s="17">
        <v>417372.99999999994</v>
      </c>
      <c r="H132" s="17">
        <v>0</v>
      </c>
      <c r="I132" s="13">
        <f t="shared" si="1"/>
        <v>29085952.79814304</v>
      </c>
    </row>
    <row r="133" spans="1:9" ht="15.75" x14ac:dyDescent="0.25">
      <c r="A133" s="8"/>
      <c r="B133" s="8"/>
      <c r="C133" s="9"/>
      <c r="D133" s="12" t="s">
        <v>129</v>
      </c>
      <c r="E133" s="17">
        <v>705236.01</v>
      </c>
      <c r="F133" s="17">
        <v>0</v>
      </c>
      <c r="G133" s="17">
        <v>115264699.61</v>
      </c>
      <c r="H133" s="17">
        <v>14908379.304999998</v>
      </c>
      <c r="I133" s="13">
        <f t="shared" si="1"/>
        <v>130878314.925</v>
      </c>
    </row>
    <row r="134" spans="1:9" ht="15.75" x14ac:dyDescent="0.25">
      <c r="A134" s="8"/>
      <c r="B134" s="8"/>
      <c r="C134" s="9"/>
      <c r="D134" s="12" t="s">
        <v>130</v>
      </c>
      <c r="E134" s="17">
        <v>399000.95999999996</v>
      </c>
      <c r="F134" s="17">
        <v>864326.82376865018</v>
      </c>
      <c r="G134" s="17">
        <v>33036.21</v>
      </c>
      <c r="H134" s="17">
        <v>0</v>
      </c>
      <c r="I134" s="13">
        <f t="shared" si="1"/>
        <v>1296363.9937686501</v>
      </c>
    </row>
    <row r="135" spans="1:9" ht="15.75" x14ac:dyDescent="0.25">
      <c r="A135" s="8"/>
      <c r="B135" s="8"/>
      <c r="C135" s="9"/>
      <c r="D135" s="12" t="s">
        <v>131</v>
      </c>
      <c r="E135" s="17">
        <v>6922331.4300000006</v>
      </c>
      <c r="F135" s="17">
        <v>10921846.658493146</v>
      </c>
      <c r="G135" s="17">
        <v>1510168.0700000003</v>
      </c>
      <c r="H135" s="17">
        <v>0</v>
      </c>
      <c r="I135" s="13">
        <f t="shared" si="1"/>
        <v>19354346.158493146</v>
      </c>
    </row>
    <row r="136" spans="1:9" ht="15.75" x14ac:dyDescent="0.25">
      <c r="A136" s="8"/>
      <c r="B136" s="8"/>
      <c r="C136" s="9"/>
      <c r="D136" s="12" t="s">
        <v>132</v>
      </c>
      <c r="E136" s="17">
        <v>44810081.700000003</v>
      </c>
      <c r="F136" s="17">
        <v>13200425.079299789</v>
      </c>
      <c r="G136" s="17">
        <v>22326386.120000001</v>
      </c>
      <c r="H136" s="17">
        <v>0</v>
      </c>
      <c r="I136" s="13">
        <f t="shared" si="1"/>
        <v>80336892.8992998</v>
      </c>
    </row>
    <row r="137" spans="1:9" ht="15.75" x14ac:dyDescent="0.25">
      <c r="A137" s="8"/>
      <c r="B137" s="8"/>
      <c r="C137" s="9"/>
      <c r="D137" s="12" t="s">
        <v>133</v>
      </c>
      <c r="E137" s="17">
        <v>17404390.830000002</v>
      </c>
      <c r="F137" s="17">
        <v>20755300.536557384</v>
      </c>
      <c r="G137" s="17">
        <v>26221399.710000001</v>
      </c>
      <c r="H137" s="17">
        <v>0</v>
      </c>
      <c r="I137" s="13">
        <f t="shared" si="1"/>
        <v>64381091.07655739</v>
      </c>
    </row>
    <row r="138" spans="1:9" ht="15.75" x14ac:dyDescent="0.25">
      <c r="A138" s="8"/>
      <c r="B138" s="8"/>
      <c r="C138" s="9"/>
      <c r="D138" s="12" t="s">
        <v>134</v>
      </c>
      <c r="E138" s="17">
        <v>0</v>
      </c>
      <c r="F138" s="17">
        <v>0</v>
      </c>
      <c r="G138" s="17">
        <v>52550843.060000002</v>
      </c>
      <c r="H138" s="17">
        <v>0</v>
      </c>
      <c r="I138" s="13">
        <f t="shared" ref="I138:I144" si="2">SUM(E138:H138)</f>
        <v>52550843.060000002</v>
      </c>
    </row>
    <row r="139" spans="1:9" ht="15.75" x14ac:dyDescent="0.25">
      <c r="A139" s="8"/>
      <c r="B139" s="8"/>
      <c r="C139" s="9"/>
      <c r="D139" s="12" t="s">
        <v>135</v>
      </c>
      <c r="E139" s="17">
        <v>3854862.48</v>
      </c>
      <c r="F139" s="17">
        <v>3107622.4604496066</v>
      </c>
      <c r="G139" s="17">
        <v>2717811.52</v>
      </c>
      <c r="H139" s="17">
        <v>0</v>
      </c>
      <c r="I139" s="13">
        <f t="shared" si="2"/>
        <v>9680296.4604496062</v>
      </c>
    </row>
    <row r="140" spans="1:9" ht="15.75" x14ac:dyDescent="0.25">
      <c r="A140" s="8"/>
      <c r="B140" s="8"/>
      <c r="C140" s="9"/>
      <c r="D140" s="12" t="s">
        <v>136</v>
      </c>
      <c r="E140" s="17">
        <v>34240476.710000001</v>
      </c>
      <c r="F140" s="17">
        <v>22040080.537823815</v>
      </c>
      <c r="G140" s="17">
        <v>13575358.5</v>
      </c>
      <c r="H140" s="17">
        <v>0</v>
      </c>
      <c r="I140" s="13">
        <f t="shared" si="2"/>
        <v>69855915.74782382</v>
      </c>
    </row>
    <row r="141" spans="1:9" ht="15.75" x14ac:dyDescent="0.25">
      <c r="A141" s="8"/>
      <c r="B141" s="8"/>
      <c r="C141" s="9"/>
      <c r="D141" s="12" t="s">
        <v>137</v>
      </c>
      <c r="E141" s="17">
        <v>0</v>
      </c>
      <c r="F141" s="17">
        <v>0</v>
      </c>
      <c r="G141" s="17">
        <v>75428630.819999993</v>
      </c>
      <c r="H141" s="17">
        <v>1049536.665</v>
      </c>
      <c r="I141" s="13">
        <f t="shared" si="2"/>
        <v>76478167.484999999</v>
      </c>
    </row>
    <row r="142" spans="1:9" ht="15.75" x14ac:dyDescent="0.25">
      <c r="A142" s="8"/>
      <c r="B142" s="8"/>
      <c r="C142" s="9"/>
      <c r="D142" s="12" t="s">
        <v>138</v>
      </c>
      <c r="E142" s="17">
        <v>12333.97</v>
      </c>
      <c r="F142" s="17">
        <v>0</v>
      </c>
      <c r="G142" s="17">
        <v>13952730.020000001</v>
      </c>
      <c r="H142" s="17">
        <v>0</v>
      </c>
      <c r="I142" s="13">
        <f t="shared" si="2"/>
        <v>13965063.990000002</v>
      </c>
    </row>
    <row r="143" spans="1:9" ht="15.75" x14ac:dyDescent="0.25">
      <c r="A143" s="8"/>
      <c r="B143" s="8"/>
      <c r="C143" s="9"/>
      <c r="D143" s="12" t="s">
        <v>139</v>
      </c>
      <c r="E143" s="17">
        <v>1195755.25</v>
      </c>
      <c r="F143" s="17">
        <v>20370332.9178067</v>
      </c>
      <c r="G143" s="17">
        <v>1272899.17</v>
      </c>
      <c r="H143" s="17">
        <v>0</v>
      </c>
      <c r="I143" s="13">
        <f t="shared" si="2"/>
        <v>22838987.337806702</v>
      </c>
    </row>
    <row r="144" spans="1:9" ht="15.75" x14ac:dyDescent="0.25">
      <c r="A144" s="8"/>
      <c r="B144" s="8"/>
      <c r="C144" s="9"/>
      <c r="D144" s="12" t="s">
        <v>140</v>
      </c>
      <c r="E144" s="17">
        <v>12622539.139999999</v>
      </c>
      <c r="F144" s="17">
        <v>2475067.0289548724</v>
      </c>
      <c r="G144" s="17">
        <v>19868627.68</v>
      </c>
      <c r="H144" s="17">
        <v>0</v>
      </c>
      <c r="I144" s="13">
        <f t="shared" si="2"/>
        <v>34966233.848954871</v>
      </c>
    </row>
    <row r="145" spans="3:10" s="2" customFormat="1" ht="24.75" customHeight="1" x14ac:dyDescent="0.2">
      <c r="C145" s="10"/>
      <c r="D145" s="21" t="s">
        <v>141</v>
      </c>
      <c r="E145" s="22">
        <f>SUM(E10:E144)</f>
        <v>1692311580.0300002</v>
      </c>
      <c r="F145" s="22">
        <f>SUM(F10:F144)</f>
        <v>1013826063.3478332</v>
      </c>
      <c r="G145" s="22">
        <f>SUM(G10:G144)</f>
        <v>3338144160.7700019</v>
      </c>
      <c r="H145" s="22">
        <f>SUM(H10:H144)</f>
        <v>50672234.344999991</v>
      </c>
      <c r="I145" s="22">
        <f>SUM(I10:I144)</f>
        <v>6094954038.4928312</v>
      </c>
      <c r="J145" s="11"/>
    </row>
  </sheetData>
  <customSheetViews>
    <customSheetView guid="{F1F511AB-5865-40AB-8DB4-DDEDE7CBB603}" scale="80" showGridLines="0" fitToPage="1">
      <pane xSplit="4" ySplit="9" topLeftCell="E133" activePane="bottomRight" state="frozen"/>
      <selection pane="bottomRight" activeCell="G29" sqref="G29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D10" sqref="D10"/>
      <pageMargins left="0" right="0" top="0.19685039370078741" bottom="0.39370078740157483" header="0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>
      <selection activeCell="D7" sqref="D7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83203125" style="2" customWidth="1"/>
    <col min="10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/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146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3294127.5300000003</v>
      </c>
      <c r="F10" s="14">
        <v>16350321.352019642</v>
      </c>
      <c r="G10" s="14">
        <v>6598638.9000000004</v>
      </c>
      <c r="H10" s="14">
        <v>0</v>
      </c>
      <c r="I10" s="13">
        <f t="shared" ref="I10:I73" si="0">SUM(E10:H10)</f>
        <v>26243087.782019645</v>
      </c>
    </row>
    <row r="11" spans="1:9" ht="15.75" x14ac:dyDescent="0.25">
      <c r="A11" s="8"/>
      <c r="B11" s="8"/>
      <c r="C11" s="9"/>
      <c r="D11" s="12" t="s">
        <v>7</v>
      </c>
      <c r="E11" s="14">
        <v>7432761.5600000015</v>
      </c>
      <c r="F11" s="14">
        <v>9177034.3755555507</v>
      </c>
      <c r="G11" s="14">
        <v>5457682.04</v>
      </c>
      <c r="H11" s="14">
        <v>0</v>
      </c>
      <c r="I11" s="13">
        <f t="shared" si="0"/>
        <v>22067477.97555555</v>
      </c>
    </row>
    <row r="12" spans="1:9" ht="15.75" x14ac:dyDescent="0.25">
      <c r="A12" s="8"/>
      <c r="B12" s="8"/>
      <c r="C12" s="9"/>
      <c r="D12" s="12" t="s">
        <v>8</v>
      </c>
      <c r="E12" s="14">
        <v>5910182.3800000008</v>
      </c>
      <c r="F12" s="14">
        <v>3326985.3848810475</v>
      </c>
      <c r="G12" s="14">
        <v>3143184.4000000004</v>
      </c>
      <c r="H12" s="14">
        <v>0</v>
      </c>
      <c r="I12" s="13">
        <f t="shared" si="0"/>
        <v>12380352.164881049</v>
      </c>
    </row>
    <row r="13" spans="1:9" ht="15.75" x14ac:dyDescent="0.25">
      <c r="A13" s="8"/>
      <c r="B13" s="8"/>
      <c r="C13" s="9"/>
      <c r="D13" s="12" t="s">
        <v>9</v>
      </c>
      <c r="E13" s="14">
        <v>471361.61</v>
      </c>
      <c r="F13" s="14">
        <v>87978.631314727987</v>
      </c>
      <c r="G13" s="14">
        <v>71803429.620000005</v>
      </c>
      <c r="H13" s="14">
        <v>0</v>
      </c>
      <c r="I13" s="13">
        <f t="shared" si="0"/>
        <v>72362769.861314729</v>
      </c>
    </row>
    <row r="14" spans="1:9" ht="15.75" x14ac:dyDescent="0.25">
      <c r="A14" s="8"/>
      <c r="B14" s="8"/>
      <c r="C14" s="9"/>
      <c r="D14" s="12" t="s">
        <v>10</v>
      </c>
      <c r="E14" s="14">
        <v>22022461.079999998</v>
      </c>
      <c r="F14" s="14">
        <v>3696616.7773754555</v>
      </c>
      <c r="G14" s="14">
        <v>7584599.790000001</v>
      </c>
      <c r="H14" s="14">
        <v>0</v>
      </c>
      <c r="I14" s="13">
        <f t="shared" si="0"/>
        <v>33303677.647375457</v>
      </c>
    </row>
    <row r="15" spans="1:9" ht="15.75" x14ac:dyDescent="0.25">
      <c r="A15" s="8"/>
      <c r="B15" s="8"/>
      <c r="C15" s="9"/>
      <c r="D15" s="12" t="s">
        <v>11</v>
      </c>
      <c r="E15" s="14">
        <v>700.36</v>
      </c>
      <c r="F15" s="14">
        <v>20518.252225723998</v>
      </c>
      <c r="G15" s="14">
        <v>66080759.589999989</v>
      </c>
      <c r="H15" s="14">
        <v>0</v>
      </c>
      <c r="I15" s="13">
        <f t="shared" si="0"/>
        <v>66101978.202225715</v>
      </c>
    </row>
    <row r="16" spans="1:9" ht="15.75" x14ac:dyDescent="0.25">
      <c r="A16" s="8"/>
      <c r="B16" s="8"/>
      <c r="C16" s="9"/>
      <c r="D16" s="12" t="s">
        <v>12</v>
      </c>
      <c r="E16" s="14">
        <v>8476483.5299999993</v>
      </c>
      <c r="F16" s="14">
        <v>17626541.497838102</v>
      </c>
      <c r="G16" s="14">
        <v>9334733.7200000007</v>
      </c>
      <c r="H16" s="14">
        <v>0</v>
      </c>
      <c r="I16" s="13">
        <f t="shared" si="0"/>
        <v>35437758.747838102</v>
      </c>
    </row>
    <row r="17" spans="1:9" ht="15.75" x14ac:dyDescent="0.25">
      <c r="A17" s="8"/>
      <c r="B17" s="8"/>
      <c r="C17" s="9"/>
      <c r="D17" s="12" t="s">
        <v>13</v>
      </c>
      <c r="E17" s="14">
        <v>21016101.920000002</v>
      </c>
      <c r="F17" s="14">
        <v>16194806.628508065</v>
      </c>
      <c r="G17" s="14">
        <v>29151806.130000003</v>
      </c>
      <c r="H17" s="14">
        <v>0</v>
      </c>
      <c r="I17" s="13">
        <f t="shared" si="0"/>
        <v>66362714.678508066</v>
      </c>
    </row>
    <row r="18" spans="1:9" ht="15.75" x14ac:dyDescent="0.25">
      <c r="A18" s="8"/>
      <c r="B18" s="8"/>
      <c r="C18" s="9"/>
      <c r="D18" s="12" t="s">
        <v>14</v>
      </c>
      <c r="E18" s="14">
        <v>1926932.1800000006</v>
      </c>
      <c r="F18" s="14">
        <v>1320209.4614758277</v>
      </c>
      <c r="G18" s="14">
        <v>118202867.75</v>
      </c>
      <c r="H18" s="14">
        <v>0</v>
      </c>
      <c r="I18" s="13">
        <f t="shared" si="0"/>
        <v>121450009.39147583</v>
      </c>
    </row>
    <row r="19" spans="1:9" ht="15.75" x14ac:dyDescent="0.25">
      <c r="A19" s="8"/>
      <c r="B19" s="8"/>
      <c r="C19" s="9"/>
      <c r="D19" s="12" t="s">
        <v>15</v>
      </c>
      <c r="E19" s="14">
        <v>18319794.830000002</v>
      </c>
      <c r="F19" s="14">
        <v>12600856.825369075</v>
      </c>
      <c r="G19" s="14">
        <v>23023177.879999999</v>
      </c>
      <c r="H19" s="14">
        <v>0</v>
      </c>
      <c r="I19" s="13">
        <f t="shared" si="0"/>
        <v>53943829.535369076</v>
      </c>
    </row>
    <row r="20" spans="1:9" ht="15.75" x14ac:dyDescent="0.25">
      <c r="A20" s="8"/>
      <c r="B20" s="8"/>
      <c r="C20" s="9"/>
      <c r="D20" s="12" t="s">
        <v>16</v>
      </c>
      <c r="E20" s="14">
        <v>10439101.589999996</v>
      </c>
      <c r="F20" s="14">
        <v>3136264.0662220116</v>
      </c>
      <c r="G20" s="14">
        <v>10984948.380000003</v>
      </c>
      <c r="H20" s="14">
        <v>0</v>
      </c>
      <c r="I20" s="13">
        <f t="shared" si="0"/>
        <v>24560314.036222011</v>
      </c>
    </row>
    <row r="21" spans="1:9" ht="15.75" x14ac:dyDescent="0.25">
      <c r="A21" s="8"/>
      <c r="B21" s="8"/>
      <c r="C21" s="9"/>
      <c r="D21" s="12" t="s">
        <v>17</v>
      </c>
      <c r="E21" s="14">
        <v>12349980.340000004</v>
      </c>
      <c r="F21" s="14">
        <v>15074101.206201177</v>
      </c>
      <c r="G21" s="14">
        <v>5152758.6999999993</v>
      </c>
      <c r="H21" s="14">
        <v>0</v>
      </c>
      <c r="I21" s="13">
        <f t="shared" si="0"/>
        <v>32576840.24620118</v>
      </c>
    </row>
    <row r="22" spans="1:9" ht="15.75" x14ac:dyDescent="0.25">
      <c r="A22" s="8"/>
      <c r="B22" s="8"/>
      <c r="C22" s="9"/>
      <c r="D22" s="12" t="s">
        <v>18</v>
      </c>
      <c r="E22" s="14">
        <v>162375.83000000002</v>
      </c>
      <c r="F22" s="14">
        <v>645454.24437009986</v>
      </c>
      <c r="G22" s="14">
        <v>39481204.789999999</v>
      </c>
      <c r="H22" s="14">
        <v>0</v>
      </c>
      <c r="I22" s="13">
        <f t="shared" si="0"/>
        <v>40289034.8643701</v>
      </c>
    </row>
    <row r="23" spans="1:9" ht="15.75" x14ac:dyDescent="0.25">
      <c r="A23" s="8"/>
      <c r="B23" s="8"/>
      <c r="C23" s="9"/>
      <c r="D23" s="12" t="s">
        <v>19</v>
      </c>
      <c r="E23" s="14">
        <v>665370.80000000005</v>
      </c>
      <c r="F23" s="14">
        <v>240540.54362038797</v>
      </c>
      <c r="G23" s="14">
        <v>15923597.93</v>
      </c>
      <c r="H23" s="14">
        <v>0</v>
      </c>
      <c r="I23" s="13">
        <f t="shared" si="0"/>
        <v>16829509.273620389</v>
      </c>
    </row>
    <row r="24" spans="1:9" ht="15.75" x14ac:dyDescent="0.25">
      <c r="A24" s="8"/>
      <c r="B24" s="8"/>
      <c r="C24" s="9"/>
      <c r="D24" s="12" t="s">
        <v>20</v>
      </c>
      <c r="E24" s="14">
        <v>13126464.999999998</v>
      </c>
      <c r="F24" s="14">
        <v>9244570.4677523989</v>
      </c>
      <c r="G24" s="14">
        <v>12032284.92</v>
      </c>
      <c r="H24" s="14">
        <v>0</v>
      </c>
      <c r="I24" s="13">
        <f t="shared" si="0"/>
        <v>34403320.387752399</v>
      </c>
    </row>
    <row r="25" spans="1:9" ht="15.75" x14ac:dyDescent="0.25">
      <c r="A25" s="8"/>
      <c r="B25" s="8"/>
      <c r="C25" s="9"/>
      <c r="D25" s="12" t="s">
        <v>21</v>
      </c>
      <c r="E25" s="14">
        <v>7002580.6200000001</v>
      </c>
      <c r="F25" s="14">
        <v>6865210.3406468555</v>
      </c>
      <c r="G25" s="14">
        <v>11949704.169999998</v>
      </c>
      <c r="H25" s="14">
        <v>0</v>
      </c>
      <c r="I25" s="13">
        <f t="shared" si="0"/>
        <v>25817495.130646855</v>
      </c>
    </row>
    <row r="26" spans="1:9" ht="15.75" x14ac:dyDescent="0.25">
      <c r="A26" s="8"/>
      <c r="B26" s="8"/>
      <c r="C26" s="9"/>
      <c r="D26" s="12" t="s">
        <v>22</v>
      </c>
      <c r="E26" s="14">
        <v>3722730.0900000008</v>
      </c>
      <c r="F26" s="14">
        <v>3931327.4116918556</v>
      </c>
      <c r="G26" s="14">
        <v>9818134.2799999993</v>
      </c>
      <c r="H26" s="14">
        <v>0</v>
      </c>
      <c r="I26" s="13">
        <f t="shared" si="0"/>
        <v>17472191.781691857</v>
      </c>
    </row>
    <row r="27" spans="1:9" ht="15.75" x14ac:dyDescent="0.25">
      <c r="A27" s="8"/>
      <c r="B27" s="8"/>
      <c r="C27" s="9"/>
      <c r="D27" s="12" t="s">
        <v>23</v>
      </c>
      <c r="E27" s="14">
        <v>3374738.7799999993</v>
      </c>
      <c r="F27" s="14">
        <v>674755.21710572799</v>
      </c>
      <c r="G27" s="14">
        <v>26910225.279999997</v>
      </c>
      <c r="H27" s="14">
        <v>0</v>
      </c>
      <c r="I27" s="13">
        <f t="shared" si="0"/>
        <v>30959719.277105726</v>
      </c>
    </row>
    <row r="28" spans="1:9" ht="15.75" x14ac:dyDescent="0.25">
      <c r="A28" s="8"/>
      <c r="B28" s="8"/>
      <c r="C28" s="9"/>
      <c r="D28" s="12" t="s">
        <v>24</v>
      </c>
      <c r="E28" s="14">
        <v>3148925.09</v>
      </c>
      <c r="F28" s="14">
        <v>3197894.5360070276</v>
      </c>
      <c r="G28" s="14">
        <v>13001411.059999997</v>
      </c>
      <c r="H28" s="14">
        <v>0</v>
      </c>
      <c r="I28" s="13">
        <f t="shared" si="0"/>
        <v>19348230.686007023</v>
      </c>
    </row>
    <row r="29" spans="1:9" ht="15.75" x14ac:dyDescent="0.25">
      <c r="A29" s="8"/>
      <c r="B29" s="8"/>
      <c r="C29" s="9"/>
      <c r="D29" s="12" t="s">
        <v>25</v>
      </c>
      <c r="E29" s="14">
        <v>8312793.6300000008</v>
      </c>
      <c r="F29" s="14">
        <v>1789630.7301086276</v>
      </c>
      <c r="G29" s="14">
        <v>4399275.580000001</v>
      </c>
      <c r="H29" s="14">
        <v>0</v>
      </c>
      <c r="I29" s="13">
        <f t="shared" si="0"/>
        <v>14501699.940108631</v>
      </c>
    </row>
    <row r="30" spans="1:9" ht="15.75" x14ac:dyDescent="0.25">
      <c r="A30" s="8"/>
      <c r="B30" s="8"/>
      <c r="C30" s="9"/>
      <c r="D30" s="12" t="s">
        <v>26</v>
      </c>
      <c r="E30" s="14">
        <v>11797890.029999999</v>
      </c>
      <c r="F30" s="14">
        <v>9652361.2666001841</v>
      </c>
      <c r="G30" s="14">
        <v>10016404.9</v>
      </c>
      <c r="H30" s="14">
        <v>0</v>
      </c>
      <c r="I30" s="13">
        <f t="shared" si="0"/>
        <v>31466656.196600184</v>
      </c>
    </row>
    <row r="31" spans="1:9" ht="15.75" x14ac:dyDescent="0.25">
      <c r="A31" s="8"/>
      <c r="B31" s="8"/>
      <c r="C31" s="9"/>
      <c r="D31" s="12" t="s">
        <v>27</v>
      </c>
      <c r="E31" s="14">
        <v>8498944.2699999996</v>
      </c>
      <c r="F31" s="14">
        <v>10004427.218074784</v>
      </c>
      <c r="G31" s="14">
        <v>6608422.3200000003</v>
      </c>
      <c r="H31" s="14">
        <v>0</v>
      </c>
      <c r="I31" s="13">
        <f t="shared" si="0"/>
        <v>25111793.808074784</v>
      </c>
    </row>
    <row r="32" spans="1:9" ht="15.75" x14ac:dyDescent="0.25">
      <c r="A32" s="8"/>
      <c r="B32" s="8"/>
      <c r="C32" s="9"/>
      <c r="D32" s="12" t="s">
        <v>28</v>
      </c>
      <c r="E32" s="14">
        <v>5521458.7799999993</v>
      </c>
      <c r="F32" s="14">
        <v>3376880.3229502439</v>
      </c>
      <c r="G32" s="14">
        <v>3494927.8600000003</v>
      </c>
      <c r="H32" s="14">
        <v>0</v>
      </c>
      <c r="I32" s="13">
        <f t="shared" si="0"/>
        <v>12393266.962950245</v>
      </c>
    </row>
    <row r="33" spans="1:9" ht="15.75" x14ac:dyDescent="0.25">
      <c r="A33" s="8"/>
      <c r="B33" s="8"/>
      <c r="C33" s="9"/>
      <c r="D33" s="12" t="s">
        <v>29</v>
      </c>
      <c r="E33" s="14">
        <v>1929358.67</v>
      </c>
      <c r="F33" s="14">
        <v>5104880.583273855</v>
      </c>
      <c r="G33" s="14">
        <v>3437444.89</v>
      </c>
      <c r="H33" s="14">
        <v>0</v>
      </c>
      <c r="I33" s="13">
        <f t="shared" si="0"/>
        <v>10471684.143273855</v>
      </c>
    </row>
    <row r="34" spans="1:9" ht="15.75" x14ac:dyDescent="0.25">
      <c r="A34" s="8"/>
      <c r="B34" s="8"/>
      <c r="C34" s="9"/>
      <c r="D34" s="12" t="s">
        <v>30</v>
      </c>
      <c r="E34" s="14">
        <v>10194379.970000003</v>
      </c>
      <c r="F34" s="14">
        <v>7325773.1756619075</v>
      </c>
      <c r="G34" s="14">
        <v>17024357.09</v>
      </c>
      <c r="H34" s="14">
        <v>0</v>
      </c>
      <c r="I34" s="13">
        <f t="shared" si="0"/>
        <v>34544510.235661909</v>
      </c>
    </row>
    <row r="35" spans="1:9" ht="15.75" x14ac:dyDescent="0.25">
      <c r="A35" s="8"/>
      <c r="B35" s="8"/>
      <c r="C35" s="9"/>
      <c r="D35" s="12" t="s">
        <v>31</v>
      </c>
      <c r="E35" s="14">
        <v>7318729.830000001</v>
      </c>
      <c r="F35" s="14">
        <v>10770113.877701156</v>
      </c>
      <c r="G35" s="14">
        <v>13313600.960000001</v>
      </c>
      <c r="H35" s="14">
        <v>0</v>
      </c>
      <c r="I35" s="13">
        <f t="shared" si="0"/>
        <v>31402444.667701159</v>
      </c>
    </row>
    <row r="36" spans="1:9" ht="15.75" x14ac:dyDescent="0.25">
      <c r="A36" s="8"/>
      <c r="B36" s="8"/>
      <c r="C36" s="9"/>
      <c r="D36" s="12" t="s">
        <v>32</v>
      </c>
      <c r="E36" s="14">
        <v>5043022.160000002</v>
      </c>
      <c r="F36" s="14">
        <v>6683271.7424977226</v>
      </c>
      <c r="G36" s="14">
        <v>20214543.23</v>
      </c>
      <c r="H36" s="14">
        <v>0</v>
      </c>
      <c r="I36" s="13">
        <f t="shared" si="0"/>
        <v>31940837.132497724</v>
      </c>
    </row>
    <row r="37" spans="1:9" ht="15.75" x14ac:dyDescent="0.25">
      <c r="A37" s="8"/>
      <c r="B37" s="8"/>
      <c r="C37" s="9"/>
      <c r="D37" s="12" t="s">
        <v>33</v>
      </c>
      <c r="E37" s="14">
        <v>24418852.140000004</v>
      </c>
      <c r="F37" s="14">
        <v>3696616.7773754555</v>
      </c>
      <c r="G37" s="14">
        <v>6348110.6700000009</v>
      </c>
      <c r="H37" s="14">
        <v>0</v>
      </c>
      <c r="I37" s="13">
        <f t="shared" si="0"/>
        <v>34463579.587375462</v>
      </c>
    </row>
    <row r="38" spans="1:9" ht="15.75" x14ac:dyDescent="0.25">
      <c r="A38" s="8"/>
      <c r="B38" s="8"/>
      <c r="C38" s="9"/>
      <c r="D38" s="12" t="s">
        <v>34</v>
      </c>
      <c r="E38" s="14">
        <v>3533309.33</v>
      </c>
      <c r="F38" s="14">
        <v>8032857.8898170218</v>
      </c>
      <c r="G38" s="14">
        <v>7428652.1000000006</v>
      </c>
      <c r="H38" s="14">
        <v>0</v>
      </c>
      <c r="I38" s="13">
        <f t="shared" si="0"/>
        <v>18994819.319817021</v>
      </c>
    </row>
    <row r="39" spans="1:9" ht="15.75" x14ac:dyDescent="0.25">
      <c r="A39" s="8"/>
      <c r="B39" s="8"/>
      <c r="C39" s="9"/>
      <c r="D39" s="12" t="s">
        <v>35</v>
      </c>
      <c r="E39" s="14">
        <v>4355693.93</v>
      </c>
      <c r="F39" s="14">
        <v>12577385.761937432</v>
      </c>
      <c r="G39" s="14">
        <v>8350827.0599999996</v>
      </c>
      <c r="H39" s="14">
        <v>0</v>
      </c>
      <c r="I39" s="13">
        <f t="shared" si="0"/>
        <v>25283906.75193743</v>
      </c>
    </row>
    <row r="40" spans="1:9" ht="15.75" x14ac:dyDescent="0.25">
      <c r="A40" s="8"/>
      <c r="B40" s="8"/>
      <c r="C40" s="9"/>
      <c r="D40" s="12" t="s">
        <v>36</v>
      </c>
      <c r="E40" s="14">
        <v>188630.88</v>
      </c>
      <c r="F40" s="14">
        <v>660142.58729183592</v>
      </c>
      <c r="G40" s="14">
        <v>5251809.9300000006</v>
      </c>
      <c r="H40" s="14">
        <v>0</v>
      </c>
      <c r="I40" s="13">
        <f t="shared" si="0"/>
        <v>6100583.3972918363</v>
      </c>
    </row>
    <row r="41" spans="1:9" ht="15.75" x14ac:dyDescent="0.25">
      <c r="A41" s="8"/>
      <c r="B41" s="8"/>
      <c r="C41" s="9"/>
      <c r="D41" s="12" t="s">
        <v>37</v>
      </c>
      <c r="E41" s="14">
        <v>17134643.659999996</v>
      </c>
      <c r="F41" s="14">
        <v>11031248.386655109</v>
      </c>
      <c r="G41" s="14">
        <v>19024107.140000001</v>
      </c>
      <c r="H41" s="14">
        <v>0</v>
      </c>
      <c r="I41" s="13">
        <f t="shared" si="0"/>
        <v>47189999.186655104</v>
      </c>
    </row>
    <row r="42" spans="1:9" ht="15.75" x14ac:dyDescent="0.25">
      <c r="A42" s="8"/>
      <c r="B42" s="8"/>
      <c r="C42" s="9"/>
      <c r="D42" s="12" t="s">
        <v>38</v>
      </c>
      <c r="E42" s="14">
        <v>8630066.0500000007</v>
      </c>
      <c r="F42" s="14">
        <v>11946619.86048907</v>
      </c>
      <c r="G42" s="14">
        <v>7366826.8600000013</v>
      </c>
      <c r="H42" s="14">
        <v>0</v>
      </c>
      <c r="I42" s="13">
        <f t="shared" si="0"/>
        <v>27943512.770489074</v>
      </c>
    </row>
    <row r="43" spans="1:9" ht="15.75" x14ac:dyDescent="0.25">
      <c r="A43" s="8"/>
      <c r="B43" s="8"/>
      <c r="C43" s="9"/>
      <c r="D43" s="12" t="s">
        <v>39</v>
      </c>
      <c r="E43" s="14">
        <v>1397716.44</v>
      </c>
      <c r="F43" s="14">
        <v>4345023.8329514712</v>
      </c>
      <c r="G43" s="14">
        <v>9671345.6600000001</v>
      </c>
      <c r="H43" s="14">
        <v>0</v>
      </c>
      <c r="I43" s="13">
        <f t="shared" si="0"/>
        <v>15414085.932951471</v>
      </c>
    </row>
    <row r="44" spans="1:9" ht="15.75" x14ac:dyDescent="0.25">
      <c r="A44" s="8"/>
      <c r="B44" s="8"/>
      <c r="C44" s="9"/>
      <c r="D44" s="12" t="s">
        <v>40</v>
      </c>
      <c r="E44" s="14">
        <v>23748.729999999996</v>
      </c>
      <c r="F44" s="14">
        <v>334424.79734694795</v>
      </c>
      <c r="G44" s="14">
        <v>9887194.5600000005</v>
      </c>
      <c r="H44" s="14">
        <v>0</v>
      </c>
      <c r="I44" s="13">
        <f t="shared" si="0"/>
        <v>10245368.087346949</v>
      </c>
    </row>
    <row r="45" spans="1:9" ht="15.75" x14ac:dyDescent="0.25">
      <c r="A45" s="8"/>
      <c r="B45" s="8"/>
      <c r="C45" s="9"/>
      <c r="D45" s="12" t="s">
        <v>41</v>
      </c>
      <c r="E45" s="14">
        <v>4833090.66</v>
      </c>
      <c r="F45" s="14">
        <v>96837.064932475972</v>
      </c>
      <c r="G45" s="14">
        <v>33201380.619999994</v>
      </c>
      <c r="H45" s="14">
        <v>0</v>
      </c>
      <c r="I45" s="13">
        <f t="shared" si="0"/>
        <v>38131308.344932467</v>
      </c>
    </row>
    <row r="46" spans="1:9" ht="15.75" x14ac:dyDescent="0.25">
      <c r="A46" s="8"/>
      <c r="B46" s="8"/>
      <c r="C46" s="9"/>
      <c r="D46" s="12" t="s">
        <v>42</v>
      </c>
      <c r="E46" s="14">
        <v>510100.07999999996</v>
      </c>
      <c r="F46" s="14">
        <v>322689.26563112793</v>
      </c>
      <c r="G46" s="14">
        <v>40441004.25</v>
      </c>
      <c r="H46" s="14">
        <v>0</v>
      </c>
      <c r="I46" s="13">
        <f t="shared" si="0"/>
        <v>41273793.59563113</v>
      </c>
    </row>
    <row r="47" spans="1:9" ht="15.75" x14ac:dyDescent="0.25">
      <c r="A47" s="8"/>
      <c r="B47" s="8"/>
      <c r="C47" s="9"/>
      <c r="D47" s="12" t="s">
        <v>43</v>
      </c>
      <c r="E47" s="14">
        <v>6595894.4599999981</v>
      </c>
      <c r="F47" s="14">
        <v>2047812.4278566674</v>
      </c>
      <c r="G47" s="14">
        <v>7159610.8199999984</v>
      </c>
      <c r="H47" s="14">
        <v>0</v>
      </c>
      <c r="I47" s="13">
        <f t="shared" si="0"/>
        <v>15803317.707856664</v>
      </c>
    </row>
    <row r="48" spans="1:9" ht="15.75" x14ac:dyDescent="0.25">
      <c r="A48" s="8"/>
      <c r="B48" s="8"/>
      <c r="C48" s="9"/>
      <c r="D48" s="12" t="s">
        <v>44</v>
      </c>
      <c r="E48" s="14">
        <v>3826369.62</v>
      </c>
      <c r="F48" s="14">
        <v>322689.26563112793</v>
      </c>
      <c r="G48" s="14">
        <v>30249133.920000002</v>
      </c>
      <c r="H48" s="14">
        <v>0</v>
      </c>
      <c r="I48" s="13">
        <f t="shared" si="0"/>
        <v>34398192.805631131</v>
      </c>
    </row>
    <row r="49" spans="1:9" ht="15.75" x14ac:dyDescent="0.25">
      <c r="A49" s="8"/>
      <c r="B49" s="8"/>
      <c r="C49" s="9"/>
      <c r="D49" s="12" t="s">
        <v>45</v>
      </c>
      <c r="E49" s="14">
        <v>5671615.5500000017</v>
      </c>
      <c r="F49" s="14">
        <v>384319.7354161439</v>
      </c>
      <c r="G49" s="14">
        <v>51748210.220000006</v>
      </c>
      <c r="H49" s="14">
        <v>0</v>
      </c>
      <c r="I49" s="13">
        <f t="shared" si="0"/>
        <v>57804145.505416155</v>
      </c>
    </row>
    <row r="50" spans="1:9" ht="15.75" x14ac:dyDescent="0.25">
      <c r="A50" s="8"/>
      <c r="B50" s="8"/>
      <c r="C50" s="9"/>
      <c r="D50" s="12" t="s">
        <v>46</v>
      </c>
      <c r="E50" s="14">
        <v>4532151.1399999997</v>
      </c>
      <c r="F50" s="14">
        <v>3714257.9315031078</v>
      </c>
      <c r="G50" s="14">
        <v>3281905.28</v>
      </c>
      <c r="H50" s="14">
        <v>0</v>
      </c>
      <c r="I50" s="13">
        <f t="shared" si="0"/>
        <v>11528314.351503108</v>
      </c>
    </row>
    <row r="51" spans="1:9" ht="15.75" x14ac:dyDescent="0.25">
      <c r="A51" s="8"/>
      <c r="B51" s="8"/>
      <c r="C51" s="9"/>
      <c r="D51" s="12" t="s">
        <v>47</v>
      </c>
      <c r="E51" s="14">
        <v>8132401.7800000003</v>
      </c>
      <c r="F51" s="14">
        <v>6753684.9327926431</v>
      </c>
      <c r="G51" s="14">
        <v>11564389.65</v>
      </c>
      <c r="H51" s="14">
        <v>0</v>
      </c>
      <c r="I51" s="13">
        <f t="shared" si="0"/>
        <v>26450476.362792641</v>
      </c>
    </row>
    <row r="52" spans="1:9" ht="15.75" x14ac:dyDescent="0.25">
      <c r="A52" s="8"/>
      <c r="B52" s="8"/>
      <c r="C52" s="9"/>
      <c r="D52" s="12" t="s">
        <v>48</v>
      </c>
      <c r="E52" s="14">
        <v>4634306.1500000004</v>
      </c>
      <c r="F52" s="14">
        <v>6806532.6820677547</v>
      </c>
      <c r="G52" s="14">
        <v>1974832.17</v>
      </c>
      <c r="H52" s="14">
        <v>0</v>
      </c>
      <c r="I52" s="13">
        <f t="shared" si="0"/>
        <v>13415671.002067754</v>
      </c>
    </row>
    <row r="53" spans="1:9" ht="15.75" x14ac:dyDescent="0.25">
      <c r="A53" s="8"/>
      <c r="B53" s="8"/>
      <c r="C53" s="9"/>
      <c r="D53" s="12" t="s">
        <v>49</v>
      </c>
      <c r="E53" s="14">
        <v>3246394.07</v>
      </c>
      <c r="F53" s="14">
        <v>4664836.0004845271</v>
      </c>
      <c r="G53" s="14">
        <v>7890795.3299999991</v>
      </c>
      <c r="H53" s="14">
        <v>0</v>
      </c>
      <c r="I53" s="13">
        <f t="shared" si="0"/>
        <v>15802025.400484525</v>
      </c>
    </row>
    <row r="54" spans="1:9" ht="15.75" x14ac:dyDescent="0.25">
      <c r="A54" s="8"/>
      <c r="B54" s="8"/>
      <c r="C54" s="9"/>
      <c r="D54" s="12" t="s">
        <v>50</v>
      </c>
      <c r="E54" s="14">
        <v>28853660.229999997</v>
      </c>
      <c r="F54" s="14">
        <v>4283393.3631664552</v>
      </c>
      <c r="G54" s="14">
        <v>7258096.8400000008</v>
      </c>
      <c r="H54" s="14">
        <v>0</v>
      </c>
      <c r="I54" s="13">
        <f t="shared" si="0"/>
        <v>40395150.433166452</v>
      </c>
    </row>
    <row r="55" spans="1:9" ht="15.75" x14ac:dyDescent="0.25">
      <c r="A55" s="8"/>
      <c r="B55" s="8"/>
      <c r="C55" s="9"/>
      <c r="D55" s="12" t="s">
        <v>51</v>
      </c>
      <c r="E55" s="14">
        <v>2546037.25</v>
      </c>
      <c r="F55" s="14">
        <v>8772196.3879136816</v>
      </c>
      <c r="G55" s="14">
        <v>407603.42000000004</v>
      </c>
      <c r="H55" s="14">
        <v>0</v>
      </c>
      <c r="I55" s="13">
        <f t="shared" si="0"/>
        <v>11725837.057913681</v>
      </c>
    </row>
    <row r="56" spans="1:9" ht="15.75" x14ac:dyDescent="0.25">
      <c r="A56" s="8"/>
      <c r="B56" s="8"/>
      <c r="C56" s="9"/>
      <c r="D56" s="12" t="s">
        <v>52</v>
      </c>
      <c r="E56" s="14">
        <v>4263975.71</v>
      </c>
      <c r="F56" s="14">
        <v>9763810.9613465499</v>
      </c>
      <c r="G56" s="14">
        <v>3330433.5100000002</v>
      </c>
      <c r="H56" s="14">
        <v>0</v>
      </c>
      <c r="I56" s="13">
        <f t="shared" si="0"/>
        <v>17358220.181346551</v>
      </c>
    </row>
    <row r="57" spans="1:9" ht="15.75" x14ac:dyDescent="0.25">
      <c r="A57" s="8"/>
      <c r="B57" s="8"/>
      <c r="C57" s="9"/>
      <c r="D57" s="12" t="s">
        <v>53</v>
      </c>
      <c r="E57" s="14">
        <v>927110.5</v>
      </c>
      <c r="F57" s="14">
        <v>3227195.5087426556</v>
      </c>
      <c r="G57" s="14">
        <v>3904846.4499999997</v>
      </c>
      <c r="H57" s="14">
        <v>0</v>
      </c>
      <c r="I57" s="13">
        <f t="shared" si="0"/>
        <v>8059152.4587426558</v>
      </c>
    </row>
    <row r="58" spans="1:9" ht="15.75" x14ac:dyDescent="0.25">
      <c r="A58" s="8"/>
      <c r="B58" s="8"/>
      <c r="C58" s="9"/>
      <c r="D58" s="12" t="s">
        <v>54</v>
      </c>
      <c r="E58" s="14">
        <v>1789025.3599999999</v>
      </c>
      <c r="F58" s="14">
        <v>3473641.6747748759</v>
      </c>
      <c r="G58" s="14">
        <v>669123.79</v>
      </c>
      <c r="H58" s="14">
        <v>0</v>
      </c>
      <c r="I58" s="13">
        <f t="shared" si="0"/>
        <v>5931790.8247748753</v>
      </c>
    </row>
    <row r="59" spans="1:9" ht="15.75" x14ac:dyDescent="0.25">
      <c r="A59" s="8"/>
      <c r="B59" s="8"/>
      <c r="C59" s="9"/>
      <c r="D59" s="12" t="s">
        <v>55</v>
      </c>
      <c r="E59" s="14">
        <v>6537627.2699999996</v>
      </c>
      <c r="F59" s="14">
        <v>5867690.144802155</v>
      </c>
      <c r="G59" s="14">
        <v>9499894.5700000003</v>
      </c>
      <c r="H59" s="14">
        <v>0</v>
      </c>
      <c r="I59" s="13">
        <f t="shared" si="0"/>
        <v>21905211.984802157</v>
      </c>
    </row>
    <row r="60" spans="1:9" ht="15.75" x14ac:dyDescent="0.25">
      <c r="A60" s="8"/>
      <c r="B60" s="8"/>
      <c r="C60" s="9"/>
      <c r="D60" s="12" t="s">
        <v>56</v>
      </c>
      <c r="E60" s="14">
        <v>1481234.6600000001</v>
      </c>
      <c r="F60" s="14">
        <v>3549960.4874816271</v>
      </c>
      <c r="G60" s="14">
        <v>3069351.8600000003</v>
      </c>
      <c r="H60" s="14">
        <v>0</v>
      </c>
      <c r="I60" s="13">
        <f t="shared" si="0"/>
        <v>8100547.0074816281</v>
      </c>
    </row>
    <row r="61" spans="1:9" ht="15.75" x14ac:dyDescent="0.25">
      <c r="A61" s="8"/>
      <c r="B61" s="8"/>
      <c r="C61" s="9"/>
      <c r="D61" s="12" t="s">
        <v>57</v>
      </c>
      <c r="E61" s="14">
        <v>7409812.4300000006</v>
      </c>
      <c r="F61" s="14">
        <v>5955668.7761168834</v>
      </c>
      <c r="G61" s="14">
        <v>3376077.7199999997</v>
      </c>
      <c r="H61" s="14">
        <v>0</v>
      </c>
      <c r="I61" s="13">
        <f t="shared" si="0"/>
        <v>16741558.926116884</v>
      </c>
    </row>
    <row r="62" spans="1:9" ht="15.75" x14ac:dyDescent="0.25">
      <c r="A62" s="8"/>
      <c r="B62" s="8"/>
      <c r="C62" s="9"/>
      <c r="D62" s="12" t="s">
        <v>58</v>
      </c>
      <c r="E62" s="14">
        <v>11854464.749999998</v>
      </c>
      <c r="F62" s="14">
        <v>6645188.0492521916</v>
      </c>
      <c r="G62" s="14">
        <v>312407769.54999995</v>
      </c>
      <c r="H62" s="14">
        <v>0</v>
      </c>
      <c r="I62" s="13">
        <f t="shared" si="0"/>
        <v>330907422.34925216</v>
      </c>
    </row>
    <row r="63" spans="1:9" ht="15.75" x14ac:dyDescent="0.25">
      <c r="A63" s="8"/>
      <c r="B63" s="8"/>
      <c r="C63" s="9"/>
      <c r="D63" s="12" t="s">
        <v>59</v>
      </c>
      <c r="E63" s="14">
        <v>1230749.1499999999</v>
      </c>
      <c r="F63" s="14">
        <v>733432.8756848278</v>
      </c>
      <c r="G63" s="14">
        <v>20337232.66</v>
      </c>
      <c r="H63" s="14">
        <v>0</v>
      </c>
      <c r="I63" s="13">
        <f t="shared" si="0"/>
        <v>22301414.685684826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97161195.779999986</v>
      </c>
      <c r="H64" s="14">
        <v>0</v>
      </c>
      <c r="I64" s="13">
        <f t="shared" si="0"/>
        <v>97161195.779999986</v>
      </c>
    </row>
    <row r="65" spans="1:9" ht="15.75" x14ac:dyDescent="0.25">
      <c r="A65" s="8"/>
      <c r="B65" s="8"/>
      <c r="C65" s="9"/>
      <c r="D65" s="12" t="s">
        <v>61</v>
      </c>
      <c r="E65" s="14">
        <v>6158523.2799999984</v>
      </c>
      <c r="F65" s="14">
        <v>8684142.0434911121</v>
      </c>
      <c r="G65" s="14">
        <v>6445877.5599999987</v>
      </c>
      <c r="H65" s="14">
        <v>0</v>
      </c>
      <c r="I65" s="13">
        <f t="shared" si="0"/>
        <v>21288542.88349111</v>
      </c>
    </row>
    <row r="66" spans="1:9" ht="15.75" x14ac:dyDescent="0.25">
      <c r="A66" s="8"/>
      <c r="B66" s="8"/>
      <c r="C66" s="9"/>
      <c r="D66" s="12" t="s">
        <v>62</v>
      </c>
      <c r="E66" s="14">
        <v>27294627.280000005</v>
      </c>
      <c r="F66" s="14">
        <v>17265692.825853601</v>
      </c>
      <c r="G66" s="14">
        <v>12225904.950000003</v>
      </c>
      <c r="H66" s="14">
        <v>0</v>
      </c>
      <c r="I66" s="13">
        <f t="shared" si="0"/>
        <v>56786225.055853605</v>
      </c>
    </row>
    <row r="67" spans="1:9" ht="15.75" x14ac:dyDescent="0.25">
      <c r="A67" s="8"/>
      <c r="B67" s="8"/>
      <c r="C67" s="9"/>
      <c r="D67" s="12" t="s">
        <v>63</v>
      </c>
      <c r="E67" s="14">
        <v>5331280.3900000006</v>
      </c>
      <c r="F67" s="14">
        <v>7980085.8536497541</v>
      </c>
      <c r="G67" s="14">
        <v>5142707.7400000012</v>
      </c>
      <c r="H67" s="14">
        <v>0</v>
      </c>
      <c r="I67" s="13">
        <f t="shared" si="0"/>
        <v>18454073.983649757</v>
      </c>
    </row>
    <row r="68" spans="1:9" ht="15.75" x14ac:dyDescent="0.25">
      <c r="A68" s="8"/>
      <c r="B68" s="8"/>
      <c r="C68" s="9"/>
      <c r="D68" s="12" t="s">
        <v>64</v>
      </c>
      <c r="E68" s="14">
        <v>7698658.8399999999</v>
      </c>
      <c r="F68" s="14">
        <v>3373927.5117443278</v>
      </c>
      <c r="G68" s="14">
        <v>1357707.6099999999</v>
      </c>
      <c r="H68" s="14">
        <v>0</v>
      </c>
      <c r="I68" s="13">
        <f t="shared" si="0"/>
        <v>12430293.961744327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29614359.259999998</v>
      </c>
      <c r="H69" s="14">
        <v>0</v>
      </c>
      <c r="I69" s="13">
        <f t="shared" si="0"/>
        <v>29614359.259999998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38454783.269999996</v>
      </c>
      <c r="H70" s="14">
        <v>0</v>
      </c>
      <c r="I70" s="13">
        <f t="shared" si="0"/>
        <v>38454783.269999996</v>
      </c>
    </row>
    <row r="71" spans="1:9" ht="15.75" x14ac:dyDescent="0.25">
      <c r="A71" s="8"/>
      <c r="B71" s="8"/>
      <c r="C71" s="9"/>
      <c r="D71" s="12" t="s">
        <v>67</v>
      </c>
      <c r="E71" s="14">
        <v>2811.66</v>
      </c>
      <c r="F71" s="14">
        <v>87978.631314727987</v>
      </c>
      <c r="G71" s="14">
        <v>29132064.870000001</v>
      </c>
      <c r="H71" s="14">
        <v>0</v>
      </c>
      <c r="I71" s="13">
        <f t="shared" si="0"/>
        <v>29222855.16131473</v>
      </c>
    </row>
    <row r="72" spans="1:9" ht="15.75" x14ac:dyDescent="0.25">
      <c r="A72" s="8"/>
      <c r="B72" s="8"/>
      <c r="C72" s="9"/>
      <c r="D72" s="12" t="s">
        <v>68</v>
      </c>
      <c r="E72" s="14">
        <v>9543405.910000002</v>
      </c>
      <c r="F72" s="14">
        <v>5480417.5981800957</v>
      </c>
      <c r="G72" s="14">
        <v>37763421.810000002</v>
      </c>
      <c r="H72" s="14">
        <v>0</v>
      </c>
      <c r="I72" s="13">
        <f t="shared" si="0"/>
        <v>52787245.318180099</v>
      </c>
    </row>
    <row r="73" spans="1:9" ht="15.75" x14ac:dyDescent="0.25">
      <c r="A73" s="8"/>
      <c r="B73" s="8"/>
      <c r="C73" s="9"/>
      <c r="D73" s="12" t="s">
        <v>69</v>
      </c>
      <c r="E73" s="14">
        <v>23239.399999999998</v>
      </c>
      <c r="F73" s="14">
        <v>0</v>
      </c>
      <c r="G73" s="14">
        <v>38359865.380000003</v>
      </c>
      <c r="H73" s="14">
        <v>0</v>
      </c>
      <c r="I73" s="13">
        <f t="shared" si="0"/>
        <v>38383104.780000001</v>
      </c>
    </row>
    <row r="74" spans="1:9" ht="15.75" x14ac:dyDescent="0.25">
      <c r="A74" s="8"/>
      <c r="B74" s="8"/>
      <c r="C74" s="9"/>
      <c r="D74" s="12" t="s">
        <v>70</v>
      </c>
      <c r="E74" s="14">
        <v>263644.08</v>
      </c>
      <c r="F74" s="14">
        <v>463515.64622096787</v>
      </c>
      <c r="G74" s="14">
        <v>171088905.79000002</v>
      </c>
      <c r="H74" s="14">
        <v>0</v>
      </c>
      <c r="I74" s="13">
        <f t="shared" ref="I74:I137" si="1">SUM(E74:H74)</f>
        <v>171816065.51622099</v>
      </c>
    </row>
    <row r="75" spans="1:9" ht="15.75" x14ac:dyDescent="0.25">
      <c r="A75" s="8"/>
      <c r="B75" s="8"/>
      <c r="C75" s="9"/>
      <c r="D75" s="12" t="s">
        <v>71</v>
      </c>
      <c r="E75" s="14">
        <v>2422064.7699999996</v>
      </c>
      <c r="F75" s="14">
        <v>1801366.2618244474</v>
      </c>
      <c r="G75" s="14">
        <v>265614213.58000004</v>
      </c>
      <c r="H75" s="14">
        <v>0</v>
      </c>
      <c r="I75" s="13">
        <f t="shared" si="1"/>
        <v>269837644.61182451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78276841.699999988</v>
      </c>
      <c r="H76" s="14">
        <v>0</v>
      </c>
      <c r="I76" s="13">
        <f t="shared" si="1"/>
        <v>78276841.699999988</v>
      </c>
    </row>
    <row r="77" spans="1:9" ht="15.75" x14ac:dyDescent="0.25">
      <c r="A77" s="8"/>
      <c r="B77" s="8"/>
      <c r="C77" s="9"/>
      <c r="D77" s="12" t="s">
        <v>73</v>
      </c>
      <c r="E77" s="14">
        <v>3064462.5400000005</v>
      </c>
      <c r="F77" s="14">
        <v>8933541.0207292475</v>
      </c>
      <c r="G77" s="14">
        <v>4110848.3800000004</v>
      </c>
      <c r="H77" s="14">
        <v>0</v>
      </c>
      <c r="I77" s="13">
        <f t="shared" si="1"/>
        <v>16108851.940729249</v>
      </c>
    </row>
    <row r="78" spans="1:9" ht="15.75" x14ac:dyDescent="0.25">
      <c r="A78" s="8"/>
      <c r="B78" s="8"/>
      <c r="C78" s="9"/>
      <c r="D78" s="12" t="s">
        <v>74</v>
      </c>
      <c r="E78" s="14">
        <v>9627486.0999999978</v>
      </c>
      <c r="F78" s="14">
        <v>9065584.6808091812</v>
      </c>
      <c r="G78" s="14">
        <v>6134488.4800000004</v>
      </c>
      <c r="H78" s="14">
        <v>0</v>
      </c>
      <c r="I78" s="13">
        <f t="shared" si="1"/>
        <v>24827559.260809179</v>
      </c>
    </row>
    <row r="79" spans="1:9" ht="15.75" x14ac:dyDescent="0.25">
      <c r="A79" s="8"/>
      <c r="B79" s="8"/>
      <c r="C79" s="9"/>
      <c r="D79" s="12" t="s">
        <v>75</v>
      </c>
      <c r="E79" s="14">
        <v>10488754.070000002</v>
      </c>
      <c r="F79" s="14">
        <v>5090192.2403521184</v>
      </c>
      <c r="G79" s="14">
        <v>6259231.5399999991</v>
      </c>
      <c r="H79" s="14">
        <v>0</v>
      </c>
      <c r="I79" s="13">
        <f t="shared" si="1"/>
        <v>21838177.85035212</v>
      </c>
    </row>
    <row r="80" spans="1:9" ht="15.75" x14ac:dyDescent="0.25">
      <c r="A80" s="8"/>
      <c r="B80" s="8"/>
      <c r="C80" s="9"/>
      <c r="D80" s="12" t="s">
        <v>76</v>
      </c>
      <c r="E80" s="14">
        <v>2548283.96</v>
      </c>
      <c r="F80" s="14">
        <v>2690313.8610208514</v>
      </c>
      <c r="G80" s="14">
        <v>1530404.41</v>
      </c>
      <c r="H80" s="14">
        <v>0</v>
      </c>
      <c r="I80" s="13">
        <f t="shared" si="1"/>
        <v>6769002.2310208511</v>
      </c>
    </row>
    <row r="81" spans="1:9" ht="15.75" x14ac:dyDescent="0.25">
      <c r="A81" s="8"/>
      <c r="B81" s="8"/>
      <c r="C81" s="9"/>
      <c r="D81" s="12" t="s">
        <v>77</v>
      </c>
      <c r="E81" s="14">
        <v>22219434.030000001</v>
      </c>
      <c r="F81" s="14">
        <v>16232966.034861445</v>
      </c>
      <c r="G81" s="14">
        <v>15109803.27</v>
      </c>
      <c r="H81" s="14">
        <v>0</v>
      </c>
      <c r="I81" s="13">
        <f t="shared" si="1"/>
        <v>53562203.334861442</v>
      </c>
    </row>
    <row r="82" spans="1:9" ht="15.75" x14ac:dyDescent="0.25">
      <c r="A82" s="8"/>
      <c r="B82" s="8"/>
      <c r="C82" s="9"/>
      <c r="D82" s="12" t="s">
        <v>78</v>
      </c>
      <c r="E82" s="14">
        <v>20543404.070000004</v>
      </c>
      <c r="F82" s="14">
        <v>11251270.678049775</v>
      </c>
      <c r="G82" s="14">
        <v>4741444.22</v>
      </c>
      <c r="H82" s="14">
        <v>0</v>
      </c>
      <c r="I82" s="13">
        <f t="shared" si="1"/>
        <v>36536118.96804978</v>
      </c>
    </row>
    <row r="83" spans="1:9" ht="15.75" x14ac:dyDescent="0.25">
      <c r="A83" s="8"/>
      <c r="B83" s="8"/>
      <c r="C83" s="9"/>
      <c r="D83" s="12" t="s">
        <v>79</v>
      </c>
      <c r="E83" s="14">
        <v>3837886.0099999993</v>
      </c>
      <c r="F83" s="14">
        <v>4620770.971719319</v>
      </c>
      <c r="G83" s="14">
        <v>13966211.32</v>
      </c>
      <c r="H83" s="14">
        <v>0</v>
      </c>
      <c r="I83" s="13">
        <f t="shared" si="1"/>
        <v>22424868.301719319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107146850.80000003</v>
      </c>
      <c r="H84" s="14">
        <v>0</v>
      </c>
      <c r="I84" s="13">
        <f t="shared" si="1"/>
        <v>107146850.80000003</v>
      </c>
    </row>
    <row r="85" spans="1:9" ht="15.75" x14ac:dyDescent="0.25">
      <c r="A85" s="8"/>
      <c r="B85" s="8"/>
      <c r="C85" s="9"/>
      <c r="D85" s="12" t="s">
        <v>81</v>
      </c>
      <c r="E85" s="14">
        <v>9099929.0300000031</v>
      </c>
      <c r="F85" s="14">
        <v>1437564.7786340278</v>
      </c>
      <c r="G85" s="14">
        <v>38735807.149999999</v>
      </c>
      <c r="H85" s="14">
        <v>0</v>
      </c>
      <c r="I85" s="13">
        <f t="shared" si="1"/>
        <v>49273300.958634034</v>
      </c>
    </row>
    <row r="86" spans="1:9" ht="15.75" x14ac:dyDescent="0.25">
      <c r="A86" s="8"/>
      <c r="B86" s="8"/>
      <c r="C86" s="9"/>
      <c r="D86" s="12" t="s">
        <v>82</v>
      </c>
      <c r="E86" s="14">
        <v>2943608.9600000004</v>
      </c>
      <c r="F86" s="14">
        <v>5970357.1190386191</v>
      </c>
      <c r="G86" s="14">
        <v>5185416.0499999989</v>
      </c>
      <c r="H86" s="14">
        <v>0</v>
      </c>
      <c r="I86" s="13">
        <f t="shared" si="1"/>
        <v>14099382.129038619</v>
      </c>
    </row>
    <row r="87" spans="1:9" ht="15.75" x14ac:dyDescent="0.25">
      <c r="A87" s="8"/>
      <c r="B87" s="8"/>
      <c r="C87" s="9"/>
      <c r="D87" s="12" t="s">
        <v>83</v>
      </c>
      <c r="E87" s="14">
        <v>1654677.7100000002</v>
      </c>
      <c r="F87" s="14">
        <v>7862730.5364915542</v>
      </c>
      <c r="G87" s="14">
        <v>3371678.4700000007</v>
      </c>
      <c r="H87" s="14">
        <v>0</v>
      </c>
      <c r="I87" s="13">
        <f t="shared" si="1"/>
        <v>12889086.716491556</v>
      </c>
    </row>
    <row r="88" spans="1:9" ht="15.75" x14ac:dyDescent="0.25">
      <c r="A88" s="8"/>
      <c r="B88" s="8"/>
      <c r="C88" s="9"/>
      <c r="D88" s="12" t="s">
        <v>84</v>
      </c>
      <c r="E88" s="14">
        <v>889004.88</v>
      </c>
      <c r="F88" s="14">
        <v>0</v>
      </c>
      <c r="G88" s="14">
        <v>73211237.520000011</v>
      </c>
      <c r="H88" s="14">
        <v>0</v>
      </c>
      <c r="I88" s="13">
        <f t="shared" si="1"/>
        <v>74100242.400000006</v>
      </c>
    </row>
    <row r="89" spans="1:9" ht="15.75" x14ac:dyDescent="0.25">
      <c r="A89" s="8"/>
      <c r="B89" s="8"/>
      <c r="C89" s="9"/>
      <c r="D89" s="12" t="s">
        <v>85</v>
      </c>
      <c r="E89" s="14">
        <v>2973281.6500000004</v>
      </c>
      <c r="F89" s="14">
        <v>7710168.6241858955</v>
      </c>
      <c r="G89" s="14">
        <v>4811493.3900000006</v>
      </c>
      <c r="H89" s="14">
        <v>0</v>
      </c>
      <c r="I89" s="13">
        <f t="shared" si="1"/>
        <v>15494943.664185897</v>
      </c>
    </row>
    <row r="90" spans="1:9" ht="15.75" x14ac:dyDescent="0.25">
      <c r="A90" s="8"/>
      <c r="B90" s="8"/>
      <c r="C90" s="9"/>
      <c r="D90" s="12" t="s">
        <v>86</v>
      </c>
      <c r="E90" s="14">
        <v>2449098.13</v>
      </c>
      <c r="F90" s="14">
        <v>1995040.3916893997</v>
      </c>
      <c r="G90" s="14">
        <v>7975098.6400000006</v>
      </c>
      <c r="H90" s="14">
        <v>0</v>
      </c>
      <c r="I90" s="13">
        <f t="shared" si="1"/>
        <v>12419237.161689401</v>
      </c>
    </row>
    <row r="91" spans="1:9" ht="15.75" x14ac:dyDescent="0.25">
      <c r="A91" s="8"/>
      <c r="B91" s="8"/>
      <c r="C91" s="9"/>
      <c r="D91" s="12" t="s">
        <v>87</v>
      </c>
      <c r="E91" s="14">
        <v>5272983.7699999996</v>
      </c>
      <c r="F91" s="14">
        <v>4550357.7814243995</v>
      </c>
      <c r="G91" s="14">
        <v>16537099.9</v>
      </c>
      <c r="H91" s="14">
        <v>0</v>
      </c>
      <c r="I91" s="13">
        <f t="shared" si="1"/>
        <v>26360441.451424398</v>
      </c>
    </row>
    <row r="92" spans="1:9" ht="15.75" x14ac:dyDescent="0.25">
      <c r="A92" s="8"/>
      <c r="B92" s="8"/>
      <c r="C92" s="9"/>
      <c r="D92" s="12" t="s">
        <v>88</v>
      </c>
      <c r="E92" s="14">
        <v>1209721.02</v>
      </c>
      <c r="F92" s="14">
        <v>627813.0902424478</v>
      </c>
      <c r="G92" s="14">
        <v>51879172.039999999</v>
      </c>
      <c r="H92" s="14">
        <v>0</v>
      </c>
      <c r="I92" s="13">
        <f t="shared" si="1"/>
        <v>53716706.150242448</v>
      </c>
    </row>
    <row r="93" spans="1:9" ht="15.75" x14ac:dyDescent="0.25">
      <c r="A93" s="8"/>
      <c r="B93" s="8"/>
      <c r="C93" s="9"/>
      <c r="D93" s="12" t="s">
        <v>89</v>
      </c>
      <c r="E93" s="14">
        <v>4576764.74</v>
      </c>
      <c r="F93" s="14">
        <v>5087315.1422540471</v>
      </c>
      <c r="G93" s="14">
        <v>7468488.2299999995</v>
      </c>
      <c r="H93" s="14">
        <v>0</v>
      </c>
      <c r="I93" s="13">
        <f t="shared" si="1"/>
        <v>17132568.112254046</v>
      </c>
    </row>
    <row r="94" spans="1:9" ht="15.75" x14ac:dyDescent="0.25">
      <c r="A94" s="8"/>
      <c r="B94" s="8"/>
      <c r="C94" s="9"/>
      <c r="D94" s="12" t="s">
        <v>90</v>
      </c>
      <c r="E94" s="14">
        <v>28847.77</v>
      </c>
      <c r="F94" s="14">
        <v>0</v>
      </c>
      <c r="G94" s="14">
        <v>2276335.5</v>
      </c>
      <c r="H94" s="14">
        <v>0</v>
      </c>
      <c r="I94" s="13">
        <f t="shared" si="1"/>
        <v>2305183.27</v>
      </c>
    </row>
    <row r="95" spans="1:9" ht="15.75" x14ac:dyDescent="0.25">
      <c r="A95" s="8"/>
      <c r="B95" s="8"/>
      <c r="C95" s="9"/>
      <c r="D95" s="12" t="s">
        <v>91</v>
      </c>
      <c r="E95" s="14">
        <v>904119.04000000015</v>
      </c>
      <c r="F95" s="14">
        <v>161344.63281556396</v>
      </c>
      <c r="G95" s="14">
        <v>83220912.219999999</v>
      </c>
      <c r="H95" s="14">
        <v>0</v>
      </c>
      <c r="I95" s="13">
        <f t="shared" si="1"/>
        <v>84286375.89281556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90410324.369999975</v>
      </c>
      <c r="H96" s="14">
        <v>0</v>
      </c>
      <c r="I96" s="13">
        <f t="shared" si="1"/>
        <v>90410324.369999975</v>
      </c>
    </row>
    <row r="97" spans="1:9" ht="15.75" x14ac:dyDescent="0.25">
      <c r="A97" s="8"/>
      <c r="B97" s="8"/>
      <c r="C97" s="9"/>
      <c r="D97" s="12" t="s">
        <v>93</v>
      </c>
      <c r="E97" s="14">
        <v>3959042.44</v>
      </c>
      <c r="F97" s="14">
        <v>7246577.2648570826</v>
      </c>
      <c r="G97" s="14">
        <v>5160363.74</v>
      </c>
      <c r="H97" s="14">
        <v>0</v>
      </c>
      <c r="I97" s="13">
        <f t="shared" si="1"/>
        <v>16365983.444857083</v>
      </c>
    </row>
    <row r="98" spans="1:9" ht="15.75" x14ac:dyDescent="0.25">
      <c r="A98" s="8"/>
      <c r="B98" s="8"/>
      <c r="C98" s="9"/>
      <c r="D98" s="12" t="s">
        <v>94</v>
      </c>
      <c r="E98" s="14">
        <v>13673560.880000001</v>
      </c>
      <c r="F98" s="14">
        <v>9532053.1382360663</v>
      </c>
      <c r="G98" s="14">
        <v>41000548.269999996</v>
      </c>
      <c r="H98" s="14">
        <v>0</v>
      </c>
      <c r="I98" s="13">
        <f t="shared" si="1"/>
        <v>64206162.288236067</v>
      </c>
    </row>
    <row r="99" spans="1:9" ht="15.75" x14ac:dyDescent="0.25">
      <c r="A99" s="8"/>
      <c r="B99" s="8"/>
      <c r="C99" s="9"/>
      <c r="D99" s="12" t="s">
        <v>95</v>
      </c>
      <c r="E99" s="14">
        <v>11940991.239999998</v>
      </c>
      <c r="F99" s="14">
        <v>18163423.145559907</v>
      </c>
      <c r="G99" s="14">
        <v>16658481.090000002</v>
      </c>
      <c r="H99" s="14">
        <v>0</v>
      </c>
      <c r="I99" s="13">
        <f t="shared" si="1"/>
        <v>46762895.475559905</v>
      </c>
    </row>
    <row r="100" spans="1:9" ht="15.75" x14ac:dyDescent="0.25">
      <c r="A100" s="8"/>
      <c r="B100" s="8"/>
      <c r="C100" s="9"/>
      <c r="D100" s="12" t="s">
        <v>96</v>
      </c>
      <c r="E100" s="14">
        <v>7366369.6300000008</v>
      </c>
      <c r="F100" s="14">
        <v>18172205.866069812</v>
      </c>
      <c r="G100" s="14">
        <v>33773703.380000003</v>
      </c>
      <c r="H100" s="14">
        <v>0</v>
      </c>
      <c r="I100" s="13">
        <f t="shared" si="1"/>
        <v>59312278.876069814</v>
      </c>
    </row>
    <row r="101" spans="1:9" ht="15.75" x14ac:dyDescent="0.25">
      <c r="A101" s="8"/>
      <c r="B101" s="8"/>
      <c r="C101" s="9"/>
      <c r="D101" s="12" t="s">
        <v>97</v>
      </c>
      <c r="E101" s="14">
        <v>567459.95000000007</v>
      </c>
      <c r="F101" s="14">
        <v>24386662.044797488</v>
      </c>
      <c r="G101" s="14">
        <v>366570.05000000005</v>
      </c>
      <c r="H101" s="14">
        <v>0</v>
      </c>
      <c r="I101" s="13">
        <f t="shared" si="1"/>
        <v>25320692.044797488</v>
      </c>
    </row>
    <row r="102" spans="1:9" ht="15.75" x14ac:dyDescent="0.25">
      <c r="A102" s="8"/>
      <c r="B102" s="8"/>
      <c r="C102" s="9"/>
      <c r="D102" s="12" t="s">
        <v>98</v>
      </c>
      <c r="E102" s="14">
        <v>21087538.810000002</v>
      </c>
      <c r="F102" s="14">
        <v>10485584.018423405</v>
      </c>
      <c r="G102" s="14">
        <v>18700779.399999999</v>
      </c>
      <c r="H102" s="14">
        <v>0</v>
      </c>
      <c r="I102" s="13">
        <f t="shared" si="1"/>
        <v>50273902.228423402</v>
      </c>
    </row>
    <row r="103" spans="1:9" ht="15.75" x14ac:dyDescent="0.25">
      <c r="A103" s="8"/>
      <c r="B103" s="8"/>
      <c r="C103" s="9"/>
      <c r="D103" s="12" t="s">
        <v>99</v>
      </c>
      <c r="E103" s="14">
        <v>1783077.02</v>
      </c>
      <c r="F103" s="14">
        <v>3329938.1960869636</v>
      </c>
      <c r="G103" s="14">
        <v>3384217.87</v>
      </c>
      <c r="H103" s="14">
        <v>0</v>
      </c>
      <c r="I103" s="13">
        <f t="shared" si="1"/>
        <v>8497233.0860869624</v>
      </c>
    </row>
    <row r="104" spans="1:9" ht="15.75" x14ac:dyDescent="0.25">
      <c r="A104" s="8"/>
      <c r="B104" s="8"/>
      <c r="C104" s="9"/>
      <c r="D104" s="12" t="s">
        <v>100</v>
      </c>
      <c r="E104" s="14">
        <v>32604393.280000001</v>
      </c>
      <c r="F104" s="14">
        <v>6084759.6249909028</v>
      </c>
      <c r="G104" s="14">
        <v>35342314.799999997</v>
      </c>
      <c r="H104" s="14">
        <v>0</v>
      </c>
      <c r="I104" s="13">
        <f t="shared" si="1"/>
        <v>74031467.704990894</v>
      </c>
    </row>
    <row r="105" spans="1:9" ht="15.75" x14ac:dyDescent="0.25">
      <c r="A105" s="8"/>
      <c r="B105" s="8"/>
      <c r="C105" s="9"/>
      <c r="D105" s="12" t="s">
        <v>101</v>
      </c>
      <c r="E105" s="14">
        <v>8571291.9600000028</v>
      </c>
      <c r="F105" s="14">
        <v>9036207.9949657116</v>
      </c>
      <c r="G105" s="14">
        <v>523884.31000000006</v>
      </c>
      <c r="H105" s="14">
        <v>0</v>
      </c>
      <c r="I105" s="13">
        <f t="shared" si="1"/>
        <v>18131384.264965713</v>
      </c>
    </row>
    <row r="106" spans="1:9" ht="15.75" x14ac:dyDescent="0.25">
      <c r="A106" s="8"/>
      <c r="B106" s="8"/>
      <c r="C106" s="9"/>
      <c r="D106" s="12" t="s">
        <v>102</v>
      </c>
      <c r="E106" s="14">
        <v>10351669.369999999</v>
      </c>
      <c r="F106" s="14">
        <v>557399.89994752791</v>
      </c>
      <c r="G106" s="14">
        <v>71366062.469999984</v>
      </c>
      <c r="H106" s="14">
        <v>0</v>
      </c>
      <c r="I106" s="13">
        <f t="shared" si="1"/>
        <v>82275131.739947513</v>
      </c>
    </row>
    <row r="107" spans="1:9" ht="15.75" x14ac:dyDescent="0.25">
      <c r="A107" s="8"/>
      <c r="B107" s="8"/>
      <c r="C107" s="9"/>
      <c r="D107" s="12" t="s">
        <v>103</v>
      </c>
      <c r="E107" s="14">
        <v>143859.58000000002</v>
      </c>
      <c r="F107" s="14">
        <v>0</v>
      </c>
      <c r="G107" s="14">
        <v>27038299.169999998</v>
      </c>
      <c r="H107" s="14">
        <v>0</v>
      </c>
      <c r="I107" s="13">
        <f t="shared" si="1"/>
        <v>27182158.749999996</v>
      </c>
    </row>
    <row r="108" spans="1:9" ht="15.75" x14ac:dyDescent="0.25">
      <c r="A108" s="8"/>
      <c r="B108" s="8"/>
      <c r="C108" s="9"/>
      <c r="D108" s="12" t="s">
        <v>104</v>
      </c>
      <c r="E108" s="14">
        <v>205199.02000000002</v>
      </c>
      <c r="F108" s="14">
        <v>0</v>
      </c>
      <c r="G108" s="14">
        <v>9884260.9899999984</v>
      </c>
      <c r="H108" s="14">
        <v>0</v>
      </c>
      <c r="I108" s="13">
        <f t="shared" si="1"/>
        <v>10089460.009999998</v>
      </c>
    </row>
    <row r="109" spans="1:9" ht="15.75" x14ac:dyDescent="0.25">
      <c r="A109" s="8"/>
      <c r="B109" s="8"/>
      <c r="C109" s="9"/>
      <c r="D109" s="12" t="s">
        <v>105</v>
      </c>
      <c r="E109" s="14">
        <v>2351658.4</v>
      </c>
      <c r="F109" s="14">
        <v>14534266.747273458</v>
      </c>
      <c r="G109" s="14">
        <v>3275212.2</v>
      </c>
      <c r="H109" s="14">
        <v>0</v>
      </c>
      <c r="I109" s="13">
        <f t="shared" si="1"/>
        <v>20161137.347273458</v>
      </c>
    </row>
    <row r="110" spans="1:9" ht="15.75" x14ac:dyDescent="0.25">
      <c r="A110" s="8"/>
      <c r="B110" s="8"/>
      <c r="C110" s="9"/>
      <c r="D110" s="12" t="s">
        <v>106</v>
      </c>
      <c r="E110" s="14">
        <v>2184696.3200000003</v>
      </c>
      <c r="F110" s="14">
        <v>3370974.7005384117</v>
      </c>
      <c r="G110" s="14">
        <v>4315679.709999999</v>
      </c>
      <c r="H110" s="14">
        <v>0</v>
      </c>
      <c r="I110" s="13">
        <f t="shared" si="1"/>
        <v>9871350.7305384111</v>
      </c>
    </row>
    <row r="111" spans="1:9" ht="15.75" x14ac:dyDescent="0.25">
      <c r="A111" s="8"/>
      <c r="B111" s="8"/>
      <c r="C111" s="9"/>
      <c r="D111" s="12" t="s">
        <v>107</v>
      </c>
      <c r="E111" s="14">
        <v>110160.36</v>
      </c>
      <c r="F111" s="14">
        <v>55724.847373183991</v>
      </c>
      <c r="G111" s="14">
        <v>113288046.89000002</v>
      </c>
      <c r="H111" s="14">
        <v>0</v>
      </c>
      <c r="I111" s="13">
        <f t="shared" si="1"/>
        <v>113453932.0973732</v>
      </c>
    </row>
    <row r="112" spans="1:9" ht="15.75" x14ac:dyDescent="0.25">
      <c r="A112" s="8"/>
      <c r="B112" s="8"/>
      <c r="C112" s="9"/>
      <c r="D112" s="12" t="s">
        <v>108</v>
      </c>
      <c r="E112" s="14">
        <v>6661366.2700000005</v>
      </c>
      <c r="F112" s="14">
        <v>3813972.0945336549</v>
      </c>
      <c r="G112" s="14">
        <v>8596985.75</v>
      </c>
      <c r="H112" s="14">
        <v>0</v>
      </c>
      <c r="I112" s="13">
        <f t="shared" si="1"/>
        <v>19072324.114533655</v>
      </c>
    </row>
    <row r="113" spans="1:9" ht="15.75" x14ac:dyDescent="0.25">
      <c r="A113" s="8"/>
      <c r="B113" s="8"/>
      <c r="C113" s="9"/>
      <c r="D113" s="12" t="s">
        <v>109</v>
      </c>
      <c r="E113" s="14">
        <v>3971067.5500000003</v>
      </c>
      <c r="F113" s="14">
        <v>9182939.9979673829</v>
      </c>
      <c r="G113" s="14">
        <v>7989778.04</v>
      </c>
      <c r="H113" s="14">
        <v>0</v>
      </c>
      <c r="I113" s="13">
        <f t="shared" si="1"/>
        <v>21143785.587967385</v>
      </c>
    </row>
    <row r="114" spans="1:9" ht="15.75" x14ac:dyDescent="0.25">
      <c r="A114" s="8"/>
      <c r="B114" s="8"/>
      <c r="C114" s="9"/>
      <c r="D114" s="12" t="s">
        <v>110</v>
      </c>
      <c r="E114" s="14">
        <v>8494281.2899999991</v>
      </c>
      <c r="F114" s="14">
        <v>10532526.145286683</v>
      </c>
      <c r="G114" s="14">
        <v>9353407.3899999987</v>
      </c>
      <c r="H114" s="14">
        <v>0</v>
      </c>
      <c r="I114" s="13">
        <f t="shared" si="1"/>
        <v>28380214.825286679</v>
      </c>
    </row>
    <row r="115" spans="1:9" ht="15.75" x14ac:dyDescent="0.25">
      <c r="A115" s="8"/>
      <c r="B115" s="8"/>
      <c r="C115" s="9"/>
      <c r="D115" s="12" t="s">
        <v>111</v>
      </c>
      <c r="E115" s="14">
        <v>24283759.800000004</v>
      </c>
      <c r="F115" s="14">
        <v>5207547.5575103192</v>
      </c>
      <c r="G115" s="14">
        <v>11110201.889999999</v>
      </c>
      <c r="H115" s="14">
        <v>0</v>
      </c>
      <c r="I115" s="13">
        <f t="shared" si="1"/>
        <v>40601509.247510321</v>
      </c>
    </row>
    <row r="116" spans="1:9" ht="15.75" x14ac:dyDescent="0.25">
      <c r="A116" s="8"/>
      <c r="B116" s="8"/>
      <c r="C116" s="9"/>
      <c r="D116" s="12" t="s">
        <v>112</v>
      </c>
      <c r="E116" s="14">
        <v>2262578.5</v>
      </c>
      <c r="F116" s="14">
        <v>6762543.3664103914</v>
      </c>
      <c r="G116" s="14">
        <v>1182031.8699999999</v>
      </c>
      <c r="H116" s="14">
        <v>0</v>
      </c>
      <c r="I116" s="13">
        <f t="shared" si="1"/>
        <v>10207153.736410391</v>
      </c>
    </row>
    <row r="117" spans="1:9" ht="15.75" x14ac:dyDescent="0.25">
      <c r="A117" s="8"/>
      <c r="B117" s="8"/>
      <c r="C117" s="9"/>
      <c r="D117" s="12" t="s">
        <v>113</v>
      </c>
      <c r="E117" s="14">
        <v>2519551.6400000006</v>
      </c>
      <c r="F117" s="14">
        <v>5222235.9004320558</v>
      </c>
      <c r="G117" s="14">
        <v>8334102.4999999991</v>
      </c>
      <c r="H117" s="14">
        <v>0</v>
      </c>
      <c r="I117" s="13">
        <f t="shared" si="1"/>
        <v>16075890.040432055</v>
      </c>
    </row>
    <row r="118" spans="1:9" ht="15.75" x14ac:dyDescent="0.25">
      <c r="A118" s="8"/>
      <c r="B118" s="8"/>
      <c r="C118" s="9"/>
      <c r="D118" s="12" t="s">
        <v>114</v>
      </c>
      <c r="E118" s="14">
        <v>7451014.9199999999</v>
      </c>
      <c r="F118" s="14">
        <v>8156118.8293870538</v>
      </c>
      <c r="G118" s="14">
        <v>11122656.379999999</v>
      </c>
      <c r="H118" s="14">
        <v>0</v>
      </c>
      <c r="I118" s="13">
        <f t="shared" si="1"/>
        <v>26729790.129387051</v>
      </c>
    </row>
    <row r="119" spans="1:9" ht="15.75" x14ac:dyDescent="0.25">
      <c r="A119" s="8"/>
      <c r="B119" s="8"/>
      <c r="C119" s="9"/>
      <c r="D119" s="12" t="s">
        <v>115</v>
      </c>
      <c r="E119" s="14">
        <v>1176541.23</v>
      </c>
      <c r="F119" s="14">
        <v>792110.53426392796</v>
      </c>
      <c r="G119" s="14">
        <v>3815928.43</v>
      </c>
      <c r="H119" s="14">
        <v>0</v>
      </c>
      <c r="I119" s="13">
        <f t="shared" si="1"/>
        <v>5784580.1942639276</v>
      </c>
    </row>
    <row r="120" spans="1:9" ht="15.75" x14ac:dyDescent="0.25">
      <c r="A120" s="8"/>
      <c r="B120" s="8"/>
      <c r="C120" s="9"/>
      <c r="D120" s="12" t="s">
        <v>116</v>
      </c>
      <c r="E120" s="14">
        <v>22164050.859999996</v>
      </c>
      <c r="F120" s="14">
        <v>3461906.1430590553</v>
      </c>
      <c r="G120" s="14">
        <v>10131574.1</v>
      </c>
      <c r="H120" s="14">
        <v>0</v>
      </c>
      <c r="I120" s="13">
        <f t="shared" si="1"/>
        <v>35757531.103059053</v>
      </c>
    </row>
    <row r="121" spans="1:9" ht="15.75" x14ac:dyDescent="0.25">
      <c r="A121" s="8"/>
      <c r="B121" s="8"/>
      <c r="C121" s="9"/>
      <c r="D121" s="12" t="s">
        <v>117</v>
      </c>
      <c r="E121" s="14">
        <v>7201769.8100000005</v>
      </c>
      <c r="F121" s="14">
        <v>5137134.3672153996</v>
      </c>
      <c r="G121" s="14">
        <v>6820995.6700000009</v>
      </c>
      <c r="H121" s="14">
        <v>0</v>
      </c>
      <c r="I121" s="13">
        <f t="shared" si="1"/>
        <v>19159899.847215403</v>
      </c>
    </row>
    <row r="122" spans="1:9" ht="15.75" x14ac:dyDescent="0.25">
      <c r="A122" s="8"/>
      <c r="B122" s="8"/>
      <c r="C122" s="9"/>
      <c r="D122" s="12" t="s">
        <v>118</v>
      </c>
      <c r="E122" s="14">
        <v>9991966.1399999987</v>
      </c>
      <c r="F122" s="14">
        <v>3787623.9330039439</v>
      </c>
      <c r="G122" s="14">
        <v>13030210.390000002</v>
      </c>
      <c r="H122" s="14">
        <v>0</v>
      </c>
      <c r="I122" s="13">
        <f t="shared" si="1"/>
        <v>26809800.463003945</v>
      </c>
    </row>
    <row r="123" spans="1:9" ht="15.75" x14ac:dyDescent="0.25">
      <c r="A123" s="8"/>
      <c r="B123" s="8"/>
      <c r="C123" s="9"/>
      <c r="D123" s="12" t="s">
        <v>119</v>
      </c>
      <c r="E123" s="14">
        <v>7633908.5300000012</v>
      </c>
      <c r="F123" s="14">
        <v>6959094.5943734143</v>
      </c>
      <c r="G123" s="14">
        <v>2843342.3400000003</v>
      </c>
      <c r="H123" s="14">
        <v>0</v>
      </c>
      <c r="I123" s="13">
        <f t="shared" si="1"/>
        <v>17436345.464373417</v>
      </c>
    </row>
    <row r="124" spans="1:9" ht="15.75" x14ac:dyDescent="0.25">
      <c r="A124" s="8"/>
      <c r="B124" s="8"/>
      <c r="C124" s="9"/>
      <c r="D124" s="12" t="s">
        <v>120</v>
      </c>
      <c r="E124" s="14">
        <v>310612.12</v>
      </c>
      <c r="F124" s="14">
        <v>0</v>
      </c>
      <c r="G124" s="14">
        <v>31287500.739999998</v>
      </c>
      <c r="H124" s="14">
        <v>7758244.0049999999</v>
      </c>
      <c r="I124" s="13">
        <f t="shared" si="1"/>
        <v>39356356.865000002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170844372.06</v>
      </c>
      <c r="H125" s="14">
        <v>759887.03</v>
      </c>
      <c r="I125" s="13">
        <f t="shared" si="1"/>
        <v>171604259.09</v>
      </c>
    </row>
    <row r="126" spans="1:9" ht="15.75" x14ac:dyDescent="0.25">
      <c r="A126" s="8"/>
      <c r="B126" s="8"/>
      <c r="C126" s="9"/>
      <c r="D126" s="12" t="s">
        <v>122</v>
      </c>
      <c r="E126" s="14">
        <v>742.36</v>
      </c>
      <c r="F126" s="14">
        <v>0</v>
      </c>
      <c r="G126" s="14">
        <v>51047181.330000006</v>
      </c>
      <c r="H126" s="14">
        <v>0</v>
      </c>
      <c r="I126" s="13">
        <f t="shared" si="1"/>
        <v>51047923.690000005</v>
      </c>
    </row>
    <row r="127" spans="1:9" ht="15.75" x14ac:dyDescent="0.25">
      <c r="A127" s="8"/>
      <c r="B127" s="8"/>
      <c r="C127" s="9"/>
      <c r="D127" s="12" t="s">
        <v>123</v>
      </c>
      <c r="E127" s="14">
        <v>3764114.5600000005</v>
      </c>
      <c r="F127" s="14">
        <v>1466941.4644774997</v>
      </c>
      <c r="G127" s="14">
        <v>33253001.380000003</v>
      </c>
      <c r="H127" s="14">
        <v>0</v>
      </c>
      <c r="I127" s="13">
        <f t="shared" si="1"/>
        <v>38484057.404477507</v>
      </c>
    </row>
    <row r="128" spans="1:9" ht="15.75" x14ac:dyDescent="0.25">
      <c r="A128" s="8"/>
      <c r="B128" s="8"/>
      <c r="C128" s="9"/>
      <c r="D128" s="12" t="s">
        <v>124</v>
      </c>
      <c r="E128" s="14">
        <v>6366699.5899999999</v>
      </c>
      <c r="F128" s="14">
        <v>4576781.6560619548</v>
      </c>
      <c r="G128" s="14">
        <v>18026893.650000002</v>
      </c>
      <c r="H128" s="14">
        <v>0</v>
      </c>
      <c r="I128" s="13">
        <f t="shared" si="1"/>
        <v>28970374.896061957</v>
      </c>
    </row>
    <row r="129" spans="1:9" ht="15.75" x14ac:dyDescent="0.25">
      <c r="A129" s="8"/>
      <c r="B129" s="8"/>
      <c r="C129" s="9"/>
      <c r="D129" s="12" t="s">
        <v>125</v>
      </c>
      <c r="E129" s="14">
        <v>2163576.1900000004</v>
      </c>
      <c r="F129" s="14">
        <v>2215062.6830840637</v>
      </c>
      <c r="G129" s="14">
        <v>15398122.240000004</v>
      </c>
      <c r="H129" s="14">
        <v>0</v>
      </c>
      <c r="I129" s="13">
        <f t="shared" si="1"/>
        <v>19776761.11308407</v>
      </c>
    </row>
    <row r="130" spans="1:9" ht="15.75" x14ac:dyDescent="0.25">
      <c r="A130" s="8"/>
      <c r="B130" s="8"/>
      <c r="C130" s="9"/>
      <c r="D130" s="12" t="s">
        <v>126</v>
      </c>
      <c r="E130" s="14">
        <v>1058674.49</v>
      </c>
      <c r="F130" s="14">
        <v>3902026.4389562272</v>
      </c>
      <c r="G130" s="14">
        <v>3456931.24</v>
      </c>
      <c r="H130" s="14">
        <v>0</v>
      </c>
      <c r="I130" s="13">
        <f t="shared" si="1"/>
        <v>8417632.1689562276</v>
      </c>
    </row>
    <row r="131" spans="1:9" ht="15.75" x14ac:dyDescent="0.25">
      <c r="A131" s="8"/>
      <c r="B131" s="8"/>
      <c r="C131" s="9"/>
      <c r="D131" s="12" t="s">
        <v>127</v>
      </c>
      <c r="E131" s="14">
        <v>19972961.330000006</v>
      </c>
      <c r="F131" s="14">
        <v>21326111.086419478</v>
      </c>
      <c r="G131" s="14">
        <v>77196709.870000005</v>
      </c>
      <c r="H131" s="14">
        <v>0</v>
      </c>
      <c r="I131" s="13">
        <f t="shared" si="1"/>
        <v>118495782.28641948</v>
      </c>
    </row>
    <row r="132" spans="1:9" ht="15.75" x14ac:dyDescent="0.25">
      <c r="A132" s="8"/>
      <c r="B132" s="8"/>
      <c r="C132" s="9"/>
      <c r="D132" s="12" t="s">
        <v>128</v>
      </c>
      <c r="E132" s="14">
        <v>2316963.31</v>
      </c>
      <c r="F132" s="14">
        <v>13084966.436923608</v>
      </c>
      <c r="G132" s="14">
        <v>916094.85000000009</v>
      </c>
      <c r="H132" s="14">
        <v>0</v>
      </c>
      <c r="I132" s="13">
        <f t="shared" si="1"/>
        <v>16318024.596923608</v>
      </c>
    </row>
    <row r="133" spans="1:9" ht="15.75" x14ac:dyDescent="0.25">
      <c r="A133" s="8"/>
      <c r="B133" s="8"/>
      <c r="C133" s="9"/>
      <c r="D133" s="12" t="s">
        <v>129</v>
      </c>
      <c r="E133" s="14">
        <v>918890.35000000021</v>
      </c>
      <c r="F133" s="14">
        <v>0</v>
      </c>
      <c r="G133" s="14">
        <v>123561838.69</v>
      </c>
      <c r="H133" s="14">
        <v>2359472.1300000004</v>
      </c>
      <c r="I133" s="13">
        <f t="shared" si="1"/>
        <v>126840201.16999999</v>
      </c>
    </row>
    <row r="134" spans="1:9" ht="15.75" x14ac:dyDescent="0.25">
      <c r="A134" s="8"/>
      <c r="B134" s="8"/>
      <c r="C134" s="9"/>
      <c r="D134" s="12" t="s">
        <v>130</v>
      </c>
      <c r="E134" s="14">
        <v>166297.78</v>
      </c>
      <c r="F134" s="14">
        <v>645454.24437009986</v>
      </c>
      <c r="G134" s="14">
        <v>38387.480000000003</v>
      </c>
      <c r="H134" s="14">
        <v>0</v>
      </c>
      <c r="I134" s="13">
        <f t="shared" si="1"/>
        <v>850139.50437009986</v>
      </c>
    </row>
    <row r="135" spans="1:9" ht="15.75" x14ac:dyDescent="0.25">
      <c r="A135" s="8"/>
      <c r="B135" s="8"/>
      <c r="C135" s="9"/>
      <c r="D135" s="12" t="s">
        <v>131</v>
      </c>
      <c r="E135" s="14">
        <v>3204650.82</v>
      </c>
      <c r="F135" s="14">
        <v>8156118.8293870538</v>
      </c>
      <c r="G135" s="14">
        <v>3154549.44</v>
      </c>
      <c r="H135" s="14">
        <v>0</v>
      </c>
      <c r="I135" s="13">
        <f t="shared" si="1"/>
        <v>14515319.089387054</v>
      </c>
    </row>
    <row r="136" spans="1:9" ht="15.75" x14ac:dyDescent="0.25">
      <c r="A136" s="8"/>
      <c r="B136" s="8"/>
      <c r="C136" s="9"/>
      <c r="D136" s="12" t="s">
        <v>132</v>
      </c>
      <c r="E136" s="14">
        <v>19289055.330000002</v>
      </c>
      <c r="F136" s="14">
        <v>9857695.2150731087</v>
      </c>
      <c r="G136" s="14">
        <v>27485916.09</v>
      </c>
      <c r="H136" s="14">
        <v>0</v>
      </c>
      <c r="I136" s="13">
        <f t="shared" si="1"/>
        <v>56632666.63507311</v>
      </c>
    </row>
    <row r="137" spans="1:9" ht="15.75" x14ac:dyDescent="0.25">
      <c r="A137" s="8"/>
      <c r="B137" s="8"/>
      <c r="C137" s="9"/>
      <c r="D137" s="12" t="s">
        <v>133</v>
      </c>
      <c r="E137" s="14">
        <v>13069813.809999999</v>
      </c>
      <c r="F137" s="14">
        <v>15499457.446068771</v>
      </c>
      <c r="G137" s="14">
        <v>41301858.619999997</v>
      </c>
      <c r="H137" s="14">
        <v>0</v>
      </c>
      <c r="I137" s="13">
        <f t="shared" si="1"/>
        <v>69871129.876068771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64837753.50999999</v>
      </c>
      <c r="H138" s="14">
        <v>0</v>
      </c>
      <c r="I138" s="13">
        <f t="shared" ref="I138:I144" si="2">SUM(E138:H138)</f>
        <v>64837753.50999999</v>
      </c>
    </row>
    <row r="139" spans="1:9" ht="15.75" x14ac:dyDescent="0.25">
      <c r="A139" s="8"/>
      <c r="B139" s="8"/>
      <c r="C139" s="9"/>
      <c r="D139" s="12" t="s">
        <v>135</v>
      </c>
      <c r="E139" s="14">
        <v>2317839.64</v>
      </c>
      <c r="F139" s="14">
        <v>2320682.4685264435</v>
      </c>
      <c r="G139" s="14">
        <v>3970277.1399999997</v>
      </c>
      <c r="H139" s="14">
        <v>0</v>
      </c>
      <c r="I139" s="13">
        <f t="shared" si="2"/>
        <v>8608799.2485264428</v>
      </c>
    </row>
    <row r="140" spans="1:9" ht="15.75" x14ac:dyDescent="0.25">
      <c r="A140" s="8"/>
      <c r="B140" s="8"/>
      <c r="C140" s="9"/>
      <c r="D140" s="12" t="s">
        <v>136</v>
      </c>
      <c r="E140" s="14">
        <v>10652395.120000001</v>
      </c>
      <c r="F140" s="14">
        <v>16458893.948667936</v>
      </c>
      <c r="G140" s="14">
        <v>14350471.489999998</v>
      </c>
      <c r="H140" s="14">
        <v>0</v>
      </c>
      <c r="I140" s="13">
        <f t="shared" si="2"/>
        <v>41461760.558667935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74470946.599999994</v>
      </c>
      <c r="H141" s="14">
        <v>1447272.1950000001</v>
      </c>
      <c r="I141" s="13">
        <f t="shared" si="2"/>
        <v>75918218.794999987</v>
      </c>
    </row>
    <row r="142" spans="1:9" ht="15.75" x14ac:dyDescent="0.25">
      <c r="A142" s="8"/>
      <c r="B142" s="8"/>
      <c r="C142" s="9"/>
      <c r="D142" s="12" t="s">
        <v>138</v>
      </c>
      <c r="E142" s="14">
        <v>49079.97</v>
      </c>
      <c r="F142" s="14">
        <v>0</v>
      </c>
      <c r="G142" s="14">
        <v>22136009.799999997</v>
      </c>
      <c r="H142" s="14">
        <v>0</v>
      </c>
      <c r="I142" s="13">
        <f t="shared" si="2"/>
        <v>22185089.769999996</v>
      </c>
    </row>
    <row r="143" spans="1:9" ht="15.75" x14ac:dyDescent="0.25">
      <c r="A143" s="8"/>
      <c r="B143" s="8"/>
      <c r="C143" s="9"/>
      <c r="D143" s="12" t="s">
        <v>139</v>
      </c>
      <c r="E143" s="14">
        <v>592298.05000000005</v>
      </c>
      <c r="F143" s="14">
        <v>15211974.775585104</v>
      </c>
      <c r="G143" s="14">
        <v>819151.83</v>
      </c>
      <c r="H143" s="14">
        <v>0</v>
      </c>
      <c r="I143" s="13">
        <f t="shared" si="2"/>
        <v>16623424.655585105</v>
      </c>
    </row>
    <row r="144" spans="1:9" ht="15.75" x14ac:dyDescent="0.25">
      <c r="A144" s="8"/>
      <c r="B144" s="8"/>
      <c r="C144" s="9"/>
      <c r="D144" s="12" t="s">
        <v>140</v>
      </c>
      <c r="E144" s="14">
        <v>5579386.3899999997</v>
      </c>
      <c r="F144" s="14">
        <v>1848308.3886877277</v>
      </c>
      <c r="G144" s="14">
        <v>23107644.150000002</v>
      </c>
      <c r="H144" s="14">
        <v>0</v>
      </c>
      <c r="I144" s="13">
        <f t="shared" si="2"/>
        <v>30535338.928687729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845615313.53999984</v>
      </c>
      <c r="F145" s="22">
        <f t="shared" ref="F145:I145" si="3">SUM(F10:F144)</f>
        <v>757095947.55796051</v>
      </c>
      <c r="G145" s="22">
        <f t="shared" si="3"/>
        <v>3823036139.2599978</v>
      </c>
      <c r="H145" s="22">
        <f t="shared" si="3"/>
        <v>12324875.360000001</v>
      </c>
      <c r="I145" s="22">
        <f t="shared" si="3"/>
        <v>5438072275.7179613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6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1910024.1</v>
      </c>
      <c r="F10" s="14">
        <v>10809568.571290204</v>
      </c>
      <c r="G10" s="14">
        <v>8233638.3800000008</v>
      </c>
      <c r="H10" s="14">
        <v>0</v>
      </c>
      <c r="I10" s="13">
        <f t="shared" ref="I10:I73" si="0">SUM(E10:H10)</f>
        <v>20953231.051290207</v>
      </c>
    </row>
    <row r="11" spans="1:9" ht="15.75" x14ac:dyDescent="0.25">
      <c r="A11" s="8"/>
      <c r="B11" s="8"/>
      <c r="C11" s="9"/>
      <c r="D11" s="12" t="s">
        <v>7</v>
      </c>
      <c r="E11" s="14">
        <v>3053527.2199999997</v>
      </c>
      <c r="F11" s="14">
        <v>6067145.7293040697</v>
      </c>
      <c r="G11" s="14">
        <v>7467270.4600000009</v>
      </c>
      <c r="H11" s="14">
        <v>0</v>
      </c>
      <c r="I11" s="13">
        <f t="shared" si="0"/>
        <v>16587943.409304071</v>
      </c>
    </row>
    <row r="12" spans="1:9" ht="15.75" x14ac:dyDescent="0.25">
      <c r="A12" s="8"/>
      <c r="B12" s="8"/>
      <c r="C12" s="9"/>
      <c r="D12" s="12" t="s">
        <v>8</v>
      </c>
      <c r="E12" s="14">
        <v>4117833.12</v>
      </c>
      <c r="F12" s="14">
        <v>2199545.5550547768</v>
      </c>
      <c r="G12" s="14">
        <v>6314989</v>
      </c>
      <c r="H12" s="14">
        <v>0</v>
      </c>
      <c r="I12" s="13">
        <f t="shared" si="0"/>
        <v>12632367.675054777</v>
      </c>
    </row>
    <row r="13" spans="1:9" ht="15.75" x14ac:dyDescent="0.25">
      <c r="A13" s="8"/>
      <c r="B13" s="8"/>
      <c r="C13" s="9"/>
      <c r="D13" s="12" t="s">
        <v>9</v>
      </c>
      <c r="E13" s="14">
        <v>745283.99</v>
      </c>
      <c r="F13" s="14">
        <v>58164.670132757972</v>
      </c>
      <c r="G13" s="14">
        <v>79529494.699999988</v>
      </c>
      <c r="H13" s="14">
        <v>0</v>
      </c>
      <c r="I13" s="13">
        <f t="shared" si="0"/>
        <v>80332943.360132739</v>
      </c>
    </row>
    <row r="14" spans="1:9" ht="15.75" x14ac:dyDescent="0.25">
      <c r="A14" s="8"/>
      <c r="B14" s="8"/>
      <c r="C14" s="9"/>
      <c r="D14" s="12" t="s">
        <v>10</v>
      </c>
      <c r="E14" s="14">
        <v>14067100.560000001</v>
      </c>
      <c r="F14" s="14">
        <v>2443917.2586590149</v>
      </c>
      <c r="G14" s="14">
        <v>11219731.82</v>
      </c>
      <c r="H14" s="14">
        <v>0</v>
      </c>
      <c r="I14" s="13">
        <f t="shared" si="0"/>
        <v>27730749.638659015</v>
      </c>
    </row>
    <row r="15" spans="1:9" ht="15.75" x14ac:dyDescent="0.25">
      <c r="A15" s="8"/>
      <c r="B15" s="8"/>
      <c r="C15" s="9"/>
      <c r="D15" s="12" t="s">
        <v>11</v>
      </c>
      <c r="E15" s="14">
        <v>0</v>
      </c>
      <c r="F15" s="14">
        <v>13565.082277088994</v>
      </c>
      <c r="G15" s="14">
        <v>72634350.629999995</v>
      </c>
      <c r="H15" s="14">
        <v>0</v>
      </c>
      <c r="I15" s="13">
        <f t="shared" si="0"/>
        <v>72647915.712277085</v>
      </c>
    </row>
    <row r="16" spans="1:9" ht="15.75" x14ac:dyDescent="0.25">
      <c r="A16" s="8"/>
      <c r="B16" s="8"/>
      <c r="C16" s="9"/>
      <c r="D16" s="12" t="s">
        <v>12</v>
      </c>
      <c r="E16" s="14">
        <v>10977757.949999999</v>
      </c>
      <c r="F16" s="14">
        <v>11653306.677794306</v>
      </c>
      <c r="G16" s="14">
        <v>11053009</v>
      </c>
      <c r="H16" s="14">
        <v>0</v>
      </c>
      <c r="I16" s="13">
        <f t="shared" si="0"/>
        <v>33684073.627794303</v>
      </c>
    </row>
    <row r="17" spans="1:9" ht="15.75" x14ac:dyDescent="0.25">
      <c r="A17" s="8"/>
      <c r="B17" s="8"/>
      <c r="C17" s="9"/>
      <c r="D17" s="12" t="s">
        <v>13</v>
      </c>
      <c r="E17" s="14">
        <v>12910470.930000002</v>
      </c>
      <c r="F17" s="14">
        <v>10706754.257647619</v>
      </c>
      <c r="G17" s="14">
        <v>31614906.18</v>
      </c>
      <c r="H17" s="14">
        <v>0</v>
      </c>
      <c r="I17" s="13">
        <f t="shared" si="0"/>
        <v>55232131.367647618</v>
      </c>
    </row>
    <row r="18" spans="1:9" ht="15.75" x14ac:dyDescent="0.25">
      <c r="A18" s="8"/>
      <c r="B18" s="8"/>
      <c r="C18" s="9"/>
      <c r="D18" s="12" t="s">
        <v>14</v>
      </c>
      <c r="E18" s="14">
        <v>1448685.6299999997</v>
      </c>
      <c r="F18" s="14">
        <v>872820.44157048268</v>
      </c>
      <c r="G18" s="14">
        <v>141498178.91999999</v>
      </c>
      <c r="H18" s="14">
        <v>0</v>
      </c>
      <c r="I18" s="13">
        <f t="shared" si="0"/>
        <v>143819684.99157047</v>
      </c>
    </row>
    <row r="19" spans="1:9" ht="15.75" x14ac:dyDescent="0.25">
      <c r="A19" s="8"/>
      <c r="B19" s="8"/>
      <c r="C19" s="9"/>
      <c r="D19" s="12" t="s">
        <v>15</v>
      </c>
      <c r="E19" s="14">
        <v>9444623.3699999992</v>
      </c>
      <c r="F19" s="14">
        <v>8330712.4660282079</v>
      </c>
      <c r="G19" s="14">
        <v>27537252.870000001</v>
      </c>
      <c r="H19" s="14">
        <v>0</v>
      </c>
      <c r="I19" s="13">
        <f t="shared" si="0"/>
        <v>45312588.706028208</v>
      </c>
    </row>
    <row r="20" spans="1:9" ht="15.75" x14ac:dyDescent="0.25">
      <c r="A20" s="8"/>
      <c r="B20" s="8"/>
      <c r="C20" s="9"/>
      <c r="D20" s="12" t="s">
        <v>16</v>
      </c>
      <c r="E20" s="14">
        <v>5347838.7299999995</v>
      </c>
      <c r="F20" s="14">
        <v>2073455.3622282562</v>
      </c>
      <c r="G20" s="14">
        <v>10334752.790000001</v>
      </c>
      <c r="H20" s="14">
        <v>0</v>
      </c>
      <c r="I20" s="13">
        <f t="shared" si="0"/>
        <v>17756046.882228255</v>
      </c>
    </row>
    <row r="21" spans="1:9" ht="15.75" x14ac:dyDescent="0.25">
      <c r="A21" s="8"/>
      <c r="B21" s="8"/>
      <c r="C21" s="9"/>
      <c r="D21" s="12" t="s">
        <v>17</v>
      </c>
      <c r="E21" s="14">
        <v>15305846.210000003</v>
      </c>
      <c r="F21" s="14">
        <v>9965830.4647860993</v>
      </c>
      <c r="G21" s="14">
        <v>6335606.540000001</v>
      </c>
      <c r="H21" s="14">
        <v>0</v>
      </c>
      <c r="I21" s="13">
        <f t="shared" si="0"/>
        <v>31607283.214786105</v>
      </c>
    </row>
    <row r="22" spans="1:9" ht="15.75" x14ac:dyDescent="0.25">
      <c r="A22" s="8"/>
      <c r="B22" s="8"/>
      <c r="C22" s="9"/>
      <c r="D22" s="12" t="s">
        <v>18</v>
      </c>
      <c r="E22" s="14">
        <v>166645.22000000003</v>
      </c>
      <c r="F22" s="14">
        <v>426724.45170547487</v>
      </c>
      <c r="G22" s="14">
        <v>48728544.850000001</v>
      </c>
      <c r="H22" s="14">
        <v>0</v>
      </c>
      <c r="I22" s="13">
        <f t="shared" si="0"/>
        <v>49321914.521705478</v>
      </c>
    </row>
    <row r="23" spans="1:9" ht="15.75" x14ac:dyDescent="0.25">
      <c r="A23" s="8"/>
      <c r="B23" s="8"/>
      <c r="C23" s="9"/>
      <c r="D23" s="12" t="s">
        <v>19</v>
      </c>
      <c r="E23" s="14">
        <v>2272966.9499999997</v>
      </c>
      <c r="F23" s="14">
        <v>159026.81326314295</v>
      </c>
      <c r="G23" s="14">
        <v>19189552.120000001</v>
      </c>
      <c r="H23" s="14">
        <v>0</v>
      </c>
      <c r="I23" s="13">
        <f t="shared" si="0"/>
        <v>21621545.883263145</v>
      </c>
    </row>
    <row r="24" spans="1:9" ht="15.75" x14ac:dyDescent="0.25">
      <c r="A24" s="8"/>
      <c r="B24" s="8"/>
      <c r="C24" s="9"/>
      <c r="D24" s="12" t="s">
        <v>20</v>
      </c>
      <c r="E24" s="14">
        <v>6366873.29</v>
      </c>
      <c r="F24" s="14">
        <v>6111795.3728138972</v>
      </c>
      <c r="G24" s="14">
        <v>17644577.309999999</v>
      </c>
      <c r="H24" s="14">
        <v>0</v>
      </c>
      <c r="I24" s="13">
        <f t="shared" si="0"/>
        <v>30123245.972813897</v>
      </c>
    </row>
    <row r="25" spans="1:9" ht="15.75" x14ac:dyDescent="0.25">
      <c r="A25" s="8"/>
      <c r="B25" s="8"/>
      <c r="C25" s="9"/>
      <c r="D25" s="12" t="s">
        <v>21</v>
      </c>
      <c r="E25" s="14">
        <v>3954818.63</v>
      </c>
      <c r="F25" s="14">
        <v>4538746.3852131637</v>
      </c>
      <c r="G25" s="14">
        <v>13943821.529999999</v>
      </c>
      <c r="H25" s="14">
        <v>0</v>
      </c>
      <c r="I25" s="13">
        <f t="shared" si="0"/>
        <v>22437386.545213163</v>
      </c>
    </row>
    <row r="26" spans="1:9" ht="15.75" x14ac:dyDescent="0.25">
      <c r="A26" s="8"/>
      <c r="B26" s="8"/>
      <c r="C26" s="9"/>
      <c r="D26" s="12" t="s">
        <v>22</v>
      </c>
      <c r="E26" s="14">
        <v>1963060.7000000004</v>
      </c>
      <c r="F26" s="14">
        <v>2599089.7865519151</v>
      </c>
      <c r="G26" s="14">
        <v>11475820.079999996</v>
      </c>
      <c r="H26" s="14">
        <v>0</v>
      </c>
      <c r="I26" s="13">
        <f t="shared" si="0"/>
        <v>16037970.566551913</v>
      </c>
    </row>
    <row r="27" spans="1:9" ht="15.75" x14ac:dyDescent="0.25">
      <c r="A27" s="8"/>
      <c r="B27" s="8"/>
      <c r="C27" s="9"/>
      <c r="D27" s="12" t="s">
        <v>23</v>
      </c>
      <c r="E27" s="14">
        <v>2647562.7499999995</v>
      </c>
      <c r="F27" s="14">
        <v>446095.98986500787</v>
      </c>
      <c r="G27" s="14">
        <v>59707765.330000006</v>
      </c>
      <c r="H27" s="14">
        <v>0</v>
      </c>
      <c r="I27" s="13">
        <f t="shared" si="0"/>
        <v>62801424.069865011</v>
      </c>
    </row>
    <row r="28" spans="1:9" ht="15.75" x14ac:dyDescent="0.25">
      <c r="A28" s="8"/>
      <c r="B28" s="8"/>
      <c r="C28" s="9"/>
      <c r="D28" s="12" t="s">
        <v>24</v>
      </c>
      <c r="E28" s="14">
        <v>2452241.64</v>
      </c>
      <c r="F28" s="14">
        <v>2114200.6647136821</v>
      </c>
      <c r="G28" s="14">
        <v>15285257.390000002</v>
      </c>
      <c r="H28" s="14">
        <v>0</v>
      </c>
      <c r="I28" s="13">
        <f t="shared" si="0"/>
        <v>19851699.694713686</v>
      </c>
    </row>
    <row r="29" spans="1:9" ht="15.75" x14ac:dyDescent="0.25">
      <c r="A29" s="8"/>
      <c r="B29" s="8"/>
      <c r="C29" s="9"/>
      <c r="D29" s="12" t="s">
        <v>25</v>
      </c>
      <c r="E29" s="14">
        <v>3256286.79</v>
      </c>
      <c r="F29" s="14">
        <v>1183165.4973562825</v>
      </c>
      <c r="G29" s="14">
        <v>5118569.5799999991</v>
      </c>
      <c r="H29" s="14">
        <v>0</v>
      </c>
      <c r="I29" s="13">
        <f t="shared" si="0"/>
        <v>9558021.8673562817</v>
      </c>
    </row>
    <row r="30" spans="1:9" ht="15.75" x14ac:dyDescent="0.25">
      <c r="A30" s="8"/>
      <c r="B30" s="8"/>
      <c r="C30" s="9"/>
      <c r="D30" s="12" t="s">
        <v>26</v>
      </c>
      <c r="E30" s="14">
        <v>7617647.6000000006</v>
      </c>
      <c r="F30" s="14">
        <v>6381395.1261142716</v>
      </c>
      <c r="G30" s="14">
        <v>10620602.689999999</v>
      </c>
      <c r="H30" s="14">
        <v>0</v>
      </c>
      <c r="I30" s="13">
        <f t="shared" si="0"/>
        <v>24619645.416114271</v>
      </c>
    </row>
    <row r="31" spans="1:9" ht="15.75" x14ac:dyDescent="0.25">
      <c r="A31" s="8"/>
      <c r="B31" s="8"/>
      <c r="C31" s="9"/>
      <c r="D31" s="12" t="s">
        <v>27</v>
      </c>
      <c r="E31" s="14">
        <v>5177106.5100000016</v>
      </c>
      <c r="F31" s="14">
        <v>6614153.9179536216</v>
      </c>
      <c r="G31" s="14">
        <v>8016522.71</v>
      </c>
      <c r="H31" s="14">
        <v>0</v>
      </c>
      <c r="I31" s="13">
        <f t="shared" si="0"/>
        <v>19807783.137953624</v>
      </c>
    </row>
    <row r="32" spans="1:9" ht="15.75" x14ac:dyDescent="0.25">
      <c r="A32" s="8"/>
      <c r="B32" s="8"/>
      <c r="C32" s="9"/>
      <c r="D32" s="12" t="s">
        <v>28</v>
      </c>
      <c r="E32" s="14">
        <v>6836604.910000002</v>
      </c>
      <c r="F32" s="14">
        <v>2232532.2311455579</v>
      </c>
      <c r="G32" s="14">
        <v>5539041.21</v>
      </c>
      <c r="H32" s="14">
        <v>0</v>
      </c>
      <c r="I32" s="13">
        <f t="shared" si="0"/>
        <v>14608178.351145562</v>
      </c>
    </row>
    <row r="33" spans="1:9" ht="15.75" x14ac:dyDescent="0.25">
      <c r="A33" s="8"/>
      <c r="B33" s="8"/>
      <c r="C33" s="9"/>
      <c r="D33" s="12" t="s">
        <v>29</v>
      </c>
      <c r="E33" s="14">
        <v>1159152</v>
      </c>
      <c r="F33" s="14">
        <v>3374952.4260164141</v>
      </c>
      <c r="G33" s="14">
        <v>4743011.4800000004</v>
      </c>
      <c r="H33" s="14">
        <v>0</v>
      </c>
      <c r="I33" s="13">
        <f t="shared" si="0"/>
        <v>9277115.906016415</v>
      </c>
    </row>
    <row r="34" spans="1:9" ht="15.75" x14ac:dyDescent="0.25">
      <c r="A34" s="8"/>
      <c r="B34" s="8"/>
      <c r="C34" s="9"/>
      <c r="D34" s="12" t="s">
        <v>30</v>
      </c>
      <c r="E34" s="14">
        <v>9666066.9399999995</v>
      </c>
      <c r="F34" s="14">
        <v>4843234.9294623611</v>
      </c>
      <c r="G34" s="14">
        <v>16861336.649999999</v>
      </c>
      <c r="H34" s="14">
        <v>0</v>
      </c>
      <c r="I34" s="13">
        <f t="shared" si="0"/>
        <v>31370638.519462358</v>
      </c>
    </row>
    <row r="35" spans="1:9" ht="15.75" x14ac:dyDescent="0.25">
      <c r="A35" s="8"/>
      <c r="B35" s="8"/>
      <c r="C35" s="9"/>
      <c r="D35" s="12" t="s">
        <v>31</v>
      </c>
      <c r="E35" s="14">
        <v>10831285.640000001</v>
      </c>
      <c r="F35" s="14">
        <v>7120366.7484635878</v>
      </c>
      <c r="G35" s="14">
        <v>15219094.829999998</v>
      </c>
      <c r="H35" s="14">
        <v>0</v>
      </c>
      <c r="I35" s="13">
        <f t="shared" si="0"/>
        <v>33170747.218463585</v>
      </c>
    </row>
    <row r="36" spans="1:9" ht="15.75" x14ac:dyDescent="0.25">
      <c r="A36" s="8"/>
      <c r="B36" s="8"/>
      <c r="C36" s="9"/>
      <c r="D36" s="12" t="s">
        <v>32</v>
      </c>
      <c r="E36" s="14">
        <v>5243832.91</v>
      </c>
      <c r="F36" s="14">
        <v>4418462.6482690871</v>
      </c>
      <c r="G36" s="14">
        <v>24877067.73</v>
      </c>
      <c r="H36" s="14">
        <v>0</v>
      </c>
      <c r="I36" s="13">
        <f t="shared" si="0"/>
        <v>34539363.288269088</v>
      </c>
    </row>
    <row r="37" spans="1:9" ht="15.75" x14ac:dyDescent="0.25">
      <c r="A37" s="8"/>
      <c r="B37" s="8"/>
      <c r="C37" s="9"/>
      <c r="D37" s="12" t="s">
        <v>33</v>
      </c>
      <c r="E37" s="14">
        <v>5438534.6099999985</v>
      </c>
      <c r="F37" s="14">
        <v>2443917.2586590149</v>
      </c>
      <c r="G37" s="14">
        <v>6788613.2400000002</v>
      </c>
      <c r="H37" s="14">
        <v>0</v>
      </c>
      <c r="I37" s="13">
        <f t="shared" si="0"/>
        <v>14671065.108659014</v>
      </c>
    </row>
    <row r="38" spans="1:9" ht="15.75" x14ac:dyDescent="0.25">
      <c r="A38" s="8"/>
      <c r="B38" s="8"/>
      <c r="C38" s="9"/>
      <c r="D38" s="12" t="s">
        <v>34</v>
      </c>
      <c r="E38" s="14">
        <v>3273651.9</v>
      </c>
      <c r="F38" s="14">
        <v>5310704.6836532615</v>
      </c>
      <c r="G38" s="14">
        <v>18630218.040000007</v>
      </c>
      <c r="H38" s="14">
        <v>0</v>
      </c>
      <c r="I38" s="13">
        <f t="shared" si="0"/>
        <v>27214574.62365327</v>
      </c>
    </row>
    <row r="39" spans="1:9" ht="15.75" x14ac:dyDescent="0.25">
      <c r="A39" s="8"/>
      <c r="B39" s="8"/>
      <c r="C39" s="9"/>
      <c r="D39" s="12" t="s">
        <v>35</v>
      </c>
      <c r="E39" s="14">
        <v>2491483.73</v>
      </c>
      <c r="F39" s="14">
        <v>8315195.2132389173</v>
      </c>
      <c r="G39" s="14">
        <v>8193040.4900000012</v>
      </c>
      <c r="H39" s="14">
        <v>0</v>
      </c>
      <c r="I39" s="13">
        <f t="shared" si="0"/>
        <v>18999719.43323892</v>
      </c>
    </row>
    <row r="40" spans="1:9" ht="15.75" x14ac:dyDescent="0.25">
      <c r="A40" s="8"/>
      <c r="B40" s="8"/>
      <c r="C40" s="9"/>
      <c r="D40" s="12" t="s">
        <v>36</v>
      </c>
      <c r="E40" s="14">
        <v>286186.93000000005</v>
      </c>
      <c r="F40" s="14">
        <v>436435.24861232081</v>
      </c>
      <c r="G40" s="14">
        <v>5636682.1299999999</v>
      </c>
      <c r="H40" s="14">
        <v>0</v>
      </c>
      <c r="I40" s="13">
        <f t="shared" si="0"/>
        <v>6359304.3086123206</v>
      </c>
    </row>
    <row r="41" spans="1:9" ht="15.75" x14ac:dyDescent="0.25">
      <c r="A41" s="8"/>
      <c r="B41" s="8"/>
      <c r="C41" s="9"/>
      <c r="D41" s="12" t="s">
        <v>37</v>
      </c>
      <c r="E41" s="14">
        <v>11102315.060000001</v>
      </c>
      <c r="F41" s="14">
        <v>7293008.6996579785</v>
      </c>
      <c r="G41" s="14">
        <v>20287133.779999997</v>
      </c>
      <c r="H41" s="14">
        <v>0</v>
      </c>
      <c r="I41" s="13">
        <f t="shared" si="0"/>
        <v>38682457.53965798</v>
      </c>
    </row>
    <row r="42" spans="1:9" ht="15.75" x14ac:dyDescent="0.25">
      <c r="A42" s="8"/>
      <c r="B42" s="8"/>
      <c r="C42" s="9"/>
      <c r="D42" s="12" t="s">
        <v>38</v>
      </c>
      <c r="E42" s="14">
        <v>6239612.1999999993</v>
      </c>
      <c r="F42" s="14">
        <v>7898181.5584402885</v>
      </c>
      <c r="G42" s="14">
        <v>7829831.3400000008</v>
      </c>
      <c r="H42" s="14">
        <v>0</v>
      </c>
      <c r="I42" s="13">
        <f t="shared" si="0"/>
        <v>21967625.098440289</v>
      </c>
    </row>
    <row r="43" spans="1:9" ht="15.75" x14ac:dyDescent="0.25">
      <c r="A43" s="8"/>
      <c r="B43" s="8"/>
      <c r="C43" s="9"/>
      <c r="D43" s="12" t="s">
        <v>39</v>
      </c>
      <c r="E43" s="14">
        <v>1295132.1699999997</v>
      </c>
      <c r="F43" s="14">
        <v>2872593.8808766901</v>
      </c>
      <c r="G43" s="14">
        <v>9043327.629999999</v>
      </c>
      <c r="H43" s="14">
        <v>0</v>
      </c>
      <c r="I43" s="13">
        <f t="shared" si="0"/>
        <v>13211053.680876689</v>
      </c>
    </row>
    <row r="44" spans="1:9" ht="15.75" x14ac:dyDescent="0.25">
      <c r="A44" s="8"/>
      <c r="B44" s="8"/>
      <c r="C44" s="9"/>
      <c r="D44" s="12" t="s">
        <v>40</v>
      </c>
      <c r="E44" s="14">
        <v>19259.29</v>
      </c>
      <c r="F44" s="14">
        <v>221095.8244203029</v>
      </c>
      <c r="G44" s="14">
        <v>12341215.649999999</v>
      </c>
      <c r="H44" s="14">
        <v>0</v>
      </c>
      <c r="I44" s="13">
        <f t="shared" si="0"/>
        <v>12581570.764420301</v>
      </c>
    </row>
    <row r="45" spans="1:9" ht="15.75" x14ac:dyDescent="0.25">
      <c r="A45" s="8"/>
      <c r="B45" s="8"/>
      <c r="C45" s="9"/>
      <c r="D45" s="12" t="s">
        <v>41</v>
      </c>
      <c r="E45" s="14">
        <v>934910.22</v>
      </c>
      <c r="F45" s="14">
        <v>64021.181669360958</v>
      </c>
      <c r="G45" s="14">
        <v>37239021.870000005</v>
      </c>
      <c r="H45" s="14">
        <v>0</v>
      </c>
      <c r="I45" s="13">
        <f t="shared" si="0"/>
        <v>38237953.271669365</v>
      </c>
    </row>
    <row r="46" spans="1:9" ht="15.75" x14ac:dyDescent="0.25">
      <c r="A46" s="8"/>
      <c r="B46" s="8"/>
      <c r="C46" s="9"/>
      <c r="D46" s="12" t="s">
        <v>42</v>
      </c>
      <c r="E46" s="14">
        <v>722875.8600000001</v>
      </c>
      <c r="F46" s="14">
        <v>213337.19802565791</v>
      </c>
      <c r="G46" s="14">
        <v>48774171.310000002</v>
      </c>
      <c r="H46" s="14">
        <v>0</v>
      </c>
      <c r="I46" s="13">
        <f t="shared" si="0"/>
        <v>49710384.368025661</v>
      </c>
    </row>
    <row r="47" spans="1:9" ht="15.75" x14ac:dyDescent="0.25">
      <c r="A47" s="8"/>
      <c r="B47" s="8"/>
      <c r="C47" s="9"/>
      <c r="D47" s="12" t="s">
        <v>43</v>
      </c>
      <c r="E47" s="14">
        <v>1618152.68</v>
      </c>
      <c r="F47" s="14">
        <v>1353855.2780384724</v>
      </c>
      <c r="G47" s="14">
        <v>8167360.3100000005</v>
      </c>
      <c r="H47" s="14">
        <v>0</v>
      </c>
      <c r="I47" s="13">
        <f t="shared" si="0"/>
        <v>11139368.268038474</v>
      </c>
    </row>
    <row r="48" spans="1:9" ht="15.75" x14ac:dyDescent="0.25">
      <c r="A48" s="8"/>
      <c r="B48" s="8"/>
      <c r="C48" s="9"/>
      <c r="D48" s="12" t="s">
        <v>44</v>
      </c>
      <c r="E48" s="14">
        <v>2228340.08</v>
      </c>
      <c r="F48" s="14">
        <v>213337.19802565791</v>
      </c>
      <c r="G48" s="14">
        <v>30063264.429999996</v>
      </c>
      <c r="H48" s="14">
        <v>0</v>
      </c>
      <c r="I48" s="13">
        <f t="shared" si="0"/>
        <v>32504941.708025653</v>
      </c>
    </row>
    <row r="49" spans="1:9" ht="15.75" x14ac:dyDescent="0.25">
      <c r="A49" s="8"/>
      <c r="B49" s="8"/>
      <c r="C49" s="9"/>
      <c r="D49" s="12" t="s">
        <v>45</v>
      </c>
      <c r="E49" s="14">
        <v>431423.90000000008</v>
      </c>
      <c r="F49" s="14">
        <v>254082.50051108387</v>
      </c>
      <c r="G49" s="14">
        <v>53582360.620000005</v>
      </c>
      <c r="H49" s="14">
        <v>0</v>
      </c>
      <c r="I49" s="13">
        <f t="shared" si="0"/>
        <v>54267867.020511091</v>
      </c>
    </row>
    <row r="50" spans="1:9" ht="15.75" x14ac:dyDescent="0.25">
      <c r="A50" s="8"/>
      <c r="B50" s="8"/>
      <c r="C50" s="9"/>
      <c r="D50" s="12" t="s">
        <v>46</v>
      </c>
      <c r="E50" s="14">
        <v>4589752</v>
      </c>
      <c r="F50" s="14">
        <v>2455580.2260780619</v>
      </c>
      <c r="G50" s="14">
        <v>3486171.65</v>
      </c>
      <c r="H50" s="14">
        <v>0</v>
      </c>
      <c r="I50" s="13">
        <f t="shared" si="0"/>
        <v>10531503.876078062</v>
      </c>
    </row>
    <row r="51" spans="1:9" ht="15.75" x14ac:dyDescent="0.25">
      <c r="A51" s="8"/>
      <c r="B51" s="8"/>
      <c r="C51" s="9"/>
      <c r="D51" s="12" t="s">
        <v>47</v>
      </c>
      <c r="E51" s="14">
        <v>1307692.1199999999</v>
      </c>
      <c r="F51" s="14">
        <v>4465014.4066369571</v>
      </c>
      <c r="G51" s="14">
        <v>24475988.330000002</v>
      </c>
      <c r="H51" s="14">
        <v>0</v>
      </c>
      <c r="I51" s="13">
        <f t="shared" si="0"/>
        <v>30248694.85663696</v>
      </c>
    </row>
    <row r="52" spans="1:9" ht="15.75" x14ac:dyDescent="0.25">
      <c r="A52" s="8"/>
      <c r="B52" s="8"/>
      <c r="C52" s="9"/>
      <c r="D52" s="12" t="s">
        <v>48</v>
      </c>
      <c r="E52" s="14">
        <v>5111076.1400000006</v>
      </c>
      <c r="F52" s="14">
        <v>4499953.253239939</v>
      </c>
      <c r="G52" s="14">
        <v>2804265.73</v>
      </c>
      <c r="H52" s="14">
        <v>0</v>
      </c>
      <c r="I52" s="13">
        <f t="shared" si="0"/>
        <v>12415295.12323994</v>
      </c>
    </row>
    <row r="53" spans="1:9" ht="15.75" x14ac:dyDescent="0.25">
      <c r="A53" s="8"/>
      <c r="B53" s="8"/>
      <c r="C53" s="9"/>
      <c r="D53" s="12" t="s">
        <v>49</v>
      </c>
      <c r="E53" s="14">
        <v>2547624.12</v>
      </c>
      <c r="F53" s="14">
        <v>3084028.9640443064</v>
      </c>
      <c r="G53" s="14">
        <v>8336614.8800000018</v>
      </c>
      <c r="H53" s="14">
        <v>0</v>
      </c>
      <c r="I53" s="13">
        <f t="shared" si="0"/>
        <v>13968267.964044308</v>
      </c>
    </row>
    <row r="54" spans="1:9" ht="15.75" x14ac:dyDescent="0.25">
      <c r="A54" s="8"/>
      <c r="B54" s="8"/>
      <c r="C54" s="9"/>
      <c r="D54" s="12" t="s">
        <v>50</v>
      </c>
      <c r="E54" s="14">
        <v>7602230.9300000006</v>
      </c>
      <c r="F54" s="14">
        <v>2831848.5783912647</v>
      </c>
      <c r="G54" s="14">
        <v>7031327.7000000002</v>
      </c>
      <c r="H54" s="14">
        <v>0</v>
      </c>
      <c r="I54" s="13">
        <f t="shared" si="0"/>
        <v>17465407.208391264</v>
      </c>
    </row>
    <row r="55" spans="1:9" ht="15.75" x14ac:dyDescent="0.25">
      <c r="A55" s="8"/>
      <c r="B55" s="8"/>
      <c r="C55" s="9"/>
      <c r="D55" s="12" t="s">
        <v>51</v>
      </c>
      <c r="E55" s="14">
        <v>1133417.7600000002</v>
      </c>
      <c r="F55" s="14">
        <v>5799498.1465158965</v>
      </c>
      <c r="G55" s="14">
        <v>562926.12</v>
      </c>
      <c r="H55" s="14">
        <v>0</v>
      </c>
      <c r="I55" s="13">
        <f t="shared" si="0"/>
        <v>7495842.0265158964</v>
      </c>
    </row>
    <row r="56" spans="1:9" ht="15.75" x14ac:dyDescent="0.25">
      <c r="A56" s="8"/>
      <c r="B56" s="8"/>
      <c r="C56" s="9"/>
      <c r="D56" s="12" t="s">
        <v>52</v>
      </c>
      <c r="E56" s="14">
        <v>3809766.1900000009</v>
      </c>
      <c r="F56" s="14">
        <v>6455077.0490363184</v>
      </c>
      <c r="G56" s="14">
        <v>4965526.04</v>
      </c>
      <c r="H56" s="14">
        <v>0</v>
      </c>
      <c r="I56" s="13">
        <f t="shared" si="0"/>
        <v>15230369.279036321</v>
      </c>
    </row>
    <row r="57" spans="1:9" ht="15.75" x14ac:dyDescent="0.25">
      <c r="A57" s="8"/>
      <c r="B57" s="8"/>
      <c r="C57" s="9"/>
      <c r="D57" s="12" t="s">
        <v>53</v>
      </c>
      <c r="E57" s="14">
        <v>1116669.97</v>
      </c>
      <c r="F57" s="14">
        <v>2133572.2028732151</v>
      </c>
      <c r="G57" s="14">
        <v>5049372.0100000007</v>
      </c>
      <c r="H57" s="14">
        <v>0</v>
      </c>
      <c r="I57" s="13">
        <f t="shared" si="0"/>
        <v>8299614.1828732155</v>
      </c>
    </row>
    <row r="58" spans="1:9" ht="15.75" x14ac:dyDescent="0.25">
      <c r="A58" s="8"/>
      <c r="B58" s="8"/>
      <c r="C58" s="9"/>
      <c r="D58" s="12" t="s">
        <v>54</v>
      </c>
      <c r="E58" s="14">
        <v>851997.58000000007</v>
      </c>
      <c r="F58" s="14">
        <v>2296503.3571607596</v>
      </c>
      <c r="G58" s="14">
        <v>909752.48</v>
      </c>
      <c r="H58" s="14">
        <v>0</v>
      </c>
      <c r="I58" s="13">
        <f t="shared" si="0"/>
        <v>4058253.4171607597</v>
      </c>
    </row>
    <row r="59" spans="1:9" ht="15.75" x14ac:dyDescent="0.25">
      <c r="A59" s="8"/>
      <c r="B59" s="8"/>
      <c r="C59" s="9"/>
      <c r="D59" s="12" t="s">
        <v>55</v>
      </c>
      <c r="E59" s="14">
        <v>5430107.7400000002</v>
      </c>
      <c r="F59" s="14">
        <v>3879263.1416683393</v>
      </c>
      <c r="G59" s="14">
        <v>8268536.1999999993</v>
      </c>
      <c r="H59" s="14">
        <v>0</v>
      </c>
      <c r="I59" s="13">
        <f t="shared" si="0"/>
        <v>17577907.08166834</v>
      </c>
    </row>
    <row r="60" spans="1:9" ht="15.75" x14ac:dyDescent="0.25">
      <c r="A60" s="8"/>
      <c r="B60" s="8"/>
      <c r="C60" s="9"/>
      <c r="D60" s="12" t="s">
        <v>56</v>
      </c>
      <c r="E60" s="14">
        <v>1313729.9500000002</v>
      </c>
      <c r="F60" s="14">
        <v>2346959.4565530317</v>
      </c>
      <c r="G60" s="14">
        <v>2881998.5000000005</v>
      </c>
      <c r="H60" s="14">
        <v>0</v>
      </c>
      <c r="I60" s="13">
        <f t="shared" si="0"/>
        <v>6542687.9065530319</v>
      </c>
    </row>
    <row r="61" spans="1:9" ht="15.75" x14ac:dyDescent="0.25">
      <c r="A61" s="8"/>
      <c r="B61" s="8"/>
      <c r="C61" s="9"/>
      <c r="D61" s="12" t="s">
        <v>57</v>
      </c>
      <c r="E61" s="14">
        <v>6332751.5599999987</v>
      </c>
      <c r="F61" s="14">
        <v>3937427.8118010974</v>
      </c>
      <c r="G61" s="14">
        <v>5588749.3099999996</v>
      </c>
      <c r="H61" s="14">
        <v>0</v>
      </c>
      <c r="I61" s="13">
        <f t="shared" si="0"/>
        <v>15858928.681801096</v>
      </c>
    </row>
    <row r="62" spans="1:9" ht="15.75" x14ac:dyDescent="0.25">
      <c r="A62" s="8"/>
      <c r="B62" s="8"/>
      <c r="C62" s="9"/>
      <c r="D62" s="12" t="s">
        <v>58</v>
      </c>
      <c r="E62" s="14">
        <v>10343583.559999999</v>
      </c>
      <c r="F62" s="14">
        <v>4393284.6542271096</v>
      </c>
      <c r="G62" s="14">
        <v>424362177.93000001</v>
      </c>
      <c r="H62" s="14">
        <v>0</v>
      </c>
      <c r="I62" s="13">
        <f t="shared" si="0"/>
        <v>439099046.14422709</v>
      </c>
    </row>
    <row r="63" spans="1:9" ht="15.75" x14ac:dyDescent="0.25">
      <c r="A63" s="8"/>
      <c r="B63" s="8"/>
      <c r="C63" s="9"/>
      <c r="D63" s="12" t="s">
        <v>59</v>
      </c>
      <c r="E63" s="14">
        <v>1262053.4800000002</v>
      </c>
      <c r="F63" s="14">
        <v>484889.12183823274</v>
      </c>
      <c r="G63" s="14">
        <v>25239436.620000001</v>
      </c>
      <c r="H63" s="14">
        <v>0</v>
      </c>
      <c r="I63" s="13">
        <f t="shared" si="0"/>
        <v>26986379.221838236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113973164.49999999</v>
      </c>
      <c r="H64" s="14">
        <v>0</v>
      </c>
      <c r="I64" s="13">
        <f t="shared" si="0"/>
        <v>113973164.49999999</v>
      </c>
    </row>
    <row r="65" spans="1:9" ht="15.75" x14ac:dyDescent="0.25">
      <c r="A65" s="8"/>
      <c r="B65" s="8"/>
      <c r="C65" s="9"/>
      <c r="D65" s="12" t="s">
        <v>61</v>
      </c>
      <c r="E65" s="14">
        <v>5368204.5</v>
      </c>
      <c r="F65" s="14">
        <v>5741283.4207289796</v>
      </c>
      <c r="G65" s="14">
        <v>5303472.7199999988</v>
      </c>
      <c r="H65" s="14">
        <v>0</v>
      </c>
      <c r="I65" s="13">
        <f t="shared" si="0"/>
        <v>16412960.640728978</v>
      </c>
    </row>
    <row r="66" spans="1:9" ht="15.75" x14ac:dyDescent="0.25">
      <c r="A66" s="8"/>
      <c r="B66" s="8"/>
      <c r="C66" s="9"/>
      <c r="D66" s="12" t="s">
        <v>62</v>
      </c>
      <c r="E66" s="14">
        <v>19717423.840000004</v>
      </c>
      <c r="F66" s="14">
        <v>11414741.430072512</v>
      </c>
      <c r="G66" s="14">
        <v>13641964.929999998</v>
      </c>
      <c r="H66" s="14">
        <v>0</v>
      </c>
      <c r="I66" s="13">
        <f t="shared" si="0"/>
        <v>44774130.200072512</v>
      </c>
    </row>
    <row r="67" spans="1:9" ht="15.75" x14ac:dyDescent="0.25">
      <c r="A67" s="8"/>
      <c r="B67" s="8"/>
      <c r="C67" s="9"/>
      <c r="D67" s="12" t="s">
        <v>63</v>
      </c>
      <c r="E67" s="14">
        <v>3541516.3200000008</v>
      </c>
      <c r="F67" s="14">
        <v>5275815.8927044384</v>
      </c>
      <c r="G67" s="14">
        <v>5133503.95</v>
      </c>
      <c r="H67" s="14">
        <v>0</v>
      </c>
      <c r="I67" s="13">
        <f t="shared" si="0"/>
        <v>13950836.162704438</v>
      </c>
    </row>
    <row r="68" spans="1:9" ht="15.75" x14ac:dyDescent="0.25">
      <c r="A68" s="8"/>
      <c r="B68" s="8"/>
      <c r="C68" s="9"/>
      <c r="D68" s="12" t="s">
        <v>64</v>
      </c>
      <c r="E68" s="14">
        <v>6204742.790000001</v>
      </c>
      <c r="F68" s="14">
        <v>2230580.0606333571</v>
      </c>
      <c r="G68" s="14">
        <v>1059499.0200000003</v>
      </c>
      <c r="H68" s="14">
        <v>0</v>
      </c>
      <c r="I68" s="13">
        <f t="shared" si="0"/>
        <v>9494821.8706333581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30905673.420000002</v>
      </c>
      <c r="H69" s="14">
        <v>0</v>
      </c>
      <c r="I69" s="13">
        <f t="shared" si="0"/>
        <v>30905673.420000002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45108780.340000004</v>
      </c>
      <c r="H70" s="14">
        <v>0</v>
      </c>
      <c r="I70" s="13">
        <f t="shared" si="0"/>
        <v>45108780.340000004</v>
      </c>
    </row>
    <row r="71" spans="1:9" ht="15.75" x14ac:dyDescent="0.25">
      <c r="A71" s="8"/>
      <c r="B71" s="8"/>
      <c r="C71" s="9"/>
      <c r="D71" s="12" t="s">
        <v>67</v>
      </c>
      <c r="E71" s="14">
        <v>2811.66</v>
      </c>
      <c r="F71" s="14">
        <v>58164.670132757972</v>
      </c>
      <c r="G71" s="14">
        <v>36728026.919999994</v>
      </c>
      <c r="H71" s="14">
        <v>0</v>
      </c>
      <c r="I71" s="13">
        <f t="shared" si="0"/>
        <v>36789003.250132754</v>
      </c>
    </row>
    <row r="72" spans="1:9" ht="15.75" x14ac:dyDescent="0.25">
      <c r="A72" s="8"/>
      <c r="B72" s="8"/>
      <c r="C72" s="9"/>
      <c r="D72" s="12" t="s">
        <v>68</v>
      </c>
      <c r="E72" s="14">
        <v>21219504.949999996</v>
      </c>
      <c r="F72" s="14">
        <v>3623228.4706450542</v>
      </c>
      <c r="G72" s="14">
        <v>41801273.300000004</v>
      </c>
      <c r="H72" s="14">
        <v>0</v>
      </c>
      <c r="I72" s="13">
        <f t="shared" si="0"/>
        <v>66644006.720645055</v>
      </c>
    </row>
    <row r="73" spans="1:9" ht="15.75" x14ac:dyDescent="0.25">
      <c r="A73" s="8"/>
      <c r="B73" s="8"/>
      <c r="C73" s="9"/>
      <c r="D73" s="12" t="s">
        <v>69</v>
      </c>
      <c r="E73" s="14">
        <v>357965.86</v>
      </c>
      <c r="F73" s="14">
        <v>0</v>
      </c>
      <c r="G73" s="14">
        <v>73025018.370000005</v>
      </c>
      <c r="H73" s="14">
        <v>0</v>
      </c>
      <c r="I73" s="13">
        <f t="shared" si="0"/>
        <v>73382984.230000004</v>
      </c>
    </row>
    <row r="74" spans="1:9" ht="15.75" x14ac:dyDescent="0.25">
      <c r="A74" s="8"/>
      <c r="B74" s="8"/>
      <c r="C74" s="9"/>
      <c r="D74" s="12" t="s">
        <v>70</v>
      </c>
      <c r="E74" s="14">
        <v>336689.48</v>
      </c>
      <c r="F74" s="14">
        <v>306440.71476139786</v>
      </c>
      <c r="G74" s="14">
        <v>202352978.39000002</v>
      </c>
      <c r="H74" s="14">
        <v>0</v>
      </c>
      <c r="I74" s="13">
        <f t="shared" ref="I74:I137" si="1">SUM(E74:H74)</f>
        <v>202996108.58476141</v>
      </c>
    </row>
    <row r="75" spans="1:9" ht="15.75" x14ac:dyDescent="0.25">
      <c r="A75" s="8"/>
      <c r="B75" s="8"/>
      <c r="C75" s="9"/>
      <c r="D75" s="12" t="s">
        <v>71</v>
      </c>
      <c r="E75" s="14">
        <v>3183125.41</v>
      </c>
      <c r="F75" s="14">
        <v>1190924.1237509274</v>
      </c>
      <c r="G75" s="14">
        <v>290240881.67000002</v>
      </c>
      <c r="H75" s="14">
        <v>0</v>
      </c>
      <c r="I75" s="13">
        <f t="shared" si="1"/>
        <v>294614931.20375097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90665203.799999997</v>
      </c>
      <c r="H76" s="14">
        <v>0</v>
      </c>
      <c r="I76" s="13">
        <f t="shared" si="1"/>
        <v>90665203.799999997</v>
      </c>
    </row>
    <row r="77" spans="1:9" ht="15.75" x14ac:dyDescent="0.25">
      <c r="A77" s="8"/>
      <c r="B77" s="8"/>
      <c r="C77" s="9"/>
      <c r="D77" s="12" t="s">
        <v>73</v>
      </c>
      <c r="E77" s="14">
        <v>1437974.7499999998</v>
      </c>
      <c r="F77" s="14">
        <v>5906166.7455287259</v>
      </c>
      <c r="G77" s="14">
        <v>4616980.5000000009</v>
      </c>
      <c r="H77" s="14">
        <v>0</v>
      </c>
      <c r="I77" s="13">
        <f t="shared" si="1"/>
        <v>11961121.995528728</v>
      </c>
    </row>
    <row r="78" spans="1:9" ht="15.75" x14ac:dyDescent="0.25">
      <c r="A78" s="8"/>
      <c r="B78" s="8"/>
      <c r="C78" s="9"/>
      <c r="D78" s="12" t="s">
        <v>74</v>
      </c>
      <c r="E78" s="14">
        <v>7724009.4900000002</v>
      </c>
      <c r="F78" s="14">
        <v>5993463.8063820209</v>
      </c>
      <c r="G78" s="14">
        <v>6879592.8200000003</v>
      </c>
      <c r="H78" s="14">
        <v>0</v>
      </c>
      <c r="I78" s="13">
        <f t="shared" si="1"/>
        <v>20597066.116382021</v>
      </c>
    </row>
    <row r="79" spans="1:9" ht="15.75" x14ac:dyDescent="0.25">
      <c r="A79" s="8"/>
      <c r="B79" s="8"/>
      <c r="C79" s="9"/>
      <c r="D79" s="12" t="s">
        <v>75</v>
      </c>
      <c r="E79" s="14">
        <v>2342571.71</v>
      </c>
      <c r="F79" s="14">
        <v>3365241.6291095684</v>
      </c>
      <c r="G79" s="14">
        <v>7419964.7100000009</v>
      </c>
      <c r="H79" s="14">
        <v>0</v>
      </c>
      <c r="I79" s="13">
        <f t="shared" si="1"/>
        <v>13127778.049109569</v>
      </c>
    </row>
    <row r="80" spans="1:9" ht="15.75" x14ac:dyDescent="0.25">
      <c r="A80" s="8"/>
      <c r="B80" s="8"/>
      <c r="C80" s="9"/>
      <c r="D80" s="12" t="s">
        <v>76</v>
      </c>
      <c r="E80" s="14">
        <v>1637017.3699999999</v>
      </c>
      <c r="F80" s="14">
        <v>1778627.559231746</v>
      </c>
      <c r="G80" s="14">
        <v>1442017.29</v>
      </c>
      <c r="H80" s="14">
        <v>0</v>
      </c>
      <c r="I80" s="13">
        <f t="shared" si="1"/>
        <v>4857662.2192317462</v>
      </c>
    </row>
    <row r="81" spans="1:9" ht="15.75" x14ac:dyDescent="0.25">
      <c r="A81" s="8"/>
      <c r="B81" s="8"/>
      <c r="C81" s="9"/>
      <c r="D81" s="12" t="s">
        <v>77</v>
      </c>
      <c r="E81" s="14">
        <v>16148081.409999998</v>
      </c>
      <c r="F81" s="14">
        <v>10731982.307343755</v>
      </c>
      <c r="G81" s="14">
        <v>18184973.460000001</v>
      </c>
      <c r="H81" s="14">
        <v>0</v>
      </c>
      <c r="I81" s="13">
        <f t="shared" si="1"/>
        <v>45065037.177343756</v>
      </c>
    </row>
    <row r="82" spans="1:9" ht="15.75" x14ac:dyDescent="0.25">
      <c r="A82" s="8"/>
      <c r="B82" s="8"/>
      <c r="C82" s="9"/>
      <c r="D82" s="12" t="s">
        <v>78</v>
      </c>
      <c r="E82" s="14">
        <v>14942123.980000002</v>
      </c>
      <c r="F82" s="14">
        <v>7438470.4306440325</v>
      </c>
      <c r="G82" s="14">
        <v>5255287.3500000006</v>
      </c>
      <c r="H82" s="14">
        <v>0</v>
      </c>
      <c r="I82" s="13">
        <f t="shared" si="1"/>
        <v>27635881.760644037</v>
      </c>
    </row>
    <row r="83" spans="1:9" ht="15.75" x14ac:dyDescent="0.25">
      <c r="A83" s="8"/>
      <c r="B83" s="8"/>
      <c r="C83" s="9"/>
      <c r="D83" s="12" t="s">
        <v>79</v>
      </c>
      <c r="E83" s="14">
        <v>2282163.62</v>
      </c>
      <c r="F83" s="14">
        <v>3054896.5733237686</v>
      </c>
      <c r="G83" s="14">
        <v>15973833.780000003</v>
      </c>
      <c r="H83" s="14">
        <v>0</v>
      </c>
      <c r="I83" s="13">
        <f t="shared" si="1"/>
        <v>21310893.97332377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120465746.84</v>
      </c>
      <c r="H84" s="14">
        <v>0</v>
      </c>
      <c r="I84" s="13">
        <f t="shared" si="1"/>
        <v>120465746.84</v>
      </c>
    </row>
    <row r="85" spans="1:9" ht="15.75" x14ac:dyDescent="0.25">
      <c r="A85" s="8"/>
      <c r="B85" s="8"/>
      <c r="C85" s="9"/>
      <c r="D85" s="12" t="s">
        <v>81</v>
      </c>
      <c r="E85" s="14">
        <v>4887551.2700000005</v>
      </c>
      <c r="F85" s="14">
        <v>950406.70551693253</v>
      </c>
      <c r="G85" s="14">
        <v>48214345.560000002</v>
      </c>
      <c r="H85" s="14">
        <v>0</v>
      </c>
      <c r="I85" s="13">
        <f t="shared" si="1"/>
        <v>54052303.535516933</v>
      </c>
    </row>
    <row r="86" spans="1:9" ht="15.75" x14ac:dyDescent="0.25">
      <c r="A86" s="8"/>
      <c r="B86" s="8"/>
      <c r="C86" s="9"/>
      <c r="D86" s="12" t="s">
        <v>82</v>
      </c>
      <c r="E86" s="14">
        <v>3665583.0700000003</v>
      </c>
      <c r="F86" s="14">
        <v>3947138.6087079435</v>
      </c>
      <c r="G86" s="14">
        <v>5213044.8600000003</v>
      </c>
      <c r="H86" s="14">
        <v>0</v>
      </c>
      <c r="I86" s="13">
        <f t="shared" si="1"/>
        <v>12825766.538707945</v>
      </c>
    </row>
    <row r="87" spans="1:9" ht="15.75" x14ac:dyDescent="0.25">
      <c r="A87" s="8"/>
      <c r="B87" s="8"/>
      <c r="C87" s="9"/>
      <c r="D87" s="12" t="s">
        <v>83</v>
      </c>
      <c r="E87" s="14">
        <v>2361459.14</v>
      </c>
      <c r="F87" s="14">
        <v>5198229.6287579881</v>
      </c>
      <c r="G87" s="14">
        <v>3591478.1</v>
      </c>
      <c r="H87" s="14">
        <v>0</v>
      </c>
      <c r="I87" s="13">
        <f t="shared" si="1"/>
        <v>11151166.868757987</v>
      </c>
    </row>
    <row r="88" spans="1:9" ht="15.75" x14ac:dyDescent="0.25">
      <c r="A88" s="8"/>
      <c r="B88" s="8"/>
      <c r="C88" s="9"/>
      <c r="D88" s="12" t="s">
        <v>84</v>
      </c>
      <c r="E88" s="14">
        <v>565130.37</v>
      </c>
      <c r="F88" s="14">
        <v>0</v>
      </c>
      <c r="G88" s="14">
        <v>83125681.829999998</v>
      </c>
      <c r="H88" s="14">
        <v>0</v>
      </c>
      <c r="I88" s="13">
        <f t="shared" si="1"/>
        <v>83690812.200000003</v>
      </c>
    </row>
    <row r="89" spans="1:9" ht="15.75" x14ac:dyDescent="0.25">
      <c r="A89" s="8"/>
      <c r="B89" s="8"/>
      <c r="C89" s="9"/>
      <c r="D89" s="12" t="s">
        <v>85</v>
      </c>
      <c r="E89" s="14">
        <v>3047905.22</v>
      </c>
      <c r="F89" s="14">
        <v>5097367.4856276037</v>
      </c>
      <c r="G89" s="14">
        <v>6861382.4000000004</v>
      </c>
      <c r="H89" s="14">
        <v>0</v>
      </c>
      <c r="I89" s="13">
        <f t="shared" si="1"/>
        <v>15006655.105627604</v>
      </c>
    </row>
    <row r="90" spans="1:9" ht="15.75" x14ac:dyDescent="0.25">
      <c r="A90" s="8"/>
      <c r="B90" s="8"/>
      <c r="C90" s="9"/>
      <c r="D90" s="12" t="s">
        <v>86</v>
      </c>
      <c r="E90" s="14">
        <v>879550.25999999989</v>
      </c>
      <c r="F90" s="14">
        <v>1318966.4870896493</v>
      </c>
      <c r="G90" s="14">
        <v>8810217.9399999995</v>
      </c>
      <c r="H90" s="14">
        <v>0</v>
      </c>
      <c r="I90" s="13">
        <f t="shared" si="1"/>
        <v>11008734.687089648</v>
      </c>
    </row>
    <row r="91" spans="1:9" ht="15.75" x14ac:dyDescent="0.25">
      <c r="A91" s="8"/>
      <c r="B91" s="8"/>
      <c r="C91" s="9"/>
      <c r="D91" s="12" t="s">
        <v>87</v>
      </c>
      <c r="E91" s="14">
        <v>4861341.28</v>
      </c>
      <c r="F91" s="14">
        <v>3008344.8149558986</v>
      </c>
      <c r="G91" s="14">
        <v>20565414.41</v>
      </c>
      <c r="H91" s="14">
        <v>0</v>
      </c>
      <c r="I91" s="13">
        <f t="shared" si="1"/>
        <v>28435100.504955899</v>
      </c>
    </row>
    <row r="92" spans="1:9" ht="15.75" x14ac:dyDescent="0.25">
      <c r="A92" s="8"/>
      <c r="B92" s="8"/>
      <c r="C92" s="9"/>
      <c r="D92" s="12" t="s">
        <v>88</v>
      </c>
      <c r="E92" s="14">
        <v>534463.16</v>
      </c>
      <c r="F92" s="14">
        <v>415061.48428642779</v>
      </c>
      <c r="G92" s="14">
        <v>56921778.220000006</v>
      </c>
      <c r="H92" s="14">
        <v>0</v>
      </c>
      <c r="I92" s="13">
        <f t="shared" si="1"/>
        <v>57871302.864286438</v>
      </c>
    </row>
    <row r="93" spans="1:9" ht="15.75" x14ac:dyDescent="0.25">
      <c r="A93" s="8"/>
      <c r="B93" s="8"/>
      <c r="C93" s="9"/>
      <c r="D93" s="12" t="s">
        <v>89</v>
      </c>
      <c r="E93" s="14">
        <v>4469564.17</v>
      </c>
      <c r="F93" s="14">
        <v>3363339.514251526</v>
      </c>
      <c r="G93" s="14">
        <v>10101318.76</v>
      </c>
      <c r="H93" s="14">
        <v>0</v>
      </c>
      <c r="I93" s="13">
        <f t="shared" si="1"/>
        <v>17934222.444251526</v>
      </c>
    </row>
    <row r="94" spans="1:9" ht="15.75" x14ac:dyDescent="0.25">
      <c r="A94" s="8"/>
      <c r="B94" s="8"/>
      <c r="C94" s="9"/>
      <c r="D94" s="12" t="s">
        <v>90</v>
      </c>
      <c r="E94" s="14">
        <v>331022.61000000004</v>
      </c>
      <c r="F94" s="14">
        <v>0</v>
      </c>
      <c r="G94" s="14">
        <v>6061578.9699999997</v>
      </c>
      <c r="H94" s="14">
        <v>0</v>
      </c>
      <c r="I94" s="13">
        <f t="shared" si="1"/>
        <v>6392601.5800000001</v>
      </c>
    </row>
    <row r="95" spans="1:9" ht="15.75" x14ac:dyDescent="0.25">
      <c r="A95" s="8"/>
      <c r="B95" s="8"/>
      <c r="C95" s="9"/>
      <c r="D95" s="12" t="s">
        <v>91</v>
      </c>
      <c r="E95" s="14">
        <v>774391.31</v>
      </c>
      <c r="F95" s="14">
        <v>106668.59901282896</v>
      </c>
      <c r="G95" s="14">
        <v>85409891.390000001</v>
      </c>
      <c r="H95" s="14">
        <v>0</v>
      </c>
      <c r="I95" s="13">
        <f t="shared" si="1"/>
        <v>86290951.299012825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95119233.109999999</v>
      </c>
      <c r="H96" s="14">
        <v>0</v>
      </c>
      <c r="I96" s="13">
        <f t="shared" si="1"/>
        <v>95119233.109999999</v>
      </c>
    </row>
    <row r="97" spans="1:9" ht="15.75" x14ac:dyDescent="0.25">
      <c r="A97" s="8"/>
      <c r="B97" s="8"/>
      <c r="C97" s="9"/>
      <c r="D97" s="12" t="s">
        <v>93</v>
      </c>
      <c r="E97" s="14">
        <v>2631412.2600000007</v>
      </c>
      <c r="F97" s="14">
        <v>4790876.7152120471</v>
      </c>
      <c r="G97" s="14">
        <v>5996212.2399999993</v>
      </c>
      <c r="H97" s="14">
        <v>0</v>
      </c>
      <c r="I97" s="13">
        <f t="shared" si="1"/>
        <v>13418501.215212047</v>
      </c>
    </row>
    <row r="98" spans="1:9" ht="15.75" x14ac:dyDescent="0.25">
      <c r="A98" s="8"/>
      <c r="B98" s="8"/>
      <c r="C98" s="9"/>
      <c r="D98" s="12" t="s">
        <v>94</v>
      </c>
      <c r="E98" s="14">
        <v>7982007.4999999991</v>
      </c>
      <c r="F98" s="14">
        <v>6301856.69165562</v>
      </c>
      <c r="G98" s="14">
        <v>43130543.849999994</v>
      </c>
      <c r="H98" s="14">
        <v>0</v>
      </c>
      <c r="I98" s="13">
        <f t="shared" si="1"/>
        <v>57414408.041655615</v>
      </c>
    </row>
    <row r="99" spans="1:9" ht="15.75" x14ac:dyDescent="0.25">
      <c r="A99" s="8"/>
      <c r="B99" s="8"/>
      <c r="C99" s="9"/>
      <c r="D99" s="12" t="s">
        <v>95</v>
      </c>
      <c r="E99" s="14">
        <v>15183816.020000005</v>
      </c>
      <c r="F99" s="14">
        <v>12008251.321435776</v>
      </c>
      <c r="G99" s="14">
        <v>19960135.289999999</v>
      </c>
      <c r="H99" s="14">
        <v>0</v>
      </c>
      <c r="I99" s="13">
        <f t="shared" si="1"/>
        <v>47152202.631435782</v>
      </c>
    </row>
    <row r="100" spans="1:9" ht="15.75" x14ac:dyDescent="0.25">
      <c r="A100" s="8"/>
      <c r="B100" s="8"/>
      <c r="C100" s="9"/>
      <c r="D100" s="12" t="s">
        <v>96</v>
      </c>
      <c r="E100" s="14">
        <v>9714659.3200000003</v>
      </c>
      <c r="F100" s="14">
        <v>12014057.777318219</v>
      </c>
      <c r="G100" s="14">
        <v>37342773.009999998</v>
      </c>
      <c r="H100" s="14">
        <v>0</v>
      </c>
      <c r="I100" s="13">
        <f t="shared" si="1"/>
        <v>59071490.107318215</v>
      </c>
    </row>
    <row r="101" spans="1:9" ht="15.75" x14ac:dyDescent="0.25">
      <c r="A101" s="8"/>
      <c r="B101" s="8"/>
      <c r="C101" s="9"/>
      <c r="D101" s="12" t="s">
        <v>97</v>
      </c>
      <c r="E101" s="14">
        <v>274977.42000000004</v>
      </c>
      <c r="F101" s="14">
        <v>16122575.815034781</v>
      </c>
      <c r="G101" s="14">
        <v>391058.35000000003</v>
      </c>
      <c r="H101" s="14">
        <v>0</v>
      </c>
      <c r="I101" s="13">
        <f t="shared" si="1"/>
        <v>16788611.58503478</v>
      </c>
    </row>
    <row r="102" spans="1:9" ht="15.75" x14ac:dyDescent="0.25">
      <c r="A102" s="8"/>
      <c r="B102" s="8"/>
      <c r="C102" s="9"/>
      <c r="D102" s="12" t="s">
        <v>98</v>
      </c>
      <c r="E102" s="14">
        <v>13752224.09</v>
      </c>
      <c r="F102" s="14">
        <v>6932257.6001340654</v>
      </c>
      <c r="G102" s="14">
        <v>19397880.32</v>
      </c>
      <c r="H102" s="14">
        <v>0</v>
      </c>
      <c r="I102" s="13">
        <f t="shared" si="1"/>
        <v>40082362.010134064</v>
      </c>
    </row>
    <row r="103" spans="1:9" ht="15.75" x14ac:dyDescent="0.25">
      <c r="A103" s="8"/>
      <c r="B103" s="8"/>
      <c r="C103" s="9"/>
      <c r="D103" s="12" t="s">
        <v>99</v>
      </c>
      <c r="E103" s="14">
        <v>5180147.2100000018</v>
      </c>
      <c r="F103" s="14">
        <v>2201497.7255669776</v>
      </c>
      <c r="G103" s="14">
        <v>3880332.6199999996</v>
      </c>
      <c r="H103" s="14">
        <v>0</v>
      </c>
      <c r="I103" s="13">
        <f t="shared" si="1"/>
        <v>11261977.55556698</v>
      </c>
    </row>
    <row r="104" spans="1:9" ht="15.75" x14ac:dyDescent="0.25">
      <c r="A104" s="8"/>
      <c r="B104" s="8"/>
      <c r="C104" s="9"/>
      <c r="D104" s="12" t="s">
        <v>100</v>
      </c>
      <c r="E104" s="14">
        <v>22535771.820000004</v>
      </c>
      <c r="F104" s="14">
        <v>4022772.7021421921</v>
      </c>
      <c r="G104" s="14">
        <v>41007365.460000001</v>
      </c>
      <c r="H104" s="14">
        <v>0</v>
      </c>
      <c r="I104" s="13">
        <f t="shared" si="1"/>
        <v>67565909.982142195</v>
      </c>
    </row>
    <row r="105" spans="1:9" ht="15.75" x14ac:dyDescent="0.25">
      <c r="A105" s="8"/>
      <c r="B105" s="8"/>
      <c r="C105" s="9"/>
      <c r="D105" s="12" t="s">
        <v>101</v>
      </c>
      <c r="E105" s="14">
        <v>2136026.1499999994</v>
      </c>
      <c r="F105" s="14">
        <v>5974042.2125683296</v>
      </c>
      <c r="G105" s="14">
        <v>607488.62</v>
      </c>
      <c r="H105" s="14">
        <v>0</v>
      </c>
      <c r="I105" s="13">
        <f t="shared" si="1"/>
        <v>8717556.9825683292</v>
      </c>
    </row>
    <row r="106" spans="1:9" ht="15.75" x14ac:dyDescent="0.25">
      <c r="A106" s="8"/>
      <c r="B106" s="8"/>
      <c r="C106" s="9"/>
      <c r="D106" s="12" t="s">
        <v>102</v>
      </c>
      <c r="E106" s="14">
        <v>2433493.48</v>
      </c>
      <c r="F106" s="14">
        <v>368509.72591855784</v>
      </c>
      <c r="G106" s="14">
        <v>74915592.209999993</v>
      </c>
      <c r="H106" s="14">
        <v>0</v>
      </c>
      <c r="I106" s="13">
        <f t="shared" si="1"/>
        <v>77717595.415918559</v>
      </c>
    </row>
    <row r="107" spans="1:9" ht="15.75" x14ac:dyDescent="0.25">
      <c r="A107" s="8"/>
      <c r="B107" s="8"/>
      <c r="C107" s="9"/>
      <c r="D107" s="12" t="s">
        <v>103</v>
      </c>
      <c r="E107" s="14">
        <v>340611.6</v>
      </c>
      <c r="F107" s="14">
        <v>0</v>
      </c>
      <c r="G107" s="14">
        <v>38714463.460000001</v>
      </c>
      <c r="H107" s="14">
        <v>0</v>
      </c>
      <c r="I107" s="13">
        <f t="shared" si="1"/>
        <v>39055075.060000002</v>
      </c>
    </row>
    <row r="108" spans="1:9" ht="15.75" x14ac:dyDescent="0.25">
      <c r="A108" s="8"/>
      <c r="B108" s="8"/>
      <c r="C108" s="9"/>
      <c r="D108" s="12" t="s">
        <v>104</v>
      </c>
      <c r="E108" s="14">
        <v>128701.71</v>
      </c>
      <c r="F108" s="14">
        <v>0</v>
      </c>
      <c r="G108" s="14">
        <v>11289999.450000003</v>
      </c>
      <c r="H108" s="14">
        <v>0</v>
      </c>
      <c r="I108" s="13">
        <f t="shared" si="1"/>
        <v>11418701.160000004</v>
      </c>
    </row>
    <row r="109" spans="1:9" ht="15.75" x14ac:dyDescent="0.25">
      <c r="A109" s="8"/>
      <c r="B109" s="8"/>
      <c r="C109" s="9"/>
      <c r="D109" s="12" t="s">
        <v>105</v>
      </c>
      <c r="E109" s="14">
        <v>873444.47</v>
      </c>
      <c r="F109" s="14">
        <v>9608933.6506324299</v>
      </c>
      <c r="G109" s="14">
        <v>2291354.5699999998</v>
      </c>
      <c r="H109" s="14">
        <v>0</v>
      </c>
      <c r="I109" s="13">
        <f t="shared" si="1"/>
        <v>12773732.690632431</v>
      </c>
    </row>
    <row r="110" spans="1:9" ht="15.75" x14ac:dyDescent="0.25">
      <c r="A110" s="8"/>
      <c r="B110" s="8"/>
      <c r="C110" s="9"/>
      <c r="D110" s="12" t="s">
        <v>106</v>
      </c>
      <c r="E110" s="14">
        <v>2505491.44</v>
      </c>
      <c r="F110" s="14">
        <v>2228627.8901211559</v>
      </c>
      <c r="G110" s="14">
        <v>4442070.76</v>
      </c>
      <c r="H110" s="14">
        <v>0</v>
      </c>
      <c r="I110" s="13">
        <f t="shared" si="1"/>
        <v>9176190.0901211556</v>
      </c>
    </row>
    <row r="111" spans="1:9" ht="15.75" x14ac:dyDescent="0.25">
      <c r="A111" s="8"/>
      <c r="B111" s="8"/>
      <c r="C111" s="9"/>
      <c r="D111" s="12" t="s">
        <v>107</v>
      </c>
      <c r="E111" s="14">
        <v>115786.79</v>
      </c>
      <c r="F111" s="14">
        <v>36840.961461023981</v>
      </c>
      <c r="G111" s="14">
        <v>119549907.74000001</v>
      </c>
      <c r="H111" s="14">
        <v>0</v>
      </c>
      <c r="I111" s="13">
        <f t="shared" si="1"/>
        <v>119702535.49146104</v>
      </c>
    </row>
    <row r="112" spans="1:9" ht="15.75" x14ac:dyDescent="0.25">
      <c r="A112" s="8"/>
      <c r="B112" s="8"/>
      <c r="C112" s="9"/>
      <c r="D112" s="12" t="s">
        <v>108</v>
      </c>
      <c r="E112" s="14">
        <v>8934384.4699999988</v>
      </c>
      <c r="F112" s="14">
        <v>2521503.5226054648</v>
      </c>
      <c r="G112" s="14">
        <v>10729664.07</v>
      </c>
      <c r="H112" s="14">
        <v>0</v>
      </c>
      <c r="I112" s="13">
        <f t="shared" si="1"/>
        <v>22185552.062605463</v>
      </c>
    </row>
    <row r="113" spans="1:9" ht="15.75" x14ac:dyDescent="0.25">
      <c r="A113" s="8"/>
      <c r="B113" s="8"/>
      <c r="C113" s="9"/>
      <c r="D113" s="12" t="s">
        <v>109</v>
      </c>
      <c r="E113" s="14">
        <v>2457267.6300000004</v>
      </c>
      <c r="F113" s="14">
        <v>6071050.0703284713</v>
      </c>
      <c r="G113" s="14">
        <v>7445302.3799999999</v>
      </c>
      <c r="H113" s="14">
        <v>0</v>
      </c>
      <c r="I113" s="13">
        <f t="shared" si="1"/>
        <v>15973620.080328472</v>
      </c>
    </row>
    <row r="114" spans="1:9" ht="15.75" x14ac:dyDescent="0.25">
      <c r="A114" s="8"/>
      <c r="B114" s="8"/>
      <c r="C114" s="9"/>
      <c r="D114" s="12" t="s">
        <v>110</v>
      </c>
      <c r="E114" s="14">
        <v>8009548.3100000005</v>
      </c>
      <c r="F114" s="14">
        <v>6963292.1057126466</v>
      </c>
      <c r="G114" s="14">
        <v>9293951.8999999985</v>
      </c>
      <c r="H114" s="14">
        <v>0</v>
      </c>
      <c r="I114" s="13">
        <f t="shared" si="1"/>
        <v>24266792.315712646</v>
      </c>
    </row>
    <row r="115" spans="1:9" ht="15.75" x14ac:dyDescent="0.25">
      <c r="A115" s="8"/>
      <c r="B115" s="8"/>
      <c r="C115" s="9"/>
      <c r="D115" s="12" t="s">
        <v>111</v>
      </c>
      <c r="E115" s="14">
        <v>14171558.600000001</v>
      </c>
      <c r="F115" s="14">
        <v>3442827.8930560178</v>
      </c>
      <c r="G115" s="14">
        <v>12562199.140000001</v>
      </c>
      <c r="H115" s="14">
        <v>0</v>
      </c>
      <c r="I115" s="13">
        <f t="shared" si="1"/>
        <v>30176585.633056019</v>
      </c>
    </row>
    <row r="116" spans="1:9" ht="15.75" x14ac:dyDescent="0.25">
      <c r="A116" s="8"/>
      <c r="B116" s="8"/>
      <c r="C116" s="9"/>
      <c r="D116" s="12" t="s">
        <v>112</v>
      </c>
      <c r="E116" s="14">
        <v>2652443.42</v>
      </c>
      <c r="F116" s="14">
        <v>4470870.9181735599</v>
      </c>
      <c r="G116" s="14">
        <v>1583453.61</v>
      </c>
      <c r="H116" s="14">
        <v>0</v>
      </c>
      <c r="I116" s="13">
        <f t="shared" si="1"/>
        <v>8706767.9481735602</v>
      </c>
    </row>
    <row r="117" spans="1:9" ht="15.75" x14ac:dyDescent="0.25">
      <c r="A117" s="8"/>
      <c r="B117" s="8"/>
      <c r="C117" s="9"/>
      <c r="D117" s="12" t="s">
        <v>113</v>
      </c>
      <c r="E117" s="14">
        <v>3762844.41</v>
      </c>
      <c r="F117" s="14">
        <v>3452538.6899628649</v>
      </c>
      <c r="G117" s="14">
        <v>9527567.25</v>
      </c>
      <c r="H117" s="14">
        <v>0</v>
      </c>
      <c r="I117" s="13">
        <f t="shared" si="1"/>
        <v>16742950.349962864</v>
      </c>
    </row>
    <row r="118" spans="1:9" ht="15.75" x14ac:dyDescent="0.25">
      <c r="A118" s="8"/>
      <c r="B118" s="8"/>
      <c r="C118" s="9"/>
      <c r="D118" s="12" t="s">
        <v>114</v>
      </c>
      <c r="E118" s="14">
        <v>7328968.8599999975</v>
      </c>
      <c r="F118" s="14">
        <v>5392195.2886241134</v>
      </c>
      <c r="G118" s="14">
        <v>12235463.049999999</v>
      </c>
      <c r="H118" s="14">
        <v>0</v>
      </c>
      <c r="I118" s="13">
        <f t="shared" si="1"/>
        <v>24956627.198624112</v>
      </c>
    </row>
    <row r="119" spans="1:9" ht="15.75" x14ac:dyDescent="0.25">
      <c r="A119" s="8"/>
      <c r="B119" s="8"/>
      <c r="C119" s="9"/>
      <c r="D119" s="12" t="s">
        <v>115</v>
      </c>
      <c r="E119" s="14">
        <v>667416.24999999988</v>
      </c>
      <c r="F119" s="14">
        <v>523682.25381145778</v>
      </c>
      <c r="G119" s="14">
        <v>4077286.8</v>
      </c>
      <c r="H119" s="14">
        <v>0</v>
      </c>
      <c r="I119" s="13">
        <f t="shared" si="1"/>
        <v>5268385.303811457</v>
      </c>
    </row>
    <row r="120" spans="1:9" ht="15.75" x14ac:dyDescent="0.25">
      <c r="A120" s="8"/>
      <c r="B120" s="8"/>
      <c r="C120" s="9"/>
      <c r="D120" s="12" t="s">
        <v>116</v>
      </c>
      <c r="E120" s="14">
        <v>20808152.209999997</v>
      </c>
      <c r="F120" s="14">
        <v>2288744.7307661148</v>
      </c>
      <c r="G120" s="14">
        <v>12674910.560000001</v>
      </c>
      <c r="H120" s="14">
        <v>0</v>
      </c>
      <c r="I120" s="13">
        <f t="shared" si="1"/>
        <v>35771807.500766113</v>
      </c>
    </row>
    <row r="121" spans="1:9" ht="15.75" x14ac:dyDescent="0.25">
      <c r="A121" s="8"/>
      <c r="B121" s="8"/>
      <c r="C121" s="9"/>
      <c r="D121" s="12" t="s">
        <v>117</v>
      </c>
      <c r="E121" s="14">
        <v>5161664.0000000009</v>
      </c>
      <c r="F121" s="14">
        <v>3396276.1346881487</v>
      </c>
      <c r="G121" s="14">
        <v>7433855.3000000007</v>
      </c>
      <c r="H121" s="14">
        <v>0</v>
      </c>
      <c r="I121" s="13">
        <f t="shared" si="1"/>
        <v>15991795.434688151</v>
      </c>
    </row>
    <row r="122" spans="1:9" ht="15.75" x14ac:dyDescent="0.25">
      <c r="A122" s="8"/>
      <c r="B122" s="8"/>
      <c r="C122" s="9"/>
      <c r="D122" s="12" t="s">
        <v>118</v>
      </c>
      <c r="E122" s="14">
        <v>2749994.38</v>
      </c>
      <c r="F122" s="14">
        <v>2504084.1549581331</v>
      </c>
      <c r="G122" s="14">
        <v>11572079.02</v>
      </c>
      <c r="H122" s="14">
        <v>0</v>
      </c>
      <c r="I122" s="13">
        <f t="shared" si="1"/>
        <v>16826157.554958135</v>
      </c>
    </row>
    <row r="123" spans="1:9" ht="15.75" x14ac:dyDescent="0.25">
      <c r="A123" s="8"/>
      <c r="B123" s="8"/>
      <c r="C123" s="9"/>
      <c r="D123" s="12" t="s">
        <v>119</v>
      </c>
      <c r="E123" s="14">
        <v>3350327.2699999996</v>
      </c>
      <c r="F123" s="14">
        <v>4600815.3963703234</v>
      </c>
      <c r="G123" s="14">
        <v>3848922.0800000005</v>
      </c>
      <c r="H123" s="14">
        <v>0</v>
      </c>
      <c r="I123" s="13">
        <f t="shared" si="1"/>
        <v>11800064.746370323</v>
      </c>
    </row>
    <row r="124" spans="1:9" ht="15.75" x14ac:dyDescent="0.25">
      <c r="A124" s="8"/>
      <c r="B124" s="8"/>
      <c r="C124" s="9"/>
      <c r="D124" s="12" t="s">
        <v>120</v>
      </c>
      <c r="E124" s="14">
        <v>138868.32000000004</v>
      </c>
      <c r="F124" s="14">
        <v>0</v>
      </c>
      <c r="G124" s="14">
        <v>36230808.369999997</v>
      </c>
      <c r="H124" s="14">
        <v>5032943.0600000005</v>
      </c>
      <c r="I124" s="13">
        <f t="shared" si="1"/>
        <v>41402619.75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160265085.19</v>
      </c>
      <c r="H125" s="14">
        <v>55436.574999999997</v>
      </c>
      <c r="I125" s="13">
        <f t="shared" si="1"/>
        <v>160320521.76499999</v>
      </c>
    </row>
    <row r="126" spans="1:9" ht="15.75" x14ac:dyDescent="0.25">
      <c r="A126" s="8"/>
      <c r="B126" s="8"/>
      <c r="C126" s="9"/>
      <c r="D126" s="12" t="s">
        <v>122</v>
      </c>
      <c r="E126" s="14">
        <v>14000.300000000001</v>
      </c>
      <c r="F126" s="14">
        <v>0</v>
      </c>
      <c r="G126" s="14">
        <v>57073337.990000002</v>
      </c>
      <c r="H126" s="14">
        <v>0</v>
      </c>
      <c r="I126" s="13">
        <f t="shared" si="1"/>
        <v>57087338.289999999</v>
      </c>
    </row>
    <row r="127" spans="1:9" ht="15.75" x14ac:dyDescent="0.25">
      <c r="A127" s="8"/>
      <c r="B127" s="8"/>
      <c r="C127" s="9"/>
      <c r="D127" s="12" t="s">
        <v>123</v>
      </c>
      <c r="E127" s="14">
        <v>4258897.74</v>
      </c>
      <c r="F127" s="14">
        <v>969828.29933062452</v>
      </c>
      <c r="G127" s="14">
        <v>42756973.079999998</v>
      </c>
      <c r="H127" s="14">
        <v>0</v>
      </c>
      <c r="I127" s="13">
        <f t="shared" si="1"/>
        <v>47985699.119330622</v>
      </c>
    </row>
    <row r="128" spans="1:9" ht="15.75" x14ac:dyDescent="0.25">
      <c r="A128" s="8"/>
      <c r="B128" s="8"/>
      <c r="C128" s="9"/>
      <c r="D128" s="12" t="s">
        <v>124</v>
      </c>
      <c r="E128" s="14">
        <v>6659660.2400000002</v>
      </c>
      <c r="F128" s="14">
        <v>3025814.2382573895</v>
      </c>
      <c r="G128" s="14">
        <v>14921926.509999996</v>
      </c>
      <c r="H128" s="14">
        <v>0</v>
      </c>
      <c r="I128" s="13">
        <f t="shared" si="1"/>
        <v>24607400.988257386</v>
      </c>
    </row>
    <row r="129" spans="1:9" ht="15.75" x14ac:dyDescent="0.25">
      <c r="A129" s="8"/>
      <c r="B129" s="8"/>
      <c r="C129" s="9"/>
      <c r="D129" s="12" t="s">
        <v>125</v>
      </c>
      <c r="E129" s="14">
        <v>2405940.4799999995</v>
      </c>
      <c r="F129" s="14">
        <v>1464428.2180757034</v>
      </c>
      <c r="G129" s="14">
        <v>16151396.079999996</v>
      </c>
      <c r="H129" s="14">
        <v>0</v>
      </c>
      <c r="I129" s="13">
        <f t="shared" si="1"/>
        <v>20021764.778075699</v>
      </c>
    </row>
    <row r="130" spans="1:9" ht="15.75" x14ac:dyDescent="0.25">
      <c r="A130" s="8"/>
      <c r="B130" s="8"/>
      <c r="C130" s="9"/>
      <c r="D130" s="12" t="s">
        <v>126</v>
      </c>
      <c r="E130" s="14">
        <v>663178.23</v>
      </c>
      <c r="F130" s="14">
        <v>2579718.2483923817</v>
      </c>
      <c r="G130" s="14">
        <v>3200972.6700000004</v>
      </c>
      <c r="H130" s="14">
        <v>0</v>
      </c>
      <c r="I130" s="13">
        <f t="shared" si="1"/>
        <v>6443869.1483923821</v>
      </c>
    </row>
    <row r="131" spans="1:9" ht="15.75" x14ac:dyDescent="0.25">
      <c r="A131" s="8"/>
      <c r="B131" s="8"/>
      <c r="C131" s="9"/>
      <c r="D131" s="12" t="s">
        <v>127</v>
      </c>
      <c r="E131" s="14">
        <v>17479191.980000004</v>
      </c>
      <c r="F131" s="14">
        <v>14099176.106965523</v>
      </c>
      <c r="G131" s="14">
        <v>77154799.959999993</v>
      </c>
      <c r="H131" s="14">
        <v>0</v>
      </c>
      <c r="I131" s="13">
        <f t="shared" si="1"/>
        <v>108733168.04696552</v>
      </c>
    </row>
    <row r="132" spans="1:9" ht="15.75" x14ac:dyDescent="0.25">
      <c r="A132" s="8"/>
      <c r="B132" s="8"/>
      <c r="C132" s="9"/>
      <c r="D132" s="12" t="s">
        <v>128</v>
      </c>
      <c r="E132" s="14">
        <v>3106983.2699999996</v>
      </c>
      <c r="F132" s="14">
        <v>8650768.318720853</v>
      </c>
      <c r="G132" s="14">
        <v>364839.90999999992</v>
      </c>
      <c r="H132" s="14">
        <v>0</v>
      </c>
      <c r="I132" s="13">
        <f t="shared" si="1"/>
        <v>12122591.498720853</v>
      </c>
    </row>
    <row r="133" spans="1:9" ht="15.75" x14ac:dyDescent="0.25">
      <c r="A133" s="8"/>
      <c r="B133" s="8"/>
      <c r="C133" s="9"/>
      <c r="D133" s="12" t="s">
        <v>129</v>
      </c>
      <c r="E133" s="14">
        <v>594261.32999999996</v>
      </c>
      <c r="F133" s="14">
        <v>0</v>
      </c>
      <c r="G133" s="14">
        <v>120415718.45000002</v>
      </c>
      <c r="H133" s="14">
        <v>1484631.2749999999</v>
      </c>
      <c r="I133" s="13">
        <f t="shared" si="1"/>
        <v>122494611.05500002</v>
      </c>
    </row>
    <row r="134" spans="1:9" ht="15.75" x14ac:dyDescent="0.25">
      <c r="A134" s="8"/>
      <c r="B134" s="8"/>
      <c r="C134" s="9"/>
      <c r="D134" s="12" t="s">
        <v>130</v>
      </c>
      <c r="E134" s="14">
        <v>206416.99</v>
      </c>
      <c r="F134" s="14">
        <v>426724.45170547487</v>
      </c>
      <c r="G134" s="14">
        <v>204426.39</v>
      </c>
      <c r="H134" s="14">
        <v>0</v>
      </c>
      <c r="I134" s="13">
        <f t="shared" si="1"/>
        <v>837567.83170547488</v>
      </c>
    </row>
    <row r="135" spans="1:9" ht="15.75" x14ac:dyDescent="0.25">
      <c r="A135" s="8"/>
      <c r="B135" s="8"/>
      <c r="C135" s="9"/>
      <c r="D135" s="12" t="s">
        <v>131</v>
      </c>
      <c r="E135" s="14">
        <v>2077938.05</v>
      </c>
      <c r="F135" s="14">
        <v>5392195.2886241134</v>
      </c>
      <c r="G135" s="14">
        <v>2395804.17</v>
      </c>
      <c r="H135" s="14">
        <v>0</v>
      </c>
      <c r="I135" s="13">
        <f t="shared" si="1"/>
        <v>9865937.5086241141</v>
      </c>
    </row>
    <row r="136" spans="1:9" ht="15.75" x14ac:dyDescent="0.25">
      <c r="A136" s="8"/>
      <c r="B136" s="8"/>
      <c r="C136" s="9"/>
      <c r="D136" s="12" t="s">
        <v>132</v>
      </c>
      <c r="E136" s="14">
        <v>12313641.969999999</v>
      </c>
      <c r="F136" s="14">
        <v>6517146.0601934791</v>
      </c>
      <c r="G136" s="14">
        <v>20744414.16</v>
      </c>
      <c r="H136" s="14">
        <v>0</v>
      </c>
      <c r="I136" s="13">
        <f t="shared" si="1"/>
        <v>39575202.190193474</v>
      </c>
    </row>
    <row r="137" spans="1:9" ht="15.75" x14ac:dyDescent="0.25">
      <c r="A137" s="8"/>
      <c r="B137" s="8"/>
      <c r="C137" s="9"/>
      <c r="D137" s="12" t="s">
        <v>133</v>
      </c>
      <c r="E137" s="14">
        <v>7012923.3799999999</v>
      </c>
      <c r="F137" s="14">
        <v>10247043.129851364</v>
      </c>
      <c r="G137" s="14">
        <v>40208590.310000002</v>
      </c>
      <c r="H137" s="14">
        <v>0</v>
      </c>
      <c r="I137" s="13">
        <f t="shared" si="1"/>
        <v>57468556.819851369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69914095.640000001</v>
      </c>
      <c r="H138" s="14">
        <v>0</v>
      </c>
      <c r="I138" s="13">
        <f t="shared" ref="I138:I144" si="2">SUM(E138:H138)</f>
        <v>69914095.640000001</v>
      </c>
    </row>
    <row r="139" spans="1:9" ht="15.75" x14ac:dyDescent="0.25">
      <c r="A139" s="8"/>
      <c r="B139" s="8"/>
      <c r="C139" s="9"/>
      <c r="D139" s="12" t="s">
        <v>135</v>
      </c>
      <c r="E139" s="14">
        <v>1720450.25</v>
      </c>
      <c r="F139" s="14">
        <v>1534255.8556275084</v>
      </c>
      <c r="G139" s="14">
        <v>4541953.4300000006</v>
      </c>
      <c r="H139" s="14">
        <v>0</v>
      </c>
      <c r="I139" s="13">
        <f t="shared" si="2"/>
        <v>7796659.5356275085</v>
      </c>
    </row>
    <row r="140" spans="1:9" ht="15.75" x14ac:dyDescent="0.25">
      <c r="A140" s="8"/>
      <c r="B140" s="8"/>
      <c r="C140" s="9"/>
      <c r="D140" s="12" t="s">
        <v>136</v>
      </c>
      <c r="E140" s="14">
        <v>4079400.06</v>
      </c>
      <c r="F140" s="14">
        <v>10881348.379354209</v>
      </c>
      <c r="G140" s="14">
        <v>16661064.629999997</v>
      </c>
      <c r="H140" s="14">
        <v>0</v>
      </c>
      <c r="I140" s="13">
        <f t="shared" si="2"/>
        <v>31621813.069354206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93736458.180000007</v>
      </c>
      <c r="H141" s="14">
        <v>314643.51500000001</v>
      </c>
      <c r="I141" s="13">
        <f t="shared" si="2"/>
        <v>94051101.695000008</v>
      </c>
    </row>
    <row r="142" spans="1:9" ht="15.75" x14ac:dyDescent="0.25">
      <c r="A142" s="8"/>
      <c r="B142" s="8"/>
      <c r="C142" s="9"/>
      <c r="D142" s="12" t="s">
        <v>138</v>
      </c>
      <c r="E142" s="14">
        <v>13625.4</v>
      </c>
      <c r="F142" s="14">
        <v>0</v>
      </c>
      <c r="G142" s="14">
        <v>34519136.619999997</v>
      </c>
      <c r="H142" s="14">
        <v>0</v>
      </c>
      <c r="I142" s="13">
        <f t="shared" si="2"/>
        <v>34532762.019999996</v>
      </c>
    </row>
    <row r="143" spans="1:9" ht="15.75" x14ac:dyDescent="0.25">
      <c r="A143" s="8"/>
      <c r="B143" s="8"/>
      <c r="C143" s="9"/>
      <c r="D143" s="12" t="s">
        <v>139</v>
      </c>
      <c r="E143" s="14">
        <v>797557.07</v>
      </c>
      <c r="F143" s="14">
        <v>10056981.81100964</v>
      </c>
      <c r="G143" s="14">
        <v>555800.43999999994</v>
      </c>
      <c r="H143" s="14">
        <v>0</v>
      </c>
      <c r="I143" s="13">
        <f t="shared" si="2"/>
        <v>11410339.32100964</v>
      </c>
    </row>
    <row r="144" spans="1:9" ht="15.75" x14ac:dyDescent="0.25">
      <c r="A144" s="8"/>
      <c r="B144" s="8"/>
      <c r="C144" s="9"/>
      <c r="D144" s="12" t="s">
        <v>140</v>
      </c>
      <c r="E144" s="14">
        <v>5258964.5599999996</v>
      </c>
      <c r="F144" s="14">
        <v>1221958.6293295075</v>
      </c>
      <c r="G144" s="14">
        <v>24694421.809999999</v>
      </c>
      <c r="H144" s="14">
        <v>0</v>
      </c>
      <c r="I144" s="13">
        <f t="shared" si="2"/>
        <v>31175344.999329507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605244405.73000014</v>
      </c>
      <c r="F145" s="22">
        <f>SUM(F10:F144)</f>
        <v>500533315.76647025</v>
      </c>
      <c r="G145" s="22">
        <f>SUM(G10:G144)</f>
        <v>4404069911.8500004</v>
      </c>
      <c r="H145" s="22">
        <f>SUM(H10:H144)</f>
        <v>6887654.4249999998</v>
      </c>
      <c r="I145" s="22">
        <f>SUM(I10:I144)</f>
        <v>5516735287.7714701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>
      <selection activeCell="D7" sqref="D7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83203125" style="2" bestFit="1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150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5090614.59</v>
      </c>
      <c r="F10" s="14">
        <v>9922887.7405591737</v>
      </c>
      <c r="G10" s="14">
        <v>7324540.7100000009</v>
      </c>
      <c r="H10" s="14">
        <v>0</v>
      </c>
      <c r="I10" s="13">
        <f t="shared" ref="I10:I73" si="0">SUM(E10:H10)</f>
        <v>22338043.040559173</v>
      </c>
    </row>
    <row r="11" spans="1:9" ht="15.75" x14ac:dyDescent="0.25">
      <c r="A11" s="8"/>
      <c r="B11" s="8"/>
      <c r="C11" s="9"/>
      <c r="D11" s="12" t="s">
        <v>7</v>
      </c>
      <c r="E11" s="14">
        <v>7374664.0299999993</v>
      </c>
      <c r="F11" s="14">
        <v>5569473.525279792</v>
      </c>
      <c r="G11" s="14">
        <v>8877434</v>
      </c>
      <c r="H11" s="14">
        <v>0</v>
      </c>
      <c r="I11" s="13">
        <f t="shared" si="0"/>
        <v>21821571.555279791</v>
      </c>
    </row>
    <row r="12" spans="1:9" ht="15.75" x14ac:dyDescent="0.25">
      <c r="A12" s="8"/>
      <c r="B12" s="8"/>
      <c r="C12" s="9"/>
      <c r="D12" s="12" t="s">
        <v>8</v>
      </c>
      <c r="E12" s="14">
        <v>8262454.2300000004</v>
      </c>
      <c r="F12" s="14">
        <v>2019122.5467613079</v>
      </c>
      <c r="G12" s="14">
        <v>4103882.3399999989</v>
      </c>
      <c r="H12" s="14">
        <v>0</v>
      </c>
      <c r="I12" s="13">
        <f t="shared" si="0"/>
        <v>14385459.116761308</v>
      </c>
    </row>
    <row r="13" spans="1:9" ht="15.75" x14ac:dyDescent="0.25">
      <c r="A13" s="8"/>
      <c r="B13" s="8"/>
      <c r="C13" s="9"/>
      <c r="D13" s="12" t="s">
        <v>9</v>
      </c>
      <c r="E13" s="14">
        <v>251511.58999999997</v>
      </c>
      <c r="F13" s="14">
        <v>53393.573331588006</v>
      </c>
      <c r="G13" s="14">
        <v>86960669.700000003</v>
      </c>
      <c r="H13" s="14">
        <v>0</v>
      </c>
      <c r="I13" s="13">
        <f t="shared" si="0"/>
        <v>87265574.863331586</v>
      </c>
    </row>
    <row r="14" spans="1:9" ht="15.75" x14ac:dyDescent="0.25">
      <c r="A14" s="8"/>
      <c r="B14" s="8"/>
      <c r="C14" s="9"/>
      <c r="D14" s="12" t="s">
        <v>10</v>
      </c>
      <c r="E14" s="14">
        <v>13622774.159999998</v>
      </c>
      <c r="F14" s="14">
        <v>2243449.074304176</v>
      </c>
      <c r="G14" s="14">
        <v>8486486.2100000009</v>
      </c>
      <c r="H14" s="14">
        <v>0</v>
      </c>
      <c r="I14" s="13">
        <f t="shared" si="0"/>
        <v>24352709.444304176</v>
      </c>
    </row>
    <row r="15" spans="1:9" ht="15.75" x14ac:dyDescent="0.25">
      <c r="A15" s="8"/>
      <c r="B15" s="8"/>
      <c r="C15" s="9"/>
      <c r="D15" s="12" t="s">
        <v>11</v>
      </c>
      <c r="E15" s="14">
        <v>5.81</v>
      </c>
      <c r="F15" s="14">
        <v>12452.373814854</v>
      </c>
      <c r="G15" s="14">
        <v>71517732.210000008</v>
      </c>
      <c r="H15" s="14">
        <v>0</v>
      </c>
      <c r="I15" s="13">
        <f t="shared" si="0"/>
        <v>71530190.393814862</v>
      </c>
    </row>
    <row r="16" spans="1:9" ht="15.75" x14ac:dyDescent="0.25">
      <c r="A16" s="8"/>
      <c r="B16" s="8"/>
      <c r="C16" s="9"/>
      <c r="D16" s="12" t="s">
        <v>12</v>
      </c>
      <c r="E16" s="14">
        <v>6689386.8100000015</v>
      </c>
      <c r="F16" s="14">
        <v>10697416.201899318</v>
      </c>
      <c r="G16" s="14">
        <v>14346376.93</v>
      </c>
      <c r="H16" s="14">
        <v>0</v>
      </c>
      <c r="I16" s="13">
        <f t="shared" si="0"/>
        <v>31733179.941899318</v>
      </c>
    </row>
    <row r="17" spans="1:9" ht="15.75" x14ac:dyDescent="0.25">
      <c r="A17" s="8"/>
      <c r="B17" s="8"/>
      <c r="C17" s="9"/>
      <c r="D17" s="12" t="s">
        <v>13</v>
      </c>
      <c r="E17" s="14">
        <v>10449659.950000003</v>
      </c>
      <c r="F17" s="14">
        <v>9828507.0179919768</v>
      </c>
      <c r="G17" s="14">
        <v>29812376.119999994</v>
      </c>
      <c r="H17" s="14">
        <v>0</v>
      </c>
      <c r="I17" s="13">
        <f t="shared" si="0"/>
        <v>50090543.087991968</v>
      </c>
    </row>
    <row r="18" spans="1:9" ht="15.75" x14ac:dyDescent="0.25">
      <c r="A18" s="8"/>
      <c r="B18" s="8"/>
      <c r="C18" s="9"/>
      <c r="D18" s="12" t="s">
        <v>14</v>
      </c>
      <c r="E18" s="14">
        <v>3529981.63</v>
      </c>
      <c r="F18" s="14">
        <v>801225.24800593802</v>
      </c>
      <c r="G18" s="14">
        <v>116124311.52000003</v>
      </c>
      <c r="H18" s="14">
        <v>0</v>
      </c>
      <c r="I18" s="13">
        <f t="shared" si="0"/>
        <v>120455518.39800596</v>
      </c>
    </row>
    <row r="19" spans="1:9" ht="15.75" x14ac:dyDescent="0.25">
      <c r="A19" s="8"/>
      <c r="B19" s="8"/>
      <c r="C19" s="9"/>
      <c r="D19" s="12" t="s">
        <v>15</v>
      </c>
      <c r="E19" s="14">
        <v>8661599.3000000007</v>
      </c>
      <c r="F19" s="14">
        <v>7647365.7624809463</v>
      </c>
      <c r="G19" s="14">
        <v>28428099.280000001</v>
      </c>
      <c r="H19" s="14">
        <v>0</v>
      </c>
      <c r="I19" s="13">
        <f t="shared" si="0"/>
        <v>44737064.34248095</v>
      </c>
    </row>
    <row r="20" spans="1:9" ht="15.75" x14ac:dyDescent="0.25">
      <c r="A20" s="8"/>
      <c r="B20" s="8"/>
      <c r="C20" s="9"/>
      <c r="D20" s="12" t="s">
        <v>16</v>
      </c>
      <c r="E20" s="14">
        <v>8762192.1899999995</v>
      </c>
      <c r="F20" s="14">
        <v>1903375.2049177019</v>
      </c>
      <c r="G20" s="14">
        <v>10921243.119999997</v>
      </c>
      <c r="H20" s="14">
        <v>0</v>
      </c>
      <c r="I20" s="13">
        <f t="shared" si="0"/>
        <v>21586810.514917698</v>
      </c>
    </row>
    <row r="21" spans="1:9" ht="15.75" x14ac:dyDescent="0.25">
      <c r="A21" s="8"/>
      <c r="B21" s="8"/>
      <c r="C21" s="9"/>
      <c r="D21" s="12" t="s">
        <v>17</v>
      </c>
      <c r="E21" s="14">
        <v>10407702.560000001</v>
      </c>
      <c r="F21" s="14">
        <v>9148359.2792190295</v>
      </c>
      <c r="G21" s="14">
        <v>6696821.2000000002</v>
      </c>
      <c r="H21" s="14">
        <v>0</v>
      </c>
      <c r="I21" s="13">
        <f t="shared" si="0"/>
        <v>26252883.039219029</v>
      </c>
    </row>
    <row r="22" spans="1:9" ht="15.75" x14ac:dyDescent="0.25">
      <c r="A22" s="8"/>
      <c r="B22" s="8"/>
      <c r="C22" s="9"/>
      <c r="D22" s="12" t="s">
        <v>18</v>
      </c>
      <c r="E22" s="14">
        <v>226087.19000000003</v>
      </c>
      <c r="F22" s="14">
        <v>391721.35340084997</v>
      </c>
      <c r="G22" s="14">
        <v>52588052.629999995</v>
      </c>
      <c r="H22" s="14">
        <v>0</v>
      </c>
      <c r="I22" s="13">
        <f t="shared" si="0"/>
        <v>53205861.173400842</v>
      </c>
    </row>
    <row r="23" spans="1:9" ht="15.75" x14ac:dyDescent="0.25">
      <c r="A23" s="8"/>
      <c r="B23" s="8"/>
      <c r="C23" s="9"/>
      <c r="D23" s="12" t="s">
        <v>19</v>
      </c>
      <c r="E23" s="14">
        <v>95248.870000000024</v>
      </c>
      <c r="F23" s="14">
        <v>145982.25686269798</v>
      </c>
      <c r="G23" s="14">
        <v>20166152.02</v>
      </c>
      <c r="H23" s="14">
        <v>0</v>
      </c>
      <c r="I23" s="13">
        <f t="shared" si="0"/>
        <v>20407383.146862697</v>
      </c>
    </row>
    <row r="24" spans="1:9" ht="15.75" x14ac:dyDescent="0.25">
      <c r="A24" s="8"/>
      <c r="B24" s="8"/>
      <c r="C24" s="9"/>
      <c r="D24" s="12" t="s">
        <v>20</v>
      </c>
      <c r="E24" s="14">
        <v>10228949.939999998</v>
      </c>
      <c r="F24" s="14">
        <v>5610460.6745154001</v>
      </c>
      <c r="G24" s="14">
        <v>16198317.359999999</v>
      </c>
      <c r="H24" s="14">
        <v>0</v>
      </c>
      <c r="I24" s="13">
        <f t="shared" si="0"/>
        <v>32037727.974515397</v>
      </c>
    </row>
    <row r="25" spans="1:9" ht="15.75" x14ac:dyDescent="0.25">
      <c r="A25" s="8"/>
      <c r="B25" s="8"/>
      <c r="C25" s="9"/>
      <c r="D25" s="12" t="s">
        <v>21</v>
      </c>
      <c r="E25" s="14">
        <v>7621452.2700000014</v>
      </c>
      <c r="F25" s="14">
        <v>4166444.809181076</v>
      </c>
      <c r="G25" s="14">
        <v>12887980.680000002</v>
      </c>
      <c r="H25" s="14">
        <v>0</v>
      </c>
      <c r="I25" s="13">
        <f t="shared" si="0"/>
        <v>24675877.759181079</v>
      </c>
    </row>
    <row r="26" spans="1:9" ht="15.75" x14ac:dyDescent="0.25">
      <c r="A26" s="8"/>
      <c r="B26" s="8"/>
      <c r="C26" s="9"/>
      <c r="D26" s="12" t="s">
        <v>22</v>
      </c>
      <c r="E26" s="14">
        <v>2588034.11</v>
      </c>
      <c r="F26" s="14">
        <v>2385893.202813576</v>
      </c>
      <c r="G26" s="14">
        <v>12804772.719999999</v>
      </c>
      <c r="H26" s="14">
        <v>0</v>
      </c>
      <c r="I26" s="13">
        <f t="shared" si="0"/>
        <v>17778700.032813575</v>
      </c>
    </row>
    <row r="27" spans="1:9" ht="15.75" x14ac:dyDescent="0.25">
      <c r="A27" s="8"/>
      <c r="B27" s="8"/>
      <c r="C27" s="9"/>
      <c r="D27" s="12" t="s">
        <v>23</v>
      </c>
      <c r="E27" s="14">
        <v>1490392.4400000002</v>
      </c>
      <c r="F27" s="14">
        <v>409503.89460508799</v>
      </c>
      <c r="G27" s="14">
        <v>48434452.740000002</v>
      </c>
      <c r="H27" s="14">
        <v>0</v>
      </c>
      <c r="I27" s="13">
        <f t="shared" si="0"/>
        <v>50334349.074605092</v>
      </c>
    </row>
    <row r="28" spans="1:9" ht="15.75" x14ac:dyDescent="0.25">
      <c r="A28" s="8"/>
      <c r="B28" s="8"/>
      <c r="C28" s="9"/>
      <c r="D28" s="12" t="s">
        <v>24</v>
      </c>
      <c r="E28" s="14">
        <v>5942880.9100000001</v>
      </c>
      <c r="F28" s="14">
        <v>1940778.2760811381</v>
      </c>
      <c r="G28" s="14">
        <v>18218750.669999998</v>
      </c>
      <c r="H28" s="14">
        <v>0</v>
      </c>
      <c r="I28" s="13">
        <f t="shared" si="0"/>
        <v>26102409.856081136</v>
      </c>
    </row>
    <row r="29" spans="1:9" ht="15.75" x14ac:dyDescent="0.25">
      <c r="A29" s="8"/>
      <c r="B29" s="8"/>
      <c r="C29" s="9"/>
      <c r="D29" s="12" t="s">
        <v>25</v>
      </c>
      <c r="E29" s="14">
        <v>2706195.8899999997</v>
      </c>
      <c r="F29" s="14">
        <v>1086113.5050247379</v>
      </c>
      <c r="G29" s="14">
        <v>5418877.5900000008</v>
      </c>
      <c r="H29" s="14">
        <v>0</v>
      </c>
      <c r="I29" s="13">
        <f t="shared" si="0"/>
        <v>9211186.9850247391</v>
      </c>
    </row>
    <row r="30" spans="1:9" ht="15.75" x14ac:dyDescent="0.25">
      <c r="A30" s="8"/>
      <c r="B30" s="8"/>
      <c r="C30" s="9"/>
      <c r="D30" s="12" t="s">
        <v>26</v>
      </c>
      <c r="E30" s="14">
        <v>6305030.0999999987</v>
      </c>
      <c r="F30" s="14">
        <v>5857945.8603707645</v>
      </c>
      <c r="G30" s="14">
        <v>12201510.82</v>
      </c>
      <c r="H30" s="14">
        <v>0</v>
      </c>
      <c r="I30" s="13">
        <f t="shared" si="0"/>
        <v>24364486.780370764</v>
      </c>
    </row>
    <row r="31" spans="1:9" ht="15.75" x14ac:dyDescent="0.25">
      <c r="A31" s="8"/>
      <c r="B31" s="8"/>
      <c r="C31" s="9"/>
      <c r="D31" s="12" t="s">
        <v>27</v>
      </c>
      <c r="E31" s="14">
        <v>3151740.48</v>
      </c>
      <c r="F31" s="14">
        <v>6071612.0531348642</v>
      </c>
      <c r="G31" s="14">
        <v>9116219.8599999994</v>
      </c>
      <c r="H31" s="14">
        <v>0</v>
      </c>
      <c r="I31" s="13">
        <f t="shared" si="0"/>
        <v>18339572.393134862</v>
      </c>
    </row>
    <row r="32" spans="1:9" ht="15.75" x14ac:dyDescent="0.25">
      <c r="A32" s="8"/>
      <c r="B32" s="8"/>
      <c r="C32" s="9"/>
      <c r="D32" s="12" t="s">
        <v>28</v>
      </c>
      <c r="E32" s="14">
        <v>3686853.29</v>
      </c>
      <c r="F32" s="14">
        <v>2049403.411499274</v>
      </c>
      <c r="G32" s="14">
        <v>4926145.63</v>
      </c>
      <c r="H32" s="14">
        <v>0</v>
      </c>
      <c r="I32" s="13">
        <f t="shared" si="0"/>
        <v>10662402.331499275</v>
      </c>
    </row>
    <row r="33" spans="1:9" ht="15.75" x14ac:dyDescent="0.25">
      <c r="A33" s="8"/>
      <c r="B33" s="8"/>
      <c r="C33" s="9"/>
      <c r="D33" s="12" t="s">
        <v>29</v>
      </c>
      <c r="E33" s="14">
        <v>1549287.6699999997</v>
      </c>
      <c r="F33" s="14">
        <v>3098113.8453605757</v>
      </c>
      <c r="G33" s="14">
        <v>3883192.64</v>
      </c>
      <c r="H33" s="14">
        <v>0</v>
      </c>
      <c r="I33" s="13">
        <f t="shared" si="0"/>
        <v>8530594.1553605758</v>
      </c>
    </row>
    <row r="34" spans="1:9" ht="15.75" x14ac:dyDescent="0.25">
      <c r="A34" s="8"/>
      <c r="B34" s="8"/>
      <c r="C34" s="9"/>
      <c r="D34" s="12" t="s">
        <v>30</v>
      </c>
      <c r="E34" s="14">
        <v>10256053.960000001</v>
      </c>
      <c r="F34" s="14">
        <v>4445956.9490916179</v>
      </c>
      <c r="G34" s="14">
        <v>19425314.529999997</v>
      </c>
      <c r="H34" s="14">
        <v>0</v>
      </c>
      <c r="I34" s="13">
        <f t="shared" si="0"/>
        <v>34127325.439091615</v>
      </c>
    </row>
    <row r="35" spans="1:9" ht="15.75" x14ac:dyDescent="0.25">
      <c r="A35" s="8"/>
      <c r="B35" s="8"/>
      <c r="C35" s="9"/>
      <c r="D35" s="12" t="s">
        <v>31</v>
      </c>
      <c r="E35" s="14">
        <v>8181177.1600000001</v>
      </c>
      <c r="F35" s="14">
        <v>6536301.560107626</v>
      </c>
      <c r="G35" s="14">
        <v>16454190.4</v>
      </c>
      <c r="H35" s="14">
        <v>0</v>
      </c>
      <c r="I35" s="13">
        <f t="shared" si="0"/>
        <v>31171669.120107628</v>
      </c>
    </row>
    <row r="36" spans="1:9" ht="15.75" x14ac:dyDescent="0.25">
      <c r="A36" s="8"/>
      <c r="B36" s="8"/>
      <c r="C36" s="9"/>
      <c r="D36" s="12" t="s">
        <v>32</v>
      </c>
      <c r="E36" s="14">
        <v>5175969.2699999996</v>
      </c>
      <c r="F36" s="14">
        <v>4056027.6347268536</v>
      </c>
      <c r="G36" s="14">
        <v>24518696.960000001</v>
      </c>
      <c r="H36" s="14">
        <v>0</v>
      </c>
      <c r="I36" s="13">
        <f t="shared" si="0"/>
        <v>33750693.864726856</v>
      </c>
    </row>
    <row r="37" spans="1:9" ht="15.75" x14ac:dyDescent="0.25">
      <c r="A37" s="8"/>
      <c r="B37" s="8"/>
      <c r="C37" s="9"/>
      <c r="D37" s="12" t="s">
        <v>33</v>
      </c>
      <c r="E37" s="14">
        <v>4106769.1</v>
      </c>
      <c r="F37" s="14">
        <v>2243449.074304176</v>
      </c>
      <c r="G37" s="14">
        <v>8438354.290000001</v>
      </c>
      <c r="H37" s="14">
        <v>0</v>
      </c>
      <c r="I37" s="13">
        <f t="shared" si="0"/>
        <v>14788572.464304177</v>
      </c>
    </row>
    <row r="38" spans="1:9" ht="15.75" x14ac:dyDescent="0.25">
      <c r="A38" s="8"/>
      <c r="B38" s="8"/>
      <c r="C38" s="9"/>
      <c r="D38" s="12" t="s">
        <v>34</v>
      </c>
      <c r="E38" s="14">
        <v>3502569.46</v>
      </c>
      <c r="F38" s="14">
        <v>4875081.3736559041</v>
      </c>
      <c r="G38" s="14">
        <v>9945634.3499999996</v>
      </c>
      <c r="H38" s="14">
        <v>0</v>
      </c>
      <c r="I38" s="13">
        <f t="shared" si="0"/>
        <v>18323285.183655903</v>
      </c>
    </row>
    <row r="39" spans="1:9" ht="15.75" x14ac:dyDescent="0.25">
      <c r="A39" s="8"/>
      <c r="B39" s="8"/>
      <c r="C39" s="9"/>
      <c r="D39" s="12" t="s">
        <v>35</v>
      </c>
      <c r="E39" s="14">
        <v>2706116.44</v>
      </c>
      <c r="F39" s="14">
        <v>7633121.3496300057</v>
      </c>
      <c r="G39" s="14">
        <v>8805439.8300000001</v>
      </c>
      <c r="H39" s="14">
        <v>0</v>
      </c>
      <c r="I39" s="13">
        <f t="shared" si="0"/>
        <v>19144677.619630005</v>
      </c>
    </row>
    <row r="40" spans="1:9" ht="15.75" x14ac:dyDescent="0.25">
      <c r="A40" s="8"/>
      <c r="B40" s="8"/>
      <c r="C40" s="9"/>
      <c r="D40" s="12" t="s">
        <v>36</v>
      </c>
      <c r="E40" s="14">
        <v>188260.77000000002</v>
      </c>
      <c r="F40" s="14">
        <v>400635.59886240604</v>
      </c>
      <c r="G40" s="14">
        <v>5102900.24</v>
      </c>
      <c r="H40" s="14">
        <v>0</v>
      </c>
      <c r="I40" s="13">
        <f t="shared" si="0"/>
        <v>5691796.6088624066</v>
      </c>
    </row>
    <row r="41" spans="1:9" ht="15.75" x14ac:dyDescent="0.25">
      <c r="A41" s="8"/>
      <c r="B41" s="8"/>
      <c r="C41" s="9"/>
      <c r="D41" s="12" t="s">
        <v>37</v>
      </c>
      <c r="E41" s="14">
        <v>10251940.560000001</v>
      </c>
      <c r="F41" s="14">
        <v>6694782.1405040519</v>
      </c>
      <c r="G41" s="14">
        <v>19523228.91</v>
      </c>
      <c r="H41" s="14">
        <v>0</v>
      </c>
      <c r="I41" s="13">
        <f t="shared" si="0"/>
        <v>36469951.610504054</v>
      </c>
    </row>
    <row r="42" spans="1:9" ht="15.75" x14ac:dyDescent="0.25">
      <c r="A42" s="8"/>
      <c r="B42" s="8"/>
      <c r="C42" s="9"/>
      <c r="D42" s="12" t="s">
        <v>38</v>
      </c>
      <c r="E42" s="14">
        <v>9121152.2500000019</v>
      </c>
      <c r="F42" s="14">
        <v>7250314.2416907111</v>
      </c>
      <c r="G42" s="14">
        <v>7785295.5100000007</v>
      </c>
      <c r="H42" s="14">
        <v>0</v>
      </c>
      <c r="I42" s="13">
        <f t="shared" si="0"/>
        <v>24156762.001690716</v>
      </c>
    </row>
    <row r="43" spans="1:9" ht="15.75" x14ac:dyDescent="0.25">
      <c r="A43" s="8"/>
      <c r="B43" s="8"/>
      <c r="C43" s="9"/>
      <c r="D43" s="12" t="s">
        <v>39</v>
      </c>
      <c r="E43" s="14">
        <v>1469498.5699999998</v>
      </c>
      <c r="F43" s="14">
        <v>2636962.4667411116</v>
      </c>
      <c r="G43" s="14">
        <v>8759317.209999999</v>
      </c>
      <c r="H43" s="14">
        <v>0</v>
      </c>
      <c r="I43" s="13">
        <f t="shared" si="0"/>
        <v>12865778.24674111</v>
      </c>
    </row>
    <row r="44" spans="1:9" ht="15.75" x14ac:dyDescent="0.25">
      <c r="A44" s="8"/>
      <c r="B44" s="8"/>
      <c r="C44" s="9"/>
      <c r="D44" s="12" t="s">
        <v>40</v>
      </c>
      <c r="E44" s="14">
        <v>34686.019999999997</v>
      </c>
      <c r="F44" s="14">
        <v>202959.90826645799</v>
      </c>
      <c r="G44" s="14">
        <v>13451411.670000002</v>
      </c>
      <c r="H44" s="14">
        <v>0</v>
      </c>
      <c r="I44" s="13">
        <f t="shared" si="0"/>
        <v>13689057.59826646</v>
      </c>
    </row>
    <row r="45" spans="1:9" ht="15.75" x14ac:dyDescent="0.25">
      <c r="A45" s="8"/>
      <c r="B45" s="8"/>
      <c r="C45" s="9"/>
      <c r="D45" s="12" t="s">
        <v>41</v>
      </c>
      <c r="E45" s="14">
        <v>1628875.3499999999</v>
      </c>
      <c r="F45" s="14">
        <v>58769.690439845996</v>
      </c>
      <c r="G45" s="14">
        <v>35780835.060000002</v>
      </c>
      <c r="H45" s="14">
        <v>0</v>
      </c>
      <c r="I45" s="13">
        <f t="shared" si="0"/>
        <v>37468480.100439847</v>
      </c>
    </row>
    <row r="46" spans="1:9" ht="15.75" x14ac:dyDescent="0.25">
      <c r="A46" s="8"/>
      <c r="B46" s="8"/>
      <c r="C46" s="9"/>
      <c r="D46" s="12" t="s">
        <v>42</v>
      </c>
      <c r="E46" s="14">
        <v>591276.5</v>
      </c>
      <c r="F46" s="14">
        <v>195837.70184098798</v>
      </c>
      <c r="G46" s="14">
        <v>58139311.939999998</v>
      </c>
      <c r="H46" s="14">
        <v>0</v>
      </c>
      <c r="I46" s="13">
        <f t="shared" si="0"/>
        <v>58926426.141840987</v>
      </c>
    </row>
    <row r="47" spans="1:9" ht="15.75" x14ac:dyDescent="0.25">
      <c r="A47" s="8"/>
      <c r="B47" s="8"/>
      <c r="C47" s="9"/>
      <c r="D47" s="12" t="s">
        <v>43</v>
      </c>
      <c r="E47" s="14">
        <v>3527471.9100000006</v>
      </c>
      <c r="F47" s="14">
        <v>1242802.0463850778</v>
      </c>
      <c r="G47" s="14">
        <v>10124982.950000001</v>
      </c>
      <c r="H47" s="14">
        <v>0</v>
      </c>
      <c r="I47" s="13">
        <f t="shared" si="0"/>
        <v>14895256.906385079</v>
      </c>
    </row>
    <row r="48" spans="1:9" ht="15.75" x14ac:dyDescent="0.25">
      <c r="A48" s="8"/>
      <c r="B48" s="8"/>
      <c r="C48" s="9"/>
      <c r="D48" s="12" t="s">
        <v>44</v>
      </c>
      <c r="E48" s="14">
        <v>2398144.02</v>
      </c>
      <c r="F48" s="14">
        <v>195837.70184098798</v>
      </c>
      <c r="G48" s="14">
        <v>32042435.209999993</v>
      </c>
      <c r="H48" s="14">
        <v>0</v>
      </c>
      <c r="I48" s="13">
        <f t="shared" si="0"/>
        <v>34636416.931840979</v>
      </c>
    </row>
    <row r="49" spans="1:9" ht="15.75" x14ac:dyDescent="0.25">
      <c r="A49" s="8"/>
      <c r="B49" s="8"/>
      <c r="C49" s="9"/>
      <c r="D49" s="12" t="s">
        <v>45</v>
      </c>
      <c r="E49" s="14">
        <v>509544.74</v>
      </c>
      <c r="F49" s="14">
        <v>233240.77300442397</v>
      </c>
      <c r="G49" s="14">
        <v>55804428.899999999</v>
      </c>
      <c r="H49" s="14">
        <v>0</v>
      </c>
      <c r="I49" s="13">
        <f t="shared" si="0"/>
        <v>56547214.413004421</v>
      </c>
    </row>
    <row r="50" spans="1:9" ht="15.75" x14ac:dyDescent="0.25">
      <c r="A50" s="8"/>
      <c r="B50" s="8"/>
      <c r="C50" s="9"/>
      <c r="D50" s="12" t="s">
        <v>46</v>
      </c>
      <c r="E50" s="14">
        <v>2898028.82</v>
      </c>
      <c r="F50" s="14">
        <v>2254155.358801818</v>
      </c>
      <c r="G50" s="14">
        <v>2999409.4</v>
      </c>
      <c r="H50" s="14">
        <v>0</v>
      </c>
      <c r="I50" s="13">
        <f t="shared" si="0"/>
        <v>8151593.5788018182</v>
      </c>
    </row>
    <row r="51" spans="1:9" ht="15.75" x14ac:dyDescent="0.25">
      <c r="A51" s="8"/>
      <c r="B51" s="8"/>
      <c r="C51" s="9"/>
      <c r="D51" s="12" t="s">
        <v>47</v>
      </c>
      <c r="E51" s="14">
        <v>7003166.3100000005</v>
      </c>
      <c r="F51" s="14">
        <v>4098760.873279674</v>
      </c>
      <c r="G51" s="14">
        <v>18908067.329999998</v>
      </c>
      <c r="H51" s="14">
        <v>0</v>
      </c>
      <c r="I51" s="13">
        <f t="shared" si="0"/>
        <v>30009994.513279673</v>
      </c>
    </row>
    <row r="52" spans="1:9" ht="15.75" x14ac:dyDescent="0.25">
      <c r="A52" s="8"/>
      <c r="B52" s="8"/>
      <c r="C52" s="9"/>
      <c r="D52" s="12" t="s">
        <v>48</v>
      </c>
      <c r="E52" s="14">
        <v>4281078.33</v>
      </c>
      <c r="F52" s="14">
        <v>4130833.7770537259</v>
      </c>
      <c r="G52" s="14">
        <v>2733524.3299999996</v>
      </c>
      <c r="H52" s="14">
        <v>0</v>
      </c>
      <c r="I52" s="13">
        <f t="shared" si="0"/>
        <v>11145436.437053727</v>
      </c>
    </row>
    <row r="53" spans="1:9" ht="15.75" x14ac:dyDescent="0.25">
      <c r="A53" s="8"/>
      <c r="B53" s="8"/>
      <c r="C53" s="9"/>
      <c r="D53" s="12" t="s">
        <v>49</v>
      </c>
      <c r="E53" s="14">
        <v>3972643.76</v>
      </c>
      <c r="F53" s="14">
        <v>2831054.0792648881</v>
      </c>
      <c r="G53" s="14">
        <v>8654711.4200000018</v>
      </c>
      <c r="H53" s="14">
        <v>0</v>
      </c>
      <c r="I53" s="13">
        <f t="shared" si="0"/>
        <v>15458409.25926489</v>
      </c>
    </row>
    <row r="54" spans="1:9" ht="15.75" x14ac:dyDescent="0.25">
      <c r="A54" s="8"/>
      <c r="B54" s="8"/>
      <c r="C54" s="9"/>
      <c r="D54" s="12" t="s">
        <v>50</v>
      </c>
      <c r="E54" s="14">
        <v>7471328.2500000009</v>
      </c>
      <c r="F54" s="14">
        <v>2599559.3955776761</v>
      </c>
      <c r="G54" s="14">
        <v>7278867.5199999986</v>
      </c>
      <c r="H54" s="14">
        <v>0</v>
      </c>
      <c r="I54" s="13">
        <f t="shared" si="0"/>
        <v>17349755.165577676</v>
      </c>
    </row>
    <row r="55" spans="1:9" ht="15.75" x14ac:dyDescent="0.25">
      <c r="A55" s="8"/>
      <c r="B55" s="8"/>
      <c r="C55" s="9"/>
      <c r="D55" s="12" t="s">
        <v>51</v>
      </c>
      <c r="E55" s="14">
        <v>1282838.4300000002</v>
      </c>
      <c r="F55" s="14">
        <v>5323780.3784605134</v>
      </c>
      <c r="G55" s="14">
        <v>534186.4</v>
      </c>
      <c r="H55" s="14">
        <v>0</v>
      </c>
      <c r="I55" s="13">
        <f t="shared" si="0"/>
        <v>7140805.2084605135</v>
      </c>
    </row>
    <row r="56" spans="1:9" ht="15.75" x14ac:dyDescent="0.25">
      <c r="A56" s="8"/>
      <c r="B56" s="8"/>
      <c r="C56" s="9"/>
      <c r="D56" s="12" t="s">
        <v>52</v>
      </c>
      <c r="E56" s="14">
        <v>4881830.4200000009</v>
      </c>
      <c r="F56" s="14">
        <v>5925583.8465532912</v>
      </c>
      <c r="G56" s="14">
        <v>5332187.17</v>
      </c>
      <c r="H56" s="14">
        <v>0</v>
      </c>
      <c r="I56" s="13">
        <f t="shared" si="0"/>
        <v>16139601.436553292</v>
      </c>
    </row>
    <row r="57" spans="1:9" ht="15.75" x14ac:dyDescent="0.25">
      <c r="A57" s="8"/>
      <c r="B57" s="8"/>
      <c r="C57" s="9"/>
      <c r="D57" s="12" t="s">
        <v>53</v>
      </c>
      <c r="E57" s="14">
        <v>1108197.4099999999</v>
      </c>
      <c r="F57" s="14">
        <v>1958560.8172853761</v>
      </c>
      <c r="G57" s="14">
        <v>4324440</v>
      </c>
      <c r="H57" s="14">
        <v>0</v>
      </c>
      <c r="I57" s="13">
        <f t="shared" si="0"/>
        <v>7391198.2272853758</v>
      </c>
    </row>
    <row r="58" spans="1:9" ht="15.75" x14ac:dyDescent="0.25">
      <c r="A58" s="8"/>
      <c r="B58" s="8"/>
      <c r="C58" s="9"/>
      <c r="D58" s="12" t="s">
        <v>54</v>
      </c>
      <c r="E58" s="14">
        <v>1267589.0899999996</v>
      </c>
      <c r="F58" s="14">
        <v>2108127.1522202459</v>
      </c>
      <c r="G58" s="14">
        <v>498190.92000000004</v>
      </c>
      <c r="H58" s="14">
        <v>0</v>
      </c>
      <c r="I58" s="13">
        <f t="shared" si="0"/>
        <v>3873907.1622202452</v>
      </c>
    </row>
    <row r="59" spans="1:9" ht="15.75" x14ac:dyDescent="0.25">
      <c r="A59" s="8"/>
      <c r="B59" s="8"/>
      <c r="C59" s="9"/>
      <c r="D59" s="12" t="s">
        <v>55</v>
      </c>
      <c r="E59" s="14">
        <v>3537586.74</v>
      </c>
      <c r="F59" s="14">
        <v>3561057.2630161257</v>
      </c>
      <c r="G59" s="14">
        <v>8878256.1500000004</v>
      </c>
      <c r="H59" s="14">
        <v>0</v>
      </c>
      <c r="I59" s="13">
        <f t="shared" si="0"/>
        <v>15976900.153016126</v>
      </c>
    </row>
    <row r="60" spans="1:9" ht="15.75" x14ac:dyDescent="0.25">
      <c r="A60" s="8"/>
      <c r="B60" s="8"/>
      <c r="C60" s="9"/>
      <c r="D60" s="12" t="s">
        <v>56</v>
      </c>
      <c r="E60" s="14">
        <v>2004048.6899999997</v>
      </c>
      <c r="F60" s="14">
        <v>2154444.468845238</v>
      </c>
      <c r="G60" s="14">
        <v>3106705.5</v>
      </c>
      <c r="H60" s="14">
        <v>0</v>
      </c>
      <c r="I60" s="13">
        <f t="shared" si="0"/>
        <v>7265198.6588452375</v>
      </c>
    </row>
    <row r="61" spans="1:9" ht="15.75" x14ac:dyDescent="0.25">
      <c r="A61" s="8"/>
      <c r="B61" s="8"/>
      <c r="C61" s="9"/>
      <c r="D61" s="12" t="s">
        <v>57</v>
      </c>
      <c r="E61" s="14">
        <v>4782150.1099999994</v>
      </c>
      <c r="F61" s="14">
        <v>3614450.8363477141</v>
      </c>
      <c r="G61" s="14">
        <v>4942513.8499999996</v>
      </c>
      <c r="H61" s="14">
        <v>0</v>
      </c>
      <c r="I61" s="13">
        <f t="shared" si="0"/>
        <v>13339114.796347713</v>
      </c>
    </row>
    <row r="62" spans="1:9" ht="15.75" x14ac:dyDescent="0.25">
      <c r="A62" s="8"/>
      <c r="B62" s="8"/>
      <c r="C62" s="9"/>
      <c r="D62" s="12" t="s">
        <v>58</v>
      </c>
      <c r="E62" s="14">
        <v>8812290.9000000004</v>
      </c>
      <c r="F62" s="14">
        <v>4032914.9261332322</v>
      </c>
      <c r="G62" s="14">
        <v>396561872.65999991</v>
      </c>
      <c r="H62" s="14">
        <v>0</v>
      </c>
      <c r="I62" s="13">
        <f t="shared" si="0"/>
        <v>409407078.48613316</v>
      </c>
    </row>
    <row r="63" spans="1:9" ht="15.75" x14ac:dyDescent="0.25">
      <c r="A63" s="8"/>
      <c r="B63" s="8"/>
      <c r="C63" s="9"/>
      <c r="D63" s="12" t="s">
        <v>59</v>
      </c>
      <c r="E63" s="14">
        <v>898337.12</v>
      </c>
      <c r="F63" s="14">
        <v>445114.92673243798</v>
      </c>
      <c r="G63" s="14">
        <v>24934350.380000003</v>
      </c>
      <c r="H63" s="14">
        <v>0</v>
      </c>
      <c r="I63" s="13">
        <f t="shared" si="0"/>
        <v>26277802.42673244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117576665.25000001</v>
      </c>
      <c r="H64" s="14">
        <v>0</v>
      </c>
      <c r="I64" s="13">
        <f t="shared" si="0"/>
        <v>117576665.25000001</v>
      </c>
    </row>
    <row r="65" spans="1:9" ht="15.75" x14ac:dyDescent="0.25">
      <c r="A65" s="8"/>
      <c r="B65" s="8"/>
      <c r="C65" s="9"/>
      <c r="D65" s="12" t="s">
        <v>61</v>
      </c>
      <c r="E65" s="14">
        <v>7240899.0700000003</v>
      </c>
      <c r="F65" s="14">
        <v>5270340.8554100525</v>
      </c>
      <c r="G65" s="14">
        <v>4223644.1500000004</v>
      </c>
      <c r="H65" s="14">
        <v>0</v>
      </c>
      <c r="I65" s="13">
        <f t="shared" si="0"/>
        <v>16734884.075410053</v>
      </c>
    </row>
    <row r="66" spans="1:9" ht="15.75" x14ac:dyDescent="0.25">
      <c r="A66" s="8"/>
      <c r="B66" s="8"/>
      <c r="C66" s="9"/>
      <c r="D66" s="12" t="s">
        <v>62</v>
      </c>
      <c r="E66" s="14">
        <v>16366635.269999998</v>
      </c>
      <c r="F66" s="14">
        <v>10478419.841745835</v>
      </c>
      <c r="G66" s="14">
        <v>13967771.420000002</v>
      </c>
      <c r="H66" s="14">
        <v>0</v>
      </c>
      <c r="I66" s="13">
        <f t="shared" si="0"/>
        <v>40812826.531745836</v>
      </c>
    </row>
    <row r="67" spans="1:9" ht="15.75" x14ac:dyDescent="0.25">
      <c r="A67" s="8"/>
      <c r="B67" s="8"/>
      <c r="C67" s="9"/>
      <c r="D67" s="12" t="s">
        <v>63</v>
      </c>
      <c r="E67" s="14">
        <v>2112107.3799999994</v>
      </c>
      <c r="F67" s="14">
        <v>4843054.4196007261</v>
      </c>
      <c r="G67" s="14">
        <v>4559157.3100000005</v>
      </c>
      <c r="H67" s="14">
        <v>0</v>
      </c>
      <c r="I67" s="13">
        <f t="shared" si="0"/>
        <v>11514319.109600727</v>
      </c>
    </row>
    <row r="68" spans="1:9" ht="15.75" x14ac:dyDescent="0.25">
      <c r="A68" s="8"/>
      <c r="B68" s="8"/>
      <c r="C68" s="9"/>
      <c r="D68" s="12" t="s">
        <v>64</v>
      </c>
      <c r="E68" s="14">
        <v>4888035.9699999988</v>
      </c>
      <c r="F68" s="14">
        <v>2047611.3724631879</v>
      </c>
      <c r="G68" s="14">
        <v>1163406.42</v>
      </c>
      <c r="H68" s="14">
        <v>0</v>
      </c>
      <c r="I68" s="13">
        <f t="shared" si="0"/>
        <v>8099053.7624631869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36156805.229999997</v>
      </c>
      <c r="H69" s="14">
        <v>0</v>
      </c>
      <c r="I69" s="13">
        <f t="shared" si="0"/>
        <v>36156805.229999997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49259816.560000002</v>
      </c>
      <c r="H70" s="14">
        <v>0</v>
      </c>
      <c r="I70" s="13">
        <f t="shared" si="0"/>
        <v>49259816.560000002</v>
      </c>
    </row>
    <row r="71" spans="1:9" ht="15.75" x14ac:dyDescent="0.25">
      <c r="A71" s="8"/>
      <c r="B71" s="8"/>
      <c r="C71" s="9"/>
      <c r="D71" s="12" t="s">
        <v>67</v>
      </c>
      <c r="E71" s="14">
        <v>83903.6</v>
      </c>
      <c r="F71" s="14">
        <v>53393.573331588006</v>
      </c>
      <c r="G71" s="14">
        <v>43721623.880000003</v>
      </c>
      <c r="H71" s="14">
        <v>0</v>
      </c>
      <c r="I71" s="13">
        <f t="shared" si="0"/>
        <v>43858921.053331591</v>
      </c>
    </row>
    <row r="72" spans="1:9" ht="15.75" x14ac:dyDescent="0.25">
      <c r="A72" s="8"/>
      <c r="B72" s="8"/>
      <c r="C72" s="9"/>
      <c r="D72" s="12" t="s">
        <v>68</v>
      </c>
      <c r="E72" s="14">
        <v>7788737.1800000006</v>
      </c>
      <c r="F72" s="14">
        <v>3326024.4509756155</v>
      </c>
      <c r="G72" s="14">
        <v>47167006.639999993</v>
      </c>
      <c r="H72" s="14">
        <v>0</v>
      </c>
      <c r="I72" s="13">
        <f t="shared" si="0"/>
        <v>58281768.270975605</v>
      </c>
    </row>
    <row r="73" spans="1:9" ht="15.75" x14ac:dyDescent="0.25">
      <c r="A73" s="8"/>
      <c r="B73" s="8"/>
      <c r="C73" s="9"/>
      <c r="D73" s="12" t="s">
        <v>69</v>
      </c>
      <c r="E73" s="14">
        <v>394774.60000000003</v>
      </c>
      <c r="F73" s="14">
        <v>0</v>
      </c>
      <c r="G73" s="14">
        <v>59641729.950000003</v>
      </c>
      <c r="H73" s="14">
        <v>0</v>
      </c>
      <c r="I73" s="13">
        <f t="shared" si="0"/>
        <v>60036504.550000004</v>
      </c>
    </row>
    <row r="74" spans="1:9" ht="15.75" x14ac:dyDescent="0.25">
      <c r="A74" s="8"/>
      <c r="B74" s="8"/>
      <c r="C74" s="9"/>
      <c r="D74" s="12" t="s">
        <v>70</v>
      </c>
      <c r="E74" s="14">
        <v>2822429.96</v>
      </c>
      <c r="F74" s="14">
        <v>281304.178946628</v>
      </c>
      <c r="G74" s="14">
        <v>232230362.46000001</v>
      </c>
      <c r="H74" s="14">
        <v>0</v>
      </c>
      <c r="I74" s="13">
        <f t="shared" ref="I74:I137" si="1">SUM(E74:H74)</f>
        <v>235334096.59894663</v>
      </c>
    </row>
    <row r="75" spans="1:9" ht="15.75" x14ac:dyDescent="0.25">
      <c r="A75" s="8"/>
      <c r="B75" s="8"/>
      <c r="C75" s="9"/>
      <c r="D75" s="12" t="s">
        <v>71</v>
      </c>
      <c r="E75" s="14">
        <v>4974225.6099999994</v>
      </c>
      <c r="F75" s="14">
        <v>1093235.711450208</v>
      </c>
      <c r="G75" s="14">
        <v>311865092.02999997</v>
      </c>
      <c r="H75" s="14">
        <v>0</v>
      </c>
      <c r="I75" s="13">
        <f t="shared" si="1"/>
        <v>317932553.3514502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95040010.979999989</v>
      </c>
      <c r="H76" s="14">
        <v>0</v>
      </c>
      <c r="I76" s="13">
        <f t="shared" si="1"/>
        <v>95040010.979999989</v>
      </c>
    </row>
    <row r="77" spans="1:9" ht="15.75" x14ac:dyDescent="0.25">
      <c r="A77" s="8"/>
      <c r="B77" s="8"/>
      <c r="C77" s="9"/>
      <c r="D77" s="12" t="s">
        <v>73</v>
      </c>
      <c r="E77" s="14">
        <v>3356509.39</v>
      </c>
      <c r="F77" s="14">
        <v>5421699.2293810081</v>
      </c>
      <c r="G77" s="14">
        <v>4971020.3899999997</v>
      </c>
      <c r="H77" s="14">
        <v>0</v>
      </c>
      <c r="I77" s="13">
        <f t="shared" si="1"/>
        <v>13749229.009381007</v>
      </c>
    </row>
    <row r="78" spans="1:9" ht="15.75" x14ac:dyDescent="0.25">
      <c r="A78" s="8"/>
      <c r="B78" s="8"/>
      <c r="C78" s="9"/>
      <c r="D78" s="12" t="s">
        <v>74</v>
      </c>
      <c r="E78" s="14">
        <v>6229499.4899999993</v>
      </c>
      <c r="F78" s="14">
        <v>5501835.5390972635</v>
      </c>
      <c r="G78" s="14">
        <v>7708126.9999999991</v>
      </c>
      <c r="H78" s="14">
        <v>0</v>
      </c>
      <c r="I78" s="13">
        <f t="shared" si="1"/>
        <v>19439462.029097263</v>
      </c>
    </row>
    <row r="79" spans="1:9" ht="15.75" x14ac:dyDescent="0.25">
      <c r="A79" s="8"/>
      <c r="B79" s="8"/>
      <c r="C79" s="9"/>
      <c r="D79" s="12" t="s">
        <v>75</v>
      </c>
      <c r="E79" s="14">
        <v>6537651.6800000006</v>
      </c>
      <c r="F79" s="14">
        <v>3089199.59989902</v>
      </c>
      <c r="G79" s="14">
        <v>8122700.5199999996</v>
      </c>
      <c r="H79" s="14">
        <v>0</v>
      </c>
      <c r="I79" s="13">
        <f t="shared" si="1"/>
        <v>17749551.799899019</v>
      </c>
    </row>
    <row r="80" spans="1:9" ht="15.75" x14ac:dyDescent="0.25">
      <c r="A80" s="8"/>
      <c r="B80" s="8"/>
      <c r="C80" s="9"/>
      <c r="D80" s="12" t="s">
        <v>76</v>
      </c>
      <c r="E80" s="14">
        <v>3146729.13</v>
      </c>
      <c r="F80" s="14">
        <v>1632731.3607498417</v>
      </c>
      <c r="G80" s="14">
        <v>1875004.8100000003</v>
      </c>
      <c r="H80" s="14">
        <v>0</v>
      </c>
      <c r="I80" s="13">
        <f t="shared" si="1"/>
        <v>6654465.3007498421</v>
      </c>
    </row>
    <row r="81" spans="1:9" ht="15.75" x14ac:dyDescent="0.25">
      <c r="A81" s="8"/>
      <c r="B81" s="8"/>
      <c r="C81" s="9"/>
      <c r="D81" s="12" t="s">
        <v>77</v>
      </c>
      <c r="E81" s="14">
        <v>15587182.260000005</v>
      </c>
      <c r="F81" s="14">
        <v>9851665.6763044745</v>
      </c>
      <c r="G81" s="14">
        <v>17738352.970000003</v>
      </c>
      <c r="H81" s="14">
        <v>0</v>
      </c>
      <c r="I81" s="13">
        <f t="shared" si="1"/>
        <v>43177200.906304479</v>
      </c>
    </row>
    <row r="82" spans="1:9" ht="15.75" x14ac:dyDescent="0.25">
      <c r="A82" s="8"/>
      <c r="B82" s="8"/>
      <c r="C82" s="9"/>
      <c r="D82" s="12" t="s">
        <v>78</v>
      </c>
      <c r="E82" s="14">
        <v>10104958.339999998</v>
      </c>
      <c r="F82" s="14">
        <v>6828312.0235518953</v>
      </c>
      <c r="G82" s="14">
        <v>4954163.82</v>
      </c>
      <c r="H82" s="14">
        <v>0</v>
      </c>
      <c r="I82" s="13">
        <f t="shared" si="1"/>
        <v>21887434.183551893</v>
      </c>
    </row>
    <row r="83" spans="1:9" ht="15.75" x14ac:dyDescent="0.25">
      <c r="A83" s="8"/>
      <c r="B83" s="8"/>
      <c r="C83" s="9"/>
      <c r="D83" s="12" t="s">
        <v>79</v>
      </c>
      <c r="E83" s="14">
        <v>2132701.4099999997</v>
      </c>
      <c r="F83" s="14">
        <v>2804311.3428802197</v>
      </c>
      <c r="G83" s="14">
        <v>16357772.290000001</v>
      </c>
      <c r="H83" s="14">
        <v>0</v>
      </c>
      <c r="I83" s="13">
        <f t="shared" si="1"/>
        <v>21294785.042880222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129818264.06</v>
      </c>
      <c r="H84" s="14">
        <v>0</v>
      </c>
      <c r="I84" s="13">
        <f t="shared" si="1"/>
        <v>129818264.06</v>
      </c>
    </row>
    <row r="85" spans="1:9" ht="15.75" x14ac:dyDescent="0.25">
      <c r="A85" s="8"/>
      <c r="B85" s="8"/>
      <c r="C85" s="9"/>
      <c r="D85" s="12" t="s">
        <v>81</v>
      </c>
      <c r="E85" s="14">
        <v>6632121.3399999999</v>
      </c>
      <c r="F85" s="14">
        <v>872447.31226063799</v>
      </c>
      <c r="G85" s="14">
        <v>43780404.68</v>
      </c>
      <c r="H85" s="14">
        <v>0</v>
      </c>
      <c r="I85" s="13">
        <f t="shared" si="1"/>
        <v>51284973.332260638</v>
      </c>
    </row>
    <row r="86" spans="1:9" ht="15.75" x14ac:dyDescent="0.25">
      <c r="A86" s="8"/>
      <c r="B86" s="8"/>
      <c r="C86" s="9"/>
      <c r="D86" s="12" t="s">
        <v>82</v>
      </c>
      <c r="E86" s="14">
        <v>2868090.97</v>
      </c>
      <c r="F86" s="14">
        <v>3623365.0818092693</v>
      </c>
      <c r="G86" s="14">
        <v>4904453.2699999996</v>
      </c>
      <c r="H86" s="14">
        <v>0</v>
      </c>
      <c r="I86" s="13">
        <f t="shared" si="1"/>
        <v>11395909.321809269</v>
      </c>
    </row>
    <row r="87" spans="1:9" ht="15.75" x14ac:dyDescent="0.25">
      <c r="A87" s="8"/>
      <c r="B87" s="8"/>
      <c r="C87" s="9"/>
      <c r="D87" s="12" t="s">
        <v>83</v>
      </c>
      <c r="E87" s="14">
        <v>1913129.6500000001</v>
      </c>
      <c r="F87" s="14">
        <v>4771832.3553460259</v>
      </c>
      <c r="G87" s="14">
        <v>3694800.41</v>
      </c>
      <c r="H87" s="14">
        <v>0</v>
      </c>
      <c r="I87" s="13">
        <f t="shared" si="1"/>
        <v>10379762.415346026</v>
      </c>
    </row>
    <row r="88" spans="1:9" ht="15.75" x14ac:dyDescent="0.25">
      <c r="A88" s="8"/>
      <c r="B88" s="8"/>
      <c r="C88" s="9"/>
      <c r="D88" s="12" t="s">
        <v>84</v>
      </c>
      <c r="E88" s="14">
        <v>460144.14</v>
      </c>
      <c r="F88" s="14">
        <v>0</v>
      </c>
      <c r="G88" s="14">
        <v>46158605.070000008</v>
      </c>
      <c r="H88" s="14">
        <v>0</v>
      </c>
      <c r="I88" s="13">
        <f t="shared" si="1"/>
        <v>46618749.210000008</v>
      </c>
    </row>
    <row r="89" spans="1:9" ht="15.75" x14ac:dyDescent="0.25">
      <c r="A89" s="8"/>
      <c r="B89" s="8"/>
      <c r="C89" s="9"/>
      <c r="D89" s="12" t="s">
        <v>85</v>
      </c>
      <c r="E89" s="14">
        <v>2957118.3200000008</v>
      </c>
      <c r="F89" s="14">
        <v>4679243.6718149157</v>
      </c>
      <c r="G89" s="14">
        <v>8117434.8900000006</v>
      </c>
      <c r="H89" s="14">
        <v>0</v>
      </c>
      <c r="I89" s="13">
        <f t="shared" si="1"/>
        <v>15753796.881814918</v>
      </c>
    </row>
    <row r="90" spans="1:9" ht="15.75" x14ac:dyDescent="0.25">
      <c r="A90" s="8"/>
      <c r="B90" s="8"/>
      <c r="C90" s="9"/>
      <c r="D90" s="12" t="s">
        <v>86</v>
      </c>
      <c r="E90" s="14">
        <v>2733786.97</v>
      </c>
      <c r="F90" s="14">
        <v>1210775.0923299</v>
      </c>
      <c r="G90" s="14">
        <v>9178304.4199999999</v>
      </c>
      <c r="H90" s="14">
        <v>0</v>
      </c>
      <c r="I90" s="13">
        <f t="shared" si="1"/>
        <v>13122866.482329901</v>
      </c>
    </row>
    <row r="91" spans="1:9" ht="15.75" x14ac:dyDescent="0.25">
      <c r="A91" s="8"/>
      <c r="B91" s="8"/>
      <c r="C91" s="9"/>
      <c r="D91" s="12" t="s">
        <v>87</v>
      </c>
      <c r="E91" s="14">
        <v>1821077.07</v>
      </c>
      <c r="F91" s="14">
        <v>2761578.1043273997</v>
      </c>
      <c r="G91" s="14">
        <v>23014853.52</v>
      </c>
      <c r="H91" s="14">
        <v>0</v>
      </c>
      <c r="I91" s="13">
        <f t="shared" si="1"/>
        <v>27597508.694327399</v>
      </c>
    </row>
    <row r="92" spans="1:9" ht="15.75" x14ac:dyDescent="0.25">
      <c r="A92" s="8"/>
      <c r="B92" s="8"/>
      <c r="C92" s="9"/>
      <c r="D92" s="12" t="s">
        <v>88</v>
      </c>
      <c r="E92" s="14">
        <v>625602.14</v>
      </c>
      <c r="F92" s="14">
        <v>381015.06890320795</v>
      </c>
      <c r="G92" s="14">
        <v>62187503.370000005</v>
      </c>
      <c r="H92" s="14">
        <v>0</v>
      </c>
      <c r="I92" s="13">
        <f t="shared" si="1"/>
        <v>63194120.578903213</v>
      </c>
    </row>
    <row r="93" spans="1:9" ht="15.75" x14ac:dyDescent="0.25">
      <c r="A93" s="8"/>
      <c r="B93" s="8"/>
      <c r="C93" s="9"/>
      <c r="D93" s="12" t="s">
        <v>89</v>
      </c>
      <c r="E93" s="14">
        <v>4076032.2000000007</v>
      </c>
      <c r="F93" s="14">
        <v>3087453.5105818082</v>
      </c>
      <c r="G93" s="14">
        <v>9881400.9199999999</v>
      </c>
      <c r="H93" s="14">
        <v>0</v>
      </c>
      <c r="I93" s="13">
        <f t="shared" si="1"/>
        <v>17044886.630581811</v>
      </c>
    </row>
    <row r="94" spans="1:9" ht="15.75" x14ac:dyDescent="0.25">
      <c r="A94" s="8"/>
      <c r="B94" s="8"/>
      <c r="C94" s="9"/>
      <c r="D94" s="12" t="s">
        <v>90</v>
      </c>
      <c r="E94" s="14">
        <v>28062.91</v>
      </c>
      <c r="F94" s="14">
        <v>0</v>
      </c>
      <c r="G94" s="14">
        <v>3071344.95</v>
      </c>
      <c r="H94" s="14">
        <v>0</v>
      </c>
      <c r="I94" s="13">
        <f t="shared" si="1"/>
        <v>3099407.8600000003</v>
      </c>
    </row>
    <row r="95" spans="1:9" ht="15.75" x14ac:dyDescent="0.25">
      <c r="A95" s="8"/>
      <c r="B95" s="8"/>
      <c r="C95" s="9"/>
      <c r="D95" s="12" t="s">
        <v>91</v>
      </c>
      <c r="E95" s="14">
        <v>1165717.07</v>
      </c>
      <c r="F95" s="14">
        <v>97918.850920493991</v>
      </c>
      <c r="G95" s="14">
        <v>84832699.840000004</v>
      </c>
      <c r="H95" s="14">
        <v>0</v>
      </c>
      <c r="I95" s="13">
        <f t="shared" si="1"/>
        <v>86096335.760920495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103315166.88000003</v>
      </c>
      <c r="H96" s="14">
        <v>0</v>
      </c>
      <c r="I96" s="13">
        <f t="shared" si="1"/>
        <v>103315166.88000003</v>
      </c>
    </row>
    <row r="97" spans="1:9" ht="15.75" x14ac:dyDescent="0.25">
      <c r="A97" s="8"/>
      <c r="B97" s="8"/>
      <c r="C97" s="9"/>
      <c r="D97" s="12" t="s">
        <v>93</v>
      </c>
      <c r="E97" s="14">
        <v>2117868.9699999997</v>
      </c>
      <c r="F97" s="14">
        <v>4397893.5431494135</v>
      </c>
      <c r="G97" s="14">
        <v>8560917.6099999994</v>
      </c>
      <c r="H97" s="14">
        <v>0</v>
      </c>
      <c r="I97" s="13">
        <f t="shared" si="1"/>
        <v>15076680.123149414</v>
      </c>
    </row>
    <row r="98" spans="1:9" ht="15.75" x14ac:dyDescent="0.25">
      <c r="A98" s="8"/>
      <c r="B98" s="8"/>
      <c r="C98" s="9"/>
      <c r="D98" s="12" t="s">
        <v>94</v>
      </c>
      <c r="E98" s="14">
        <v>12421263.879999999</v>
      </c>
      <c r="F98" s="14">
        <v>5784931.7570799775</v>
      </c>
      <c r="G98" s="14">
        <v>43832638.339999996</v>
      </c>
      <c r="H98" s="14">
        <v>0</v>
      </c>
      <c r="I98" s="13">
        <f t="shared" si="1"/>
        <v>62038833.977079973</v>
      </c>
    </row>
    <row r="99" spans="1:9" ht="15.75" x14ac:dyDescent="0.25">
      <c r="A99" s="8"/>
      <c r="B99" s="8"/>
      <c r="C99" s="9"/>
      <c r="D99" s="12" t="s">
        <v>95</v>
      </c>
      <c r="E99" s="14">
        <v>11153343.18</v>
      </c>
      <c r="F99" s="14">
        <v>11023245.658434849</v>
      </c>
      <c r="G99" s="14">
        <v>19418016.049999997</v>
      </c>
      <c r="H99" s="14">
        <v>0</v>
      </c>
      <c r="I99" s="13">
        <f t="shared" si="1"/>
        <v>41594604.888434842</v>
      </c>
    </row>
    <row r="100" spans="1:9" ht="15.75" x14ac:dyDescent="0.25">
      <c r="A100" s="8"/>
      <c r="B100" s="8"/>
      <c r="C100" s="9"/>
      <c r="D100" s="12" t="s">
        <v>96</v>
      </c>
      <c r="E100" s="14">
        <v>7086891.8500000006</v>
      </c>
      <c r="F100" s="14">
        <v>11028575.825824235</v>
      </c>
      <c r="G100" s="14">
        <v>37954307.089999996</v>
      </c>
      <c r="H100" s="14">
        <v>0</v>
      </c>
      <c r="I100" s="13">
        <f t="shared" si="1"/>
        <v>56069774.765824229</v>
      </c>
    </row>
    <row r="101" spans="1:9" ht="15.75" x14ac:dyDescent="0.25">
      <c r="A101" s="8"/>
      <c r="B101" s="8"/>
      <c r="C101" s="9"/>
      <c r="D101" s="12" t="s">
        <v>97</v>
      </c>
      <c r="E101" s="14">
        <v>426538.68000000005</v>
      </c>
      <c r="F101" s="14">
        <v>14800082.801283281</v>
      </c>
      <c r="G101" s="14">
        <v>222356.07</v>
      </c>
      <c r="H101" s="14">
        <v>0</v>
      </c>
      <c r="I101" s="13">
        <f t="shared" si="1"/>
        <v>15448977.551283281</v>
      </c>
    </row>
    <row r="102" spans="1:9" ht="15.75" x14ac:dyDescent="0.25">
      <c r="A102" s="8"/>
      <c r="B102" s="8"/>
      <c r="C102" s="9"/>
      <c r="D102" s="12" t="s">
        <v>98</v>
      </c>
      <c r="E102" s="14">
        <v>13568724.210000003</v>
      </c>
      <c r="F102" s="14">
        <v>6363622.5165791344</v>
      </c>
      <c r="G102" s="14">
        <v>19554819.690000001</v>
      </c>
      <c r="H102" s="14">
        <v>0</v>
      </c>
      <c r="I102" s="13">
        <f t="shared" si="1"/>
        <v>39487166.416579142</v>
      </c>
    </row>
    <row r="103" spans="1:9" ht="15.75" x14ac:dyDescent="0.25">
      <c r="A103" s="8"/>
      <c r="B103" s="8"/>
      <c r="C103" s="9"/>
      <c r="D103" s="12" t="s">
        <v>99</v>
      </c>
      <c r="E103" s="14">
        <v>2180705.1199999996</v>
      </c>
      <c r="F103" s="14">
        <v>2020914.5857973939</v>
      </c>
      <c r="G103" s="14">
        <v>6572454.4100000011</v>
      </c>
      <c r="H103" s="14">
        <v>0</v>
      </c>
      <c r="I103" s="13">
        <f t="shared" si="1"/>
        <v>10774074.115797395</v>
      </c>
    </row>
    <row r="104" spans="1:9" ht="15.75" x14ac:dyDescent="0.25">
      <c r="A104" s="8"/>
      <c r="B104" s="8"/>
      <c r="C104" s="9"/>
      <c r="D104" s="12" t="s">
        <v>100</v>
      </c>
      <c r="E104" s="14">
        <v>28839499.700000003</v>
      </c>
      <c r="F104" s="14">
        <v>3692795.1070278841</v>
      </c>
      <c r="G104" s="14">
        <v>41805722.269999996</v>
      </c>
      <c r="H104" s="14">
        <v>0</v>
      </c>
      <c r="I104" s="13">
        <f t="shared" si="1"/>
        <v>74338017.077027887</v>
      </c>
    </row>
    <row r="105" spans="1:9" ht="15.75" x14ac:dyDescent="0.25">
      <c r="A105" s="8"/>
      <c r="B105" s="8"/>
      <c r="C105" s="9"/>
      <c r="D105" s="12" t="s">
        <v>101</v>
      </c>
      <c r="E105" s="14">
        <v>4043760.7</v>
      </c>
      <c r="F105" s="14">
        <v>5484007.0481741522</v>
      </c>
      <c r="G105" s="14">
        <v>695804.9</v>
      </c>
      <c r="H105" s="14">
        <v>0</v>
      </c>
      <c r="I105" s="13">
        <f t="shared" si="1"/>
        <v>10223572.648174154</v>
      </c>
    </row>
    <row r="106" spans="1:9" ht="15.75" x14ac:dyDescent="0.25">
      <c r="A106" s="8"/>
      <c r="B106" s="8"/>
      <c r="C106" s="9"/>
      <c r="D106" s="12" t="s">
        <v>102</v>
      </c>
      <c r="E106" s="14">
        <v>6733659.6199999992</v>
      </c>
      <c r="F106" s="14">
        <v>338281.83035038796</v>
      </c>
      <c r="G106" s="14">
        <v>87732704.330000013</v>
      </c>
      <c r="H106" s="14">
        <v>0</v>
      </c>
      <c r="I106" s="13">
        <f t="shared" si="1"/>
        <v>94804645.780350402</v>
      </c>
    </row>
    <row r="107" spans="1:9" ht="15.75" x14ac:dyDescent="0.25">
      <c r="A107" s="8"/>
      <c r="B107" s="8"/>
      <c r="C107" s="9"/>
      <c r="D107" s="12" t="s">
        <v>103</v>
      </c>
      <c r="E107" s="14">
        <v>2456.12</v>
      </c>
      <c r="F107" s="14">
        <v>0</v>
      </c>
      <c r="G107" s="14">
        <v>33256794.720000003</v>
      </c>
      <c r="H107" s="14">
        <v>0</v>
      </c>
      <c r="I107" s="13">
        <f t="shared" si="1"/>
        <v>33259250.840000004</v>
      </c>
    </row>
    <row r="108" spans="1:9" ht="15.75" x14ac:dyDescent="0.25">
      <c r="A108" s="8"/>
      <c r="B108" s="8"/>
      <c r="C108" s="9"/>
      <c r="D108" s="12" t="s">
        <v>104</v>
      </c>
      <c r="E108" s="14">
        <v>197510.61000000002</v>
      </c>
      <c r="F108" s="14">
        <v>0</v>
      </c>
      <c r="G108" s="14">
        <v>11877576.580000002</v>
      </c>
      <c r="H108" s="14">
        <v>0</v>
      </c>
      <c r="I108" s="13">
        <f t="shared" si="1"/>
        <v>12075087.190000001</v>
      </c>
    </row>
    <row r="109" spans="1:9" ht="15.75" x14ac:dyDescent="0.25">
      <c r="A109" s="8"/>
      <c r="B109" s="8"/>
      <c r="C109" s="9"/>
      <c r="D109" s="12" t="s">
        <v>105</v>
      </c>
      <c r="E109" s="14">
        <v>1707029.1600000001</v>
      </c>
      <c r="F109" s="14">
        <v>8820737.7836474106</v>
      </c>
      <c r="G109" s="14">
        <v>1609739.76</v>
      </c>
      <c r="H109" s="14">
        <v>0</v>
      </c>
      <c r="I109" s="13">
        <f t="shared" si="1"/>
        <v>12137506.70364741</v>
      </c>
    </row>
    <row r="110" spans="1:9" ht="15.75" x14ac:dyDescent="0.25">
      <c r="A110" s="8"/>
      <c r="B110" s="8"/>
      <c r="C110" s="9"/>
      <c r="D110" s="12" t="s">
        <v>106</v>
      </c>
      <c r="E110" s="14">
        <v>5886856.9899999993</v>
      </c>
      <c r="F110" s="14">
        <v>2045819.3334271018</v>
      </c>
      <c r="G110" s="14">
        <v>3986266.1200000006</v>
      </c>
      <c r="H110" s="14">
        <v>0</v>
      </c>
      <c r="I110" s="13">
        <f t="shared" si="1"/>
        <v>11918942.443427103</v>
      </c>
    </row>
    <row r="111" spans="1:9" ht="15.75" x14ac:dyDescent="0.25">
      <c r="A111" s="8"/>
      <c r="B111" s="8"/>
      <c r="C111" s="9"/>
      <c r="D111" s="12" t="s">
        <v>107</v>
      </c>
      <c r="E111" s="14">
        <v>142789.35999999999</v>
      </c>
      <c r="F111" s="14">
        <v>33818.993091263997</v>
      </c>
      <c r="G111" s="14">
        <v>136749110.91</v>
      </c>
      <c r="H111" s="14">
        <v>0</v>
      </c>
      <c r="I111" s="13">
        <f t="shared" si="1"/>
        <v>136925719.26309127</v>
      </c>
    </row>
    <row r="112" spans="1:9" ht="15.75" x14ac:dyDescent="0.25">
      <c r="A112" s="8"/>
      <c r="B112" s="8"/>
      <c r="C112" s="9"/>
      <c r="D112" s="12" t="s">
        <v>108</v>
      </c>
      <c r="E112" s="14">
        <v>6162190.6500000013</v>
      </c>
      <c r="F112" s="14">
        <v>2314671.1385588758</v>
      </c>
      <c r="G112" s="14">
        <v>9446959.1199999992</v>
      </c>
      <c r="H112" s="14">
        <v>0</v>
      </c>
      <c r="I112" s="13">
        <f t="shared" si="1"/>
        <v>17923820.908558875</v>
      </c>
    </row>
    <row r="113" spans="1:9" ht="15.75" x14ac:dyDescent="0.25">
      <c r="A113" s="8"/>
      <c r="B113" s="8"/>
      <c r="C113" s="9"/>
      <c r="D113" s="12" t="s">
        <v>109</v>
      </c>
      <c r="E113" s="14">
        <v>3551030.86</v>
      </c>
      <c r="F113" s="14">
        <v>5573057.6033519637</v>
      </c>
      <c r="G113" s="14">
        <v>10528794.549999999</v>
      </c>
      <c r="H113" s="14">
        <v>0</v>
      </c>
      <c r="I113" s="13">
        <f t="shared" si="1"/>
        <v>19652883.013351962</v>
      </c>
    </row>
    <row r="114" spans="1:9" ht="15.75" x14ac:dyDescent="0.25">
      <c r="A114" s="8"/>
      <c r="B114" s="8"/>
      <c r="C114" s="9"/>
      <c r="D114" s="12" t="s">
        <v>110</v>
      </c>
      <c r="E114" s="14">
        <v>7476874.3399999999</v>
      </c>
      <c r="F114" s="14">
        <v>6392111.3422810137</v>
      </c>
      <c r="G114" s="14">
        <v>9793207.629999999</v>
      </c>
      <c r="H114" s="14">
        <v>0</v>
      </c>
      <c r="I114" s="13">
        <f t="shared" si="1"/>
        <v>23662193.312281013</v>
      </c>
    </row>
    <row r="115" spans="1:9" ht="15.75" x14ac:dyDescent="0.25">
      <c r="A115" s="8"/>
      <c r="B115" s="8"/>
      <c r="C115" s="9"/>
      <c r="D115" s="12" t="s">
        <v>111</v>
      </c>
      <c r="E115" s="14">
        <v>15706088.519999998</v>
      </c>
      <c r="F115" s="14">
        <v>3160421.6641537198</v>
      </c>
      <c r="G115" s="14">
        <v>11971756.26</v>
      </c>
      <c r="H115" s="14">
        <v>0</v>
      </c>
      <c r="I115" s="13">
        <f t="shared" si="1"/>
        <v>30838266.444153719</v>
      </c>
    </row>
    <row r="116" spans="1:9" ht="15.75" x14ac:dyDescent="0.25">
      <c r="A116" s="8"/>
      <c r="B116" s="8"/>
      <c r="C116" s="9"/>
      <c r="D116" s="12" t="s">
        <v>112</v>
      </c>
      <c r="E116" s="14">
        <v>2071859.93</v>
      </c>
      <c r="F116" s="14">
        <v>4104136.9903879315</v>
      </c>
      <c r="G116" s="14">
        <v>2434203.7200000002</v>
      </c>
      <c r="H116" s="14">
        <v>0</v>
      </c>
      <c r="I116" s="13">
        <f t="shared" si="1"/>
        <v>8610200.6403879318</v>
      </c>
    </row>
    <row r="117" spans="1:9" ht="15.75" x14ac:dyDescent="0.25">
      <c r="A117" s="8"/>
      <c r="B117" s="8"/>
      <c r="C117" s="9"/>
      <c r="D117" s="12" t="s">
        <v>113</v>
      </c>
      <c r="E117" s="14">
        <v>2706388.6100000003</v>
      </c>
      <c r="F117" s="14">
        <v>3169335.9096152759</v>
      </c>
      <c r="G117" s="14">
        <v>8858752.7999999989</v>
      </c>
      <c r="H117" s="14">
        <v>0</v>
      </c>
      <c r="I117" s="13">
        <f t="shared" si="1"/>
        <v>14734477.319615275</v>
      </c>
    </row>
    <row r="118" spans="1:9" ht="15.75" x14ac:dyDescent="0.25">
      <c r="A118" s="8"/>
      <c r="B118" s="8"/>
      <c r="C118" s="9"/>
      <c r="D118" s="12" t="s">
        <v>114</v>
      </c>
      <c r="E118" s="14">
        <v>7285213.9800000004</v>
      </c>
      <c r="F118" s="14">
        <v>4949887.5159827759</v>
      </c>
      <c r="G118" s="14">
        <v>13060231.9</v>
      </c>
      <c r="H118" s="14">
        <v>0</v>
      </c>
      <c r="I118" s="13">
        <f t="shared" si="1"/>
        <v>25295333.39598278</v>
      </c>
    </row>
    <row r="119" spans="1:9" ht="15.75" x14ac:dyDescent="0.25">
      <c r="A119" s="8"/>
      <c r="B119" s="8"/>
      <c r="C119" s="9"/>
      <c r="D119" s="12" t="s">
        <v>115</v>
      </c>
      <c r="E119" s="14">
        <v>2431587.9299999997</v>
      </c>
      <c r="F119" s="14">
        <v>480725.95885978802</v>
      </c>
      <c r="G119" s="14">
        <v>4048064.5300000003</v>
      </c>
      <c r="H119" s="14">
        <v>0</v>
      </c>
      <c r="I119" s="13">
        <f t="shared" si="1"/>
        <v>6960378.4188597882</v>
      </c>
    </row>
    <row r="120" spans="1:9" ht="15.75" x14ac:dyDescent="0.25">
      <c r="A120" s="8"/>
      <c r="B120" s="8"/>
      <c r="C120" s="9"/>
      <c r="D120" s="12" t="s">
        <v>116</v>
      </c>
      <c r="E120" s="14">
        <v>13294709.399999997</v>
      </c>
      <c r="F120" s="14">
        <v>2101004.9457947756</v>
      </c>
      <c r="G120" s="14">
        <v>12428248.789999999</v>
      </c>
      <c r="H120" s="14">
        <v>0</v>
      </c>
      <c r="I120" s="13">
        <f t="shared" si="1"/>
        <v>27823963.135794774</v>
      </c>
    </row>
    <row r="121" spans="1:9" ht="15.75" x14ac:dyDescent="0.25">
      <c r="A121" s="8"/>
      <c r="B121" s="8"/>
      <c r="C121" s="9"/>
      <c r="D121" s="12" t="s">
        <v>117</v>
      </c>
      <c r="E121" s="14">
        <v>4535897.67</v>
      </c>
      <c r="F121" s="14">
        <v>3117688.4256008994</v>
      </c>
      <c r="G121" s="14">
        <v>7663213.0999999996</v>
      </c>
      <c r="H121" s="14">
        <v>0</v>
      </c>
      <c r="I121" s="13">
        <f t="shared" si="1"/>
        <v>15316799.195600899</v>
      </c>
    </row>
    <row r="122" spans="1:9" ht="15.75" x14ac:dyDescent="0.25">
      <c r="A122" s="8"/>
      <c r="B122" s="8"/>
      <c r="C122" s="9"/>
      <c r="D122" s="12" t="s">
        <v>118</v>
      </c>
      <c r="E122" s="14">
        <v>5263114.5100000007</v>
      </c>
      <c r="F122" s="14">
        <v>2298680.6363907242</v>
      </c>
      <c r="G122" s="14">
        <v>11106017.150000002</v>
      </c>
      <c r="H122" s="14">
        <v>0</v>
      </c>
      <c r="I122" s="13">
        <f t="shared" si="1"/>
        <v>18667812.296390727</v>
      </c>
    </row>
    <row r="123" spans="1:9" ht="15.75" x14ac:dyDescent="0.25">
      <c r="A123" s="8"/>
      <c r="B123" s="8"/>
      <c r="C123" s="9"/>
      <c r="D123" s="12" t="s">
        <v>119</v>
      </c>
      <c r="E123" s="14">
        <v>2462915.02</v>
      </c>
      <c r="F123" s="14">
        <v>4223422.4605848361</v>
      </c>
      <c r="G123" s="14">
        <v>4179505.03</v>
      </c>
      <c r="H123" s="14">
        <v>0</v>
      </c>
      <c r="I123" s="13">
        <f t="shared" si="1"/>
        <v>10865842.510584835</v>
      </c>
    </row>
    <row r="124" spans="1:9" ht="15.75" x14ac:dyDescent="0.25">
      <c r="A124" s="8"/>
      <c r="B124" s="8"/>
      <c r="C124" s="9"/>
      <c r="D124" s="12" t="s">
        <v>120</v>
      </c>
      <c r="E124" s="14">
        <v>331396.99</v>
      </c>
      <c r="F124" s="14">
        <v>0</v>
      </c>
      <c r="G124" s="14">
        <v>38182998.440000005</v>
      </c>
      <c r="H124" s="14">
        <v>2141174.3199999998</v>
      </c>
      <c r="I124" s="13">
        <f t="shared" si="1"/>
        <v>40655569.750000007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191291216.14999998</v>
      </c>
      <c r="H125" s="14">
        <v>569734.98</v>
      </c>
      <c r="I125" s="13">
        <f t="shared" si="1"/>
        <v>191860951.12999997</v>
      </c>
    </row>
    <row r="126" spans="1:9" ht="15.75" x14ac:dyDescent="0.25">
      <c r="A126" s="8"/>
      <c r="B126" s="8"/>
      <c r="C126" s="9"/>
      <c r="D126" s="12" t="s">
        <v>122</v>
      </c>
      <c r="E126" s="14">
        <v>443623.57999999996</v>
      </c>
      <c r="F126" s="14">
        <v>0</v>
      </c>
      <c r="G126" s="14">
        <v>60649187.710000008</v>
      </c>
      <c r="H126" s="14">
        <v>0</v>
      </c>
      <c r="I126" s="13">
        <f t="shared" si="1"/>
        <v>61092811.290000007</v>
      </c>
    </row>
    <row r="127" spans="1:9" ht="15.75" x14ac:dyDescent="0.25">
      <c r="A127" s="8"/>
      <c r="B127" s="8"/>
      <c r="C127" s="9"/>
      <c r="D127" s="12" t="s">
        <v>123</v>
      </c>
      <c r="E127" s="14">
        <v>4837191.1100000003</v>
      </c>
      <c r="F127" s="14">
        <v>890275.8031837499</v>
      </c>
      <c r="G127" s="14">
        <v>46661093.920000009</v>
      </c>
      <c r="H127" s="14">
        <v>0</v>
      </c>
      <c r="I127" s="13">
        <f t="shared" si="1"/>
        <v>52388560.833183758</v>
      </c>
    </row>
    <row r="128" spans="1:9" ht="15.75" x14ac:dyDescent="0.25">
      <c r="A128" s="8"/>
      <c r="B128" s="8"/>
      <c r="C128" s="9"/>
      <c r="D128" s="12" t="s">
        <v>124</v>
      </c>
      <c r="E128" s="14">
        <v>12174442.49</v>
      </c>
      <c r="F128" s="14">
        <v>2777614.5562144257</v>
      </c>
      <c r="G128" s="14">
        <v>21260513.969999999</v>
      </c>
      <c r="H128" s="14">
        <v>0</v>
      </c>
      <c r="I128" s="13">
        <f t="shared" si="1"/>
        <v>36212571.016214423</v>
      </c>
    </row>
    <row r="129" spans="1:9" ht="15.75" x14ac:dyDescent="0.25">
      <c r="A129" s="8"/>
      <c r="B129" s="8"/>
      <c r="C129" s="9"/>
      <c r="D129" s="12" t="s">
        <v>125</v>
      </c>
      <c r="E129" s="14">
        <v>2260924.3000000003</v>
      </c>
      <c r="F129" s="14">
        <v>1344304.9753777438</v>
      </c>
      <c r="G129" s="14">
        <v>14633539.760000002</v>
      </c>
      <c r="H129" s="14">
        <v>0</v>
      </c>
      <c r="I129" s="13">
        <f t="shared" si="1"/>
        <v>18238769.035377745</v>
      </c>
    </row>
    <row r="130" spans="1:9" ht="15.75" x14ac:dyDescent="0.25">
      <c r="A130" s="8"/>
      <c r="B130" s="8"/>
      <c r="C130" s="9"/>
      <c r="D130" s="12" t="s">
        <v>126</v>
      </c>
      <c r="E130" s="14">
        <v>1003155.2000000001</v>
      </c>
      <c r="F130" s="14">
        <v>2368110.6616093377</v>
      </c>
      <c r="G130" s="14">
        <v>3681575.75</v>
      </c>
      <c r="H130" s="14">
        <v>0</v>
      </c>
      <c r="I130" s="13">
        <f t="shared" si="1"/>
        <v>7052841.6116093379</v>
      </c>
    </row>
    <row r="131" spans="1:9" ht="15.75" x14ac:dyDescent="0.25">
      <c r="A131" s="8"/>
      <c r="B131" s="8"/>
      <c r="C131" s="9"/>
      <c r="D131" s="12" t="s">
        <v>127</v>
      </c>
      <c r="E131" s="14">
        <v>24941052.120000001</v>
      </c>
      <c r="F131" s="14">
        <v>12942657.315239578</v>
      </c>
      <c r="G131" s="14">
        <v>84353044.590000004</v>
      </c>
      <c r="H131" s="14">
        <v>0</v>
      </c>
      <c r="I131" s="13">
        <f t="shared" si="1"/>
        <v>122236754.02523959</v>
      </c>
    </row>
    <row r="132" spans="1:9" ht="15.75" x14ac:dyDescent="0.25">
      <c r="A132" s="8"/>
      <c r="B132" s="8"/>
      <c r="C132" s="9"/>
      <c r="D132" s="12" t="s">
        <v>128</v>
      </c>
      <c r="E132" s="14">
        <v>3025009.66</v>
      </c>
      <c r="F132" s="14">
        <v>7941168.2649613004</v>
      </c>
      <c r="G132" s="14">
        <v>960026.3600000001</v>
      </c>
      <c r="H132" s="14">
        <v>0</v>
      </c>
      <c r="I132" s="13">
        <f t="shared" si="1"/>
        <v>11926204.2849613</v>
      </c>
    </row>
    <row r="133" spans="1:9" ht="15.75" x14ac:dyDescent="0.25">
      <c r="A133" s="8"/>
      <c r="B133" s="8"/>
      <c r="C133" s="9"/>
      <c r="D133" s="12" t="s">
        <v>129</v>
      </c>
      <c r="E133" s="14">
        <v>661029.88</v>
      </c>
      <c r="F133" s="14">
        <v>0</v>
      </c>
      <c r="G133" s="14">
        <v>101891002.76000001</v>
      </c>
      <c r="H133" s="14">
        <v>5723095.0150000006</v>
      </c>
      <c r="I133" s="13">
        <f t="shared" si="1"/>
        <v>108275127.655</v>
      </c>
    </row>
    <row r="134" spans="1:9" ht="15.75" x14ac:dyDescent="0.25">
      <c r="A134" s="8"/>
      <c r="B134" s="8"/>
      <c r="C134" s="9"/>
      <c r="D134" s="12" t="s">
        <v>130</v>
      </c>
      <c r="E134" s="14">
        <v>6246013.5499999998</v>
      </c>
      <c r="F134" s="14">
        <v>391721.35340084997</v>
      </c>
      <c r="G134" s="14">
        <v>100979.23999999999</v>
      </c>
      <c r="H134" s="14">
        <v>0</v>
      </c>
      <c r="I134" s="13">
        <f t="shared" si="1"/>
        <v>6738714.1434008498</v>
      </c>
    </row>
    <row r="135" spans="1:9" ht="15.75" x14ac:dyDescent="0.25">
      <c r="A135" s="8"/>
      <c r="B135" s="8"/>
      <c r="C135" s="9"/>
      <c r="D135" s="12" t="s">
        <v>131</v>
      </c>
      <c r="E135" s="14">
        <v>2093406.89</v>
      </c>
      <c r="F135" s="14">
        <v>4949887.5159827759</v>
      </c>
      <c r="G135" s="14">
        <v>1813715.34</v>
      </c>
      <c r="H135" s="14">
        <v>0</v>
      </c>
      <c r="I135" s="13">
        <f t="shared" si="1"/>
        <v>8857009.7459827755</v>
      </c>
    </row>
    <row r="136" spans="1:9" ht="15.75" x14ac:dyDescent="0.25">
      <c r="A136" s="8"/>
      <c r="B136" s="8"/>
      <c r="C136" s="9"/>
      <c r="D136" s="12" t="s">
        <v>132</v>
      </c>
      <c r="E136" s="14">
        <v>14209758.18</v>
      </c>
      <c r="F136" s="14">
        <v>5982561.4979570508</v>
      </c>
      <c r="G136" s="14">
        <v>29178413.93</v>
      </c>
      <c r="H136" s="14">
        <v>0</v>
      </c>
      <c r="I136" s="13">
        <f t="shared" si="1"/>
        <v>49370733.60795705</v>
      </c>
    </row>
    <row r="137" spans="1:9" ht="15.75" x14ac:dyDescent="0.25">
      <c r="A137" s="8"/>
      <c r="B137" s="8"/>
      <c r="C137" s="9"/>
      <c r="D137" s="12" t="s">
        <v>133</v>
      </c>
      <c r="E137" s="14">
        <v>11581067.380000001</v>
      </c>
      <c r="F137" s="14">
        <v>9406504.799853161</v>
      </c>
      <c r="G137" s="14">
        <v>40496341.279999994</v>
      </c>
      <c r="H137" s="14">
        <v>0</v>
      </c>
      <c r="I137" s="13">
        <f t="shared" si="1"/>
        <v>61483913.459853157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76383438.650000006</v>
      </c>
      <c r="H138" s="14">
        <v>0</v>
      </c>
      <c r="I138" s="13">
        <f t="shared" ref="I138:I144" si="2">SUM(E138:H138)</f>
        <v>76383438.650000006</v>
      </c>
    </row>
    <row r="139" spans="1:9" ht="15.75" x14ac:dyDescent="0.25">
      <c r="A139" s="8"/>
      <c r="B139" s="8"/>
      <c r="C139" s="9"/>
      <c r="D139" s="12" t="s">
        <v>135</v>
      </c>
      <c r="E139" s="14">
        <v>1372551.44</v>
      </c>
      <c r="F139" s="14">
        <v>1408404.833206974</v>
      </c>
      <c r="G139" s="14">
        <v>4301763.4399999995</v>
      </c>
      <c r="H139" s="14">
        <v>0</v>
      </c>
      <c r="I139" s="13">
        <f t="shared" si="2"/>
        <v>7082719.7132069729</v>
      </c>
    </row>
    <row r="140" spans="1:9" ht="15.75" x14ac:dyDescent="0.25">
      <c r="A140" s="8"/>
      <c r="B140" s="8"/>
      <c r="C140" s="9"/>
      <c r="D140" s="12" t="s">
        <v>136</v>
      </c>
      <c r="E140" s="14">
        <v>8131798.0599999996</v>
      </c>
      <c r="F140" s="14">
        <v>9988779.6374244895</v>
      </c>
      <c r="G140" s="14">
        <v>15597807.819999997</v>
      </c>
      <c r="H140" s="14">
        <v>0</v>
      </c>
      <c r="I140" s="13">
        <f t="shared" si="2"/>
        <v>33718385.517424487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102114776.94</v>
      </c>
      <c r="H141" s="14">
        <v>110129.605</v>
      </c>
      <c r="I141" s="13">
        <f t="shared" si="2"/>
        <v>102224906.545</v>
      </c>
    </row>
    <row r="142" spans="1:9" ht="15.75" x14ac:dyDescent="0.25">
      <c r="A142" s="8"/>
      <c r="B142" s="8"/>
      <c r="C142" s="9"/>
      <c r="D142" s="12" t="s">
        <v>138</v>
      </c>
      <c r="E142" s="14">
        <v>42176.34</v>
      </c>
      <c r="F142" s="14">
        <v>0</v>
      </c>
      <c r="G142" s="14">
        <v>31002869.43</v>
      </c>
      <c r="H142" s="14">
        <v>0</v>
      </c>
      <c r="I142" s="13">
        <f t="shared" si="2"/>
        <v>31045045.77</v>
      </c>
    </row>
    <row r="143" spans="1:9" ht="15.75" x14ac:dyDescent="0.25">
      <c r="A143" s="8"/>
      <c r="B143" s="8"/>
      <c r="C143" s="9"/>
      <c r="D143" s="12" t="s">
        <v>139</v>
      </c>
      <c r="E143" s="14">
        <v>1125332.4099999999</v>
      </c>
      <c r="F143" s="14">
        <v>9232033.7172885835</v>
      </c>
      <c r="G143" s="14">
        <v>305338.43</v>
      </c>
      <c r="H143" s="14">
        <v>0</v>
      </c>
      <c r="I143" s="13">
        <f t="shared" si="2"/>
        <v>10662704.557288583</v>
      </c>
    </row>
    <row r="144" spans="1:9" ht="15.75" x14ac:dyDescent="0.25">
      <c r="A144" s="8"/>
      <c r="B144" s="8"/>
      <c r="C144" s="9"/>
      <c r="D144" s="12" t="s">
        <v>140</v>
      </c>
      <c r="E144" s="14">
        <v>5099186.8</v>
      </c>
      <c r="F144" s="14">
        <v>1121724.537152088</v>
      </c>
      <c r="G144" s="14">
        <v>27109533.620000001</v>
      </c>
      <c r="H144" s="14">
        <v>0</v>
      </c>
      <c r="I144" s="13">
        <f t="shared" si="2"/>
        <v>33330444.957152091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634629069.53999996</v>
      </c>
      <c r="F145" s="22">
        <f>SUM(F10:F144)</f>
        <v>459475868.07044238</v>
      </c>
      <c r="G145" s="22">
        <f>SUM(G10:G144)</f>
        <v>4495806291.0100012</v>
      </c>
      <c r="H145" s="22">
        <f>SUM(H10:H144)</f>
        <v>8544133.9200000018</v>
      </c>
      <c r="I145" s="22">
        <f>SUM(I10:I144)</f>
        <v>5598455362.5404415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.83203125" style="2" bestFit="1" customWidth="1"/>
    <col min="10" max="16" width="12" style="2"/>
    <col min="17" max="17" width="16.5" style="2" bestFit="1" customWidth="1"/>
    <col min="18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0.25" x14ac:dyDescent="0.3">
      <c r="D5" s="18" t="s">
        <v>143</v>
      </c>
      <c r="E5" s="19"/>
      <c r="F5" s="19"/>
      <c r="G5" s="19"/>
      <c r="H5" s="19"/>
      <c r="I5" s="19"/>
    </row>
    <row r="6" spans="1:9" ht="20.25" x14ac:dyDescent="0.3">
      <c r="D6" s="18" t="s">
        <v>152</v>
      </c>
      <c r="E6" s="19"/>
      <c r="F6" s="19"/>
      <c r="G6" s="19"/>
      <c r="H6" s="19"/>
      <c r="I6" s="19"/>
    </row>
    <row r="7" spans="1:9" ht="15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55203653.929999992</v>
      </c>
      <c r="F10" s="14">
        <v>163873170.72454864</v>
      </c>
      <c r="G10" s="14">
        <v>9302988.1900000013</v>
      </c>
      <c r="H10" s="14">
        <v>0</v>
      </c>
      <c r="I10" s="13">
        <f t="shared" ref="I10:I73" si="0">SUM(E10:H10)</f>
        <v>228379812.84454864</v>
      </c>
    </row>
    <row r="11" spans="1:9" ht="15.75" x14ac:dyDescent="0.25">
      <c r="A11" s="8"/>
      <c r="B11" s="8"/>
      <c r="C11" s="9"/>
      <c r="D11" s="12" t="s">
        <v>7</v>
      </c>
      <c r="E11" s="14">
        <v>106826091.52</v>
      </c>
      <c r="F11" s="14">
        <v>91977991.660983682</v>
      </c>
      <c r="G11" s="14">
        <v>7837038.7699999996</v>
      </c>
      <c r="H11" s="14">
        <v>0</v>
      </c>
      <c r="I11" s="13">
        <f t="shared" si="0"/>
        <v>206641121.95098367</v>
      </c>
    </row>
    <row r="12" spans="1:9" ht="15.75" x14ac:dyDescent="0.25">
      <c r="A12" s="8"/>
      <c r="B12" s="8"/>
      <c r="C12" s="9"/>
      <c r="D12" s="12" t="s">
        <v>8</v>
      </c>
      <c r="E12" s="14">
        <v>134553362.47999999</v>
      </c>
      <c r="F12" s="14">
        <v>33345133.238457408</v>
      </c>
      <c r="G12" s="14">
        <v>4482166.8999999994</v>
      </c>
      <c r="H12" s="14">
        <v>0</v>
      </c>
      <c r="I12" s="13">
        <f t="shared" si="0"/>
        <v>172380662.61845741</v>
      </c>
    </row>
    <row r="13" spans="1:9" ht="15.75" x14ac:dyDescent="0.25">
      <c r="A13" s="8"/>
      <c r="B13" s="8"/>
      <c r="C13" s="9"/>
      <c r="D13" s="12" t="s">
        <v>9</v>
      </c>
      <c r="E13" s="14">
        <v>22142187.249999996</v>
      </c>
      <c r="F13" s="14">
        <v>881776.99747593433</v>
      </c>
      <c r="G13" s="14">
        <v>84971516.720000014</v>
      </c>
      <c r="H13" s="14">
        <v>0</v>
      </c>
      <c r="I13" s="13">
        <f t="shared" si="0"/>
        <v>107995480.96747595</v>
      </c>
    </row>
    <row r="14" spans="1:9" ht="15.75" x14ac:dyDescent="0.25">
      <c r="A14" s="8"/>
      <c r="B14" s="8"/>
      <c r="C14" s="9"/>
      <c r="D14" s="12" t="s">
        <v>10</v>
      </c>
      <c r="E14" s="14">
        <v>130723939.20999999</v>
      </c>
      <c r="F14" s="14">
        <v>37049810.778627381</v>
      </c>
      <c r="G14" s="14">
        <v>8515074.0600000005</v>
      </c>
      <c r="H14" s="14">
        <v>0</v>
      </c>
      <c r="I14" s="13">
        <f t="shared" si="0"/>
        <v>176288824.04862738</v>
      </c>
    </row>
    <row r="15" spans="1:9" ht="15.75" x14ac:dyDescent="0.25">
      <c r="A15" s="8"/>
      <c r="B15" s="8"/>
      <c r="C15" s="9"/>
      <c r="D15" s="12" t="s">
        <v>11</v>
      </c>
      <c r="E15" s="14">
        <v>10638996.810000001</v>
      </c>
      <c r="F15" s="14">
        <v>205646.78684679713</v>
      </c>
      <c r="G15" s="14">
        <v>72142268</v>
      </c>
      <c r="H15" s="14">
        <v>0</v>
      </c>
      <c r="I15" s="13">
        <f t="shared" si="0"/>
        <v>82986911.596846804</v>
      </c>
    </row>
    <row r="16" spans="1:9" ht="15.75" x14ac:dyDescent="0.25">
      <c r="A16" s="8"/>
      <c r="B16" s="8"/>
      <c r="C16" s="9"/>
      <c r="D16" s="12" t="s">
        <v>12</v>
      </c>
      <c r="E16" s="14">
        <v>132762658.72</v>
      </c>
      <c r="F16" s="14">
        <v>176664249.09757301</v>
      </c>
      <c r="G16" s="14">
        <v>10395620.880000001</v>
      </c>
      <c r="H16" s="14">
        <v>0</v>
      </c>
      <c r="I16" s="13">
        <f t="shared" si="0"/>
        <v>319822528.69757301</v>
      </c>
    </row>
    <row r="17" spans="1:9" ht="15.75" x14ac:dyDescent="0.25">
      <c r="A17" s="8"/>
      <c r="B17" s="8"/>
      <c r="C17" s="9"/>
      <c r="D17" s="12" t="s">
        <v>13</v>
      </c>
      <c r="E17" s="14">
        <v>253658768.69</v>
      </c>
      <c r="F17" s="14">
        <v>162314504.67221165</v>
      </c>
      <c r="G17" s="14">
        <v>26811435.100000001</v>
      </c>
      <c r="H17" s="14">
        <v>0</v>
      </c>
      <c r="I17" s="13">
        <f t="shared" si="0"/>
        <v>442784708.46221167</v>
      </c>
    </row>
    <row r="18" spans="1:9" ht="15.75" x14ac:dyDescent="0.25">
      <c r="A18" s="8"/>
      <c r="B18" s="8"/>
      <c r="C18" s="9"/>
      <c r="D18" s="12" t="s">
        <v>14</v>
      </c>
      <c r="E18" s="14">
        <v>44857595.200000003</v>
      </c>
      <c r="F18" s="14">
        <v>13231966.871762365</v>
      </c>
      <c r="G18" s="14">
        <v>154479316.78999999</v>
      </c>
      <c r="H18" s="14">
        <v>0</v>
      </c>
      <c r="I18" s="13">
        <f t="shared" si="0"/>
        <v>212568878.86176234</v>
      </c>
    </row>
    <row r="19" spans="1:9" ht="15.75" x14ac:dyDescent="0.25">
      <c r="A19" s="8"/>
      <c r="B19" s="8"/>
      <c r="C19" s="9"/>
      <c r="D19" s="12" t="s">
        <v>15</v>
      </c>
      <c r="E19" s="14">
        <v>264058099.68999997</v>
      </c>
      <c r="F19" s="14">
        <v>126293686.67205015</v>
      </c>
      <c r="G19" s="14">
        <v>27632165.380000003</v>
      </c>
      <c r="H19" s="14">
        <v>0</v>
      </c>
      <c r="I19" s="13">
        <f t="shared" si="0"/>
        <v>417983951.74205011</v>
      </c>
    </row>
    <row r="20" spans="1:9" ht="15.75" x14ac:dyDescent="0.25">
      <c r="A20" s="8"/>
      <c r="B20" s="8"/>
      <c r="C20" s="9"/>
      <c r="D20" s="12" t="s">
        <v>16</v>
      </c>
      <c r="E20" s="14">
        <v>93236840.699999988</v>
      </c>
      <c r="F20" s="14">
        <v>31433604.618283674</v>
      </c>
      <c r="G20" s="14">
        <v>11523856.98</v>
      </c>
      <c r="H20" s="14">
        <v>0</v>
      </c>
      <c r="I20" s="13">
        <f t="shared" si="0"/>
        <v>136194302.29828367</v>
      </c>
    </row>
    <row r="21" spans="1:9" ht="15.75" x14ac:dyDescent="0.25">
      <c r="A21" s="8"/>
      <c r="B21" s="8"/>
      <c r="C21" s="9"/>
      <c r="D21" s="12" t="s">
        <v>17</v>
      </c>
      <c r="E21" s="14">
        <v>153521779.16000003</v>
      </c>
      <c r="F21" s="14">
        <v>151082092.35152423</v>
      </c>
      <c r="G21" s="14">
        <v>5599676.5300000012</v>
      </c>
      <c r="H21" s="14">
        <v>0</v>
      </c>
      <c r="I21" s="13">
        <f t="shared" si="0"/>
        <v>310203548.04152429</v>
      </c>
    </row>
    <row r="22" spans="1:9" ht="15.75" x14ac:dyDescent="0.25">
      <c r="A22" s="8"/>
      <c r="B22" s="8"/>
      <c r="C22" s="9"/>
      <c r="D22" s="12" t="s">
        <v>18</v>
      </c>
      <c r="E22" s="14">
        <v>5084114.5500000007</v>
      </c>
      <c r="F22" s="14">
        <v>6469147.0770071782</v>
      </c>
      <c r="G22" s="14">
        <v>52219332.709999993</v>
      </c>
      <c r="H22" s="14">
        <v>0</v>
      </c>
      <c r="I22" s="13">
        <f t="shared" si="0"/>
        <v>63772594.337007172</v>
      </c>
    </row>
    <row r="23" spans="1:9" ht="15.75" x14ac:dyDescent="0.25">
      <c r="A23" s="8"/>
      <c r="B23" s="8"/>
      <c r="C23" s="9"/>
      <c r="D23" s="12" t="s">
        <v>19</v>
      </c>
      <c r="E23" s="14">
        <v>3563541.9499999997</v>
      </c>
      <c r="F23" s="14">
        <v>2410848.1247685403</v>
      </c>
      <c r="G23" s="14">
        <v>20148558.540000003</v>
      </c>
      <c r="H23" s="14">
        <v>0</v>
      </c>
      <c r="I23" s="13">
        <f t="shared" si="0"/>
        <v>26122948.614768542</v>
      </c>
    </row>
    <row r="24" spans="1:9" ht="15.75" x14ac:dyDescent="0.25">
      <c r="A24" s="8"/>
      <c r="B24" s="8"/>
      <c r="C24" s="9"/>
      <c r="D24" s="12" t="s">
        <v>20</v>
      </c>
      <c r="E24" s="14">
        <v>121094700.21000001</v>
      </c>
      <c r="F24" s="14">
        <v>92654880.715844736</v>
      </c>
      <c r="G24" s="14">
        <v>15082126.699999999</v>
      </c>
      <c r="H24" s="14">
        <v>0</v>
      </c>
      <c r="I24" s="13">
        <f t="shared" si="0"/>
        <v>228831707.62584472</v>
      </c>
    </row>
    <row r="25" spans="1:9" ht="15.75" x14ac:dyDescent="0.25">
      <c r="A25" s="8"/>
      <c r="B25" s="8"/>
      <c r="C25" s="9"/>
      <c r="D25" s="12" t="s">
        <v>21</v>
      </c>
      <c r="E25" s="14">
        <v>85635674.190000013</v>
      </c>
      <c r="F25" s="14">
        <v>68807441.883935347</v>
      </c>
      <c r="G25" s="14">
        <v>15563549.379999999</v>
      </c>
      <c r="H25" s="14">
        <v>0</v>
      </c>
      <c r="I25" s="13">
        <f t="shared" si="0"/>
        <v>170006665.45393535</v>
      </c>
    </row>
    <row r="26" spans="1:9" ht="15.75" x14ac:dyDescent="0.25">
      <c r="A26" s="8"/>
      <c r="B26" s="8"/>
      <c r="C26" s="9"/>
      <c r="D26" s="12" t="s">
        <v>22</v>
      </c>
      <c r="E26" s="14">
        <v>56070290.819999993</v>
      </c>
      <c r="F26" s="14">
        <v>39402227.897539087</v>
      </c>
      <c r="G26" s="14">
        <v>12034851.380000001</v>
      </c>
      <c r="H26" s="14">
        <v>0</v>
      </c>
      <c r="I26" s="13">
        <f t="shared" si="0"/>
        <v>107507370.09753907</v>
      </c>
    </row>
    <row r="27" spans="1:9" ht="15.75" x14ac:dyDescent="0.25">
      <c r="A27" s="8"/>
      <c r="B27" s="8"/>
      <c r="C27" s="9"/>
      <c r="D27" s="12" t="s">
        <v>23</v>
      </c>
      <c r="E27" s="14">
        <v>30002940.720000003</v>
      </c>
      <c r="F27" s="14">
        <v>6762819.7947551869</v>
      </c>
      <c r="G27" s="14">
        <v>77276057.999999985</v>
      </c>
      <c r="H27" s="14">
        <v>0</v>
      </c>
      <c r="I27" s="13">
        <f t="shared" si="0"/>
        <v>114041818.51475517</v>
      </c>
    </row>
    <row r="28" spans="1:9" ht="15.75" x14ac:dyDescent="0.25">
      <c r="A28" s="8"/>
      <c r="B28" s="8"/>
      <c r="C28" s="9"/>
      <c r="D28" s="12" t="s">
        <v>24</v>
      </c>
      <c r="E28" s="14">
        <v>51906146.109999999</v>
      </c>
      <c r="F28" s="14">
        <v>32051303.823055975</v>
      </c>
      <c r="G28" s="14">
        <v>19100740.049999993</v>
      </c>
      <c r="H28" s="14">
        <v>0</v>
      </c>
      <c r="I28" s="13">
        <f t="shared" si="0"/>
        <v>103058189.98305596</v>
      </c>
    </row>
    <row r="29" spans="1:9" ht="15.75" x14ac:dyDescent="0.25">
      <c r="A29" s="8"/>
      <c r="B29" s="8"/>
      <c r="C29" s="9"/>
      <c r="D29" s="12" t="s">
        <v>25</v>
      </c>
      <c r="E29" s="14">
        <v>52522018.790000007</v>
      </c>
      <c r="F29" s="14">
        <v>17936801.109585766</v>
      </c>
      <c r="G29" s="14">
        <v>5297047.1700000009</v>
      </c>
      <c r="H29" s="14">
        <v>0</v>
      </c>
      <c r="I29" s="13">
        <f t="shared" si="0"/>
        <v>75755867.06958577</v>
      </c>
    </row>
    <row r="30" spans="1:9" ht="15.75" x14ac:dyDescent="0.25">
      <c r="A30" s="8"/>
      <c r="B30" s="8"/>
      <c r="C30" s="9"/>
      <c r="D30" s="12" t="s">
        <v>26</v>
      </c>
      <c r="E30" s="14">
        <v>110938837.77</v>
      </c>
      <c r="F30" s="14">
        <v>96742015.748895854</v>
      </c>
      <c r="G30" s="14">
        <v>12060487.33</v>
      </c>
      <c r="H30" s="14">
        <v>0</v>
      </c>
      <c r="I30" s="13">
        <f t="shared" si="0"/>
        <v>219741340.84889588</v>
      </c>
    </row>
    <row r="31" spans="1:9" ht="15.75" x14ac:dyDescent="0.25">
      <c r="A31" s="8"/>
      <c r="B31" s="8"/>
      <c r="C31" s="9"/>
      <c r="D31" s="12" t="s">
        <v>27</v>
      </c>
      <c r="E31" s="14">
        <v>91283378.829999998</v>
      </c>
      <c r="F31" s="14">
        <v>100270641.42726341</v>
      </c>
      <c r="G31" s="14">
        <v>7806875.2100000009</v>
      </c>
      <c r="H31" s="14">
        <v>0</v>
      </c>
      <c r="I31" s="13">
        <f t="shared" si="0"/>
        <v>199360895.46726343</v>
      </c>
    </row>
    <row r="32" spans="1:9" ht="15.75" x14ac:dyDescent="0.25">
      <c r="A32" s="8"/>
      <c r="B32" s="8"/>
      <c r="C32" s="9"/>
      <c r="D32" s="12" t="s">
        <v>28</v>
      </c>
      <c r="E32" s="14">
        <v>89618775.329999998</v>
      </c>
      <c r="F32" s="14">
        <v>33845211.587284118</v>
      </c>
      <c r="G32" s="14">
        <v>4581057.09</v>
      </c>
      <c r="H32" s="14">
        <v>0</v>
      </c>
      <c r="I32" s="13">
        <f t="shared" si="0"/>
        <v>128045044.00728412</v>
      </c>
    </row>
    <row r="33" spans="1:9" ht="15.75" x14ac:dyDescent="0.25">
      <c r="A33" s="8"/>
      <c r="B33" s="8"/>
      <c r="C33" s="9"/>
      <c r="D33" s="12" t="s">
        <v>29</v>
      </c>
      <c r="E33" s="14">
        <v>17896322.669999998</v>
      </c>
      <c r="F33" s="14">
        <v>51164313.492097586</v>
      </c>
      <c r="G33" s="14">
        <v>3827222.9299999997</v>
      </c>
      <c r="H33" s="14">
        <v>0</v>
      </c>
      <c r="I33" s="13">
        <f t="shared" si="0"/>
        <v>72887859.09209758</v>
      </c>
    </row>
    <row r="34" spans="1:9" ht="15.75" x14ac:dyDescent="0.25">
      <c r="A34" s="8"/>
      <c r="B34" s="8"/>
      <c r="C34" s="9"/>
      <c r="D34" s="12" t="s">
        <v>30</v>
      </c>
      <c r="E34" s="14">
        <v>230491937.42999998</v>
      </c>
      <c r="F34" s="14">
        <v>73423491.346625641</v>
      </c>
      <c r="G34" s="14">
        <v>18945272.91</v>
      </c>
      <c r="H34" s="14">
        <v>0</v>
      </c>
      <c r="I34" s="13">
        <f t="shared" si="0"/>
        <v>322860701.68662566</v>
      </c>
    </row>
    <row r="35" spans="1:9" ht="15.75" x14ac:dyDescent="0.25">
      <c r="A35" s="8"/>
      <c r="B35" s="8"/>
      <c r="C35" s="9"/>
      <c r="D35" s="12" t="s">
        <v>31</v>
      </c>
      <c r="E35" s="14">
        <v>97532547.969999999</v>
      </c>
      <c r="F35" s="14">
        <v>107944833.14453889</v>
      </c>
      <c r="G35" s="14">
        <v>14656344.069999998</v>
      </c>
      <c r="H35" s="14">
        <v>0</v>
      </c>
      <c r="I35" s="13">
        <f t="shared" si="0"/>
        <v>220133725.1845389</v>
      </c>
    </row>
    <row r="36" spans="1:9" ht="15.75" x14ac:dyDescent="0.25">
      <c r="A36" s="8"/>
      <c r="B36" s="8"/>
      <c r="C36" s="9"/>
      <c r="D36" s="12" t="s">
        <v>32</v>
      </c>
      <c r="E36" s="14">
        <v>128183218.89000002</v>
      </c>
      <c r="F36" s="14">
        <v>66983939.194662824</v>
      </c>
      <c r="G36" s="14">
        <v>26868370.620000005</v>
      </c>
      <c r="H36" s="14">
        <v>0</v>
      </c>
      <c r="I36" s="13">
        <f t="shared" si="0"/>
        <v>222035528.70466286</v>
      </c>
    </row>
    <row r="37" spans="1:9" ht="15.75" x14ac:dyDescent="0.25">
      <c r="A37" s="8"/>
      <c r="B37" s="8"/>
      <c r="C37" s="9"/>
      <c r="D37" s="12" t="s">
        <v>33</v>
      </c>
      <c r="E37" s="14">
        <v>101833664.36</v>
      </c>
      <c r="F37" s="14">
        <v>37049810.778627381</v>
      </c>
      <c r="G37" s="14">
        <v>8267235.1899999995</v>
      </c>
      <c r="H37" s="14">
        <v>0</v>
      </c>
      <c r="I37" s="13">
        <f t="shared" si="0"/>
        <v>147150710.32862738</v>
      </c>
    </row>
    <row r="38" spans="1:9" ht="15.75" x14ac:dyDescent="0.25">
      <c r="A38" s="8"/>
      <c r="B38" s="8"/>
      <c r="C38" s="9"/>
      <c r="D38" s="12" t="s">
        <v>34</v>
      </c>
      <c r="E38" s="14">
        <v>85026262.009999976</v>
      </c>
      <c r="F38" s="14">
        <v>80510337.628405094</v>
      </c>
      <c r="G38" s="14">
        <v>10566051.6</v>
      </c>
      <c r="H38" s="14">
        <v>0</v>
      </c>
      <c r="I38" s="13">
        <f t="shared" si="0"/>
        <v>176102651.23840508</v>
      </c>
    </row>
    <row r="39" spans="1:9" ht="15.75" x14ac:dyDescent="0.25">
      <c r="A39" s="8"/>
      <c r="B39" s="8"/>
      <c r="C39" s="9"/>
      <c r="D39" s="12" t="s">
        <v>35</v>
      </c>
      <c r="E39" s="14">
        <v>64574043.159999996</v>
      </c>
      <c r="F39" s="14">
        <v>126058444.96015899</v>
      </c>
      <c r="G39" s="14">
        <v>15088218.15</v>
      </c>
      <c r="H39" s="14">
        <v>0</v>
      </c>
      <c r="I39" s="13">
        <f t="shared" si="0"/>
        <v>205720706.27015898</v>
      </c>
    </row>
    <row r="40" spans="1:9" ht="15.75" x14ac:dyDescent="0.25">
      <c r="A40" s="8"/>
      <c r="B40" s="8"/>
      <c r="C40" s="9"/>
      <c r="D40" s="12" t="s">
        <v>36</v>
      </c>
      <c r="E40" s="14">
        <v>7402284.5800000001</v>
      </c>
      <c r="F40" s="14">
        <v>6616362.8579971362</v>
      </c>
      <c r="G40" s="14">
        <v>6950701.7799999993</v>
      </c>
      <c r="H40" s="14">
        <v>0</v>
      </c>
      <c r="I40" s="13">
        <f t="shared" si="0"/>
        <v>20969349.217997134</v>
      </c>
    </row>
    <row r="41" spans="1:9" ht="15.75" x14ac:dyDescent="0.25">
      <c r="A41" s="8"/>
      <c r="B41" s="8"/>
      <c r="C41" s="9"/>
      <c r="D41" s="12" t="s">
        <v>37</v>
      </c>
      <c r="E41" s="14">
        <v>138359494.77000001</v>
      </c>
      <c r="F41" s="14">
        <v>110562086.90038612</v>
      </c>
      <c r="G41" s="14">
        <v>22668494.890000001</v>
      </c>
      <c r="H41" s="14">
        <v>0</v>
      </c>
      <c r="I41" s="13">
        <f t="shared" si="0"/>
        <v>271590076.56038612</v>
      </c>
    </row>
    <row r="42" spans="1:9" ht="15.75" x14ac:dyDescent="0.25">
      <c r="A42" s="8"/>
      <c r="B42" s="8"/>
      <c r="C42" s="9"/>
      <c r="D42" s="12" t="s">
        <v>38</v>
      </c>
      <c r="E42" s="14">
        <v>107784219.77000001</v>
      </c>
      <c r="F42" s="14">
        <v>119736513.66414177</v>
      </c>
      <c r="G42" s="14">
        <v>9376276.7199999988</v>
      </c>
      <c r="H42" s="14">
        <v>0</v>
      </c>
      <c r="I42" s="13">
        <f t="shared" si="0"/>
        <v>236897010.15414178</v>
      </c>
    </row>
    <row r="43" spans="1:9" ht="15.75" x14ac:dyDescent="0.25">
      <c r="A43" s="8"/>
      <c r="B43" s="8"/>
      <c r="C43" s="9"/>
      <c r="D43" s="12" t="s">
        <v>39</v>
      </c>
      <c r="E43" s="14">
        <v>25127840.839999996</v>
      </c>
      <c r="F43" s="14">
        <v>43548552.780678935</v>
      </c>
      <c r="G43" s="14">
        <v>9165071.2800000012</v>
      </c>
      <c r="H43" s="14">
        <v>0</v>
      </c>
      <c r="I43" s="13">
        <f t="shared" si="0"/>
        <v>77841464.900678933</v>
      </c>
    </row>
    <row r="44" spans="1:9" ht="15.75" x14ac:dyDescent="0.25">
      <c r="A44" s="8"/>
      <c r="B44" s="8"/>
      <c r="C44" s="9"/>
      <c r="D44" s="12" t="s">
        <v>40</v>
      </c>
      <c r="E44" s="14">
        <v>107500.59000000001</v>
      </c>
      <c r="F44" s="14">
        <v>3351814.9723332208</v>
      </c>
      <c r="G44" s="14">
        <v>12647201.419999998</v>
      </c>
      <c r="H44" s="14">
        <v>0</v>
      </c>
      <c r="I44" s="13">
        <f t="shared" si="0"/>
        <v>16106516.982333219</v>
      </c>
    </row>
    <row r="45" spans="1:9" ht="15.75" x14ac:dyDescent="0.25">
      <c r="A45" s="8"/>
      <c r="B45" s="8"/>
      <c r="C45" s="9"/>
      <c r="D45" s="12" t="s">
        <v>41</v>
      </c>
      <c r="E45" s="14">
        <v>32789305.419999994</v>
      </c>
      <c r="F45" s="14">
        <v>970561.77260905341</v>
      </c>
      <c r="G45" s="14">
        <v>41441458.140000001</v>
      </c>
      <c r="H45" s="14">
        <v>0</v>
      </c>
      <c r="I45" s="13">
        <f t="shared" si="0"/>
        <v>75201325.332609057</v>
      </c>
    </row>
    <row r="46" spans="1:9" ht="15.75" x14ac:dyDescent="0.25">
      <c r="A46" s="8"/>
      <c r="B46" s="8"/>
      <c r="C46" s="9"/>
      <c r="D46" s="12" t="s">
        <v>42</v>
      </c>
      <c r="E46" s="14">
        <v>6909001.0500000007</v>
      </c>
      <c r="F46" s="14">
        <v>3234194.116387635</v>
      </c>
      <c r="G46" s="14">
        <v>57520291.649999991</v>
      </c>
      <c r="H46" s="14">
        <v>0</v>
      </c>
      <c r="I46" s="13">
        <f t="shared" si="0"/>
        <v>67663486.816387624</v>
      </c>
    </row>
    <row r="47" spans="1:9" ht="15.75" x14ac:dyDescent="0.25">
      <c r="A47" s="8"/>
      <c r="B47" s="8"/>
      <c r="C47" s="9"/>
      <c r="D47" s="12" t="s">
        <v>43</v>
      </c>
      <c r="E47" s="14">
        <v>63586278.88000001</v>
      </c>
      <c r="F47" s="14">
        <v>20524459.940388639</v>
      </c>
      <c r="G47" s="14">
        <v>9487815.0600000005</v>
      </c>
      <c r="H47" s="14">
        <v>0</v>
      </c>
      <c r="I47" s="13">
        <f t="shared" si="0"/>
        <v>93598553.880388647</v>
      </c>
    </row>
    <row r="48" spans="1:9" ht="15.75" x14ac:dyDescent="0.25">
      <c r="A48" s="8"/>
      <c r="B48" s="8"/>
      <c r="C48" s="9"/>
      <c r="D48" s="12" t="s">
        <v>44</v>
      </c>
      <c r="E48" s="14">
        <v>25947333.25</v>
      </c>
      <c r="F48" s="14">
        <v>3234194.116387635</v>
      </c>
      <c r="G48" s="14">
        <v>32624978.860000003</v>
      </c>
      <c r="H48" s="14">
        <v>0</v>
      </c>
      <c r="I48" s="13">
        <f t="shared" si="0"/>
        <v>61806506.226387635</v>
      </c>
    </row>
    <row r="49" spans="1:9" ht="15.75" x14ac:dyDescent="0.25">
      <c r="A49" s="8"/>
      <c r="B49" s="8"/>
      <c r="C49" s="9"/>
      <c r="D49" s="12" t="s">
        <v>45</v>
      </c>
      <c r="E49" s="14">
        <v>12053907.709999997</v>
      </c>
      <c r="F49" s="14">
        <v>3851893.3211599337</v>
      </c>
      <c r="G49" s="14">
        <v>63903736.229999997</v>
      </c>
      <c r="H49" s="14">
        <v>0</v>
      </c>
      <c r="I49" s="13">
        <f t="shared" si="0"/>
        <v>79809537.261159927</v>
      </c>
    </row>
    <row r="50" spans="1:9" ht="15.75" x14ac:dyDescent="0.25">
      <c r="A50" s="8"/>
      <c r="B50" s="8"/>
      <c r="C50" s="9"/>
      <c r="D50" s="12" t="s">
        <v>46</v>
      </c>
      <c r="E50" s="14">
        <v>81539536.370000005</v>
      </c>
      <c r="F50" s="14">
        <v>37226621.484661721</v>
      </c>
      <c r="G50" s="14">
        <v>3344202.79</v>
      </c>
      <c r="H50" s="14">
        <v>0</v>
      </c>
      <c r="I50" s="13">
        <f t="shared" si="0"/>
        <v>122110360.64466174</v>
      </c>
    </row>
    <row r="51" spans="1:9" ht="15.75" x14ac:dyDescent="0.25">
      <c r="A51" s="8"/>
      <c r="B51" s="8"/>
      <c r="C51" s="9"/>
      <c r="D51" s="12" t="s">
        <v>47</v>
      </c>
      <c r="E51" s="14">
        <v>102457844.79999998</v>
      </c>
      <c r="F51" s="14">
        <v>67689664.330336332</v>
      </c>
      <c r="G51" s="14">
        <v>14592628.41</v>
      </c>
      <c r="H51" s="14">
        <v>0</v>
      </c>
      <c r="I51" s="13">
        <f t="shared" si="0"/>
        <v>184740137.54033631</v>
      </c>
    </row>
    <row r="52" spans="1:9" ht="15.75" x14ac:dyDescent="0.25">
      <c r="A52" s="8"/>
      <c r="B52" s="8"/>
      <c r="C52" s="9"/>
      <c r="D52" s="12" t="s">
        <v>48</v>
      </c>
      <c r="E52" s="14">
        <v>51462325.210000001</v>
      </c>
      <c r="F52" s="14">
        <v>68219337.604207411</v>
      </c>
      <c r="G52" s="14">
        <v>3024947.66</v>
      </c>
      <c r="H52" s="14">
        <v>0</v>
      </c>
      <c r="I52" s="13">
        <f t="shared" si="0"/>
        <v>122706610.4742074</v>
      </c>
    </row>
    <row r="53" spans="1:9" ht="15.75" x14ac:dyDescent="0.25">
      <c r="A53" s="8"/>
      <c r="B53" s="8"/>
      <c r="C53" s="9"/>
      <c r="D53" s="12" t="s">
        <v>49</v>
      </c>
      <c r="E53" s="14">
        <v>116167094.56999999</v>
      </c>
      <c r="F53" s="14">
        <v>46753910.816254109</v>
      </c>
      <c r="G53" s="14">
        <v>8091210.8500000006</v>
      </c>
      <c r="H53" s="14">
        <v>0</v>
      </c>
      <c r="I53" s="13">
        <f t="shared" si="0"/>
        <v>171012216.2362541</v>
      </c>
    </row>
    <row r="54" spans="1:9" ht="15.75" x14ac:dyDescent="0.25">
      <c r="A54" s="8"/>
      <c r="B54" s="8"/>
      <c r="C54" s="9"/>
      <c r="D54" s="12" t="s">
        <v>50</v>
      </c>
      <c r="E54" s="14">
        <v>68801405.939999998</v>
      </c>
      <c r="F54" s="14">
        <v>42930853.575906634</v>
      </c>
      <c r="G54" s="14">
        <v>9012719.2799999993</v>
      </c>
      <c r="H54" s="14">
        <v>0</v>
      </c>
      <c r="I54" s="13">
        <f t="shared" si="0"/>
        <v>120744978.79590663</v>
      </c>
    </row>
    <row r="55" spans="1:9" ht="15.75" x14ac:dyDescent="0.25">
      <c r="A55" s="8"/>
      <c r="B55" s="8"/>
      <c r="C55" s="9"/>
      <c r="D55" s="12" t="s">
        <v>51</v>
      </c>
      <c r="E55" s="14">
        <v>27155427.880000003</v>
      </c>
      <c r="F55" s="14">
        <v>87920451.552976966</v>
      </c>
      <c r="G55" s="14">
        <v>539159.41</v>
      </c>
      <c r="H55" s="14">
        <v>0</v>
      </c>
      <c r="I55" s="13">
        <f t="shared" si="0"/>
        <v>115615038.84297696</v>
      </c>
    </row>
    <row r="56" spans="1:9" ht="15.75" x14ac:dyDescent="0.25">
      <c r="A56" s="8"/>
      <c r="B56" s="8"/>
      <c r="C56" s="9"/>
      <c r="D56" s="12" t="s">
        <v>52</v>
      </c>
      <c r="E56" s="14">
        <v>69272162.180000007</v>
      </c>
      <c r="F56" s="14">
        <v>97859034.458262935</v>
      </c>
      <c r="G56" s="14">
        <v>5031898.8900000006</v>
      </c>
      <c r="H56" s="14">
        <v>0</v>
      </c>
      <c r="I56" s="13">
        <f t="shared" si="0"/>
        <v>172163095.52826291</v>
      </c>
    </row>
    <row r="57" spans="1:9" ht="15.75" x14ac:dyDescent="0.25">
      <c r="A57" s="8"/>
      <c r="B57" s="8"/>
      <c r="C57" s="9"/>
      <c r="D57" s="12" t="s">
        <v>53</v>
      </c>
      <c r="E57" s="14">
        <v>20843291.630000003</v>
      </c>
      <c r="F57" s="14">
        <v>32344976.540803984</v>
      </c>
      <c r="G57" s="14">
        <v>4099115.9399999995</v>
      </c>
      <c r="H57" s="14">
        <v>0</v>
      </c>
      <c r="I57" s="13">
        <f t="shared" si="0"/>
        <v>57287384.110803984</v>
      </c>
    </row>
    <row r="58" spans="1:9" ht="15.75" x14ac:dyDescent="0.25">
      <c r="A58" s="8"/>
      <c r="B58" s="8"/>
      <c r="C58" s="9"/>
      <c r="D58" s="12" t="s">
        <v>54</v>
      </c>
      <c r="E58" s="14">
        <v>21200109.16</v>
      </c>
      <c r="F58" s="14">
        <v>34815014.515661262</v>
      </c>
      <c r="G58" s="14">
        <v>349612.82</v>
      </c>
      <c r="H58" s="14">
        <v>0</v>
      </c>
      <c r="I58" s="13">
        <f t="shared" si="0"/>
        <v>56364736.495661266</v>
      </c>
    </row>
    <row r="59" spans="1:9" ht="15.75" x14ac:dyDescent="0.25">
      <c r="A59" s="8"/>
      <c r="B59" s="8"/>
      <c r="C59" s="9"/>
      <c r="D59" s="12" t="s">
        <v>55</v>
      </c>
      <c r="E59" s="14">
        <v>43478798.300000004</v>
      </c>
      <c r="F59" s="14">
        <v>58809669.128560618</v>
      </c>
      <c r="G59" s="14">
        <v>10598875.92</v>
      </c>
      <c r="H59" s="14">
        <v>0</v>
      </c>
      <c r="I59" s="13">
        <f t="shared" si="0"/>
        <v>112887343.34856062</v>
      </c>
    </row>
    <row r="60" spans="1:9" ht="15.75" x14ac:dyDescent="0.25">
      <c r="A60" s="8"/>
      <c r="B60" s="8"/>
      <c r="C60" s="9"/>
      <c r="D60" s="12" t="s">
        <v>56</v>
      </c>
      <c r="E60" s="14">
        <v>32879792.690000001</v>
      </c>
      <c r="F60" s="14">
        <v>35579929.501423523</v>
      </c>
      <c r="G60" s="14">
        <v>2915918.2600000002</v>
      </c>
      <c r="H60" s="14">
        <v>0</v>
      </c>
      <c r="I60" s="13">
        <f t="shared" si="0"/>
        <v>71375640.451423526</v>
      </c>
    </row>
    <row r="61" spans="1:9" ht="15.75" x14ac:dyDescent="0.25">
      <c r="A61" s="8"/>
      <c r="B61" s="8"/>
      <c r="C61" s="9"/>
      <c r="D61" s="12" t="s">
        <v>57</v>
      </c>
      <c r="E61" s="14">
        <v>101519361.74000001</v>
      </c>
      <c r="F61" s="14">
        <v>59691446.126036555</v>
      </c>
      <c r="G61" s="14">
        <v>6696016.8599999994</v>
      </c>
      <c r="H61" s="14">
        <v>0</v>
      </c>
      <c r="I61" s="13">
        <f t="shared" si="0"/>
        <v>167906824.72603655</v>
      </c>
    </row>
    <row r="62" spans="1:9" ht="15.75" x14ac:dyDescent="0.25">
      <c r="A62" s="8"/>
      <c r="B62" s="8"/>
      <c r="C62" s="9"/>
      <c r="D62" s="12" t="s">
        <v>58</v>
      </c>
      <c r="E62" s="14">
        <v>90242377.399999991</v>
      </c>
      <c r="F62" s="14">
        <v>66602240.546013609</v>
      </c>
      <c r="G62" s="14">
        <v>412278599.58000004</v>
      </c>
      <c r="H62" s="14">
        <v>0</v>
      </c>
      <c r="I62" s="13">
        <f t="shared" si="0"/>
        <v>569123217.52601361</v>
      </c>
    </row>
    <row r="63" spans="1:9" ht="15.75" x14ac:dyDescent="0.25">
      <c r="A63" s="8"/>
      <c r="B63" s="8"/>
      <c r="C63" s="9"/>
      <c r="D63" s="12" t="s">
        <v>59</v>
      </c>
      <c r="E63" s="14">
        <v>26863674.540000007</v>
      </c>
      <c r="F63" s="14">
        <v>7350924.0744831115</v>
      </c>
      <c r="G63" s="14">
        <v>22637028.350000005</v>
      </c>
      <c r="H63" s="14">
        <v>0</v>
      </c>
      <c r="I63" s="13">
        <f t="shared" si="0"/>
        <v>56851626.964483127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129296429.02999999</v>
      </c>
      <c r="H64" s="14">
        <v>0</v>
      </c>
      <c r="I64" s="13">
        <f t="shared" si="0"/>
        <v>129296429.02999999</v>
      </c>
    </row>
    <row r="65" spans="1:9" ht="15.75" x14ac:dyDescent="0.25">
      <c r="A65" s="8"/>
      <c r="B65" s="8"/>
      <c r="C65" s="9"/>
      <c r="D65" s="12" t="s">
        <v>61</v>
      </c>
      <c r="E65" s="14">
        <v>96475042.299999997</v>
      </c>
      <c r="F65" s="14">
        <v>87037915.71126914</v>
      </c>
      <c r="G65" s="14">
        <v>8162706.7800000003</v>
      </c>
      <c r="H65" s="14">
        <v>0</v>
      </c>
      <c r="I65" s="13">
        <f t="shared" si="0"/>
        <v>191675664.79126915</v>
      </c>
    </row>
    <row r="66" spans="1:9" ht="15.75" x14ac:dyDescent="0.25">
      <c r="A66" s="8"/>
      <c r="B66" s="8"/>
      <c r="C66" s="9"/>
      <c r="D66" s="12" t="s">
        <v>62</v>
      </c>
      <c r="E66" s="14">
        <v>399748267.50999999</v>
      </c>
      <c r="F66" s="14">
        <v>173047597.48830423</v>
      </c>
      <c r="G66" s="14">
        <v>13735434.15</v>
      </c>
      <c r="H66" s="14">
        <v>0</v>
      </c>
      <c r="I66" s="13">
        <f t="shared" si="0"/>
        <v>586531299.14830422</v>
      </c>
    </row>
    <row r="67" spans="1:9" ht="15.75" x14ac:dyDescent="0.25">
      <c r="A67" s="8"/>
      <c r="B67" s="8"/>
      <c r="C67" s="9"/>
      <c r="D67" s="12" t="s">
        <v>63</v>
      </c>
      <c r="E67" s="14">
        <v>57942553</v>
      </c>
      <c r="F67" s="14">
        <v>79981423.198765934</v>
      </c>
      <c r="G67" s="14">
        <v>5683024.5899999999</v>
      </c>
      <c r="H67" s="14">
        <v>0</v>
      </c>
      <c r="I67" s="13">
        <f t="shared" si="0"/>
        <v>143607000.78876594</v>
      </c>
    </row>
    <row r="68" spans="1:9" ht="15.75" x14ac:dyDescent="0.25">
      <c r="A68" s="8"/>
      <c r="B68" s="8"/>
      <c r="C68" s="9"/>
      <c r="D68" s="12" t="s">
        <v>64</v>
      </c>
      <c r="E68" s="14">
        <v>76406307.650000006</v>
      </c>
      <c r="F68" s="14">
        <v>33815616.662239753</v>
      </c>
      <c r="G68" s="14">
        <v>1466951.8499999999</v>
      </c>
      <c r="H68" s="14">
        <v>0</v>
      </c>
      <c r="I68" s="13">
        <f t="shared" si="0"/>
        <v>111688876.16223976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35226703.490000002</v>
      </c>
      <c r="H69" s="14">
        <v>0</v>
      </c>
      <c r="I69" s="13">
        <f t="shared" si="0"/>
        <v>35226703.490000002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45145179.800000004</v>
      </c>
      <c r="H70" s="14">
        <v>0</v>
      </c>
      <c r="I70" s="13">
        <f t="shared" si="0"/>
        <v>45145179.800000004</v>
      </c>
    </row>
    <row r="71" spans="1:9" ht="15.75" x14ac:dyDescent="0.25">
      <c r="A71" s="8"/>
      <c r="B71" s="8"/>
      <c r="C71" s="9"/>
      <c r="D71" s="12" t="s">
        <v>67</v>
      </c>
      <c r="E71" s="14">
        <v>209272.15000000002</v>
      </c>
      <c r="F71" s="14">
        <v>881776.99747593433</v>
      </c>
      <c r="G71" s="14">
        <v>39126303.689999998</v>
      </c>
      <c r="H71" s="14">
        <v>0</v>
      </c>
      <c r="I71" s="13">
        <f t="shared" si="0"/>
        <v>40217352.837475933</v>
      </c>
    </row>
    <row r="72" spans="1:9" ht="15.75" x14ac:dyDescent="0.25">
      <c r="A72" s="8"/>
      <c r="B72" s="8"/>
      <c r="C72" s="9"/>
      <c r="D72" s="12" t="s">
        <v>68</v>
      </c>
      <c r="E72" s="14">
        <v>129993068.19</v>
      </c>
      <c r="F72" s="14">
        <v>54928180.882356316</v>
      </c>
      <c r="G72" s="14">
        <v>48903325.210000001</v>
      </c>
      <c r="H72" s="14">
        <v>0</v>
      </c>
      <c r="I72" s="13">
        <f t="shared" si="0"/>
        <v>233824574.28235632</v>
      </c>
    </row>
    <row r="73" spans="1:9" ht="15.75" x14ac:dyDescent="0.25">
      <c r="A73" s="8"/>
      <c r="B73" s="8"/>
      <c r="C73" s="9"/>
      <c r="D73" s="12" t="s">
        <v>69</v>
      </c>
      <c r="E73" s="14">
        <v>1802582.31</v>
      </c>
      <c r="F73" s="14">
        <v>0</v>
      </c>
      <c r="G73" s="14">
        <v>40268919.440000005</v>
      </c>
      <c r="H73" s="14">
        <v>0</v>
      </c>
      <c r="I73" s="13">
        <f t="shared" si="0"/>
        <v>42071501.750000007</v>
      </c>
    </row>
    <row r="74" spans="1:9" ht="15.75" x14ac:dyDescent="0.25">
      <c r="A74" s="8"/>
      <c r="B74" s="8"/>
      <c r="C74" s="9"/>
      <c r="D74" s="12" t="s">
        <v>70</v>
      </c>
      <c r="E74" s="14">
        <v>14488294.58</v>
      </c>
      <c r="F74" s="14">
        <v>4645644.3877346553</v>
      </c>
      <c r="G74" s="14">
        <v>229590116.79000002</v>
      </c>
      <c r="H74" s="14">
        <v>0</v>
      </c>
      <c r="I74" s="13">
        <f t="shared" ref="I74:I137" si="1">SUM(E74:H74)</f>
        <v>248724055.75773469</v>
      </c>
    </row>
    <row r="75" spans="1:9" ht="15.75" x14ac:dyDescent="0.25">
      <c r="A75" s="8"/>
      <c r="B75" s="8"/>
      <c r="C75" s="9"/>
      <c r="D75" s="12" t="s">
        <v>71</v>
      </c>
      <c r="E75" s="14">
        <v>42086324.159999996</v>
      </c>
      <c r="F75" s="14">
        <v>18054421.965531353</v>
      </c>
      <c r="G75" s="14">
        <v>312386215.12</v>
      </c>
      <c r="H75" s="14">
        <v>0</v>
      </c>
      <c r="I75" s="13">
        <f t="shared" si="1"/>
        <v>372526961.24553132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102038919</v>
      </c>
      <c r="H76" s="14">
        <v>0</v>
      </c>
      <c r="I76" s="13">
        <f t="shared" si="1"/>
        <v>102038919</v>
      </c>
    </row>
    <row r="77" spans="1:9" ht="15.75" x14ac:dyDescent="0.25">
      <c r="A77" s="8"/>
      <c r="B77" s="8"/>
      <c r="C77" s="9"/>
      <c r="D77" s="12" t="s">
        <v>73</v>
      </c>
      <c r="E77" s="14">
        <v>35991355.840000004</v>
      </c>
      <c r="F77" s="14">
        <v>89537548.611170799</v>
      </c>
      <c r="G77" s="14">
        <v>5329778.3500000006</v>
      </c>
      <c r="H77" s="14">
        <v>0</v>
      </c>
      <c r="I77" s="13">
        <f t="shared" si="1"/>
        <v>130858682.8011708</v>
      </c>
    </row>
    <row r="78" spans="1:9" ht="15.75" x14ac:dyDescent="0.25">
      <c r="A78" s="8"/>
      <c r="B78" s="8"/>
      <c r="C78" s="9"/>
      <c r="D78" s="12" t="s">
        <v>74</v>
      </c>
      <c r="E78" s="14">
        <v>91014133.489999995</v>
      </c>
      <c r="F78" s="14">
        <v>90860972.9516166</v>
      </c>
      <c r="G78" s="14">
        <v>8665489.9100000001</v>
      </c>
      <c r="H78" s="14">
        <v>0</v>
      </c>
      <c r="I78" s="13">
        <f t="shared" si="1"/>
        <v>190540596.35161659</v>
      </c>
    </row>
    <row r="79" spans="1:9" ht="15.75" x14ac:dyDescent="0.25">
      <c r="A79" s="8"/>
      <c r="B79" s="8"/>
      <c r="C79" s="9"/>
      <c r="D79" s="12" t="s">
        <v>75</v>
      </c>
      <c r="E79" s="14">
        <v>83378165.140000001</v>
      </c>
      <c r="F79" s="14">
        <v>51017097.711107634</v>
      </c>
      <c r="G79" s="14">
        <v>6311396.21</v>
      </c>
      <c r="H79" s="14">
        <v>0</v>
      </c>
      <c r="I79" s="13">
        <f t="shared" si="1"/>
        <v>140706659.06110764</v>
      </c>
    </row>
    <row r="80" spans="1:9" ht="15.75" x14ac:dyDescent="0.25">
      <c r="A80" s="8"/>
      <c r="B80" s="8"/>
      <c r="C80" s="9"/>
      <c r="D80" s="12" t="s">
        <v>76</v>
      </c>
      <c r="E80" s="14">
        <v>29943958.810000002</v>
      </c>
      <c r="F80" s="14">
        <v>26964012.09235144</v>
      </c>
      <c r="G80" s="14">
        <v>1426656.0699999998</v>
      </c>
      <c r="H80" s="14">
        <v>0</v>
      </c>
      <c r="I80" s="13">
        <f t="shared" si="1"/>
        <v>58334626.972351439</v>
      </c>
    </row>
    <row r="81" spans="1:9" ht="15.75" x14ac:dyDescent="0.25">
      <c r="A81" s="8"/>
      <c r="B81" s="8"/>
      <c r="C81" s="9"/>
      <c r="D81" s="12" t="s">
        <v>77</v>
      </c>
      <c r="E81" s="14">
        <v>219820934.88999999</v>
      </c>
      <c r="F81" s="14">
        <v>162696962.1650928</v>
      </c>
      <c r="G81" s="14">
        <v>17653453.789999999</v>
      </c>
      <c r="H81" s="14">
        <v>0</v>
      </c>
      <c r="I81" s="13">
        <f t="shared" si="1"/>
        <v>400171350.84509283</v>
      </c>
    </row>
    <row r="82" spans="1:9" ht="15.75" x14ac:dyDescent="0.25">
      <c r="A82" s="8"/>
      <c r="B82" s="8"/>
      <c r="C82" s="9"/>
      <c r="D82" s="12" t="s">
        <v>78</v>
      </c>
      <c r="E82" s="14">
        <v>288549040.19</v>
      </c>
      <c r="F82" s="14">
        <v>112767288.23830788</v>
      </c>
      <c r="G82" s="14">
        <v>4965811.9099999992</v>
      </c>
      <c r="H82" s="14">
        <v>0</v>
      </c>
      <c r="I82" s="13">
        <f t="shared" si="1"/>
        <v>406282140.33830792</v>
      </c>
    </row>
    <row r="83" spans="1:9" ht="15.75" x14ac:dyDescent="0.25">
      <c r="A83" s="8"/>
      <c r="B83" s="8"/>
      <c r="C83" s="9"/>
      <c r="D83" s="12" t="s">
        <v>79</v>
      </c>
      <c r="E83" s="14">
        <v>53908527.239999987</v>
      </c>
      <c r="F83" s="14">
        <v>46312263.47328423</v>
      </c>
      <c r="G83" s="14">
        <v>15727777.289999999</v>
      </c>
      <c r="H83" s="14">
        <v>0</v>
      </c>
      <c r="I83" s="13">
        <f t="shared" si="1"/>
        <v>115948568.00328422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139830911.94</v>
      </c>
      <c r="H84" s="14">
        <v>0</v>
      </c>
      <c r="I84" s="13">
        <f t="shared" si="1"/>
        <v>139830911.94</v>
      </c>
    </row>
    <row r="85" spans="1:9" ht="15.75" x14ac:dyDescent="0.25">
      <c r="A85" s="8"/>
      <c r="B85" s="8"/>
      <c r="C85" s="9"/>
      <c r="D85" s="12" t="s">
        <v>81</v>
      </c>
      <c r="E85" s="14">
        <v>64129703.059999987</v>
      </c>
      <c r="F85" s="14">
        <v>14408175.431218214</v>
      </c>
      <c r="G85" s="14">
        <v>48584194.749999993</v>
      </c>
      <c r="H85" s="14">
        <v>0</v>
      </c>
      <c r="I85" s="13">
        <f t="shared" si="1"/>
        <v>127122073.24121821</v>
      </c>
    </row>
    <row r="86" spans="1:9" ht="15.75" x14ac:dyDescent="0.25">
      <c r="A86" s="8"/>
      <c r="B86" s="8"/>
      <c r="C86" s="9"/>
      <c r="D86" s="12" t="s">
        <v>82</v>
      </c>
      <c r="E86" s="14">
        <v>50765225.130000003</v>
      </c>
      <c r="F86" s="14">
        <v>59838661.907026514</v>
      </c>
      <c r="G86" s="14">
        <v>6150505.8500000006</v>
      </c>
      <c r="H86" s="14">
        <v>0</v>
      </c>
      <c r="I86" s="13">
        <f t="shared" si="1"/>
        <v>116754392.88702652</v>
      </c>
    </row>
    <row r="87" spans="1:9" ht="15.75" x14ac:dyDescent="0.25">
      <c r="A87" s="8"/>
      <c r="B87" s="8"/>
      <c r="C87" s="9"/>
      <c r="D87" s="12" t="s">
        <v>83</v>
      </c>
      <c r="E87" s="14">
        <v>24027176.249999996</v>
      </c>
      <c r="F87" s="14">
        <v>78805214.639310077</v>
      </c>
      <c r="G87" s="14">
        <v>3383499.8200000003</v>
      </c>
      <c r="H87" s="14">
        <v>0</v>
      </c>
      <c r="I87" s="13">
        <f t="shared" si="1"/>
        <v>106215890.70931008</v>
      </c>
    </row>
    <row r="88" spans="1:9" ht="15.75" x14ac:dyDescent="0.25">
      <c r="A88" s="8"/>
      <c r="B88" s="8"/>
      <c r="C88" s="9"/>
      <c r="D88" s="12" t="s">
        <v>84</v>
      </c>
      <c r="E88" s="14">
        <v>8525201.0800000001</v>
      </c>
      <c r="F88" s="14">
        <v>0</v>
      </c>
      <c r="G88" s="14">
        <v>52743186.489999995</v>
      </c>
      <c r="H88" s="14">
        <v>0</v>
      </c>
      <c r="I88" s="13">
        <f t="shared" si="1"/>
        <v>61268387.569999993</v>
      </c>
    </row>
    <row r="89" spans="1:9" ht="15.75" x14ac:dyDescent="0.25">
      <c r="A89" s="8"/>
      <c r="B89" s="8"/>
      <c r="C89" s="9"/>
      <c r="D89" s="12" t="s">
        <v>85</v>
      </c>
      <c r="E89" s="14">
        <v>44881902.179999992</v>
      </c>
      <c r="F89" s="14">
        <v>77276143.512017474</v>
      </c>
      <c r="G89" s="14">
        <v>5778608.5199999996</v>
      </c>
      <c r="H89" s="14">
        <v>0</v>
      </c>
      <c r="I89" s="13">
        <f t="shared" si="1"/>
        <v>127936654.21201746</v>
      </c>
    </row>
    <row r="90" spans="1:9" ht="15.75" x14ac:dyDescent="0.25">
      <c r="A90" s="8"/>
      <c r="B90" s="8"/>
      <c r="C90" s="9"/>
      <c r="D90" s="12" t="s">
        <v>86</v>
      </c>
      <c r="E90" s="14">
        <v>14426053.139999997</v>
      </c>
      <c r="F90" s="14">
        <v>19995545.510749459</v>
      </c>
      <c r="G90" s="14">
        <v>8986757.4600000009</v>
      </c>
      <c r="H90" s="14">
        <v>0</v>
      </c>
      <c r="I90" s="13">
        <f t="shared" si="1"/>
        <v>43408356.110749461</v>
      </c>
    </row>
    <row r="91" spans="1:9" ht="15.75" x14ac:dyDescent="0.25">
      <c r="A91" s="8"/>
      <c r="B91" s="8"/>
      <c r="C91" s="9"/>
      <c r="D91" s="12" t="s">
        <v>87</v>
      </c>
      <c r="E91" s="14">
        <v>62993422.910000004</v>
      </c>
      <c r="F91" s="14">
        <v>45606538.337610722</v>
      </c>
      <c r="G91" s="14">
        <v>22167656.66</v>
      </c>
      <c r="H91" s="14">
        <v>0</v>
      </c>
      <c r="I91" s="13">
        <f t="shared" si="1"/>
        <v>130767617.90761071</v>
      </c>
    </row>
    <row r="92" spans="1:9" ht="15.75" x14ac:dyDescent="0.25">
      <c r="A92" s="8"/>
      <c r="B92" s="8"/>
      <c r="C92" s="9"/>
      <c r="D92" s="12" t="s">
        <v>88</v>
      </c>
      <c r="E92" s="14">
        <v>5853062.7899999991</v>
      </c>
      <c r="F92" s="14">
        <v>6292336.3709728466</v>
      </c>
      <c r="G92" s="14">
        <v>69572983.319999993</v>
      </c>
      <c r="H92" s="14">
        <v>0</v>
      </c>
      <c r="I92" s="13">
        <f t="shared" si="1"/>
        <v>81718382.480972841</v>
      </c>
    </row>
    <row r="93" spans="1:9" ht="15.75" x14ac:dyDescent="0.25">
      <c r="A93" s="8"/>
      <c r="B93" s="8"/>
      <c r="C93" s="9"/>
      <c r="D93" s="12" t="s">
        <v>89</v>
      </c>
      <c r="E93" s="14">
        <v>81148720.529999986</v>
      </c>
      <c r="F93" s="14">
        <v>50988261.630295157</v>
      </c>
      <c r="G93" s="14">
        <v>9593283.870000001</v>
      </c>
      <c r="H93" s="14">
        <v>0</v>
      </c>
      <c r="I93" s="13">
        <f t="shared" si="1"/>
        <v>141730266.03029513</v>
      </c>
    </row>
    <row r="94" spans="1:9" ht="15.75" x14ac:dyDescent="0.25">
      <c r="A94" s="8"/>
      <c r="B94" s="8"/>
      <c r="C94" s="9"/>
      <c r="D94" s="12" t="s">
        <v>90</v>
      </c>
      <c r="E94" s="14">
        <v>302113.33999999997</v>
      </c>
      <c r="F94" s="14">
        <v>0</v>
      </c>
      <c r="G94" s="14">
        <v>2929065.8400000003</v>
      </c>
      <c r="H94" s="14">
        <v>0</v>
      </c>
      <c r="I94" s="13">
        <f t="shared" si="1"/>
        <v>3231179.18</v>
      </c>
    </row>
    <row r="95" spans="1:9" ht="15.75" x14ac:dyDescent="0.25">
      <c r="A95" s="8"/>
      <c r="B95" s="8"/>
      <c r="C95" s="9"/>
      <c r="D95" s="12" t="s">
        <v>91</v>
      </c>
      <c r="E95" s="14">
        <v>9312581.0199999996</v>
      </c>
      <c r="F95" s="14">
        <v>1617097.0581938175</v>
      </c>
      <c r="G95" s="14">
        <v>90012004.189999998</v>
      </c>
      <c r="H95" s="14">
        <v>0</v>
      </c>
      <c r="I95" s="13">
        <f t="shared" si="1"/>
        <v>100941682.26819381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119789383.14</v>
      </c>
      <c r="H96" s="14">
        <v>0</v>
      </c>
      <c r="I96" s="13">
        <f t="shared" si="1"/>
        <v>119789383.14</v>
      </c>
    </row>
    <row r="97" spans="1:9" ht="15.75" x14ac:dyDescent="0.25">
      <c r="A97" s="8"/>
      <c r="B97" s="8"/>
      <c r="C97" s="9"/>
      <c r="D97" s="12" t="s">
        <v>93</v>
      </c>
      <c r="E97" s="14">
        <v>32959419.860000003</v>
      </c>
      <c r="F97" s="14">
        <v>72629740.280050904</v>
      </c>
      <c r="G97" s="14">
        <v>6493625.5000000009</v>
      </c>
      <c r="H97" s="14">
        <v>0</v>
      </c>
      <c r="I97" s="13">
        <f t="shared" si="1"/>
        <v>112082785.6400509</v>
      </c>
    </row>
    <row r="98" spans="1:9" ht="15.75" x14ac:dyDescent="0.25">
      <c r="A98" s="8"/>
      <c r="B98" s="8"/>
      <c r="C98" s="9"/>
      <c r="D98" s="12" t="s">
        <v>94</v>
      </c>
      <c r="E98" s="14">
        <v>125790096.91</v>
      </c>
      <c r="F98" s="14">
        <v>95536212.264395609</v>
      </c>
      <c r="G98" s="14">
        <v>40026286.950000003</v>
      </c>
      <c r="H98" s="14">
        <v>0</v>
      </c>
      <c r="I98" s="13">
        <f t="shared" si="1"/>
        <v>261352596.12439561</v>
      </c>
    </row>
    <row r="99" spans="1:9" ht="15.75" x14ac:dyDescent="0.25">
      <c r="A99" s="8"/>
      <c r="B99" s="8"/>
      <c r="C99" s="9"/>
      <c r="D99" s="12" t="s">
        <v>95</v>
      </c>
      <c r="E99" s="14">
        <v>158949951.04999998</v>
      </c>
      <c r="F99" s="14">
        <v>182045213.54602554</v>
      </c>
      <c r="G99" s="14">
        <v>19547757.75</v>
      </c>
      <c r="H99" s="14">
        <v>0</v>
      </c>
      <c r="I99" s="13">
        <f t="shared" si="1"/>
        <v>360542922.34602553</v>
      </c>
    </row>
    <row r="100" spans="1:9" ht="15.75" x14ac:dyDescent="0.25">
      <c r="A100" s="8"/>
      <c r="B100" s="8"/>
      <c r="C100" s="9"/>
      <c r="D100" s="12" t="s">
        <v>96</v>
      </c>
      <c r="E100" s="14">
        <v>167478432.07000002</v>
      </c>
      <c r="F100" s="14">
        <v>182133239.47692677</v>
      </c>
      <c r="G100" s="14">
        <v>40999898.809999995</v>
      </c>
      <c r="H100" s="14">
        <v>0</v>
      </c>
      <c r="I100" s="13">
        <f t="shared" si="1"/>
        <v>390611570.3569268</v>
      </c>
    </row>
    <row r="101" spans="1:9" ht="15.75" x14ac:dyDescent="0.25">
      <c r="A101" s="8"/>
      <c r="B101" s="8"/>
      <c r="C101" s="9"/>
      <c r="D101" s="12" t="s">
        <v>97</v>
      </c>
      <c r="E101" s="14">
        <v>7161153.1300000008</v>
      </c>
      <c r="F101" s="14">
        <v>244418415.18762147</v>
      </c>
      <c r="G101" s="14">
        <v>395373.95</v>
      </c>
      <c r="H101" s="14">
        <v>0</v>
      </c>
      <c r="I101" s="13">
        <f t="shared" si="1"/>
        <v>251974942.26762146</v>
      </c>
    </row>
    <row r="102" spans="1:9" ht="15.75" x14ac:dyDescent="0.25">
      <c r="A102" s="8"/>
      <c r="B102" s="8"/>
      <c r="C102" s="9"/>
      <c r="D102" s="12" t="s">
        <v>98</v>
      </c>
      <c r="E102" s="14">
        <v>197407603.91</v>
      </c>
      <c r="F102" s="14">
        <v>105093096.52103239</v>
      </c>
      <c r="G102" s="14">
        <v>18399159.169999998</v>
      </c>
      <c r="H102" s="14">
        <v>0</v>
      </c>
      <c r="I102" s="13">
        <f t="shared" si="1"/>
        <v>320899859.60103244</v>
      </c>
    </row>
    <row r="103" spans="1:9" ht="15.75" x14ac:dyDescent="0.25">
      <c r="A103" s="8"/>
      <c r="B103" s="8"/>
      <c r="C103" s="9"/>
      <c r="D103" s="12" t="s">
        <v>99</v>
      </c>
      <c r="E103" s="14">
        <v>63410460.889999993</v>
      </c>
      <c r="F103" s="14">
        <v>33374728.16350178</v>
      </c>
      <c r="G103" s="14">
        <v>3477068.23</v>
      </c>
      <c r="H103" s="14">
        <v>0</v>
      </c>
      <c r="I103" s="13">
        <f t="shared" si="1"/>
        <v>100262257.28350177</v>
      </c>
    </row>
    <row r="104" spans="1:9" ht="15.75" x14ac:dyDescent="0.25">
      <c r="A104" s="8"/>
      <c r="B104" s="8"/>
      <c r="C104" s="9"/>
      <c r="D104" s="12" t="s">
        <v>100</v>
      </c>
      <c r="E104" s="14">
        <v>303660736.00999999</v>
      </c>
      <c r="F104" s="14">
        <v>60985275.541437991</v>
      </c>
      <c r="G104" s="14">
        <v>44086287.420000002</v>
      </c>
      <c r="H104" s="14">
        <v>0</v>
      </c>
      <c r="I104" s="13">
        <f t="shared" si="1"/>
        <v>408732298.97143799</v>
      </c>
    </row>
    <row r="105" spans="1:9" ht="15.75" x14ac:dyDescent="0.25">
      <c r="A105" s="8"/>
      <c r="B105" s="8"/>
      <c r="C105" s="9"/>
      <c r="D105" s="12" t="s">
        <v>101</v>
      </c>
      <c r="E105" s="14">
        <v>33989965.280000001</v>
      </c>
      <c r="F105" s="14">
        <v>90566541.38963668</v>
      </c>
      <c r="G105" s="14">
        <v>864641.52999999991</v>
      </c>
      <c r="H105" s="14">
        <v>0</v>
      </c>
      <c r="I105" s="13">
        <f t="shared" si="1"/>
        <v>125421148.19963668</v>
      </c>
    </row>
    <row r="106" spans="1:9" ht="15.75" x14ac:dyDescent="0.25">
      <c r="A106" s="8"/>
      <c r="B106" s="8"/>
      <c r="C106" s="9"/>
      <c r="D106" s="12" t="s">
        <v>102</v>
      </c>
      <c r="E106" s="14">
        <v>30610222.300000004</v>
      </c>
      <c r="F106" s="14">
        <v>5586611.2352993367</v>
      </c>
      <c r="G106" s="14">
        <v>84239718.730000004</v>
      </c>
      <c r="H106" s="14">
        <v>0</v>
      </c>
      <c r="I106" s="13">
        <f t="shared" si="1"/>
        <v>120436552.26529935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24601428.589999996</v>
      </c>
      <c r="H107" s="14">
        <v>0</v>
      </c>
      <c r="I107" s="13">
        <f t="shared" si="1"/>
        <v>24601428.589999996</v>
      </c>
    </row>
    <row r="108" spans="1:9" ht="15.75" x14ac:dyDescent="0.25">
      <c r="A108" s="8"/>
      <c r="B108" s="8"/>
      <c r="C108" s="9"/>
      <c r="D108" s="12" t="s">
        <v>104</v>
      </c>
      <c r="E108" s="14">
        <v>4198572.95</v>
      </c>
      <c r="F108" s="14">
        <v>0</v>
      </c>
      <c r="G108" s="14">
        <v>9935650.0500000007</v>
      </c>
      <c r="H108" s="14">
        <v>0</v>
      </c>
      <c r="I108" s="13">
        <f t="shared" si="1"/>
        <v>14134223</v>
      </c>
    </row>
    <row r="109" spans="1:9" ht="15.75" x14ac:dyDescent="0.25">
      <c r="A109" s="8"/>
      <c r="B109" s="8"/>
      <c r="C109" s="9"/>
      <c r="D109" s="12" t="s">
        <v>105</v>
      </c>
      <c r="E109" s="14">
        <v>23657026.840000004</v>
      </c>
      <c r="F109" s="14">
        <v>145671532.97802731</v>
      </c>
      <c r="G109" s="14">
        <v>2275390.7799999998</v>
      </c>
      <c r="H109" s="14">
        <v>0</v>
      </c>
      <c r="I109" s="13">
        <f t="shared" si="1"/>
        <v>171603950.59802732</v>
      </c>
    </row>
    <row r="110" spans="1:9" ht="15.75" x14ac:dyDescent="0.25">
      <c r="A110" s="8"/>
      <c r="B110" s="8"/>
      <c r="C110" s="9"/>
      <c r="D110" s="12" t="s">
        <v>106</v>
      </c>
      <c r="E110" s="14">
        <v>25514881.319999997</v>
      </c>
      <c r="F110" s="14">
        <v>33786021.73719538</v>
      </c>
      <c r="G110" s="14">
        <v>2907066.7</v>
      </c>
      <c r="H110" s="14">
        <v>0</v>
      </c>
      <c r="I110" s="13">
        <f t="shared" si="1"/>
        <v>62207969.757195383</v>
      </c>
    </row>
    <row r="111" spans="1:9" ht="15.75" x14ac:dyDescent="0.25">
      <c r="A111" s="8"/>
      <c r="B111" s="8"/>
      <c r="C111" s="9"/>
      <c r="D111" s="12" t="s">
        <v>107</v>
      </c>
      <c r="E111" s="14">
        <v>3651939.06</v>
      </c>
      <c r="F111" s="14">
        <v>558509.35468355229</v>
      </c>
      <c r="G111" s="14">
        <v>137267040.19</v>
      </c>
      <c r="H111" s="14">
        <v>0</v>
      </c>
      <c r="I111" s="13">
        <f t="shared" si="1"/>
        <v>141477488.60468355</v>
      </c>
    </row>
    <row r="112" spans="1:9" ht="15.75" x14ac:dyDescent="0.25">
      <c r="A112" s="8"/>
      <c r="B112" s="8"/>
      <c r="C112" s="9"/>
      <c r="D112" s="12" t="s">
        <v>108</v>
      </c>
      <c r="E112" s="14">
        <v>119791710.08999997</v>
      </c>
      <c r="F112" s="14">
        <v>38226019.33808323</v>
      </c>
      <c r="G112" s="14">
        <v>12093924.089999998</v>
      </c>
      <c r="H112" s="14">
        <v>0</v>
      </c>
      <c r="I112" s="13">
        <f t="shared" si="1"/>
        <v>170111653.51808321</v>
      </c>
    </row>
    <row r="113" spans="1:9" ht="15.75" x14ac:dyDescent="0.25">
      <c r="A113" s="8"/>
      <c r="B113" s="8"/>
      <c r="C113" s="9"/>
      <c r="D113" s="12" t="s">
        <v>109</v>
      </c>
      <c r="E113" s="14">
        <v>54476142.460000001</v>
      </c>
      <c r="F113" s="14">
        <v>92037181.511072427</v>
      </c>
      <c r="G113" s="14">
        <v>8992491.1199999992</v>
      </c>
      <c r="H113" s="14">
        <v>0</v>
      </c>
      <c r="I113" s="13">
        <f t="shared" si="1"/>
        <v>155505815.09107244</v>
      </c>
    </row>
    <row r="114" spans="1:9" ht="15.75" x14ac:dyDescent="0.25">
      <c r="A114" s="8"/>
      <c r="B114" s="8"/>
      <c r="C114" s="9"/>
      <c r="D114" s="12" t="s">
        <v>110</v>
      </c>
      <c r="E114" s="14">
        <v>183321289.99000001</v>
      </c>
      <c r="F114" s="14">
        <v>105563579.94481474</v>
      </c>
      <c r="G114" s="14">
        <v>12366061.780000003</v>
      </c>
      <c r="H114" s="14">
        <v>0</v>
      </c>
      <c r="I114" s="13">
        <f t="shared" si="1"/>
        <v>301250931.71481478</v>
      </c>
    </row>
    <row r="115" spans="1:9" ht="15.75" x14ac:dyDescent="0.25">
      <c r="A115" s="8"/>
      <c r="B115" s="8"/>
      <c r="C115" s="9"/>
      <c r="D115" s="12" t="s">
        <v>111</v>
      </c>
      <c r="E115" s="14">
        <v>235620068.93000004</v>
      </c>
      <c r="F115" s="14">
        <v>52193306.270563483</v>
      </c>
      <c r="G115" s="14">
        <v>11782868.34</v>
      </c>
      <c r="H115" s="14">
        <v>0</v>
      </c>
      <c r="I115" s="13">
        <f t="shared" si="1"/>
        <v>299596243.54056352</v>
      </c>
    </row>
    <row r="116" spans="1:9" ht="15.75" x14ac:dyDescent="0.25">
      <c r="A116" s="8"/>
      <c r="B116" s="8"/>
      <c r="C116" s="9"/>
      <c r="D116" s="12" t="s">
        <v>112</v>
      </c>
      <c r="E116" s="14">
        <v>45677448.009999998</v>
      </c>
      <c r="F116" s="14">
        <v>67778449.10546945</v>
      </c>
      <c r="G116" s="14">
        <v>1553578.9100000001</v>
      </c>
      <c r="H116" s="14">
        <v>0</v>
      </c>
      <c r="I116" s="13">
        <f t="shared" si="1"/>
        <v>115009476.02546945</v>
      </c>
    </row>
    <row r="117" spans="1:9" ht="15.75" x14ac:dyDescent="0.25">
      <c r="A117" s="8"/>
      <c r="B117" s="8"/>
      <c r="C117" s="9"/>
      <c r="D117" s="12" t="s">
        <v>113</v>
      </c>
      <c r="E117" s="14">
        <v>34640169.920000002</v>
      </c>
      <c r="F117" s="14">
        <v>52340522.051553443</v>
      </c>
      <c r="G117" s="14">
        <v>8513195.5700000003</v>
      </c>
      <c r="H117" s="14">
        <v>0</v>
      </c>
      <c r="I117" s="13">
        <f t="shared" si="1"/>
        <v>95493887.541553438</v>
      </c>
    </row>
    <row r="118" spans="1:9" ht="15.75" x14ac:dyDescent="0.25">
      <c r="A118" s="8"/>
      <c r="B118" s="8"/>
      <c r="C118" s="9"/>
      <c r="D118" s="12" t="s">
        <v>114</v>
      </c>
      <c r="E118" s="14">
        <v>76443217.620000005</v>
      </c>
      <c r="F118" s="14">
        <v>81745736.037949696</v>
      </c>
      <c r="G118" s="14">
        <v>13296762.48</v>
      </c>
      <c r="H118" s="14">
        <v>0</v>
      </c>
      <c r="I118" s="13">
        <f t="shared" si="1"/>
        <v>171485716.13794968</v>
      </c>
    </row>
    <row r="119" spans="1:9" ht="15.75" x14ac:dyDescent="0.25">
      <c r="A119" s="8"/>
      <c r="B119" s="8"/>
      <c r="C119" s="9"/>
      <c r="D119" s="12" t="s">
        <v>115</v>
      </c>
      <c r="E119" s="14">
        <v>18614276.130000003</v>
      </c>
      <c r="F119" s="14">
        <v>7939028.354211037</v>
      </c>
      <c r="G119" s="14">
        <v>5240485.55</v>
      </c>
      <c r="H119" s="14">
        <v>0</v>
      </c>
      <c r="I119" s="13">
        <f t="shared" si="1"/>
        <v>31793790.03421104</v>
      </c>
    </row>
    <row r="120" spans="1:9" ht="15.75" x14ac:dyDescent="0.25">
      <c r="A120" s="8"/>
      <c r="B120" s="8"/>
      <c r="C120" s="9"/>
      <c r="D120" s="12" t="s">
        <v>116</v>
      </c>
      <c r="E120" s="14">
        <v>207850206.14999998</v>
      </c>
      <c r="F120" s="14">
        <v>34697393.659715682</v>
      </c>
      <c r="G120" s="14">
        <v>11985685.359999999</v>
      </c>
      <c r="H120" s="14">
        <v>0</v>
      </c>
      <c r="I120" s="13">
        <f t="shared" si="1"/>
        <v>254533285.16971564</v>
      </c>
    </row>
    <row r="121" spans="1:9" ht="15.75" x14ac:dyDescent="0.25">
      <c r="A121" s="8"/>
      <c r="B121" s="8"/>
      <c r="C121" s="9"/>
      <c r="D121" s="12" t="s">
        <v>117</v>
      </c>
      <c r="E121" s="14">
        <v>77052519.639999986</v>
      </c>
      <c r="F121" s="14">
        <v>51487581.134889968</v>
      </c>
      <c r="G121" s="14">
        <v>7921429.0999999996</v>
      </c>
      <c r="H121" s="14">
        <v>0</v>
      </c>
      <c r="I121" s="13">
        <f t="shared" si="1"/>
        <v>136461529.87488994</v>
      </c>
    </row>
    <row r="122" spans="1:9" ht="15.75" x14ac:dyDescent="0.25">
      <c r="A122" s="8"/>
      <c r="B122" s="8"/>
      <c r="C122" s="9"/>
      <c r="D122" s="12" t="s">
        <v>118</v>
      </c>
      <c r="E122" s="14">
        <v>78543602.390000001</v>
      </c>
      <c r="F122" s="14">
        <v>37961941.545379601</v>
      </c>
      <c r="G122" s="14">
        <v>11135652.500000002</v>
      </c>
      <c r="H122" s="14">
        <v>0</v>
      </c>
      <c r="I122" s="13">
        <f t="shared" si="1"/>
        <v>127641196.43537959</v>
      </c>
    </row>
    <row r="123" spans="1:9" ht="15.75" x14ac:dyDescent="0.25">
      <c r="A123" s="8"/>
      <c r="B123" s="8"/>
      <c r="C123" s="9"/>
      <c r="D123" s="12" t="s">
        <v>119</v>
      </c>
      <c r="E123" s="14">
        <v>77215847.150000006</v>
      </c>
      <c r="F123" s="14">
        <v>69748408.73150003</v>
      </c>
      <c r="G123" s="14">
        <v>3463910.5899999994</v>
      </c>
      <c r="H123" s="14">
        <v>0</v>
      </c>
      <c r="I123" s="13">
        <f t="shared" si="1"/>
        <v>150428166.47150004</v>
      </c>
    </row>
    <row r="124" spans="1:9" ht="15.75" x14ac:dyDescent="0.25">
      <c r="A124" s="8"/>
      <c r="B124" s="8"/>
      <c r="C124" s="9"/>
      <c r="D124" s="12" t="s">
        <v>120</v>
      </c>
      <c r="E124" s="14">
        <v>1963014.65</v>
      </c>
      <c r="F124" s="14">
        <v>0</v>
      </c>
      <c r="G124" s="14">
        <v>40143726.00999999</v>
      </c>
      <c r="H124" s="14">
        <v>3518765.43</v>
      </c>
      <c r="I124" s="13">
        <f t="shared" si="1"/>
        <v>45625506.089999989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209667445.52000001</v>
      </c>
      <c r="H125" s="14">
        <v>262593.8</v>
      </c>
      <c r="I125" s="13">
        <f t="shared" si="1"/>
        <v>209930039.32000002</v>
      </c>
    </row>
    <row r="126" spans="1:9" ht="15.75" x14ac:dyDescent="0.25">
      <c r="A126" s="8"/>
      <c r="B126" s="8"/>
      <c r="C126" s="9"/>
      <c r="D126" s="12" t="s">
        <v>122</v>
      </c>
      <c r="E126" s="14">
        <v>742.36</v>
      </c>
      <c r="F126" s="14">
        <v>0</v>
      </c>
      <c r="G126" s="14">
        <v>63695436.140000001</v>
      </c>
      <c r="H126" s="14">
        <v>0</v>
      </c>
      <c r="I126" s="13">
        <f t="shared" si="1"/>
        <v>63696178.5</v>
      </c>
    </row>
    <row r="127" spans="1:9" ht="15.75" x14ac:dyDescent="0.25">
      <c r="A127" s="8"/>
      <c r="B127" s="8"/>
      <c r="C127" s="9"/>
      <c r="D127" s="12" t="s">
        <v>123</v>
      </c>
      <c r="E127" s="14">
        <v>62532569.770000011</v>
      </c>
      <c r="F127" s="14">
        <v>14702606.99319813</v>
      </c>
      <c r="G127" s="14">
        <v>53455046.319999993</v>
      </c>
      <c r="H127" s="14">
        <v>0</v>
      </c>
      <c r="I127" s="13">
        <f t="shared" si="1"/>
        <v>130690223.08319813</v>
      </c>
    </row>
    <row r="128" spans="1:9" ht="15.75" x14ac:dyDescent="0.25">
      <c r="A128" s="8"/>
      <c r="B128" s="8"/>
      <c r="C128" s="9"/>
      <c r="D128" s="12" t="s">
        <v>124</v>
      </c>
      <c r="E128" s="14">
        <v>95395249.199999988</v>
      </c>
      <c r="F128" s="14">
        <v>45871374.974546261</v>
      </c>
      <c r="G128" s="14">
        <v>15999578.6</v>
      </c>
      <c r="H128" s="14">
        <v>0</v>
      </c>
      <c r="I128" s="13">
        <f t="shared" si="1"/>
        <v>157266202.77454624</v>
      </c>
    </row>
    <row r="129" spans="1:9" ht="15.75" x14ac:dyDescent="0.25">
      <c r="A129" s="8"/>
      <c r="B129" s="8"/>
      <c r="C129" s="9"/>
      <c r="D129" s="12" t="s">
        <v>125</v>
      </c>
      <c r="E129" s="14">
        <v>20866523.68</v>
      </c>
      <c r="F129" s="14">
        <v>22200746.848671198</v>
      </c>
      <c r="G129" s="14">
        <v>16686002.439999999</v>
      </c>
      <c r="H129" s="14">
        <v>0</v>
      </c>
      <c r="I129" s="13">
        <f t="shared" si="1"/>
        <v>59753272.968671195</v>
      </c>
    </row>
    <row r="130" spans="1:9" ht="15.75" x14ac:dyDescent="0.25">
      <c r="A130" s="8"/>
      <c r="B130" s="8"/>
      <c r="C130" s="9"/>
      <c r="D130" s="12" t="s">
        <v>126</v>
      </c>
      <c r="E130" s="14">
        <v>31118745.790000003</v>
      </c>
      <c r="F130" s="14">
        <v>39108555.179791071</v>
      </c>
      <c r="G130" s="14">
        <v>4230817.51</v>
      </c>
      <c r="H130" s="14">
        <v>0</v>
      </c>
      <c r="I130" s="13">
        <f t="shared" si="1"/>
        <v>74458118.479791075</v>
      </c>
    </row>
    <row r="131" spans="1:9" ht="15.75" x14ac:dyDescent="0.25">
      <c r="A131" s="8"/>
      <c r="B131" s="8"/>
      <c r="C131" s="9"/>
      <c r="D131" s="12" t="s">
        <v>127</v>
      </c>
      <c r="E131" s="14">
        <v>248900926.88999999</v>
      </c>
      <c r="F131" s="14">
        <v>213743654.80124477</v>
      </c>
      <c r="G131" s="14">
        <v>90174048.960000008</v>
      </c>
      <c r="H131" s="14">
        <v>0</v>
      </c>
      <c r="I131" s="13">
        <f t="shared" si="1"/>
        <v>552818630.65124476</v>
      </c>
    </row>
    <row r="132" spans="1:9" ht="15.75" x14ac:dyDescent="0.25">
      <c r="A132" s="8"/>
      <c r="B132" s="8"/>
      <c r="C132" s="9"/>
      <c r="D132" s="12" t="s">
        <v>128</v>
      </c>
      <c r="E132" s="14">
        <v>44818074.469999991</v>
      </c>
      <c r="F132" s="14">
        <v>131145736.69086352</v>
      </c>
      <c r="G132" s="14">
        <v>585641.73</v>
      </c>
      <c r="H132" s="14">
        <v>0</v>
      </c>
      <c r="I132" s="13">
        <f t="shared" si="1"/>
        <v>176549452.89086351</v>
      </c>
    </row>
    <row r="133" spans="1:9" ht="15.75" x14ac:dyDescent="0.25">
      <c r="A133" s="8"/>
      <c r="B133" s="8"/>
      <c r="C133" s="9"/>
      <c r="D133" s="12" t="s">
        <v>129</v>
      </c>
      <c r="E133" s="14">
        <v>18990133.260000002</v>
      </c>
      <c r="F133" s="14">
        <v>0</v>
      </c>
      <c r="G133" s="14">
        <v>109244073.55000003</v>
      </c>
      <c r="H133" s="14">
        <v>819343.57000000007</v>
      </c>
      <c r="I133" s="13">
        <f t="shared" si="1"/>
        <v>129053550.38000003</v>
      </c>
    </row>
    <row r="134" spans="1:9" ht="15.75" x14ac:dyDescent="0.25">
      <c r="A134" s="8"/>
      <c r="B134" s="8"/>
      <c r="C134" s="9"/>
      <c r="D134" s="12" t="s">
        <v>130</v>
      </c>
      <c r="E134" s="14">
        <v>8622789.7100000009</v>
      </c>
      <c r="F134" s="14">
        <v>6469147.0770071782</v>
      </c>
      <c r="G134" s="14">
        <v>47825.380000000005</v>
      </c>
      <c r="H134" s="14">
        <v>0</v>
      </c>
      <c r="I134" s="13">
        <f t="shared" si="1"/>
        <v>15139762.16700718</v>
      </c>
    </row>
    <row r="135" spans="1:9" ht="15.75" x14ac:dyDescent="0.25">
      <c r="A135" s="8"/>
      <c r="B135" s="8"/>
      <c r="C135" s="9"/>
      <c r="D135" s="12" t="s">
        <v>131</v>
      </c>
      <c r="E135" s="14">
        <v>35400023.840000004</v>
      </c>
      <c r="F135" s="14">
        <v>81745736.037949696</v>
      </c>
      <c r="G135" s="14">
        <v>3089960.3200000003</v>
      </c>
      <c r="H135" s="14">
        <v>0</v>
      </c>
      <c r="I135" s="13">
        <f t="shared" si="1"/>
        <v>120235720.19794971</v>
      </c>
    </row>
    <row r="136" spans="1:9" ht="15.75" x14ac:dyDescent="0.25">
      <c r="A136" s="8"/>
      <c r="B136" s="8"/>
      <c r="C136" s="9"/>
      <c r="D136" s="12" t="s">
        <v>132</v>
      </c>
      <c r="E136" s="14">
        <v>185517429.45000002</v>
      </c>
      <c r="F136" s="14">
        <v>98800001.305827618</v>
      </c>
      <c r="G136" s="14">
        <v>24644222.280000001</v>
      </c>
      <c r="H136" s="14">
        <v>0</v>
      </c>
      <c r="I136" s="13">
        <f t="shared" si="1"/>
        <v>308961653.03582764</v>
      </c>
    </row>
    <row r="137" spans="1:9" ht="15.75" x14ac:dyDescent="0.25">
      <c r="A137" s="8"/>
      <c r="B137" s="8"/>
      <c r="C137" s="9"/>
      <c r="D137" s="12" t="s">
        <v>133</v>
      </c>
      <c r="E137" s="14">
        <v>212761330.09</v>
      </c>
      <c r="F137" s="14">
        <v>155345279.2463778</v>
      </c>
      <c r="G137" s="14">
        <v>43178169.899999999</v>
      </c>
      <c r="H137" s="14">
        <v>0</v>
      </c>
      <c r="I137" s="13">
        <f t="shared" si="1"/>
        <v>411284779.23637778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80116189.910000011</v>
      </c>
      <c r="H138" s="14">
        <v>0</v>
      </c>
      <c r="I138" s="13">
        <f t="shared" ref="I138:I144" si="2">SUM(E138:H138)</f>
        <v>80116189.910000011</v>
      </c>
    </row>
    <row r="139" spans="1:9" ht="15.75" x14ac:dyDescent="0.25">
      <c r="A139" s="8"/>
      <c r="B139" s="8"/>
      <c r="C139" s="9"/>
      <c r="D139" s="12" t="s">
        <v>135</v>
      </c>
      <c r="E139" s="14">
        <v>35256324.32</v>
      </c>
      <c r="F139" s="14">
        <v>23259334.552181471</v>
      </c>
      <c r="G139" s="14">
        <v>3528957.5799999996</v>
      </c>
      <c r="H139" s="14">
        <v>0</v>
      </c>
      <c r="I139" s="13">
        <f t="shared" si="2"/>
        <v>62044616.452181473</v>
      </c>
    </row>
    <row r="140" spans="1:9" ht="15.75" x14ac:dyDescent="0.25">
      <c r="A140" s="8"/>
      <c r="B140" s="8"/>
      <c r="C140" s="9"/>
      <c r="D140" s="12" t="s">
        <v>136</v>
      </c>
      <c r="E140" s="14">
        <v>142026047.95000002</v>
      </c>
      <c r="F140" s="14">
        <v>164961353.35310325</v>
      </c>
      <c r="G140" s="14">
        <v>17784606.669999998</v>
      </c>
      <c r="H140" s="14">
        <v>0</v>
      </c>
      <c r="I140" s="13">
        <f t="shared" si="2"/>
        <v>324772007.97310328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101212612.95999999</v>
      </c>
      <c r="H141" s="14">
        <v>0</v>
      </c>
      <c r="I141" s="13">
        <f t="shared" si="2"/>
        <v>101212612.95999999</v>
      </c>
    </row>
    <row r="142" spans="1:9" ht="15.75" x14ac:dyDescent="0.25">
      <c r="A142" s="8"/>
      <c r="B142" s="8"/>
      <c r="C142" s="9"/>
      <c r="D142" s="12" t="s">
        <v>138</v>
      </c>
      <c r="E142" s="14">
        <v>801908.70000000019</v>
      </c>
      <c r="F142" s="14">
        <v>0</v>
      </c>
      <c r="G142" s="14">
        <v>19609216.300000001</v>
      </c>
      <c r="H142" s="14">
        <v>0</v>
      </c>
      <c r="I142" s="13">
        <f t="shared" si="2"/>
        <v>20411125</v>
      </c>
    </row>
    <row r="143" spans="1:9" ht="15.75" x14ac:dyDescent="0.25">
      <c r="A143" s="8"/>
      <c r="B143" s="8"/>
      <c r="C143" s="9"/>
      <c r="D143" s="12" t="s">
        <v>139</v>
      </c>
      <c r="E143" s="14">
        <v>13484032.439999999</v>
      </c>
      <c r="F143" s="14">
        <v>152463947.69782689</v>
      </c>
      <c r="G143" s="14">
        <v>776642.89999999991</v>
      </c>
      <c r="H143" s="14">
        <v>0</v>
      </c>
      <c r="I143" s="13">
        <f t="shared" si="2"/>
        <v>166724623.0378269</v>
      </c>
    </row>
    <row r="144" spans="1:9" ht="15.75" x14ac:dyDescent="0.25">
      <c r="A144" s="8"/>
      <c r="B144" s="8"/>
      <c r="C144" s="9"/>
      <c r="D144" s="12" t="s">
        <v>140</v>
      </c>
      <c r="E144" s="14">
        <v>65938826.599999994</v>
      </c>
      <c r="F144" s="14">
        <v>18524905.38931369</v>
      </c>
      <c r="G144" s="14">
        <v>29064821.780000005</v>
      </c>
      <c r="H144" s="14">
        <v>0</v>
      </c>
      <c r="I144" s="13">
        <f t="shared" si="2"/>
        <v>113528553.76931369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9699597400.5000038</v>
      </c>
      <c r="F145" s="22">
        <f>SUM(F10:F144)</f>
        <v>7588090215.3463993</v>
      </c>
      <c r="G145" s="22">
        <f>SUM(G10:G144)</f>
        <v>4653510601.1999998</v>
      </c>
      <c r="H145" s="22">
        <f>SUM(H10:H144)</f>
        <v>4600702.8</v>
      </c>
      <c r="I145" s="22">
        <f>SUM(I10:I144)</f>
        <v>21945798919.846394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" style="2" bestFit="1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2919251.5900000008</v>
      </c>
      <c r="F10" s="14">
        <v>37474871.062820978</v>
      </c>
      <c r="G10" s="14">
        <v>2951103.9200000004</v>
      </c>
      <c r="H10" s="14">
        <v>0</v>
      </c>
      <c r="I10" s="13">
        <f t="shared" ref="I10:I73" si="0">SUM(E10:H10)</f>
        <v>43345226.572820984</v>
      </c>
    </row>
    <row r="11" spans="1:9" ht="15.75" x14ac:dyDescent="0.25">
      <c r="A11" s="8"/>
      <c r="B11" s="8"/>
      <c r="C11" s="9"/>
      <c r="D11" s="12" t="s">
        <v>7</v>
      </c>
      <c r="E11" s="14">
        <v>13340960.18</v>
      </c>
      <c r="F11" s="14">
        <v>21033726.038695842</v>
      </c>
      <c r="G11" s="14">
        <v>3244431.5899999994</v>
      </c>
      <c r="H11" s="14">
        <v>0</v>
      </c>
      <c r="I11" s="13">
        <f t="shared" si="0"/>
        <v>37619117.808695838</v>
      </c>
    </row>
    <row r="12" spans="1:9" ht="15.75" x14ac:dyDescent="0.25">
      <c r="A12" s="8"/>
      <c r="B12" s="8"/>
      <c r="C12" s="9"/>
      <c r="D12" s="12" t="s">
        <v>8</v>
      </c>
      <c r="E12" s="14">
        <v>4924300.5500000007</v>
      </c>
      <c r="F12" s="14">
        <v>7625437.179001159</v>
      </c>
      <c r="G12" s="14">
        <v>2507953.4299999997</v>
      </c>
      <c r="H12" s="14">
        <v>0</v>
      </c>
      <c r="I12" s="13">
        <f t="shared" si="0"/>
        <v>15057691.15900116</v>
      </c>
    </row>
    <row r="13" spans="1:9" ht="15.75" x14ac:dyDescent="0.25">
      <c r="A13" s="8"/>
      <c r="B13" s="8"/>
      <c r="C13" s="9"/>
      <c r="D13" s="12" t="s">
        <v>9</v>
      </c>
      <c r="E13" s="14">
        <v>283085.07999999996</v>
      </c>
      <c r="F13" s="14">
        <v>201646.67065676002</v>
      </c>
      <c r="G13" s="14">
        <v>53402315.349999994</v>
      </c>
      <c r="H13" s="14">
        <v>0</v>
      </c>
      <c r="I13" s="13">
        <f t="shared" si="0"/>
        <v>53887047.100656755</v>
      </c>
    </row>
    <row r="14" spans="1:9" ht="15.75" x14ac:dyDescent="0.25">
      <c r="A14" s="8"/>
      <c r="B14" s="8"/>
      <c r="C14" s="9"/>
      <c r="D14" s="12" t="s">
        <v>10</v>
      </c>
      <c r="E14" s="14">
        <v>14897696.169999998</v>
      </c>
      <c r="F14" s="14">
        <v>8472630.8503835201</v>
      </c>
      <c r="G14" s="14">
        <v>3434933.42</v>
      </c>
      <c r="H14" s="14">
        <v>0</v>
      </c>
      <c r="I14" s="13">
        <f t="shared" si="0"/>
        <v>26805260.440383516</v>
      </c>
    </row>
    <row r="15" spans="1:9" ht="15.75" x14ac:dyDescent="0.25">
      <c r="A15" s="8"/>
      <c r="B15" s="8"/>
      <c r="C15" s="9"/>
      <c r="D15" s="12" t="s">
        <v>11</v>
      </c>
      <c r="E15" s="14">
        <v>828273.83</v>
      </c>
      <c r="F15" s="14">
        <v>47027.751934580003</v>
      </c>
      <c r="G15" s="14">
        <v>36276614.909999996</v>
      </c>
      <c r="H15" s="14">
        <v>0</v>
      </c>
      <c r="I15" s="13">
        <f t="shared" si="0"/>
        <v>37151916.491934575</v>
      </c>
    </row>
    <row r="16" spans="1:9" ht="15.75" x14ac:dyDescent="0.25">
      <c r="A16" s="8"/>
      <c r="B16" s="8"/>
      <c r="C16" s="9"/>
      <c r="D16" s="12" t="s">
        <v>12</v>
      </c>
      <c r="E16" s="14">
        <v>9787565.9199999981</v>
      </c>
      <c r="F16" s="14">
        <v>40399962.526323855</v>
      </c>
      <c r="G16" s="14">
        <v>4338817.3000000007</v>
      </c>
      <c r="H16" s="14">
        <v>0</v>
      </c>
      <c r="I16" s="13">
        <f t="shared" si="0"/>
        <v>54526345.746323854</v>
      </c>
    </row>
    <row r="17" spans="1:9" ht="15.75" x14ac:dyDescent="0.25">
      <c r="A17" s="8"/>
      <c r="B17" s="8"/>
      <c r="C17" s="9"/>
      <c r="D17" s="12" t="s">
        <v>13</v>
      </c>
      <c r="E17" s="14">
        <v>28421148.340000004</v>
      </c>
      <c r="F17" s="14">
        <v>37118431.939302057</v>
      </c>
      <c r="G17" s="14">
        <v>13414799.660000002</v>
      </c>
      <c r="H17" s="14">
        <v>0</v>
      </c>
      <c r="I17" s="13">
        <f t="shared" si="0"/>
        <v>78954379.939302057</v>
      </c>
    </row>
    <row r="18" spans="1:9" ht="15.75" x14ac:dyDescent="0.25">
      <c r="A18" s="8"/>
      <c r="B18" s="8"/>
      <c r="C18" s="9"/>
      <c r="D18" s="12" t="s">
        <v>14</v>
      </c>
      <c r="E18" s="14">
        <v>5050924.9700000007</v>
      </c>
      <c r="F18" s="14">
        <v>3025914.7988312598</v>
      </c>
      <c r="G18" s="14">
        <v>58487157.210000016</v>
      </c>
      <c r="H18" s="14">
        <v>0</v>
      </c>
      <c r="I18" s="13">
        <f t="shared" si="0"/>
        <v>66563996.978831276</v>
      </c>
    </row>
    <row r="19" spans="1:9" ht="15.75" x14ac:dyDescent="0.25">
      <c r="A19" s="8"/>
      <c r="B19" s="8"/>
      <c r="C19" s="9"/>
      <c r="D19" s="12" t="s">
        <v>15</v>
      </c>
      <c r="E19" s="14">
        <v>29993543.190000005</v>
      </c>
      <c r="F19" s="14">
        <v>28881113.382731419</v>
      </c>
      <c r="G19" s="14">
        <v>9257001.8800000008</v>
      </c>
      <c r="H19" s="14">
        <v>0</v>
      </c>
      <c r="I19" s="13">
        <f t="shared" si="0"/>
        <v>68131658.452731416</v>
      </c>
    </row>
    <row r="20" spans="1:9" ht="15.75" x14ac:dyDescent="0.25">
      <c r="A20" s="8"/>
      <c r="B20" s="8"/>
      <c r="C20" s="9"/>
      <c r="D20" s="12" t="s">
        <v>16</v>
      </c>
      <c r="E20" s="14">
        <v>15725830.360000003</v>
      </c>
      <c r="F20" s="14">
        <v>7188304.6803915398</v>
      </c>
      <c r="G20" s="14">
        <v>5997853.2300000014</v>
      </c>
      <c r="H20" s="14">
        <v>0</v>
      </c>
      <c r="I20" s="13">
        <f t="shared" si="0"/>
        <v>28911988.270391542</v>
      </c>
    </row>
    <row r="21" spans="1:9" ht="15.75" x14ac:dyDescent="0.25">
      <c r="A21" s="8"/>
      <c r="B21" s="8"/>
      <c r="C21" s="9"/>
      <c r="D21" s="12" t="s">
        <v>17</v>
      </c>
      <c r="E21" s="14">
        <v>10572993.310000001</v>
      </c>
      <c r="F21" s="14">
        <v>34549779.599318102</v>
      </c>
      <c r="G21" s="14">
        <v>2825999.04</v>
      </c>
      <c r="H21" s="14">
        <v>0</v>
      </c>
      <c r="I21" s="13">
        <f t="shared" si="0"/>
        <v>47948771.949318103</v>
      </c>
    </row>
    <row r="22" spans="1:9" ht="15.75" x14ac:dyDescent="0.25">
      <c r="A22" s="8"/>
      <c r="B22" s="8"/>
      <c r="C22" s="9"/>
      <c r="D22" s="12" t="s">
        <v>18</v>
      </c>
      <c r="E22" s="14">
        <v>182741.51</v>
      </c>
      <c r="F22" s="14">
        <v>1479378.5433295001</v>
      </c>
      <c r="G22" s="14">
        <v>26690309.860000003</v>
      </c>
      <c r="H22" s="14">
        <v>0</v>
      </c>
      <c r="I22" s="13">
        <f t="shared" si="0"/>
        <v>28352429.913329504</v>
      </c>
    </row>
    <row r="23" spans="1:9" ht="15.75" x14ac:dyDescent="0.25">
      <c r="A23" s="8"/>
      <c r="B23" s="8"/>
      <c r="C23" s="9"/>
      <c r="D23" s="12" t="s">
        <v>19</v>
      </c>
      <c r="E23" s="14">
        <v>224949.39</v>
      </c>
      <c r="F23" s="14">
        <v>551317.96271646</v>
      </c>
      <c r="G23" s="14">
        <v>20927313.449999999</v>
      </c>
      <c r="H23" s="14">
        <v>0</v>
      </c>
      <c r="I23" s="13">
        <f t="shared" si="0"/>
        <v>21703580.80271646</v>
      </c>
    </row>
    <row r="24" spans="1:9" ht="15.75" x14ac:dyDescent="0.25">
      <c r="A24" s="8"/>
      <c r="B24" s="8"/>
      <c r="C24" s="9"/>
      <c r="D24" s="12" t="s">
        <v>20</v>
      </c>
      <c r="E24" s="14">
        <v>18475305.550000001</v>
      </c>
      <c r="F24" s="14">
        <v>21188518.491558</v>
      </c>
      <c r="G24" s="14">
        <v>6708068.6599999983</v>
      </c>
      <c r="H24" s="14">
        <v>0</v>
      </c>
      <c r="I24" s="13">
        <f t="shared" si="0"/>
        <v>46371892.701557994</v>
      </c>
    </row>
    <row r="25" spans="1:9" ht="15.75" x14ac:dyDescent="0.25">
      <c r="A25" s="8"/>
      <c r="B25" s="8"/>
      <c r="C25" s="9"/>
      <c r="D25" s="12" t="s">
        <v>21</v>
      </c>
      <c r="E25" s="14">
        <v>10513630.669999998</v>
      </c>
      <c r="F25" s="14">
        <v>15735034.60854652</v>
      </c>
      <c r="G25" s="14">
        <v>6950745.7300000014</v>
      </c>
      <c r="H25" s="14">
        <v>0</v>
      </c>
      <c r="I25" s="13">
        <f t="shared" si="0"/>
        <v>33199411.00854652</v>
      </c>
    </row>
    <row r="26" spans="1:9" ht="15.75" x14ac:dyDescent="0.25">
      <c r="A26" s="8"/>
      <c r="B26" s="8"/>
      <c r="C26" s="9"/>
      <c r="D26" s="12" t="s">
        <v>22</v>
      </c>
      <c r="E26" s="14">
        <v>7007017.3999999994</v>
      </c>
      <c r="F26" s="14">
        <v>9010586.6843215209</v>
      </c>
      <c r="G26" s="14">
        <v>5898621.459999999</v>
      </c>
      <c r="H26" s="14">
        <v>0</v>
      </c>
      <c r="I26" s="13">
        <f t="shared" si="0"/>
        <v>21916225.544321522</v>
      </c>
    </row>
    <row r="27" spans="1:9" ht="15.75" x14ac:dyDescent="0.25">
      <c r="A27" s="8"/>
      <c r="B27" s="8"/>
      <c r="C27" s="9"/>
      <c r="D27" s="12" t="s">
        <v>23</v>
      </c>
      <c r="E27" s="14">
        <v>6532735.79</v>
      </c>
      <c r="F27" s="14">
        <v>1546536.2555017602</v>
      </c>
      <c r="G27" s="14">
        <v>15692804.189999998</v>
      </c>
      <c r="H27" s="14">
        <v>0</v>
      </c>
      <c r="I27" s="13">
        <f t="shared" si="0"/>
        <v>23772076.235501759</v>
      </c>
    </row>
    <row r="28" spans="1:9" ht="15.75" x14ac:dyDescent="0.25">
      <c r="A28" s="8"/>
      <c r="B28" s="8"/>
      <c r="C28" s="9"/>
      <c r="D28" s="12" t="s">
        <v>24</v>
      </c>
      <c r="E28" s="14">
        <v>4121988.69</v>
      </c>
      <c r="F28" s="14">
        <v>7329561.470335261</v>
      </c>
      <c r="G28" s="14">
        <v>9534131.3999999985</v>
      </c>
      <c r="H28" s="14">
        <v>0</v>
      </c>
      <c r="I28" s="13">
        <f t="shared" si="0"/>
        <v>20985681.56033526</v>
      </c>
    </row>
    <row r="29" spans="1:9" ht="15.75" x14ac:dyDescent="0.25">
      <c r="A29" s="8"/>
      <c r="B29" s="8"/>
      <c r="C29" s="9"/>
      <c r="D29" s="12" t="s">
        <v>25</v>
      </c>
      <c r="E29" s="14">
        <v>3931612.33</v>
      </c>
      <c r="F29" s="14">
        <v>4101826.4667072599</v>
      </c>
      <c r="G29" s="14">
        <v>2039566.17</v>
      </c>
      <c r="H29" s="14">
        <v>0</v>
      </c>
      <c r="I29" s="13">
        <f t="shared" si="0"/>
        <v>10073004.966707259</v>
      </c>
    </row>
    <row r="30" spans="1:9" ht="15.75" x14ac:dyDescent="0.25">
      <c r="A30" s="8"/>
      <c r="B30" s="8"/>
      <c r="C30" s="9"/>
      <c r="D30" s="12" t="s">
        <v>26</v>
      </c>
      <c r="E30" s="14">
        <v>10585372.08</v>
      </c>
      <c r="F30" s="14">
        <v>22123173.369490281</v>
      </c>
      <c r="G30" s="14">
        <v>4583862.3100000005</v>
      </c>
      <c r="H30" s="14">
        <v>0</v>
      </c>
      <c r="I30" s="13">
        <f t="shared" si="0"/>
        <v>37292407.759490281</v>
      </c>
    </row>
    <row r="31" spans="1:9" ht="15.75" x14ac:dyDescent="0.25">
      <c r="A31" s="8"/>
      <c r="B31" s="8"/>
      <c r="C31" s="9"/>
      <c r="D31" s="12" t="s">
        <v>27</v>
      </c>
      <c r="E31" s="14">
        <v>10439093.73</v>
      </c>
      <c r="F31" s="14">
        <v>22930107.120397281</v>
      </c>
      <c r="G31" s="14">
        <v>3588582.22</v>
      </c>
      <c r="H31" s="14">
        <v>0</v>
      </c>
      <c r="I31" s="13">
        <f t="shared" si="0"/>
        <v>36957783.07039728</v>
      </c>
    </row>
    <row r="32" spans="1:9" ht="15.75" x14ac:dyDescent="0.25">
      <c r="A32" s="8"/>
      <c r="B32" s="8"/>
      <c r="C32" s="9"/>
      <c r="D32" s="12" t="s">
        <v>28</v>
      </c>
      <c r="E32" s="14">
        <v>13868229.859999999</v>
      </c>
      <c r="F32" s="14">
        <v>7739796.1772479797</v>
      </c>
      <c r="G32" s="14">
        <v>4611455.0200000005</v>
      </c>
      <c r="H32" s="14">
        <v>0</v>
      </c>
      <c r="I32" s="13">
        <f t="shared" si="0"/>
        <v>26219481.057247978</v>
      </c>
    </row>
    <row r="33" spans="1:9" ht="15.75" x14ac:dyDescent="0.25">
      <c r="A33" s="8"/>
      <c r="B33" s="8"/>
      <c r="C33" s="9"/>
      <c r="D33" s="12" t="s">
        <v>29</v>
      </c>
      <c r="E33" s="14">
        <v>1986538.13</v>
      </c>
      <c r="F33" s="14">
        <v>11700365.854011519</v>
      </c>
      <c r="G33" s="14">
        <v>1302509.9499999997</v>
      </c>
      <c r="H33" s="14">
        <v>0</v>
      </c>
      <c r="I33" s="13">
        <f t="shared" si="0"/>
        <v>14989413.934011519</v>
      </c>
    </row>
    <row r="34" spans="1:9" ht="15.75" x14ac:dyDescent="0.25">
      <c r="A34" s="8"/>
      <c r="B34" s="8"/>
      <c r="C34" s="9"/>
      <c r="D34" s="12" t="s">
        <v>30</v>
      </c>
      <c r="E34" s="14">
        <v>18624214.210000005</v>
      </c>
      <c r="F34" s="14">
        <v>16790642.782044861</v>
      </c>
      <c r="G34" s="14">
        <v>7798680.1199999992</v>
      </c>
      <c r="H34" s="14">
        <v>0</v>
      </c>
      <c r="I34" s="13">
        <f t="shared" si="0"/>
        <v>43213537.112044863</v>
      </c>
    </row>
    <row r="35" spans="1:9" ht="15.75" x14ac:dyDescent="0.25">
      <c r="A35" s="8"/>
      <c r="B35" s="8"/>
      <c r="C35" s="9"/>
      <c r="D35" s="12" t="s">
        <v>31</v>
      </c>
      <c r="E35" s="14">
        <v>8617521.3900000006</v>
      </c>
      <c r="F35" s="14">
        <v>24685057.878015023</v>
      </c>
      <c r="G35" s="14">
        <v>7201354.6399999997</v>
      </c>
      <c r="H35" s="14">
        <v>0</v>
      </c>
      <c r="I35" s="13">
        <f t="shared" si="0"/>
        <v>40503933.90801502</v>
      </c>
    </row>
    <row r="36" spans="1:9" ht="15.75" x14ac:dyDescent="0.25">
      <c r="A36" s="8"/>
      <c r="B36" s="8"/>
      <c r="C36" s="9"/>
      <c r="D36" s="12" t="s">
        <v>32</v>
      </c>
      <c r="E36" s="14">
        <v>7819959.6600000011</v>
      </c>
      <c r="F36" s="14">
        <v>15318032.070174582</v>
      </c>
      <c r="G36" s="14">
        <v>12302959.539999997</v>
      </c>
      <c r="H36" s="14">
        <v>0</v>
      </c>
      <c r="I36" s="13">
        <f t="shared" si="0"/>
        <v>35440951.270174578</v>
      </c>
    </row>
    <row r="37" spans="1:9" ht="15.75" x14ac:dyDescent="0.25">
      <c r="A37" s="8"/>
      <c r="B37" s="8"/>
      <c r="C37" s="9"/>
      <c r="D37" s="12" t="s">
        <v>33</v>
      </c>
      <c r="E37" s="14">
        <v>15130754.229999997</v>
      </c>
      <c r="F37" s="14">
        <v>8472630.8503835201</v>
      </c>
      <c r="G37" s="14">
        <v>4245249.2700000005</v>
      </c>
      <c r="H37" s="14">
        <v>0</v>
      </c>
      <c r="I37" s="13">
        <f t="shared" si="0"/>
        <v>27848634.350383516</v>
      </c>
    </row>
    <row r="38" spans="1:9" ht="15.75" x14ac:dyDescent="0.25">
      <c r="A38" s="8"/>
      <c r="B38" s="8"/>
      <c r="C38" s="9"/>
      <c r="D38" s="12" t="s">
        <v>34</v>
      </c>
      <c r="E38" s="14">
        <v>6258562.0200000014</v>
      </c>
      <c r="F38" s="14">
        <v>18411278.115318079</v>
      </c>
      <c r="G38" s="14">
        <v>3311832.51</v>
      </c>
      <c r="H38" s="14">
        <v>0</v>
      </c>
      <c r="I38" s="13">
        <f t="shared" si="0"/>
        <v>27981672.645318076</v>
      </c>
    </row>
    <row r="39" spans="1:9" ht="15.75" x14ac:dyDescent="0.25">
      <c r="A39" s="8"/>
      <c r="B39" s="8"/>
      <c r="C39" s="9"/>
      <c r="D39" s="12" t="s">
        <v>35</v>
      </c>
      <c r="E39" s="14">
        <v>6171131.5499999998</v>
      </c>
      <c r="F39" s="14">
        <v>28827317.799337618</v>
      </c>
      <c r="G39" s="14">
        <v>4319234.04</v>
      </c>
      <c r="H39" s="14">
        <v>0</v>
      </c>
      <c r="I39" s="13">
        <f t="shared" si="0"/>
        <v>39317683.389337614</v>
      </c>
    </row>
    <row r="40" spans="1:9" ht="15.75" x14ac:dyDescent="0.25">
      <c r="A40" s="8"/>
      <c r="B40" s="8"/>
      <c r="C40" s="9"/>
      <c r="D40" s="12" t="s">
        <v>36</v>
      </c>
      <c r="E40" s="14">
        <v>414950.53</v>
      </c>
      <c r="F40" s="14">
        <v>1513044.1664856202</v>
      </c>
      <c r="G40" s="14">
        <v>3299411.52</v>
      </c>
      <c r="H40" s="14">
        <v>0</v>
      </c>
      <c r="I40" s="13">
        <f t="shared" si="0"/>
        <v>5227406.2164856205</v>
      </c>
    </row>
    <row r="41" spans="1:9" ht="15.75" x14ac:dyDescent="0.25">
      <c r="A41" s="8"/>
      <c r="B41" s="8"/>
      <c r="C41" s="9"/>
      <c r="D41" s="12" t="s">
        <v>37</v>
      </c>
      <c r="E41" s="14">
        <v>20109542.719999999</v>
      </c>
      <c r="F41" s="14">
        <v>25283577.126806039</v>
      </c>
      <c r="G41" s="14">
        <v>8032458.3300000001</v>
      </c>
      <c r="H41" s="14">
        <v>0</v>
      </c>
      <c r="I41" s="13">
        <f t="shared" si="0"/>
        <v>53425578.176806033</v>
      </c>
    </row>
    <row r="42" spans="1:9" ht="15.75" x14ac:dyDescent="0.25">
      <c r="A42" s="8"/>
      <c r="B42" s="8"/>
      <c r="C42" s="9"/>
      <c r="D42" s="12" t="s">
        <v>38</v>
      </c>
      <c r="E42" s="14">
        <v>13135288.730000002</v>
      </c>
      <c r="F42" s="14">
        <v>27381604.879164241</v>
      </c>
      <c r="G42" s="14">
        <v>3067399.0799999996</v>
      </c>
      <c r="H42" s="14">
        <v>0</v>
      </c>
      <c r="I42" s="13">
        <f t="shared" si="0"/>
        <v>43584292.689164244</v>
      </c>
    </row>
    <row r="43" spans="1:9" ht="15.75" x14ac:dyDescent="0.25">
      <c r="A43" s="8"/>
      <c r="B43" s="8"/>
      <c r="C43" s="9"/>
      <c r="D43" s="12" t="s">
        <v>39</v>
      </c>
      <c r="E43" s="14">
        <v>2549594.8400000003</v>
      </c>
      <c r="F43" s="14">
        <v>9958777.2251722403</v>
      </c>
      <c r="G43" s="14">
        <v>4588012.55</v>
      </c>
      <c r="H43" s="14">
        <v>0</v>
      </c>
      <c r="I43" s="13">
        <f t="shared" si="0"/>
        <v>17096384.615172241</v>
      </c>
    </row>
    <row r="44" spans="1:9" ht="15.75" x14ac:dyDescent="0.25">
      <c r="A44" s="8"/>
      <c r="B44" s="8"/>
      <c r="C44" s="9"/>
      <c r="D44" s="12" t="s">
        <v>40</v>
      </c>
      <c r="E44" s="14">
        <v>14085.57</v>
      </c>
      <c r="F44" s="14">
        <v>766500.29629166005</v>
      </c>
      <c r="G44" s="14">
        <v>6972114.790000001</v>
      </c>
      <c r="H44" s="14">
        <v>0</v>
      </c>
      <c r="I44" s="13">
        <f t="shared" si="0"/>
        <v>7752700.6562916609</v>
      </c>
    </row>
    <row r="45" spans="1:9" ht="15.75" x14ac:dyDescent="0.25">
      <c r="A45" s="8"/>
      <c r="B45" s="8"/>
      <c r="C45" s="9"/>
      <c r="D45" s="12" t="s">
        <v>41</v>
      </c>
      <c r="E45" s="14">
        <v>6607411.9900000002</v>
      </c>
      <c r="F45" s="14">
        <v>221950.16503441997</v>
      </c>
      <c r="G45" s="14">
        <v>19999360.009999998</v>
      </c>
      <c r="H45" s="14">
        <v>0</v>
      </c>
      <c r="I45" s="13">
        <f t="shared" si="0"/>
        <v>26828722.165034417</v>
      </c>
    </row>
    <row r="46" spans="1:9" ht="15.75" x14ac:dyDescent="0.25">
      <c r="A46" s="8"/>
      <c r="B46" s="8"/>
      <c r="C46" s="9"/>
      <c r="D46" s="12" t="s">
        <v>42</v>
      </c>
      <c r="E46" s="14">
        <v>7689992.7999999989</v>
      </c>
      <c r="F46" s="14">
        <v>739602.50459476002</v>
      </c>
      <c r="G46" s="14">
        <v>26629007.059999999</v>
      </c>
      <c r="H46" s="14">
        <v>0</v>
      </c>
      <c r="I46" s="13">
        <f t="shared" si="0"/>
        <v>35058602.364594758</v>
      </c>
    </row>
    <row r="47" spans="1:9" ht="15.75" x14ac:dyDescent="0.25">
      <c r="A47" s="8"/>
      <c r="B47" s="8"/>
      <c r="C47" s="9"/>
      <c r="D47" s="12" t="s">
        <v>43</v>
      </c>
      <c r="E47" s="14">
        <v>3180792.3899999997</v>
      </c>
      <c r="F47" s="14">
        <v>4693577.8840390602</v>
      </c>
      <c r="G47" s="14">
        <v>3573281.68</v>
      </c>
      <c r="H47" s="14">
        <v>0</v>
      </c>
      <c r="I47" s="13">
        <f t="shared" si="0"/>
        <v>11447651.95403906</v>
      </c>
    </row>
    <row r="48" spans="1:9" ht="15.75" x14ac:dyDescent="0.25">
      <c r="A48" s="8"/>
      <c r="B48" s="8"/>
      <c r="C48" s="9"/>
      <c r="D48" s="12" t="s">
        <v>44</v>
      </c>
      <c r="E48" s="14">
        <v>10363786.9</v>
      </c>
      <c r="F48" s="14">
        <v>739602.50459476002</v>
      </c>
      <c r="G48" s="14">
        <v>16008134.889999999</v>
      </c>
      <c r="H48" s="14">
        <v>0</v>
      </c>
      <c r="I48" s="13">
        <f t="shared" si="0"/>
        <v>27111524.294594757</v>
      </c>
    </row>
    <row r="49" spans="1:9" ht="15.75" x14ac:dyDescent="0.25">
      <c r="A49" s="8"/>
      <c r="B49" s="8"/>
      <c r="C49" s="9"/>
      <c r="D49" s="12" t="s">
        <v>45</v>
      </c>
      <c r="E49" s="14">
        <v>2875224.9499999997</v>
      </c>
      <c r="F49" s="14">
        <v>880859.29453848</v>
      </c>
      <c r="G49" s="14">
        <v>32972783.700000003</v>
      </c>
      <c r="H49" s="14">
        <v>0</v>
      </c>
      <c r="I49" s="13">
        <f t="shared" si="0"/>
        <v>36728867.944538482</v>
      </c>
    </row>
    <row r="50" spans="1:9" ht="15.75" x14ac:dyDescent="0.25">
      <c r="A50" s="8"/>
      <c r="B50" s="8"/>
      <c r="C50" s="9"/>
      <c r="D50" s="12" t="s">
        <v>46</v>
      </c>
      <c r="E50" s="14">
        <v>5470517.4199999999</v>
      </c>
      <c r="F50" s="14">
        <v>8513064.3049988616</v>
      </c>
      <c r="G50" s="14">
        <v>1907973.71</v>
      </c>
      <c r="H50" s="14">
        <v>0</v>
      </c>
      <c r="I50" s="13">
        <f t="shared" si="0"/>
        <v>15891555.434998862</v>
      </c>
    </row>
    <row r="51" spans="1:9" ht="15.75" x14ac:dyDescent="0.25">
      <c r="A51" s="8"/>
      <c r="B51" s="8"/>
      <c r="C51" s="9"/>
      <c r="D51" s="12" t="s">
        <v>47</v>
      </c>
      <c r="E51" s="14">
        <v>4271700.5999999996</v>
      </c>
      <c r="F51" s="14">
        <v>15479418.820355978</v>
      </c>
      <c r="G51" s="14">
        <v>7828498.5999999996</v>
      </c>
      <c r="H51" s="14">
        <v>0</v>
      </c>
      <c r="I51" s="13">
        <f t="shared" si="0"/>
        <v>27579618.020355977</v>
      </c>
    </row>
    <row r="52" spans="1:9" ht="15.75" x14ac:dyDescent="0.25">
      <c r="A52" s="8"/>
      <c r="B52" s="8"/>
      <c r="C52" s="9"/>
      <c r="D52" s="12" t="s">
        <v>48</v>
      </c>
      <c r="E52" s="14">
        <v>7422133.1000000006</v>
      </c>
      <c r="F52" s="14">
        <v>15600545.650062019</v>
      </c>
      <c r="G52" s="14">
        <v>1707836.44</v>
      </c>
      <c r="H52" s="14">
        <v>0</v>
      </c>
      <c r="I52" s="13">
        <f t="shared" si="0"/>
        <v>24730515.19006202</v>
      </c>
    </row>
    <row r="53" spans="1:9" ht="15.75" x14ac:dyDescent="0.25">
      <c r="A53" s="8"/>
      <c r="B53" s="8"/>
      <c r="C53" s="9"/>
      <c r="D53" s="12" t="s">
        <v>49</v>
      </c>
      <c r="E53" s="14">
        <v>7361294.6800000006</v>
      </c>
      <c r="F53" s="14">
        <v>10691785.432447759</v>
      </c>
      <c r="G53" s="14">
        <v>4655668.2300000004</v>
      </c>
      <c r="H53" s="14">
        <v>0</v>
      </c>
      <c r="I53" s="13">
        <f t="shared" si="0"/>
        <v>22708748.342447761</v>
      </c>
    </row>
    <row r="54" spans="1:9" ht="15.75" x14ac:dyDescent="0.25">
      <c r="A54" s="8"/>
      <c r="B54" s="8"/>
      <c r="C54" s="9"/>
      <c r="D54" s="12" t="s">
        <v>50</v>
      </c>
      <c r="E54" s="14">
        <v>7250331.290000001</v>
      </c>
      <c r="F54" s="14">
        <v>9817520.4352285191</v>
      </c>
      <c r="G54" s="14">
        <v>3557273.2700000005</v>
      </c>
      <c r="H54" s="14">
        <v>0</v>
      </c>
      <c r="I54" s="13">
        <f t="shared" si="0"/>
        <v>20625124.995228518</v>
      </c>
    </row>
    <row r="55" spans="1:9" ht="15.75" x14ac:dyDescent="0.25">
      <c r="A55" s="8"/>
      <c r="B55" s="8"/>
      <c r="C55" s="9"/>
      <c r="D55" s="12" t="s">
        <v>51</v>
      </c>
      <c r="E55" s="14">
        <v>1870136.62</v>
      </c>
      <c r="F55" s="14">
        <v>20105838.992222778</v>
      </c>
      <c r="G55" s="14">
        <v>530591.08999999985</v>
      </c>
      <c r="H55" s="14">
        <v>0</v>
      </c>
      <c r="I55" s="13">
        <f t="shared" si="0"/>
        <v>22506566.702222779</v>
      </c>
    </row>
    <row r="56" spans="1:9" ht="15.75" x14ac:dyDescent="0.25">
      <c r="A56" s="8"/>
      <c r="B56" s="8"/>
      <c r="C56" s="9"/>
      <c r="D56" s="12" t="s">
        <v>52</v>
      </c>
      <c r="E56" s="14">
        <v>6832604.9499999993</v>
      </c>
      <c r="F56" s="14">
        <v>22378615.623540841</v>
      </c>
      <c r="G56" s="14">
        <v>1470023.12</v>
      </c>
      <c r="H56" s="14">
        <v>0</v>
      </c>
      <c r="I56" s="13">
        <f t="shared" si="0"/>
        <v>30681243.693540841</v>
      </c>
    </row>
    <row r="57" spans="1:9" ht="15.75" x14ac:dyDescent="0.25">
      <c r="A57" s="8"/>
      <c r="B57" s="8"/>
      <c r="C57" s="9"/>
      <c r="D57" s="12" t="s">
        <v>53</v>
      </c>
      <c r="E57" s="14">
        <v>1167823.6599999999</v>
      </c>
      <c r="F57" s="14">
        <v>7396719.1825075205</v>
      </c>
      <c r="G57" s="14">
        <v>2000678.6900000002</v>
      </c>
      <c r="H57" s="14">
        <v>0</v>
      </c>
      <c r="I57" s="13">
        <f t="shared" si="0"/>
        <v>10565221.53250752</v>
      </c>
    </row>
    <row r="58" spans="1:9" ht="15.75" x14ac:dyDescent="0.25">
      <c r="A58" s="8"/>
      <c r="B58" s="8"/>
      <c r="C58" s="9"/>
      <c r="D58" s="12" t="s">
        <v>54</v>
      </c>
      <c r="E58" s="14">
        <v>2498232.7399999998</v>
      </c>
      <c r="F58" s="14">
        <v>7961572.808142419</v>
      </c>
      <c r="G58" s="14">
        <v>271661.39</v>
      </c>
      <c r="H58" s="14">
        <v>0</v>
      </c>
      <c r="I58" s="13">
        <f t="shared" si="0"/>
        <v>10731466.938142419</v>
      </c>
    </row>
    <row r="59" spans="1:9" ht="15.75" x14ac:dyDescent="0.25">
      <c r="A59" s="8"/>
      <c r="B59" s="8"/>
      <c r="C59" s="9"/>
      <c r="D59" s="12" t="s">
        <v>55</v>
      </c>
      <c r="E59" s="14">
        <v>11369345.870000001</v>
      </c>
      <c r="F59" s="14">
        <v>13448722.314310018</v>
      </c>
      <c r="G59" s="14">
        <v>3365495.0700000003</v>
      </c>
      <c r="H59" s="14">
        <v>0</v>
      </c>
      <c r="I59" s="13">
        <f t="shared" si="0"/>
        <v>28183563.254310019</v>
      </c>
    </row>
    <row r="60" spans="1:9" ht="15.75" x14ac:dyDescent="0.25">
      <c r="A60" s="8"/>
      <c r="B60" s="8"/>
      <c r="C60" s="9"/>
      <c r="D60" s="12" t="s">
        <v>56</v>
      </c>
      <c r="E60" s="14">
        <v>5850554.5499999998</v>
      </c>
      <c r="F60" s="14">
        <v>8136495.2212422602</v>
      </c>
      <c r="G60" s="14">
        <v>1832569.6099999999</v>
      </c>
      <c r="H60" s="14">
        <v>0</v>
      </c>
      <c r="I60" s="13">
        <f t="shared" si="0"/>
        <v>15819619.38124226</v>
      </c>
    </row>
    <row r="61" spans="1:9" ht="15.75" x14ac:dyDescent="0.25">
      <c r="A61" s="8"/>
      <c r="B61" s="8"/>
      <c r="C61" s="9"/>
      <c r="D61" s="12" t="s">
        <v>57</v>
      </c>
      <c r="E61" s="14">
        <v>12019663.41</v>
      </c>
      <c r="F61" s="14">
        <v>13650368.984966781</v>
      </c>
      <c r="G61" s="14">
        <v>1867296.2800000003</v>
      </c>
      <c r="H61" s="14">
        <v>0</v>
      </c>
      <c r="I61" s="13">
        <f t="shared" si="0"/>
        <v>27537328.674966782</v>
      </c>
    </row>
    <row r="62" spans="1:9" ht="15.75" x14ac:dyDescent="0.25">
      <c r="A62" s="8"/>
      <c r="B62" s="8"/>
      <c r="C62" s="9"/>
      <c r="D62" s="12" t="s">
        <v>58</v>
      </c>
      <c r="E62" s="14">
        <v>6874803.8200000012</v>
      </c>
      <c r="F62" s="14">
        <v>15230744.39776464</v>
      </c>
      <c r="G62" s="14">
        <v>172267351.15000004</v>
      </c>
      <c r="H62" s="14">
        <v>0</v>
      </c>
      <c r="I62" s="13">
        <f t="shared" si="0"/>
        <v>194372899.36776468</v>
      </c>
    </row>
    <row r="63" spans="1:9" ht="15.75" x14ac:dyDescent="0.25">
      <c r="A63" s="8"/>
      <c r="B63" s="8"/>
      <c r="C63" s="9"/>
      <c r="D63" s="12" t="s">
        <v>59</v>
      </c>
      <c r="E63" s="14">
        <v>3891546.8</v>
      </c>
      <c r="F63" s="14">
        <v>1681025.2139862601</v>
      </c>
      <c r="G63" s="14">
        <v>10795335.01</v>
      </c>
      <c r="H63" s="14">
        <v>0</v>
      </c>
      <c r="I63" s="13">
        <f t="shared" si="0"/>
        <v>16367907.023986259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72234407.110000014</v>
      </c>
      <c r="H64" s="14">
        <v>0</v>
      </c>
      <c r="I64" s="13">
        <f t="shared" si="0"/>
        <v>72234407.110000014</v>
      </c>
    </row>
    <row r="65" spans="1:9" ht="15.75" x14ac:dyDescent="0.25">
      <c r="A65" s="8"/>
      <c r="B65" s="8"/>
      <c r="C65" s="9"/>
      <c r="D65" s="12" t="s">
        <v>61</v>
      </c>
      <c r="E65" s="14">
        <v>9711232.3699999992</v>
      </c>
      <c r="F65" s="14">
        <v>19904018.78742604</v>
      </c>
      <c r="G65" s="14">
        <v>2292227.6</v>
      </c>
      <c r="H65" s="14">
        <v>0</v>
      </c>
      <c r="I65" s="13">
        <f t="shared" si="0"/>
        <v>31907478.757426038</v>
      </c>
    </row>
    <row r="66" spans="1:9" ht="15.75" x14ac:dyDescent="0.25">
      <c r="A66" s="8"/>
      <c r="B66" s="8"/>
      <c r="C66" s="9"/>
      <c r="D66" s="12" t="s">
        <v>62</v>
      </c>
      <c r="E66" s="14">
        <v>38327456.230000004</v>
      </c>
      <c r="F66" s="14">
        <v>39572898.815179177</v>
      </c>
      <c r="G66" s="14">
        <v>5090374.0600000005</v>
      </c>
      <c r="H66" s="14">
        <v>0</v>
      </c>
      <c r="I66" s="13">
        <f t="shared" si="0"/>
        <v>82990729.105179191</v>
      </c>
    </row>
    <row r="67" spans="1:9" ht="15.75" x14ac:dyDescent="0.25">
      <c r="A67" s="8"/>
      <c r="B67" s="8"/>
      <c r="C67" s="9"/>
      <c r="D67" s="12" t="s">
        <v>63</v>
      </c>
      <c r="E67" s="14">
        <v>5617230.9299999997</v>
      </c>
      <c r="F67" s="14">
        <v>18290324.819752023</v>
      </c>
      <c r="G67" s="14">
        <v>1850472.0799999998</v>
      </c>
      <c r="H67" s="14">
        <v>0</v>
      </c>
      <c r="I67" s="13">
        <f t="shared" si="0"/>
        <v>25758027.829752021</v>
      </c>
    </row>
    <row r="68" spans="1:9" ht="15.75" x14ac:dyDescent="0.25">
      <c r="A68" s="8"/>
      <c r="B68" s="8"/>
      <c r="C68" s="9"/>
      <c r="D68" s="12" t="s">
        <v>64</v>
      </c>
      <c r="E68" s="14">
        <v>5870137.21</v>
      </c>
      <c r="F68" s="14">
        <v>7733028.3457887601</v>
      </c>
      <c r="G68" s="14">
        <v>432648.47000000003</v>
      </c>
      <c r="H68" s="14">
        <v>0</v>
      </c>
      <c r="I68" s="13">
        <f t="shared" si="0"/>
        <v>14035814.02578876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18229881.190000001</v>
      </c>
      <c r="H69" s="14">
        <v>0</v>
      </c>
      <c r="I69" s="13">
        <f t="shared" si="0"/>
        <v>18229881.190000001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23104783.350000001</v>
      </c>
      <c r="H70" s="14">
        <v>0</v>
      </c>
      <c r="I70" s="13">
        <f t="shared" si="0"/>
        <v>23104783.350000001</v>
      </c>
    </row>
    <row r="71" spans="1:9" ht="15.75" x14ac:dyDescent="0.25">
      <c r="A71" s="8"/>
      <c r="B71" s="8"/>
      <c r="C71" s="9"/>
      <c r="D71" s="12" t="s">
        <v>67</v>
      </c>
      <c r="E71" s="14">
        <v>41900.33</v>
      </c>
      <c r="F71" s="14">
        <v>201646.67065676002</v>
      </c>
      <c r="G71" s="14">
        <v>24249304.949999999</v>
      </c>
      <c r="H71" s="14">
        <v>0</v>
      </c>
      <c r="I71" s="13">
        <f t="shared" si="0"/>
        <v>24492851.95065676</v>
      </c>
    </row>
    <row r="72" spans="1:9" ht="15.75" x14ac:dyDescent="0.25">
      <c r="A72" s="8"/>
      <c r="B72" s="8"/>
      <c r="C72" s="9"/>
      <c r="D72" s="12" t="s">
        <v>68</v>
      </c>
      <c r="E72" s="14">
        <v>18226118.09</v>
      </c>
      <c r="F72" s="14">
        <v>12561095.18831232</v>
      </c>
      <c r="G72" s="14">
        <v>22490206.790000003</v>
      </c>
      <c r="H72" s="14">
        <v>0</v>
      </c>
      <c r="I72" s="13">
        <f t="shared" si="0"/>
        <v>53277420.068312317</v>
      </c>
    </row>
    <row r="73" spans="1:9" ht="15.75" x14ac:dyDescent="0.25">
      <c r="A73" s="8"/>
      <c r="B73" s="8"/>
      <c r="C73" s="9"/>
      <c r="D73" s="12" t="s">
        <v>69</v>
      </c>
      <c r="E73" s="14">
        <v>567560.11</v>
      </c>
      <c r="F73" s="14">
        <v>0</v>
      </c>
      <c r="G73" s="14">
        <v>16908168.890000001</v>
      </c>
      <c r="H73" s="14">
        <v>0</v>
      </c>
      <c r="I73" s="13">
        <f t="shared" si="0"/>
        <v>17475729</v>
      </c>
    </row>
    <row r="74" spans="1:9" ht="15.75" x14ac:dyDescent="0.25">
      <c r="A74" s="8"/>
      <c r="B74" s="8"/>
      <c r="C74" s="9"/>
      <c r="D74" s="12" t="s">
        <v>70</v>
      </c>
      <c r="E74" s="14">
        <v>626826.25999999989</v>
      </c>
      <c r="F74" s="14">
        <v>1062376.00495756</v>
      </c>
      <c r="G74" s="14">
        <v>118391272.50000001</v>
      </c>
      <c r="H74" s="14">
        <v>0</v>
      </c>
      <c r="I74" s="13">
        <f t="shared" ref="I74:I137" si="1">SUM(E74:H74)</f>
        <v>120080474.76495758</v>
      </c>
    </row>
    <row r="75" spans="1:9" ht="15.75" x14ac:dyDescent="0.25">
      <c r="A75" s="8"/>
      <c r="B75" s="8"/>
      <c r="C75" s="9"/>
      <c r="D75" s="12" t="s">
        <v>71</v>
      </c>
      <c r="E75" s="14">
        <v>9001930.0100000016</v>
      </c>
      <c r="F75" s="14">
        <v>4128724.2584041599</v>
      </c>
      <c r="G75" s="14">
        <v>181457115.38999999</v>
      </c>
      <c r="H75" s="14">
        <v>0</v>
      </c>
      <c r="I75" s="13">
        <f t="shared" si="1"/>
        <v>194587769.65840414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55684012.169999994</v>
      </c>
      <c r="H76" s="14">
        <v>0</v>
      </c>
      <c r="I76" s="13">
        <f t="shared" si="1"/>
        <v>55684012.169999994</v>
      </c>
    </row>
    <row r="77" spans="1:9" ht="15.75" x14ac:dyDescent="0.25">
      <c r="A77" s="8"/>
      <c r="B77" s="8"/>
      <c r="C77" s="9"/>
      <c r="D77" s="12" t="s">
        <v>73</v>
      </c>
      <c r="E77" s="14">
        <v>3417980.0100000002</v>
      </c>
      <c r="F77" s="14">
        <v>20475640.244520165</v>
      </c>
      <c r="G77" s="14">
        <v>2191370.4000000004</v>
      </c>
      <c r="H77" s="14">
        <v>0</v>
      </c>
      <c r="I77" s="13">
        <f t="shared" si="1"/>
        <v>26084990.654520169</v>
      </c>
    </row>
    <row r="78" spans="1:9" ht="15.75" x14ac:dyDescent="0.25">
      <c r="A78" s="8"/>
      <c r="B78" s="8"/>
      <c r="C78" s="9"/>
      <c r="D78" s="12" t="s">
        <v>74</v>
      </c>
      <c r="E78" s="14">
        <v>7461122.4000000004</v>
      </c>
      <c r="F78" s="14">
        <v>20778283.784645282</v>
      </c>
      <c r="G78" s="14">
        <v>3295416.1500000004</v>
      </c>
      <c r="H78" s="14">
        <v>0</v>
      </c>
      <c r="I78" s="13">
        <f t="shared" si="1"/>
        <v>31534822.334645279</v>
      </c>
    </row>
    <row r="79" spans="1:9" ht="15.75" x14ac:dyDescent="0.25">
      <c r="A79" s="8"/>
      <c r="B79" s="8"/>
      <c r="C79" s="9"/>
      <c r="D79" s="12" t="s">
        <v>75</v>
      </c>
      <c r="E79" s="14">
        <v>7888703.3199999994</v>
      </c>
      <c r="F79" s="14">
        <v>11666700.230855402</v>
      </c>
      <c r="G79" s="14">
        <v>2551930.0399999996</v>
      </c>
      <c r="H79" s="14">
        <v>0</v>
      </c>
      <c r="I79" s="13">
        <f t="shared" si="1"/>
        <v>22107333.590855401</v>
      </c>
    </row>
    <row r="80" spans="1:9" ht="15.75" x14ac:dyDescent="0.25">
      <c r="A80" s="8"/>
      <c r="B80" s="8"/>
      <c r="C80" s="9"/>
      <c r="D80" s="12" t="s">
        <v>76</v>
      </c>
      <c r="E80" s="14">
        <v>3343151.5799999991</v>
      </c>
      <c r="F80" s="14">
        <v>6166188.5959093394</v>
      </c>
      <c r="G80" s="14">
        <v>826888.12999999989</v>
      </c>
      <c r="H80" s="14">
        <v>0</v>
      </c>
      <c r="I80" s="13">
        <f t="shared" si="1"/>
        <v>10336228.305909339</v>
      </c>
    </row>
    <row r="81" spans="1:9" ht="15.75" x14ac:dyDescent="0.25">
      <c r="A81" s="8"/>
      <c r="B81" s="8"/>
      <c r="C81" s="9"/>
      <c r="D81" s="12" t="s">
        <v>77</v>
      </c>
      <c r="E81" s="14">
        <v>25741203.09</v>
      </c>
      <c r="F81" s="14">
        <v>37205893.145851985</v>
      </c>
      <c r="G81" s="14">
        <v>7342297.0099999988</v>
      </c>
      <c r="H81" s="14">
        <v>0</v>
      </c>
      <c r="I81" s="13">
        <f t="shared" si="1"/>
        <v>70289393.245851994</v>
      </c>
    </row>
    <row r="82" spans="1:9" ht="15.75" x14ac:dyDescent="0.25">
      <c r="A82" s="8"/>
      <c r="B82" s="8"/>
      <c r="C82" s="9"/>
      <c r="D82" s="12" t="s">
        <v>78</v>
      </c>
      <c r="E82" s="14">
        <v>16883750.460000001</v>
      </c>
      <c r="F82" s="14">
        <v>25787867.337587919</v>
      </c>
      <c r="G82" s="14">
        <v>2674076.3100000005</v>
      </c>
      <c r="H82" s="14">
        <v>0</v>
      </c>
      <c r="I82" s="13">
        <f t="shared" si="1"/>
        <v>45345694.107587919</v>
      </c>
    </row>
    <row r="83" spans="1:9" ht="15.75" x14ac:dyDescent="0.25">
      <c r="A83" s="8"/>
      <c r="B83" s="8"/>
      <c r="C83" s="9"/>
      <c r="D83" s="12" t="s">
        <v>79</v>
      </c>
      <c r="E83" s="14">
        <v>6247370.790000001</v>
      </c>
      <c r="F83" s="14">
        <v>10590788.562979398</v>
      </c>
      <c r="G83" s="14">
        <v>9078790.0199999996</v>
      </c>
      <c r="H83" s="14">
        <v>0</v>
      </c>
      <c r="I83" s="13">
        <f t="shared" si="1"/>
        <v>25916949.372979399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66568450.400000006</v>
      </c>
      <c r="H84" s="14">
        <v>0</v>
      </c>
      <c r="I84" s="13">
        <f t="shared" si="1"/>
        <v>66568450.400000006</v>
      </c>
    </row>
    <row r="85" spans="1:9" ht="15.75" x14ac:dyDescent="0.25">
      <c r="A85" s="8"/>
      <c r="B85" s="8"/>
      <c r="C85" s="9"/>
      <c r="D85" s="12" t="s">
        <v>81</v>
      </c>
      <c r="E85" s="14">
        <v>8077170.5099999979</v>
      </c>
      <c r="F85" s="14">
        <v>3294892.7158002602</v>
      </c>
      <c r="G85" s="14">
        <v>18368427.609999999</v>
      </c>
      <c r="H85" s="14">
        <v>0</v>
      </c>
      <c r="I85" s="13">
        <f t="shared" si="1"/>
        <v>29740490.835800257</v>
      </c>
    </row>
    <row r="86" spans="1:9" ht="15.75" x14ac:dyDescent="0.25">
      <c r="A86" s="8"/>
      <c r="B86" s="8"/>
      <c r="C86" s="9"/>
      <c r="D86" s="12" t="s">
        <v>82</v>
      </c>
      <c r="E86" s="14">
        <v>4440158.67</v>
      </c>
      <c r="F86" s="14">
        <v>13684034.6081229</v>
      </c>
      <c r="G86" s="14">
        <v>2584318.2200000002</v>
      </c>
      <c r="H86" s="14">
        <v>0</v>
      </c>
      <c r="I86" s="13">
        <f t="shared" si="1"/>
        <v>20708511.498122901</v>
      </c>
    </row>
    <row r="87" spans="1:9" ht="15.75" x14ac:dyDescent="0.25">
      <c r="A87" s="8"/>
      <c r="B87" s="8"/>
      <c r="C87" s="9"/>
      <c r="D87" s="12" t="s">
        <v>83</v>
      </c>
      <c r="E87" s="14">
        <v>2628277.08</v>
      </c>
      <c r="F87" s="14">
        <v>18021346.902783018</v>
      </c>
      <c r="G87" s="14">
        <v>2052573.5499999998</v>
      </c>
      <c r="H87" s="14">
        <v>0</v>
      </c>
      <c r="I87" s="13">
        <f t="shared" si="1"/>
        <v>22702197.53278302</v>
      </c>
    </row>
    <row r="88" spans="1:9" ht="15.75" x14ac:dyDescent="0.25">
      <c r="A88" s="8"/>
      <c r="B88" s="8"/>
      <c r="C88" s="9"/>
      <c r="D88" s="12" t="s">
        <v>84</v>
      </c>
      <c r="E88" s="14">
        <v>2158097.61</v>
      </c>
      <c r="F88" s="14">
        <v>0</v>
      </c>
      <c r="G88" s="14">
        <v>20363425.699999999</v>
      </c>
      <c r="H88" s="14">
        <v>0</v>
      </c>
      <c r="I88" s="13">
        <f t="shared" si="1"/>
        <v>22521523.309999999</v>
      </c>
    </row>
    <row r="89" spans="1:9" ht="15.75" x14ac:dyDescent="0.25">
      <c r="A89" s="8"/>
      <c r="B89" s="8"/>
      <c r="C89" s="9"/>
      <c r="D89" s="12" t="s">
        <v>85</v>
      </c>
      <c r="E89" s="14">
        <v>4419830.2599999988</v>
      </c>
      <c r="F89" s="14">
        <v>17671675.61072332</v>
      </c>
      <c r="G89" s="14">
        <v>1929665.8699999996</v>
      </c>
      <c r="H89" s="14">
        <v>0</v>
      </c>
      <c r="I89" s="13">
        <f t="shared" si="1"/>
        <v>24021171.740723319</v>
      </c>
    </row>
    <row r="90" spans="1:9" ht="15.75" x14ac:dyDescent="0.25">
      <c r="A90" s="8"/>
      <c r="B90" s="8"/>
      <c r="C90" s="9"/>
      <c r="D90" s="12" t="s">
        <v>86</v>
      </c>
      <c r="E90" s="14">
        <v>2313248.87</v>
      </c>
      <c r="F90" s="14">
        <v>4572624.5884729996</v>
      </c>
      <c r="G90" s="14">
        <v>5053850.38</v>
      </c>
      <c r="H90" s="14">
        <v>0</v>
      </c>
      <c r="I90" s="13">
        <f t="shared" si="1"/>
        <v>11939723.838473</v>
      </c>
    </row>
    <row r="91" spans="1:9" ht="15.75" x14ac:dyDescent="0.25">
      <c r="A91" s="8"/>
      <c r="B91" s="8"/>
      <c r="C91" s="9"/>
      <c r="D91" s="12" t="s">
        <v>87</v>
      </c>
      <c r="E91" s="14">
        <v>3075665.3500000006</v>
      </c>
      <c r="F91" s="14">
        <v>10429401.812797999</v>
      </c>
      <c r="G91" s="14">
        <v>11217771.09</v>
      </c>
      <c r="H91" s="14">
        <v>0</v>
      </c>
      <c r="I91" s="13">
        <f t="shared" si="1"/>
        <v>24722838.252797998</v>
      </c>
    </row>
    <row r="92" spans="1:9" ht="15.75" x14ac:dyDescent="0.25">
      <c r="A92" s="8"/>
      <c r="B92" s="8"/>
      <c r="C92" s="9"/>
      <c r="D92" s="12" t="s">
        <v>88</v>
      </c>
      <c r="E92" s="14">
        <v>1018514.3800000001</v>
      </c>
      <c r="F92" s="14">
        <v>1438945.0887141598</v>
      </c>
      <c r="G92" s="14">
        <v>32928440.350000009</v>
      </c>
      <c r="H92" s="14">
        <v>0</v>
      </c>
      <c r="I92" s="13">
        <f t="shared" si="1"/>
        <v>35385899.818714172</v>
      </c>
    </row>
    <row r="93" spans="1:9" ht="15.75" x14ac:dyDescent="0.25">
      <c r="A93" s="8"/>
      <c r="B93" s="8"/>
      <c r="C93" s="9"/>
      <c r="D93" s="12" t="s">
        <v>89</v>
      </c>
      <c r="E93" s="14">
        <v>14515841.540000003</v>
      </c>
      <c r="F93" s="14">
        <v>11660105.933536159</v>
      </c>
      <c r="G93" s="14">
        <v>4775574.709999999</v>
      </c>
      <c r="H93" s="14">
        <v>0</v>
      </c>
      <c r="I93" s="13">
        <f t="shared" si="1"/>
        <v>30951522.183536164</v>
      </c>
    </row>
    <row r="94" spans="1:9" ht="15.75" x14ac:dyDescent="0.25">
      <c r="A94" s="8"/>
      <c r="B94" s="8"/>
      <c r="C94" s="9"/>
      <c r="D94" s="12" t="s">
        <v>90</v>
      </c>
      <c r="E94" s="14">
        <v>27161.94</v>
      </c>
      <c r="F94" s="14">
        <v>0</v>
      </c>
      <c r="G94" s="14">
        <v>950417.39999999991</v>
      </c>
      <c r="H94" s="14">
        <v>0</v>
      </c>
      <c r="I94" s="13">
        <f t="shared" si="1"/>
        <v>977579.33999999985</v>
      </c>
    </row>
    <row r="95" spans="1:9" ht="15.75" x14ac:dyDescent="0.25">
      <c r="A95" s="8"/>
      <c r="B95" s="8"/>
      <c r="C95" s="9"/>
      <c r="D95" s="12" t="s">
        <v>91</v>
      </c>
      <c r="E95" s="14">
        <v>691786.5</v>
      </c>
      <c r="F95" s="14">
        <v>369801.25229738001</v>
      </c>
      <c r="G95" s="14">
        <v>33588524.93</v>
      </c>
      <c r="H95" s="14">
        <v>0</v>
      </c>
      <c r="I95" s="13">
        <f t="shared" si="1"/>
        <v>34650112.682297379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53379900.380000003</v>
      </c>
      <c r="H96" s="14">
        <v>0</v>
      </c>
      <c r="I96" s="13">
        <f t="shared" si="1"/>
        <v>53379900.380000003</v>
      </c>
    </row>
    <row r="97" spans="1:9" ht="15.75" x14ac:dyDescent="0.25">
      <c r="A97" s="8"/>
      <c r="B97" s="8"/>
      <c r="C97" s="9"/>
      <c r="D97" s="12" t="s">
        <v>93</v>
      </c>
      <c r="E97" s="14">
        <v>1782292.4500000002</v>
      </c>
      <c r="F97" s="14">
        <v>16609126.07162578</v>
      </c>
      <c r="G97" s="14">
        <v>2372723.4000000004</v>
      </c>
      <c r="H97" s="14">
        <v>0</v>
      </c>
      <c r="I97" s="13">
        <f t="shared" si="1"/>
        <v>20764141.921625778</v>
      </c>
    </row>
    <row r="98" spans="1:9" ht="15.75" x14ac:dyDescent="0.25">
      <c r="A98" s="8"/>
      <c r="B98" s="8"/>
      <c r="C98" s="9"/>
      <c r="D98" s="12" t="s">
        <v>94</v>
      </c>
      <c r="E98" s="14">
        <v>13244013.370000001</v>
      </c>
      <c r="F98" s="14">
        <v>21847427.621062059</v>
      </c>
      <c r="G98" s="14">
        <v>20129631.989999998</v>
      </c>
      <c r="H98" s="14">
        <v>0</v>
      </c>
      <c r="I98" s="13">
        <f t="shared" si="1"/>
        <v>55221072.981062055</v>
      </c>
    </row>
    <row r="99" spans="1:9" ht="15.75" x14ac:dyDescent="0.25">
      <c r="A99" s="8"/>
      <c r="B99" s="8"/>
      <c r="C99" s="9"/>
      <c r="D99" s="12" t="s">
        <v>95</v>
      </c>
      <c r="E99" s="14">
        <v>23503019.629999995</v>
      </c>
      <c r="F99" s="14">
        <v>41630493.112922043</v>
      </c>
      <c r="G99" s="14">
        <v>7916473.0999999996</v>
      </c>
      <c r="H99" s="14">
        <v>0</v>
      </c>
      <c r="I99" s="13">
        <f t="shared" si="1"/>
        <v>73049985.842922032</v>
      </c>
    </row>
    <row r="100" spans="1:9" ht="15.75" x14ac:dyDescent="0.25">
      <c r="A100" s="8"/>
      <c r="B100" s="8"/>
      <c r="C100" s="9"/>
      <c r="D100" s="12" t="s">
        <v>96</v>
      </c>
      <c r="E100" s="14">
        <v>13214653.300000003</v>
      </c>
      <c r="F100" s="14">
        <v>41650623.073159717</v>
      </c>
      <c r="G100" s="14">
        <v>16818679.640000001</v>
      </c>
      <c r="H100" s="14">
        <v>0</v>
      </c>
      <c r="I100" s="13">
        <f t="shared" si="1"/>
        <v>71683956.013159722</v>
      </c>
    </row>
    <row r="101" spans="1:9" ht="15.75" x14ac:dyDescent="0.25">
      <c r="A101" s="8"/>
      <c r="B101" s="8"/>
      <c r="C101" s="9"/>
      <c r="D101" s="12" t="s">
        <v>97</v>
      </c>
      <c r="E101" s="14">
        <v>652185.52999999991</v>
      </c>
      <c r="F101" s="14">
        <v>55894131.748578146</v>
      </c>
      <c r="G101" s="14">
        <v>227750.89999999997</v>
      </c>
      <c r="H101" s="14">
        <v>0</v>
      </c>
      <c r="I101" s="13">
        <f t="shared" si="1"/>
        <v>56774068.178578146</v>
      </c>
    </row>
    <row r="102" spans="1:9" ht="15.75" x14ac:dyDescent="0.25">
      <c r="A102" s="8"/>
      <c r="B102" s="8"/>
      <c r="C102" s="9"/>
      <c r="D102" s="12" t="s">
        <v>98</v>
      </c>
      <c r="E102" s="14">
        <v>17062481.379999999</v>
      </c>
      <c r="F102" s="14">
        <v>24032916.579970181</v>
      </c>
      <c r="G102" s="14">
        <v>11703047.490000002</v>
      </c>
      <c r="H102" s="14">
        <v>0</v>
      </c>
      <c r="I102" s="13">
        <f t="shared" si="1"/>
        <v>52798445.449970178</v>
      </c>
    </row>
    <row r="103" spans="1:9" ht="15.75" x14ac:dyDescent="0.25">
      <c r="A103" s="8"/>
      <c r="B103" s="8"/>
      <c r="C103" s="9"/>
      <c r="D103" s="12" t="s">
        <v>99</v>
      </c>
      <c r="E103" s="14">
        <v>6977638.8300000001</v>
      </c>
      <c r="F103" s="14">
        <v>7632205.0104603795</v>
      </c>
      <c r="G103" s="14">
        <v>1392446.83</v>
      </c>
      <c r="H103" s="14">
        <v>0</v>
      </c>
      <c r="I103" s="13">
        <f t="shared" si="1"/>
        <v>16002290.670460379</v>
      </c>
    </row>
    <row r="104" spans="1:9" ht="15.75" x14ac:dyDescent="0.25">
      <c r="A104" s="8"/>
      <c r="B104" s="8"/>
      <c r="C104" s="9"/>
      <c r="D104" s="12" t="s">
        <v>100</v>
      </c>
      <c r="E104" s="14">
        <v>32893878.149999999</v>
      </c>
      <c r="F104" s="14">
        <v>13946244.693632681</v>
      </c>
      <c r="G104" s="14">
        <v>18793262.949999996</v>
      </c>
      <c r="H104" s="14">
        <v>0</v>
      </c>
      <c r="I104" s="13">
        <f t="shared" si="1"/>
        <v>65633385.793632679</v>
      </c>
    </row>
    <row r="105" spans="1:9" ht="15.75" x14ac:dyDescent="0.25">
      <c r="A105" s="8"/>
      <c r="B105" s="8"/>
      <c r="C105" s="9"/>
      <c r="D105" s="12" t="s">
        <v>101</v>
      </c>
      <c r="E105" s="14">
        <v>8477381.0700000003</v>
      </c>
      <c r="F105" s="14">
        <v>20710952.53833304</v>
      </c>
      <c r="G105" s="14">
        <v>378216.08</v>
      </c>
      <c r="H105" s="14">
        <v>0</v>
      </c>
      <c r="I105" s="13">
        <f t="shared" si="1"/>
        <v>29566549.688333038</v>
      </c>
    </row>
    <row r="106" spans="1:9" ht="15.75" x14ac:dyDescent="0.25">
      <c r="A106" s="8"/>
      <c r="B106" s="8"/>
      <c r="C106" s="9"/>
      <c r="D106" s="12" t="s">
        <v>102</v>
      </c>
      <c r="E106" s="14">
        <v>5009840.9300000006</v>
      </c>
      <c r="F106" s="14">
        <v>1277558.33853276</v>
      </c>
      <c r="G106" s="14">
        <v>45183852.189999998</v>
      </c>
      <c r="H106" s="14">
        <v>0</v>
      </c>
      <c r="I106" s="13">
        <f t="shared" si="1"/>
        <v>51471251.458532758</v>
      </c>
    </row>
    <row r="107" spans="1:9" ht="15.75" x14ac:dyDescent="0.25">
      <c r="A107" s="8"/>
      <c r="B107" s="8"/>
      <c r="C107" s="9"/>
      <c r="D107" s="12" t="s">
        <v>103</v>
      </c>
      <c r="E107" s="14">
        <v>556103.19999999995</v>
      </c>
      <c r="F107" s="14">
        <v>0</v>
      </c>
      <c r="G107" s="14">
        <v>9834201.6999999993</v>
      </c>
      <c r="H107" s="14">
        <v>0</v>
      </c>
      <c r="I107" s="13">
        <f t="shared" si="1"/>
        <v>10390304.899999999</v>
      </c>
    </row>
    <row r="108" spans="1:9" ht="15.75" x14ac:dyDescent="0.25">
      <c r="A108" s="8"/>
      <c r="B108" s="8"/>
      <c r="C108" s="9"/>
      <c r="D108" s="12" t="s">
        <v>104</v>
      </c>
      <c r="E108" s="14">
        <v>277328.98</v>
      </c>
      <c r="F108" s="14">
        <v>0</v>
      </c>
      <c r="G108" s="14">
        <v>5186478.330000001</v>
      </c>
      <c r="H108" s="14">
        <v>0</v>
      </c>
      <c r="I108" s="13">
        <f t="shared" si="1"/>
        <v>5463807.3100000005</v>
      </c>
    </row>
    <row r="109" spans="1:9" ht="15.75" x14ac:dyDescent="0.25">
      <c r="A109" s="8"/>
      <c r="B109" s="8"/>
      <c r="C109" s="9"/>
      <c r="D109" s="12" t="s">
        <v>105</v>
      </c>
      <c r="E109" s="14">
        <v>3396989.8900000006</v>
      </c>
      <c r="F109" s="14">
        <v>33312481.181260705</v>
      </c>
      <c r="G109" s="14">
        <v>865845.75000000012</v>
      </c>
      <c r="H109" s="14">
        <v>0</v>
      </c>
      <c r="I109" s="13">
        <f t="shared" si="1"/>
        <v>37575316.821260706</v>
      </c>
    </row>
    <row r="110" spans="1:9" ht="15.75" x14ac:dyDescent="0.25">
      <c r="A110" s="8"/>
      <c r="B110" s="8"/>
      <c r="C110" s="9"/>
      <c r="D110" s="12" t="s">
        <v>106</v>
      </c>
      <c r="E110" s="14">
        <v>2146152.9499999997</v>
      </c>
      <c r="F110" s="14">
        <v>7726260.5143295396</v>
      </c>
      <c r="G110" s="14">
        <v>1637882.09</v>
      </c>
      <c r="H110" s="14">
        <v>0</v>
      </c>
      <c r="I110" s="13">
        <f t="shared" si="1"/>
        <v>11510295.554329539</v>
      </c>
    </row>
    <row r="111" spans="1:9" ht="15.75" x14ac:dyDescent="0.25">
      <c r="A111" s="8"/>
      <c r="B111" s="8"/>
      <c r="C111" s="9"/>
      <c r="D111" s="12" t="s">
        <v>107</v>
      </c>
      <c r="E111" s="14">
        <v>107361.29000000001</v>
      </c>
      <c r="F111" s="14">
        <v>127721.12702528</v>
      </c>
      <c r="G111" s="14">
        <v>62872975.390000008</v>
      </c>
      <c r="H111" s="14">
        <v>0</v>
      </c>
      <c r="I111" s="13">
        <f t="shared" si="1"/>
        <v>63108057.807025291</v>
      </c>
    </row>
    <row r="112" spans="1:9" ht="15.75" x14ac:dyDescent="0.25">
      <c r="A112" s="8"/>
      <c r="B112" s="8"/>
      <c r="C112" s="9"/>
      <c r="D112" s="12" t="s">
        <v>108</v>
      </c>
      <c r="E112" s="14">
        <v>12819096.819999998</v>
      </c>
      <c r="F112" s="14">
        <v>8741608.7673525177</v>
      </c>
      <c r="G112" s="14">
        <v>4503551.1899999995</v>
      </c>
      <c r="H112" s="14">
        <v>0</v>
      </c>
      <c r="I112" s="13">
        <f t="shared" si="1"/>
        <v>26064256.777352512</v>
      </c>
    </row>
    <row r="113" spans="1:9" ht="15.75" x14ac:dyDescent="0.25">
      <c r="A113" s="8"/>
      <c r="B113" s="8"/>
      <c r="C113" s="9"/>
      <c r="D113" s="12" t="s">
        <v>109</v>
      </c>
      <c r="E113" s="14">
        <v>2955365.2799999993</v>
      </c>
      <c r="F113" s="14">
        <v>21047261.701614283</v>
      </c>
      <c r="G113" s="14">
        <v>2943153.68</v>
      </c>
      <c r="H113" s="14">
        <v>0</v>
      </c>
      <c r="I113" s="13">
        <f t="shared" si="1"/>
        <v>26945780.661614284</v>
      </c>
    </row>
    <row r="114" spans="1:9" ht="15.75" x14ac:dyDescent="0.25">
      <c r="A114" s="8"/>
      <c r="B114" s="8"/>
      <c r="C114" s="9"/>
      <c r="D114" s="12" t="s">
        <v>110</v>
      </c>
      <c r="E114" s="14">
        <v>11973174.159999998</v>
      </c>
      <c r="F114" s="14">
        <v>24140507.746757783</v>
      </c>
      <c r="G114" s="14">
        <v>4576908.21</v>
      </c>
      <c r="H114" s="14">
        <v>0</v>
      </c>
      <c r="I114" s="13">
        <f t="shared" si="1"/>
        <v>40690590.11675778</v>
      </c>
    </row>
    <row r="115" spans="1:9" ht="15.75" x14ac:dyDescent="0.25">
      <c r="A115" s="8"/>
      <c r="B115" s="8"/>
      <c r="C115" s="9"/>
      <c r="D115" s="12" t="s">
        <v>111</v>
      </c>
      <c r="E115" s="14">
        <v>32521427.029999997</v>
      </c>
      <c r="F115" s="14">
        <v>11935678.147824397</v>
      </c>
      <c r="G115" s="14">
        <v>5570047.5899999999</v>
      </c>
      <c r="H115" s="14">
        <v>0</v>
      </c>
      <c r="I115" s="13">
        <f t="shared" si="1"/>
        <v>50027152.767824396</v>
      </c>
    </row>
    <row r="116" spans="1:9" ht="15.75" x14ac:dyDescent="0.25">
      <c r="A116" s="8"/>
      <c r="B116" s="8"/>
      <c r="C116" s="9"/>
      <c r="D116" s="12" t="s">
        <v>112</v>
      </c>
      <c r="E116" s="14">
        <v>4957688.42</v>
      </c>
      <c r="F116" s="14">
        <v>15499722.314733639</v>
      </c>
      <c r="G116" s="14">
        <v>997890.19</v>
      </c>
      <c r="H116" s="14">
        <v>0</v>
      </c>
      <c r="I116" s="13">
        <f t="shared" si="1"/>
        <v>21455300.924733642</v>
      </c>
    </row>
    <row r="117" spans="1:9" ht="15.75" x14ac:dyDescent="0.25">
      <c r="A117" s="8"/>
      <c r="B117" s="8"/>
      <c r="C117" s="9"/>
      <c r="D117" s="12" t="s">
        <v>113</v>
      </c>
      <c r="E117" s="14">
        <v>3420750.1299999994</v>
      </c>
      <c r="F117" s="14">
        <v>11969343.77098052</v>
      </c>
      <c r="G117" s="14">
        <v>3392857.56</v>
      </c>
      <c r="H117" s="14">
        <v>0</v>
      </c>
      <c r="I117" s="13">
        <f t="shared" si="1"/>
        <v>18782951.46098052</v>
      </c>
    </row>
    <row r="118" spans="1:9" ht="15.75" x14ac:dyDescent="0.25">
      <c r="A118" s="8"/>
      <c r="B118" s="8"/>
      <c r="C118" s="9"/>
      <c r="D118" s="12" t="s">
        <v>114</v>
      </c>
      <c r="E118" s="14">
        <v>16750257.23</v>
      </c>
      <c r="F118" s="14">
        <v>18693791.695205517</v>
      </c>
      <c r="G118" s="14">
        <v>8410182.9900000021</v>
      </c>
      <c r="H118" s="14">
        <v>0</v>
      </c>
      <c r="I118" s="13">
        <f t="shared" si="1"/>
        <v>43854231.915205516</v>
      </c>
    </row>
    <row r="119" spans="1:9" ht="15.75" x14ac:dyDescent="0.25">
      <c r="A119" s="8"/>
      <c r="B119" s="8"/>
      <c r="C119" s="9"/>
      <c r="D119" s="12" t="s">
        <v>115</v>
      </c>
      <c r="E119" s="14">
        <v>5034684.3999999994</v>
      </c>
      <c r="F119" s="14">
        <v>1815514.1724707601</v>
      </c>
      <c r="G119" s="14">
        <v>2202284.0100000002</v>
      </c>
      <c r="H119" s="14">
        <v>0</v>
      </c>
      <c r="I119" s="13">
        <f t="shared" si="1"/>
        <v>9052482.5824707597</v>
      </c>
    </row>
    <row r="120" spans="1:9" ht="15.75" x14ac:dyDescent="0.25">
      <c r="A120" s="8"/>
      <c r="B120" s="8"/>
      <c r="C120" s="9"/>
      <c r="D120" s="12" t="s">
        <v>116</v>
      </c>
      <c r="E120" s="14">
        <v>11207440.880000001</v>
      </c>
      <c r="F120" s="14">
        <v>7934675.0164455194</v>
      </c>
      <c r="G120" s="14">
        <v>7003398.7600000007</v>
      </c>
      <c r="H120" s="14">
        <v>0</v>
      </c>
      <c r="I120" s="13">
        <f t="shared" si="1"/>
        <v>26145514.656445522</v>
      </c>
    </row>
    <row r="121" spans="1:9" ht="15.75" x14ac:dyDescent="0.25">
      <c r="A121" s="8"/>
      <c r="B121" s="8"/>
      <c r="C121" s="9"/>
      <c r="D121" s="12" t="s">
        <v>117</v>
      </c>
      <c r="E121" s="14">
        <v>4231439.03</v>
      </c>
      <c r="F121" s="14">
        <v>11774291.397643</v>
      </c>
      <c r="G121" s="14">
        <v>3631024.0299999993</v>
      </c>
      <c r="H121" s="14">
        <v>0</v>
      </c>
      <c r="I121" s="13">
        <f t="shared" si="1"/>
        <v>19636754.457643002</v>
      </c>
    </row>
    <row r="122" spans="1:9" ht="15.75" x14ac:dyDescent="0.25">
      <c r="A122" s="8"/>
      <c r="B122" s="8"/>
      <c r="C122" s="9"/>
      <c r="D122" s="12" t="s">
        <v>118</v>
      </c>
      <c r="E122" s="14">
        <v>8374730.2899999991</v>
      </c>
      <c r="F122" s="14">
        <v>8681218.8866394795</v>
      </c>
      <c r="G122" s="14">
        <v>4344284.7200000007</v>
      </c>
      <c r="H122" s="14">
        <v>0</v>
      </c>
      <c r="I122" s="13">
        <f t="shared" si="1"/>
        <v>21400233.896639481</v>
      </c>
    </row>
    <row r="123" spans="1:9" ht="15.75" x14ac:dyDescent="0.25">
      <c r="A123" s="8"/>
      <c r="B123" s="8"/>
      <c r="C123" s="9"/>
      <c r="D123" s="12" t="s">
        <v>119</v>
      </c>
      <c r="E123" s="14">
        <v>5787551.8199999994</v>
      </c>
      <c r="F123" s="14">
        <v>15950216.94212172</v>
      </c>
      <c r="G123" s="14">
        <v>1255913.6400000001</v>
      </c>
      <c r="H123" s="14">
        <v>0</v>
      </c>
      <c r="I123" s="13">
        <f t="shared" si="1"/>
        <v>22993682.402121719</v>
      </c>
    </row>
    <row r="124" spans="1:9" ht="15.75" x14ac:dyDescent="0.25">
      <c r="A124" s="8"/>
      <c r="B124" s="8"/>
      <c r="C124" s="9"/>
      <c r="D124" s="12" t="s">
        <v>120</v>
      </c>
      <c r="E124" s="14">
        <v>378983.98000000004</v>
      </c>
      <c r="F124" s="14">
        <v>0</v>
      </c>
      <c r="G124" s="14">
        <v>19739704.679999996</v>
      </c>
      <c r="H124" s="14">
        <v>1167283.5249999999</v>
      </c>
      <c r="I124" s="13">
        <f t="shared" si="1"/>
        <v>21285972.184999995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67405398.910000011</v>
      </c>
      <c r="H125" s="14">
        <v>493411.69500000001</v>
      </c>
      <c r="I125" s="13">
        <f t="shared" si="1"/>
        <v>67898810.605000004</v>
      </c>
    </row>
    <row r="126" spans="1:9" ht="15.75" x14ac:dyDescent="0.25">
      <c r="A126" s="8"/>
      <c r="B126" s="8"/>
      <c r="C126" s="9"/>
      <c r="D126" s="12" t="s">
        <v>122</v>
      </c>
      <c r="E126" s="14">
        <v>742.36</v>
      </c>
      <c r="F126" s="14">
        <v>0</v>
      </c>
      <c r="G126" s="14">
        <v>33751969.749999993</v>
      </c>
      <c r="H126" s="14">
        <v>0</v>
      </c>
      <c r="I126" s="13">
        <f t="shared" si="1"/>
        <v>33752712.109999992</v>
      </c>
    </row>
    <row r="127" spans="1:9" ht="15.75" x14ac:dyDescent="0.25">
      <c r="A127" s="8"/>
      <c r="B127" s="8"/>
      <c r="C127" s="9"/>
      <c r="D127" s="12" t="s">
        <v>123</v>
      </c>
      <c r="E127" s="14">
        <v>5227290.8</v>
      </c>
      <c r="F127" s="14">
        <v>3362223.9621125003</v>
      </c>
      <c r="G127" s="14">
        <v>18217628.270000003</v>
      </c>
      <c r="H127" s="14">
        <v>0</v>
      </c>
      <c r="I127" s="13">
        <f t="shared" si="1"/>
        <v>26807143.032112502</v>
      </c>
    </row>
    <row r="128" spans="1:9" ht="15.75" x14ac:dyDescent="0.25">
      <c r="A128" s="8"/>
      <c r="B128" s="8"/>
      <c r="C128" s="9"/>
      <c r="D128" s="12" t="s">
        <v>124</v>
      </c>
      <c r="E128" s="14">
        <v>5570885.7199999997</v>
      </c>
      <c r="F128" s="14">
        <v>10489965.227651019</v>
      </c>
      <c r="G128" s="14">
        <v>7931996.96</v>
      </c>
      <c r="H128" s="14">
        <v>0</v>
      </c>
      <c r="I128" s="13">
        <f t="shared" si="1"/>
        <v>23992847.907651018</v>
      </c>
    </row>
    <row r="129" spans="1:9" ht="15.75" x14ac:dyDescent="0.25">
      <c r="A129" s="8"/>
      <c r="B129" s="8"/>
      <c r="C129" s="9"/>
      <c r="D129" s="12" t="s">
        <v>125</v>
      </c>
      <c r="E129" s="14">
        <v>5888488.290000001</v>
      </c>
      <c r="F129" s="14">
        <v>5076914.7992548803</v>
      </c>
      <c r="G129" s="14">
        <v>7459805.3200000003</v>
      </c>
      <c r="H129" s="14">
        <v>0</v>
      </c>
      <c r="I129" s="13">
        <f t="shared" si="1"/>
        <v>18425208.409254882</v>
      </c>
    </row>
    <row r="130" spans="1:9" ht="15.75" x14ac:dyDescent="0.25">
      <c r="A130" s="8"/>
      <c r="B130" s="8"/>
      <c r="C130" s="9"/>
      <c r="D130" s="12" t="s">
        <v>126</v>
      </c>
      <c r="E130" s="14">
        <v>3438245.37</v>
      </c>
      <c r="F130" s="14">
        <v>8943428.9721492603</v>
      </c>
      <c r="G130" s="14">
        <v>1377792.55</v>
      </c>
      <c r="H130" s="14">
        <v>0</v>
      </c>
      <c r="I130" s="13">
        <f t="shared" si="1"/>
        <v>13759466.892149262</v>
      </c>
    </row>
    <row r="131" spans="1:9" ht="15.75" x14ac:dyDescent="0.25">
      <c r="A131" s="8"/>
      <c r="B131" s="8"/>
      <c r="C131" s="9"/>
      <c r="D131" s="12" t="s">
        <v>127</v>
      </c>
      <c r="E131" s="14">
        <v>25115488.210000005</v>
      </c>
      <c r="F131" s="14">
        <v>48879361.208166599</v>
      </c>
      <c r="G131" s="14">
        <v>37087769.899999991</v>
      </c>
      <c r="H131" s="14">
        <v>0</v>
      </c>
      <c r="I131" s="13">
        <f t="shared" si="1"/>
        <v>111082619.3181666</v>
      </c>
    </row>
    <row r="132" spans="1:9" ht="15.75" x14ac:dyDescent="0.25">
      <c r="A132" s="8"/>
      <c r="B132" s="8"/>
      <c r="C132" s="9"/>
      <c r="D132" s="12" t="s">
        <v>128</v>
      </c>
      <c r="E132" s="14">
        <v>2963864.46</v>
      </c>
      <c r="F132" s="14">
        <v>29990690.67376354</v>
      </c>
      <c r="G132" s="14">
        <v>121458.70999999998</v>
      </c>
      <c r="H132" s="14">
        <v>0</v>
      </c>
      <c r="I132" s="13">
        <f t="shared" si="1"/>
        <v>33076013.843763541</v>
      </c>
    </row>
    <row r="133" spans="1:9" ht="15.75" x14ac:dyDescent="0.25">
      <c r="A133" s="8"/>
      <c r="B133" s="8"/>
      <c r="C133" s="9"/>
      <c r="D133" s="12" t="s">
        <v>129</v>
      </c>
      <c r="E133" s="14">
        <v>4063150.58</v>
      </c>
      <c r="F133" s="14">
        <v>0</v>
      </c>
      <c r="G133" s="14">
        <v>51600713.789999992</v>
      </c>
      <c r="H133" s="14">
        <v>1409336.9450000003</v>
      </c>
      <c r="I133" s="13">
        <f t="shared" si="1"/>
        <v>57073201.31499999</v>
      </c>
    </row>
    <row r="134" spans="1:9" ht="15.75" x14ac:dyDescent="0.25">
      <c r="A134" s="8"/>
      <c r="B134" s="8"/>
      <c r="C134" s="9"/>
      <c r="D134" s="12" t="s">
        <v>130</v>
      </c>
      <c r="E134" s="14">
        <v>656597.44999999995</v>
      </c>
      <c r="F134" s="14">
        <v>1479378.5433295001</v>
      </c>
      <c r="G134" s="14">
        <v>58183.66</v>
      </c>
      <c r="H134" s="14">
        <v>0</v>
      </c>
      <c r="I134" s="13">
        <f t="shared" si="1"/>
        <v>2194159.6533295</v>
      </c>
    </row>
    <row r="135" spans="1:9" ht="15.75" x14ac:dyDescent="0.25">
      <c r="A135" s="8"/>
      <c r="B135" s="8"/>
      <c r="C135" s="9"/>
      <c r="D135" s="12" t="s">
        <v>131</v>
      </c>
      <c r="E135" s="14">
        <v>4786834.03</v>
      </c>
      <c r="F135" s="14">
        <v>18693791.695205517</v>
      </c>
      <c r="G135" s="14">
        <v>743033.16999999993</v>
      </c>
      <c r="H135" s="14">
        <v>0</v>
      </c>
      <c r="I135" s="13">
        <f t="shared" si="1"/>
        <v>24223658.89520552</v>
      </c>
    </row>
    <row r="136" spans="1:9" ht="15.75" x14ac:dyDescent="0.25">
      <c r="A136" s="8"/>
      <c r="B136" s="8"/>
      <c r="C136" s="9"/>
      <c r="D136" s="12" t="s">
        <v>132</v>
      </c>
      <c r="E136" s="14">
        <v>16256709.850000001</v>
      </c>
      <c r="F136" s="14">
        <v>22593797.957116038</v>
      </c>
      <c r="G136" s="14">
        <v>13186567.449999997</v>
      </c>
      <c r="H136" s="14">
        <v>0</v>
      </c>
      <c r="I136" s="13">
        <f t="shared" si="1"/>
        <v>52037075.257116035</v>
      </c>
    </row>
    <row r="137" spans="1:9" ht="15.75" x14ac:dyDescent="0.25">
      <c r="A137" s="8"/>
      <c r="B137" s="8"/>
      <c r="C137" s="9"/>
      <c r="D137" s="12" t="s">
        <v>133</v>
      </c>
      <c r="E137" s="14">
        <v>18396564.410000004</v>
      </c>
      <c r="F137" s="14">
        <v>35524694.397725746</v>
      </c>
      <c r="G137" s="14">
        <v>15721075.99</v>
      </c>
      <c r="H137" s="14">
        <v>0</v>
      </c>
      <c r="I137" s="13">
        <f t="shared" si="1"/>
        <v>69642334.797725752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38856659.139999993</v>
      </c>
      <c r="H138" s="14">
        <v>0</v>
      </c>
      <c r="I138" s="13">
        <f t="shared" ref="I138:I144" si="2">SUM(E138:H138)</f>
        <v>38856659.139999993</v>
      </c>
    </row>
    <row r="139" spans="1:9" ht="15.75" x14ac:dyDescent="0.25">
      <c r="A139" s="8"/>
      <c r="B139" s="8"/>
      <c r="C139" s="9"/>
      <c r="D139" s="12" t="s">
        <v>135</v>
      </c>
      <c r="E139" s="14">
        <v>1607753.31</v>
      </c>
      <c r="F139" s="14">
        <v>5318994.9245269801</v>
      </c>
      <c r="G139" s="14">
        <v>1916306.33</v>
      </c>
      <c r="H139" s="14">
        <v>0</v>
      </c>
      <c r="I139" s="13">
        <f t="shared" si="2"/>
        <v>8843054.5645269807</v>
      </c>
    </row>
    <row r="140" spans="1:9" ht="15.75" x14ac:dyDescent="0.25">
      <c r="A140" s="8"/>
      <c r="B140" s="8"/>
      <c r="C140" s="9"/>
      <c r="D140" s="12" t="s">
        <v>136</v>
      </c>
      <c r="E140" s="14">
        <v>15377651.789999999</v>
      </c>
      <c r="F140" s="14">
        <v>37723719.019552298</v>
      </c>
      <c r="G140" s="14">
        <v>7057753.2200000007</v>
      </c>
      <c r="H140" s="14">
        <v>0</v>
      </c>
      <c r="I140" s="13">
        <f t="shared" si="2"/>
        <v>60159124.029552296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43969913.18</v>
      </c>
      <c r="H141" s="14">
        <v>50657.1</v>
      </c>
      <c r="I141" s="13">
        <f t="shared" si="2"/>
        <v>44020570.280000001</v>
      </c>
    </row>
    <row r="142" spans="1:9" ht="15.75" x14ac:dyDescent="0.25">
      <c r="A142" s="8"/>
      <c r="B142" s="8"/>
      <c r="C142" s="9"/>
      <c r="D142" s="12" t="s">
        <v>138</v>
      </c>
      <c r="E142" s="14">
        <v>44672.84</v>
      </c>
      <c r="F142" s="14">
        <v>0</v>
      </c>
      <c r="G142" s="14">
        <v>6296564.3000000007</v>
      </c>
      <c r="H142" s="14">
        <v>0</v>
      </c>
      <c r="I142" s="13">
        <f t="shared" si="2"/>
        <v>6341237.1400000006</v>
      </c>
    </row>
    <row r="143" spans="1:9" ht="15.75" x14ac:dyDescent="0.25">
      <c r="A143" s="8"/>
      <c r="B143" s="8"/>
      <c r="C143" s="9"/>
      <c r="D143" s="12" t="s">
        <v>139</v>
      </c>
      <c r="E143" s="14">
        <v>923967.2799999998</v>
      </c>
      <c r="F143" s="14">
        <v>34865785.268221684</v>
      </c>
      <c r="G143" s="14">
        <v>465929.72999999992</v>
      </c>
      <c r="H143" s="14">
        <v>0</v>
      </c>
      <c r="I143" s="13">
        <f t="shared" si="2"/>
        <v>36255682.278221682</v>
      </c>
    </row>
    <row r="144" spans="1:9" ht="15.75" x14ac:dyDescent="0.25">
      <c r="A144" s="8"/>
      <c r="B144" s="8"/>
      <c r="C144" s="9"/>
      <c r="D144" s="12" t="s">
        <v>140</v>
      </c>
      <c r="E144" s="14">
        <v>6415988.1199999992</v>
      </c>
      <c r="F144" s="14">
        <v>4236315.4251917601</v>
      </c>
      <c r="G144" s="14">
        <v>14250131.390000001</v>
      </c>
      <c r="H144" s="14">
        <v>0</v>
      </c>
      <c r="I144" s="13">
        <f t="shared" si="2"/>
        <v>24902434.935191758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1007116523.8000002</v>
      </c>
      <c r="F145" s="22">
        <f>SUM(F10:F144)</f>
        <v>1735260879.9590492</v>
      </c>
      <c r="G145" s="22">
        <f>SUM(G10:G144)</f>
        <v>2148544780.7500014</v>
      </c>
      <c r="H145" s="22">
        <f>SUM(H10:H144)</f>
        <v>3120689.2650000001</v>
      </c>
      <c r="I145" s="22">
        <f>SUM(I10:I144)</f>
        <v>4894042873.7740488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" style="2" customWidth="1"/>
    <col min="10" max="10" width="15.83203125" style="2" bestFit="1" customWidth="1"/>
    <col min="11" max="14" width="12" style="2"/>
    <col min="15" max="15" width="12" style="2" customWidth="1"/>
    <col min="16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49928405.679999992</v>
      </c>
      <c r="F10" s="14">
        <v>54951797.950170383</v>
      </c>
      <c r="G10" s="14">
        <v>1766418.0099999998</v>
      </c>
      <c r="H10" s="14">
        <v>0</v>
      </c>
      <c r="I10" s="13">
        <f t="shared" ref="I10:I73" si="0">SUM(E10:H10)</f>
        <v>106646621.64017038</v>
      </c>
    </row>
    <row r="11" spans="1:9" ht="15.75" x14ac:dyDescent="0.25">
      <c r="A11" s="8"/>
      <c r="B11" s="8"/>
      <c r="C11" s="9"/>
      <c r="D11" s="12" t="s">
        <v>7</v>
      </c>
      <c r="E11" s="14">
        <v>91437234.290000021</v>
      </c>
      <c r="F11" s="14">
        <v>30843096.470700532</v>
      </c>
      <c r="G11" s="14">
        <v>1219596.03</v>
      </c>
      <c r="H11" s="14">
        <v>0</v>
      </c>
      <c r="I11" s="13">
        <f t="shared" si="0"/>
        <v>123499926.79070055</v>
      </c>
    </row>
    <row r="12" spans="1:9" ht="15.75" x14ac:dyDescent="0.25">
      <c r="A12" s="8"/>
      <c r="B12" s="8"/>
      <c r="C12" s="9"/>
      <c r="D12" s="12" t="s">
        <v>8</v>
      </c>
      <c r="E12" s="14">
        <v>66360091.319999985</v>
      </c>
      <c r="F12" s="14">
        <v>11181665.773839373</v>
      </c>
      <c r="G12" s="14">
        <v>1573684.7300000002</v>
      </c>
      <c r="H12" s="14">
        <v>0</v>
      </c>
      <c r="I12" s="13">
        <f t="shared" si="0"/>
        <v>79115441.823839366</v>
      </c>
    </row>
    <row r="13" spans="1:9" ht="15.75" x14ac:dyDescent="0.25">
      <c r="A13" s="8"/>
      <c r="B13" s="8"/>
      <c r="C13" s="9"/>
      <c r="D13" s="12" t="s">
        <v>9</v>
      </c>
      <c r="E13" s="14">
        <v>9878659.1699999999</v>
      </c>
      <c r="F13" s="14">
        <v>295687.39768789208</v>
      </c>
      <c r="G13" s="14">
        <v>28845030.170000002</v>
      </c>
      <c r="H13" s="14">
        <v>0</v>
      </c>
      <c r="I13" s="13">
        <f t="shared" si="0"/>
        <v>39019376.737687893</v>
      </c>
    </row>
    <row r="14" spans="1:9" ht="15.75" x14ac:dyDescent="0.25">
      <c r="A14" s="8"/>
      <c r="B14" s="8"/>
      <c r="C14" s="9"/>
      <c r="D14" s="12" t="s">
        <v>10</v>
      </c>
      <c r="E14" s="14">
        <v>129923254.08999999</v>
      </c>
      <c r="F14" s="14">
        <v>12423959.986844786</v>
      </c>
      <c r="G14" s="14">
        <v>2283603.5700000003</v>
      </c>
      <c r="H14" s="14">
        <v>0</v>
      </c>
      <c r="I14" s="13">
        <f t="shared" si="0"/>
        <v>144630817.64684477</v>
      </c>
    </row>
    <row r="15" spans="1:9" ht="15.75" x14ac:dyDescent="0.25">
      <c r="A15" s="8"/>
      <c r="B15" s="8"/>
      <c r="C15" s="9"/>
      <c r="D15" s="12" t="s">
        <v>11</v>
      </c>
      <c r="E15" s="14">
        <v>838141.34999999986</v>
      </c>
      <c r="F15" s="14">
        <v>68959.797567486021</v>
      </c>
      <c r="G15" s="14">
        <v>25743893.010000002</v>
      </c>
      <c r="H15" s="14">
        <v>0</v>
      </c>
      <c r="I15" s="13">
        <f t="shared" si="0"/>
        <v>26650994.157567486</v>
      </c>
    </row>
    <row r="16" spans="1:9" ht="15.75" x14ac:dyDescent="0.25">
      <c r="A16" s="8"/>
      <c r="B16" s="8"/>
      <c r="C16" s="9"/>
      <c r="D16" s="12" t="s">
        <v>12</v>
      </c>
      <c r="E16" s="14">
        <v>139215455.12</v>
      </c>
      <c r="F16" s="14">
        <v>59241046.466028467</v>
      </c>
      <c r="G16" s="14">
        <v>2452235.6</v>
      </c>
      <c r="H16" s="14">
        <v>0</v>
      </c>
      <c r="I16" s="13">
        <f t="shared" si="0"/>
        <v>200908737.18602845</v>
      </c>
    </row>
    <row r="17" spans="1:9" ht="15.75" x14ac:dyDescent="0.25">
      <c r="A17" s="8"/>
      <c r="B17" s="8"/>
      <c r="C17" s="9"/>
      <c r="D17" s="12" t="s">
        <v>13</v>
      </c>
      <c r="E17" s="14">
        <v>326721559.93000007</v>
      </c>
      <c r="F17" s="14">
        <v>54429128.488164417</v>
      </c>
      <c r="G17" s="14">
        <v>7014179.4300000006</v>
      </c>
      <c r="H17" s="14">
        <v>0</v>
      </c>
      <c r="I17" s="13">
        <f t="shared" si="0"/>
        <v>388164867.8481645</v>
      </c>
    </row>
    <row r="18" spans="1:9" ht="15.75" x14ac:dyDescent="0.25">
      <c r="A18" s="8"/>
      <c r="B18" s="8"/>
      <c r="C18" s="9"/>
      <c r="D18" s="12" t="s">
        <v>14</v>
      </c>
      <c r="E18" s="14">
        <v>31396853.609999999</v>
      </c>
      <c r="F18" s="14">
        <v>4437092.2147020428</v>
      </c>
      <c r="G18" s="14">
        <v>33744199.729999997</v>
      </c>
      <c r="H18" s="14">
        <v>0</v>
      </c>
      <c r="I18" s="13">
        <f t="shared" si="0"/>
        <v>69578145.554702044</v>
      </c>
    </row>
    <row r="19" spans="1:9" ht="15.75" x14ac:dyDescent="0.25">
      <c r="A19" s="8"/>
      <c r="B19" s="8"/>
      <c r="C19" s="9"/>
      <c r="D19" s="12" t="s">
        <v>15</v>
      </c>
      <c r="E19" s="14">
        <v>291069073</v>
      </c>
      <c r="F19" s="14">
        <v>42350221.953354716</v>
      </c>
      <c r="G19" s="14">
        <v>10426749.890000001</v>
      </c>
      <c r="H19" s="14">
        <v>0</v>
      </c>
      <c r="I19" s="13">
        <f t="shared" si="0"/>
        <v>343846044.8433547</v>
      </c>
    </row>
    <row r="20" spans="1:9" ht="15.75" x14ac:dyDescent="0.25">
      <c r="A20" s="8"/>
      <c r="B20" s="8"/>
      <c r="C20" s="9"/>
      <c r="D20" s="12" t="s">
        <v>16</v>
      </c>
      <c r="E20" s="14">
        <v>104303793.57999998</v>
      </c>
      <c r="F20" s="14">
        <v>10540670.459918721</v>
      </c>
      <c r="G20" s="14">
        <v>2616307.7000000002</v>
      </c>
      <c r="H20" s="14">
        <v>0</v>
      </c>
      <c r="I20" s="13">
        <f t="shared" si="0"/>
        <v>117460771.73991871</v>
      </c>
    </row>
    <row r="21" spans="1:9" ht="15.75" x14ac:dyDescent="0.25">
      <c r="A21" s="8"/>
      <c r="B21" s="8"/>
      <c r="C21" s="9"/>
      <c r="D21" s="12" t="s">
        <v>17</v>
      </c>
      <c r="E21" s="14">
        <v>141726967.15000001</v>
      </c>
      <c r="F21" s="14">
        <v>50662549.434312284</v>
      </c>
      <c r="G21" s="14">
        <v>1825584.67</v>
      </c>
      <c r="H21" s="14">
        <v>0</v>
      </c>
      <c r="I21" s="13">
        <f t="shared" si="0"/>
        <v>194215101.25431228</v>
      </c>
    </row>
    <row r="22" spans="1:9" ht="15.75" x14ac:dyDescent="0.25">
      <c r="A22" s="8"/>
      <c r="B22" s="8"/>
      <c r="C22" s="9"/>
      <c r="D22" s="12" t="s">
        <v>18</v>
      </c>
      <c r="E22" s="14">
        <v>5328517.04</v>
      </c>
      <c r="F22" s="14">
        <v>2169307.2851026505</v>
      </c>
      <c r="G22" s="14">
        <v>15425584.640000002</v>
      </c>
      <c r="H22" s="14">
        <v>0</v>
      </c>
      <c r="I22" s="13">
        <f t="shared" si="0"/>
        <v>22923408.965102654</v>
      </c>
    </row>
    <row r="23" spans="1:9" ht="15.75" x14ac:dyDescent="0.25">
      <c r="A23" s="8"/>
      <c r="B23" s="8"/>
      <c r="C23" s="9"/>
      <c r="D23" s="12" t="s">
        <v>19</v>
      </c>
      <c r="E23" s="14">
        <v>5762116.2700000005</v>
      </c>
      <c r="F23" s="14">
        <v>808432.75598488213</v>
      </c>
      <c r="G23" s="14">
        <v>7504843.8000000007</v>
      </c>
      <c r="H23" s="14">
        <v>0</v>
      </c>
      <c r="I23" s="13">
        <f t="shared" si="0"/>
        <v>14075392.825984884</v>
      </c>
    </row>
    <row r="24" spans="1:9" ht="15.75" x14ac:dyDescent="0.25">
      <c r="A24" s="8"/>
      <c r="B24" s="8"/>
      <c r="C24" s="9"/>
      <c r="D24" s="12" t="s">
        <v>20</v>
      </c>
      <c r="E24" s="14">
        <v>135596492.69999999</v>
      </c>
      <c r="F24" s="14">
        <v>31070078.535018608</v>
      </c>
      <c r="G24" s="14">
        <v>3683595.01</v>
      </c>
      <c r="H24" s="14">
        <v>0</v>
      </c>
      <c r="I24" s="13">
        <f t="shared" si="0"/>
        <v>170350166.2450186</v>
      </c>
    </row>
    <row r="25" spans="1:9" ht="15.75" x14ac:dyDescent="0.25">
      <c r="A25" s="8"/>
      <c r="B25" s="8"/>
      <c r="C25" s="9"/>
      <c r="D25" s="12" t="s">
        <v>21</v>
      </c>
      <c r="E25" s="14">
        <v>111306780.51000001</v>
      </c>
      <c r="F25" s="14">
        <v>23073286.659166887</v>
      </c>
      <c r="G25" s="14">
        <v>4835678.2300000004</v>
      </c>
      <c r="H25" s="14">
        <v>0</v>
      </c>
      <c r="I25" s="13">
        <f t="shared" si="0"/>
        <v>139215745.39916688</v>
      </c>
    </row>
    <row r="26" spans="1:9" ht="15.75" x14ac:dyDescent="0.25">
      <c r="A26" s="8"/>
      <c r="B26" s="8"/>
      <c r="C26" s="9"/>
      <c r="D26" s="12" t="s">
        <v>22</v>
      </c>
      <c r="E26" s="14">
        <v>50793020.769999996</v>
      </c>
      <c r="F26" s="14">
        <v>13212798.999609387</v>
      </c>
      <c r="G26" s="14">
        <v>2554308.17</v>
      </c>
      <c r="H26" s="14">
        <v>0</v>
      </c>
      <c r="I26" s="13">
        <f t="shared" si="0"/>
        <v>66560127.939609386</v>
      </c>
    </row>
    <row r="27" spans="1:9" ht="15.75" x14ac:dyDescent="0.25">
      <c r="A27" s="8"/>
      <c r="B27" s="8"/>
      <c r="C27" s="9"/>
      <c r="D27" s="12" t="s">
        <v>23</v>
      </c>
      <c r="E27" s="14">
        <v>31994318.949999999</v>
      </c>
      <c r="F27" s="14">
        <v>2267784.9295993922</v>
      </c>
      <c r="G27" s="14">
        <v>9059797.1699999999</v>
      </c>
      <c r="H27" s="14">
        <v>0</v>
      </c>
      <c r="I27" s="13">
        <f t="shared" si="0"/>
        <v>43321901.049599394</v>
      </c>
    </row>
    <row r="28" spans="1:9" ht="15.75" x14ac:dyDescent="0.25">
      <c r="A28" s="8"/>
      <c r="B28" s="8"/>
      <c r="C28" s="9"/>
      <c r="D28" s="12" t="s">
        <v>24</v>
      </c>
      <c r="E28" s="14">
        <v>42045961.210000001</v>
      </c>
      <c r="F28" s="14">
        <v>10747804.316818845</v>
      </c>
      <c r="G28" s="14">
        <v>3626411.5999999996</v>
      </c>
      <c r="H28" s="14">
        <v>0</v>
      </c>
      <c r="I28" s="13">
        <f t="shared" si="0"/>
        <v>56420177.126818843</v>
      </c>
    </row>
    <row r="29" spans="1:9" ht="15.75" x14ac:dyDescent="0.25">
      <c r="A29" s="8"/>
      <c r="B29" s="8"/>
      <c r="C29" s="9"/>
      <c r="D29" s="12" t="s">
        <v>25</v>
      </c>
      <c r="E29" s="14">
        <v>52601378.689999998</v>
      </c>
      <c r="F29" s="14">
        <v>6014770.240231242</v>
      </c>
      <c r="G29" s="14">
        <v>1287280.24</v>
      </c>
      <c r="H29" s="14">
        <v>0</v>
      </c>
      <c r="I29" s="13">
        <f t="shared" si="0"/>
        <v>59903429.170231245</v>
      </c>
    </row>
    <row r="30" spans="1:9" ht="15.75" x14ac:dyDescent="0.25">
      <c r="A30" s="8"/>
      <c r="B30" s="8"/>
      <c r="C30" s="9"/>
      <c r="D30" s="12" t="s">
        <v>26</v>
      </c>
      <c r="E30" s="14">
        <v>101724543.56999999</v>
      </c>
      <c r="F30" s="14">
        <v>32440622.703647681</v>
      </c>
      <c r="G30" s="14">
        <v>2269529.1699999995</v>
      </c>
      <c r="H30" s="14">
        <v>0</v>
      </c>
      <c r="I30" s="13">
        <f t="shared" si="0"/>
        <v>136434695.44364765</v>
      </c>
    </row>
    <row r="31" spans="1:9" ht="15.75" x14ac:dyDescent="0.25">
      <c r="A31" s="8"/>
      <c r="B31" s="8"/>
      <c r="C31" s="9"/>
      <c r="D31" s="12" t="s">
        <v>27</v>
      </c>
      <c r="E31" s="14">
        <v>109935551.77999999</v>
      </c>
      <c r="F31" s="14">
        <v>33623881.222794585</v>
      </c>
      <c r="G31" s="14">
        <v>3149938.8400000003</v>
      </c>
      <c r="H31" s="14">
        <v>0</v>
      </c>
      <c r="I31" s="13">
        <f t="shared" si="0"/>
        <v>146709371.84279457</v>
      </c>
    </row>
    <row r="32" spans="1:9" ht="15.75" x14ac:dyDescent="0.25">
      <c r="A32" s="8"/>
      <c r="B32" s="8"/>
      <c r="C32" s="9"/>
      <c r="D32" s="12" t="s">
        <v>28</v>
      </c>
      <c r="E32" s="14">
        <v>94873385.800000012</v>
      </c>
      <c r="F32" s="14">
        <v>11349357.680101268</v>
      </c>
      <c r="G32" s="14">
        <v>1321453.5300000003</v>
      </c>
      <c r="H32" s="14">
        <v>0</v>
      </c>
      <c r="I32" s="13">
        <f t="shared" si="0"/>
        <v>107544197.01010129</v>
      </c>
    </row>
    <row r="33" spans="1:9" ht="15.75" x14ac:dyDescent="0.25">
      <c r="A33" s="8"/>
      <c r="B33" s="8"/>
      <c r="C33" s="9"/>
      <c r="D33" s="12" t="s">
        <v>29</v>
      </c>
      <c r="E33" s="14">
        <v>25523605.190000005</v>
      </c>
      <c r="F33" s="14">
        <v>17156994.063432384</v>
      </c>
      <c r="G33" s="14">
        <v>804554.59000000008</v>
      </c>
      <c r="H33" s="14">
        <v>0</v>
      </c>
      <c r="I33" s="13">
        <f t="shared" si="0"/>
        <v>43485153.843432397</v>
      </c>
    </row>
    <row r="34" spans="1:9" ht="15.75" x14ac:dyDescent="0.25">
      <c r="A34" s="8"/>
      <c r="B34" s="8"/>
      <c r="C34" s="9"/>
      <c r="D34" s="12" t="s">
        <v>30</v>
      </c>
      <c r="E34" s="14">
        <v>266128515.84999999</v>
      </c>
      <c r="F34" s="14">
        <v>24621192.373569168</v>
      </c>
      <c r="G34" s="14">
        <v>4609334.580000001</v>
      </c>
      <c r="H34" s="14">
        <v>0</v>
      </c>
      <c r="I34" s="13">
        <f t="shared" si="0"/>
        <v>295359042.80356914</v>
      </c>
    </row>
    <row r="35" spans="1:9" ht="15.75" x14ac:dyDescent="0.25">
      <c r="A35" s="8"/>
      <c r="B35" s="8"/>
      <c r="C35" s="9"/>
      <c r="D35" s="12" t="s">
        <v>31</v>
      </c>
      <c r="E35" s="14">
        <v>93479344.729999989</v>
      </c>
      <c r="F35" s="14">
        <v>36197277.653790839</v>
      </c>
      <c r="G35" s="14">
        <v>3598704.01</v>
      </c>
      <c r="H35" s="14">
        <v>0</v>
      </c>
      <c r="I35" s="13">
        <f t="shared" si="0"/>
        <v>133275326.39379083</v>
      </c>
    </row>
    <row r="36" spans="1:9" ht="15.75" x14ac:dyDescent="0.25">
      <c r="A36" s="8"/>
      <c r="B36" s="8"/>
      <c r="C36" s="9"/>
      <c r="D36" s="12" t="s">
        <v>32</v>
      </c>
      <c r="E36" s="14">
        <v>111141600.64000002</v>
      </c>
      <c r="F36" s="14">
        <v>22461809.192175489</v>
      </c>
      <c r="G36" s="14">
        <v>6006240.0099999998</v>
      </c>
      <c r="H36" s="14">
        <v>0</v>
      </c>
      <c r="I36" s="13">
        <f t="shared" si="0"/>
        <v>139609649.84217551</v>
      </c>
    </row>
    <row r="37" spans="1:9" ht="15.75" x14ac:dyDescent="0.25">
      <c r="A37" s="8"/>
      <c r="B37" s="8"/>
      <c r="C37" s="9"/>
      <c r="D37" s="12" t="s">
        <v>33</v>
      </c>
      <c r="E37" s="14">
        <v>106678769.26000001</v>
      </c>
      <c r="F37" s="14">
        <v>12423959.986844786</v>
      </c>
      <c r="G37" s="14">
        <v>2195109.65</v>
      </c>
      <c r="H37" s="14">
        <v>0</v>
      </c>
      <c r="I37" s="13">
        <f t="shared" si="0"/>
        <v>121297838.8968448</v>
      </c>
    </row>
    <row r="38" spans="1:9" ht="15.75" x14ac:dyDescent="0.25">
      <c r="A38" s="8"/>
      <c r="B38" s="8"/>
      <c r="C38" s="9"/>
      <c r="D38" s="12" t="s">
        <v>34</v>
      </c>
      <c r="E38" s="14">
        <v>86735863.640000001</v>
      </c>
      <c r="F38" s="14">
        <v>26997633.515571941</v>
      </c>
      <c r="G38" s="14">
        <v>2673154.4500000002</v>
      </c>
      <c r="H38" s="14">
        <v>0</v>
      </c>
      <c r="I38" s="13">
        <f t="shared" si="0"/>
        <v>116406651.60557194</v>
      </c>
    </row>
    <row r="39" spans="1:9" ht="15.75" x14ac:dyDescent="0.25">
      <c r="A39" s="8"/>
      <c r="B39" s="8"/>
      <c r="C39" s="9"/>
      <c r="D39" s="12" t="s">
        <v>35</v>
      </c>
      <c r="E39" s="14">
        <v>72701584.749999985</v>
      </c>
      <c r="F39" s="14">
        <v>42271338.052078255</v>
      </c>
      <c r="G39" s="14">
        <v>2520657.34</v>
      </c>
      <c r="H39" s="14">
        <v>0</v>
      </c>
      <c r="I39" s="13">
        <f t="shared" si="0"/>
        <v>117493580.14207825</v>
      </c>
    </row>
    <row r="40" spans="1:9" ht="15.75" x14ac:dyDescent="0.25">
      <c r="A40" s="8"/>
      <c r="B40" s="8"/>
      <c r="C40" s="9"/>
      <c r="D40" s="12" t="s">
        <v>36</v>
      </c>
      <c r="E40" s="14">
        <v>7027192.7599999998</v>
      </c>
      <c r="F40" s="14">
        <v>2218673.3394498546</v>
      </c>
      <c r="G40" s="14">
        <v>68845.659999999989</v>
      </c>
      <c r="H40" s="14">
        <v>0</v>
      </c>
      <c r="I40" s="13">
        <f t="shared" si="0"/>
        <v>9314711.7594498545</v>
      </c>
    </row>
    <row r="41" spans="1:9" ht="15.75" x14ac:dyDescent="0.25">
      <c r="A41" s="8"/>
      <c r="B41" s="8"/>
      <c r="C41" s="9"/>
      <c r="D41" s="12" t="s">
        <v>37</v>
      </c>
      <c r="E41" s="14">
        <v>128940111.98</v>
      </c>
      <c r="F41" s="14">
        <v>37074924.671540871</v>
      </c>
      <c r="G41" s="14">
        <v>4073506.9099999997</v>
      </c>
      <c r="H41" s="14">
        <v>0</v>
      </c>
      <c r="I41" s="13">
        <f t="shared" si="0"/>
        <v>170088543.56154087</v>
      </c>
    </row>
    <row r="42" spans="1:9" ht="15.75" x14ac:dyDescent="0.25">
      <c r="A42" s="8"/>
      <c r="B42" s="8"/>
      <c r="C42" s="9"/>
      <c r="D42" s="12" t="s">
        <v>38</v>
      </c>
      <c r="E42" s="14">
        <v>117700317.48000003</v>
      </c>
      <c r="F42" s="14">
        <v>40151396.821322814</v>
      </c>
      <c r="G42" s="14">
        <v>1345404.74</v>
      </c>
      <c r="H42" s="14">
        <v>0</v>
      </c>
      <c r="I42" s="13">
        <f t="shared" si="0"/>
        <v>159197119.04132286</v>
      </c>
    </row>
    <row r="43" spans="1:9" ht="15.75" x14ac:dyDescent="0.25">
      <c r="A43" s="8"/>
      <c r="B43" s="8"/>
      <c r="C43" s="9"/>
      <c r="D43" s="12" t="s">
        <v>39</v>
      </c>
      <c r="E43" s="14">
        <v>25139502.030000001</v>
      </c>
      <c r="F43" s="14">
        <v>14603191.375656411</v>
      </c>
      <c r="G43" s="14">
        <v>2954139.91</v>
      </c>
      <c r="H43" s="14">
        <v>0</v>
      </c>
      <c r="I43" s="13">
        <f t="shared" si="0"/>
        <v>42696833.315656409</v>
      </c>
    </row>
    <row r="44" spans="1:9" ht="15.75" x14ac:dyDescent="0.25">
      <c r="A44" s="8"/>
      <c r="B44" s="8"/>
      <c r="C44" s="9"/>
      <c r="D44" s="12" t="s">
        <v>40</v>
      </c>
      <c r="E44" s="14">
        <v>82585.290000000008</v>
      </c>
      <c r="F44" s="14">
        <v>1123968.3610907223</v>
      </c>
      <c r="G44" s="14">
        <v>4208509.0199999996</v>
      </c>
      <c r="H44" s="14">
        <v>0</v>
      </c>
      <c r="I44" s="13">
        <f t="shared" si="0"/>
        <v>5415062.6710907221</v>
      </c>
    </row>
    <row r="45" spans="1:9" ht="15.75" x14ac:dyDescent="0.25">
      <c r="A45" s="8"/>
      <c r="B45" s="8"/>
      <c r="C45" s="9"/>
      <c r="D45" s="12" t="s">
        <v>41</v>
      </c>
      <c r="E45" s="14">
        <v>49754254.249999993</v>
      </c>
      <c r="F45" s="14">
        <v>325459.70881481405</v>
      </c>
      <c r="G45" s="14">
        <v>9473008.0200000014</v>
      </c>
      <c r="H45" s="14">
        <v>0</v>
      </c>
      <c r="I45" s="13">
        <f t="shared" si="0"/>
        <v>59552721.978814811</v>
      </c>
    </row>
    <row r="46" spans="1:9" ht="15.75" x14ac:dyDescent="0.25">
      <c r="A46" s="8"/>
      <c r="B46" s="8"/>
      <c r="C46" s="9"/>
      <c r="D46" s="12" t="s">
        <v>42</v>
      </c>
      <c r="E46" s="14">
        <v>6282769.7199999997</v>
      </c>
      <c r="F46" s="14">
        <v>1084526.4104524923</v>
      </c>
      <c r="G46" s="14">
        <v>15011663.550000001</v>
      </c>
      <c r="H46" s="14">
        <v>0</v>
      </c>
      <c r="I46" s="13">
        <f t="shared" si="0"/>
        <v>22378959.680452492</v>
      </c>
    </row>
    <row r="47" spans="1:9" ht="15.75" x14ac:dyDescent="0.25">
      <c r="A47" s="8"/>
      <c r="B47" s="8"/>
      <c r="C47" s="9"/>
      <c r="D47" s="12" t="s">
        <v>43</v>
      </c>
      <c r="E47" s="14">
        <v>53238256.379999995</v>
      </c>
      <c r="F47" s="14">
        <v>6882493.154272303</v>
      </c>
      <c r="G47" s="14">
        <v>2031454.7299999997</v>
      </c>
      <c r="H47" s="14">
        <v>0</v>
      </c>
      <c r="I47" s="13">
        <f t="shared" si="0"/>
        <v>62152204.264272295</v>
      </c>
    </row>
    <row r="48" spans="1:9" ht="15.75" x14ac:dyDescent="0.25">
      <c r="A48" s="8"/>
      <c r="B48" s="8"/>
      <c r="C48" s="9"/>
      <c r="D48" s="12" t="s">
        <v>44</v>
      </c>
      <c r="E48" s="14">
        <v>19249222.139999997</v>
      </c>
      <c r="F48" s="14">
        <v>1084526.4104524923</v>
      </c>
      <c r="G48" s="14">
        <v>8678973.3699999992</v>
      </c>
      <c r="H48" s="14">
        <v>0</v>
      </c>
      <c r="I48" s="13">
        <f t="shared" si="0"/>
        <v>29012721.92045249</v>
      </c>
    </row>
    <row r="49" spans="1:9" ht="15.75" x14ac:dyDescent="0.25">
      <c r="A49" s="8"/>
      <c r="B49" s="8"/>
      <c r="C49" s="9"/>
      <c r="D49" s="12" t="s">
        <v>45</v>
      </c>
      <c r="E49" s="14">
        <v>9940716.3600000013</v>
      </c>
      <c r="F49" s="14">
        <v>1291660.2673526162</v>
      </c>
      <c r="G49" s="14">
        <v>17490649.400000002</v>
      </c>
      <c r="H49" s="14">
        <v>0</v>
      </c>
      <c r="I49" s="13">
        <f t="shared" si="0"/>
        <v>28723026.02735262</v>
      </c>
    </row>
    <row r="50" spans="1:9" ht="15.75" x14ac:dyDescent="0.25">
      <c r="A50" s="8"/>
      <c r="B50" s="8"/>
      <c r="C50" s="9"/>
      <c r="D50" s="12" t="s">
        <v>46</v>
      </c>
      <c r="E50" s="14">
        <v>59528111.319999993</v>
      </c>
      <c r="F50" s="14">
        <v>12483250.144900963</v>
      </c>
      <c r="G50" s="14">
        <v>819523.99</v>
      </c>
      <c r="H50" s="14">
        <v>0</v>
      </c>
      <c r="I50" s="13">
        <f t="shared" si="0"/>
        <v>72830885.45490095</v>
      </c>
    </row>
    <row r="51" spans="1:9" ht="15.75" x14ac:dyDescent="0.25">
      <c r="A51" s="8"/>
      <c r="B51" s="8"/>
      <c r="C51" s="9"/>
      <c r="D51" s="12" t="s">
        <v>47</v>
      </c>
      <c r="E51" s="14">
        <v>91684398.379999965</v>
      </c>
      <c r="F51" s="14">
        <v>22698460.896004867</v>
      </c>
      <c r="G51" s="14">
        <v>3335636.31</v>
      </c>
      <c r="H51" s="14">
        <v>0</v>
      </c>
      <c r="I51" s="13">
        <f t="shared" si="0"/>
        <v>117718495.58600484</v>
      </c>
    </row>
    <row r="52" spans="1:9" ht="15.75" x14ac:dyDescent="0.25">
      <c r="A52" s="8"/>
      <c r="B52" s="8"/>
      <c r="C52" s="9"/>
      <c r="D52" s="12" t="s">
        <v>48</v>
      </c>
      <c r="E52" s="14">
        <v>54207873.590000018</v>
      </c>
      <c r="F52" s="14">
        <v>22876076.905975737</v>
      </c>
      <c r="G52" s="14">
        <v>834541.1</v>
      </c>
      <c r="H52" s="14">
        <v>0</v>
      </c>
      <c r="I52" s="13">
        <f t="shared" si="0"/>
        <v>77918491.595975757</v>
      </c>
    </row>
    <row r="53" spans="1:9" ht="15.75" x14ac:dyDescent="0.25">
      <c r="A53" s="8"/>
      <c r="B53" s="8"/>
      <c r="C53" s="9"/>
      <c r="D53" s="12" t="s">
        <v>49</v>
      </c>
      <c r="E53" s="14">
        <v>80652043.620000005</v>
      </c>
      <c r="F53" s="14">
        <v>15678048.146597594</v>
      </c>
      <c r="G53" s="14">
        <v>2401905.2199999997</v>
      </c>
      <c r="H53" s="14">
        <v>0</v>
      </c>
      <c r="I53" s="13">
        <f t="shared" si="0"/>
        <v>98731996.986597598</v>
      </c>
    </row>
    <row r="54" spans="1:9" ht="15.75" x14ac:dyDescent="0.25">
      <c r="A54" s="8"/>
      <c r="B54" s="8"/>
      <c r="C54" s="9"/>
      <c r="D54" s="12" t="s">
        <v>50</v>
      </c>
      <c r="E54" s="14">
        <v>63167639.390000001</v>
      </c>
      <c r="F54" s="14">
        <v>14396057.518756289</v>
      </c>
      <c r="G54" s="14">
        <v>2099752.0499999998</v>
      </c>
      <c r="H54" s="14">
        <v>0</v>
      </c>
      <c r="I54" s="13">
        <f t="shared" si="0"/>
        <v>79663448.958756283</v>
      </c>
    </row>
    <row r="55" spans="1:9" ht="15.75" x14ac:dyDescent="0.25">
      <c r="A55" s="8"/>
      <c r="B55" s="8"/>
      <c r="C55" s="9"/>
      <c r="D55" s="12" t="s">
        <v>51</v>
      </c>
      <c r="E55" s="14">
        <v>24427234.75</v>
      </c>
      <c r="F55" s="14">
        <v>29482476.405780427</v>
      </c>
      <c r="G55" s="14">
        <v>208035.19</v>
      </c>
      <c r="H55" s="14">
        <v>0</v>
      </c>
      <c r="I55" s="13">
        <f t="shared" si="0"/>
        <v>54117746.345780425</v>
      </c>
    </row>
    <row r="56" spans="1:9" ht="15.75" x14ac:dyDescent="0.25">
      <c r="A56" s="8"/>
      <c r="B56" s="8"/>
      <c r="C56" s="9"/>
      <c r="D56" s="12" t="s">
        <v>52</v>
      </c>
      <c r="E56" s="14">
        <v>73759285.50999999</v>
      </c>
      <c r="F56" s="14">
        <v>32815194.002612032</v>
      </c>
      <c r="G56" s="14">
        <v>999195.67999999982</v>
      </c>
      <c r="H56" s="14">
        <v>0</v>
      </c>
      <c r="I56" s="13">
        <f t="shared" si="0"/>
        <v>107573675.19261202</v>
      </c>
    </row>
    <row r="57" spans="1:9" ht="15.75" x14ac:dyDescent="0.25">
      <c r="A57" s="8"/>
      <c r="B57" s="8"/>
      <c r="C57" s="9"/>
      <c r="D57" s="12" t="s">
        <v>53</v>
      </c>
      <c r="E57" s="14">
        <v>15599471.779999999</v>
      </c>
      <c r="F57" s="14">
        <v>10846281.961315585</v>
      </c>
      <c r="G57" s="14">
        <v>1217377.67</v>
      </c>
      <c r="H57" s="14">
        <v>0</v>
      </c>
      <c r="I57" s="13">
        <f t="shared" si="0"/>
        <v>27663131.411315583</v>
      </c>
    </row>
    <row r="58" spans="1:9" ht="15.75" x14ac:dyDescent="0.25">
      <c r="A58" s="8"/>
      <c r="B58" s="8"/>
      <c r="C58" s="9"/>
      <c r="D58" s="12" t="s">
        <v>54</v>
      </c>
      <c r="E58" s="14">
        <v>20022641.359999996</v>
      </c>
      <c r="F58" s="14">
        <v>11674562.924718415</v>
      </c>
      <c r="G58" s="14">
        <v>200845.66999999998</v>
      </c>
      <c r="H58" s="14">
        <v>0</v>
      </c>
      <c r="I58" s="13">
        <f t="shared" si="0"/>
        <v>31898049.954718411</v>
      </c>
    </row>
    <row r="59" spans="1:9" ht="15.75" x14ac:dyDescent="0.25">
      <c r="A59" s="8"/>
      <c r="B59" s="8"/>
      <c r="C59" s="9"/>
      <c r="D59" s="12" t="s">
        <v>55</v>
      </c>
      <c r="E59" s="14">
        <v>51512188.289999992</v>
      </c>
      <c r="F59" s="14">
        <v>19720720.854917336</v>
      </c>
      <c r="G59" s="14">
        <v>4759977.2599999988</v>
      </c>
      <c r="H59" s="14">
        <v>0</v>
      </c>
      <c r="I59" s="13">
        <f t="shared" si="0"/>
        <v>75992886.40491733</v>
      </c>
    </row>
    <row r="60" spans="1:9" ht="15.75" x14ac:dyDescent="0.25">
      <c r="A60" s="8"/>
      <c r="B60" s="8"/>
      <c r="C60" s="9"/>
      <c r="D60" s="12" t="s">
        <v>56</v>
      </c>
      <c r="E60" s="14">
        <v>30710703.060000002</v>
      </c>
      <c r="F60" s="14">
        <v>11931062.835965743</v>
      </c>
      <c r="G60" s="14">
        <v>1179515.07</v>
      </c>
      <c r="H60" s="14">
        <v>0</v>
      </c>
      <c r="I60" s="13">
        <f t="shared" si="0"/>
        <v>43821280.965965748</v>
      </c>
    </row>
    <row r="61" spans="1:9" ht="15.75" x14ac:dyDescent="0.25">
      <c r="A61" s="8"/>
      <c r="B61" s="8"/>
      <c r="C61" s="9"/>
      <c r="D61" s="12" t="s">
        <v>57</v>
      </c>
      <c r="E61" s="14">
        <v>123425464.81000003</v>
      </c>
      <c r="F61" s="14">
        <v>20016408.25260523</v>
      </c>
      <c r="G61" s="14">
        <v>1126704.5299999998</v>
      </c>
      <c r="H61" s="14">
        <v>0</v>
      </c>
      <c r="I61" s="13">
        <f t="shared" si="0"/>
        <v>144568577.59260526</v>
      </c>
    </row>
    <row r="62" spans="1:9" ht="15.75" x14ac:dyDescent="0.25">
      <c r="A62" s="8"/>
      <c r="B62" s="8"/>
      <c r="C62" s="9"/>
      <c r="D62" s="12" t="s">
        <v>58</v>
      </c>
      <c r="E62" s="14">
        <v>88565545.930000007</v>
      </c>
      <c r="F62" s="14">
        <v>22333813.700749494</v>
      </c>
      <c r="G62" s="14">
        <v>80723506.860000014</v>
      </c>
      <c r="H62" s="14">
        <v>0</v>
      </c>
      <c r="I62" s="13">
        <f t="shared" si="0"/>
        <v>191622866.49074951</v>
      </c>
    </row>
    <row r="63" spans="1:9" ht="15.75" x14ac:dyDescent="0.25">
      <c r="A63" s="8"/>
      <c r="B63" s="8"/>
      <c r="C63" s="9"/>
      <c r="D63" s="12" t="s">
        <v>59</v>
      </c>
      <c r="E63" s="14">
        <v>28158215.859999999</v>
      </c>
      <c r="F63" s="14">
        <v>2464994.682790542</v>
      </c>
      <c r="G63" s="14">
        <v>6013869.7999999998</v>
      </c>
      <c r="H63" s="14">
        <v>0</v>
      </c>
      <c r="I63" s="13">
        <f t="shared" si="0"/>
        <v>36637080.342790537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41186233.480000004</v>
      </c>
      <c r="H64" s="14">
        <v>0</v>
      </c>
      <c r="I64" s="13">
        <f t="shared" si="0"/>
        <v>41186233.480000004</v>
      </c>
    </row>
    <row r="65" spans="1:9" ht="15.75" x14ac:dyDescent="0.25">
      <c r="A65" s="8"/>
      <c r="B65" s="8"/>
      <c r="C65" s="9"/>
      <c r="D65" s="12" t="s">
        <v>61</v>
      </c>
      <c r="E65" s="14">
        <v>78182605.560000002</v>
      </c>
      <c r="F65" s="14">
        <v>29186534.54389488</v>
      </c>
      <c r="G65" s="14">
        <v>1396342.91</v>
      </c>
      <c r="H65" s="14">
        <v>0</v>
      </c>
      <c r="I65" s="13">
        <f t="shared" si="0"/>
        <v>108765483.01389489</v>
      </c>
    </row>
    <row r="66" spans="1:9" ht="15.75" x14ac:dyDescent="0.25">
      <c r="A66" s="8"/>
      <c r="B66" s="8"/>
      <c r="C66" s="9"/>
      <c r="D66" s="12" t="s">
        <v>62</v>
      </c>
      <c r="E66" s="14">
        <v>405596450.82000005</v>
      </c>
      <c r="F66" s="14">
        <v>58028270.09995231</v>
      </c>
      <c r="G66" s="14">
        <v>3166865.53</v>
      </c>
      <c r="H66" s="14">
        <v>0</v>
      </c>
      <c r="I66" s="13">
        <f t="shared" si="0"/>
        <v>466791586.44995236</v>
      </c>
    </row>
    <row r="67" spans="1:9" ht="15.75" x14ac:dyDescent="0.25">
      <c r="A67" s="8"/>
      <c r="B67" s="8"/>
      <c r="C67" s="9"/>
      <c r="D67" s="12" t="s">
        <v>63</v>
      </c>
      <c r="E67" s="14">
        <v>71264900.309999987</v>
      </c>
      <c r="F67" s="14">
        <v>26820271.969798736</v>
      </c>
      <c r="G67" s="14">
        <v>993156.64000000013</v>
      </c>
      <c r="H67" s="14">
        <v>0</v>
      </c>
      <c r="I67" s="13">
        <f t="shared" si="0"/>
        <v>99078328.919798717</v>
      </c>
    </row>
    <row r="68" spans="1:9" ht="15.75" x14ac:dyDescent="0.25">
      <c r="A68" s="8"/>
      <c r="B68" s="8"/>
      <c r="C68" s="9"/>
      <c r="D68" s="12" t="s">
        <v>64</v>
      </c>
      <c r="E68" s="14">
        <v>72086548.879999995</v>
      </c>
      <c r="F68" s="14">
        <v>11339433.576392293</v>
      </c>
      <c r="G68" s="14">
        <v>50483.95</v>
      </c>
      <c r="H68" s="14">
        <v>0</v>
      </c>
      <c r="I68" s="13">
        <f t="shared" si="0"/>
        <v>83476466.406392291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11355941.550000001</v>
      </c>
      <c r="H69" s="14">
        <v>0</v>
      </c>
      <c r="I69" s="13">
        <f t="shared" si="0"/>
        <v>11355941.550000001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13433548.5</v>
      </c>
      <c r="H70" s="14">
        <v>0</v>
      </c>
      <c r="I70" s="13">
        <f t="shared" si="0"/>
        <v>13433548.5</v>
      </c>
    </row>
    <row r="71" spans="1:9" ht="15.75" x14ac:dyDescent="0.25">
      <c r="A71" s="8"/>
      <c r="B71" s="8"/>
      <c r="C71" s="9"/>
      <c r="D71" s="12" t="s">
        <v>67</v>
      </c>
      <c r="E71" s="14">
        <v>290257.81999999995</v>
      </c>
      <c r="F71" s="14">
        <v>295687.39768789208</v>
      </c>
      <c r="G71" s="14">
        <v>13109792.819999998</v>
      </c>
      <c r="H71" s="14">
        <v>0</v>
      </c>
      <c r="I71" s="13">
        <f t="shared" si="0"/>
        <v>13695738.03768789</v>
      </c>
    </row>
    <row r="72" spans="1:9" ht="15.75" x14ac:dyDescent="0.25">
      <c r="A72" s="8"/>
      <c r="B72" s="8"/>
      <c r="C72" s="9"/>
      <c r="D72" s="12" t="s">
        <v>68</v>
      </c>
      <c r="E72" s="14">
        <v>131631191.17000003</v>
      </c>
      <c r="F72" s="14">
        <v>18419136.48385575</v>
      </c>
      <c r="G72" s="14">
        <v>12779577.470000001</v>
      </c>
      <c r="H72" s="14">
        <v>0</v>
      </c>
      <c r="I72" s="13">
        <f t="shared" si="0"/>
        <v>162829905.12385577</v>
      </c>
    </row>
    <row r="73" spans="1:9" ht="15.75" x14ac:dyDescent="0.25">
      <c r="A73" s="8"/>
      <c r="B73" s="8"/>
      <c r="C73" s="9"/>
      <c r="D73" s="12" t="s">
        <v>69</v>
      </c>
      <c r="E73" s="14">
        <v>597993.07000000007</v>
      </c>
      <c r="F73" s="14">
        <v>0</v>
      </c>
      <c r="G73" s="14">
        <v>7168208.580000001</v>
      </c>
      <c r="H73" s="14">
        <v>0</v>
      </c>
      <c r="I73" s="13">
        <f t="shared" si="0"/>
        <v>7766201.6500000013</v>
      </c>
    </row>
    <row r="74" spans="1:9" ht="15.75" x14ac:dyDescent="0.25">
      <c r="A74" s="8"/>
      <c r="B74" s="8"/>
      <c r="C74" s="9"/>
      <c r="D74" s="12" t="s">
        <v>70</v>
      </c>
      <c r="E74" s="14">
        <v>11116637.760000002</v>
      </c>
      <c r="F74" s="14">
        <v>1557829.8181112523</v>
      </c>
      <c r="G74" s="14">
        <v>67547978.689999998</v>
      </c>
      <c r="H74" s="14">
        <v>0</v>
      </c>
      <c r="I74" s="13">
        <f t="shared" ref="I74:I137" si="1">SUM(E74:H74)</f>
        <v>80222446.268111259</v>
      </c>
    </row>
    <row r="75" spans="1:9" ht="15.75" x14ac:dyDescent="0.25">
      <c r="A75" s="8"/>
      <c r="B75" s="8"/>
      <c r="C75" s="9"/>
      <c r="D75" s="12" t="s">
        <v>71</v>
      </c>
      <c r="E75" s="14">
        <v>37717396.070000008</v>
      </c>
      <c r="F75" s="14">
        <v>6054212.1908694729</v>
      </c>
      <c r="G75" s="14">
        <v>95996182.949999988</v>
      </c>
      <c r="H75" s="14">
        <v>0</v>
      </c>
      <c r="I75" s="13">
        <f t="shared" si="1"/>
        <v>139767791.21086946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38141678.889999993</v>
      </c>
      <c r="H76" s="14">
        <v>0</v>
      </c>
      <c r="I76" s="13">
        <f t="shared" si="1"/>
        <v>38141678.889999993</v>
      </c>
    </row>
    <row r="77" spans="1:9" ht="15.75" x14ac:dyDescent="0.25">
      <c r="A77" s="8"/>
      <c r="B77" s="8"/>
      <c r="C77" s="9"/>
      <c r="D77" s="12" t="s">
        <v>73</v>
      </c>
      <c r="E77" s="14">
        <v>43864697.719999999</v>
      </c>
      <c r="F77" s="14">
        <v>30024739.611006677</v>
      </c>
      <c r="G77" s="14">
        <v>950452.67999999993</v>
      </c>
      <c r="H77" s="14">
        <v>0</v>
      </c>
      <c r="I77" s="13">
        <f t="shared" si="1"/>
        <v>74839890.011006683</v>
      </c>
    </row>
    <row r="78" spans="1:9" ht="15.75" x14ac:dyDescent="0.25">
      <c r="A78" s="8"/>
      <c r="B78" s="8"/>
      <c r="C78" s="9"/>
      <c r="D78" s="12" t="s">
        <v>74</v>
      </c>
      <c r="E78" s="14">
        <v>93099194.500000015</v>
      </c>
      <c r="F78" s="14">
        <v>30468525.171736181</v>
      </c>
      <c r="G78" s="14">
        <v>1862970.3499999999</v>
      </c>
      <c r="H78" s="14">
        <v>0</v>
      </c>
      <c r="I78" s="13">
        <f t="shared" si="1"/>
        <v>125430690.02173619</v>
      </c>
    </row>
    <row r="79" spans="1:9" ht="15.75" x14ac:dyDescent="0.25">
      <c r="A79" s="8"/>
      <c r="B79" s="8"/>
      <c r="C79" s="9"/>
      <c r="D79" s="12" t="s">
        <v>75</v>
      </c>
      <c r="E79" s="14">
        <v>96481704.209999993</v>
      </c>
      <c r="F79" s="14">
        <v>17107628.009085182</v>
      </c>
      <c r="G79" s="14">
        <v>1639773.1600000001</v>
      </c>
      <c r="H79" s="14">
        <v>0</v>
      </c>
      <c r="I79" s="13">
        <f t="shared" si="1"/>
        <v>115229105.37908517</v>
      </c>
    </row>
    <row r="80" spans="1:9" ht="15.75" x14ac:dyDescent="0.25">
      <c r="A80" s="8"/>
      <c r="B80" s="8"/>
      <c r="C80" s="9"/>
      <c r="D80" s="12" t="s">
        <v>76</v>
      </c>
      <c r="E80" s="14">
        <v>28734135.579999991</v>
      </c>
      <c r="F80" s="14">
        <v>9041876.3356659785</v>
      </c>
      <c r="G80" s="14">
        <v>515177.74</v>
      </c>
      <c r="H80" s="14">
        <v>0</v>
      </c>
      <c r="I80" s="13">
        <f t="shared" si="1"/>
        <v>38291189.655665971</v>
      </c>
    </row>
    <row r="81" spans="1:9" ht="15.75" x14ac:dyDescent="0.25">
      <c r="A81" s="8"/>
      <c r="B81" s="8"/>
      <c r="C81" s="9"/>
      <c r="D81" s="12" t="s">
        <v>77</v>
      </c>
      <c r="E81" s="14">
        <v>237991732.11999997</v>
      </c>
      <c r="F81" s="14">
        <v>54557378.443788081</v>
      </c>
      <c r="G81" s="14">
        <v>4237152.99</v>
      </c>
      <c r="H81" s="14">
        <v>0</v>
      </c>
      <c r="I81" s="13">
        <f t="shared" si="1"/>
        <v>296786263.55378807</v>
      </c>
    </row>
    <row r="82" spans="1:9" ht="15.75" x14ac:dyDescent="0.25">
      <c r="A82" s="8"/>
      <c r="B82" s="8"/>
      <c r="C82" s="9"/>
      <c r="D82" s="12" t="s">
        <v>78</v>
      </c>
      <c r="E82" s="14">
        <v>294415295.86000001</v>
      </c>
      <c r="F82" s="14">
        <v>37814397.629958272</v>
      </c>
      <c r="G82" s="14">
        <v>1329010.8899999999</v>
      </c>
      <c r="H82" s="14">
        <v>0</v>
      </c>
      <c r="I82" s="13">
        <f t="shared" si="1"/>
        <v>333558704.37995827</v>
      </c>
    </row>
    <row r="83" spans="1:9" ht="15.75" x14ac:dyDescent="0.25">
      <c r="A83" s="8"/>
      <c r="B83" s="8"/>
      <c r="C83" s="9"/>
      <c r="D83" s="12" t="s">
        <v>79</v>
      </c>
      <c r="E83" s="14">
        <v>53537853.340000011</v>
      </c>
      <c r="F83" s="14">
        <v>15529949.983555982</v>
      </c>
      <c r="G83" s="14">
        <v>5293933.8600000003</v>
      </c>
      <c r="H83" s="14">
        <v>0</v>
      </c>
      <c r="I83" s="13">
        <f t="shared" si="1"/>
        <v>74361737.18355599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38193798.340000004</v>
      </c>
      <c r="H84" s="14">
        <v>0</v>
      </c>
      <c r="I84" s="13">
        <f t="shared" si="1"/>
        <v>38193798.340000004</v>
      </c>
    </row>
    <row r="85" spans="1:9" ht="15.75" x14ac:dyDescent="0.25">
      <c r="A85" s="8"/>
      <c r="B85" s="8"/>
      <c r="C85" s="9"/>
      <c r="D85" s="12" t="s">
        <v>81</v>
      </c>
      <c r="E85" s="14">
        <v>58287901.530000016</v>
      </c>
      <c r="F85" s="14">
        <v>4831511.7210843433</v>
      </c>
      <c r="G85" s="14">
        <v>10101533.310000001</v>
      </c>
      <c r="H85" s="14">
        <v>0</v>
      </c>
      <c r="I85" s="13">
        <f t="shared" si="1"/>
        <v>73220946.56108436</v>
      </c>
    </row>
    <row r="86" spans="1:9" ht="15.75" x14ac:dyDescent="0.25">
      <c r="A86" s="8"/>
      <c r="B86" s="8"/>
      <c r="C86" s="9"/>
      <c r="D86" s="12" t="s">
        <v>82</v>
      </c>
      <c r="E86" s="14">
        <v>30382676.68</v>
      </c>
      <c r="F86" s="14">
        <v>20065774.306952432</v>
      </c>
      <c r="G86" s="14">
        <v>1851918.07</v>
      </c>
      <c r="H86" s="14">
        <v>0</v>
      </c>
      <c r="I86" s="13">
        <f t="shared" si="1"/>
        <v>52300369.056952432</v>
      </c>
    </row>
    <row r="87" spans="1:9" ht="15.75" x14ac:dyDescent="0.25">
      <c r="A87" s="8"/>
      <c r="B87" s="8"/>
      <c r="C87" s="9"/>
      <c r="D87" s="12" t="s">
        <v>83</v>
      </c>
      <c r="E87" s="14">
        <v>29859281.219999995</v>
      </c>
      <c r="F87" s="14">
        <v>26425852.463416435</v>
      </c>
      <c r="G87" s="14">
        <v>1069961.5999999999</v>
      </c>
      <c r="H87" s="14">
        <v>0</v>
      </c>
      <c r="I87" s="13">
        <f t="shared" si="1"/>
        <v>57355095.283416428</v>
      </c>
    </row>
    <row r="88" spans="1:9" ht="15.75" x14ac:dyDescent="0.25">
      <c r="A88" s="8"/>
      <c r="B88" s="8"/>
      <c r="C88" s="9"/>
      <c r="D88" s="12" t="s">
        <v>84</v>
      </c>
      <c r="E88" s="14">
        <v>8129459.8399999989</v>
      </c>
      <c r="F88" s="14">
        <v>0</v>
      </c>
      <c r="G88" s="14">
        <v>12368495.4</v>
      </c>
      <c r="H88" s="14">
        <v>0</v>
      </c>
      <c r="I88" s="13">
        <f t="shared" si="1"/>
        <v>20497955.239999998</v>
      </c>
    </row>
    <row r="89" spans="1:9" ht="15.75" x14ac:dyDescent="0.25">
      <c r="A89" s="8"/>
      <c r="B89" s="8"/>
      <c r="C89" s="9"/>
      <c r="D89" s="12" t="s">
        <v>85</v>
      </c>
      <c r="E89" s="14">
        <v>39308948.82</v>
      </c>
      <c r="F89" s="14">
        <v>25913107.105119452</v>
      </c>
      <c r="G89" s="14">
        <v>827039.01</v>
      </c>
      <c r="H89" s="14">
        <v>0</v>
      </c>
      <c r="I89" s="13">
        <f t="shared" si="1"/>
        <v>66049094.93511945</v>
      </c>
    </row>
    <row r="90" spans="1:9" ht="15.75" x14ac:dyDescent="0.25">
      <c r="A90" s="8"/>
      <c r="B90" s="8"/>
      <c r="C90" s="9"/>
      <c r="D90" s="12" t="s">
        <v>86</v>
      </c>
      <c r="E90" s="14">
        <v>14861145.720000001</v>
      </c>
      <c r="F90" s="14">
        <v>6705131.6084991004</v>
      </c>
      <c r="G90" s="14">
        <v>3539645.7600000002</v>
      </c>
      <c r="H90" s="14">
        <v>0</v>
      </c>
      <c r="I90" s="13">
        <f t="shared" si="1"/>
        <v>25105923.088499103</v>
      </c>
    </row>
    <row r="91" spans="1:9" ht="15.75" x14ac:dyDescent="0.25">
      <c r="A91" s="8"/>
      <c r="B91" s="8"/>
      <c r="C91" s="9"/>
      <c r="D91" s="12" t="s">
        <v>87</v>
      </c>
      <c r="E91" s="14">
        <v>41119162.700000003</v>
      </c>
      <c r="F91" s="14">
        <v>15293298.279726602</v>
      </c>
      <c r="G91" s="14">
        <v>8189317.4000000004</v>
      </c>
      <c r="H91" s="14">
        <v>0</v>
      </c>
      <c r="I91" s="13">
        <f t="shared" si="1"/>
        <v>64601778.379726604</v>
      </c>
    </row>
    <row r="92" spans="1:9" ht="15.75" x14ac:dyDescent="0.25">
      <c r="A92" s="8"/>
      <c r="B92" s="8"/>
      <c r="C92" s="9"/>
      <c r="D92" s="12" t="s">
        <v>88</v>
      </c>
      <c r="E92" s="14">
        <v>4303103.8499999996</v>
      </c>
      <c r="F92" s="14">
        <v>2110017.1270464724</v>
      </c>
      <c r="G92" s="14">
        <v>20417495.849999998</v>
      </c>
      <c r="H92" s="14">
        <v>0</v>
      </c>
      <c r="I92" s="13">
        <f t="shared" si="1"/>
        <v>26830616.827046469</v>
      </c>
    </row>
    <row r="93" spans="1:9" ht="15.75" x14ac:dyDescent="0.25">
      <c r="A93" s="8"/>
      <c r="B93" s="8"/>
      <c r="C93" s="9"/>
      <c r="D93" s="12" t="s">
        <v>89</v>
      </c>
      <c r="E93" s="14">
        <v>91829545.189999998</v>
      </c>
      <c r="F93" s="14">
        <v>17097958.369573876</v>
      </c>
      <c r="G93" s="14">
        <v>2074261.3</v>
      </c>
      <c r="H93" s="14">
        <v>0</v>
      </c>
      <c r="I93" s="13">
        <f t="shared" si="1"/>
        <v>111001764.85957387</v>
      </c>
    </row>
    <row r="94" spans="1:9" ht="15.75" x14ac:dyDescent="0.25">
      <c r="A94" s="8"/>
      <c r="B94" s="8"/>
      <c r="C94" s="9"/>
      <c r="D94" s="12" t="s">
        <v>90</v>
      </c>
      <c r="E94" s="14">
        <v>844766.42</v>
      </c>
      <c r="F94" s="14">
        <v>0</v>
      </c>
      <c r="G94" s="14">
        <v>402910.09</v>
      </c>
      <c r="H94" s="14">
        <v>0</v>
      </c>
      <c r="I94" s="13">
        <f t="shared" si="1"/>
        <v>1247676.51</v>
      </c>
    </row>
    <row r="95" spans="1:9" ht="15.75" x14ac:dyDescent="0.25">
      <c r="A95" s="8"/>
      <c r="B95" s="8"/>
      <c r="C95" s="9"/>
      <c r="D95" s="12" t="s">
        <v>91</v>
      </c>
      <c r="E95" s="14">
        <v>7232017.7699999996</v>
      </c>
      <c r="F95" s="14">
        <v>542263.20522624615</v>
      </c>
      <c r="G95" s="14">
        <v>20072678.02</v>
      </c>
      <c r="H95" s="14">
        <v>0</v>
      </c>
      <c r="I95" s="13">
        <f t="shared" si="1"/>
        <v>27846958.995226245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28712914.309999999</v>
      </c>
      <c r="H96" s="14">
        <v>0</v>
      </c>
      <c r="I96" s="13">
        <f t="shared" si="1"/>
        <v>28712914.309999999</v>
      </c>
    </row>
    <row r="97" spans="1:9" ht="15.75" x14ac:dyDescent="0.25">
      <c r="A97" s="8"/>
      <c r="B97" s="8"/>
      <c r="C97" s="9"/>
      <c r="D97" s="12" t="s">
        <v>93</v>
      </c>
      <c r="E97" s="14">
        <v>27535601.690000001</v>
      </c>
      <c r="F97" s="14">
        <v>24355022.822810531</v>
      </c>
      <c r="G97" s="14">
        <v>1621422.2799999998</v>
      </c>
      <c r="H97" s="14">
        <v>0</v>
      </c>
      <c r="I97" s="13">
        <f t="shared" si="1"/>
        <v>53512046.792810529</v>
      </c>
    </row>
    <row r="98" spans="1:9" ht="15.75" x14ac:dyDescent="0.25">
      <c r="A98" s="8"/>
      <c r="B98" s="8"/>
      <c r="C98" s="9"/>
      <c r="D98" s="12" t="s">
        <v>94</v>
      </c>
      <c r="E98" s="14">
        <v>139310489.89000002</v>
      </c>
      <c r="F98" s="14">
        <v>32036279.093556404</v>
      </c>
      <c r="G98" s="14">
        <v>10421034.859999999</v>
      </c>
      <c r="H98" s="14">
        <v>0</v>
      </c>
      <c r="I98" s="13">
        <f t="shared" si="1"/>
        <v>181767803.8435564</v>
      </c>
    </row>
    <row r="99" spans="1:9" ht="15.75" x14ac:dyDescent="0.25">
      <c r="A99" s="8"/>
      <c r="B99" s="8"/>
      <c r="C99" s="9"/>
      <c r="D99" s="12" t="s">
        <v>95</v>
      </c>
      <c r="E99" s="14">
        <v>152202713.28000003</v>
      </c>
      <c r="F99" s="14">
        <v>61045452.091678068</v>
      </c>
      <c r="G99" s="14">
        <v>5240501.7300000004</v>
      </c>
      <c r="H99" s="14">
        <v>0</v>
      </c>
      <c r="I99" s="13">
        <f t="shared" si="1"/>
        <v>218488667.1016781</v>
      </c>
    </row>
    <row r="100" spans="1:9" ht="15.75" x14ac:dyDescent="0.25">
      <c r="A100" s="8"/>
      <c r="B100" s="8"/>
      <c r="C100" s="9"/>
      <c r="D100" s="12" t="s">
        <v>96</v>
      </c>
      <c r="E100" s="14">
        <v>171786620.85000002</v>
      </c>
      <c r="F100" s="14">
        <v>61074969.938607335</v>
      </c>
      <c r="G100" s="14">
        <v>9084638.790000001</v>
      </c>
      <c r="H100" s="14">
        <v>0</v>
      </c>
      <c r="I100" s="13">
        <f t="shared" si="1"/>
        <v>241946229.57860735</v>
      </c>
    </row>
    <row r="101" spans="1:9" ht="15.75" x14ac:dyDescent="0.25">
      <c r="A101" s="8"/>
      <c r="B101" s="8"/>
      <c r="C101" s="9"/>
      <c r="D101" s="12" t="s">
        <v>97</v>
      </c>
      <c r="E101" s="14">
        <v>1853881.21</v>
      </c>
      <c r="F101" s="14">
        <v>81961136.81883496</v>
      </c>
      <c r="G101" s="14">
        <v>84445.16</v>
      </c>
      <c r="H101" s="14">
        <v>0</v>
      </c>
      <c r="I101" s="13">
        <f t="shared" si="1"/>
        <v>83899463.18883495</v>
      </c>
    </row>
    <row r="102" spans="1:9" ht="15.75" x14ac:dyDescent="0.25">
      <c r="A102" s="8"/>
      <c r="B102" s="8"/>
      <c r="C102" s="9"/>
      <c r="D102" s="12" t="s">
        <v>98</v>
      </c>
      <c r="E102" s="14">
        <v>169879157.79000002</v>
      </c>
      <c r="F102" s="14">
        <v>35241001.198962018</v>
      </c>
      <c r="G102" s="14">
        <v>4597372.1199999992</v>
      </c>
      <c r="H102" s="14">
        <v>0</v>
      </c>
      <c r="I102" s="13">
        <f t="shared" si="1"/>
        <v>209717531.10896206</v>
      </c>
    </row>
    <row r="103" spans="1:9" ht="15.75" x14ac:dyDescent="0.25">
      <c r="A103" s="8"/>
      <c r="B103" s="8"/>
      <c r="C103" s="9"/>
      <c r="D103" s="12" t="s">
        <v>99</v>
      </c>
      <c r="E103" s="14">
        <v>61964073.330000006</v>
      </c>
      <c r="F103" s="14">
        <v>11191589.877548348</v>
      </c>
      <c r="G103" s="14">
        <v>631802.14</v>
      </c>
      <c r="H103" s="14">
        <v>0</v>
      </c>
      <c r="I103" s="13">
        <f t="shared" si="1"/>
        <v>73787465.347548351</v>
      </c>
    </row>
    <row r="104" spans="1:9" ht="15.75" x14ac:dyDescent="0.25">
      <c r="A104" s="8"/>
      <c r="B104" s="8"/>
      <c r="C104" s="9"/>
      <c r="D104" s="12" t="s">
        <v>100</v>
      </c>
      <c r="E104" s="14">
        <v>316202614.38999999</v>
      </c>
      <c r="F104" s="14">
        <v>20450269.709625762</v>
      </c>
      <c r="G104" s="14">
        <v>10156110.93</v>
      </c>
      <c r="H104" s="14">
        <v>0</v>
      </c>
      <c r="I104" s="13">
        <f t="shared" si="1"/>
        <v>346808995.02962577</v>
      </c>
    </row>
    <row r="105" spans="1:9" ht="15.75" x14ac:dyDescent="0.25">
      <c r="A105" s="8"/>
      <c r="B105" s="8"/>
      <c r="C105" s="9"/>
      <c r="D105" s="12" t="s">
        <v>101</v>
      </c>
      <c r="E105" s="14">
        <v>42084576.75</v>
      </c>
      <c r="F105" s="14">
        <v>30369793.063041773</v>
      </c>
      <c r="G105" s="14">
        <v>280502.2</v>
      </c>
      <c r="H105" s="14">
        <v>0</v>
      </c>
      <c r="I105" s="13">
        <f t="shared" si="1"/>
        <v>72734872.013041779</v>
      </c>
    </row>
    <row r="106" spans="1:9" ht="15.75" x14ac:dyDescent="0.25">
      <c r="A106" s="8"/>
      <c r="B106" s="8"/>
      <c r="C106" s="9"/>
      <c r="D106" s="12" t="s">
        <v>102</v>
      </c>
      <c r="E106" s="14">
        <v>32108440.809999995</v>
      </c>
      <c r="F106" s="14">
        <v>1873365.4232170926</v>
      </c>
      <c r="G106" s="14">
        <v>23823242.219999999</v>
      </c>
      <c r="H106" s="14">
        <v>0</v>
      </c>
      <c r="I106" s="13">
        <f t="shared" si="1"/>
        <v>57805048.453217089</v>
      </c>
    </row>
    <row r="107" spans="1:9" ht="15.75" x14ac:dyDescent="0.25">
      <c r="A107" s="8"/>
      <c r="B107" s="8"/>
      <c r="C107" s="9"/>
      <c r="D107" s="12" t="s">
        <v>103</v>
      </c>
      <c r="E107" s="14">
        <v>3385.22</v>
      </c>
      <c r="F107" s="14">
        <v>0</v>
      </c>
      <c r="G107" s="14">
        <v>4307218.5199999996</v>
      </c>
      <c r="H107" s="14">
        <v>0</v>
      </c>
      <c r="I107" s="13">
        <f t="shared" si="1"/>
        <v>4310603.7399999993</v>
      </c>
    </row>
    <row r="108" spans="1:9" ht="15.75" x14ac:dyDescent="0.25">
      <c r="A108" s="8"/>
      <c r="B108" s="8"/>
      <c r="C108" s="9"/>
      <c r="D108" s="12" t="s">
        <v>104</v>
      </c>
      <c r="E108" s="14">
        <v>1124442.0899999999</v>
      </c>
      <c r="F108" s="14">
        <v>0</v>
      </c>
      <c r="G108" s="14">
        <v>3135432.44</v>
      </c>
      <c r="H108" s="14">
        <v>0</v>
      </c>
      <c r="I108" s="13">
        <f t="shared" si="1"/>
        <v>4259874.5299999993</v>
      </c>
    </row>
    <row r="109" spans="1:9" ht="15.75" x14ac:dyDescent="0.25">
      <c r="A109" s="8"/>
      <c r="B109" s="8"/>
      <c r="C109" s="9"/>
      <c r="D109" s="12" t="s">
        <v>105</v>
      </c>
      <c r="E109" s="14">
        <v>16245149.539999999</v>
      </c>
      <c r="F109" s="14">
        <v>48848219.7049537</v>
      </c>
      <c r="G109" s="14">
        <v>198183.81000000003</v>
      </c>
      <c r="H109" s="14">
        <v>0</v>
      </c>
      <c r="I109" s="13">
        <f t="shared" si="1"/>
        <v>65291553.054953702</v>
      </c>
    </row>
    <row r="110" spans="1:9" ht="15.75" x14ac:dyDescent="0.25">
      <c r="A110" s="8"/>
      <c r="B110" s="8"/>
      <c r="C110" s="9"/>
      <c r="D110" s="12" t="s">
        <v>106</v>
      </c>
      <c r="E110" s="14">
        <v>25523521.659999996</v>
      </c>
      <c r="F110" s="14">
        <v>11329509.47268332</v>
      </c>
      <c r="G110" s="14">
        <v>870320.38</v>
      </c>
      <c r="H110" s="14">
        <v>0</v>
      </c>
      <c r="I110" s="13">
        <f t="shared" si="1"/>
        <v>37723351.512683317</v>
      </c>
    </row>
    <row r="111" spans="1:9" ht="15.75" x14ac:dyDescent="0.25">
      <c r="A111" s="8"/>
      <c r="B111" s="8"/>
      <c r="C111" s="9"/>
      <c r="D111" s="12" t="s">
        <v>107</v>
      </c>
      <c r="E111" s="14">
        <v>81937.399999999994</v>
      </c>
      <c r="F111" s="14">
        <v>187285.64948217603</v>
      </c>
      <c r="G111" s="14">
        <v>36906136.619999997</v>
      </c>
      <c r="H111" s="14">
        <v>0</v>
      </c>
      <c r="I111" s="13">
        <f t="shared" si="1"/>
        <v>37175359.669482172</v>
      </c>
    </row>
    <row r="112" spans="1:9" ht="15.75" x14ac:dyDescent="0.25">
      <c r="A112" s="8"/>
      <c r="B112" s="8"/>
      <c r="C112" s="9"/>
      <c r="D112" s="12" t="s">
        <v>108</v>
      </c>
      <c r="E112" s="14">
        <v>64394476.469999999</v>
      </c>
      <c r="F112" s="14">
        <v>12818379.493227085</v>
      </c>
      <c r="G112" s="14">
        <v>3117877.91</v>
      </c>
      <c r="H112" s="14">
        <v>0</v>
      </c>
      <c r="I112" s="13">
        <f t="shared" si="1"/>
        <v>80330733.873227075</v>
      </c>
    </row>
    <row r="113" spans="1:9" ht="15.75" x14ac:dyDescent="0.25">
      <c r="A113" s="8"/>
      <c r="B113" s="8"/>
      <c r="C113" s="9"/>
      <c r="D113" s="12" t="s">
        <v>109</v>
      </c>
      <c r="E113" s="14">
        <v>57342077.780000001</v>
      </c>
      <c r="F113" s="14">
        <v>30862944.678118482</v>
      </c>
      <c r="G113" s="14">
        <v>1463989.8699999999</v>
      </c>
      <c r="H113" s="14">
        <v>0</v>
      </c>
      <c r="I113" s="13">
        <f t="shared" si="1"/>
        <v>89669012.328118488</v>
      </c>
    </row>
    <row r="114" spans="1:9" ht="15.75" x14ac:dyDescent="0.25">
      <c r="A114" s="8"/>
      <c r="B114" s="8"/>
      <c r="C114" s="9"/>
      <c r="D114" s="12" t="s">
        <v>110</v>
      </c>
      <c r="E114" s="14">
        <v>141501470.03999996</v>
      </c>
      <c r="F114" s="14">
        <v>35398769.001514934</v>
      </c>
      <c r="G114" s="14">
        <v>5627438.0300000003</v>
      </c>
      <c r="H114" s="14">
        <v>0</v>
      </c>
      <c r="I114" s="13">
        <f t="shared" si="1"/>
        <v>182527677.0715149</v>
      </c>
    </row>
    <row r="115" spans="1:9" ht="15.75" x14ac:dyDescent="0.25">
      <c r="A115" s="8"/>
      <c r="B115" s="8"/>
      <c r="C115" s="9"/>
      <c r="D115" s="12" t="s">
        <v>111</v>
      </c>
      <c r="E115" s="14">
        <v>273755326.91000003</v>
      </c>
      <c r="F115" s="14">
        <v>17502047.51546748</v>
      </c>
      <c r="G115" s="14">
        <v>2884557.8099999996</v>
      </c>
      <c r="H115" s="14">
        <v>0</v>
      </c>
      <c r="I115" s="13">
        <f t="shared" si="1"/>
        <v>294141932.23546749</v>
      </c>
    </row>
    <row r="116" spans="1:9" ht="15.75" x14ac:dyDescent="0.25">
      <c r="A116" s="8"/>
      <c r="B116" s="8"/>
      <c r="C116" s="9"/>
      <c r="D116" s="12" t="s">
        <v>112</v>
      </c>
      <c r="E116" s="14">
        <v>40001304.359999999</v>
      </c>
      <c r="F116" s="14">
        <v>22728233.207131788</v>
      </c>
      <c r="G116" s="14">
        <v>31706.14</v>
      </c>
      <c r="H116" s="14">
        <v>0</v>
      </c>
      <c r="I116" s="13">
        <f t="shared" si="1"/>
        <v>62761243.707131788</v>
      </c>
    </row>
    <row r="117" spans="1:9" ht="15.75" x14ac:dyDescent="0.25">
      <c r="A117" s="8"/>
      <c r="B117" s="8"/>
      <c r="C117" s="9"/>
      <c r="D117" s="12" t="s">
        <v>113</v>
      </c>
      <c r="E117" s="14">
        <v>30665833.330000006</v>
      </c>
      <c r="F117" s="14">
        <v>17551413.569814689</v>
      </c>
      <c r="G117" s="14">
        <v>2115766.56</v>
      </c>
      <c r="H117" s="14">
        <v>0</v>
      </c>
      <c r="I117" s="13">
        <f t="shared" si="1"/>
        <v>50333013.459814698</v>
      </c>
    </row>
    <row r="118" spans="1:9" ht="15.75" x14ac:dyDescent="0.25">
      <c r="A118" s="8"/>
      <c r="B118" s="8"/>
      <c r="C118" s="9"/>
      <c r="D118" s="12" t="s">
        <v>114</v>
      </c>
      <c r="E118" s="14">
        <v>59054074.059999995</v>
      </c>
      <c r="F118" s="14">
        <v>27411901.229372188</v>
      </c>
      <c r="G118" s="14">
        <v>3852918.8300000005</v>
      </c>
      <c r="H118" s="14">
        <v>0</v>
      </c>
      <c r="I118" s="13">
        <f t="shared" si="1"/>
        <v>90318894.119372174</v>
      </c>
    </row>
    <row r="119" spans="1:9" ht="15.75" x14ac:dyDescent="0.25">
      <c r="A119" s="8"/>
      <c r="B119" s="8"/>
      <c r="C119" s="9"/>
      <c r="D119" s="12" t="s">
        <v>115</v>
      </c>
      <c r="E119" s="14">
        <v>14723760.690000001</v>
      </c>
      <c r="F119" s="14">
        <v>2662204.4359816927</v>
      </c>
      <c r="G119" s="14">
        <v>2153418.9200000004</v>
      </c>
      <c r="H119" s="14">
        <v>0</v>
      </c>
      <c r="I119" s="13">
        <f t="shared" si="1"/>
        <v>19539384.045981698</v>
      </c>
    </row>
    <row r="120" spans="1:9" ht="15.75" x14ac:dyDescent="0.25">
      <c r="A120" s="8"/>
      <c r="B120" s="8"/>
      <c r="C120" s="9"/>
      <c r="D120" s="12" t="s">
        <v>116</v>
      </c>
      <c r="E120" s="14">
        <v>216739559.98999998</v>
      </c>
      <c r="F120" s="14">
        <v>11635120.974080186</v>
      </c>
      <c r="G120" s="14">
        <v>2837904.2899999996</v>
      </c>
      <c r="H120" s="14">
        <v>0</v>
      </c>
      <c r="I120" s="13">
        <f t="shared" si="1"/>
        <v>231212585.25408015</v>
      </c>
    </row>
    <row r="121" spans="1:9" ht="15.75" x14ac:dyDescent="0.25">
      <c r="A121" s="8"/>
      <c r="B121" s="8"/>
      <c r="C121" s="9"/>
      <c r="D121" s="12" t="s">
        <v>117</v>
      </c>
      <c r="E121" s="14">
        <v>65652566.199999996</v>
      </c>
      <c r="F121" s="14">
        <v>17265395.811638102</v>
      </c>
      <c r="G121" s="14">
        <v>2004203.8199999996</v>
      </c>
      <c r="H121" s="14">
        <v>0</v>
      </c>
      <c r="I121" s="13">
        <f t="shared" si="1"/>
        <v>84922165.831638098</v>
      </c>
    </row>
    <row r="122" spans="1:9" ht="15.75" x14ac:dyDescent="0.25">
      <c r="A122" s="8"/>
      <c r="B122" s="8"/>
      <c r="C122" s="9"/>
      <c r="D122" s="12" t="s">
        <v>118</v>
      </c>
      <c r="E122" s="14">
        <v>84634261.829999998</v>
      </c>
      <c r="F122" s="14">
        <v>12729825.952439319</v>
      </c>
      <c r="G122" s="14">
        <v>2180686.6300000004</v>
      </c>
      <c r="H122" s="14">
        <v>0</v>
      </c>
      <c r="I122" s="13">
        <f t="shared" si="1"/>
        <v>99544774.412439317</v>
      </c>
    </row>
    <row r="123" spans="1:9" ht="15.75" x14ac:dyDescent="0.25">
      <c r="A123" s="8"/>
      <c r="B123" s="8"/>
      <c r="C123" s="9"/>
      <c r="D123" s="12" t="s">
        <v>119</v>
      </c>
      <c r="E123" s="14">
        <v>83559624.329999998</v>
      </c>
      <c r="F123" s="14">
        <v>23388822.264272727</v>
      </c>
      <c r="G123" s="14">
        <v>813458.37999999989</v>
      </c>
      <c r="H123" s="14">
        <v>0</v>
      </c>
      <c r="I123" s="13">
        <f t="shared" si="1"/>
        <v>107761904.97427273</v>
      </c>
    </row>
    <row r="124" spans="1:9" ht="15.75" x14ac:dyDescent="0.25">
      <c r="A124" s="8"/>
      <c r="B124" s="8"/>
      <c r="C124" s="9"/>
      <c r="D124" s="12" t="s">
        <v>120</v>
      </c>
      <c r="E124" s="14">
        <v>1795416.12</v>
      </c>
      <c r="F124" s="14">
        <v>0</v>
      </c>
      <c r="G124" s="14">
        <v>10844943.09</v>
      </c>
      <c r="H124" s="14">
        <v>533108.24999999988</v>
      </c>
      <c r="I124" s="13">
        <f t="shared" si="1"/>
        <v>13173467.460000001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31974856.149999999</v>
      </c>
      <c r="H125" s="14">
        <v>3117005.6799999997</v>
      </c>
      <c r="I125" s="13">
        <f t="shared" si="1"/>
        <v>35091861.829999998</v>
      </c>
    </row>
    <row r="126" spans="1:9" ht="15.75" x14ac:dyDescent="0.25">
      <c r="A126" s="8"/>
      <c r="B126" s="8"/>
      <c r="C126" s="9"/>
      <c r="D126" s="12" t="s">
        <v>122</v>
      </c>
      <c r="E126" s="14">
        <v>69336.94</v>
      </c>
      <c r="F126" s="14">
        <v>0</v>
      </c>
      <c r="G126" s="14">
        <v>18292247.379999999</v>
      </c>
      <c r="H126" s="14">
        <v>0</v>
      </c>
      <c r="I126" s="13">
        <f t="shared" si="1"/>
        <v>18361584.32</v>
      </c>
    </row>
    <row r="127" spans="1:9" ht="15.75" x14ac:dyDescent="0.25">
      <c r="A127" s="8"/>
      <c r="B127" s="8"/>
      <c r="C127" s="9"/>
      <c r="D127" s="12" t="s">
        <v>123</v>
      </c>
      <c r="E127" s="14">
        <v>38952837.319999993</v>
      </c>
      <c r="F127" s="14">
        <v>4930243.8297787504</v>
      </c>
      <c r="G127" s="14">
        <v>11879378.870000001</v>
      </c>
      <c r="H127" s="14">
        <v>0</v>
      </c>
      <c r="I127" s="13">
        <f t="shared" si="1"/>
        <v>55762460.019778743</v>
      </c>
    </row>
    <row r="128" spans="1:9" ht="15.75" x14ac:dyDescent="0.25">
      <c r="A128" s="8"/>
      <c r="B128" s="8"/>
      <c r="C128" s="9"/>
      <c r="D128" s="12" t="s">
        <v>124</v>
      </c>
      <c r="E128" s="14">
        <v>95596636.019999996</v>
      </c>
      <c r="F128" s="14">
        <v>15382106.284712037</v>
      </c>
      <c r="G128" s="14">
        <v>4495504.67</v>
      </c>
      <c r="H128" s="14">
        <v>0</v>
      </c>
      <c r="I128" s="13">
        <f t="shared" si="1"/>
        <v>115474246.97471203</v>
      </c>
    </row>
    <row r="129" spans="1:9" ht="15.75" x14ac:dyDescent="0.25">
      <c r="A129" s="8"/>
      <c r="B129" s="8"/>
      <c r="C129" s="9"/>
      <c r="D129" s="12" t="s">
        <v>125</v>
      </c>
      <c r="E129" s="14">
        <v>25559499.719999999</v>
      </c>
      <c r="F129" s="14">
        <v>7444604.5669164974</v>
      </c>
      <c r="G129" s="14">
        <v>3873356.6700000004</v>
      </c>
      <c r="H129" s="14">
        <v>0</v>
      </c>
      <c r="I129" s="13">
        <f t="shared" si="1"/>
        <v>36877460.956916496</v>
      </c>
    </row>
    <row r="130" spans="1:9" ht="15.75" x14ac:dyDescent="0.25">
      <c r="A130" s="8"/>
      <c r="B130" s="8"/>
      <c r="C130" s="9"/>
      <c r="D130" s="12" t="s">
        <v>126</v>
      </c>
      <c r="E130" s="14">
        <v>25182130.060000002</v>
      </c>
      <c r="F130" s="14">
        <v>13114321.355112646</v>
      </c>
      <c r="G130" s="14">
        <v>988503.46000000008</v>
      </c>
      <c r="H130" s="14">
        <v>0</v>
      </c>
      <c r="I130" s="13">
        <f t="shared" si="1"/>
        <v>39284954.875112645</v>
      </c>
    </row>
    <row r="131" spans="1:9" ht="15.75" x14ac:dyDescent="0.25">
      <c r="A131" s="8"/>
      <c r="B131" s="8"/>
      <c r="C131" s="9"/>
      <c r="D131" s="12" t="s">
        <v>127</v>
      </c>
      <c r="E131" s="14">
        <v>291050551.23999995</v>
      </c>
      <c r="F131" s="14">
        <v>71674930.556582242</v>
      </c>
      <c r="G131" s="14">
        <v>19220376.329999998</v>
      </c>
      <c r="H131" s="14">
        <v>0</v>
      </c>
      <c r="I131" s="13">
        <f t="shared" si="1"/>
        <v>381945858.12658221</v>
      </c>
    </row>
    <row r="132" spans="1:9" ht="15.75" x14ac:dyDescent="0.25">
      <c r="A132" s="8"/>
      <c r="B132" s="8"/>
      <c r="C132" s="9"/>
      <c r="D132" s="12" t="s">
        <v>128</v>
      </c>
      <c r="E132" s="14">
        <v>52729054.970000006</v>
      </c>
      <c r="F132" s="14">
        <v>43977266.033231124</v>
      </c>
      <c r="G132" s="14">
        <v>42956.2</v>
      </c>
      <c r="H132" s="14">
        <v>0</v>
      </c>
      <c r="I132" s="13">
        <f t="shared" si="1"/>
        <v>96749277.203231141</v>
      </c>
    </row>
    <row r="133" spans="1:9" ht="15.75" x14ac:dyDescent="0.25">
      <c r="A133" s="8"/>
      <c r="B133" s="8"/>
      <c r="C133" s="9"/>
      <c r="D133" s="12" t="s">
        <v>129</v>
      </c>
      <c r="E133" s="14">
        <v>16832576.760000002</v>
      </c>
      <c r="F133" s="14">
        <v>0</v>
      </c>
      <c r="G133" s="14">
        <v>28172321.679999996</v>
      </c>
      <c r="H133" s="14">
        <v>1709853.155</v>
      </c>
      <c r="I133" s="13">
        <f t="shared" si="1"/>
        <v>46714751.594999999</v>
      </c>
    </row>
    <row r="134" spans="1:9" ht="15.75" x14ac:dyDescent="0.25">
      <c r="A134" s="8"/>
      <c r="B134" s="8"/>
      <c r="C134" s="9"/>
      <c r="D134" s="12" t="s">
        <v>130</v>
      </c>
      <c r="E134" s="14">
        <v>9708828.2199999988</v>
      </c>
      <c r="F134" s="14">
        <v>2169307.2851026505</v>
      </c>
      <c r="G134" s="14">
        <v>14217.109999999997</v>
      </c>
      <c r="H134" s="14">
        <v>0</v>
      </c>
      <c r="I134" s="13">
        <f t="shared" si="1"/>
        <v>11892352.615102649</v>
      </c>
    </row>
    <row r="135" spans="1:9" ht="15.75" x14ac:dyDescent="0.25">
      <c r="A135" s="8"/>
      <c r="B135" s="8"/>
      <c r="C135" s="9"/>
      <c r="D135" s="12" t="s">
        <v>131</v>
      </c>
      <c r="E135" s="14">
        <v>28427303.219999999</v>
      </c>
      <c r="F135" s="14">
        <v>27411901.229372188</v>
      </c>
      <c r="G135" s="14">
        <v>175921.63999999998</v>
      </c>
      <c r="H135" s="14">
        <v>0</v>
      </c>
      <c r="I135" s="13">
        <f t="shared" si="1"/>
        <v>56015126.089372188</v>
      </c>
    </row>
    <row r="136" spans="1:9" ht="15.75" x14ac:dyDescent="0.25">
      <c r="A136" s="8"/>
      <c r="B136" s="8"/>
      <c r="C136" s="9"/>
      <c r="D136" s="12" t="s">
        <v>132</v>
      </c>
      <c r="E136" s="14">
        <v>228663981.64000005</v>
      </c>
      <c r="F136" s="14">
        <v>33130729.607717872</v>
      </c>
      <c r="G136" s="14">
        <v>5334343.8999999994</v>
      </c>
      <c r="H136" s="14">
        <v>0</v>
      </c>
      <c r="I136" s="13">
        <f t="shared" si="1"/>
        <v>267129055.14771792</v>
      </c>
    </row>
    <row r="137" spans="1:9" ht="15.75" x14ac:dyDescent="0.25">
      <c r="A137" s="8"/>
      <c r="B137" s="8"/>
      <c r="C137" s="9"/>
      <c r="D137" s="12" t="s">
        <v>133</v>
      </c>
      <c r="E137" s="14">
        <v>240575840.06999999</v>
      </c>
      <c r="F137" s="14">
        <v>52092129.296799868</v>
      </c>
      <c r="G137" s="14">
        <v>8684000.6100000013</v>
      </c>
      <c r="H137" s="14">
        <v>0</v>
      </c>
      <c r="I137" s="13">
        <f t="shared" si="1"/>
        <v>301351969.97679985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23045605.770000003</v>
      </c>
      <c r="H138" s="14">
        <v>0</v>
      </c>
      <c r="I138" s="13">
        <f t="shared" ref="I138:I144" si="2">SUM(E138:H138)</f>
        <v>23045605.770000003</v>
      </c>
    </row>
    <row r="139" spans="1:9" ht="15.75" x14ac:dyDescent="0.25">
      <c r="A139" s="8"/>
      <c r="B139" s="8"/>
      <c r="C139" s="9"/>
      <c r="D139" s="12" t="s">
        <v>135</v>
      </c>
      <c r="E139" s="14">
        <v>20058659.759999998</v>
      </c>
      <c r="F139" s="14">
        <v>7799582.1226605661</v>
      </c>
      <c r="G139" s="14">
        <v>1152084.0899999999</v>
      </c>
      <c r="H139" s="14">
        <v>0</v>
      </c>
      <c r="I139" s="13">
        <f t="shared" si="2"/>
        <v>29010325.972660564</v>
      </c>
    </row>
    <row r="140" spans="1:9" ht="15.75" x14ac:dyDescent="0.25">
      <c r="A140" s="8"/>
      <c r="B140" s="8"/>
      <c r="C140" s="9"/>
      <c r="D140" s="12" t="s">
        <v>136</v>
      </c>
      <c r="E140" s="14">
        <v>123177487.95999999</v>
      </c>
      <c r="F140" s="14">
        <v>55316699.609623417</v>
      </c>
      <c r="G140" s="14">
        <v>3285714.2199999997</v>
      </c>
      <c r="H140" s="14">
        <v>0</v>
      </c>
      <c r="I140" s="13">
        <f t="shared" si="2"/>
        <v>181779901.78962341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27814107.470000003</v>
      </c>
      <c r="H141" s="14">
        <v>171094.065</v>
      </c>
      <c r="I141" s="13">
        <f t="shared" si="2"/>
        <v>27985201.535000004</v>
      </c>
    </row>
    <row r="142" spans="1:9" ht="15.75" x14ac:dyDescent="0.25">
      <c r="A142" s="8"/>
      <c r="B142" s="8"/>
      <c r="C142" s="9"/>
      <c r="D142" s="12" t="s">
        <v>138</v>
      </c>
      <c r="E142" s="14">
        <v>476193.64999999997</v>
      </c>
      <c r="F142" s="14">
        <v>0</v>
      </c>
      <c r="G142" s="14">
        <v>3097287.75</v>
      </c>
      <c r="H142" s="14">
        <v>0</v>
      </c>
      <c r="I142" s="13">
        <f t="shared" si="2"/>
        <v>3573481.4</v>
      </c>
    </row>
    <row r="143" spans="1:9" ht="15.75" x14ac:dyDescent="0.25">
      <c r="A143" s="8"/>
      <c r="B143" s="8"/>
      <c r="C143" s="9"/>
      <c r="D143" s="12" t="s">
        <v>139</v>
      </c>
      <c r="E143" s="14">
        <v>3312467.2</v>
      </c>
      <c r="F143" s="14">
        <v>51125928.738262072</v>
      </c>
      <c r="G143" s="14">
        <v>119758.32</v>
      </c>
      <c r="H143" s="14">
        <v>0</v>
      </c>
      <c r="I143" s="13">
        <f t="shared" si="2"/>
        <v>54558154.258262075</v>
      </c>
    </row>
    <row r="144" spans="1:9" ht="15.75" x14ac:dyDescent="0.25">
      <c r="A144" s="8"/>
      <c r="B144" s="8"/>
      <c r="C144" s="9"/>
      <c r="D144" s="12" t="s">
        <v>140</v>
      </c>
      <c r="E144" s="14">
        <v>72026646.480000004</v>
      </c>
      <c r="F144" s="14">
        <v>6211979.9934223928</v>
      </c>
      <c r="G144" s="14">
        <v>7551941.5299999993</v>
      </c>
      <c r="H144" s="14">
        <v>0</v>
      </c>
      <c r="I144" s="13">
        <f t="shared" si="2"/>
        <v>85790568.003422394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9656819579.4499969</v>
      </c>
      <c r="F145" s="22">
        <f>SUM(F10:F144)</f>
        <v>2544523905.272284</v>
      </c>
      <c r="G145" s="22">
        <f>SUM(G10:G144)</f>
        <v>1188372349.6699996</v>
      </c>
      <c r="H145" s="22">
        <f>SUM(H10:H144)</f>
        <v>5531061.1500000004</v>
      </c>
      <c r="I145" s="22">
        <f>SUM(I10:I144)</f>
        <v>13395246895.542284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" style="2" bestFit="1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2593894.94</v>
      </c>
      <c r="F10" s="14">
        <v>24433595.014442407</v>
      </c>
      <c r="G10" s="14">
        <v>1795603.41</v>
      </c>
      <c r="H10" s="14">
        <v>0</v>
      </c>
      <c r="I10" s="13">
        <f t="shared" ref="I10:I73" si="0">SUM(E10:H10)</f>
        <v>28823093.364442408</v>
      </c>
    </row>
    <row r="11" spans="1:9" ht="15.75" x14ac:dyDescent="0.25">
      <c r="A11" s="8"/>
      <c r="B11" s="8"/>
      <c r="C11" s="9"/>
      <c r="D11" s="12" t="s">
        <v>7</v>
      </c>
      <c r="E11" s="14">
        <v>9298209.3100000024</v>
      </c>
      <c r="F11" s="14">
        <v>13713977.636179205</v>
      </c>
      <c r="G11" s="14">
        <v>2061224.3999999997</v>
      </c>
      <c r="H11" s="14">
        <v>0</v>
      </c>
      <c r="I11" s="13">
        <f t="shared" si="0"/>
        <v>25073411.346179206</v>
      </c>
    </row>
    <row r="12" spans="1:9" ht="15.75" x14ac:dyDescent="0.25">
      <c r="A12" s="8"/>
      <c r="B12" s="8"/>
      <c r="C12" s="9"/>
      <c r="D12" s="12" t="s">
        <v>8</v>
      </c>
      <c r="E12" s="14">
        <v>5212882.0599999996</v>
      </c>
      <c r="F12" s="14">
        <v>4971780.7841808014</v>
      </c>
      <c r="G12" s="14">
        <v>1341721.27</v>
      </c>
      <c r="H12" s="14">
        <v>0</v>
      </c>
      <c r="I12" s="13">
        <f t="shared" si="0"/>
        <v>11526384.1141808</v>
      </c>
    </row>
    <row r="13" spans="1:9" ht="15.75" x14ac:dyDescent="0.25">
      <c r="A13" s="8"/>
      <c r="B13" s="8"/>
      <c r="C13" s="9"/>
      <c r="D13" s="12" t="s">
        <v>9</v>
      </c>
      <c r="E13" s="14">
        <v>1040985.3500000001</v>
      </c>
      <c r="F13" s="14">
        <v>131473.51670880002</v>
      </c>
      <c r="G13" s="14">
        <v>33515827.829999994</v>
      </c>
      <c r="H13" s="14">
        <v>0</v>
      </c>
      <c r="I13" s="13">
        <f t="shared" si="0"/>
        <v>34688286.696708798</v>
      </c>
    </row>
    <row r="14" spans="1:9" ht="15.75" x14ac:dyDescent="0.25">
      <c r="A14" s="8"/>
      <c r="B14" s="8"/>
      <c r="C14" s="9"/>
      <c r="D14" s="12" t="s">
        <v>10</v>
      </c>
      <c r="E14" s="14">
        <v>14868366.109999999</v>
      </c>
      <c r="F14" s="14">
        <v>5524150.585017601</v>
      </c>
      <c r="G14" s="14">
        <v>2872637.3200000003</v>
      </c>
      <c r="H14" s="14">
        <v>0</v>
      </c>
      <c r="I14" s="13">
        <f t="shared" si="0"/>
        <v>23265154.015017599</v>
      </c>
    </row>
    <row r="15" spans="1:9" ht="15.75" x14ac:dyDescent="0.25">
      <c r="A15" s="8"/>
      <c r="B15" s="8"/>
      <c r="C15" s="9"/>
      <c r="D15" s="12" t="s">
        <v>11</v>
      </c>
      <c r="E15" s="14">
        <v>100319.98</v>
      </c>
      <c r="F15" s="14">
        <v>30662.068010400009</v>
      </c>
      <c r="G15" s="14">
        <v>25137277.259999994</v>
      </c>
      <c r="H15" s="14">
        <v>0</v>
      </c>
      <c r="I15" s="13">
        <f t="shared" si="0"/>
        <v>25268259.308010396</v>
      </c>
    </row>
    <row r="16" spans="1:9" ht="15.75" x14ac:dyDescent="0.25">
      <c r="A16" s="8"/>
      <c r="B16" s="8"/>
      <c r="C16" s="9"/>
      <c r="D16" s="12" t="s">
        <v>12</v>
      </c>
      <c r="E16" s="14">
        <v>13023469.259999996</v>
      </c>
      <c r="F16" s="14">
        <v>26340753.015856806</v>
      </c>
      <c r="G16" s="14">
        <v>2634302.7399999998</v>
      </c>
      <c r="H16" s="14">
        <v>0</v>
      </c>
      <c r="I16" s="13">
        <f t="shared" si="0"/>
        <v>41998525.015856802</v>
      </c>
    </row>
    <row r="17" spans="1:9" ht="15.75" x14ac:dyDescent="0.25">
      <c r="A17" s="8"/>
      <c r="B17" s="8"/>
      <c r="C17" s="9"/>
      <c r="D17" s="12" t="s">
        <v>13</v>
      </c>
      <c r="E17" s="14">
        <v>28523272.34</v>
      </c>
      <c r="F17" s="14">
        <v>24201196.904872805</v>
      </c>
      <c r="G17" s="14">
        <v>7864046.6200000001</v>
      </c>
      <c r="H17" s="14">
        <v>0</v>
      </c>
      <c r="I17" s="13">
        <f t="shared" si="0"/>
        <v>60588515.864872806</v>
      </c>
    </row>
    <row r="18" spans="1:9" ht="15.75" x14ac:dyDescent="0.25">
      <c r="A18" s="8"/>
      <c r="B18" s="8"/>
      <c r="C18" s="9"/>
      <c r="D18" s="12" t="s">
        <v>14</v>
      </c>
      <c r="E18" s="14">
        <v>1993676.1299999997</v>
      </c>
      <c r="F18" s="14">
        <v>1972894.7597688006</v>
      </c>
      <c r="G18" s="14">
        <v>38172483.260000005</v>
      </c>
      <c r="H18" s="14">
        <v>0</v>
      </c>
      <c r="I18" s="13">
        <f t="shared" si="0"/>
        <v>42139054.149768807</v>
      </c>
    </row>
    <row r="19" spans="1:9" ht="15.75" x14ac:dyDescent="0.25">
      <c r="A19" s="8"/>
      <c r="B19" s="8"/>
      <c r="C19" s="9"/>
      <c r="D19" s="12" t="s">
        <v>15</v>
      </c>
      <c r="E19" s="14">
        <v>25695313.179999992</v>
      </c>
      <c r="F19" s="14">
        <v>18830469.804069605</v>
      </c>
      <c r="G19" s="14">
        <v>5735265.7299999995</v>
      </c>
      <c r="H19" s="14">
        <v>0</v>
      </c>
      <c r="I19" s="13">
        <f t="shared" si="0"/>
        <v>50261048.714069597</v>
      </c>
    </row>
    <row r="20" spans="1:9" ht="15.75" x14ac:dyDescent="0.25">
      <c r="A20" s="8"/>
      <c r="B20" s="8"/>
      <c r="C20" s="9"/>
      <c r="D20" s="12" t="s">
        <v>16</v>
      </c>
      <c r="E20" s="14">
        <v>13192193.719999999</v>
      </c>
      <c r="F20" s="14">
        <v>4686770.6390952012</v>
      </c>
      <c r="G20" s="14">
        <v>3432183.7099999995</v>
      </c>
      <c r="H20" s="14">
        <v>0</v>
      </c>
      <c r="I20" s="13">
        <f t="shared" si="0"/>
        <v>21311148.069095202</v>
      </c>
    </row>
    <row r="21" spans="1:9" ht="15.75" x14ac:dyDescent="0.25">
      <c r="A21" s="8"/>
      <c r="B21" s="8"/>
      <c r="C21" s="9"/>
      <c r="D21" s="12" t="s">
        <v>17</v>
      </c>
      <c r="E21" s="14">
        <v>11885960.240000002</v>
      </c>
      <c r="F21" s="14">
        <v>22526437.013028003</v>
      </c>
      <c r="G21" s="14">
        <v>1461333.53</v>
      </c>
      <c r="H21" s="14">
        <v>0</v>
      </c>
      <c r="I21" s="13">
        <f t="shared" si="0"/>
        <v>35873730.783028007</v>
      </c>
    </row>
    <row r="22" spans="1:9" ht="15.75" x14ac:dyDescent="0.25">
      <c r="A22" s="8"/>
      <c r="B22" s="8"/>
      <c r="C22" s="9"/>
      <c r="D22" s="12" t="s">
        <v>18</v>
      </c>
      <c r="E22" s="14">
        <v>557701.04</v>
      </c>
      <c r="F22" s="14">
        <v>964553.9844600003</v>
      </c>
      <c r="G22" s="14">
        <v>17622067.190000001</v>
      </c>
      <c r="H22" s="14">
        <v>0</v>
      </c>
      <c r="I22" s="13">
        <f t="shared" si="0"/>
        <v>19144322.21446</v>
      </c>
    </row>
    <row r="23" spans="1:9" ht="15.75" x14ac:dyDescent="0.25">
      <c r="A23" s="8"/>
      <c r="B23" s="8"/>
      <c r="C23" s="9"/>
      <c r="D23" s="12" t="s">
        <v>19</v>
      </c>
      <c r="E23" s="14">
        <v>3200148.5599999996</v>
      </c>
      <c r="F23" s="14">
        <v>359459.00394480012</v>
      </c>
      <c r="G23" s="14">
        <v>11276576.42</v>
      </c>
      <c r="H23" s="14">
        <v>0</v>
      </c>
      <c r="I23" s="13">
        <f t="shared" si="0"/>
        <v>14836183.9839448</v>
      </c>
    </row>
    <row r="24" spans="1:9" ht="15.75" x14ac:dyDescent="0.25">
      <c r="A24" s="8"/>
      <c r="B24" s="8"/>
      <c r="C24" s="9"/>
      <c r="D24" s="12" t="s">
        <v>20</v>
      </c>
      <c r="E24" s="14">
        <v>14864401.289999997</v>
      </c>
      <c r="F24" s="14">
        <v>13814902.229040004</v>
      </c>
      <c r="G24" s="14">
        <v>4062038.1799999997</v>
      </c>
      <c r="H24" s="14">
        <v>0</v>
      </c>
      <c r="I24" s="13">
        <f t="shared" si="0"/>
        <v>32741341.699040003</v>
      </c>
    </row>
    <row r="25" spans="1:9" ht="15.75" x14ac:dyDescent="0.25">
      <c r="A25" s="8"/>
      <c r="B25" s="8"/>
      <c r="C25" s="9"/>
      <c r="D25" s="12" t="s">
        <v>21</v>
      </c>
      <c r="E25" s="14">
        <v>7439574.3199999994</v>
      </c>
      <c r="F25" s="14">
        <v>10259233.781457603</v>
      </c>
      <c r="G25" s="14">
        <v>4366889.6900000004</v>
      </c>
      <c r="H25" s="14">
        <v>0</v>
      </c>
      <c r="I25" s="13">
        <f t="shared" si="0"/>
        <v>22065697.791457605</v>
      </c>
    </row>
    <row r="26" spans="1:9" ht="15.75" x14ac:dyDescent="0.25">
      <c r="A26" s="8"/>
      <c r="B26" s="8"/>
      <c r="C26" s="9"/>
      <c r="D26" s="12" t="s">
        <v>22</v>
      </c>
      <c r="E26" s="14">
        <v>3972323.46</v>
      </c>
      <c r="F26" s="14">
        <v>5874897.4884576015</v>
      </c>
      <c r="G26" s="14">
        <v>3088080.02</v>
      </c>
      <c r="H26" s="14">
        <v>0</v>
      </c>
      <c r="I26" s="13">
        <f t="shared" si="0"/>
        <v>12935300.968457602</v>
      </c>
    </row>
    <row r="27" spans="1:9" ht="15.75" x14ac:dyDescent="0.25">
      <c r="A27" s="8"/>
      <c r="B27" s="8"/>
      <c r="C27" s="9"/>
      <c r="D27" s="12" t="s">
        <v>23</v>
      </c>
      <c r="E27" s="14">
        <v>1205216.1299999999</v>
      </c>
      <c r="F27" s="14">
        <v>1008340.7753088004</v>
      </c>
      <c r="G27" s="14">
        <v>9767169.040000001</v>
      </c>
      <c r="H27" s="14">
        <v>0</v>
      </c>
      <c r="I27" s="13">
        <f t="shared" si="0"/>
        <v>11980725.945308801</v>
      </c>
    </row>
    <row r="28" spans="1:9" ht="15.75" x14ac:dyDescent="0.25">
      <c r="A28" s="8"/>
      <c r="B28" s="8"/>
      <c r="C28" s="9"/>
      <c r="D28" s="12" t="s">
        <v>24</v>
      </c>
      <c r="E28" s="14">
        <v>7245454.7999999989</v>
      </c>
      <c r="F28" s="14">
        <v>4778869.987288801</v>
      </c>
      <c r="G28" s="14">
        <v>4067006.5200000005</v>
      </c>
      <c r="H28" s="14">
        <v>0</v>
      </c>
      <c r="I28" s="13">
        <f t="shared" si="0"/>
        <v>16091331.307288799</v>
      </c>
    </row>
    <row r="29" spans="1:9" ht="15.75" x14ac:dyDescent="0.25">
      <c r="A29" s="8"/>
      <c r="B29" s="8"/>
      <c r="C29" s="9"/>
      <c r="D29" s="12" t="s">
        <v>25</v>
      </c>
      <c r="E29" s="14">
        <v>3650373.98</v>
      </c>
      <c r="F29" s="14">
        <v>2674388.5666488009</v>
      </c>
      <c r="G29" s="14">
        <v>1430677.38</v>
      </c>
      <c r="H29" s="14">
        <v>0</v>
      </c>
      <c r="I29" s="13">
        <f t="shared" si="0"/>
        <v>7755439.9266488003</v>
      </c>
    </row>
    <row r="30" spans="1:9" ht="15.75" x14ac:dyDescent="0.25">
      <c r="A30" s="8"/>
      <c r="B30" s="8"/>
      <c r="C30" s="9"/>
      <c r="D30" s="12" t="s">
        <v>26</v>
      </c>
      <c r="E30" s="14">
        <v>10861866.189999999</v>
      </c>
      <c r="F30" s="14">
        <v>14424296.687726405</v>
      </c>
      <c r="G30" s="14">
        <v>2252699.9900000002</v>
      </c>
      <c r="H30" s="14">
        <v>0</v>
      </c>
      <c r="I30" s="13">
        <f t="shared" si="0"/>
        <v>27538862.867726408</v>
      </c>
    </row>
    <row r="31" spans="1:9" ht="15.75" x14ac:dyDescent="0.25">
      <c r="A31" s="8"/>
      <c r="B31" s="8"/>
      <c r="C31" s="9"/>
      <c r="D31" s="12" t="s">
        <v>27</v>
      </c>
      <c r="E31" s="14">
        <v>18190381.939999998</v>
      </c>
      <c r="F31" s="14">
        <v>14950417.042886406</v>
      </c>
      <c r="G31" s="14">
        <v>1853183.8199999996</v>
      </c>
      <c r="H31" s="14">
        <v>0</v>
      </c>
      <c r="I31" s="13">
        <f t="shared" si="0"/>
        <v>34993982.802886404</v>
      </c>
    </row>
    <row r="32" spans="1:9" ht="15.75" x14ac:dyDescent="0.25">
      <c r="A32" s="8"/>
      <c r="B32" s="8"/>
      <c r="C32" s="9"/>
      <c r="D32" s="12" t="s">
        <v>28</v>
      </c>
      <c r="E32" s="14">
        <v>8796349.3900000006</v>
      </c>
      <c r="F32" s="14">
        <v>5046342.7872024011</v>
      </c>
      <c r="G32" s="14">
        <v>1203058.94</v>
      </c>
      <c r="H32" s="14">
        <v>0</v>
      </c>
      <c r="I32" s="13">
        <f t="shared" si="0"/>
        <v>15045751.117202401</v>
      </c>
    </row>
    <row r="33" spans="1:9" ht="15.75" x14ac:dyDescent="0.25">
      <c r="A33" s="8"/>
      <c r="B33" s="8"/>
      <c r="C33" s="9"/>
      <c r="D33" s="12" t="s">
        <v>29</v>
      </c>
      <c r="E33" s="14">
        <v>2123326.02</v>
      </c>
      <c r="F33" s="14">
        <v>7628632.0056576012</v>
      </c>
      <c r="G33" s="14">
        <v>968605.85999999987</v>
      </c>
      <c r="H33" s="14">
        <v>0</v>
      </c>
      <c r="I33" s="13">
        <f t="shared" si="0"/>
        <v>10720563.885657601</v>
      </c>
    </row>
    <row r="34" spans="1:9" ht="15.75" x14ac:dyDescent="0.25">
      <c r="A34" s="8"/>
      <c r="B34" s="8"/>
      <c r="C34" s="9"/>
      <c r="D34" s="12" t="s">
        <v>30</v>
      </c>
      <c r="E34" s="14">
        <v>15788318.129999997</v>
      </c>
      <c r="F34" s="14">
        <v>10947489.721336804</v>
      </c>
      <c r="G34" s="14">
        <v>5190481.0000000009</v>
      </c>
      <c r="H34" s="14">
        <v>0</v>
      </c>
      <c r="I34" s="13">
        <f t="shared" si="0"/>
        <v>31926288.8513368</v>
      </c>
    </row>
    <row r="35" spans="1:9" ht="15.75" x14ac:dyDescent="0.25">
      <c r="A35" s="8"/>
      <c r="B35" s="8"/>
      <c r="C35" s="9"/>
      <c r="D35" s="12" t="s">
        <v>31</v>
      </c>
      <c r="E35" s="14">
        <v>9045526.0899999999</v>
      </c>
      <c r="F35" s="14">
        <v>16094643.957237603</v>
      </c>
      <c r="G35" s="14">
        <v>3768006.9200000004</v>
      </c>
      <c r="H35" s="14">
        <v>0</v>
      </c>
      <c r="I35" s="13">
        <f t="shared" si="0"/>
        <v>28908176.967237607</v>
      </c>
    </row>
    <row r="36" spans="1:9" ht="15.75" x14ac:dyDescent="0.25">
      <c r="A36" s="8"/>
      <c r="B36" s="8"/>
      <c r="C36" s="9"/>
      <c r="D36" s="12" t="s">
        <v>32</v>
      </c>
      <c r="E36" s="14">
        <v>7972607.629999998</v>
      </c>
      <c r="F36" s="14">
        <v>9987348.3592104018</v>
      </c>
      <c r="G36" s="14">
        <v>7483977.2800000003</v>
      </c>
      <c r="H36" s="14">
        <v>0</v>
      </c>
      <c r="I36" s="13">
        <f t="shared" si="0"/>
        <v>25443933.269210402</v>
      </c>
    </row>
    <row r="37" spans="1:9" ht="15.75" x14ac:dyDescent="0.25">
      <c r="A37" s="8"/>
      <c r="B37" s="8"/>
      <c r="C37" s="9"/>
      <c r="D37" s="12" t="s">
        <v>33</v>
      </c>
      <c r="E37" s="14">
        <v>8921986.6899999995</v>
      </c>
      <c r="F37" s="14">
        <v>5524150.585017601</v>
      </c>
      <c r="G37" s="14">
        <v>2303812.3899999997</v>
      </c>
      <c r="H37" s="14">
        <v>0</v>
      </c>
      <c r="I37" s="13">
        <f t="shared" si="0"/>
        <v>16749949.665017601</v>
      </c>
    </row>
    <row r="38" spans="1:9" ht="15.75" x14ac:dyDescent="0.25">
      <c r="A38" s="8"/>
      <c r="B38" s="8"/>
      <c r="C38" s="9"/>
      <c r="D38" s="12" t="s">
        <v>34</v>
      </c>
      <c r="E38" s="14">
        <v>14206163.710000001</v>
      </c>
      <c r="F38" s="14">
        <v>12004143.053990401</v>
      </c>
      <c r="G38" s="14">
        <v>2372527.0099999993</v>
      </c>
      <c r="H38" s="14">
        <v>0</v>
      </c>
      <c r="I38" s="13">
        <f t="shared" si="0"/>
        <v>28582833.7739904</v>
      </c>
    </row>
    <row r="39" spans="1:9" ht="15.75" x14ac:dyDescent="0.25">
      <c r="A39" s="8"/>
      <c r="B39" s="8"/>
      <c r="C39" s="9"/>
      <c r="D39" s="12" t="s">
        <v>35</v>
      </c>
      <c r="E39" s="14">
        <v>5626953.7299999986</v>
      </c>
      <c r="F39" s="14">
        <v>18795395.113725603</v>
      </c>
      <c r="G39" s="14">
        <v>2269743.7899999996</v>
      </c>
      <c r="H39" s="14">
        <v>0</v>
      </c>
      <c r="I39" s="13">
        <f t="shared" si="0"/>
        <v>26692092.633725598</v>
      </c>
    </row>
    <row r="40" spans="1:9" ht="15.75" x14ac:dyDescent="0.25">
      <c r="A40" s="8"/>
      <c r="B40" s="8"/>
      <c r="C40" s="9"/>
      <c r="D40" s="12" t="s">
        <v>36</v>
      </c>
      <c r="E40" s="14">
        <v>662904.4</v>
      </c>
      <c r="F40" s="14">
        <v>986503.95196560037</v>
      </c>
      <c r="G40" s="14">
        <v>83071.099999999991</v>
      </c>
      <c r="H40" s="14">
        <v>0</v>
      </c>
      <c r="I40" s="13">
        <f t="shared" si="0"/>
        <v>1732479.4519656005</v>
      </c>
    </row>
    <row r="41" spans="1:9" ht="15.75" x14ac:dyDescent="0.25">
      <c r="A41" s="8"/>
      <c r="B41" s="8"/>
      <c r="C41" s="9"/>
      <c r="D41" s="12" t="s">
        <v>37</v>
      </c>
      <c r="E41" s="14">
        <v>16064397.230000002</v>
      </c>
      <c r="F41" s="14">
        <v>16484878.173355203</v>
      </c>
      <c r="G41" s="14">
        <v>4421760.629999999</v>
      </c>
      <c r="H41" s="14">
        <v>0</v>
      </c>
      <c r="I41" s="13">
        <f t="shared" si="0"/>
        <v>36971036.033355206</v>
      </c>
    </row>
    <row r="42" spans="1:9" ht="15.75" x14ac:dyDescent="0.25">
      <c r="A42" s="8"/>
      <c r="B42" s="8"/>
      <c r="C42" s="9"/>
      <c r="D42" s="12" t="s">
        <v>38</v>
      </c>
      <c r="E42" s="14">
        <v>7037794.4999999991</v>
      </c>
      <c r="F42" s="14">
        <v>17852791.096771203</v>
      </c>
      <c r="G42" s="14">
        <v>1643988.6700000002</v>
      </c>
      <c r="H42" s="14">
        <v>0</v>
      </c>
      <c r="I42" s="13">
        <f t="shared" si="0"/>
        <v>26534574.266771205</v>
      </c>
    </row>
    <row r="43" spans="1:9" ht="15.75" x14ac:dyDescent="0.25">
      <c r="A43" s="8"/>
      <c r="B43" s="8"/>
      <c r="C43" s="9"/>
      <c r="D43" s="12" t="s">
        <v>39</v>
      </c>
      <c r="E43" s="14">
        <v>2805955.78</v>
      </c>
      <c r="F43" s="14">
        <v>6493117.1918112002</v>
      </c>
      <c r="G43" s="14">
        <v>3290009.53</v>
      </c>
      <c r="H43" s="14">
        <v>0</v>
      </c>
      <c r="I43" s="13">
        <f t="shared" si="0"/>
        <v>12589082.501811199</v>
      </c>
    </row>
    <row r="44" spans="1:9" ht="15.75" x14ac:dyDescent="0.25">
      <c r="A44" s="8"/>
      <c r="B44" s="8"/>
      <c r="C44" s="9"/>
      <c r="D44" s="12" t="s">
        <v>40</v>
      </c>
      <c r="E44" s="14">
        <v>21551.699999999997</v>
      </c>
      <c r="F44" s="14">
        <v>499757.76532080013</v>
      </c>
      <c r="G44" s="14">
        <v>5399740.5500000007</v>
      </c>
      <c r="H44" s="14">
        <v>0</v>
      </c>
      <c r="I44" s="13">
        <f t="shared" si="0"/>
        <v>5921050.0153208012</v>
      </c>
    </row>
    <row r="45" spans="1:9" ht="15.75" x14ac:dyDescent="0.25">
      <c r="A45" s="8"/>
      <c r="B45" s="8"/>
      <c r="C45" s="9"/>
      <c r="D45" s="12" t="s">
        <v>41</v>
      </c>
      <c r="E45" s="14">
        <v>7396881.4799999995</v>
      </c>
      <c r="F45" s="14">
        <v>144711.38370960002</v>
      </c>
      <c r="G45" s="14">
        <v>10494159.209999999</v>
      </c>
      <c r="H45" s="14">
        <v>0</v>
      </c>
      <c r="I45" s="13">
        <f t="shared" si="0"/>
        <v>18035752.0737096</v>
      </c>
    </row>
    <row r="46" spans="1:9" ht="15.75" x14ac:dyDescent="0.25">
      <c r="A46" s="8"/>
      <c r="B46" s="8"/>
      <c r="C46" s="9"/>
      <c r="D46" s="12" t="s">
        <v>42</v>
      </c>
      <c r="E46" s="14">
        <v>363206.41000000003</v>
      </c>
      <c r="F46" s="14">
        <v>482220.42014880007</v>
      </c>
      <c r="G46" s="14">
        <v>22452718.48</v>
      </c>
      <c r="H46" s="14">
        <v>0</v>
      </c>
      <c r="I46" s="13">
        <f t="shared" si="0"/>
        <v>23298145.310148802</v>
      </c>
    </row>
    <row r="47" spans="1:9" ht="15.75" x14ac:dyDescent="0.25">
      <c r="A47" s="8"/>
      <c r="B47" s="8"/>
      <c r="C47" s="9"/>
      <c r="D47" s="12" t="s">
        <v>43</v>
      </c>
      <c r="E47" s="14">
        <v>5329442.09</v>
      </c>
      <c r="F47" s="14">
        <v>3060210.1604328007</v>
      </c>
      <c r="G47" s="14">
        <v>2528745.5</v>
      </c>
      <c r="H47" s="14">
        <v>0</v>
      </c>
      <c r="I47" s="13">
        <f t="shared" si="0"/>
        <v>10918397.750432801</v>
      </c>
    </row>
    <row r="48" spans="1:9" ht="15.75" x14ac:dyDescent="0.25">
      <c r="A48" s="8"/>
      <c r="B48" s="8"/>
      <c r="C48" s="9"/>
      <c r="D48" s="12" t="s">
        <v>44</v>
      </c>
      <c r="E48" s="14">
        <v>1227014.82</v>
      </c>
      <c r="F48" s="14">
        <v>482220.42014880007</v>
      </c>
      <c r="G48" s="14">
        <v>10097275.799999999</v>
      </c>
      <c r="H48" s="14">
        <v>0</v>
      </c>
      <c r="I48" s="13">
        <f t="shared" si="0"/>
        <v>11806511.040148798</v>
      </c>
    </row>
    <row r="49" spans="1:9" ht="15.75" x14ac:dyDescent="0.25">
      <c r="A49" s="8"/>
      <c r="B49" s="8"/>
      <c r="C49" s="9"/>
      <c r="D49" s="12" t="s">
        <v>45</v>
      </c>
      <c r="E49" s="14">
        <v>2042818.3800000001</v>
      </c>
      <c r="F49" s="14">
        <v>574319.7683424002</v>
      </c>
      <c r="G49" s="14">
        <v>20362215.000000004</v>
      </c>
      <c r="H49" s="14">
        <v>0</v>
      </c>
      <c r="I49" s="13">
        <f t="shared" si="0"/>
        <v>22979353.148342405</v>
      </c>
    </row>
    <row r="50" spans="1:9" ht="15.75" x14ac:dyDescent="0.25">
      <c r="A50" s="8"/>
      <c r="B50" s="8"/>
      <c r="C50" s="9"/>
      <c r="D50" s="12" t="s">
        <v>46</v>
      </c>
      <c r="E50" s="14">
        <v>6595600.3199999994</v>
      </c>
      <c r="F50" s="14">
        <v>5550513.1748568006</v>
      </c>
      <c r="G50" s="14">
        <v>1128531.7700000003</v>
      </c>
      <c r="H50" s="14">
        <v>0</v>
      </c>
      <c r="I50" s="13">
        <f t="shared" si="0"/>
        <v>13274645.2648568</v>
      </c>
    </row>
    <row r="51" spans="1:9" ht="15.75" x14ac:dyDescent="0.25">
      <c r="A51" s="8"/>
      <c r="B51" s="8"/>
      <c r="C51" s="9"/>
      <c r="D51" s="12" t="s">
        <v>47</v>
      </c>
      <c r="E51" s="14">
        <v>4309279.3500000006</v>
      </c>
      <c r="F51" s="14">
        <v>10092572.430242402</v>
      </c>
      <c r="G51" s="14">
        <v>3799497.8000000003</v>
      </c>
      <c r="H51" s="14">
        <v>0</v>
      </c>
      <c r="I51" s="13">
        <f t="shared" si="0"/>
        <v>18201349.580242403</v>
      </c>
    </row>
    <row r="52" spans="1:9" ht="15.75" x14ac:dyDescent="0.25">
      <c r="A52" s="8"/>
      <c r="B52" s="8"/>
      <c r="C52" s="9"/>
      <c r="D52" s="12" t="s">
        <v>48</v>
      </c>
      <c r="E52" s="14">
        <v>2999246.78</v>
      </c>
      <c r="F52" s="14">
        <v>10171547.055597601</v>
      </c>
      <c r="G52" s="14">
        <v>931839.73</v>
      </c>
      <c r="H52" s="14">
        <v>0</v>
      </c>
      <c r="I52" s="13">
        <f t="shared" si="0"/>
        <v>14102633.565597601</v>
      </c>
    </row>
    <row r="53" spans="1:9" ht="15.75" x14ac:dyDescent="0.25">
      <c r="A53" s="8"/>
      <c r="B53" s="8"/>
      <c r="C53" s="9"/>
      <c r="D53" s="12" t="s">
        <v>49</v>
      </c>
      <c r="E53" s="14">
        <v>5027012.3100000005</v>
      </c>
      <c r="F53" s="14">
        <v>6971038.1337888017</v>
      </c>
      <c r="G53" s="14">
        <v>2011708.08</v>
      </c>
      <c r="H53" s="14">
        <v>0</v>
      </c>
      <c r="I53" s="13">
        <f t="shared" si="0"/>
        <v>14009758.523788802</v>
      </c>
    </row>
    <row r="54" spans="1:9" ht="15.75" x14ac:dyDescent="0.25">
      <c r="A54" s="8"/>
      <c r="B54" s="8"/>
      <c r="C54" s="9"/>
      <c r="D54" s="12" t="s">
        <v>50</v>
      </c>
      <c r="E54" s="14">
        <v>16681205.820000002</v>
      </c>
      <c r="F54" s="14">
        <v>6401017.8436176013</v>
      </c>
      <c r="G54" s="14">
        <v>2414569.54</v>
      </c>
      <c r="H54" s="14">
        <v>0</v>
      </c>
      <c r="I54" s="13">
        <f t="shared" si="0"/>
        <v>25496793.203617603</v>
      </c>
    </row>
    <row r="55" spans="1:9" ht="15.75" x14ac:dyDescent="0.25">
      <c r="A55" s="8"/>
      <c r="B55" s="8"/>
      <c r="C55" s="9"/>
      <c r="D55" s="12" t="s">
        <v>51</v>
      </c>
      <c r="E55" s="14">
        <v>4093521.38</v>
      </c>
      <c r="F55" s="14">
        <v>13108995.799826402</v>
      </c>
      <c r="G55" s="14">
        <v>280948.91000000003</v>
      </c>
      <c r="H55" s="14">
        <v>0</v>
      </c>
      <c r="I55" s="13">
        <f t="shared" si="0"/>
        <v>17483466.089826401</v>
      </c>
    </row>
    <row r="56" spans="1:9" ht="15.75" x14ac:dyDescent="0.25">
      <c r="A56" s="8"/>
      <c r="B56" s="8"/>
      <c r="C56" s="9"/>
      <c r="D56" s="12" t="s">
        <v>52</v>
      </c>
      <c r="E56" s="14">
        <v>7476417.5500000007</v>
      </c>
      <c r="F56" s="14">
        <v>14590844.894779203</v>
      </c>
      <c r="G56" s="14">
        <v>1105718.6599999999</v>
      </c>
      <c r="H56" s="14">
        <v>0</v>
      </c>
      <c r="I56" s="13">
        <f t="shared" si="0"/>
        <v>23172981.104779202</v>
      </c>
    </row>
    <row r="57" spans="1:9" ht="15.75" x14ac:dyDescent="0.25">
      <c r="A57" s="8"/>
      <c r="B57" s="8"/>
      <c r="C57" s="9"/>
      <c r="D57" s="12" t="s">
        <v>53</v>
      </c>
      <c r="E57" s="14">
        <v>2595267.7199999997</v>
      </c>
      <c r="F57" s="14">
        <v>4822656.7781376019</v>
      </c>
      <c r="G57" s="14">
        <v>1691646.4799999997</v>
      </c>
      <c r="H57" s="14">
        <v>0</v>
      </c>
      <c r="I57" s="13">
        <f t="shared" si="0"/>
        <v>9109570.9781376012</v>
      </c>
    </row>
    <row r="58" spans="1:9" ht="15.75" x14ac:dyDescent="0.25">
      <c r="A58" s="8"/>
      <c r="B58" s="8"/>
      <c r="C58" s="9"/>
      <c r="D58" s="12" t="s">
        <v>54</v>
      </c>
      <c r="E58" s="14">
        <v>4717476.9400000004</v>
      </c>
      <c r="F58" s="14">
        <v>5190941.0267496007</v>
      </c>
      <c r="G58" s="14">
        <v>191660.08000000002</v>
      </c>
      <c r="H58" s="14">
        <v>0</v>
      </c>
      <c r="I58" s="13">
        <f t="shared" si="0"/>
        <v>10100078.046749601</v>
      </c>
    </row>
    <row r="59" spans="1:9" ht="15.75" x14ac:dyDescent="0.25">
      <c r="A59" s="8"/>
      <c r="B59" s="8"/>
      <c r="C59" s="9"/>
      <c r="D59" s="12" t="s">
        <v>55</v>
      </c>
      <c r="E59" s="14">
        <v>4440060.2799999993</v>
      </c>
      <c r="F59" s="14">
        <v>8768559.4418376014</v>
      </c>
      <c r="G59" s="14">
        <v>2024297.5</v>
      </c>
      <c r="H59" s="14">
        <v>0</v>
      </c>
      <c r="I59" s="13">
        <f t="shared" si="0"/>
        <v>15232917.221837601</v>
      </c>
    </row>
    <row r="60" spans="1:9" ht="15.75" x14ac:dyDescent="0.25">
      <c r="A60" s="8"/>
      <c r="B60" s="8"/>
      <c r="C60" s="9"/>
      <c r="D60" s="12" t="s">
        <v>56</v>
      </c>
      <c r="E60" s="14">
        <v>3779975.57</v>
      </c>
      <c r="F60" s="14">
        <v>5304990.3424488008</v>
      </c>
      <c r="G60" s="14">
        <v>1192776.2</v>
      </c>
      <c r="H60" s="14">
        <v>0</v>
      </c>
      <c r="I60" s="13">
        <f t="shared" si="0"/>
        <v>10277742.1124488</v>
      </c>
    </row>
    <row r="61" spans="1:9" ht="15.75" x14ac:dyDescent="0.25">
      <c r="A61" s="8"/>
      <c r="B61" s="8"/>
      <c r="C61" s="9"/>
      <c r="D61" s="12" t="s">
        <v>57</v>
      </c>
      <c r="E61" s="14">
        <v>7569337.6099999985</v>
      </c>
      <c r="F61" s="14">
        <v>8900032.9585464019</v>
      </c>
      <c r="G61" s="14">
        <v>1204326.9099999999</v>
      </c>
      <c r="H61" s="14">
        <v>0</v>
      </c>
      <c r="I61" s="13">
        <f t="shared" si="0"/>
        <v>17673697.4785464</v>
      </c>
    </row>
    <row r="62" spans="1:9" ht="15.75" x14ac:dyDescent="0.25">
      <c r="A62" s="8"/>
      <c r="B62" s="8"/>
      <c r="C62" s="9"/>
      <c r="D62" s="12" t="s">
        <v>58</v>
      </c>
      <c r="E62" s="14">
        <v>6620042.9799999995</v>
      </c>
      <c r="F62" s="14">
        <v>9930436.8455232028</v>
      </c>
      <c r="G62" s="14">
        <v>87967704.109999985</v>
      </c>
      <c r="H62" s="14">
        <v>0</v>
      </c>
      <c r="I62" s="13">
        <f t="shared" si="0"/>
        <v>104518183.93552318</v>
      </c>
    </row>
    <row r="63" spans="1:9" ht="15.75" x14ac:dyDescent="0.25">
      <c r="A63" s="8"/>
      <c r="B63" s="8"/>
      <c r="C63" s="9"/>
      <c r="D63" s="12" t="s">
        <v>59</v>
      </c>
      <c r="E63" s="14">
        <v>1187483.0099999995</v>
      </c>
      <c r="F63" s="14">
        <v>1096027.5011688003</v>
      </c>
      <c r="G63" s="14">
        <v>7106420.3899999997</v>
      </c>
      <c r="H63" s="14">
        <v>0</v>
      </c>
      <c r="I63" s="13">
        <f t="shared" si="0"/>
        <v>9389930.901168799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45259412.910000011</v>
      </c>
      <c r="H64" s="14">
        <v>0</v>
      </c>
      <c r="I64" s="13">
        <f t="shared" si="0"/>
        <v>45259412.910000011</v>
      </c>
    </row>
    <row r="65" spans="1:9" ht="15.75" x14ac:dyDescent="0.25">
      <c r="A65" s="8"/>
      <c r="B65" s="8"/>
      <c r="C65" s="9"/>
      <c r="D65" s="12" t="s">
        <v>61</v>
      </c>
      <c r="E65" s="14">
        <v>8607429.9799999986</v>
      </c>
      <c r="F65" s="14">
        <v>12977409.138955206</v>
      </c>
      <c r="G65" s="14">
        <v>1583117.35</v>
      </c>
      <c r="H65" s="14">
        <v>0</v>
      </c>
      <c r="I65" s="13">
        <f t="shared" si="0"/>
        <v>23167956.468955204</v>
      </c>
    </row>
    <row r="66" spans="1:9" ht="15.75" x14ac:dyDescent="0.25">
      <c r="A66" s="8"/>
      <c r="B66" s="8"/>
      <c r="C66" s="9"/>
      <c r="D66" s="12" t="s">
        <v>62</v>
      </c>
      <c r="E66" s="14">
        <v>35028824.240000002</v>
      </c>
      <c r="F66" s="14">
        <v>25801507.937858403</v>
      </c>
      <c r="G66" s="14">
        <v>2885151.84</v>
      </c>
      <c r="H66" s="14">
        <v>0</v>
      </c>
      <c r="I66" s="13">
        <f t="shared" si="0"/>
        <v>63715484.017858401</v>
      </c>
    </row>
    <row r="67" spans="1:9" ht="15.75" x14ac:dyDescent="0.25">
      <c r="A67" s="8"/>
      <c r="B67" s="8"/>
      <c r="C67" s="9"/>
      <c r="D67" s="12" t="s">
        <v>63</v>
      </c>
      <c r="E67" s="14">
        <v>5272878.54</v>
      </c>
      <c r="F67" s="14">
        <v>11925281.572797602</v>
      </c>
      <c r="G67" s="14">
        <v>1351865.2499999998</v>
      </c>
      <c r="H67" s="14">
        <v>0</v>
      </c>
      <c r="I67" s="13">
        <f t="shared" si="0"/>
        <v>18550025.362797603</v>
      </c>
    </row>
    <row r="68" spans="1:9" ht="15.75" x14ac:dyDescent="0.25">
      <c r="A68" s="8"/>
      <c r="B68" s="8"/>
      <c r="C68" s="9"/>
      <c r="D68" s="12" t="s">
        <v>64</v>
      </c>
      <c r="E68" s="14">
        <v>4511445.3499999996</v>
      </c>
      <c r="F68" s="14">
        <v>5041930.1648688018</v>
      </c>
      <c r="G68" s="14">
        <v>32571.649999999998</v>
      </c>
      <c r="H68" s="14">
        <v>0</v>
      </c>
      <c r="I68" s="13">
        <f t="shared" si="0"/>
        <v>9585947.1648688018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12394439.520000001</v>
      </c>
      <c r="H69" s="14">
        <v>0</v>
      </c>
      <c r="I69" s="13">
        <f t="shared" si="0"/>
        <v>12394439.520000001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15107852.390000002</v>
      </c>
      <c r="H70" s="14">
        <v>0</v>
      </c>
      <c r="I70" s="13">
        <f t="shared" si="0"/>
        <v>15107852.390000002</v>
      </c>
    </row>
    <row r="71" spans="1:9" ht="15.75" x14ac:dyDescent="0.25">
      <c r="A71" s="8"/>
      <c r="B71" s="8"/>
      <c r="C71" s="9"/>
      <c r="D71" s="12" t="s">
        <v>67</v>
      </c>
      <c r="E71" s="14">
        <v>69833.66</v>
      </c>
      <c r="F71" s="14">
        <v>131473.51670880002</v>
      </c>
      <c r="G71" s="14">
        <v>13713402.949999999</v>
      </c>
      <c r="H71" s="14">
        <v>0</v>
      </c>
      <c r="I71" s="13">
        <f t="shared" si="0"/>
        <v>13914710.1267088</v>
      </c>
    </row>
    <row r="72" spans="1:9" ht="15.75" x14ac:dyDescent="0.25">
      <c r="A72" s="8"/>
      <c r="B72" s="8"/>
      <c r="C72" s="9"/>
      <c r="D72" s="12" t="s">
        <v>68</v>
      </c>
      <c r="E72" s="14">
        <v>7668635.6500000004</v>
      </c>
      <c r="F72" s="14">
        <v>8189827.0511616021</v>
      </c>
      <c r="G72" s="14">
        <v>13835964.66</v>
      </c>
      <c r="H72" s="14">
        <v>0</v>
      </c>
      <c r="I72" s="13">
        <f t="shared" si="0"/>
        <v>29694427.361161605</v>
      </c>
    </row>
    <row r="73" spans="1:9" ht="15.75" x14ac:dyDescent="0.25">
      <c r="A73" s="8"/>
      <c r="B73" s="8"/>
      <c r="C73" s="9"/>
      <c r="D73" s="12" t="s">
        <v>69</v>
      </c>
      <c r="E73" s="14">
        <v>589597.18000000005</v>
      </c>
      <c r="F73" s="14">
        <v>0</v>
      </c>
      <c r="G73" s="14">
        <v>7995003.8599999994</v>
      </c>
      <c r="H73" s="14">
        <v>0</v>
      </c>
      <c r="I73" s="13">
        <f t="shared" si="0"/>
        <v>8584601.0399999991</v>
      </c>
    </row>
    <row r="74" spans="1:9" ht="15.75" x14ac:dyDescent="0.25">
      <c r="A74" s="8"/>
      <c r="B74" s="8"/>
      <c r="C74" s="9"/>
      <c r="D74" s="12" t="s">
        <v>70</v>
      </c>
      <c r="E74" s="14">
        <v>685427.18</v>
      </c>
      <c r="F74" s="14">
        <v>692668.56221280014</v>
      </c>
      <c r="G74" s="14">
        <v>75379930.010000005</v>
      </c>
      <c r="H74" s="14">
        <v>0</v>
      </c>
      <c r="I74" s="13">
        <f t="shared" ref="I74:I137" si="1">SUM(E74:H74)</f>
        <v>76758025.752212808</v>
      </c>
    </row>
    <row r="75" spans="1:9" ht="15.75" x14ac:dyDescent="0.25">
      <c r="A75" s="8"/>
      <c r="B75" s="8"/>
      <c r="C75" s="9"/>
      <c r="D75" s="12" t="s">
        <v>71</v>
      </c>
      <c r="E75" s="14">
        <v>5193130.7799999993</v>
      </c>
      <c r="F75" s="14">
        <v>2691925.9118208005</v>
      </c>
      <c r="G75" s="14">
        <v>120914856.41000001</v>
      </c>
      <c r="H75" s="14">
        <v>0</v>
      </c>
      <c r="I75" s="13">
        <f t="shared" si="1"/>
        <v>128799913.10182081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43535651.509999998</v>
      </c>
      <c r="H76" s="14">
        <v>0</v>
      </c>
      <c r="I76" s="13">
        <f t="shared" si="1"/>
        <v>43535651.509999998</v>
      </c>
    </row>
    <row r="77" spans="1:9" ht="15.75" x14ac:dyDescent="0.25">
      <c r="A77" s="8"/>
      <c r="B77" s="8"/>
      <c r="C77" s="9"/>
      <c r="D77" s="12" t="s">
        <v>73</v>
      </c>
      <c r="E77" s="14">
        <v>5123217.92</v>
      </c>
      <c r="F77" s="14">
        <v>13350106.009900805</v>
      </c>
      <c r="G77" s="14">
        <v>1145144.4800000002</v>
      </c>
      <c r="H77" s="14">
        <v>0</v>
      </c>
      <c r="I77" s="13">
        <f t="shared" si="1"/>
        <v>19618468.409900803</v>
      </c>
    </row>
    <row r="78" spans="1:9" ht="15.75" x14ac:dyDescent="0.25">
      <c r="A78" s="8"/>
      <c r="B78" s="8"/>
      <c r="C78" s="9"/>
      <c r="D78" s="12" t="s">
        <v>74</v>
      </c>
      <c r="E78" s="14">
        <v>9169049.5000000019</v>
      </c>
      <c r="F78" s="14">
        <v>13547429.429126404</v>
      </c>
      <c r="G78" s="14">
        <v>2062253.8800000004</v>
      </c>
      <c r="H78" s="14">
        <v>0</v>
      </c>
      <c r="I78" s="13">
        <f t="shared" si="1"/>
        <v>24778732.809126403</v>
      </c>
    </row>
    <row r="79" spans="1:9" ht="15.75" x14ac:dyDescent="0.25">
      <c r="A79" s="8"/>
      <c r="B79" s="8"/>
      <c r="C79" s="9"/>
      <c r="D79" s="12" t="s">
        <v>75</v>
      </c>
      <c r="E79" s="14">
        <v>6841229.8600000003</v>
      </c>
      <c r="F79" s="14">
        <v>7606682.0381520018</v>
      </c>
      <c r="G79" s="14">
        <v>1928024.34</v>
      </c>
      <c r="H79" s="14">
        <v>0</v>
      </c>
      <c r="I79" s="13">
        <f t="shared" si="1"/>
        <v>16375936.238152001</v>
      </c>
    </row>
    <row r="80" spans="1:9" ht="15.75" x14ac:dyDescent="0.25">
      <c r="A80" s="8"/>
      <c r="B80" s="8"/>
      <c r="C80" s="9"/>
      <c r="D80" s="12" t="s">
        <v>76</v>
      </c>
      <c r="E80" s="14">
        <v>6843363.8500000015</v>
      </c>
      <c r="F80" s="14">
        <v>4020351.5225592009</v>
      </c>
      <c r="G80" s="14">
        <v>519740.97000000003</v>
      </c>
      <c r="H80" s="14">
        <v>0</v>
      </c>
      <c r="I80" s="13">
        <f t="shared" si="1"/>
        <v>11383456.342559204</v>
      </c>
    </row>
    <row r="81" spans="1:9" ht="15.75" x14ac:dyDescent="0.25">
      <c r="A81" s="8"/>
      <c r="B81" s="8"/>
      <c r="C81" s="9"/>
      <c r="D81" s="12" t="s">
        <v>77</v>
      </c>
      <c r="E81" s="14">
        <v>20210049.250000004</v>
      </c>
      <c r="F81" s="14">
        <v>24258221.562722407</v>
      </c>
      <c r="G81" s="14">
        <v>5310989.0399999991</v>
      </c>
      <c r="H81" s="14">
        <v>0</v>
      </c>
      <c r="I81" s="13">
        <f t="shared" si="1"/>
        <v>49779259.852722414</v>
      </c>
    </row>
    <row r="82" spans="1:9" ht="15.75" x14ac:dyDescent="0.25">
      <c r="A82" s="8"/>
      <c r="B82" s="8"/>
      <c r="C82" s="9"/>
      <c r="D82" s="12" t="s">
        <v>78</v>
      </c>
      <c r="E82" s="14">
        <v>22051983.429999996</v>
      </c>
      <c r="F82" s="14">
        <v>16813675.109289605</v>
      </c>
      <c r="G82" s="14">
        <v>1341863.3499999999</v>
      </c>
      <c r="H82" s="14">
        <v>0</v>
      </c>
      <c r="I82" s="13">
        <f t="shared" si="1"/>
        <v>40207521.889289603</v>
      </c>
    </row>
    <row r="83" spans="1:9" ht="15.75" x14ac:dyDescent="0.25">
      <c r="A83" s="8"/>
      <c r="B83" s="8"/>
      <c r="C83" s="9"/>
      <c r="D83" s="12" t="s">
        <v>79</v>
      </c>
      <c r="E83" s="14">
        <v>8257338.1899999976</v>
      </c>
      <c r="F83" s="14">
        <v>6905188.2312720008</v>
      </c>
      <c r="G83" s="14">
        <v>5729085.3800000008</v>
      </c>
      <c r="H83" s="14">
        <v>0</v>
      </c>
      <c r="I83" s="13">
        <f t="shared" si="1"/>
        <v>20891611.801271997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42081697.910000004</v>
      </c>
      <c r="H84" s="14">
        <v>0</v>
      </c>
      <c r="I84" s="13">
        <f t="shared" si="1"/>
        <v>42081697.910000004</v>
      </c>
    </row>
    <row r="85" spans="1:9" ht="15.75" x14ac:dyDescent="0.25">
      <c r="A85" s="8"/>
      <c r="B85" s="8"/>
      <c r="C85" s="9"/>
      <c r="D85" s="12" t="s">
        <v>81</v>
      </c>
      <c r="E85" s="14">
        <v>8059758.9500000002</v>
      </c>
      <c r="F85" s="14">
        <v>2148268.2114888006</v>
      </c>
      <c r="G85" s="14">
        <v>10938886.699999999</v>
      </c>
      <c r="H85" s="14">
        <v>0</v>
      </c>
      <c r="I85" s="13">
        <f t="shared" si="1"/>
        <v>21146913.8614888</v>
      </c>
    </row>
    <row r="86" spans="1:9" ht="15.75" x14ac:dyDescent="0.25">
      <c r="A86" s="8"/>
      <c r="B86" s="8"/>
      <c r="C86" s="9"/>
      <c r="D86" s="12" t="s">
        <v>82</v>
      </c>
      <c r="E86" s="14">
        <v>12949005.41</v>
      </c>
      <c r="F86" s="14">
        <v>8921982.9260520022</v>
      </c>
      <c r="G86" s="14">
        <v>1861722.27</v>
      </c>
      <c r="H86" s="14">
        <v>0</v>
      </c>
      <c r="I86" s="13">
        <f t="shared" si="1"/>
        <v>23732710.606052</v>
      </c>
    </row>
    <row r="87" spans="1:9" ht="15.75" x14ac:dyDescent="0.25">
      <c r="A87" s="8"/>
      <c r="B87" s="8"/>
      <c r="C87" s="9"/>
      <c r="D87" s="12" t="s">
        <v>83</v>
      </c>
      <c r="E87" s="14">
        <v>2555277.9300000002</v>
      </c>
      <c r="F87" s="14">
        <v>11749908.121077603</v>
      </c>
      <c r="G87" s="14">
        <v>1219913.83</v>
      </c>
      <c r="H87" s="14">
        <v>0</v>
      </c>
      <c r="I87" s="13">
        <f t="shared" si="1"/>
        <v>15525099.881077603</v>
      </c>
    </row>
    <row r="88" spans="1:9" ht="15.75" x14ac:dyDescent="0.25">
      <c r="A88" s="8"/>
      <c r="B88" s="8"/>
      <c r="C88" s="9"/>
      <c r="D88" s="12" t="s">
        <v>84</v>
      </c>
      <c r="E88" s="14">
        <v>1182410.97</v>
      </c>
      <c r="F88" s="14">
        <v>0</v>
      </c>
      <c r="G88" s="14">
        <v>14110593.579999998</v>
      </c>
      <c r="H88" s="14">
        <v>0</v>
      </c>
      <c r="I88" s="13">
        <f t="shared" si="1"/>
        <v>15293004.549999999</v>
      </c>
    </row>
    <row r="89" spans="1:9" ht="15.75" x14ac:dyDescent="0.25">
      <c r="A89" s="8"/>
      <c r="B89" s="8"/>
      <c r="C89" s="9"/>
      <c r="D89" s="12" t="s">
        <v>85</v>
      </c>
      <c r="E89" s="14">
        <v>5189963.6500000004</v>
      </c>
      <c r="F89" s="14">
        <v>11521922.633841604</v>
      </c>
      <c r="G89" s="14">
        <v>1040929.28</v>
      </c>
      <c r="H89" s="14">
        <v>0</v>
      </c>
      <c r="I89" s="13">
        <f t="shared" si="1"/>
        <v>17752815.563841604</v>
      </c>
    </row>
    <row r="90" spans="1:9" ht="15.75" x14ac:dyDescent="0.25">
      <c r="A90" s="8"/>
      <c r="B90" s="8"/>
      <c r="C90" s="9"/>
      <c r="D90" s="12" t="s">
        <v>86</v>
      </c>
      <c r="E90" s="14">
        <v>4690425.790000001</v>
      </c>
      <c r="F90" s="14">
        <v>2981348.6792400014</v>
      </c>
      <c r="G90" s="14">
        <v>3593376.1900000004</v>
      </c>
      <c r="H90" s="14">
        <v>0</v>
      </c>
      <c r="I90" s="13">
        <f t="shared" si="1"/>
        <v>11265150.659240004</v>
      </c>
    </row>
    <row r="91" spans="1:9" ht="15.75" x14ac:dyDescent="0.25">
      <c r="A91" s="8"/>
      <c r="B91" s="8"/>
      <c r="C91" s="9"/>
      <c r="D91" s="12" t="s">
        <v>87</v>
      </c>
      <c r="E91" s="14">
        <v>5768284.3200000003</v>
      </c>
      <c r="F91" s="14">
        <v>6799964.160240002</v>
      </c>
      <c r="G91" s="14">
        <v>6539182.8500000006</v>
      </c>
      <c r="H91" s="14">
        <v>0</v>
      </c>
      <c r="I91" s="13">
        <f t="shared" si="1"/>
        <v>19107431.330240004</v>
      </c>
    </row>
    <row r="92" spans="1:9" ht="15.75" x14ac:dyDescent="0.25">
      <c r="A92" s="8"/>
      <c r="B92" s="8"/>
      <c r="C92" s="9"/>
      <c r="D92" s="12" t="s">
        <v>88</v>
      </c>
      <c r="E92" s="14">
        <v>2168962.4899999998</v>
      </c>
      <c r="F92" s="14">
        <v>938191.39462080016</v>
      </c>
      <c r="G92" s="14">
        <v>22353946.020000003</v>
      </c>
      <c r="H92" s="14">
        <v>0</v>
      </c>
      <c r="I92" s="13">
        <f t="shared" si="1"/>
        <v>25461099.904620804</v>
      </c>
    </row>
    <row r="93" spans="1:9" ht="15.75" x14ac:dyDescent="0.25">
      <c r="A93" s="8"/>
      <c r="B93" s="8"/>
      <c r="C93" s="9"/>
      <c r="D93" s="12" t="s">
        <v>89</v>
      </c>
      <c r="E93" s="14">
        <v>7166220.6899999995</v>
      </c>
      <c r="F93" s="14">
        <v>7602382.5599808004</v>
      </c>
      <c r="G93" s="14">
        <v>2167097.1599999997</v>
      </c>
      <c r="H93" s="14">
        <v>0</v>
      </c>
      <c r="I93" s="13">
        <f t="shared" si="1"/>
        <v>16935700.4099808</v>
      </c>
    </row>
    <row r="94" spans="1:9" ht="15.75" x14ac:dyDescent="0.25">
      <c r="A94" s="8"/>
      <c r="B94" s="8"/>
      <c r="C94" s="9"/>
      <c r="D94" s="12" t="s">
        <v>90</v>
      </c>
      <c r="E94" s="14">
        <v>48171.95</v>
      </c>
      <c r="F94" s="14">
        <v>0</v>
      </c>
      <c r="G94" s="14">
        <v>652019.34</v>
      </c>
      <c r="H94" s="14">
        <v>0</v>
      </c>
      <c r="I94" s="13">
        <f t="shared" si="1"/>
        <v>700191.28999999992</v>
      </c>
    </row>
    <row r="95" spans="1:9" ht="15.75" x14ac:dyDescent="0.25">
      <c r="A95" s="8"/>
      <c r="B95" s="8"/>
      <c r="C95" s="9"/>
      <c r="D95" s="12" t="s">
        <v>91</v>
      </c>
      <c r="E95" s="14">
        <v>1143862.44</v>
      </c>
      <c r="F95" s="14">
        <v>241110.21007440003</v>
      </c>
      <c r="G95" s="14">
        <v>22468032.690000001</v>
      </c>
      <c r="H95" s="14">
        <v>0</v>
      </c>
      <c r="I95" s="13">
        <f t="shared" si="1"/>
        <v>23853005.340074401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32194057.469999999</v>
      </c>
      <c r="H96" s="14">
        <v>0</v>
      </c>
      <c r="I96" s="13">
        <f t="shared" si="1"/>
        <v>32194057.469999999</v>
      </c>
    </row>
    <row r="97" spans="1:9" ht="15.75" x14ac:dyDescent="0.25">
      <c r="A97" s="8"/>
      <c r="B97" s="8"/>
      <c r="C97" s="9"/>
      <c r="D97" s="12" t="s">
        <v>93</v>
      </c>
      <c r="E97" s="14">
        <v>2026326.1099999999</v>
      </c>
      <c r="F97" s="14">
        <v>10829140.927466404</v>
      </c>
      <c r="G97" s="14">
        <v>1594437.7899999998</v>
      </c>
      <c r="H97" s="14">
        <v>0</v>
      </c>
      <c r="I97" s="13">
        <f t="shared" si="1"/>
        <v>14449904.827466402</v>
      </c>
    </row>
    <row r="98" spans="1:9" ht="15.75" x14ac:dyDescent="0.25">
      <c r="A98" s="8"/>
      <c r="B98" s="8"/>
      <c r="C98" s="9"/>
      <c r="D98" s="12" t="s">
        <v>94</v>
      </c>
      <c r="E98" s="14">
        <v>11899134.949999999</v>
      </c>
      <c r="F98" s="14">
        <v>14244510.613672804</v>
      </c>
      <c r="G98" s="14">
        <v>10433849.890000002</v>
      </c>
      <c r="H98" s="14">
        <v>0</v>
      </c>
      <c r="I98" s="13">
        <f t="shared" si="1"/>
        <v>36577495.453672804</v>
      </c>
    </row>
    <row r="99" spans="1:9" ht="15.75" x14ac:dyDescent="0.25">
      <c r="A99" s="8"/>
      <c r="B99" s="8"/>
      <c r="C99" s="9"/>
      <c r="D99" s="12" t="s">
        <v>95</v>
      </c>
      <c r="E99" s="14">
        <v>17051502.189999998</v>
      </c>
      <c r="F99" s="14">
        <v>27143058.271435209</v>
      </c>
      <c r="G99" s="14">
        <v>5917645.3799999999</v>
      </c>
      <c r="H99" s="14">
        <v>0</v>
      </c>
      <c r="I99" s="13">
        <f t="shared" si="1"/>
        <v>50112205.841435209</v>
      </c>
    </row>
    <row r="100" spans="1:9" ht="15.75" x14ac:dyDescent="0.25">
      <c r="A100" s="8"/>
      <c r="B100" s="8"/>
      <c r="C100" s="9"/>
      <c r="D100" s="12" t="s">
        <v>96</v>
      </c>
      <c r="E100" s="14">
        <v>8370115.3499999987</v>
      </c>
      <c r="F100" s="14">
        <v>27156182.994273607</v>
      </c>
      <c r="G100" s="14">
        <v>12477368.139999999</v>
      </c>
      <c r="H100" s="14">
        <v>0</v>
      </c>
      <c r="I100" s="13">
        <f t="shared" si="1"/>
        <v>48003666.484273605</v>
      </c>
    </row>
    <row r="101" spans="1:9" ht="15.75" x14ac:dyDescent="0.25">
      <c r="A101" s="8"/>
      <c r="B101" s="8"/>
      <c r="C101" s="9"/>
      <c r="D101" s="12" t="s">
        <v>97</v>
      </c>
      <c r="E101" s="14">
        <v>1054059.32</v>
      </c>
      <c r="F101" s="14">
        <v>36442942.699903212</v>
      </c>
      <c r="G101" s="14">
        <v>105597.68</v>
      </c>
      <c r="H101" s="14">
        <v>0</v>
      </c>
      <c r="I101" s="13">
        <f t="shared" si="1"/>
        <v>37602599.699903212</v>
      </c>
    </row>
    <row r="102" spans="1:9" ht="15.75" x14ac:dyDescent="0.25">
      <c r="A102" s="8"/>
      <c r="B102" s="8"/>
      <c r="C102" s="9"/>
      <c r="D102" s="12" t="s">
        <v>98</v>
      </c>
      <c r="E102" s="14">
        <v>10639755.210000001</v>
      </c>
      <c r="F102" s="14">
        <v>15669448.194938404</v>
      </c>
      <c r="G102" s="14">
        <v>5149892.7200000007</v>
      </c>
      <c r="H102" s="14">
        <v>0</v>
      </c>
      <c r="I102" s="13">
        <f t="shared" si="1"/>
        <v>31459096.124938406</v>
      </c>
    </row>
    <row r="103" spans="1:9" ht="15.75" x14ac:dyDescent="0.25">
      <c r="A103" s="8"/>
      <c r="B103" s="8"/>
      <c r="C103" s="9"/>
      <c r="D103" s="12" t="s">
        <v>99</v>
      </c>
      <c r="E103" s="14">
        <v>4486150.28</v>
      </c>
      <c r="F103" s="14">
        <v>4976193.4065144006</v>
      </c>
      <c r="G103" s="14">
        <v>663714.31999999995</v>
      </c>
      <c r="H103" s="14">
        <v>0</v>
      </c>
      <c r="I103" s="13">
        <f t="shared" si="1"/>
        <v>10126058.0065144</v>
      </c>
    </row>
    <row r="104" spans="1:9" ht="15.75" x14ac:dyDescent="0.25">
      <c r="A104" s="8"/>
      <c r="B104" s="8"/>
      <c r="C104" s="9"/>
      <c r="D104" s="12" t="s">
        <v>100</v>
      </c>
      <c r="E104" s="14">
        <v>23100373.979999993</v>
      </c>
      <c r="F104" s="14">
        <v>9092943.7554384023</v>
      </c>
      <c r="G104" s="14">
        <v>11663172.15</v>
      </c>
      <c r="H104" s="14">
        <v>0</v>
      </c>
      <c r="I104" s="13">
        <f t="shared" si="1"/>
        <v>43856489.885438398</v>
      </c>
    </row>
    <row r="105" spans="1:9" ht="15.75" x14ac:dyDescent="0.25">
      <c r="A105" s="8"/>
      <c r="B105" s="8"/>
      <c r="C105" s="9"/>
      <c r="D105" s="12" t="s">
        <v>101</v>
      </c>
      <c r="E105" s="14">
        <v>5518272.3099999996</v>
      </c>
      <c r="F105" s="14">
        <v>13503529.494115205</v>
      </c>
      <c r="G105" s="14">
        <v>276661.39</v>
      </c>
      <c r="H105" s="14">
        <v>0</v>
      </c>
      <c r="I105" s="13">
        <f t="shared" si="1"/>
        <v>19298463.194115207</v>
      </c>
    </row>
    <row r="106" spans="1:9" ht="15.75" x14ac:dyDescent="0.25">
      <c r="A106" s="8"/>
      <c r="B106" s="8"/>
      <c r="C106" s="9"/>
      <c r="D106" s="12" t="s">
        <v>102</v>
      </c>
      <c r="E106" s="14">
        <v>13139244.719999999</v>
      </c>
      <c r="F106" s="14">
        <v>832967.32358880027</v>
      </c>
      <c r="G106" s="14">
        <v>25188379.840000004</v>
      </c>
      <c r="H106" s="14">
        <v>0</v>
      </c>
      <c r="I106" s="13">
        <f t="shared" si="1"/>
        <v>39160591.883588806</v>
      </c>
    </row>
    <row r="107" spans="1:9" ht="15.75" x14ac:dyDescent="0.25">
      <c r="A107" s="8"/>
      <c r="B107" s="8"/>
      <c r="C107" s="9"/>
      <c r="D107" s="12" t="s">
        <v>103</v>
      </c>
      <c r="E107" s="14">
        <v>456441.80000000005</v>
      </c>
      <c r="F107" s="14">
        <v>0</v>
      </c>
      <c r="G107" s="14">
        <v>4829172.18</v>
      </c>
      <c r="H107" s="14">
        <v>0</v>
      </c>
      <c r="I107" s="13">
        <f t="shared" si="1"/>
        <v>5285613.9799999995</v>
      </c>
    </row>
    <row r="108" spans="1:9" ht="15.75" x14ac:dyDescent="0.25">
      <c r="A108" s="8"/>
      <c r="B108" s="8"/>
      <c r="C108" s="9"/>
      <c r="D108" s="12" t="s">
        <v>104</v>
      </c>
      <c r="E108" s="14">
        <v>464736.33</v>
      </c>
      <c r="F108" s="14">
        <v>0</v>
      </c>
      <c r="G108" s="14">
        <v>3616967.78</v>
      </c>
      <c r="H108" s="14">
        <v>0</v>
      </c>
      <c r="I108" s="13">
        <f t="shared" si="1"/>
        <v>4081704.11</v>
      </c>
    </row>
    <row r="109" spans="1:9" ht="15.75" x14ac:dyDescent="0.25">
      <c r="A109" s="8"/>
      <c r="B109" s="8"/>
      <c r="C109" s="9"/>
      <c r="D109" s="12" t="s">
        <v>105</v>
      </c>
      <c r="E109" s="14">
        <v>1350409.3499999999</v>
      </c>
      <c r="F109" s="14">
        <v>21719719.135116007</v>
      </c>
      <c r="G109" s="14">
        <v>244324.84000000003</v>
      </c>
      <c r="H109" s="14">
        <v>0</v>
      </c>
      <c r="I109" s="13">
        <f t="shared" si="1"/>
        <v>23314453.325116009</v>
      </c>
    </row>
    <row r="110" spans="1:9" ht="15.75" x14ac:dyDescent="0.25">
      <c r="A110" s="8"/>
      <c r="B110" s="8"/>
      <c r="C110" s="9"/>
      <c r="D110" s="12" t="s">
        <v>106</v>
      </c>
      <c r="E110" s="14">
        <v>2347847.29</v>
      </c>
      <c r="F110" s="14">
        <v>5037517.5425352016</v>
      </c>
      <c r="G110" s="14">
        <v>977229.1399999999</v>
      </c>
      <c r="H110" s="14">
        <v>0</v>
      </c>
      <c r="I110" s="13">
        <f t="shared" si="1"/>
        <v>8362593.9725352013</v>
      </c>
    </row>
    <row r="111" spans="1:9" ht="15.75" x14ac:dyDescent="0.25">
      <c r="A111" s="8"/>
      <c r="B111" s="8"/>
      <c r="C111" s="9"/>
      <c r="D111" s="12" t="s">
        <v>107</v>
      </c>
      <c r="E111" s="14">
        <v>174163.77000000002</v>
      </c>
      <c r="F111" s="14">
        <v>83274.103526400024</v>
      </c>
      <c r="G111" s="14">
        <v>43926025.320000008</v>
      </c>
      <c r="H111" s="14">
        <v>0</v>
      </c>
      <c r="I111" s="13">
        <f t="shared" si="1"/>
        <v>44183463.19352641</v>
      </c>
    </row>
    <row r="112" spans="1:9" ht="15.75" x14ac:dyDescent="0.25">
      <c r="A112" s="8"/>
      <c r="B112" s="8"/>
      <c r="C112" s="9"/>
      <c r="D112" s="12" t="s">
        <v>108</v>
      </c>
      <c r="E112" s="14">
        <v>5835748.5499999998</v>
      </c>
      <c r="F112" s="14">
        <v>5699524.0367376013</v>
      </c>
      <c r="G112" s="14">
        <v>3538801.83</v>
      </c>
      <c r="H112" s="14">
        <v>0</v>
      </c>
      <c r="I112" s="13">
        <f t="shared" si="1"/>
        <v>15074074.416737601</v>
      </c>
    </row>
    <row r="113" spans="1:9" ht="15.75" x14ac:dyDescent="0.25">
      <c r="A113" s="8"/>
      <c r="B113" s="8"/>
      <c r="C113" s="9"/>
      <c r="D113" s="12" t="s">
        <v>109</v>
      </c>
      <c r="E113" s="14">
        <v>3472934.9999999995</v>
      </c>
      <c r="F113" s="14">
        <v>13722802.880846404</v>
      </c>
      <c r="G113" s="14">
        <v>1402990.3499999999</v>
      </c>
      <c r="H113" s="14">
        <v>0</v>
      </c>
      <c r="I113" s="13">
        <f t="shared" si="1"/>
        <v>18598728.230846405</v>
      </c>
    </row>
    <row r="114" spans="1:9" ht="15.75" x14ac:dyDescent="0.25">
      <c r="A114" s="8"/>
      <c r="B114" s="8"/>
      <c r="C114" s="9"/>
      <c r="D114" s="12" t="s">
        <v>110</v>
      </c>
      <c r="E114" s="14">
        <v>5428891.1700000009</v>
      </c>
      <c r="F114" s="14">
        <v>15739597.575626403</v>
      </c>
      <c r="G114" s="14">
        <v>2147890.84</v>
      </c>
      <c r="H114" s="14">
        <v>0</v>
      </c>
      <c r="I114" s="13">
        <f t="shared" si="1"/>
        <v>23316379.585626405</v>
      </c>
    </row>
    <row r="115" spans="1:9" ht="15.75" x14ac:dyDescent="0.25">
      <c r="A115" s="8"/>
      <c r="B115" s="8"/>
      <c r="C115" s="9"/>
      <c r="D115" s="12" t="s">
        <v>111</v>
      </c>
      <c r="E115" s="14">
        <v>22881668.580000002</v>
      </c>
      <c r="F115" s="14">
        <v>7782055.4898720011</v>
      </c>
      <c r="G115" s="14">
        <v>2907777.64</v>
      </c>
      <c r="H115" s="14">
        <v>0</v>
      </c>
      <c r="I115" s="13">
        <f t="shared" si="1"/>
        <v>33571501.709872</v>
      </c>
    </row>
    <row r="116" spans="1:9" ht="15.75" x14ac:dyDescent="0.25">
      <c r="A116" s="8"/>
      <c r="B116" s="8"/>
      <c r="C116" s="9"/>
      <c r="D116" s="12" t="s">
        <v>112</v>
      </c>
      <c r="E116" s="14">
        <v>2020533.7000000002</v>
      </c>
      <c r="F116" s="14">
        <v>10105810.297243202</v>
      </c>
      <c r="G116" s="14">
        <v>30422.510000000002</v>
      </c>
      <c r="H116" s="14">
        <v>0</v>
      </c>
      <c r="I116" s="13">
        <f t="shared" si="1"/>
        <v>12156766.507243203</v>
      </c>
    </row>
    <row r="117" spans="1:9" ht="15.75" x14ac:dyDescent="0.25">
      <c r="A117" s="8"/>
      <c r="B117" s="8"/>
      <c r="C117" s="9"/>
      <c r="D117" s="12" t="s">
        <v>113</v>
      </c>
      <c r="E117" s="14">
        <v>3371489.53</v>
      </c>
      <c r="F117" s="14">
        <v>7804005.4573776014</v>
      </c>
      <c r="G117" s="14">
        <v>2341958.9</v>
      </c>
      <c r="H117" s="14">
        <v>0</v>
      </c>
      <c r="I117" s="13">
        <f t="shared" si="1"/>
        <v>13517453.887377601</v>
      </c>
    </row>
    <row r="118" spans="1:9" ht="15.75" x14ac:dyDescent="0.25">
      <c r="A118" s="8"/>
      <c r="B118" s="8"/>
      <c r="C118" s="9"/>
      <c r="D118" s="12" t="s">
        <v>114</v>
      </c>
      <c r="E118" s="14">
        <v>9665903.1099999994</v>
      </c>
      <c r="F118" s="14">
        <v>12188341.750377603</v>
      </c>
      <c r="G118" s="14">
        <v>4140940.7599999993</v>
      </c>
      <c r="H118" s="14">
        <v>0</v>
      </c>
      <c r="I118" s="13">
        <f t="shared" si="1"/>
        <v>25995185.6203776</v>
      </c>
    </row>
    <row r="119" spans="1:9" ht="15.75" x14ac:dyDescent="0.25">
      <c r="A119" s="8"/>
      <c r="B119" s="8"/>
      <c r="C119" s="9"/>
      <c r="D119" s="12" t="s">
        <v>115</v>
      </c>
      <c r="E119" s="14">
        <v>1365151.94</v>
      </c>
      <c r="F119" s="14">
        <v>1183714.2270288004</v>
      </c>
      <c r="G119" s="14">
        <v>1779124.55</v>
      </c>
      <c r="H119" s="14">
        <v>0</v>
      </c>
      <c r="I119" s="13">
        <f t="shared" si="1"/>
        <v>4327990.7170288004</v>
      </c>
    </row>
    <row r="120" spans="1:9" ht="15.75" x14ac:dyDescent="0.25">
      <c r="A120" s="8"/>
      <c r="B120" s="8"/>
      <c r="C120" s="9"/>
      <c r="D120" s="12" t="s">
        <v>116</v>
      </c>
      <c r="E120" s="14">
        <v>8790591.4500000011</v>
      </c>
      <c r="F120" s="14">
        <v>5173403.6815776015</v>
      </c>
      <c r="G120" s="14">
        <v>3462785.95</v>
      </c>
      <c r="H120" s="14">
        <v>0</v>
      </c>
      <c r="I120" s="13">
        <f t="shared" si="1"/>
        <v>17426781.081577603</v>
      </c>
    </row>
    <row r="121" spans="1:9" ht="15.75" x14ac:dyDescent="0.25">
      <c r="A121" s="8"/>
      <c r="B121" s="8"/>
      <c r="C121" s="9"/>
      <c r="D121" s="12" t="s">
        <v>117</v>
      </c>
      <c r="E121" s="14">
        <v>4158102.3800000004</v>
      </c>
      <c r="F121" s="14">
        <v>7676831.4188400023</v>
      </c>
      <c r="G121" s="14">
        <v>2202673.6399999997</v>
      </c>
      <c r="H121" s="14">
        <v>0</v>
      </c>
      <c r="I121" s="13">
        <f t="shared" si="1"/>
        <v>14037607.438840002</v>
      </c>
    </row>
    <row r="122" spans="1:9" ht="15.75" x14ac:dyDescent="0.25">
      <c r="A122" s="8"/>
      <c r="B122" s="8"/>
      <c r="C122" s="9"/>
      <c r="D122" s="12" t="s">
        <v>118</v>
      </c>
      <c r="E122" s="14">
        <v>7111184.8899999987</v>
      </c>
      <c r="F122" s="14">
        <v>5660149.8682224024</v>
      </c>
      <c r="G122" s="14">
        <v>2631405.0099999998</v>
      </c>
      <c r="H122" s="14">
        <v>0</v>
      </c>
      <c r="I122" s="13">
        <f t="shared" si="1"/>
        <v>15402739.768222401</v>
      </c>
    </row>
    <row r="123" spans="1:9" ht="15.75" x14ac:dyDescent="0.25">
      <c r="A123" s="8"/>
      <c r="B123" s="8"/>
      <c r="C123" s="9"/>
      <c r="D123" s="12" t="s">
        <v>119</v>
      </c>
      <c r="E123" s="14">
        <v>8421867.4700000007</v>
      </c>
      <c r="F123" s="14">
        <v>10399532.542833602</v>
      </c>
      <c r="G123" s="14">
        <v>1058302.2899999998</v>
      </c>
      <c r="H123" s="14">
        <v>0</v>
      </c>
      <c r="I123" s="13">
        <f t="shared" si="1"/>
        <v>19879702.302833602</v>
      </c>
    </row>
    <row r="124" spans="1:9" ht="15.75" x14ac:dyDescent="0.25">
      <c r="A124" s="8"/>
      <c r="B124" s="8"/>
      <c r="C124" s="9"/>
      <c r="D124" s="12" t="s">
        <v>120</v>
      </c>
      <c r="E124" s="14">
        <v>309566.27999999997</v>
      </c>
      <c r="F124" s="14">
        <v>0</v>
      </c>
      <c r="G124" s="14">
        <v>11883857.130000001</v>
      </c>
      <c r="H124" s="14">
        <v>471823724.89500004</v>
      </c>
      <c r="I124" s="13">
        <f t="shared" si="1"/>
        <v>484017148.30500007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35325903.349999994</v>
      </c>
      <c r="H125" s="14">
        <v>82314690.905000001</v>
      </c>
      <c r="I125" s="13">
        <f t="shared" si="1"/>
        <v>117640594.255</v>
      </c>
    </row>
    <row r="126" spans="1:9" ht="15.75" x14ac:dyDescent="0.25">
      <c r="A126" s="8"/>
      <c r="B126" s="8"/>
      <c r="C126" s="9"/>
      <c r="D126" s="12" t="s">
        <v>122</v>
      </c>
      <c r="E126" s="14">
        <v>742.36</v>
      </c>
      <c r="F126" s="14">
        <v>0</v>
      </c>
      <c r="G126" s="14">
        <v>21476820.559999999</v>
      </c>
      <c r="H126" s="14">
        <v>0</v>
      </c>
      <c r="I126" s="13">
        <f t="shared" si="1"/>
        <v>21477562.919999998</v>
      </c>
    </row>
    <row r="127" spans="1:9" ht="15.75" x14ac:dyDescent="0.25">
      <c r="A127" s="8"/>
      <c r="B127" s="8"/>
      <c r="C127" s="9"/>
      <c r="D127" s="12" t="s">
        <v>123</v>
      </c>
      <c r="E127" s="14">
        <v>8923896.7200000007</v>
      </c>
      <c r="F127" s="14">
        <v>2192168.1465000007</v>
      </c>
      <c r="G127" s="14">
        <v>12853201</v>
      </c>
      <c r="H127" s="14">
        <v>0</v>
      </c>
      <c r="I127" s="13">
        <f t="shared" si="1"/>
        <v>23969265.866500001</v>
      </c>
    </row>
    <row r="128" spans="1:9" ht="15.75" x14ac:dyDescent="0.25">
      <c r="A128" s="8"/>
      <c r="B128" s="8"/>
      <c r="C128" s="9"/>
      <c r="D128" s="12" t="s">
        <v>124</v>
      </c>
      <c r="E128" s="14">
        <v>8543562.5199999996</v>
      </c>
      <c r="F128" s="14">
        <v>6839451.4729176015</v>
      </c>
      <c r="G128" s="14">
        <v>5358525.5299999993</v>
      </c>
      <c r="H128" s="14">
        <v>0</v>
      </c>
      <c r="I128" s="13">
        <f t="shared" si="1"/>
        <v>20741539.522917598</v>
      </c>
    </row>
    <row r="129" spans="1:9" ht="15.75" x14ac:dyDescent="0.25">
      <c r="A129" s="8"/>
      <c r="B129" s="8"/>
      <c r="C129" s="9"/>
      <c r="D129" s="12" t="s">
        <v>125</v>
      </c>
      <c r="E129" s="14">
        <v>8316407.6900000004</v>
      </c>
      <c r="F129" s="14">
        <v>3310145.6151744006</v>
      </c>
      <c r="G129" s="14">
        <v>4397908.6999999993</v>
      </c>
      <c r="H129" s="14">
        <v>0</v>
      </c>
      <c r="I129" s="13">
        <f t="shared" si="1"/>
        <v>16024462.0051744</v>
      </c>
    </row>
    <row r="130" spans="1:9" ht="15.75" x14ac:dyDescent="0.25">
      <c r="A130" s="8"/>
      <c r="B130" s="8"/>
      <c r="C130" s="9"/>
      <c r="D130" s="12" t="s">
        <v>126</v>
      </c>
      <c r="E130" s="14">
        <v>843941.39000000013</v>
      </c>
      <c r="F130" s="14">
        <v>5831110.6976088006</v>
      </c>
      <c r="G130" s="14">
        <v>967574.40999999992</v>
      </c>
      <c r="H130" s="14">
        <v>0</v>
      </c>
      <c r="I130" s="13">
        <f t="shared" si="1"/>
        <v>7642626.4976088013</v>
      </c>
    </row>
    <row r="131" spans="1:9" ht="15.75" x14ac:dyDescent="0.25">
      <c r="A131" s="8"/>
      <c r="B131" s="8"/>
      <c r="C131" s="9"/>
      <c r="D131" s="12" t="s">
        <v>127</v>
      </c>
      <c r="E131" s="14">
        <v>18499907.299999997</v>
      </c>
      <c r="F131" s="14">
        <v>31869316.223208006</v>
      </c>
      <c r="G131" s="14">
        <v>38569533.950000003</v>
      </c>
      <c r="H131" s="14">
        <v>0</v>
      </c>
      <c r="I131" s="13">
        <f t="shared" si="1"/>
        <v>88938757.47320801</v>
      </c>
    </row>
    <row r="132" spans="1:9" ht="15.75" x14ac:dyDescent="0.25">
      <c r="A132" s="8"/>
      <c r="B132" s="8"/>
      <c r="C132" s="9"/>
      <c r="D132" s="12" t="s">
        <v>128</v>
      </c>
      <c r="E132" s="14">
        <v>2802713.7800000003</v>
      </c>
      <c r="F132" s="14">
        <v>19553913.578455202</v>
      </c>
      <c r="G132" s="14">
        <v>65574.77</v>
      </c>
      <c r="H132" s="14">
        <v>0</v>
      </c>
      <c r="I132" s="13">
        <f t="shared" si="1"/>
        <v>22422202.128455203</v>
      </c>
    </row>
    <row r="133" spans="1:9" ht="15.75" x14ac:dyDescent="0.25">
      <c r="A133" s="8"/>
      <c r="B133" s="8"/>
      <c r="C133" s="9"/>
      <c r="D133" s="12" t="s">
        <v>129</v>
      </c>
      <c r="E133" s="14">
        <v>3340297.0300000003</v>
      </c>
      <c r="F133" s="14">
        <v>0</v>
      </c>
      <c r="G133" s="14">
        <v>34639121.530000001</v>
      </c>
      <c r="H133" s="14">
        <v>257706758.26000002</v>
      </c>
      <c r="I133" s="13">
        <f t="shared" si="1"/>
        <v>295686176.82000005</v>
      </c>
    </row>
    <row r="134" spans="1:9" ht="15.75" x14ac:dyDescent="0.25">
      <c r="A134" s="8"/>
      <c r="B134" s="8"/>
      <c r="C134" s="9"/>
      <c r="D134" s="12" t="s">
        <v>130</v>
      </c>
      <c r="E134" s="14">
        <v>896684.87999999989</v>
      </c>
      <c r="F134" s="14">
        <v>964553.9844600003</v>
      </c>
      <c r="G134" s="14">
        <v>5193.3499999999995</v>
      </c>
      <c r="H134" s="14">
        <v>0</v>
      </c>
      <c r="I134" s="13">
        <f t="shared" si="1"/>
        <v>1866432.2144600004</v>
      </c>
    </row>
    <row r="135" spans="1:9" ht="15.75" x14ac:dyDescent="0.25">
      <c r="A135" s="8"/>
      <c r="B135" s="8"/>
      <c r="C135" s="9"/>
      <c r="D135" s="12" t="s">
        <v>131</v>
      </c>
      <c r="E135" s="14">
        <v>1554774.59</v>
      </c>
      <c r="F135" s="14">
        <v>12188341.750377603</v>
      </c>
      <c r="G135" s="14">
        <v>209010.71999999997</v>
      </c>
      <c r="H135" s="14">
        <v>0</v>
      </c>
      <c r="I135" s="13">
        <f t="shared" si="1"/>
        <v>13952127.060377603</v>
      </c>
    </row>
    <row r="136" spans="1:9" ht="15.75" x14ac:dyDescent="0.25">
      <c r="A136" s="8"/>
      <c r="B136" s="8"/>
      <c r="C136" s="9"/>
      <c r="D136" s="12" t="s">
        <v>132</v>
      </c>
      <c r="E136" s="14">
        <v>10331569.680000003</v>
      </c>
      <c r="F136" s="14">
        <v>14731143.656155203</v>
      </c>
      <c r="G136" s="14">
        <v>6617793.9300000006</v>
      </c>
      <c r="H136" s="14">
        <v>0</v>
      </c>
      <c r="I136" s="13">
        <f t="shared" si="1"/>
        <v>31680507.266155206</v>
      </c>
    </row>
    <row r="137" spans="1:9" ht="15.75" x14ac:dyDescent="0.25">
      <c r="A137" s="8"/>
      <c r="B137" s="8"/>
      <c r="C137" s="9"/>
      <c r="D137" s="12" t="s">
        <v>133</v>
      </c>
      <c r="E137" s="14">
        <v>14954037.5</v>
      </c>
      <c r="F137" s="14">
        <v>23162080.917391211</v>
      </c>
      <c r="G137" s="14">
        <v>10583298.790000001</v>
      </c>
      <c r="H137" s="14">
        <v>0</v>
      </c>
      <c r="I137" s="13">
        <f t="shared" si="1"/>
        <v>48699417.20739121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26897824.990000002</v>
      </c>
      <c r="H138" s="14">
        <v>0</v>
      </c>
      <c r="I138" s="13">
        <f t="shared" ref="I138:I144" si="2">SUM(E138:H138)</f>
        <v>26897824.990000002</v>
      </c>
    </row>
    <row r="139" spans="1:9" ht="15.75" x14ac:dyDescent="0.25">
      <c r="A139" s="8"/>
      <c r="B139" s="8"/>
      <c r="C139" s="9"/>
      <c r="D139" s="12" t="s">
        <v>135</v>
      </c>
      <c r="E139" s="14">
        <v>1939234.23</v>
      </c>
      <c r="F139" s="14">
        <v>3467981.7217224007</v>
      </c>
      <c r="G139" s="14">
        <v>1331002.99</v>
      </c>
      <c r="H139" s="14">
        <v>0</v>
      </c>
      <c r="I139" s="13">
        <f t="shared" si="2"/>
        <v>6738218.9417224005</v>
      </c>
    </row>
    <row r="140" spans="1:9" ht="15.75" x14ac:dyDescent="0.25">
      <c r="A140" s="8"/>
      <c r="B140" s="8"/>
      <c r="C140" s="9"/>
      <c r="D140" s="12" t="s">
        <v>136</v>
      </c>
      <c r="E140" s="14">
        <v>6652561.1500000004</v>
      </c>
      <c r="F140" s="14">
        <v>24595843.743324004</v>
      </c>
      <c r="G140" s="14">
        <v>3923703.8800000004</v>
      </c>
      <c r="H140" s="14">
        <v>0</v>
      </c>
      <c r="I140" s="13">
        <f t="shared" si="2"/>
        <v>35172108.773324005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30476870.430000003</v>
      </c>
      <c r="H141" s="14">
        <v>28207809.330000009</v>
      </c>
      <c r="I141" s="13">
        <f t="shared" si="2"/>
        <v>58684679.760000013</v>
      </c>
    </row>
    <row r="142" spans="1:9" ht="15.75" x14ac:dyDescent="0.25">
      <c r="A142" s="8"/>
      <c r="B142" s="8"/>
      <c r="C142" s="9"/>
      <c r="D142" s="12" t="s">
        <v>138</v>
      </c>
      <c r="E142" s="14">
        <v>43897.859999999993</v>
      </c>
      <c r="F142" s="14">
        <v>0</v>
      </c>
      <c r="G142" s="14">
        <v>3336656.65</v>
      </c>
      <c r="H142" s="14">
        <v>0</v>
      </c>
      <c r="I142" s="13">
        <f t="shared" si="2"/>
        <v>3380554.51</v>
      </c>
    </row>
    <row r="143" spans="1:9" ht="15.75" x14ac:dyDescent="0.25">
      <c r="A143" s="8"/>
      <c r="B143" s="8"/>
      <c r="C143" s="9"/>
      <c r="D143" s="12" t="s">
        <v>139</v>
      </c>
      <c r="E143" s="14">
        <v>413735.33999999997</v>
      </c>
      <c r="F143" s="14">
        <v>22732472.532758407</v>
      </c>
      <c r="G143" s="14">
        <v>174137.28</v>
      </c>
      <c r="H143" s="14">
        <v>0</v>
      </c>
      <c r="I143" s="13">
        <f t="shared" si="2"/>
        <v>23320345.152758408</v>
      </c>
    </row>
    <row r="144" spans="1:9" ht="15.75" x14ac:dyDescent="0.25">
      <c r="A144" s="8"/>
      <c r="B144" s="8"/>
      <c r="C144" s="9"/>
      <c r="D144" s="12" t="s">
        <v>140</v>
      </c>
      <c r="E144" s="14">
        <v>6769396.870000002</v>
      </c>
      <c r="F144" s="14">
        <v>2762075.2925088005</v>
      </c>
      <c r="G144" s="14">
        <v>8766035.3600000013</v>
      </c>
      <c r="H144" s="14">
        <v>0</v>
      </c>
      <c r="I144" s="13">
        <f t="shared" si="2"/>
        <v>18297507.522508804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868926417.18000031</v>
      </c>
      <c r="F145" s="22">
        <f>SUM(F10:F144)</f>
        <v>1131389125.1086471</v>
      </c>
      <c r="G145" s="22">
        <f>SUM(G10:G144)</f>
        <v>1351012678.3200006</v>
      </c>
      <c r="H145" s="22">
        <f>SUM(H10:H144)</f>
        <v>840052983.3900001</v>
      </c>
      <c r="I145" s="22">
        <f>SUM(I10:I144)</f>
        <v>4191381203.9986472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6" width="20.1640625" style="2" customWidth="1"/>
    <col min="7" max="7" width="21" style="2" bestFit="1" customWidth="1"/>
    <col min="8" max="8" width="20.1640625" style="2" customWidth="1"/>
    <col min="9" max="9" width="21" style="2" bestFit="1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160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3301395.05</v>
      </c>
      <c r="F10" s="16">
        <v>22013497.875002865</v>
      </c>
      <c r="G10" s="16">
        <v>2180524.4500000002</v>
      </c>
      <c r="H10" s="16">
        <v>0</v>
      </c>
      <c r="I10" s="13">
        <f t="shared" ref="I10:I73" si="0">SUM(E10:H10)</f>
        <v>27495417.375002865</v>
      </c>
    </row>
    <row r="11" spans="1:9" ht="15.75" x14ac:dyDescent="0.25">
      <c r="A11" s="8"/>
      <c r="B11" s="8"/>
      <c r="C11" s="9"/>
      <c r="D11" s="12" t="s">
        <v>7</v>
      </c>
      <c r="E11" s="16">
        <v>5035843.8900000006</v>
      </c>
      <c r="F11" s="16">
        <v>12355636.465834135</v>
      </c>
      <c r="G11" s="16">
        <v>1549193.39</v>
      </c>
      <c r="H11" s="16">
        <v>0</v>
      </c>
      <c r="I11" s="13">
        <f t="shared" si="0"/>
        <v>18940673.745834135</v>
      </c>
    </row>
    <row r="12" spans="1:9" ht="15.75" x14ac:dyDescent="0.25">
      <c r="A12" s="8"/>
      <c r="B12" s="8"/>
      <c r="C12" s="9"/>
      <c r="D12" s="12" t="s">
        <v>8</v>
      </c>
      <c r="E12" s="16">
        <v>4145488.0300000003</v>
      </c>
      <c r="F12" s="16">
        <v>4479336.1624784134</v>
      </c>
      <c r="G12" s="16">
        <v>1628035.6500000001</v>
      </c>
      <c r="H12" s="16">
        <v>0</v>
      </c>
      <c r="I12" s="13">
        <f t="shared" si="0"/>
        <v>10252859.842478415</v>
      </c>
    </row>
    <row r="13" spans="1:9" ht="15.75" x14ac:dyDescent="0.25">
      <c r="A13" s="8"/>
      <c r="B13" s="8"/>
      <c r="C13" s="9"/>
      <c r="D13" s="12" t="s">
        <v>9</v>
      </c>
      <c r="E13" s="16">
        <v>397166.67000000004</v>
      </c>
      <c r="F13" s="16">
        <v>118451.33632515398</v>
      </c>
      <c r="G13" s="16">
        <v>37192158.230000004</v>
      </c>
      <c r="H13" s="16">
        <v>0</v>
      </c>
      <c r="I13" s="13">
        <f t="shared" si="0"/>
        <v>37707776.23632516</v>
      </c>
    </row>
    <row r="14" spans="1:9" ht="15.75" x14ac:dyDescent="0.25">
      <c r="A14" s="8"/>
      <c r="B14" s="8"/>
      <c r="C14" s="9"/>
      <c r="D14" s="12" t="s">
        <v>10</v>
      </c>
      <c r="E14" s="16">
        <v>4881631.1500000013</v>
      </c>
      <c r="F14" s="16">
        <v>4976994.8749908069</v>
      </c>
      <c r="G14" s="16">
        <v>3138107.54</v>
      </c>
      <c r="H14" s="16">
        <v>0</v>
      </c>
      <c r="I14" s="13">
        <f t="shared" si="0"/>
        <v>12996733.564990807</v>
      </c>
    </row>
    <row r="15" spans="1:9" ht="15.75" x14ac:dyDescent="0.25">
      <c r="A15" s="8"/>
      <c r="B15" s="8"/>
      <c r="C15" s="9"/>
      <c r="D15" s="12" t="s">
        <v>11</v>
      </c>
      <c r="E15" s="16">
        <v>61863.63</v>
      </c>
      <c r="F15" s="16">
        <v>27625.053480306997</v>
      </c>
      <c r="G15" s="16">
        <v>32328969.349999998</v>
      </c>
      <c r="H15" s="16">
        <v>0</v>
      </c>
      <c r="I15" s="13">
        <f t="shared" si="0"/>
        <v>32418458.033480305</v>
      </c>
    </row>
    <row r="16" spans="1:9" ht="15.75" x14ac:dyDescent="0.25">
      <c r="A16" s="8"/>
      <c r="B16" s="8"/>
      <c r="C16" s="9"/>
      <c r="D16" s="12" t="s">
        <v>12</v>
      </c>
      <c r="E16" s="16">
        <v>12247435.77</v>
      </c>
      <c r="F16" s="16">
        <v>23731755.813984614</v>
      </c>
      <c r="G16" s="16">
        <v>3029217.83</v>
      </c>
      <c r="H16" s="16">
        <v>0</v>
      </c>
      <c r="I16" s="13">
        <f t="shared" si="0"/>
        <v>39008409.413984612</v>
      </c>
    </row>
    <row r="17" spans="1:9" ht="15.75" x14ac:dyDescent="0.25">
      <c r="A17" s="8"/>
      <c r="B17" s="8"/>
      <c r="C17" s="9"/>
      <c r="D17" s="12" t="s">
        <v>13</v>
      </c>
      <c r="E17" s="16">
        <v>18714714.68</v>
      </c>
      <c r="F17" s="16">
        <v>21804118.318366148</v>
      </c>
      <c r="G17" s="16">
        <v>9213921.2500000019</v>
      </c>
      <c r="H17" s="16">
        <v>0</v>
      </c>
      <c r="I17" s="13">
        <f t="shared" si="0"/>
        <v>49732754.248366147</v>
      </c>
    </row>
    <row r="18" spans="1:9" ht="15.75" x14ac:dyDescent="0.25">
      <c r="A18" s="8"/>
      <c r="B18" s="8"/>
      <c r="C18" s="9"/>
      <c r="D18" s="12" t="s">
        <v>14</v>
      </c>
      <c r="E18" s="16">
        <v>3273532.7600000002</v>
      </c>
      <c r="F18" s="16">
        <v>1777483.6071443288</v>
      </c>
      <c r="G18" s="16">
        <v>51998321.669999994</v>
      </c>
      <c r="H18" s="16">
        <v>0</v>
      </c>
      <c r="I18" s="13">
        <f t="shared" si="0"/>
        <v>57049338.037144326</v>
      </c>
    </row>
    <row r="19" spans="1:9" ht="15.75" x14ac:dyDescent="0.25">
      <c r="A19" s="8"/>
      <c r="B19" s="8"/>
      <c r="C19" s="9"/>
      <c r="D19" s="12" t="s">
        <v>15</v>
      </c>
      <c r="E19" s="16">
        <v>17419174.790000003</v>
      </c>
      <c r="F19" s="16">
        <v>16965350.648243591</v>
      </c>
      <c r="G19" s="16">
        <v>7484199.9100000001</v>
      </c>
      <c r="H19" s="16">
        <v>0</v>
      </c>
      <c r="I19" s="13">
        <f t="shared" si="0"/>
        <v>41868725.348243594</v>
      </c>
    </row>
    <row r="20" spans="1:9" ht="15.75" x14ac:dyDescent="0.25">
      <c r="A20" s="8"/>
      <c r="B20" s="8"/>
      <c r="C20" s="9"/>
      <c r="D20" s="12" t="s">
        <v>16</v>
      </c>
      <c r="E20" s="16">
        <v>7425716.1999999993</v>
      </c>
      <c r="F20" s="16">
        <v>4222555.68381829</v>
      </c>
      <c r="G20" s="16">
        <v>4464986.5999999996</v>
      </c>
      <c r="H20" s="16">
        <v>0</v>
      </c>
      <c r="I20" s="13">
        <f t="shared" si="0"/>
        <v>16113258.483818289</v>
      </c>
    </row>
    <row r="21" spans="1:9" ht="15.75" x14ac:dyDescent="0.25">
      <c r="A21" s="8"/>
      <c r="B21" s="8"/>
      <c r="C21" s="9"/>
      <c r="D21" s="12" t="s">
        <v>17</v>
      </c>
      <c r="E21" s="16">
        <v>9908730.4399999995</v>
      </c>
      <c r="F21" s="16">
        <v>20295239.936021112</v>
      </c>
      <c r="G21" s="16">
        <v>2011322.46</v>
      </c>
      <c r="H21" s="16">
        <v>0</v>
      </c>
      <c r="I21" s="13">
        <f t="shared" si="0"/>
        <v>32215292.83602111</v>
      </c>
    </row>
    <row r="22" spans="1:9" ht="15.75" x14ac:dyDescent="0.25">
      <c r="A22" s="8"/>
      <c r="B22" s="8"/>
      <c r="C22" s="9"/>
      <c r="D22" s="12" t="s">
        <v>18</v>
      </c>
      <c r="E22" s="16">
        <v>113209.70999999999</v>
      </c>
      <c r="F22" s="16">
        <v>869016.90376242495</v>
      </c>
      <c r="G22" s="16">
        <v>20953795.149999999</v>
      </c>
      <c r="H22" s="16">
        <v>0</v>
      </c>
      <c r="I22" s="13">
        <f t="shared" si="0"/>
        <v>21936021.763762422</v>
      </c>
    </row>
    <row r="23" spans="1:9" ht="15.75" x14ac:dyDescent="0.25">
      <c r="A23" s="8"/>
      <c r="B23" s="8"/>
      <c r="C23" s="9"/>
      <c r="D23" s="12" t="s">
        <v>19</v>
      </c>
      <c r="E23" s="16">
        <v>2630889.94</v>
      </c>
      <c r="F23" s="16">
        <v>323855.33175990894</v>
      </c>
      <c r="G23" s="16">
        <v>11610176.549999999</v>
      </c>
      <c r="H23" s="16">
        <v>0</v>
      </c>
      <c r="I23" s="13">
        <f t="shared" si="0"/>
        <v>14564921.821759908</v>
      </c>
    </row>
    <row r="24" spans="1:9" ht="15.75" x14ac:dyDescent="0.25">
      <c r="A24" s="8"/>
      <c r="B24" s="8"/>
      <c r="C24" s="9"/>
      <c r="D24" s="12" t="s">
        <v>20</v>
      </c>
      <c r="E24" s="16">
        <v>13078669.16</v>
      </c>
      <c r="F24" s="16">
        <v>12446564.686145699</v>
      </c>
      <c r="G24" s="16">
        <v>4896675.330000001</v>
      </c>
      <c r="H24" s="16">
        <v>0</v>
      </c>
      <c r="I24" s="13">
        <f t="shared" si="0"/>
        <v>30421909.176145699</v>
      </c>
    </row>
    <row r="25" spans="1:9" ht="15.75" x14ac:dyDescent="0.25">
      <c r="A25" s="8"/>
      <c r="B25" s="8"/>
      <c r="C25" s="9"/>
      <c r="D25" s="12" t="s">
        <v>21</v>
      </c>
      <c r="E25" s="16">
        <v>8086392.1999999993</v>
      </c>
      <c r="F25" s="16">
        <v>9243077.8570972569</v>
      </c>
      <c r="G25" s="16">
        <v>5511108.7800000003</v>
      </c>
      <c r="H25" s="16">
        <v>0</v>
      </c>
      <c r="I25" s="13">
        <f t="shared" si="0"/>
        <v>22840578.837097257</v>
      </c>
    </row>
    <row r="26" spans="1:9" ht="15.75" x14ac:dyDescent="0.25">
      <c r="A26" s="8"/>
      <c r="B26" s="8"/>
      <c r="C26" s="9"/>
      <c r="D26" s="12" t="s">
        <v>22</v>
      </c>
      <c r="E26" s="16">
        <v>4245262.82</v>
      </c>
      <c r="F26" s="16">
        <v>5293001.0218135081</v>
      </c>
      <c r="G26" s="16">
        <v>3571013.5300000003</v>
      </c>
      <c r="H26" s="16">
        <v>0</v>
      </c>
      <c r="I26" s="13">
        <f t="shared" si="0"/>
        <v>13109277.37181351</v>
      </c>
    </row>
    <row r="27" spans="1:9" ht="15.75" x14ac:dyDescent="0.25">
      <c r="A27" s="8"/>
      <c r="B27" s="8"/>
      <c r="C27" s="9"/>
      <c r="D27" s="12" t="s">
        <v>23</v>
      </c>
      <c r="E27" s="16">
        <v>930144.15999999992</v>
      </c>
      <c r="F27" s="16">
        <v>908466.70338190394</v>
      </c>
      <c r="G27" s="16">
        <v>11932361.509999998</v>
      </c>
      <c r="H27" s="16">
        <v>0</v>
      </c>
      <c r="I27" s="13">
        <f t="shared" si="0"/>
        <v>13770972.373381902</v>
      </c>
    </row>
    <row r="28" spans="1:9" ht="15.75" x14ac:dyDescent="0.25">
      <c r="A28" s="8"/>
      <c r="B28" s="8"/>
      <c r="C28" s="9"/>
      <c r="D28" s="12" t="s">
        <v>24</v>
      </c>
      <c r="E28" s="16">
        <v>5819811.4399999985</v>
      </c>
      <c r="F28" s="16">
        <v>4305532.7817259282</v>
      </c>
      <c r="G28" s="16">
        <v>4713778.3100000005</v>
      </c>
      <c r="H28" s="16">
        <v>0</v>
      </c>
      <c r="I28" s="13">
        <f t="shared" si="0"/>
        <v>14839122.531725926</v>
      </c>
    </row>
    <row r="29" spans="1:9" ht="15.75" x14ac:dyDescent="0.25">
      <c r="A29" s="8"/>
      <c r="B29" s="8"/>
      <c r="C29" s="9"/>
      <c r="D29" s="12" t="s">
        <v>25</v>
      </c>
      <c r="E29" s="16">
        <v>1724734.9699999997</v>
      </c>
      <c r="F29" s="16">
        <v>2409495.9007897289</v>
      </c>
      <c r="G29" s="16">
        <v>1841628.55</v>
      </c>
      <c r="H29" s="16">
        <v>0</v>
      </c>
      <c r="I29" s="13">
        <f t="shared" si="0"/>
        <v>5975859.4207897289</v>
      </c>
    </row>
    <row r="30" spans="1:9" ht="15.75" x14ac:dyDescent="0.25">
      <c r="A30" s="8"/>
      <c r="B30" s="8"/>
      <c r="C30" s="9"/>
      <c r="D30" s="12" t="s">
        <v>26</v>
      </c>
      <c r="E30" s="16">
        <v>8550796.8800000008</v>
      </c>
      <c r="F30" s="16">
        <v>12995599.881883461</v>
      </c>
      <c r="G30" s="16">
        <v>3846251.9699999997</v>
      </c>
      <c r="H30" s="16">
        <v>0</v>
      </c>
      <c r="I30" s="13">
        <f t="shared" si="0"/>
        <v>25392648.731883459</v>
      </c>
    </row>
    <row r="31" spans="1:9" ht="15.75" x14ac:dyDescent="0.25">
      <c r="A31" s="8"/>
      <c r="B31" s="8"/>
      <c r="C31" s="9"/>
      <c r="D31" s="12" t="s">
        <v>27</v>
      </c>
      <c r="E31" s="16">
        <v>12364484.329999998</v>
      </c>
      <c r="F31" s="16">
        <v>13469609.102117512</v>
      </c>
      <c r="G31" s="16">
        <v>2433461.5099999998</v>
      </c>
      <c r="H31" s="16">
        <v>0</v>
      </c>
      <c r="I31" s="13">
        <f t="shared" si="0"/>
        <v>28267554.942117512</v>
      </c>
    </row>
    <row r="32" spans="1:9" ht="15.75" x14ac:dyDescent="0.25">
      <c r="A32" s="8"/>
      <c r="B32" s="8"/>
      <c r="C32" s="9"/>
      <c r="D32" s="12" t="s">
        <v>28</v>
      </c>
      <c r="E32" s="16">
        <v>15044384.15</v>
      </c>
      <c r="F32" s="16">
        <v>4546512.9530449165</v>
      </c>
      <c r="G32" s="16">
        <v>1474319.5499999998</v>
      </c>
      <c r="H32" s="16">
        <v>0</v>
      </c>
      <c r="I32" s="13">
        <f t="shared" si="0"/>
        <v>21065216.653044917</v>
      </c>
    </row>
    <row r="33" spans="1:9" ht="15.75" x14ac:dyDescent="0.25">
      <c r="A33" s="8"/>
      <c r="B33" s="8"/>
      <c r="C33" s="9"/>
      <c r="D33" s="12" t="s">
        <v>29</v>
      </c>
      <c r="E33" s="16">
        <v>5737651.7499999991</v>
      </c>
      <c r="F33" s="16">
        <v>6873031.7559270058</v>
      </c>
      <c r="G33" s="16">
        <v>1118885.6599999997</v>
      </c>
      <c r="H33" s="16">
        <v>0</v>
      </c>
      <c r="I33" s="13">
        <f t="shared" si="0"/>
        <v>13729569.165927004</v>
      </c>
    </row>
    <row r="34" spans="1:9" ht="15.75" x14ac:dyDescent="0.25">
      <c r="A34" s="8"/>
      <c r="B34" s="8"/>
      <c r="C34" s="9"/>
      <c r="D34" s="12" t="s">
        <v>30</v>
      </c>
      <c r="E34" s="16">
        <v>13501630.170000002</v>
      </c>
      <c r="F34" s="16">
        <v>9863163.4671367668</v>
      </c>
      <c r="G34" s="16">
        <v>7222968.46</v>
      </c>
      <c r="H34" s="16">
        <v>0</v>
      </c>
      <c r="I34" s="13">
        <f t="shared" si="0"/>
        <v>30587762.097136769</v>
      </c>
    </row>
    <row r="35" spans="1:9" ht="15.75" x14ac:dyDescent="0.25">
      <c r="A35" s="8"/>
      <c r="B35" s="8"/>
      <c r="C35" s="9"/>
      <c r="D35" s="12" t="s">
        <v>31</v>
      </c>
      <c r="E35" s="16">
        <v>7776191.0700000003</v>
      </c>
      <c r="F35" s="16">
        <v>14500502.703026531</v>
      </c>
      <c r="G35" s="16">
        <v>4963036.3099999996</v>
      </c>
      <c r="H35" s="16">
        <v>0</v>
      </c>
      <c r="I35" s="13">
        <f t="shared" si="0"/>
        <v>27239730.083026532</v>
      </c>
    </row>
    <row r="36" spans="1:9" ht="15.75" x14ac:dyDescent="0.25">
      <c r="A36" s="8"/>
      <c r="B36" s="8"/>
      <c r="C36" s="9"/>
      <c r="D36" s="12" t="s">
        <v>32</v>
      </c>
      <c r="E36" s="16">
        <v>8442649.3200000003</v>
      </c>
      <c r="F36" s="16">
        <v>8998122.1245763041</v>
      </c>
      <c r="G36" s="16">
        <v>8448706.7999999989</v>
      </c>
      <c r="H36" s="16">
        <v>0</v>
      </c>
      <c r="I36" s="13">
        <f t="shared" si="0"/>
        <v>25889478.244576305</v>
      </c>
    </row>
    <row r="37" spans="1:9" ht="15.75" x14ac:dyDescent="0.25">
      <c r="A37" s="8"/>
      <c r="B37" s="8"/>
      <c r="C37" s="9"/>
      <c r="D37" s="12" t="s">
        <v>33</v>
      </c>
      <c r="E37" s="16">
        <v>2868143.1300000008</v>
      </c>
      <c r="F37" s="16">
        <v>4976994.8749908069</v>
      </c>
      <c r="G37" s="16">
        <v>2862170.55</v>
      </c>
      <c r="H37" s="16">
        <v>0</v>
      </c>
      <c r="I37" s="13">
        <f t="shared" si="0"/>
        <v>10707308.554990808</v>
      </c>
    </row>
    <row r="38" spans="1:9" ht="15.75" x14ac:dyDescent="0.25">
      <c r="A38" s="8"/>
      <c r="B38" s="8"/>
      <c r="C38" s="9"/>
      <c r="D38" s="12" t="s">
        <v>34</v>
      </c>
      <c r="E38" s="16">
        <v>4050814.0199999996</v>
      </c>
      <c r="F38" s="16">
        <v>10815157.468806829</v>
      </c>
      <c r="G38" s="16">
        <v>2837972.27</v>
      </c>
      <c r="H38" s="16">
        <v>0</v>
      </c>
      <c r="I38" s="13">
        <f t="shared" si="0"/>
        <v>17703943.758806828</v>
      </c>
    </row>
    <row r="39" spans="1:9" ht="15.75" x14ac:dyDescent="0.25">
      <c r="A39" s="8"/>
      <c r="B39" s="8"/>
      <c r="C39" s="9"/>
      <c r="D39" s="12" t="s">
        <v>35</v>
      </c>
      <c r="E39" s="16">
        <v>4976769.4999999991</v>
      </c>
      <c r="F39" s="16">
        <v>16933750.033561319</v>
      </c>
      <c r="G39" s="16">
        <v>2604419.59</v>
      </c>
      <c r="H39" s="16">
        <v>0</v>
      </c>
      <c r="I39" s="13">
        <f t="shared" si="0"/>
        <v>24514939.123561319</v>
      </c>
    </row>
    <row r="40" spans="1:9" ht="15.75" x14ac:dyDescent="0.25">
      <c r="A40" s="8"/>
      <c r="B40" s="8"/>
      <c r="C40" s="9"/>
      <c r="D40" s="12" t="s">
        <v>36</v>
      </c>
      <c r="E40" s="16">
        <v>765392.65</v>
      </c>
      <c r="F40" s="16">
        <v>888792.77230552281</v>
      </c>
      <c r="G40" s="16">
        <v>178895.16999999998</v>
      </c>
      <c r="H40" s="16">
        <v>0</v>
      </c>
      <c r="I40" s="13">
        <f t="shared" si="0"/>
        <v>1833080.5923055229</v>
      </c>
    </row>
    <row r="41" spans="1:9" ht="15.75" x14ac:dyDescent="0.25">
      <c r="A41" s="8"/>
      <c r="B41" s="8"/>
      <c r="C41" s="9"/>
      <c r="D41" s="12" t="s">
        <v>37</v>
      </c>
      <c r="E41" s="16">
        <v>7504979.1100000013</v>
      </c>
      <c r="F41" s="16">
        <v>14852085.025733462</v>
      </c>
      <c r="G41" s="16">
        <v>5951198.9400000013</v>
      </c>
      <c r="H41" s="16">
        <v>0</v>
      </c>
      <c r="I41" s="13">
        <f t="shared" si="0"/>
        <v>28308263.075733464</v>
      </c>
    </row>
    <row r="42" spans="1:9" ht="15.75" x14ac:dyDescent="0.25">
      <c r="A42" s="8"/>
      <c r="B42" s="8"/>
      <c r="C42" s="9"/>
      <c r="D42" s="12" t="s">
        <v>38</v>
      </c>
      <c r="E42" s="16">
        <v>7686062.8199999994</v>
      </c>
      <c r="F42" s="16">
        <v>16084508.998341994</v>
      </c>
      <c r="G42" s="16">
        <v>2131110.4699999997</v>
      </c>
      <c r="H42" s="16">
        <v>0</v>
      </c>
      <c r="I42" s="13">
        <f t="shared" si="0"/>
        <v>25901682.288341992</v>
      </c>
    </row>
    <row r="43" spans="1:9" ht="15.75" x14ac:dyDescent="0.25">
      <c r="A43" s="8"/>
      <c r="B43" s="8"/>
      <c r="C43" s="9"/>
      <c r="D43" s="12" t="s">
        <v>39</v>
      </c>
      <c r="E43" s="16">
        <v>4467977.1900000004</v>
      </c>
      <c r="F43" s="16">
        <v>5849987.3399551949</v>
      </c>
      <c r="G43" s="16">
        <v>3640161.67</v>
      </c>
      <c r="H43" s="16">
        <v>0</v>
      </c>
      <c r="I43" s="13">
        <f t="shared" si="0"/>
        <v>13958126.199955195</v>
      </c>
    </row>
    <row r="44" spans="1:9" ht="15.75" x14ac:dyDescent="0.25">
      <c r="A44" s="8"/>
      <c r="B44" s="8"/>
      <c r="C44" s="9"/>
      <c r="D44" s="12" t="s">
        <v>40</v>
      </c>
      <c r="E44" s="16">
        <v>404.6</v>
      </c>
      <c r="F44" s="16">
        <v>450257.79048898898</v>
      </c>
      <c r="G44" s="16">
        <v>6496274.9399999995</v>
      </c>
      <c r="H44" s="16">
        <v>0</v>
      </c>
      <c r="I44" s="13">
        <f t="shared" si="0"/>
        <v>6946937.3304889882</v>
      </c>
    </row>
    <row r="45" spans="1:9" ht="15.75" x14ac:dyDescent="0.25">
      <c r="A45" s="8"/>
      <c r="B45" s="8"/>
      <c r="C45" s="9"/>
      <c r="D45" s="12" t="s">
        <v>41</v>
      </c>
      <c r="E45" s="16">
        <v>5987629.080000001</v>
      </c>
      <c r="F45" s="16">
        <v>130378.01993104297</v>
      </c>
      <c r="G45" s="16">
        <v>12634695.74</v>
      </c>
      <c r="H45" s="16">
        <v>0</v>
      </c>
      <c r="I45" s="13">
        <f t="shared" si="0"/>
        <v>18752702.839931045</v>
      </c>
    </row>
    <row r="46" spans="1:9" ht="15.75" x14ac:dyDescent="0.25">
      <c r="A46" s="8"/>
      <c r="B46" s="8"/>
      <c r="C46" s="9"/>
      <c r="D46" s="12" t="s">
        <v>42</v>
      </c>
      <c r="E46" s="16">
        <v>127955.3</v>
      </c>
      <c r="F46" s="16">
        <v>434457.48314785387</v>
      </c>
      <c r="G46" s="16">
        <v>32657019.850000001</v>
      </c>
      <c r="H46" s="16">
        <v>0</v>
      </c>
      <c r="I46" s="13">
        <f t="shared" si="0"/>
        <v>33219432.633147854</v>
      </c>
    </row>
    <row r="47" spans="1:9" ht="15.75" x14ac:dyDescent="0.25">
      <c r="A47" s="8"/>
      <c r="B47" s="8"/>
      <c r="C47" s="9"/>
      <c r="D47" s="12" t="s">
        <v>43</v>
      </c>
      <c r="E47" s="16">
        <v>5099289.3600000013</v>
      </c>
      <c r="F47" s="16">
        <v>2757102.6622946984</v>
      </c>
      <c r="G47" s="16">
        <v>3239773.9600000004</v>
      </c>
      <c r="H47" s="16">
        <v>0</v>
      </c>
      <c r="I47" s="13">
        <f t="shared" si="0"/>
        <v>11096165.982294701</v>
      </c>
    </row>
    <row r="48" spans="1:9" ht="15.75" x14ac:dyDescent="0.25">
      <c r="A48" s="8"/>
      <c r="B48" s="8"/>
      <c r="C48" s="9"/>
      <c r="D48" s="12" t="s">
        <v>44</v>
      </c>
      <c r="E48" s="16">
        <v>1476188.0299999998</v>
      </c>
      <c r="F48" s="16">
        <v>434457.48314785387</v>
      </c>
      <c r="G48" s="16">
        <v>12264036.300000001</v>
      </c>
      <c r="H48" s="16">
        <v>0</v>
      </c>
      <c r="I48" s="13">
        <f t="shared" si="0"/>
        <v>14174681.813147854</v>
      </c>
    </row>
    <row r="49" spans="1:9" ht="15.75" x14ac:dyDescent="0.25">
      <c r="A49" s="8"/>
      <c r="B49" s="8"/>
      <c r="C49" s="9"/>
      <c r="D49" s="12" t="s">
        <v>45</v>
      </c>
      <c r="E49" s="16">
        <v>435651.94999999995</v>
      </c>
      <c r="F49" s="16">
        <v>517434.58105549193</v>
      </c>
      <c r="G49" s="16">
        <v>24283873.43</v>
      </c>
      <c r="H49" s="16">
        <v>0</v>
      </c>
      <c r="I49" s="13">
        <f t="shared" si="0"/>
        <v>25236959.961055491</v>
      </c>
    </row>
    <row r="50" spans="1:9" ht="15.75" x14ac:dyDescent="0.25">
      <c r="A50" s="8"/>
      <c r="B50" s="8"/>
      <c r="C50" s="9"/>
      <c r="D50" s="12" t="s">
        <v>46</v>
      </c>
      <c r="E50" s="16">
        <v>4572345.76</v>
      </c>
      <c r="F50" s="16">
        <v>5000746.3047358673</v>
      </c>
      <c r="G50" s="16">
        <v>1163611.18</v>
      </c>
      <c r="H50" s="16">
        <v>0</v>
      </c>
      <c r="I50" s="13">
        <f t="shared" si="0"/>
        <v>10736703.244735867</v>
      </c>
    </row>
    <row r="51" spans="1:9" ht="15.75" x14ac:dyDescent="0.25">
      <c r="A51" s="8"/>
      <c r="B51" s="8"/>
      <c r="C51" s="9"/>
      <c r="D51" s="12" t="s">
        <v>47</v>
      </c>
      <c r="E51" s="16">
        <v>2368983.35</v>
      </c>
      <c r="F51" s="16">
        <v>9092923.9686231147</v>
      </c>
      <c r="G51" s="16">
        <v>4614997.0900000008</v>
      </c>
      <c r="H51" s="16">
        <v>0</v>
      </c>
      <c r="I51" s="13">
        <f t="shared" si="0"/>
        <v>16076904.408623114</v>
      </c>
    </row>
    <row r="52" spans="1:9" ht="15.75" x14ac:dyDescent="0.25">
      <c r="A52" s="8"/>
      <c r="B52" s="8"/>
      <c r="C52" s="9"/>
      <c r="D52" s="12" t="s">
        <v>48</v>
      </c>
      <c r="E52" s="16">
        <v>3497219.9300000006</v>
      </c>
      <c r="F52" s="16">
        <v>9164076.3203915805</v>
      </c>
      <c r="G52" s="16">
        <v>1154643.96</v>
      </c>
      <c r="H52" s="16">
        <v>0</v>
      </c>
      <c r="I52" s="13">
        <f t="shared" si="0"/>
        <v>13815940.210391581</v>
      </c>
    </row>
    <row r="53" spans="1:9" ht="15.75" x14ac:dyDescent="0.25">
      <c r="A53" s="8"/>
      <c r="B53" s="8"/>
      <c r="C53" s="9"/>
      <c r="D53" s="12" t="s">
        <v>49</v>
      </c>
      <c r="E53" s="16">
        <v>8051099.0200000005</v>
      </c>
      <c r="F53" s="16">
        <v>6280571.1993678026</v>
      </c>
      <c r="G53" s="16">
        <v>2286251.3200000003</v>
      </c>
      <c r="H53" s="16">
        <v>0</v>
      </c>
      <c r="I53" s="13">
        <f t="shared" si="0"/>
        <v>16617921.539367802</v>
      </c>
    </row>
    <row r="54" spans="1:9" ht="15.75" x14ac:dyDescent="0.25">
      <c r="A54" s="8"/>
      <c r="B54" s="8"/>
      <c r="C54" s="9"/>
      <c r="D54" s="12" t="s">
        <v>50</v>
      </c>
      <c r="E54" s="16">
        <v>9809919.9800000004</v>
      </c>
      <c r="F54" s="16">
        <v>5767010.2420475576</v>
      </c>
      <c r="G54" s="16">
        <v>3384905.9700000007</v>
      </c>
      <c r="H54" s="16">
        <v>0</v>
      </c>
      <c r="I54" s="13">
        <f t="shared" si="0"/>
        <v>18961836.192047559</v>
      </c>
    </row>
    <row r="55" spans="1:9" ht="15.75" x14ac:dyDescent="0.25">
      <c r="A55" s="8"/>
      <c r="B55" s="8"/>
      <c r="C55" s="9"/>
      <c r="D55" s="12" t="s">
        <v>51</v>
      </c>
      <c r="E55" s="16">
        <v>2029782.35</v>
      </c>
      <c r="F55" s="16">
        <v>11810576.831298333</v>
      </c>
      <c r="G55" s="16">
        <v>261824.80999999997</v>
      </c>
      <c r="H55" s="16">
        <v>0</v>
      </c>
      <c r="I55" s="13">
        <f t="shared" si="0"/>
        <v>14102183.991298333</v>
      </c>
    </row>
    <row r="56" spans="1:9" ht="15.75" x14ac:dyDescent="0.25">
      <c r="A56" s="8"/>
      <c r="B56" s="8"/>
      <c r="C56" s="9"/>
      <c r="D56" s="12" t="s">
        <v>52</v>
      </c>
      <c r="E56" s="16">
        <v>3688317.8200000003</v>
      </c>
      <c r="F56" s="16">
        <v>13145651.832890883</v>
      </c>
      <c r="G56" s="16">
        <v>1380873.8300000003</v>
      </c>
      <c r="H56" s="16">
        <v>0</v>
      </c>
      <c r="I56" s="13">
        <f t="shared" si="0"/>
        <v>18214843.482890885</v>
      </c>
    </row>
    <row r="57" spans="1:9" ht="15.75" x14ac:dyDescent="0.25">
      <c r="A57" s="8"/>
      <c r="B57" s="8"/>
      <c r="C57" s="9"/>
      <c r="D57" s="12" t="s">
        <v>53</v>
      </c>
      <c r="E57" s="16">
        <v>3045317.21</v>
      </c>
      <c r="F57" s="16">
        <v>4344982.5813454073</v>
      </c>
      <c r="G57" s="16">
        <v>1788409.3199999998</v>
      </c>
      <c r="H57" s="16">
        <v>0</v>
      </c>
      <c r="I57" s="13">
        <f t="shared" si="0"/>
        <v>9178709.1113454066</v>
      </c>
    </row>
    <row r="58" spans="1:9" ht="15.75" x14ac:dyDescent="0.25">
      <c r="A58" s="8"/>
      <c r="B58" s="8"/>
      <c r="C58" s="9"/>
      <c r="D58" s="12" t="s">
        <v>54</v>
      </c>
      <c r="E58" s="16">
        <v>522988.33</v>
      </c>
      <c r="F58" s="16">
        <v>4676789.0355092417</v>
      </c>
      <c r="G58" s="16">
        <v>225148.49000000002</v>
      </c>
      <c r="H58" s="16">
        <v>0</v>
      </c>
      <c r="I58" s="13">
        <f t="shared" si="0"/>
        <v>5424925.855509242</v>
      </c>
    </row>
    <row r="59" spans="1:9" ht="15.75" x14ac:dyDescent="0.25">
      <c r="A59" s="8"/>
      <c r="B59" s="8"/>
      <c r="C59" s="9"/>
      <c r="D59" s="12" t="s">
        <v>55</v>
      </c>
      <c r="E59" s="16">
        <v>2110029.3800000004</v>
      </c>
      <c r="F59" s="16">
        <v>7900051.7331007812</v>
      </c>
      <c r="G59" s="16">
        <v>2619629.73</v>
      </c>
      <c r="H59" s="16">
        <v>0</v>
      </c>
      <c r="I59" s="13">
        <f t="shared" si="0"/>
        <v>12629710.843100782</v>
      </c>
    </row>
    <row r="60" spans="1:9" ht="15.75" x14ac:dyDescent="0.25">
      <c r="A60" s="8"/>
      <c r="B60" s="8"/>
      <c r="C60" s="9"/>
      <c r="D60" s="12" t="s">
        <v>56</v>
      </c>
      <c r="E60" s="16">
        <v>2241711.31</v>
      </c>
      <c r="F60" s="16">
        <v>4779542.0019599786</v>
      </c>
      <c r="G60" s="16">
        <v>1838992.98</v>
      </c>
      <c r="H60" s="16">
        <v>0</v>
      </c>
      <c r="I60" s="13">
        <f t="shared" si="0"/>
        <v>8860246.2919599786</v>
      </c>
    </row>
    <row r="61" spans="1:9" ht="15.75" x14ac:dyDescent="0.25">
      <c r="A61" s="8"/>
      <c r="B61" s="8"/>
      <c r="C61" s="9"/>
      <c r="D61" s="12" t="s">
        <v>57</v>
      </c>
      <c r="E61" s="16">
        <v>3628710.5900000003</v>
      </c>
      <c r="F61" s="16">
        <v>8018503.0694259368</v>
      </c>
      <c r="G61" s="16">
        <v>1440028.2000000002</v>
      </c>
      <c r="H61" s="16">
        <v>0</v>
      </c>
      <c r="I61" s="13">
        <f t="shared" si="0"/>
        <v>13087241.859425936</v>
      </c>
    </row>
    <row r="62" spans="1:9" ht="15.75" x14ac:dyDescent="0.25">
      <c r="A62" s="8"/>
      <c r="B62" s="8"/>
      <c r="C62" s="9"/>
      <c r="D62" s="12" t="s">
        <v>58</v>
      </c>
      <c r="E62" s="16">
        <v>5695957.1699999999</v>
      </c>
      <c r="F62" s="16">
        <v>8946847.5788176544</v>
      </c>
      <c r="G62" s="16">
        <v>115537075.49000001</v>
      </c>
      <c r="H62" s="16">
        <v>0</v>
      </c>
      <c r="I62" s="13">
        <f t="shared" si="0"/>
        <v>130179880.23881766</v>
      </c>
    </row>
    <row r="63" spans="1:9" ht="15.75" x14ac:dyDescent="0.25">
      <c r="A63" s="8"/>
      <c r="B63" s="8"/>
      <c r="C63" s="9"/>
      <c r="D63" s="12" t="s">
        <v>59</v>
      </c>
      <c r="E63" s="16">
        <v>548481.96</v>
      </c>
      <c r="F63" s="16">
        <v>987468.24008757877</v>
      </c>
      <c r="G63" s="16">
  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56089507.43</v>
      </c>
      <c r="H64" s="16">
        <v>0</v>
      </c>
      <c r="I64" s="13">
        <f t="shared" si="0"/>
        <v>56089507.43</v>
      </c>
    </row>
    <row r="65" spans="1:9" ht="15.75" x14ac:dyDescent="0.25">
      <c r="A65" s="8"/>
      <c r="B65" s="8"/>
      <c r="C65" s="9"/>
      <c r="D65" s="12" t="s">
        <v>61</v>
      </c>
      <c r="E65" s="16">
        <v>11662095.190000001</v>
      </c>
      <c r="F65" s="16">
        <v>11692023.557506466</v>
      </c>
      <c r="G65" s="16">
        <v>1801103.6199999999</v>
      </c>
      <c r="H65" s="16">
        <v>0</v>
      </c>
      <c r="I65" s="13">
        <f t="shared" si="0"/>
        <v>25155222.367506471</v>
      </c>
    </row>
    <row r="66" spans="1:9" ht="15.75" x14ac:dyDescent="0.25">
      <c r="A66" s="8"/>
      <c r="B66" s="8"/>
      <c r="C66" s="9"/>
      <c r="D66" s="12" t="s">
        <v>62</v>
      </c>
      <c r="E66" s="16">
        <v>25372354.390000001</v>
      </c>
      <c r="F66" s="16">
        <v>23245921.84761139</v>
      </c>
      <c r="G66" s="16">
        <v>3649032.5900000003</v>
      </c>
      <c r="H66" s="16">
        <v>0</v>
      </c>
      <c r="I66" s="13">
        <f t="shared" si="0"/>
        <v>52267308.827611394</v>
      </c>
    </row>
    <row r="67" spans="1:9" ht="15.75" x14ac:dyDescent="0.25">
      <c r="A67" s="8"/>
      <c r="B67" s="8"/>
      <c r="C67" s="9"/>
      <c r="D67" s="12" t="s">
        <v>63</v>
      </c>
      <c r="E67" s="16">
        <v>1819665.7</v>
      </c>
      <c r="F67" s="16">
        <v>10744107.05450508</v>
      </c>
      <c r="G67" s="16">
        <v>1302334.3400000003</v>
      </c>
      <c r="H67" s="16">
        <v>0</v>
      </c>
      <c r="I67" s="13">
        <f t="shared" si="0"/>
        <v>13866107.094505079</v>
      </c>
    </row>
    <row r="68" spans="1:9" ht="15.75" x14ac:dyDescent="0.25">
      <c r="A68" s="8"/>
      <c r="B68" s="8"/>
      <c r="C68" s="9"/>
      <c r="D68" s="12" t="s">
        <v>64</v>
      </c>
      <c r="E68" s="16">
        <v>5595860.79</v>
      </c>
      <c r="F68" s="16">
        <v>4542537.3918429539</v>
      </c>
      <c r="G68" s="16">
        <v>33597.97</v>
      </c>
      <c r="H68" s="16">
        <v>0</v>
      </c>
      <c r="I68" s="13">
        <f t="shared" si="0"/>
        <v>10171996.151842954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15419558.25</v>
      </c>
      <c r="H69" s="16">
        <v>0</v>
      </c>
      <c r="I69" s="13">
        <f t="shared" si="0"/>
        <v>15419558.25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17788739.09</v>
      </c>
      <c r="H70" s="16">
        <v>0</v>
      </c>
      <c r="I70" s="13">
        <f t="shared" si="0"/>
        <v>17788739.09</v>
      </c>
    </row>
    <row r="71" spans="1:9" ht="15.75" x14ac:dyDescent="0.25">
      <c r="A71" s="8"/>
      <c r="B71" s="8"/>
      <c r="C71" s="9"/>
      <c r="D71" s="12" t="s">
        <v>67</v>
      </c>
      <c r="E71" s="16">
        <v>363632.85</v>
      </c>
      <c r="F71" s="16">
        <v>118451.33632515398</v>
      </c>
      <c r="G71" s="16">
        <v>18115155.610000003</v>
      </c>
      <c r="H71" s="16">
        <v>0</v>
      </c>
      <c r="I71" s="13">
        <f t="shared" si="0"/>
        <v>18597239.796325158</v>
      </c>
    </row>
    <row r="72" spans="1:9" ht="15.75" x14ac:dyDescent="0.25">
      <c r="A72" s="8"/>
      <c r="B72" s="8"/>
      <c r="C72" s="9"/>
      <c r="D72" s="12" t="s">
        <v>68</v>
      </c>
      <c r="E72" s="16">
        <v>6800449.8299999991</v>
      </c>
      <c r="F72" s="16">
        <v>7378641.5908433283</v>
      </c>
      <c r="G72" s="16">
        <v>16862541.879999999</v>
      </c>
      <c r="H72" s="16">
        <v>0</v>
      </c>
      <c r="I72" s="13">
        <f t="shared" si="0"/>
        <v>31041633.300843328</v>
      </c>
    </row>
    <row r="73" spans="1:9" ht="15.75" x14ac:dyDescent="0.25">
      <c r="A73" s="8"/>
      <c r="B73" s="8"/>
      <c r="C73" s="9"/>
      <c r="D73" s="12" t="s">
        <v>69</v>
      </c>
      <c r="E73" s="16">
        <v>31766.870000000003</v>
      </c>
      <c r="F73" s="16">
        <v>0</v>
      </c>
      <c r="G73" s="16">
        <v>11466227.619999999</v>
      </c>
      <c r="H73" s="16">
        <v>0</v>
      </c>
      <c r="I73" s="13">
        <f t="shared" si="0"/>
        <v>11497994.489999998</v>
      </c>
    </row>
    <row r="74" spans="1:9" ht="15.75" x14ac:dyDescent="0.25">
      <c r="A74" s="8"/>
      <c r="B74" s="8"/>
      <c r="C74" s="9"/>
      <c r="D74" s="12" t="s">
        <v>70</v>
      </c>
      <c r="E74" s="16">
        <v>50701.219999999994</v>
      </c>
      <c r="F74" s="16">
        <v>624061.17124147387</v>
      </c>
      <c r="G74" s="16">
        <v>90070482.760000005</v>
      </c>
      <c r="H74" s="16">
        <v>0</v>
      </c>
      <c r="I74" s="13">
        <f t="shared" ref="I74:I137" si="1">SUM(E74:H74)</f>
        <v>90745245.151241481</v>
      </c>
    </row>
    <row r="75" spans="1:9" ht="15.75" x14ac:dyDescent="0.25">
      <c r="A75" s="8"/>
      <c r="B75" s="8"/>
      <c r="C75" s="9"/>
      <c r="D75" s="12" t="s">
        <v>71</v>
      </c>
      <c r="E75" s="16">
        <v>3478875.91</v>
      </c>
      <c r="F75" s="16">
        <v>2425296.2081308635</v>
      </c>
      <c r="G75" s="16">
        <v>124843688.84999998</v>
      </c>
      <c r="H75" s="16">
        <v>0</v>
      </c>
      <c r="I75" s="13">
        <f t="shared" si="1"/>
        <v>130747860.96813084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44798364.799999997</v>
      </c>
      <c r="H76" s="16">
        <v>0</v>
      </c>
      <c r="I76" s="13">
        <f t="shared" si="1"/>
        <v>44798364.799999997</v>
      </c>
    </row>
    <row r="77" spans="1:9" ht="15.75" x14ac:dyDescent="0.25">
      <c r="A77" s="8"/>
      <c r="B77" s="8"/>
      <c r="C77" s="9"/>
      <c r="D77" s="12" t="s">
        <v>73</v>
      </c>
      <c r="E77" s="16">
        <v>2563091.8499999996</v>
      </c>
      <c r="F77" s="16">
        <v>12027805.572872262</v>
      </c>
      <c r="G77" s="16">
        <v>1272704.42</v>
      </c>
      <c r="H77" s="16">
        <v>0</v>
      </c>
      <c r="I77" s="13">
        <f t="shared" si="1"/>
        <v>15863601.842872262</v>
      </c>
    </row>
    <row r="78" spans="1:9" ht="15.75" x14ac:dyDescent="0.25">
      <c r="A78" s="8"/>
      <c r="B78" s="8"/>
      <c r="C78" s="9"/>
      <c r="D78" s="12" t="s">
        <v>74</v>
      </c>
      <c r="E78" s="16">
        <v>8595333.9699999988</v>
      </c>
      <c r="F78" s="16">
        <v>12205584.514826709</v>
      </c>
      <c r="G78" s="16">
        <v>2576052.83</v>
      </c>
      <c r="H78" s="16">
        <v>0</v>
      </c>
      <c r="I78" s="13">
        <f t="shared" si="1"/>
        <v>23376971.314826705</v>
      </c>
    </row>
    <row r="79" spans="1:9" ht="15.75" x14ac:dyDescent="0.25">
      <c r="A79" s="8"/>
      <c r="B79" s="8"/>
      <c r="C79" s="9"/>
      <c r="D79" s="12" t="s">
        <v>75</v>
      </c>
      <c r="E79" s="16">
        <v>5998846.0199999996</v>
      </c>
      <c r="F79" s="16">
        <v>6853255.887383908</v>
      </c>
      <c r="G79" s="16">
        <v>2295539.2599999998</v>
      </c>
      <c r="H79" s="16">
        <v>0</v>
      </c>
      <c r="I79" s="13">
        <f t="shared" si="1"/>
        <v>15147641.167383907</v>
      </c>
    </row>
    <row r="80" spans="1:9" ht="15.75" x14ac:dyDescent="0.25">
      <c r="A80" s="8"/>
      <c r="B80" s="8"/>
      <c r="C80" s="9"/>
      <c r="D80" s="12" t="s">
        <v>76</v>
      </c>
      <c r="E80" s="16">
        <v>4378124.9999999991</v>
      </c>
      <c r="F80" s="16">
        <v>3622144.0048551601</v>
      </c>
      <c r="G80" s="16">
        <v>680760.9</v>
      </c>
      <c r="H80" s="16">
        <v>0</v>
      </c>
      <c r="I80" s="13">
        <f t="shared" si="1"/>
        <v>8681029.90485516</v>
      </c>
    </row>
    <row r="81" spans="1:9" ht="15.75" x14ac:dyDescent="0.25">
      <c r="A81" s="8"/>
      <c r="B81" s="8"/>
      <c r="C81" s="9"/>
      <c r="D81" s="12" t="s">
        <v>77</v>
      </c>
      <c r="E81" s="16">
        <v>13528409.539999995</v>
      </c>
      <c r="F81" s="16">
        <v>21855494.801591516</v>
      </c>
      <c r="G81" s="16">
        <v>5382918.620000001</v>
      </c>
      <c r="H81" s="16">
        <v>0</v>
      </c>
      <c r="I81" s="13">
        <f t="shared" si="1"/>
        <v>40766822.961591512</v>
      </c>
    </row>
    <row r="82" spans="1:9" ht="15.75" x14ac:dyDescent="0.25">
      <c r="A82" s="8"/>
      <c r="B82" s="8"/>
      <c r="C82" s="9"/>
      <c r="D82" s="12" t="s">
        <v>78</v>
      </c>
      <c r="E82" s="16">
        <v>12665172.599999998</v>
      </c>
      <c r="F82" s="16">
        <v>15148315.304013066</v>
      </c>
      <c r="G82" s="16">
        <v>1504524.6600000001</v>
      </c>
      <c r="H82" s="16">
        <v>0</v>
      </c>
      <c r="I82" s="13">
        <f t="shared" si="1"/>
        <v>29318012.564013064</v>
      </c>
    </row>
    <row r="83" spans="1:9" ht="15.75" x14ac:dyDescent="0.25">
      <c r="A83" s="8"/>
      <c r="B83" s="8"/>
      <c r="C83" s="9"/>
      <c r="D83" s="12" t="s">
        <v>79</v>
      </c>
      <c r="E83" s="16">
        <v>7822726.8400000008</v>
      </c>
      <c r="F83" s="16">
        <v>6221243.5937385075</v>
      </c>
      <c r="G83" s="16">
        <v>6593212.4900000012</v>
      </c>
      <c r="H83" s="16">
        <v>0</v>
      </c>
      <c r="I83" s="13">
        <f t="shared" si="1"/>
        <v>20637182.923738509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53136155.799999997</v>
      </c>
      <c r="H84" s="16">
        <v>0</v>
      </c>
      <c r="I84" s="13">
        <f t="shared" si="1"/>
        <v>53136155.799999997</v>
      </c>
    </row>
    <row r="85" spans="1:9" ht="15.75" x14ac:dyDescent="0.25">
      <c r="A85" s="8"/>
      <c r="B85" s="8"/>
      <c r="C85" s="9"/>
      <c r="D85" s="12" t="s">
        <v>81</v>
      </c>
      <c r="E85" s="16">
        <v>5152210.1099999994</v>
      </c>
      <c r="F85" s="16">
        <v>1935486.6805556789</v>
      </c>
      <c r="G85" s="16">
        <v>13515058.470000003</v>
      </c>
      <c r="H85" s="16">
        <v>0</v>
      </c>
      <c r="I85" s="13">
        <f t="shared" si="1"/>
        <v>20602755.260555681</v>
      </c>
    </row>
    <row r="86" spans="1:9" ht="15.75" x14ac:dyDescent="0.25">
      <c r="A86" s="8"/>
      <c r="B86" s="8"/>
      <c r="C86" s="9"/>
      <c r="D86" s="12" t="s">
        <v>82</v>
      </c>
      <c r="E86" s="16">
        <v>7641335.1699999999</v>
      </c>
      <c r="F86" s="16">
        <v>8038278.9379690345</v>
      </c>
      <c r="G86" s="16">
        <v>2170109.8600000003</v>
      </c>
      <c r="H86" s="16">
        <v>0</v>
      </c>
      <c r="I86" s="13">
        <f t="shared" si="1"/>
        <v>17849723.967969034</v>
      </c>
    </row>
    <row r="87" spans="1:9" ht="15.75" x14ac:dyDescent="0.25">
      <c r="A87" s="8"/>
      <c r="B87" s="8"/>
      <c r="C87" s="9"/>
      <c r="D87" s="12" t="s">
        <v>83</v>
      </c>
      <c r="E87" s="16">
        <v>2570991.04</v>
      </c>
      <c r="F87" s="16">
        <v>10586103.981093731</v>
      </c>
      <c r="G87" s="16">
        <v>1717316.06</v>
      </c>
      <c r="H87" s="16">
        <v>0</v>
      </c>
      <c r="I87" s="13">
        <f t="shared" si="1"/>
        <v>14874411.08109373</v>
      </c>
    </row>
    <row r="88" spans="1:9" ht="15.75" x14ac:dyDescent="0.25">
      <c r="A88" s="8"/>
      <c r="B88" s="8"/>
      <c r="C88" s="9"/>
      <c r="D88" s="12" t="s">
        <v>84</v>
      </c>
      <c r="E88" s="16">
        <v>1097696.29</v>
      </c>
      <c r="F88" s="16">
        <v>0</v>
      </c>
      <c r="G88" s="16">
        <v>16222106.799999999</v>
      </c>
      <c r="H88" s="16">
        <v>0</v>
      </c>
      <c r="I88" s="13">
        <f t="shared" si="1"/>
        <v>17319803.09</v>
      </c>
    </row>
    <row r="89" spans="1:9" ht="15.75" x14ac:dyDescent="0.25">
      <c r="A89" s="8"/>
      <c r="B89" s="8"/>
      <c r="C89" s="9"/>
      <c r="D89" s="12" t="s">
        <v>85</v>
      </c>
      <c r="E89" s="16">
        <v>3975550.99</v>
      </c>
      <c r="F89" s="16">
        <v>10380699.985658977</v>
      </c>
      <c r="G89" s="16">
        <v>1202413.3299999998</v>
      </c>
      <c r="H89" s="16">
        <v>0</v>
      </c>
      <c r="I89" s="13">
        <f t="shared" si="1"/>
        <v>15558664.305658977</v>
      </c>
    </row>
    <row r="90" spans="1:9" ht="15.75" x14ac:dyDescent="0.25">
      <c r="A90" s="8"/>
      <c r="B90" s="8"/>
      <c r="C90" s="9"/>
      <c r="D90" s="12" t="s">
        <v>86</v>
      </c>
      <c r="E90" s="16">
        <v>1692768.03</v>
      </c>
      <c r="F90" s="16">
        <v>2686052.2479929496</v>
      </c>
      <c r="G90" s="16">
        <v>4116648.3299999996</v>
      </c>
      <c r="H90" s="16">
        <v>0</v>
      </c>
      <c r="I90" s="13">
        <f t="shared" si="1"/>
        <v>8495468.607992949</v>
      </c>
    </row>
    <row r="91" spans="1:9" ht="15.75" x14ac:dyDescent="0.25">
      <c r="A91" s="8"/>
      <c r="B91" s="8"/>
      <c r="C91" s="9"/>
      <c r="D91" s="12" t="s">
        <v>87</v>
      </c>
      <c r="E91" s="16">
        <v>5888844.75</v>
      </c>
      <c r="F91" s="16">
        <v>6126441.7496916987</v>
      </c>
      <c r="G91" s="16">
        <v>8691273.3800000008</v>
      </c>
      <c r="H91" s="16">
        <v>0</v>
      </c>
      <c r="I91" s="13">
        <f t="shared" si="1"/>
        <v>20706559.879691698</v>
      </c>
    </row>
    <row r="92" spans="1:9" ht="15.75" x14ac:dyDescent="0.25">
      <c r="A92" s="8"/>
      <c r="B92" s="8"/>
      <c r="C92" s="9"/>
      <c r="D92" s="12" t="s">
        <v>88</v>
      </c>
      <c r="E92" s="16">
        <v>687541.92999999993</v>
      </c>
      <c r="F92" s="16">
        <v>845265.47401736374</v>
      </c>
      <c r="G92" s="16">
        <v>26815618.599999998</v>
      </c>
      <c r="H92" s="16">
        <v>0</v>
      </c>
      <c r="I92" s="13">
        <f t="shared" si="1"/>
        <v>28348426.004017361</v>
      </c>
    </row>
    <row r="93" spans="1:9" ht="15.75" x14ac:dyDescent="0.25">
      <c r="A93" s="8"/>
      <c r="B93" s="8"/>
      <c r="C93" s="9"/>
      <c r="D93" s="12" t="s">
        <v>89</v>
      </c>
      <c r="E93" s="16">
        <v>6371860.1499999994</v>
      </c>
      <c r="F93" s="16">
        <v>6849382.2636486627</v>
      </c>
      <c r="G93" s="16">
        <v>2523228.7100000004</v>
      </c>
      <c r="H93" s="16">
        <v>0</v>
      </c>
      <c r="I93" s="13">
        <f t="shared" si="1"/>
        <v>15744471.123648662</v>
      </c>
    </row>
    <row r="94" spans="1:9" ht="15.75" x14ac:dyDescent="0.25">
      <c r="A94" s="8"/>
      <c r="B94" s="8"/>
      <c r="C94" s="9"/>
      <c r="D94" s="12" t="s">
        <v>90</v>
      </c>
      <c r="E94" s="16">
        <v>26711.21</v>
      </c>
      <c r="F94" s="16">
        <v>0</v>
      </c>
      <c r="G94" s="16">
        <v>724086.66999999993</v>
      </c>
      <c r="H94" s="16">
        <v>0</v>
      </c>
      <c r="I94" s="13">
        <f t="shared" si="1"/>
        <v>750797.87999999989</v>
      </c>
    </row>
    <row r="95" spans="1:9" ht="15.75" x14ac:dyDescent="0.25">
      <c r="A95" s="8"/>
      <c r="B95" s="8"/>
      <c r="C95" s="9"/>
      <c r="D95" s="12" t="s">
        <v>91</v>
      </c>
      <c r="E95" s="16">
        <v>267014.01</v>
      </c>
      <c r="F95" s="16">
        <v>217228.74157392693</v>
      </c>
      <c r="G95" s="16">
        <v>28545159.23</v>
      </c>
      <c r="H95" s="16">
        <v>0</v>
      </c>
      <c r="I95" s="13">
        <f t="shared" si="1"/>
        <v>29029401.981573928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39089374.039999999</v>
      </c>
      <c r="H96" s="16">
        <v>0</v>
      </c>
      <c r="I96" s="13">
        <f t="shared" si="1"/>
        <v>39089374.039999999</v>
      </c>
    </row>
    <row r="97" spans="1:9" ht="15.75" x14ac:dyDescent="0.25">
      <c r="A97" s="8"/>
      <c r="B97" s="8"/>
      <c r="C97" s="9"/>
      <c r="D97" s="12" t="s">
        <v>93</v>
      </c>
      <c r="E97" s="16">
        <v>1209662.9300000002</v>
      </c>
      <c r="F97" s="16">
        <v>9756536.8769507855</v>
      </c>
      <c r="G97" s="16">
        <v>2006937.96</v>
      </c>
      <c r="H97" s="16">
        <v>0</v>
      </c>
      <c r="I97" s="13">
        <f t="shared" si="1"/>
        <v>12973137.766950786</v>
      </c>
    </row>
    <row r="98" spans="1:9" ht="15.75" x14ac:dyDescent="0.25">
      <c r="A98" s="8"/>
      <c r="B98" s="8"/>
      <c r="C98" s="9"/>
      <c r="D98" s="12" t="s">
        <v>94</v>
      </c>
      <c r="E98" s="16">
        <v>12644877.76</v>
      </c>
      <c r="F98" s="16">
        <v>12833621.247270146</v>
      </c>
      <c r="G98" s="16">
        <v>12117751.200000001</v>
      </c>
      <c r="H98" s="16">
        <v>0</v>
      </c>
      <c r="I98" s="13">
        <f t="shared" si="1"/>
        <v>37596250.207270145</v>
      </c>
    </row>
    <row r="99" spans="1:9" ht="15.75" x14ac:dyDescent="0.25">
      <c r="A99" s="8"/>
      <c r="B99" s="8"/>
      <c r="C99" s="9"/>
      <c r="D99" s="12" t="s">
        <v>95</v>
      </c>
      <c r="E99" s="16">
        <v>14831789.780000001</v>
      </c>
      <c r="F99" s="16">
        <v>24454594.390474863</v>
      </c>
      <c r="G99" s="16">
        <v>6335152.5300000003</v>
      </c>
      <c r="H99" s="16">
        <v>0</v>
      </c>
      <c r="I99" s="13">
        <f t="shared" si="1"/>
        <v>45621536.700474866</v>
      </c>
    </row>
    <row r="100" spans="1:9" ht="15.75" x14ac:dyDescent="0.25">
      <c r="A100" s="8"/>
      <c r="B100" s="8"/>
      <c r="C100" s="9"/>
      <c r="D100" s="12" t="s">
        <v>96</v>
      </c>
      <c r="E100" s="16">
        <v>11725536.510000002</v>
      </c>
      <c r="F100" s="16">
        <v>24466419.136614032</v>
      </c>
      <c r="G100" s="16">
        <v>15275881.370000003</v>
      </c>
      <c r="H100" s="16">
        <v>0</v>
      </c>
      <c r="I100" s="13">
        <f t="shared" si="1"/>
        <v>51467837.016614035</v>
      </c>
    </row>
    <row r="101" spans="1:9" ht="15.75" x14ac:dyDescent="0.25">
      <c r="A101" s="8"/>
      <c r="B101" s="8"/>
      <c r="C101" s="9"/>
      <c r="D101" s="12" t="s">
        <v>97</v>
      </c>
      <c r="E101" s="16">
        <v>794424.93</v>
      </c>
      <c r="F101" s="16">
        <v>32833344.467278674</v>
      </c>
      <c r="G101" s="16">
        <v>122192.48999999999</v>
      </c>
      <c r="H101" s="16">
        <v>0</v>
      </c>
      <c r="I101" s="13">
        <f t="shared" si="1"/>
        <v>33749961.887278676</v>
      </c>
    </row>
    <row r="102" spans="1:9" ht="15.75" x14ac:dyDescent="0.25">
      <c r="A102" s="8"/>
      <c r="B102" s="8"/>
      <c r="C102" s="9"/>
      <c r="D102" s="12" t="s">
        <v>98</v>
      </c>
      <c r="E102" s="16">
        <v>9518639.0700000003</v>
      </c>
      <c r="F102" s="16">
        <v>14117421.703104045</v>
      </c>
      <c r="G102" s="16">
        <v>7989534.4900000012</v>
      </c>
      <c r="H102" s="16">
        <v>0</v>
      </c>
      <c r="I102" s="13">
        <f t="shared" si="1"/>
        <v>31625595.263104048</v>
      </c>
    </row>
    <row r="103" spans="1:9" ht="15.75" x14ac:dyDescent="0.25">
      <c r="A103" s="8"/>
      <c r="B103" s="8"/>
      <c r="C103" s="9"/>
      <c r="D103" s="12" t="s">
        <v>99</v>
      </c>
      <c r="E103" s="16">
        <v>3290493.1799999997</v>
      </c>
      <c r="F103" s="16">
        <v>4483311.7236803751</v>
      </c>
      <c r="G103" s="16">
        <v>674815.25</v>
      </c>
      <c r="H103" s="16">
        <v>0</v>
      </c>
      <c r="I103" s="13">
        <f t="shared" si="1"/>
        <v>8448620.1536803748</v>
      </c>
    </row>
    <row r="104" spans="1:9" ht="15.75" x14ac:dyDescent="0.25">
      <c r="A104" s="8"/>
      <c r="B104" s="8"/>
      <c r="C104" s="9"/>
      <c r="D104" s="12" t="s">
        <v>100</v>
      </c>
      <c r="E104" s="16">
        <v>20522897.920000006</v>
      </c>
      <c r="F104" s="16">
        <v>8192306.4501784202</v>
      </c>
      <c r="G104" s="16">
        <v>14902488.610000001</v>
      </c>
      <c r="H104" s="16">
        <v>0</v>
      </c>
      <c r="I104" s="13">
        <f t="shared" si="1"/>
        <v>43617692.980178423</v>
      </c>
    </row>
    <row r="105" spans="1:9" ht="15.75" x14ac:dyDescent="0.25">
      <c r="A105" s="8"/>
      <c r="B105" s="8"/>
      <c r="C105" s="9"/>
      <c r="D105" s="12" t="s">
        <v>101</v>
      </c>
      <c r="E105" s="16">
        <v>4070764.95</v>
      </c>
      <c r="F105" s="16">
        <v>12166032.777740516</v>
      </c>
      <c r="G105" s="16">
        <v>358611</v>
      </c>
      <c r="H105" s="16">
        <v>0</v>
      </c>
      <c r="I105" s="13">
        <f t="shared" si="1"/>
        <v>16595408.727740515</v>
      </c>
    </row>
    <row r="106" spans="1:9" ht="15.75" x14ac:dyDescent="0.25">
      <c r="A106" s="8"/>
      <c r="B106" s="8"/>
      <c r="C106" s="9"/>
      <c r="D106" s="12" t="s">
        <v>102</v>
      </c>
      <c r="E106" s="16">
        <v>7220538.4799999995</v>
      </c>
      <c r="F106" s="16">
        <v>750463.62997055391</v>
      </c>
      <c r="G106" s="16">
        <v>31056930.439999998</v>
      </c>
      <c r="H106" s="16">
        <v>0</v>
      </c>
      <c r="I106" s="13">
        <f t="shared" si="1"/>
        <v>39027932.549970552</v>
      </c>
    </row>
    <row r="107" spans="1:9" ht="15.75" x14ac:dyDescent="0.25">
      <c r="A107" s="8"/>
      <c r="B107" s="8"/>
      <c r="C107" s="9"/>
      <c r="D107" s="12" t="s">
        <v>103</v>
      </c>
      <c r="E107" s="16">
        <v>117020.34</v>
      </c>
      <c r="F107" s="16">
        <v>0</v>
      </c>
      <c r="G107" s="16">
        <v>5574407.3700000001</v>
      </c>
      <c r="H107" s="16">
        <v>0</v>
      </c>
      <c r="I107" s="13">
        <f t="shared" si="1"/>
        <v>5691427.71</v>
      </c>
    </row>
    <row r="108" spans="1:9" ht="15.75" x14ac:dyDescent="0.25">
      <c r="A108" s="8"/>
      <c r="B108" s="8"/>
      <c r="C108" s="9"/>
      <c r="D108" s="12" t="s">
        <v>104</v>
      </c>
      <c r="E108" s="16">
        <v>443959.15</v>
      </c>
      <c r="F108" s="16">
        <v>0</v>
      </c>
      <c r="G108" s="16">
        <v>4295765.1800000006</v>
      </c>
      <c r="H108" s="16">
        <v>0</v>
      </c>
      <c r="I108" s="13">
        <f t="shared" si="1"/>
        <v>4739724.330000001</v>
      </c>
    </row>
    <row r="109" spans="1:9" ht="15.75" x14ac:dyDescent="0.25">
      <c r="A109" s="8"/>
      <c r="B109" s="8"/>
      <c r="C109" s="9"/>
      <c r="D109" s="12" t="s">
        <v>105</v>
      </c>
      <c r="E109" s="16">
        <v>711456.15000000014</v>
      </c>
      <c r="F109" s="16">
        <v>19568425.798328903</v>
      </c>
      <c r="G109" s="16">
        <v>861334.36999999988</v>
      </c>
      <c r="H109" s="16">
        <v>0</v>
      </c>
      <c r="I109" s="13">
        <f t="shared" si="1"/>
        <v>21141216.318328902</v>
      </c>
    </row>
    <row r="110" spans="1:9" ht="15.75" x14ac:dyDescent="0.25">
      <c r="A110" s="8"/>
      <c r="B110" s="8"/>
      <c r="C110" s="9"/>
      <c r="D110" s="12" t="s">
        <v>106</v>
      </c>
      <c r="E110" s="16">
        <v>1487084.3900000001</v>
      </c>
      <c r="F110" s="16">
        <v>4538561.8306409903</v>
      </c>
      <c r="G110" s="16">
        <v>1209653.8300000003</v>
      </c>
      <c r="H110" s="16">
        <v>0</v>
      </c>
      <c r="I110" s="13">
        <f t="shared" si="1"/>
        <v>7235300.050640991</v>
      </c>
    </row>
    <row r="111" spans="1:9" ht="15.75" x14ac:dyDescent="0.25">
      <c r="A111" s="8"/>
      <c r="B111" s="8"/>
      <c r="C111" s="9"/>
      <c r="D111" s="12" t="s">
        <v>107</v>
      </c>
      <c r="E111" s="16">
        <v>83605.94</v>
      </c>
      <c r="F111" s="16">
        <v>75025.97550371199</v>
      </c>
      <c r="G111" s="16">
        <v>51387403.370000005</v>
      </c>
      <c r="H111" s="16">
        <v>0</v>
      </c>
      <c r="I111" s="13">
        <f t="shared" si="1"/>
        <v>51546035.285503715</v>
      </c>
    </row>
    <row r="112" spans="1:9" ht="15.75" x14ac:dyDescent="0.25">
      <c r="A112" s="8"/>
      <c r="B112" s="8"/>
      <c r="C112" s="9"/>
      <c r="D112" s="12" t="s">
        <v>108</v>
      </c>
      <c r="E112" s="16">
        <v>14305441.629999999</v>
      </c>
      <c r="F112" s="16">
        <v>5134997.9484021571</v>
      </c>
      <c r="G112" s="16">
        <v>4135329.3</v>
      </c>
      <c r="H112" s="16">
        <v>0</v>
      </c>
      <c r="I112" s="13">
        <f t="shared" si="1"/>
        <v>23575768.878402155</v>
      </c>
    </row>
    <row r="113" spans="1:9" ht="15.75" x14ac:dyDescent="0.25">
      <c r="A113" s="8"/>
      <c r="B113" s="8"/>
      <c r="C113" s="9"/>
      <c r="D113" s="12" t="s">
        <v>109</v>
      </c>
      <c r="E113" s="16">
        <v>2985621.7800000007</v>
      </c>
      <c r="F113" s="16">
        <v>12363587.58823806</v>
      </c>
      <c r="G113" s="16">
        <v>2058723.3399999999</v>
      </c>
      <c r="H113" s="16">
        <v>0</v>
      </c>
      <c r="I113" s="13">
        <f t="shared" si="1"/>
        <v>17407932.708238062</v>
      </c>
    </row>
    <row r="114" spans="1:9" ht="15.75" x14ac:dyDescent="0.25">
      <c r="A114" s="8"/>
      <c r="B114" s="8"/>
      <c r="C114" s="9"/>
      <c r="D114" s="12" t="s">
        <v>110</v>
      </c>
      <c r="E114" s="16">
        <v>3443902.5</v>
      </c>
      <c r="F114" s="16">
        <v>14180622.932468586</v>
      </c>
      <c r="G114" s="16">
        <v>3199747.3499999992</v>
      </c>
      <c r="H114" s="16">
        <v>0</v>
      </c>
      <c r="I114" s="13">
        <f t="shared" si="1"/>
        <v>20824272.782468583</v>
      </c>
    </row>
    <row r="115" spans="1:9" ht="15.75" x14ac:dyDescent="0.25">
      <c r="A115" s="8"/>
      <c r="B115" s="8"/>
      <c r="C115" s="9"/>
      <c r="D115" s="12" t="s">
        <v>111</v>
      </c>
      <c r="E115" s="16">
        <v>19137826.57</v>
      </c>
      <c r="F115" s="16">
        <v>7011258.9607952591</v>
      </c>
      <c r="G115" s="16">
        <v>3846682.05</v>
      </c>
      <c r="H115" s="16">
        <v>0</v>
      </c>
      <c r="I115" s="13">
        <f t="shared" si="1"/>
        <v>29995767.580795262</v>
      </c>
    </row>
    <row r="116" spans="1:9" ht="15.75" x14ac:dyDescent="0.25">
      <c r="A116" s="8"/>
      <c r="B116" s="8"/>
      <c r="C116" s="9"/>
      <c r="D116" s="12" t="s">
        <v>112</v>
      </c>
      <c r="E116" s="16">
        <v>1896996.3500000003</v>
      </c>
      <c r="F116" s="16">
        <v>9104850.6522290036</v>
      </c>
      <c r="G116" s="16">
        <v>38232.26</v>
      </c>
      <c r="H116" s="16">
        <v>0</v>
      </c>
      <c r="I116" s="13">
        <f t="shared" si="1"/>
        <v>11040079.262229003</v>
      </c>
    </row>
    <row r="117" spans="1:9" ht="15.75" x14ac:dyDescent="0.25">
      <c r="A117" s="8"/>
      <c r="B117" s="8"/>
      <c r="C117" s="9"/>
      <c r="D117" s="12" t="s">
        <v>113</v>
      </c>
      <c r="E117" s="16">
        <v>3496883.13</v>
      </c>
      <c r="F117" s="16">
        <v>7031034.8293383569</v>
      </c>
      <c r="G117" s="16">
        <v>3194976.9899999998</v>
      </c>
      <c r="H117" s="16">
        <v>0</v>
      </c>
      <c r="I117" s="13">
        <f t="shared" si="1"/>
        <v>13722894.949338356</v>
      </c>
    </row>
    <row r="118" spans="1:9" ht="15.75" x14ac:dyDescent="0.25">
      <c r="A118" s="8"/>
      <c r="B118" s="8"/>
      <c r="C118" s="9"/>
      <c r="D118" s="12" t="s">
        <v>114</v>
      </c>
      <c r="E118" s="16">
        <v>7404125.6899999995</v>
      </c>
      <c r="F118" s="16">
        <v>10981111.664622106</v>
      </c>
      <c r="G118" s="16">
        <v>4826140.25</v>
      </c>
      <c r="H118" s="16">
        <v>0</v>
      </c>
      <c r="I118" s="13">
        <f t="shared" si="1"/>
        <v>23211377.604622103</v>
      </c>
    </row>
    <row r="119" spans="1:9" ht="15.75" x14ac:dyDescent="0.25">
      <c r="A119" s="8"/>
      <c r="B119" s="8"/>
      <c r="C119" s="9"/>
      <c r="D119" s="12" t="s">
        <v>115</v>
      </c>
      <c r="E119" s="16">
        <v>1158966.51</v>
      </c>
      <c r="F119" s="16">
        <v>1066469.7767932538</v>
      </c>
      <c r="G119" s="16">
        <v>1984522.8199999998</v>
      </c>
      <c r="H119" s="16">
        <v>0</v>
      </c>
      <c r="I119" s="13">
        <f t="shared" si="1"/>
        <v>4209959.1067932537</v>
      </c>
    </row>
    <row r="120" spans="1:9" ht="15.75" x14ac:dyDescent="0.25">
      <c r="A120" s="8"/>
      <c r="B120" s="8"/>
      <c r="C120" s="9"/>
      <c r="D120" s="12" t="s">
        <v>116</v>
      </c>
      <c r="E120" s="16">
        <v>9981424.1799999997</v>
      </c>
      <c r="F120" s="16">
        <v>4660988.7281681076</v>
      </c>
      <c r="G120" s="16">
        <v>3973154.55</v>
      </c>
      <c r="H120" s="16">
        <v>0</v>
      </c>
      <c r="I120" s="13">
        <f t="shared" si="1"/>
        <v>18615567.458168108</v>
      </c>
    </row>
    <row r="121" spans="1:9" ht="15.75" x14ac:dyDescent="0.25">
      <c r="A121" s="8"/>
      <c r="B121" s="8"/>
      <c r="C121" s="9"/>
      <c r="D121" s="12" t="s">
        <v>117</v>
      </c>
      <c r="E121" s="16">
        <v>2202793.2499999995</v>
      </c>
      <c r="F121" s="16">
        <v>6916457.1167484485</v>
      </c>
      <c r="G121" s="16">
        <v>2999163.33</v>
      </c>
      <c r="H121" s="16">
        <v>0</v>
      </c>
      <c r="I121" s="13">
        <f t="shared" si="1"/>
        <v>12118413.696748449</v>
      </c>
    </row>
    <row r="122" spans="1:9" ht="15.75" x14ac:dyDescent="0.25">
      <c r="A122" s="8"/>
      <c r="B122" s="8"/>
      <c r="C122" s="9"/>
      <c r="D122" s="12" t="s">
        <v>118</v>
      </c>
      <c r="E122" s="16">
        <v>5485399.6200000001</v>
      </c>
      <c r="F122" s="16">
        <v>5099523.7099846415</v>
      </c>
      <c r="G122" s="16">
        <v>3154161.1000000006</v>
      </c>
      <c r="H122" s="16">
        <v>0</v>
      </c>
      <c r="I122" s="13">
        <f t="shared" si="1"/>
        <v>13739084.429984644</v>
      </c>
    </row>
    <row r="123" spans="1:9" ht="15.75" x14ac:dyDescent="0.25">
      <c r="A123" s="8"/>
      <c r="B123" s="8"/>
      <c r="C123" s="9"/>
      <c r="D123" s="12" t="s">
        <v>119</v>
      </c>
      <c r="E123" s="16">
        <v>5596200.2700000005</v>
      </c>
      <c r="F123" s="16">
        <v>9369480.3158263359</v>
      </c>
      <c r="G123" s="16">
        <v>1257947.29</v>
      </c>
      <c r="H123" s="16">
        <v>0</v>
      </c>
      <c r="I123" s="13">
        <f t="shared" si="1"/>
        <v>16223627.875826336</v>
      </c>
    </row>
    <row r="124" spans="1:9" ht="15.75" x14ac:dyDescent="0.25">
      <c r="A124" s="8"/>
      <c r="B124" s="8"/>
      <c r="C124" s="9"/>
      <c r="D124" s="12" t="s">
        <v>120</v>
      </c>
      <c r="E124" s="16">
        <v>76327.419999999984</v>
      </c>
      <c r="F124" s="16">
        <v>0</v>
      </c>
      <c r="G124" s="16">
        <v>15046618.66</v>
      </c>
      <c r="H124" s="16">
        <v>37154634.214999989</v>
      </c>
      <c r="I124" s="13">
        <f t="shared" si="1"/>
        <v>52277580.294999987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46640817.469999991</v>
      </c>
      <c r="H125" s="16">
        <v>9351123.4000000022</v>
      </c>
      <c r="I125" s="13">
        <f t="shared" si="1"/>
        <v>55991940.86999999</v>
      </c>
    </row>
    <row r="126" spans="1:9" ht="15.75" x14ac:dyDescent="0.25">
      <c r="A126" s="8"/>
      <c r="B126" s="8"/>
      <c r="C126" s="9"/>
      <c r="D126" s="12" t="s">
        <v>122</v>
      </c>
      <c r="E126" s="16">
        <v>9772.86</v>
      </c>
      <c r="F126" s="16">
        <v>0</v>
      </c>
      <c r="G126" s="16">
        <v>25655869.59</v>
      </c>
      <c r="H126" s="16">
        <v>0</v>
      </c>
      <c r="I126" s="13">
        <f t="shared" si="1"/>
        <v>25665642.449999999</v>
      </c>
    </row>
    <row r="127" spans="1:9" ht="15.75" x14ac:dyDescent="0.25">
      <c r="A127" s="8"/>
      <c r="B127" s="8"/>
      <c r="C127" s="9"/>
      <c r="D127" s="12" t="s">
        <v>123</v>
      </c>
      <c r="E127" s="16">
        <v>5253851.3600000003</v>
      </c>
      <c r="F127" s="16">
        <v>1975038.4176418749</v>
      </c>
      <c r="G127" s="16">
        <v>17788022.300000001</v>
      </c>
      <c r="H127" s="16">
        <v>0</v>
      </c>
      <c r="I127" s="13">
        <f t="shared" si="1"/>
        <v>25016912.077641875</v>
      </c>
    </row>
    <row r="128" spans="1:9" ht="15.75" x14ac:dyDescent="0.25">
      <c r="A128" s="8"/>
      <c r="B128" s="8"/>
      <c r="C128" s="9"/>
      <c r="D128" s="12" t="s">
        <v>124</v>
      </c>
      <c r="E128" s="16">
        <v>5719866.54</v>
      </c>
      <c r="F128" s="16">
        <v>6162017.9255759316</v>
      </c>
      <c r="G128" s="16">
        <v>6002743.96</v>
      </c>
      <c r="H128" s="16">
        <v>0</v>
      </c>
      <c r="I128" s="13">
        <f t="shared" si="1"/>
        <v>17884628.425575931</v>
      </c>
    </row>
    <row r="129" spans="1:9" ht="15.75" x14ac:dyDescent="0.25">
      <c r="A129" s="8"/>
      <c r="B129" s="8"/>
      <c r="C129" s="9"/>
      <c r="D129" s="12" t="s">
        <v>125</v>
      </c>
      <c r="E129" s="16">
        <v>4855231.6899999995</v>
      </c>
      <c r="F129" s="16">
        <v>2982282.5262725512</v>
      </c>
      <c r="G129" s="16">
        <v>5705292.9299999997</v>
      </c>
      <c r="H129" s="16">
        <v>0</v>
      </c>
      <c r="I129" s="13">
        <f t="shared" si="1"/>
        <v>13542807.146272551</v>
      </c>
    </row>
    <row r="130" spans="1:9" ht="15.75" x14ac:dyDescent="0.25">
      <c r="A130" s="8"/>
      <c r="B130" s="8"/>
      <c r="C130" s="9"/>
      <c r="D130" s="12" t="s">
        <v>126</v>
      </c>
      <c r="E130" s="16">
        <v>717272.82000000007</v>
      </c>
      <c r="F130" s="16">
        <v>5253551.2221940281</v>
      </c>
      <c r="G130" s="16">
        <v>1248611.9100000001</v>
      </c>
      <c r="H130" s="16">
        <v>0</v>
      </c>
      <c r="I130" s="13">
        <f t="shared" si="1"/>
        <v>7219435.9521940285</v>
      </c>
    </row>
    <row r="131" spans="1:9" ht="15.75" x14ac:dyDescent="0.25">
      <c r="A131" s="8"/>
      <c r="B131" s="8"/>
      <c r="C131" s="9"/>
      <c r="D131" s="12" t="s">
        <v>127</v>
      </c>
      <c r="E131" s="16">
        <v>22956688.520000003</v>
      </c>
      <c r="F131" s="16">
        <v>28712726.250177383</v>
      </c>
      <c r="G131" s="16">
        <v>43787792.68999999</v>
      </c>
      <c r="H131" s="16">
        <v>0</v>
      </c>
      <c r="I131" s="13">
        <f t="shared" si="1"/>
        <v>95457207.460177377</v>
      </c>
    </row>
    <row r="132" spans="1:9" ht="15.75" x14ac:dyDescent="0.25">
      <c r="A132" s="8"/>
      <c r="B132" s="8"/>
      <c r="C132" s="9"/>
      <c r="D132" s="12" t="s">
        <v>128</v>
      </c>
      <c r="E132" s="16">
        <v>3401936.9999999995</v>
      </c>
      <c r="F132" s="16">
        <v>17617138.810432088</v>
      </c>
      <c r="G132" s="16">
        <v>88143.64</v>
      </c>
      <c r="H132" s="16">
        <v>0</v>
      </c>
      <c r="I132" s="13">
        <f t="shared" si="1"/>
        <v>21107219.450432088</v>
      </c>
    </row>
    <row r="133" spans="1:9" ht="15.75" x14ac:dyDescent="0.25">
      <c r="A133" s="8"/>
      <c r="B133" s="8"/>
      <c r="C133" s="9"/>
      <c r="D133" s="12" t="s">
        <v>129</v>
      </c>
      <c r="E133" s="16">
        <v>4049326.8600000003</v>
      </c>
      <c r="F133" s="16">
        <v>0</v>
      </c>
      <c r="G133" s="16">
        <v>87574829.659999996</v>
      </c>
      <c r="H133" s="16">
        <v>17406521.954999994</v>
      </c>
      <c r="I133" s="13">
        <f t="shared" si="1"/>
        <v>109030678.47499999</v>
      </c>
    </row>
    <row r="134" spans="1:9" ht="15.75" x14ac:dyDescent="0.25">
      <c r="A134" s="8"/>
      <c r="B134" s="8"/>
      <c r="C134" s="9"/>
      <c r="D134" s="12" t="s">
        <v>130</v>
      </c>
      <c r="E134" s="16">
        <v>685085.94</v>
      </c>
      <c r="F134" s="16">
        <v>869016.90376242495</v>
      </c>
      <c r="G134" s="16">
        <v>4521.7</v>
      </c>
      <c r="H134" s="16">
        <v>0</v>
      </c>
      <c r="I134" s="13">
        <f t="shared" si="1"/>
        <v>1558624.5437624247</v>
      </c>
    </row>
    <row r="135" spans="1:9" ht="15.75" x14ac:dyDescent="0.25">
      <c r="A135" s="8"/>
      <c r="B135" s="8"/>
      <c r="C135" s="9"/>
      <c r="D135" s="12" t="s">
        <v>131</v>
      </c>
      <c r="E135" s="16">
        <v>1477183.7500000002</v>
      </c>
      <c r="F135" s="16">
        <v>10981111.664622106</v>
      </c>
      <c r="G135" s="16">
        <v>360059.95</v>
      </c>
      <c r="H135" s="16">
        <v>0</v>
      </c>
      <c r="I135" s="13">
        <f t="shared" si="1"/>
        <v>12818355.364622105</v>
      </c>
    </row>
    <row r="136" spans="1:9" ht="15.75" x14ac:dyDescent="0.25">
      <c r="A136" s="8"/>
      <c r="B136" s="8"/>
      <c r="C136" s="9"/>
      <c r="D136" s="12" t="s">
        <v>132</v>
      </c>
      <c r="E136" s="16">
        <v>8921376.1400000006</v>
      </c>
      <c r="F136" s="16">
        <v>13272054.291619964</v>
      </c>
      <c r="G136" s="16">
        <v>8508311.9499999993</v>
      </c>
      <c r="H136" s="16">
        <v>0</v>
      </c>
      <c r="I136" s="13">
        <f t="shared" si="1"/>
        <v>30701742.381619964</v>
      </c>
    </row>
    <row r="137" spans="1:9" ht="15.75" x14ac:dyDescent="0.25">
      <c r="A137" s="8"/>
      <c r="B137" s="8"/>
      <c r="C137" s="9"/>
      <c r="D137" s="12" t="s">
        <v>133</v>
      </c>
      <c r="E137" s="16">
        <v>14536181.289999995</v>
      </c>
      <c r="F137" s="16">
        <v>20867924.624037221</v>
      </c>
      <c r="G137" s="16">
        <v>9844999.0299999993</v>
      </c>
      <c r="H137" s="16">
        <v>0</v>
      </c>
      <c r="I137" s="13">
        <f t="shared" si="1"/>
        <v>45249104.944037214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30070483.719999999</v>
      </c>
      <c r="H138" s="16">
        <v>0</v>
      </c>
      <c r="I138" s="13">
        <f t="shared" ref="I138:I144" si="2">SUM(E138:H138)</f>
        <v>30070483.719999999</v>
      </c>
    </row>
    <row r="139" spans="1:9" ht="15.75" x14ac:dyDescent="0.25">
      <c r="A139" s="8"/>
      <c r="B139" s="8"/>
      <c r="C139" s="9"/>
      <c r="D139" s="12" t="s">
        <v>135</v>
      </c>
      <c r="E139" s="16">
        <v>1129040.31</v>
      </c>
      <c r="F139" s="16">
        <v>3124485.2923427667</v>
      </c>
      <c r="G139" s="16">
        <v>1745878.5999999999</v>
      </c>
      <c r="H139" s="16">
        <v>0</v>
      </c>
      <c r="I139" s="13">
        <f t="shared" si="2"/>
        <v>5999404.2023427663</v>
      </c>
    </row>
    <row r="140" spans="1:9" ht="15.75" x14ac:dyDescent="0.25">
      <c r="A140" s="8"/>
      <c r="B140" s="8"/>
      <c r="C140" s="9"/>
      <c r="D140" s="12" t="s">
        <v>136</v>
      </c>
      <c r="E140" s="16">
        <v>8941459.7400000002</v>
      </c>
      <c r="F140" s="16">
        <v>22159676.202275038</v>
      </c>
      <c r="G140" s="16">
        <v>4276704.38</v>
      </c>
      <c r="H140" s="16">
        <v>0</v>
      </c>
      <c r="I140" s="13">
        <f t="shared" si="2"/>
        <v>35377840.322275043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41514554.689999998</v>
      </c>
      <c r="H141" s="16">
        <v>1153669.6900000002</v>
      </c>
      <c r="I141" s="13">
        <f t="shared" si="2"/>
        <v>42668224.379999995</v>
      </c>
    </row>
    <row r="142" spans="1:9" ht="15.75" x14ac:dyDescent="0.25">
      <c r="A142" s="8"/>
      <c r="B142" s="8"/>
      <c r="C142" s="9"/>
      <c r="D142" s="12" t="s">
        <v>138</v>
      </c>
      <c r="E142" s="16">
        <v>44530.829999999994</v>
      </c>
      <c r="F142" s="16">
        <v>0</v>
      </c>
      <c r="G142" s="16">
        <v>4545839.3499999996</v>
      </c>
      <c r="H142" s="16">
        <v>0</v>
      </c>
      <c r="I142" s="13">
        <f t="shared" si="2"/>
        <v>4590370.18</v>
      </c>
    </row>
    <row r="143" spans="1:9" ht="15.75" x14ac:dyDescent="0.25">
      <c r="A143" s="8"/>
      <c r="B143" s="8"/>
      <c r="C143" s="9"/>
      <c r="D143" s="12" t="s">
        <v>139</v>
      </c>
      <c r="E143" s="16">
        <v>466058.68000000005</v>
      </c>
      <c r="F143" s="16">
        <v>20480868.06291277</v>
      </c>
      <c r="G143" s="16">
        <v>76285.64</v>
      </c>
      <c r="H143" s="16">
        <v>0</v>
      </c>
      <c r="I143" s="13">
        <f t="shared" si="2"/>
        <v>21023212.38291277</v>
      </c>
    </row>
    <row r="144" spans="1:9" ht="15.75" x14ac:dyDescent="0.25">
      <c r="A144" s="8"/>
      <c r="B144" s="8"/>
      <c r="C144" s="9"/>
      <c r="D144" s="12" t="s">
        <v>140</v>
      </c>
      <c r="E144" s="16">
        <v>4183582.2399999998</v>
      </c>
      <c r="F144" s="16">
        <v>2488497.4374954035</v>
      </c>
      <c r="G144" s="16">
        <v>10719440.210000001</v>
      </c>
      <c r="H144" s="16">
        <v>0</v>
      </c>
      <c r="I144" s="13">
        <f t="shared" si="2"/>
        <v>17391519.887495406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691410455.23000002</v>
      </c>
      <c r="F145" s="22">
        <f>SUM(F10:F144)</f>
        <v>1019327368.1854433</v>
      </c>
      <c r="G145" s="22">
        <f>SUM(G10:G144)</f>
        <v>1679947848.6499999</v>
      </c>
      <c r="H145" s="22">
        <f>SUM(H10:H144)</f>
        <v>65065949.25999999</v>
      </c>
      <c r="I145" s="22">
        <f>SUM(I10:I144)</f>
        <v>3455751621.3254423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2" style="2" customWidth="1"/>
    <col min="6" max="6" width="21.5" style="2" customWidth="1"/>
    <col min="7" max="7" width="20.83203125" style="2" customWidth="1"/>
    <col min="8" max="8" width="20.1640625" style="2" customWidth="1"/>
    <col min="9" max="9" width="22.832031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162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55482972.940000005</v>
      </c>
      <c r="F10" s="16">
        <v>78188389.004991621</v>
      </c>
      <c r="G10" s="16">
        <v>2948564.9499999997</v>
      </c>
      <c r="H10" s="16">
        <v>0</v>
      </c>
      <c r="I10" s="13">
        <f t="shared" ref="I10:I73" si="0">SUM(E10:H10)</f>
        <v>136619926.89499161</v>
      </c>
    </row>
    <row r="11" spans="1:9" ht="15.75" x14ac:dyDescent="0.25">
      <c r="A11" s="8"/>
      <c r="B11" s="8"/>
      <c r="C11" s="9"/>
      <c r="D11" s="12" t="s">
        <v>7</v>
      </c>
      <c r="E11" s="16">
        <v>70804886.859999999</v>
      </c>
      <c r="F11" s="16">
        <v>43885225.141430348</v>
      </c>
      <c r="G11" s="16">
        <v>1645692.46</v>
      </c>
      <c r="H11" s="16">
        <v>0</v>
      </c>
      <c r="I11" s="13">
        <f t="shared" si="0"/>
        <v>116335804.46143034</v>
      </c>
    </row>
    <row r="12" spans="1:9" ht="15.75" x14ac:dyDescent="0.25">
      <c r="A12" s="8"/>
      <c r="B12" s="8"/>
      <c r="C12" s="9"/>
      <c r="D12" s="12" t="s">
        <v>8</v>
      </c>
      <c r="E12" s="16">
        <v>66762350.239999995</v>
      </c>
      <c r="F12" s="16">
        <v>15909878.581980828</v>
      </c>
      <c r="G12" s="16">
        <v>2228672.1699999995</v>
      </c>
      <c r="H12" s="16">
        <v>0</v>
      </c>
      <c r="I12" s="13">
        <f t="shared" si="0"/>
        <v>84900900.991980821</v>
      </c>
    </row>
    <row r="13" spans="1:9" ht="15.75" x14ac:dyDescent="0.25">
      <c r="A13" s="8"/>
      <c r="B13" s="8"/>
      <c r="C13" s="9"/>
      <c r="D13" s="12" t="s">
        <v>9</v>
      </c>
      <c r="E13" s="16">
        <v>11104061.780000001</v>
      </c>
      <c r="F13" s="16">
        <v>420720.0152988421</v>
      </c>
      <c r="G13" s="16">
        <v>40891789.650000006</v>
      </c>
      <c r="H13" s="16">
        <v>0</v>
      </c>
      <c r="I13" s="13">
        <f t="shared" si="0"/>
        <v>52416571.445298851</v>
      </c>
    </row>
    <row r="14" spans="1:9" ht="15.75" x14ac:dyDescent="0.25">
      <c r="A14" s="8"/>
      <c r="B14" s="8"/>
      <c r="C14" s="9"/>
      <c r="D14" s="12" t="s">
        <v>10</v>
      </c>
      <c r="E14" s="16">
        <v>117536652.53999999</v>
      </c>
      <c r="F14" s="16">
        <v>17677481.950904191</v>
      </c>
      <c r="G14" s="16">
        <v>2965721.32</v>
      </c>
      <c r="H14" s="16">
        <v>0</v>
      </c>
      <c r="I14" s="13">
        <f t="shared" si="0"/>
        <v>138179855.81090418</v>
      </c>
    </row>
    <row r="15" spans="1:9" ht="15.75" x14ac:dyDescent="0.25">
      <c r="A15" s="8"/>
      <c r="B15" s="8"/>
      <c r="C15" s="9"/>
      <c r="D15" s="12" t="s">
        <v>11</v>
      </c>
      <c r="E15" s="16">
        <v>807898.35</v>
      </c>
      <c r="F15" s="16">
        <v>98119.728180711027</v>
      </c>
      <c r="G15" s="16">
        <v>34252582.770000003</v>
      </c>
      <c r="H15" s="16">
        <v>0</v>
      </c>
      <c r="I15" s="13">
        <f t="shared" si="0"/>
        <v>35158600.848180711</v>
      </c>
    </row>
    <row r="16" spans="1:9" ht="15.75" x14ac:dyDescent="0.25">
      <c r="A16" s="8"/>
      <c r="B16" s="8"/>
      <c r="C16" s="9"/>
      <c r="D16" s="12" t="s">
        <v>12</v>
      </c>
      <c r="E16" s="16">
        <v>104199561.7</v>
      </c>
      <c r="F16" s="16">
        <v>84291363.684748322</v>
      </c>
      <c r="G16" s="16">
        <v>3411687.9500000007</v>
      </c>
      <c r="H16" s="16">
        <v>0</v>
      </c>
      <c r="I16" s="13">
        <f t="shared" si="0"/>
        <v>191902613.33474833</v>
      </c>
    </row>
    <row r="17" spans="1:9" ht="15.75" x14ac:dyDescent="0.25">
      <c r="A17" s="8"/>
      <c r="B17" s="8"/>
      <c r="C17" s="9"/>
      <c r="D17" s="12" t="s">
        <v>13</v>
      </c>
      <c r="E17" s="16">
        <v>256263787.98000002</v>
      </c>
      <c r="F17" s="16">
        <v>77444706.637156993</v>
      </c>
      <c r="G17" s="16">
        <v>9233949.7699999996</v>
      </c>
      <c r="H17" s="16">
        <v>0</v>
      </c>
      <c r="I17" s="13">
        <f t="shared" si="0"/>
        <v>342942444.38715696</v>
      </c>
    </row>
    <row r="18" spans="1:9" ht="15.75" x14ac:dyDescent="0.25">
      <c r="A18" s="8"/>
      <c r="B18" s="8"/>
      <c r="C18" s="9"/>
      <c r="D18" s="12" t="s">
        <v>14</v>
      </c>
      <c r="E18" s="16">
        <v>24658778.34</v>
      </c>
      <c r="F18" s="16">
        <v>6313334.687406119</v>
      </c>
      <c r="G18" s="16">
        <v>56972783.799999997</v>
      </c>
      <c r="H18" s="16">
        <v>0</v>
      </c>
      <c r="I18" s="13">
        <f t="shared" si="0"/>
        <v>87944896.827406108</v>
      </c>
    </row>
    <row r="19" spans="1:9" ht="15.75" x14ac:dyDescent="0.25">
      <c r="A19" s="8"/>
      <c r="B19" s="8"/>
      <c r="C19" s="9"/>
      <c r="D19" s="12" t="s">
        <v>15</v>
      </c>
      <c r="E19" s="16">
        <v>227016078.52000001</v>
      </c>
      <c r="F19" s="16">
        <v>60258185.392574012</v>
      </c>
      <c r="G19" s="16">
        <v>8273953.8699999992</v>
      </c>
      <c r="H19" s="16">
        <v>0</v>
      </c>
      <c r="I19" s="13">
        <f t="shared" si="0"/>
        <v>295548217.78257406</v>
      </c>
    </row>
    <row r="20" spans="1:9" ht="15.75" x14ac:dyDescent="0.25">
      <c r="A20" s="8"/>
      <c r="B20" s="8"/>
      <c r="C20" s="9"/>
      <c r="D20" s="12" t="s">
        <v>16</v>
      </c>
      <c r="E20" s="16">
        <v>89738564.609999985</v>
      </c>
      <c r="F20" s="16">
        <v>14997835.794943146</v>
      </c>
      <c r="G20" s="16">
        <v>4832903.9800000004</v>
      </c>
      <c r="H20" s="16">
        <v>0</v>
      </c>
      <c r="I20" s="13">
        <f t="shared" si="0"/>
        <v>109569304.38494314</v>
      </c>
    </row>
    <row r="21" spans="1:9" ht="15.75" x14ac:dyDescent="0.25">
      <c r="A21" s="8"/>
      <c r="B21" s="8"/>
      <c r="C21" s="9"/>
      <c r="D21" s="12" t="s">
        <v>17</v>
      </c>
      <c r="E21" s="16">
        <v>112065567.78</v>
      </c>
      <c r="F21" s="16">
        <v>72085414.32523492</v>
      </c>
      <c r="G21" s="16">
        <v>2111416.0700000003</v>
      </c>
      <c r="H21" s="16">
        <v>0</v>
      </c>
      <c r="I21" s="13">
        <f t="shared" si="0"/>
        <v>186262398.17523491</v>
      </c>
    </row>
    <row r="22" spans="1:9" ht="15.75" x14ac:dyDescent="0.25">
      <c r="A22" s="8"/>
      <c r="B22" s="8"/>
      <c r="C22" s="9"/>
      <c r="D22" s="12" t="s">
        <v>18</v>
      </c>
      <c r="E22" s="16">
        <v>3831916.5700000003</v>
      </c>
      <c r="F22" s="16">
        <v>3086607.6853895262</v>
      </c>
      <c r="G22" s="16">
        <v>21319093.129999999</v>
      </c>
      <c r="H22" s="16">
        <v>0</v>
      </c>
      <c r="I22" s="13">
        <f t="shared" si="0"/>
        <v>28237617.385389525</v>
      </c>
    </row>
    <row r="23" spans="1:9" ht="15.75" x14ac:dyDescent="0.25">
      <c r="A23" s="8"/>
      <c r="B23" s="8"/>
      <c r="C23" s="9"/>
      <c r="D23" s="12" t="s">
        <v>19</v>
      </c>
      <c r="E23" s="16">
        <v>939035.09000000008</v>
      </c>
      <c r="F23" s="16">
        <v>1150281.8318454572</v>
      </c>
      <c r="G23" s="16">
        <v>10640205.390000001</v>
      </c>
      <c r="H23" s="16">
        <v>0</v>
      </c>
      <c r="I23" s="13">
        <f t="shared" si="0"/>
        <v>12729522.311845457</v>
      </c>
    </row>
    <row r="24" spans="1:9" ht="15.75" x14ac:dyDescent="0.25">
      <c r="A24" s="8"/>
      <c r="B24" s="8"/>
      <c r="C24" s="9"/>
      <c r="D24" s="12" t="s">
        <v>20</v>
      </c>
      <c r="E24" s="16">
        <v>93675335.600000009</v>
      </c>
      <c r="F24" s="16">
        <v>44208187.493966118</v>
      </c>
      <c r="G24" s="16">
        <v>4811203.13</v>
      </c>
      <c r="H24" s="16">
        <v>0</v>
      </c>
      <c r="I24" s="13">
        <f t="shared" si="0"/>
        <v>142694726.22396612</v>
      </c>
    </row>
    <row r="25" spans="1:9" ht="15.75" x14ac:dyDescent="0.25">
      <c r="A25" s="8"/>
      <c r="B25" s="8"/>
      <c r="C25" s="9"/>
      <c r="D25" s="12" t="s">
        <v>21</v>
      </c>
      <c r="E25" s="16">
        <v>92487683.900000006</v>
      </c>
      <c r="F25" s="16">
        <v>32829919.679180048</v>
      </c>
      <c r="G25" s="16">
        <v>5359466.16</v>
      </c>
      <c r="H25" s="16">
        <v>0</v>
      </c>
      <c r="I25" s="13">
        <f t="shared" si="0"/>
        <v>130677069.73918006</v>
      </c>
    </row>
    <row r="26" spans="1:9" ht="15.75" x14ac:dyDescent="0.25">
      <c r="A26" s="8"/>
      <c r="B26" s="8"/>
      <c r="C26" s="9"/>
      <c r="D26" s="12" t="s">
        <v>22</v>
      </c>
      <c r="E26" s="16">
        <v>43833438.649999999</v>
      </c>
      <c r="F26" s="16">
        <v>18799884.74559129</v>
      </c>
      <c r="G26" s="16">
        <v>4466515.2299999986</v>
      </c>
      <c r="H26" s="16">
        <v>0</v>
      </c>
      <c r="I26" s="13">
        <f t="shared" si="0"/>
        <v>67099838.625591286</v>
      </c>
    </row>
    <row r="27" spans="1:9" ht="15.75" x14ac:dyDescent="0.25">
      <c r="A27" s="8"/>
      <c r="B27" s="8"/>
      <c r="C27" s="9"/>
      <c r="D27" s="12" t="s">
        <v>23</v>
      </c>
      <c r="E27" s="16">
        <v>24482383.189999998</v>
      </c>
      <c r="F27" s="16">
        <v>3226727.0020165928</v>
      </c>
      <c r="G27" s="16">
        <v>12703895.58</v>
      </c>
      <c r="H27" s="16">
        <v>0</v>
      </c>
      <c r="I27" s="13">
        <f t="shared" si="0"/>
        <v>40413005.772016592</v>
      </c>
    </row>
    <row r="28" spans="1:9" ht="15.75" x14ac:dyDescent="0.25">
      <c r="A28" s="8"/>
      <c r="B28" s="8"/>
      <c r="C28" s="9"/>
      <c r="D28" s="12" t="s">
        <v>24</v>
      </c>
      <c r="E28" s="16">
        <v>43455343.850000009</v>
      </c>
      <c r="F28" s="16">
        <v>15292557.044902923</v>
      </c>
      <c r="G28" s="16">
        <v>5165789.169999999</v>
      </c>
      <c r="H28" s="16">
        <v>0</v>
      </c>
      <c r="I28" s="13">
        <f t="shared" si="0"/>
        <v>63913690.064902931</v>
      </c>
    </row>
    <row r="29" spans="1:9" ht="15.75" x14ac:dyDescent="0.25">
      <c r="A29" s="8"/>
      <c r="B29" s="8"/>
      <c r="C29" s="9"/>
      <c r="D29" s="12" t="s">
        <v>25</v>
      </c>
      <c r="E29" s="16">
        <v>40406109.009999998</v>
      </c>
      <c r="F29" s="16">
        <v>8558140.2767803185</v>
      </c>
      <c r="G29" s="16">
        <v>2073998.4199999997</v>
      </c>
      <c r="H29" s="16">
        <v>0</v>
      </c>
      <c r="I29" s="13">
        <f t="shared" si="0"/>
        <v>51038247.706780314</v>
      </c>
    </row>
    <row r="30" spans="1:9" ht="15.75" x14ac:dyDescent="0.25">
      <c r="A30" s="8"/>
      <c r="B30" s="8"/>
      <c r="C30" s="9"/>
      <c r="D30" s="12" t="s">
        <v>26</v>
      </c>
      <c r="E30" s="16">
        <v>81352689.710000008</v>
      </c>
      <c r="F30" s="16">
        <v>46158271.833380543</v>
      </c>
      <c r="G30" s="16">
        <v>4637896.79</v>
      </c>
      <c r="H30" s="16">
        <v>0</v>
      </c>
      <c r="I30" s="13">
        <f t="shared" si="0"/>
        <v>132148858.33338057</v>
      </c>
    </row>
    <row r="31" spans="1:9" ht="15.75" x14ac:dyDescent="0.25">
      <c r="A31" s="8"/>
      <c r="B31" s="8"/>
      <c r="C31" s="9"/>
      <c r="D31" s="12" t="s">
        <v>27</v>
      </c>
      <c r="E31" s="16">
        <v>91433016.76000002</v>
      </c>
      <c r="F31" s="16">
        <v>47841876.025411196</v>
      </c>
      <c r="G31" s="16">
        <v>3796561.7499999995</v>
      </c>
      <c r="H31" s="16">
        <v>0</v>
      </c>
      <c r="I31" s="13">
        <f t="shared" si="0"/>
        <v>143071454.53541121</v>
      </c>
    </row>
    <row r="32" spans="1:9" ht="15.75" x14ac:dyDescent="0.25">
      <c r="A32" s="8"/>
      <c r="B32" s="8"/>
      <c r="C32" s="9"/>
      <c r="D32" s="12" t="s">
        <v>28</v>
      </c>
      <c r="E32" s="16">
        <v>71712452.989999995</v>
      </c>
      <c r="F32" s="16">
        <v>16148479.692206247</v>
      </c>
      <c r="G32" s="16">
        <v>1476618.5499999998</v>
      </c>
      <c r="H32" s="16">
        <v>0</v>
      </c>
      <c r="I32" s="13">
        <f t="shared" si="0"/>
        <v>89337551.23220624</v>
      </c>
    </row>
    <row r="33" spans="1:9" ht="15.75" x14ac:dyDescent="0.25">
      <c r="A33" s="8"/>
      <c r="B33" s="8"/>
      <c r="C33" s="9"/>
      <c r="D33" s="12" t="s">
        <v>29</v>
      </c>
      <c r="E33" s="16">
        <v>19505620</v>
      </c>
      <c r="F33" s="16">
        <v>24411898.719026789</v>
      </c>
      <c r="G33" s="16">
        <v>1276543.5499999998</v>
      </c>
      <c r="H33" s="16">
        <v>0</v>
      </c>
      <c r="I33" s="13">
        <f t="shared" si="0"/>
        <v>45194062.269026786</v>
      </c>
    </row>
    <row r="34" spans="1:9" ht="15.75" x14ac:dyDescent="0.25">
      <c r="A34" s="8"/>
      <c r="B34" s="8"/>
      <c r="C34" s="9"/>
      <c r="D34" s="12" t="s">
        <v>30</v>
      </c>
      <c r="E34" s="16">
        <v>194977754.14000005</v>
      </c>
      <c r="F34" s="16">
        <v>35032363.614690252</v>
      </c>
      <c r="G34" s="16">
        <v>6418137.0999999987</v>
      </c>
      <c r="H34" s="16">
        <v>0</v>
      </c>
      <c r="I34" s="13">
        <f t="shared" si="0"/>
        <v>236428254.85469028</v>
      </c>
    </row>
    <row r="35" spans="1:9" ht="15.75" x14ac:dyDescent="0.25">
      <c r="A35" s="8"/>
      <c r="B35" s="8"/>
      <c r="C35" s="9"/>
      <c r="D35" s="12" t="s">
        <v>31</v>
      </c>
      <c r="E35" s="16">
        <v>82515129.00999999</v>
      </c>
      <c r="F35" s="16">
        <v>51503443.594014622</v>
      </c>
      <c r="G35" s="16">
        <v>5352707.2499999991</v>
      </c>
      <c r="H35" s="16">
        <v>0</v>
      </c>
      <c r="I35" s="13">
        <f t="shared" si="0"/>
        <v>139371279.85401461</v>
      </c>
    </row>
    <row r="36" spans="1:9" ht="15.75" x14ac:dyDescent="0.25">
      <c r="A36" s="8"/>
      <c r="B36" s="8"/>
      <c r="C36" s="9"/>
      <c r="D36" s="12" t="s">
        <v>32</v>
      </c>
      <c r="E36" s="16">
        <v>98511600.640000001</v>
      </c>
      <c r="F36" s="16">
        <v>31959876.480588719</v>
      </c>
      <c r="G36" s="16">
        <v>8968434.4699999988</v>
      </c>
      <c r="H36" s="16">
        <v>0</v>
      </c>
      <c r="I36" s="13">
        <f t="shared" si="0"/>
        <v>139439911.59058872</v>
      </c>
    </row>
    <row r="37" spans="1:9" ht="15.75" x14ac:dyDescent="0.25">
      <c r="A37" s="8"/>
      <c r="B37" s="8"/>
      <c r="C37" s="9"/>
      <c r="D37" s="12" t="s">
        <v>33</v>
      </c>
      <c r="E37" s="16">
        <v>91153643.310000017</v>
      </c>
      <c r="F37" s="16">
        <v>17677481.950904191</v>
      </c>
      <c r="G37" s="16">
        <v>2842849.1999999997</v>
      </c>
      <c r="H37" s="16">
        <v>0</v>
      </c>
      <c r="I37" s="13">
        <f t="shared" si="0"/>
        <v>111673974.46090421</v>
      </c>
    </row>
    <row r="38" spans="1:9" ht="15.75" x14ac:dyDescent="0.25">
      <c r="A38" s="8"/>
      <c r="B38" s="8"/>
      <c r="C38" s="9"/>
      <c r="D38" s="12" t="s">
        <v>34</v>
      </c>
      <c r="E38" s="16">
        <v>72531628.229999989</v>
      </c>
      <c r="F38" s="16">
        <v>38413692.550039545</v>
      </c>
      <c r="G38" s="16">
        <v>2929646.93</v>
      </c>
      <c r="H38" s="16">
        <v>0</v>
      </c>
      <c r="I38" s="13">
        <f t="shared" si="0"/>
        <v>113874967.71003954</v>
      </c>
    </row>
    <row r="39" spans="1:9" ht="15.75" x14ac:dyDescent="0.25">
      <c r="A39" s="8"/>
      <c r="B39" s="8"/>
      <c r="C39" s="9"/>
      <c r="D39" s="12" t="s">
        <v>35</v>
      </c>
      <c r="E39" s="16">
        <v>62113317.159999996</v>
      </c>
      <c r="F39" s="16">
        <v>60145945.113105297</v>
      </c>
      <c r="G39" s="16">
        <v>2783807.11</v>
      </c>
      <c r="H39" s="16">
        <v>0</v>
      </c>
      <c r="I39" s="13">
        <f t="shared" si="0"/>
        <v>125043069.38310529</v>
      </c>
    </row>
    <row r="40" spans="1:9" ht="15.75" x14ac:dyDescent="0.25">
      <c r="A40" s="8"/>
      <c r="B40" s="8"/>
      <c r="C40" s="9"/>
      <c r="D40" s="12" t="s">
        <v>36</v>
      </c>
      <c r="E40" s="16">
        <v>4430638.54</v>
      </c>
      <c r="F40" s="16">
        <v>3156848.3764118799</v>
      </c>
      <c r="G40" s="16">
        <v>92759</v>
      </c>
      <c r="H40" s="16">
        <v>0</v>
      </c>
      <c r="I40" s="13">
        <f t="shared" si="0"/>
        <v>7680245.9164118804</v>
      </c>
    </row>
    <row r="41" spans="1:9" ht="15.75" x14ac:dyDescent="0.25">
      <c r="A41" s="8"/>
      <c r="B41" s="8"/>
      <c r="C41" s="9"/>
      <c r="D41" s="12" t="s">
        <v>37</v>
      </c>
      <c r="E41" s="16">
        <v>127226602.34</v>
      </c>
      <c r="F41" s="16">
        <v>52752207.219458431</v>
      </c>
      <c r="G41" s="16">
        <v>5354556.7699999996</v>
      </c>
      <c r="H41" s="16">
        <v>0</v>
      </c>
      <c r="I41" s="13">
        <f t="shared" si="0"/>
        <v>185333366.32945845</v>
      </c>
    </row>
    <row r="42" spans="1:9" ht="15.75" x14ac:dyDescent="0.25">
      <c r="A42" s="8"/>
      <c r="B42" s="8"/>
      <c r="C42" s="9"/>
      <c r="D42" s="12" t="s">
        <v>38</v>
      </c>
      <c r="E42" s="16">
        <v>99511849.289999992</v>
      </c>
      <c r="F42" s="16">
        <v>57129578.11873813</v>
      </c>
      <c r="G42" s="16">
        <v>2806088.72</v>
      </c>
      <c r="H42" s="16">
        <v>0</v>
      </c>
      <c r="I42" s="13">
        <f t="shared" si="0"/>
        <v>159447516.12873814</v>
      </c>
    </row>
    <row r="43" spans="1:9" ht="15.75" x14ac:dyDescent="0.25">
      <c r="A43" s="8"/>
      <c r="B43" s="8"/>
      <c r="C43" s="9"/>
      <c r="D43" s="12" t="s">
        <v>39</v>
      </c>
      <c r="E43" s="16">
        <v>21621377.550000001</v>
      </c>
      <c r="F43" s="16">
        <v>20778210.187581711</v>
      </c>
      <c r="G43" s="16">
        <v>5275173.6300000008</v>
      </c>
      <c r="H43" s="16">
        <v>0</v>
      </c>
      <c r="I43" s="13">
        <f t="shared" si="0"/>
        <v>47674761.367581718</v>
      </c>
    </row>
    <row r="44" spans="1:9" ht="15.75" x14ac:dyDescent="0.25">
      <c r="A44" s="8"/>
      <c r="B44" s="8"/>
      <c r="C44" s="9"/>
      <c r="D44" s="12" t="s">
        <v>40</v>
      </c>
      <c r="E44" s="16">
        <v>1573.83</v>
      </c>
      <c r="F44" s="16">
        <v>1599242.9497202975</v>
      </c>
      <c r="G44" s="16">
        <v>8367360.1900000004</v>
      </c>
      <c r="H44" s="16">
        <v>0</v>
      </c>
      <c r="I44" s="13">
        <f t="shared" si="0"/>
        <v>9968176.9697202984</v>
      </c>
    </row>
    <row r="45" spans="1:9" ht="15.75" x14ac:dyDescent="0.25">
      <c r="A45" s="8"/>
      <c r="B45" s="8"/>
      <c r="C45" s="9"/>
      <c r="D45" s="12" t="s">
        <v>41</v>
      </c>
      <c r="E45" s="16">
        <v>42167991.409999996</v>
      </c>
      <c r="F45" s="16">
        <v>463081.66916283907</v>
      </c>
      <c r="G45" s="16">
        <v>13625819.279999997</v>
      </c>
      <c r="H45" s="16">
        <v>0</v>
      </c>
      <c r="I45" s="13">
        <f t="shared" si="0"/>
        <v>56256892.359162837</v>
      </c>
    </row>
    <row r="46" spans="1:9" ht="15.75" x14ac:dyDescent="0.25">
      <c r="A46" s="8"/>
      <c r="B46" s="8"/>
      <c r="C46" s="9"/>
      <c r="D46" s="12" t="s">
        <v>42</v>
      </c>
      <c r="E46" s="16">
        <v>7779858.2000000002</v>
      </c>
      <c r="F46" s="16">
        <v>1543122.8099859424</v>
      </c>
      <c r="G46" s="16">
        <v>35541665.119999997</v>
      </c>
      <c r="H46" s="16">
        <v>0</v>
      </c>
      <c r="I46" s="13">
        <f t="shared" si="0"/>
        <v>44864646.129985943</v>
      </c>
    </row>
    <row r="47" spans="1:9" ht="15.75" x14ac:dyDescent="0.25">
      <c r="A47" s="8"/>
      <c r="B47" s="8"/>
      <c r="C47" s="9"/>
      <c r="D47" s="12" t="s">
        <v>43</v>
      </c>
      <c r="E47" s="16">
        <v>49920084.730000019</v>
      </c>
      <c r="F47" s="16">
        <v>9792783.3509361297</v>
      </c>
      <c r="G47" s="16">
        <v>3453266.8600000008</v>
      </c>
      <c r="H47" s="16">
        <v>0</v>
      </c>
      <c r="I47" s="13">
        <f t="shared" si="0"/>
        <v>63166134.940936148</v>
      </c>
    </row>
    <row r="48" spans="1:9" ht="15.75" x14ac:dyDescent="0.25">
      <c r="A48" s="8"/>
      <c r="B48" s="8"/>
      <c r="C48" s="9"/>
      <c r="D48" s="12" t="s">
        <v>44</v>
      </c>
      <c r="E48" s="16">
        <v>19767196.120000001</v>
      </c>
      <c r="F48" s="16">
        <v>1543122.8099859424</v>
      </c>
      <c r="G48" s="16">
        <v>14490211.34</v>
      </c>
      <c r="H48" s="16">
        <v>0</v>
      </c>
      <c r="I48" s="13">
        <f t="shared" si="0"/>
        <v>35800530.269985944</v>
      </c>
    </row>
    <row r="49" spans="1:9" ht="15.75" x14ac:dyDescent="0.25">
      <c r="A49" s="8"/>
      <c r="B49" s="8"/>
      <c r="C49" s="9"/>
      <c r="D49" s="12" t="s">
        <v>45</v>
      </c>
      <c r="E49" s="16">
        <v>8428324.1199999992</v>
      </c>
      <c r="F49" s="16">
        <v>1837844.0599457165</v>
      </c>
      <c r="G49" s="16">
        <v>25353471.52</v>
      </c>
      <c r="H49" s="16">
        <v>0</v>
      </c>
      <c r="I49" s="13">
        <f t="shared" si="0"/>
        <v>35619639.699945718</v>
      </c>
    </row>
    <row r="50" spans="1:9" ht="15.75" x14ac:dyDescent="0.25">
      <c r="A50" s="8"/>
      <c r="B50" s="8"/>
      <c r="C50" s="9"/>
      <c r="D50" s="12" t="s">
        <v>46</v>
      </c>
      <c r="E50" s="16">
        <v>43126279.309999995</v>
      </c>
      <c r="F50" s="16">
        <v>17761843.193214543</v>
      </c>
      <c r="G50" s="16">
        <v>1191761.3499999999</v>
      </c>
      <c r="H50" s="16">
        <v>0</v>
      </c>
      <c r="I50" s="13">
        <f t="shared" si="0"/>
        <v>62079883.85321454</v>
      </c>
    </row>
    <row r="51" spans="1:9" ht="15.75" x14ac:dyDescent="0.25">
      <c r="A51" s="8"/>
      <c r="B51" s="8"/>
      <c r="C51" s="9"/>
      <c r="D51" s="12" t="s">
        <v>47</v>
      </c>
      <c r="E51" s="16">
        <v>72760052.270000026</v>
      </c>
      <c r="F51" s="16">
        <v>32296597.31899485</v>
      </c>
      <c r="G51" s="16">
        <v>5180049.5999999996</v>
      </c>
      <c r="H51" s="16">
        <v>0</v>
      </c>
      <c r="I51" s="13">
        <f t="shared" si="0"/>
        <v>110236699.18899487</v>
      </c>
    </row>
    <row r="52" spans="1:9" ht="15.75" x14ac:dyDescent="0.25">
      <c r="A52" s="8"/>
      <c r="B52" s="8"/>
      <c r="C52" s="9"/>
      <c r="D52" s="12" t="s">
        <v>48</v>
      </c>
      <c r="E52" s="16">
        <v>54181775.630000003</v>
      </c>
      <c r="F52" s="16">
        <v>32549318.980508268</v>
      </c>
      <c r="G52" s="16">
        <v>1081895.3599999999</v>
      </c>
      <c r="H52" s="16">
        <v>0</v>
      </c>
      <c r="I52" s="13">
        <f t="shared" si="0"/>
        <v>87812989.970508263</v>
      </c>
    </row>
    <row r="53" spans="1:9" ht="15.75" x14ac:dyDescent="0.25">
      <c r="A53" s="8"/>
      <c r="B53" s="8"/>
      <c r="C53" s="9"/>
      <c r="D53" s="12" t="s">
        <v>49</v>
      </c>
      <c r="E53" s="16">
        <v>63339651.36999999</v>
      </c>
      <c r="F53" s="16">
        <v>22307574.5116973</v>
      </c>
      <c r="G53" s="16">
        <v>2463563.17</v>
      </c>
      <c r="H53" s="16">
        <v>0</v>
      </c>
      <c r="I53" s="13">
        <f t="shared" si="0"/>
        <v>88110789.051697299</v>
      </c>
    </row>
    <row r="54" spans="1:9" ht="15.75" x14ac:dyDescent="0.25">
      <c r="A54" s="8"/>
      <c r="B54" s="8"/>
      <c r="C54" s="9"/>
      <c r="D54" s="12" t="s">
        <v>50</v>
      </c>
      <c r="E54" s="16">
        <v>68896488.730000004</v>
      </c>
      <c r="F54" s="16">
        <v>20483488.93762194</v>
      </c>
      <c r="G54" s="16">
        <v>3051499.38</v>
      </c>
      <c r="H54" s="16">
        <v>0</v>
      </c>
      <c r="I54" s="13">
        <f t="shared" si="0"/>
        <v>92431477.047621936</v>
      </c>
    </row>
    <row r="55" spans="1:9" ht="15.75" x14ac:dyDescent="0.25">
      <c r="A55" s="8"/>
      <c r="B55" s="8"/>
      <c r="C55" s="9"/>
      <c r="D55" s="12" t="s">
        <v>51</v>
      </c>
      <c r="E55" s="16">
        <v>24442428.48</v>
      </c>
      <c r="F55" s="16">
        <v>41949261.353303909</v>
      </c>
      <c r="G55" s="16">
        <v>293502.67</v>
      </c>
      <c r="H55" s="16">
        <v>0</v>
      </c>
      <c r="I55" s="13">
        <f t="shared" si="0"/>
        <v>66685192.503303915</v>
      </c>
    </row>
    <row r="56" spans="1:9" ht="15.75" x14ac:dyDescent="0.25">
      <c r="A56" s="8"/>
      <c r="B56" s="8"/>
      <c r="C56" s="9"/>
      <c r="D56" s="12" t="s">
        <v>52</v>
      </c>
      <c r="E56" s="16">
        <v>55509373.129999995</v>
      </c>
      <c r="F56" s="16">
        <v>46691232.128148094</v>
      </c>
      <c r="G56" s="16">
        <v>1383875.55</v>
      </c>
      <c r="H56" s="16">
        <v>0</v>
      </c>
      <c r="I56" s="13">
        <f t="shared" si="0"/>
        <v>103584480.80814809</v>
      </c>
    </row>
    <row r="57" spans="1:9" ht="15.75" x14ac:dyDescent="0.25">
      <c r="A57" s="8"/>
      <c r="B57" s="8"/>
      <c r="C57" s="9"/>
      <c r="D57" s="12" t="s">
        <v>53</v>
      </c>
      <c r="E57" s="16">
        <v>14810942.440000001</v>
      </c>
      <c r="F57" s="16">
        <v>15432676.361529991</v>
      </c>
      <c r="G57" s="16">
        <v>1763899.8199999998</v>
      </c>
      <c r="H57" s="16">
        <v>0</v>
      </c>
      <c r="I57" s="13">
        <f t="shared" si="0"/>
        <v>32007518.621529993</v>
      </c>
    </row>
    <row r="58" spans="1:9" ht="15.75" x14ac:dyDescent="0.25">
      <c r="A58" s="8"/>
      <c r="B58" s="8"/>
      <c r="C58" s="9"/>
      <c r="D58" s="12" t="s">
        <v>54</v>
      </c>
      <c r="E58" s="16">
        <v>16166532.969999999</v>
      </c>
      <c r="F58" s="16">
        <v>16611199.295951445</v>
      </c>
      <c r="G58" s="16">
        <v>223459.21</v>
      </c>
      <c r="H58" s="16">
        <v>0</v>
      </c>
      <c r="I58" s="13">
        <f t="shared" si="0"/>
        <v>33001191.475951444</v>
      </c>
    </row>
    <row r="59" spans="1:9" ht="15.75" x14ac:dyDescent="0.25">
      <c r="A59" s="8"/>
      <c r="B59" s="8"/>
      <c r="C59" s="9"/>
      <c r="D59" s="12" t="s">
        <v>55</v>
      </c>
      <c r="E59" s="16">
        <v>48612842.220000006</v>
      </c>
      <c r="F59" s="16">
        <v>28059707.801759865</v>
      </c>
      <c r="G59" s="16">
        <v>2694237.1399999997</v>
      </c>
      <c r="H59" s="16">
        <v>0</v>
      </c>
      <c r="I59" s="13">
        <f t="shared" si="0"/>
        <v>79366787.161759868</v>
      </c>
    </row>
    <row r="60" spans="1:9" ht="15.75" x14ac:dyDescent="0.25">
      <c r="A60" s="8"/>
      <c r="B60" s="8"/>
      <c r="C60" s="9"/>
      <c r="D60" s="12" t="s">
        <v>56</v>
      </c>
      <c r="E60" s="16">
        <v>23342364.669999994</v>
      </c>
      <c r="F60" s="16">
        <v>16976161.236933574</v>
      </c>
      <c r="G60" s="16">
        <v>1871888.21</v>
      </c>
      <c r="H60" s="16">
        <v>0</v>
      </c>
      <c r="I60" s="13">
        <f t="shared" si="0"/>
        <v>42190414.116933569</v>
      </c>
    </row>
    <row r="61" spans="1:9" ht="15.75" x14ac:dyDescent="0.25">
      <c r="A61" s="8"/>
      <c r="B61" s="8"/>
      <c r="C61" s="9"/>
      <c r="D61" s="12" t="s">
        <v>57</v>
      </c>
      <c r="E61" s="16">
        <v>116403940.44000003</v>
      </c>
      <c r="F61" s="16">
        <v>28480427.817058712</v>
      </c>
      <c r="G61" s="16">
        <v>1365129.14</v>
      </c>
      <c r="H61" s="16">
        <v>0</v>
      </c>
      <c r="I61" s="13">
        <f t="shared" si="0"/>
        <v>146249497.39705873</v>
      </c>
    </row>
    <row r="62" spans="1:9" ht="15.75" x14ac:dyDescent="0.25">
      <c r="A62" s="8"/>
      <c r="B62" s="8"/>
      <c r="C62" s="9"/>
      <c r="D62" s="12" t="s">
        <v>58</v>
      </c>
      <c r="E62" s="16">
        <v>86746654.109999999</v>
      </c>
      <c r="F62" s="16">
        <v>31777757.5755153</v>
      </c>
      <c r="G62" s="16">
        <v>124991506.59999998</v>
      </c>
      <c r="H62" s="16">
        <v>0</v>
      </c>
      <c r="I62" s="13">
        <f t="shared" si="0"/>
        <v>243515918.28551528</v>
      </c>
    </row>
    <row r="63" spans="1:9" ht="15.75" x14ac:dyDescent="0.25">
      <c r="A63" s="8"/>
      <c r="B63" s="8"/>
      <c r="C63" s="9"/>
      <c r="D63" s="12" t="s">
        <v>59</v>
      </c>
      <c r="E63" s="16">
        <v>27910506.009999998</v>
      </c>
      <c r="F63" s="16">
        <v>3507327.7006883677</v>
      </c>
      <c r="G63" s="16">
        <v>8323753.9699999988</v>
      </c>
      <c r="H63" s="16">
        <v>0</v>
      </c>
      <c r="I63" s="13">
        <f t="shared" si="0"/>
        <v>39741587.680688366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58439588.710000001</v>
      </c>
      <c r="H64" s="16">
        <v>0</v>
      </c>
      <c r="I64" s="13">
        <f t="shared" si="0"/>
        <v>58439588.710000001</v>
      </c>
    </row>
    <row r="65" spans="1:9" ht="15.75" x14ac:dyDescent="0.25">
      <c r="A65" s="8"/>
      <c r="B65" s="8"/>
      <c r="C65" s="9"/>
      <c r="D65" s="12" t="s">
        <v>61</v>
      </c>
      <c r="E65" s="16">
        <v>69321911.100000009</v>
      </c>
      <c r="F65" s="16">
        <v>41528179.272587433</v>
      </c>
      <c r="G65" s="16">
        <v>1843536.4</v>
      </c>
      <c r="H65" s="16">
        <v>0</v>
      </c>
      <c r="I65" s="13">
        <f t="shared" si="0"/>
        <v>112693626.77258745</v>
      </c>
    </row>
    <row r="66" spans="1:9" ht="15.75" x14ac:dyDescent="0.25">
      <c r="A66" s="8"/>
      <c r="B66" s="8"/>
      <c r="C66" s="9"/>
      <c r="D66" s="12" t="s">
        <v>62</v>
      </c>
      <c r="E66" s="16">
        <v>308746574.31</v>
      </c>
      <c r="F66" s="16">
        <v>82565759.904271305</v>
      </c>
      <c r="G66" s="16">
        <v>3641911.1600000006</v>
      </c>
      <c r="H66" s="16">
        <v>0</v>
      </c>
      <c r="I66" s="13">
        <f t="shared" si="0"/>
        <v>394954245.37427133</v>
      </c>
    </row>
    <row r="67" spans="1:9" ht="15.75" x14ac:dyDescent="0.25">
      <c r="A67" s="8"/>
      <c r="B67" s="8"/>
      <c r="C67" s="9"/>
      <c r="D67" s="12" t="s">
        <v>63</v>
      </c>
      <c r="E67" s="16">
        <v>53109050.520000003</v>
      </c>
      <c r="F67" s="16">
        <v>38161332.953943767</v>
      </c>
      <c r="G67" s="16">
        <v>1373465.5300000003</v>
      </c>
      <c r="H67" s="16">
        <v>0</v>
      </c>
      <c r="I67" s="13">
        <f t="shared" si="0"/>
        <v>92643849.003943771</v>
      </c>
    </row>
    <row r="68" spans="1:9" ht="15.75" x14ac:dyDescent="0.25">
      <c r="A68" s="8"/>
      <c r="B68" s="8"/>
      <c r="C68" s="9"/>
      <c r="D68" s="12" t="s">
        <v>64</v>
      </c>
      <c r="E68" s="16">
        <v>65964138.74000001</v>
      </c>
      <c r="F68" s="16">
        <v>16134359.140918247</v>
      </c>
      <c r="G68" s="16">
        <v>22219.41</v>
      </c>
      <c r="H68" s="16">
        <v>0</v>
      </c>
      <c r="I68" s="13">
        <f t="shared" si="0"/>
        <v>82120717.290918261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16189678.639999999</v>
      </c>
      <c r="H69" s="16">
        <v>0</v>
      </c>
      <c r="I69" s="13">
        <f t="shared" si="0"/>
        <v>16189678.639999999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19534592.659999996</v>
      </c>
      <c r="H70" s="16">
        <v>0</v>
      </c>
      <c r="I70" s="13">
        <f t="shared" si="0"/>
        <v>19534592.659999996</v>
      </c>
    </row>
    <row r="71" spans="1:9" ht="15.75" x14ac:dyDescent="0.25">
      <c r="A71" s="8"/>
      <c r="B71" s="8"/>
      <c r="C71" s="9"/>
      <c r="D71" s="12" t="s">
        <v>67</v>
      </c>
      <c r="E71" s="16">
        <v>225998.25000000003</v>
      </c>
      <c r="F71" s="16">
        <v>420720.0152988421</v>
      </c>
      <c r="G71" s="16">
        <v>19878177.719999999</v>
      </c>
      <c r="H71" s="16">
        <v>0</v>
      </c>
      <c r="I71" s="13">
        <f t="shared" si="0"/>
        <v>20524895.985298842</v>
      </c>
    </row>
    <row r="72" spans="1:9" ht="15.75" x14ac:dyDescent="0.25">
      <c r="A72" s="8"/>
      <c r="B72" s="8"/>
      <c r="C72" s="9"/>
      <c r="D72" s="12" t="s">
        <v>68</v>
      </c>
      <c r="E72" s="16">
        <v>107037166.38</v>
      </c>
      <c r="F72" s="16">
        <v>26207743.190526158</v>
      </c>
      <c r="G72" s="16">
        <v>14788144.269999998</v>
      </c>
      <c r="H72" s="16">
        <v>0</v>
      </c>
      <c r="I72" s="13">
        <f t="shared" si="0"/>
        <v>148033053.84052616</v>
      </c>
    </row>
    <row r="73" spans="1:9" ht="15.75" x14ac:dyDescent="0.25">
      <c r="A73" s="8"/>
      <c r="B73" s="8"/>
      <c r="C73" s="9"/>
      <c r="D73" s="12" t="s">
        <v>69</v>
      </c>
      <c r="E73" s="16">
        <v>446533.20999999996</v>
      </c>
      <c r="F73" s="16">
        <v>0</v>
      </c>
      <c r="G73" s="16">
        <v>10723353.190000001</v>
      </c>
      <c r="H73" s="16">
        <v>0</v>
      </c>
      <c r="I73" s="13">
        <f t="shared" si="0"/>
        <v>11169886.400000002</v>
      </c>
    </row>
    <row r="74" spans="1:9" ht="15.75" x14ac:dyDescent="0.25">
      <c r="A74" s="8"/>
      <c r="B74" s="8"/>
      <c r="C74" s="9"/>
      <c r="D74" s="12" t="s">
        <v>70</v>
      </c>
      <c r="E74" s="16">
        <v>12599193.260000002</v>
      </c>
      <c r="F74" s="16">
        <v>2216564.4867982026</v>
      </c>
      <c r="G74" s="16">
        <v>99274736.519999981</v>
      </c>
      <c r="H74" s="16">
        <v>0</v>
      </c>
      <c r="I74" s="13">
        <f t="shared" ref="I74:I137" si="1">SUM(E74:H74)</f>
        <v>114090494.26679818</v>
      </c>
    </row>
    <row r="75" spans="1:9" ht="15.75" x14ac:dyDescent="0.25">
      <c r="A75" s="8"/>
      <c r="B75" s="8"/>
      <c r="C75" s="9"/>
      <c r="D75" s="12" t="s">
        <v>71</v>
      </c>
      <c r="E75" s="16">
        <v>34423401.619999997</v>
      </c>
      <c r="F75" s="16">
        <v>8614260.4165146742</v>
      </c>
      <c r="G75" s="16">
        <v>143343885.93000001</v>
      </c>
      <c r="H75" s="16">
        <v>0</v>
      </c>
      <c r="I75" s="13">
        <f t="shared" si="1"/>
        <v>186381547.96651468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48123223.609999999</v>
      </c>
      <c r="H76" s="16">
        <v>0</v>
      </c>
      <c r="I76" s="13">
        <f t="shared" si="1"/>
        <v>48123223.609999999</v>
      </c>
    </row>
    <row r="77" spans="1:9" ht="15.75" x14ac:dyDescent="0.25">
      <c r="A77" s="8"/>
      <c r="B77" s="8"/>
      <c r="C77" s="9"/>
      <c r="D77" s="12" t="s">
        <v>73</v>
      </c>
      <c r="E77" s="16">
        <v>33167352.149999999</v>
      </c>
      <c r="F77" s="16">
        <v>42720822.758296885</v>
      </c>
      <c r="G77" s="16">
        <v>1446720.92</v>
      </c>
      <c r="H77" s="16">
        <v>0</v>
      </c>
      <c r="I77" s="13">
        <f t="shared" si="1"/>
        <v>77334895.828296885</v>
      </c>
    </row>
    <row r="78" spans="1:9" ht="15.75" x14ac:dyDescent="0.25">
      <c r="A78" s="8"/>
      <c r="B78" s="8"/>
      <c r="C78" s="9"/>
      <c r="D78" s="12" t="s">
        <v>74</v>
      </c>
      <c r="E78" s="16">
        <v>70995074.039999992</v>
      </c>
      <c r="F78" s="16">
        <v>43352264.84666279</v>
      </c>
      <c r="G78" s="16">
        <v>2613298.5299999998</v>
      </c>
      <c r="H78" s="16">
        <v>0</v>
      </c>
      <c r="I78" s="13">
        <f t="shared" si="1"/>
        <v>116960637.41666278</v>
      </c>
    </row>
    <row r="79" spans="1:9" ht="15.75" x14ac:dyDescent="0.25">
      <c r="A79" s="8"/>
      <c r="B79" s="8"/>
      <c r="C79" s="9"/>
      <c r="D79" s="12" t="s">
        <v>75</v>
      </c>
      <c r="E79" s="16">
        <v>81225629.450000003</v>
      </c>
      <c r="F79" s="16">
        <v>24341658.028004438</v>
      </c>
      <c r="G79" s="16">
        <v>2594063.34</v>
      </c>
      <c r="H79" s="16">
        <v>0</v>
      </c>
      <c r="I79" s="13">
        <f t="shared" si="1"/>
        <v>108161350.81800444</v>
      </c>
    </row>
    <row r="80" spans="1:9" ht="15.75" x14ac:dyDescent="0.25">
      <c r="A80" s="8"/>
      <c r="B80" s="8"/>
      <c r="C80" s="9"/>
      <c r="D80" s="12" t="s">
        <v>76</v>
      </c>
      <c r="E80" s="16">
        <v>24697024.060000002</v>
      </c>
      <c r="F80" s="16">
        <v>12865270.485037655</v>
      </c>
      <c r="G80" s="16">
        <v>657611.63</v>
      </c>
      <c r="H80" s="16">
        <v>0</v>
      </c>
      <c r="I80" s="13">
        <f t="shared" si="1"/>
        <v>38219906.17503766</v>
      </c>
    </row>
    <row r="81" spans="1:9" ht="15.75" x14ac:dyDescent="0.25">
      <c r="A81" s="8"/>
      <c r="B81" s="8"/>
      <c r="C81" s="9"/>
      <c r="D81" s="12" t="s">
        <v>77</v>
      </c>
      <c r="E81" s="16">
        <v>190332366.92000002</v>
      </c>
      <c r="F81" s="16">
        <v>77627187.60764806</v>
      </c>
      <c r="G81" s="16">
        <v>5124974.0599999996</v>
      </c>
      <c r="H81" s="16">
        <v>0</v>
      </c>
      <c r="I81" s="13">
        <f t="shared" si="1"/>
        <v>273084528.58764809</v>
      </c>
    </row>
    <row r="82" spans="1:9" ht="15.75" x14ac:dyDescent="0.25">
      <c r="A82" s="8"/>
      <c r="B82" s="8"/>
      <c r="C82" s="9"/>
      <c r="D82" s="12" t="s">
        <v>78</v>
      </c>
      <c r="E82" s="16">
        <v>256232023.20999998</v>
      </c>
      <c r="F82" s="16">
        <v>53804369.323123187</v>
      </c>
      <c r="G82" s="16">
        <v>1346208.75</v>
      </c>
      <c r="H82" s="16">
        <v>0</v>
      </c>
      <c r="I82" s="13">
        <f t="shared" si="1"/>
        <v>311382601.28312314</v>
      </c>
    </row>
    <row r="83" spans="1:9" ht="15.75" x14ac:dyDescent="0.25">
      <c r="A83" s="8"/>
      <c r="B83" s="8"/>
      <c r="C83" s="9"/>
      <c r="D83" s="12" t="s">
        <v>79</v>
      </c>
      <c r="E83" s="16">
        <v>45209845.249999993</v>
      </c>
      <c r="F83" s="16">
        <v>22096852.438630234</v>
      </c>
      <c r="G83" s="16">
        <v>6171978.5499999998</v>
      </c>
      <c r="H83" s="16">
        <v>0</v>
      </c>
      <c r="I83" s="13">
        <f t="shared" si="1"/>
        <v>73478676.23863022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59208406.860000007</v>
      </c>
      <c r="H84" s="16">
        <v>0</v>
      </c>
      <c r="I84" s="13">
        <f t="shared" si="1"/>
        <v>59208406.860000007</v>
      </c>
    </row>
    <row r="85" spans="1:9" ht="15.75" x14ac:dyDescent="0.25">
      <c r="A85" s="8"/>
      <c r="B85" s="8"/>
      <c r="C85" s="9"/>
      <c r="D85" s="12" t="s">
        <v>81</v>
      </c>
      <c r="E85" s="16">
        <v>58779143.039999992</v>
      </c>
      <c r="F85" s="16">
        <v>6874536.0847496707</v>
      </c>
      <c r="G85" s="16">
        <v>15212474.159999998</v>
      </c>
      <c r="H85" s="16">
        <v>0</v>
      </c>
      <c r="I85" s="13">
        <f t="shared" si="1"/>
        <v>80866153.284749657</v>
      </c>
    </row>
    <row r="86" spans="1:9" ht="15.75" x14ac:dyDescent="0.25">
      <c r="A86" s="8"/>
      <c r="B86" s="8"/>
      <c r="C86" s="9"/>
      <c r="D86" s="12" t="s">
        <v>82</v>
      </c>
      <c r="E86" s="16">
        <v>33534045.080000002</v>
      </c>
      <c r="F86" s="16">
        <v>28550668.508081064</v>
      </c>
      <c r="G86" s="16">
        <v>2210206.6500000004</v>
      </c>
      <c r="H86" s="16">
        <v>0</v>
      </c>
      <c r="I86" s="13">
        <f t="shared" si="1"/>
        <v>64294920.23808106</v>
      </c>
    </row>
    <row r="87" spans="1:9" ht="15.75" x14ac:dyDescent="0.25">
      <c r="A87" s="8"/>
      <c r="B87" s="8"/>
      <c r="C87" s="9"/>
      <c r="D87" s="12" t="s">
        <v>83</v>
      </c>
      <c r="E87" s="16">
        <v>23152473.57</v>
      </c>
      <c r="F87" s="16">
        <v>37600131.556600213</v>
      </c>
      <c r="G87" s="16">
        <v>3358402.7899999996</v>
      </c>
      <c r="H87" s="16">
        <v>0</v>
      </c>
      <c r="I87" s="13">
        <f t="shared" si="1"/>
        <v>64111007.916600212</v>
      </c>
    </row>
    <row r="88" spans="1:9" ht="15.75" x14ac:dyDescent="0.25">
      <c r="A88" s="8"/>
      <c r="B88" s="8"/>
      <c r="C88" s="9"/>
      <c r="D88" s="12" t="s">
        <v>84</v>
      </c>
      <c r="E88" s="16">
        <v>7015877.5800000001</v>
      </c>
      <c r="F88" s="16">
        <v>0</v>
      </c>
      <c r="G88" s="16">
        <v>17749805.169999998</v>
      </c>
      <c r="H88" s="16">
        <v>0</v>
      </c>
      <c r="I88" s="13">
        <f t="shared" si="1"/>
        <v>24765682.75</v>
      </c>
    </row>
    <row r="89" spans="1:9" ht="15.75" x14ac:dyDescent="0.25">
      <c r="A89" s="8"/>
      <c r="B89" s="8"/>
      <c r="C89" s="9"/>
      <c r="D89" s="12" t="s">
        <v>85</v>
      </c>
      <c r="E89" s="16">
        <v>37739482.729999997</v>
      </c>
      <c r="F89" s="16">
        <v>36870569.740053609</v>
      </c>
      <c r="G89" s="16">
        <v>1227010.3800000001</v>
      </c>
      <c r="H89" s="16">
        <v>0</v>
      </c>
      <c r="I89" s="13">
        <f t="shared" si="1"/>
        <v>75837062.850053608</v>
      </c>
    </row>
    <row r="90" spans="1:9" ht="15.75" x14ac:dyDescent="0.25">
      <c r="A90" s="8"/>
      <c r="B90" s="8"/>
      <c r="C90" s="9"/>
      <c r="D90" s="12" t="s">
        <v>86</v>
      </c>
      <c r="E90" s="16">
        <v>16909977.550000004</v>
      </c>
      <c r="F90" s="16">
        <v>9540423.7548403535</v>
      </c>
      <c r="G90" s="16">
        <v>5052571.07</v>
      </c>
      <c r="H90" s="16">
        <v>0</v>
      </c>
      <c r="I90" s="13">
        <f t="shared" si="1"/>
        <v>31502972.374840356</v>
      </c>
    </row>
    <row r="91" spans="1:9" ht="15.75" x14ac:dyDescent="0.25">
      <c r="A91" s="8"/>
      <c r="B91" s="8"/>
      <c r="C91" s="9"/>
      <c r="D91" s="12" t="s">
        <v>87</v>
      </c>
      <c r="E91" s="16">
        <v>36053446.400000006</v>
      </c>
      <c r="F91" s="16">
        <v>21760131.600224104</v>
      </c>
      <c r="G91" s="16">
        <v>11262276.790000001</v>
      </c>
      <c r="H91" s="16">
        <v>0</v>
      </c>
      <c r="I91" s="13">
        <f t="shared" si="1"/>
        <v>69075854.79022412</v>
      </c>
    </row>
    <row r="92" spans="1:9" ht="15.75" x14ac:dyDescent="0.25">
      <c r="A92" s="8"/>
      <c r="B92" s="8"/>
      <c r="C92" s="9"/>
      <c r="D92" s="12" t="s">
        <v>88</v>
      </c>
      <c r="E92" s="16">
        <v>5899189.4200000009</v>
      </c>
      <c r="F92" s="16">
        <v>3002246.4430791726</v>
      </c>
      <c r="G92" s="16">
        <v>27481939.339999996</v>
      </c>
      <c r="H92" s="16">
        <v>0</v>
      </c>
      <c r="I92" s="13">
        <f t="shared" si="1"/>
        <v>36383375.203079171</v>
      </c>
    </row>
    <row r="93" spans="1:9" ht="15.75" x14ac:dyDescent="0.25">
      <c r="A93" s="8"/>
      <c r="B93" s="8"/>
      <c r="C93" s="9"/>
      <c r="D93" s="12" t="s">
        <v>89</v>
      </c>
      <c r="E93" s="16">
        <v>76792636.959999993</v>
      </c>
      <c r="F93" s="16">
        <v>24327899.54213408</v>
      </c>
      <c r="G93" s="16">
        <v>2358662.89</v>
      </c>
      <c r="H93" s="16">
        <v>0</v>
      </c>
      <c r="I93" s="13">
        <f t="shared" si="1"/>
        <v>103479199.39213407</v>
      </c>
    </row>
    <row r="94" spans="1:9" ht="15.75" x14ac:dyDescent="0.25">
      <c r="A94" s="8"/>
      <c r="B94" s="8"/>
      <c r="C94" s="9"/>
      <c r="D94" s="12" t="s">
        <v>90</v>
      </c>
      <c r="E94" s="16">
        <v>557271.48</v>
      </c>
      <c r="F94" s="16">
        <v>0</v>
      </c>
      <c r="G94" s="16">
        <v>663584.24</v>
      </c>
      <c r="H94" s="16">
        <v>0</v>
      </c>
      <c r="I94" s="13">
        <f t="shared" si="1"/>
        <v>1220855.72</v>
      </c>
    </row>
    <row r="95" spans="1:9" ht="15.75" x14ac:dyDescent="0.25">
      <c r="A95" s="8"/>
      <c r="B95" s="8"/>
      <c r="C95" s="9"/>
      <c r="D95" s="12" t="s">
        <v>91</v>
      </c>
      <c r="E95" s="16">
        <v>7885606.8200000003</v>
      </c>
      <c r="F95" s="16">
        <v>771561.40499297122</v>
      </c>
      <c r="G95" s="16">
        <v>30365007.419999998</v>
      </c>
      <c r="H95" s="16">
        <v>0</v>
      </c>
      <c r="I95" s="13">
        <f t="shared" si="1"/>
        <v>39022175.64499297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42445115.190000005</v>
      </c>
      <c r="H96" s="16">
        <v>0</v>
      </c>
      <c r="I96" s="13">
        <f t="shared" si="1"/>
        <v>42445115.190000005</v>
      </c>
    </row>
    <row r="97" spans="1:9" ht="15.75" x14ac:dyDescent="0.25">
      <c r="A97" s="8"/>
      <c r="B97" s="8"/>
      <c r="C97" s="9"/>
      <c r="D97" s="12" t="s">
        <v>93</v>
      </c>
      <c r="E97" s="16">
        <v>24201361.909999996</v>
      </c>
      <c r="F97" s="16">
        <v>34653643.187837765</v>
      </c>
      <c r="G97" s="16">
        <v>3111470.5599999996</v>
      </c>
      <c r="H97" s="16">
        <v>0</v>
      </c>
      <c r="I97" s="13">
        <f t="shared" si="1"/>
        <v>61966475.657837763</v>
      </c>
    </row>
    <row r="98" spans="1:9" ht="15.75" x14ac:dyDescent="0.25">
      <c r="A98" s="8"/>
      <c r="B98" s="8"/>
      <c r="C98" s="9"/>
      <c r="D98" s="12" t="s">
        <v>94</v>
      </c>
      <c r="E98" s="16">
        <v>108021187.66999999</v>
      </c>
      <c r="F98" s="16">
        <v>45582949.884748988</v>
      </c>
      <c r="G98" s="16">
        <v>13975935.6</v>
      </c>
      <c r="H98" s="16">
        <v>0</v>
      </c>
      <c r="I98" s="13">
        <f t="shared" si="1"/>
        <v>167580073.15474898</v>
      </c>
    </row>
    <row r="99" spans="1:9" ht="15.75" x14ac:dyDescent="0.25">
      <c r="A99" s="8"/>
      <c r="B99" s="8"/>
      <c r="C99" s="9"/>
      <c r="D99" s="12" t="s">
        <v>95</v>
      </c>
      <c r="E99" s="16">
        <v>125702813.15000001</v>
      </c>
      <c r="F99" s="16">
        <v>86858769.561240643</v>
      </c>
      <c r="G99" s="16">
        <v>6190988.3899999997</v>
      </c>
      <c r="H99" s="16">
        <v>0</v>
      </c>
      <c r="I99" s="13">
        <f t="shared" si="1"/>
        <v>218752571.10124063</v>
      </c>
    </row>
    <row r="100" spans="1:9" ht="15.75" x14ac:dyDescent="0.25">
      <c r="A100" s="8"/>
      <c r="B100" s="8"/>
      <c r="C100" s="9"/>
      <c r="D100" s="12" t="s">
        <v>96</v>
      </c>
      <c r="E100" s="16">
        <v>135831248.33999997</v>
      </c>
      <c r="F100" s="16">
        <v>86900769.149687007</v>
      </c>
      <c r="G100" s="16">
        <v>17881081.249999996</v>
      </c>
      <c r="H100" s="16">
        <v>0</v>
      </c>
      <c r="I100" s="13">
        <f t="shared" si="1"/>
        <v>240613098.73968697</v>
      </c>
    </row>
    <row r="101" spans="1:9" ht="15.75" x14ac:dyDescent="0.25">
      <c r="A101" s="8"/>
      <c r="B101" s="8"/>
      <c r="C101" s="9"/>
      <c r="D101" s="12" t="s">
        <v>97</v>
      </c>
      <c r="E101" s="16">
        <v>4360643.41</v>
      </c>
      <c r="F101" s="16">
        <v>116618736.56424266</v>
      </c>
      <c r="G101" s="16">
        <v>393361.36</v>
      </c>
      <c r="H101" s="16">
        <v>0</v>
      </c>
      <c r="I101" s="13">
        <f t="shared" si="1"/>
        <v>121372741.33424266</v>
      </c>
    </row>
    <row r="102" spans="1:9" ht="15.75" x14ac:dyDescent="0.25">
      <c r="A102" s="8"/>
      <c r="B102" s="8"/>
      <c r="C102" s="9"/>
      <c r="D102" s="12" t="s">
        <v>98</v>
      </c>
      <c r="E102" s="16">
        <v>176416233.98999998</v>
      </c>
      <c r="F102" s="16">
        <v>50142801.754519753</v>
      </c>
      <c r="G102" s="16">
        <v>6404213.2000000011</v>
      </c>
      <c r="H102" s="16">
        <v>0</v>
      </c>
      <c r="I102" s="13">
        <f t="shared" si="1"/>
        <v>232963248.94451973</v>
      </c>
    </row>
    <row r="103" spans="1:9" ht="15.75" x14ac:dyDescent="0.25">
      <c r="A103" s="8"/>
      <c r="B103" s="8"/>
      <c r="C103" s="9"/>
      <c r="D103" s="12" t="s">
        <v>99</v>
      </c>
      <c r="E103" s="16">
        <v>49704268.579999991</v>
      </c>
      <c r="F103" s="16">
        <v>15923999.133268826</v>
      </c>
      <c r="G103" s="16">
        <v>817721.34000000008</v>
      </c>
      <c r="H103" s="16">
        <v>0</v>
      </c>
      <c r="I103" s="13">
        <f t="shared" si="1"/>
        <v>66445989.05326882</v>
      </c>
    </row>
    <row r="104" spans="1:9" ht="15.75" x14ac:dyDescent="0.25">
      <c r="A104" s="8"/>
      <c r="B104" s="8"/>
      <c r="C104" s="9"/>
      <c r="D104" s="12" t="s">
        <v>100</v>
      </c>
      <c r="E104" s="16">
        <v>282548654.19</v>
      </c>
      <c r="F104" s="16">
        <v>29097749.35413662</v>
      </c>
      <c r="G104" s="16">
        <v>14917020.640000002</v>
      </c>
      <c r="H104" s="16">
        <v>0</v>
      </c>
      <c r="I104" s="13">
        <f t="shared" si="1"/>
        <v>326563424.18413663</v>
      </c>
    </row>
    <row r="105" spans="1:9" ht="15.75" x14ac:dyDescent="0.25">
      <c r="A105" s="8"/>
      <c r="B105" s="8"/>
      <c r="C105" s="9"/>
      <c r="D105" s="12" t="s">
        <v>101</v>
      </c>
      <c r="E105" s="16">
        <v>30150859.960000001</v>
      </c>
      <c r="F105" s="16">
        <v>43211783.464618087</v>
      </c>
      <c r="G105" s="16">
        <v>401511.42000000004</v>
      </c>
      <c r="H105" s="16">
        <v>0</v>
      </c>
      <c r="I105" s="13">
        <f t="shared" si="1"/>
        <v>73764154.844618097</v>
      </c>
    </row>
    <row r="106" spans="1:9" ht="15.75" x14ac:dyDescent="0.25">
      <c r="A106" s="8"/>
      <c r="B106" s="8"/>
      <c r="C106" s="9"/>
      <c r="D106" s="12" t="s">
        <v>102</v>
      </c>
      <c r="E106" s="16">
        <v>35473697.769999988</v>
      </c>
      <c r="F106" s="16">
        <v>2665525.6046730429</v>
      </c>
      <c r="G106" s="16">
        <v>33053792.619999994</v>
      </c>
      <c r="H106" s="16">
        <v>0</v>
      </c>
      <c r="I106" s="13">
        <f t="shared" si="1"/>
        <v>71193015.994673029</v>
      </c>
    </row>
    <row r="107" spans="1:9" ht="15.75" x14ac:dyDescent="0.25">
      <c r="A107" s="8"/>
      <c r="B107" s="8"/>
      <c r="C107" s="9"/>
      <c r="D107" s="12" t="s">
        <v>103</v>
      </c>
      <c r="E107" s="16">
        <v>494242.94</v>
      </c>
      <c r="F107" s="16">
        <v>0</v>
      </c>
      <c r="G107" s="16">
        <v>5735731.3900000006</v>
      </c>
      <c r="H107" s="16">
        <v>0</v>
      </c>
      <c r="I107" s="13">
        <f t="shared" si="1"/>
        <v>6229974.330000001</v>
      </c>
    </row>
    <row r="108" spans="1:9" ht="15.75" x14ac:dyDescent="0.25">
      <c r="A108" s="8"/>
      <c r="B108" s="8"/>
      <c r="C108" s="9"/>
      <c r="D108" s="12" t="s">
        <v>104</v>
      </c>
      <c r="E108" s="16">
        <v>1389257.25</v>
      </c>
      <c r="F108" s="16">
        <v>0</v>
      </c>
      <c r="G108" s="16">
        <v>4278082.09</v>
      </c>
      <c r="H108" s="16">
        <v>0</v>
      </c>
      <c r="I108" s="13">
        <f t="shared" si="1"/>
        <v>5667339.3399999999</v>
      </c>
    </row>
    <row r="109" spans="1:9" ht="15.75" x14ac:dyDescent="0.25">
      <c r="A109" s="8"/>
      <c r="B109" s="8"/>
      <c r="C109" s="9"/>
      <c r="D109" s="12" t="s">
        <v>105</v>
      </c>
      <c r="E109" s="16">
        <v>15962607.779999999</v>
      </c>
      <c r="F109" s="16">
        <v>69503887.89745459</v>
      </c>
      <c r="G109" s="16">
        <v>434109.46</v>
      </c>
      <c r="H109" s="16">
        <v>0</v>
      </c>
      <c r="I109" s="13">
        <f t="shared" si="1"/>
        <v>85900605.137454584</v>
      </c>
    </row>
    <row r="110" spans="1:9" ht="15.75" x14ac:dyDescent="0.25">
      <c r="A110" s="8"/>
      <c r="B110" s="8"/>
      <c r="C110" s="9"/>
      <c r="D110" s="12" t="s">
        <v>106</v>
      </c>
      <c r="E110" s="16">
        <v>20843909.300000004</v>
      </c>
      <c r="F110" s="16">
        <v>16120238.589630248</v>
      </c>
      <c r="G110" s="16">
        <v>1378761.3399999999</v>
      </c>
      <c r="H110" s="16">
        <v>0</v>
      </c>
      <c r="I110" s="13">
        <f t="shared" si="1"/>
        <v>38342909.229630247</v>
      </c>
    </row>
    <row r="111" spans="1:9" ht="15.75" x14ac:dyDescent="0.25">
      <c r="A111" s="8"/>
      <c r="B111" s="8"/>
      <c r="C111" s="9"/>
      <c r="D111" s="12" t="s">
        <v>107</v>
      </c>
      <c r="E111" s="16">
        <v>164111.87</v>
      </c>
      <c r="F111" s="16">
        <v>266480.14738377609</v>
      </c>
      <c r="G111" s="16">
        <v>60492829.100000001</v>
      </c>
      <c r="H111" s="16">
        <v>0</v>
      </c>
      <c r="I111" s="13">
        <f t="shared" si="1"/>
        <v>60923421.117383778</v>
      </c>
    </row>
    <row r="112" spans="1:9" ht="15.75" x14ac:dyDescent="0.25">
      <c r="A112" s="8"/>
      <c r="B112" s="8"/>
      <c r="C112" s="9"/>
      <c r="D112" s="12" t="s">
        <v>108</v>
      </c>
      <c r="E112" s="16">
        <v>64368258.370000005</v>
      </c>
      <c r="F112" s="16">
        <v>18238683.34824774</v>
      </c>
      <c r="G112" s="16">
        <v>4598471.3199999994</v>
      </c>
      <c r="H112" s="16">
        <v>0</v>
      </c>
      <c r="I112" s="13">
        <f t="shared" si="1"/>
        <v>87205413.038247734</v>
      </c>
    </row>
    <row r="113" spans="1:9" ht="15.75" x14ac:dyDescent="0.25">
      <c r="A113" s="8"/>
      <c r="B113" s="8"/>
      <c r="C113" s="9"/>
      <c r="D113" s="12" t="s">
        <v>109</v>
      </c>
      <c r="E113" s="16">
        <v>46580184.179999992</v>
      </c>
      <c r="F113" s="16">
        <v>43913466.244006343</v>
      </c>
      <c r="G113" s="16">
        <v>1862002.2999999998</v>
      </c>
      <c r="H113" s="16">
        <v>0</v>
      </c>
      <c r="I113" s="13">
        <f t="shared" si="1"/>
        <v>92355652.72400634</v>
      </c>
    </row>
    <row r="114" spans="1:9" ht="15.75" x14ac:dyDescent="0.25">
      <c r="A114" s="8"/>
      <c r="B114" s="8"/>
      <c r="C114" s="9"/>
      <c r="D114" s="12" t="s">
        <v>110</v>
      </c>
      <c r="E114" s="16">
        <v>124036148.79999997</v>
      </c>
      <c r="F114" s="16">
        <v>50367282.313457176</v>
      </c>
      <c r="G114" s="16">
        <v>3040600.8699999996</v>
      </c>
      <c r="H114" s="16">
        <v>0</v>
      </c>
      <c r="I114" s="13">
        <f t="shared" si="1"/>
        <v>177444031.98345715</v>
      </c>
    </row>
    <row r="115" spans="1:9" ht="15.75" x14ac:dyDescent="0.25">
      <c r="A115" s="8"/>
      <c r="B115" s="8"/>
      <c r="C115" s="9"/>
      <c r="D115" s="12" t="s">
        <v>111</v>
      </c>
      <c r="E115" s="16">
        <v>229406103.38999999</v>
      </c>
      <c r="F115" s="16">
        <v>24902859.425347988</v>
      </c>
      <c r="G115" s="16">
        <v>3265663.15</v>
      </c>
      <c r="H115" s="16">
        <v>0</v>
      </c>
      <c r="I115" s="13">
        <f t="shared" si="1"/>
        <v>257574625.96534798</v>
      </c>
    </row>
    <row r="116" spans="1:9" ht="15.75" x14ac:dyDescent="0.25">
      <c r="A116" s="8"/>
      <c r="B116" s="8"/>
      <c r="C116" s="9"/>
      <c r="D116" s="12" t="s">
        <v>112</v>
      </c>
      <c r="E116" s="16">
        <v>37589141.140000001</v>
      </c>
      <c r="F116" s="16">
        <v>32338958.972858846</v>
      </c>
      <c r="G116" s="16">
        <v>44426.29</v>
      </c>
      <c r="H116" s="16">
        <v>0</v>
      </c>
      <c r="I116" s="13">
        <f t="shared" si="1"/>
        <v>69972526.402858853</v>
      </c>
    </row>
    <row r="117" spans="1:9" ht="15.75" x14ac:dyDescent="0.25">
      <c r="A117" s="8"/>
      <c r="B117" s="8"/>
      <c r="C117" s="9"/>
      <c r="D117" s="12" t="s">
        <v>113</v>
      </c>
      <c r="E117" s="16">
        <v>32325261.809999995</v>
      </c>
      <c r="F117" s="16">
        <v>24973100.116370339</v>
      </c>
      <c r="G117" s="16">
        <v>3469678.57</v>
      </c>
      <c r="H117" s="16">
        <v>0</v>
      </c>
      <c r="I117" s="13">
        <f t="shared" si="1"/>
        <v>60768040.496370338</v>
      </c>
    </row>
    <row r="118" spans="1:9" ht="15.75" x14ac:dyDescent="0.25">
      <c r="A118" s="8"/>
      <c r="B118" s="8"/>
      <c r="C118" s="9"/>
      <c r="D118" s="12" t="s">
        <v>114</v>
      </c>
      <c r="E118" s="16">
        <v>49191050.509999998</v>
      </c>
      <c r="F118" s="16">
        <v>39003135.049959093</v>
      </c>
      <c r="G118" s="16">
        <v>5399774.2199999988</v>
      </c>
      <c r="H118" s="16">
        <v>0</v>
      </c>
      <c r="I118" s="13">
        <f t="shared" si="1"/>
        <v>93593959.779959083</v>
      </c>
    </row>
    <row r="119" spans="1:9" ht="15.75" x14ac:dyDescent="0.25">
      <c r="A119" s="8"/>
      <c r="B119" s="8"/>
      <c r="C119" s="9"/>
      <c r="D119" s="12" t="s">
        <v>115</v>
      </c>
      <c r="E119" s="16">
        <v>16705794.609999999</v>
      </c>
      <c r="F119" s="16">
        <v>3787928.3993601436</v>
      </c>
      <c r="G119" s="16">
        <v>1979725.85</v>
      </c>
      <c r="H119" s="16">
        <v>0</v>
      </c>
      <c r="I119" s="13">
        <f t="shared" si="1"/>
        <v>22473448.859360144</v>
      </c>
    </row>
    <row r="120" spans="1:9" ht="15.75" x14ac:dyDescent="0.25">
      <c r="A120" s="8"/>
      <c r="B120" s="8"/>
      <c r="C120" s="9"/>
      <c r="D120" s="12" t="s">
        <v>116</v>
      </c>
      <c r="E120" s="16">
        <v>177328203.84999993</v>
      </c>
      <c r="F120" s="16">
        <v>16555079.156217089</v>
      </c>
      <c r="G120" s="16">
        <v>4470509.0799999991</v>
      </c>
      <c r="H120" s="16">
        <v>0</v>
      </c>
      <c r="I120" s="13">
        <f t="shared" si="1"/>
        <v>198353792.08621705</v>
      </c>
    </row>
    <row r="121" spans="1:9" ht="15.75" x14ac:dyDescent="0.25">
      <c r="A121" s="8"/>
      <c r="B121" s="8"/>
      <c r="C121" s="9"/>
      <c r="D121" s="12" t="s">
        <v>117</v>
      </c>
      <c r="E121" s="16">
        <v>55289100.07</v>
      </c>
      <c r="F121" s="16">
        <v>24566138.586941857</v>
      </c>
      <c r="G121" s="16">
        <v>3291914.7600000002</v>
      </c>
      <c r="H121" s="16">
        <v>0</v>
      </c>
      <c r="I121" s="13">
        <f t="shared" si="1"/>
        <v>83147153.416941866</v>
      </c>
    </row>
    <row r="122" spans="1:9" ht="15.75" x14ac:dyDescent="0.25">
      <c r="A122" s="8"/>
      <c r="B122" s="8"/>
      <c r="C122" s="9"/>
      <c r="D122" s="12" t="s">
        <v>118</v>
      </c>
      <c r="E122" s="16">
        <v>68181198.540000021</v>
      </c>
      <c r="F122" s="16">
        <v>18112684.582908671</v>
      </c>
      <c r="G122" s="16">
        <v>3056617.6300000004</v>
      </c>
      <c r="H122" s="16">
        <v>0</v>
      </c>
      <c r="I122" s="13">
        <f t="shared" si="1"/>
        <v>89350500.752908692</v>
      </c>
    </row>
    <row r="123" spans="1:9" ht="15.75" x14ac:dyDescent="0.25">
      <c r="A123" s="8"/>
      <c r="B123" s="8"/>
      <c r="C123" s="9"/>
      <c r="D123" s="12" t="s">
        <v>119</v>
      </c>
      <c r="E123" s="16">
        <v>61354290.910000011</v>
      </c>
      <c r="F123" s="16">
        <v>33278880.797054883</v>
      </c>
      <c r="G123" s="16">
        <v>1439169.95</v>
      </c>
      <c r="H123" s="16">
        <v>0</v>
      </c>
      <c r="I123" s="13">
        <f t="shared" si="1"/>
        <v>96072341.657054901</v>
      </c>
    </row>
    <row r="124" spans="1:9" ht="15.75" x14ac:dyDescent="0.25">
      <c r="A124" s="8"/>
      <c r="B124" s="8"/>
      <c r="C124" s="9"/>
      <c r="D124" s="12" t="s">
        <v>120</v>
      </c>
      <c r="E124" s="16">
        <v>944099.63</v>
      </c>
      <c r="F124" s="16">
        <v>0</v>
      </c>
      <c r="G124" s="16">
        <v>16217767.34</v>
      </c>
      <c r="H124" s="16">
        <v>10264014.464999996</v>
      </c>
      <c r="I124" s="13">
        <f t="shared" si="1"/>
        <v>27425881.434999995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47712630.670000002</v>
      </c>
      <c r="H125" s="16">
        <v>1052006.8050000002</v>
      </c>
      <c r="I125" s="13">
        <f t="shared" si="1"/>
        <v>48764637.475000001</v>
      </c>
    </row>
    <row r="126" spans="1:9" ht="15.75" x14ac:dyDescent="0.25">
      <c r="A126" s="8"/>
      <c r="B126" s="8"/>
      <c r="C126" s="9"/>
      <c r="D126" s="12" t="s">
        <v>122</v>
      </c>
      <c r="E126" s="16">
        <v>1163092.74</v>
      </c>
      <c r="F126" s="16">
        <v>0</v>
      </c>
      <c r="G126" s="16">
        <v>28208319.770000003</v>
      </c>
      <c r="H126" s="16">
        <v>0</v>
      </c>
      <c r="I126" s="13">
        <f t="shared" si="1"/>
        <v>29371412.510000002</v>
      </c>
    </row>
    <row r="127" spans="1:9" ht="15.75" x14ac:dyDescent="0.25">
      <c r="A127" s="8"/>
      <c r="B127" s="8"/>
      <c r="C127" s="9"/>
      <c r="D127" s="12" t="s">
        <v>123</v>
      </c>
      <c r="E127" s="16">
        <v>37551476.170000002</v>
      </c>
      <c r="F127" s="16">
        <v>7015017.4667943781</v>
      </c>
      <c r="G127" s="16">
        <v>16273182.779999999</v>
      </c>
      <c r="H127" s="16">
        <v>0</v>
      </c>
      <c r="I127" s="13">
        <f t="shared" si="1"/>
        <v>60839676.416794382</v>
      </c>
    </row>
    <row r="128" spans="1:9" ht="15.75" x14ac:dyDescent="0.25">
      <c r="A128" s="8"/>
      <c r="B128" s="8"/>
      <c r="C128" s="9"/>
      <c r="D128" s="12" t="s">
        <v>124</v>
      </c>
      <c r="E128" s="16">
        <v>92865306.030000001</v>
      </c>
      <c r="F128" s="16">
        <v>21886492.430980816</v>
      </c>
      <c r="G128" s="16">
        <v>7462137.9500000011</v>
      </c>
      <c r="H128" s="16">
        <v>0</v>
      </c>
      <c r="I128" s="13">
        <f t="shared" si="1"/>
        <v>122213936.41098082</v>
      </c>
    </row>
    <row r="129" spans="1:9" ht="15.75" x14ac:dyDescent="0.25">
      <c r="A129" s="8"/>
      <c r="B129" s="8"/>
      <c r="C129" s="9"/>
      <c r="D129" s="12" t="s">
        <v>125</v>
      </c>
      <c r="E129" s="16">
        <v>19926576.149999999</v>
      </c>
      <c r="F129" s="16">
        <v>10592585.8585051</v>
      </c>
      <c r="G129" s="16">
        <v>5799729.6300000008</v>
      </c>
      <c r="H129" s="16">
        <v>0</v>
      </c>
      <c r="I129" s="13">
        <f t="shared" si="1"/>
        <v>36318891.638505101</v>
      </c>
    </row>
    <row r="130" spans="1:9" ht="15.75" x14ac:dyDescent="0.25">
      <c r="A130" s="8"/>
      <c r="B130" s="8"/>
      <c r="C130" s="9"/>
      <c r="D130" s="12" t="s">
        <v>126</v>
      </c>
      <c r="E130" s="16">
        <v>19515790.190000001</v>
      </c>
      <c r="F130" s="16">
        <v>18659765.428964224</v>
      </c>
      <c r="G130" s="16">
        <v>1104247.51</v>
      </c>
      <c r="H130" s="16">
        <v>0</v>
      </c>
      <c r="I130" s="13">
        <f t="shared" si="1"/>
        <v>39279803.128964223</v>
      </c>
    </row>
    <row r="131" spans="1:9" ht="15.75" x14ac:dyDescent="0.25">
      <c r="A131" s="8"/>
      <c r="B131" s="8"/>
      <c r="C131" s="9"/>
      <c r="D131" s="12" t="s">
        <v>127</v>
      </c>
      <c r="E131" s="16">
        <v>243748082.03</v>
      </c>
      <c r="F131" s="16">
        <v>101982966.18694049</v>
      </c>
      <c r="G131" s="16">
        <v>46373899.500000007</v>
      </c>
      <c r="H131" s="16">
        <v>0</v>
      </c>
      <c r="I131" s="13">
        <f t="shared" si="1"/>
        <v>392104947.71694052</v>
      </c>
    </row>
    <row r="132" spans="1:9" ht="15.75" x14ac:dyDescent="0.25">
      <c r="A132" s="8"/>
      <c r="B132" s="8"/>
      <c r="C132" s="9"/>
      <c r="D132" s="12" t="s">
        <v>128</v>
      </c>
      <c r="E132" s="16">
        <v>41130877.589999996</v>
      </c>
      <c r="F132" s="16">
        <v>62573231.672970556</v>
      </c>
      <c r="G132" s="16">
        <v>37221.660000000003</v>
      </c>
      <c r="H132" s="16">
        <v>0</v>
      </c>
      <c r="I132" s="13">
        <f t="shared" si="1"/>
        <v>103741330.92297055</v>
      </c>
    </row>
    <row r="133" spans="1:9" ht="15.75" x14ac:dyDescent="0.25">
      <c r="A133" s="8"/>
      <c r="B133" s="8"/>
      <c r="C133" s="9"/>
      <c r="D133" s="12" t="s">
        <v>129</v>
      </c>
      <c r="E133" s="16">
        <v>20734135.5</v>
      </c>
      <c r="F133" s="16">
        <v>0</v>
      </c>
      <c r="G133" s="16">
        <v>85503318.829999998</v>
      </c>
      <c r="H133" s="16">
        <v>5805843.3200000012</v>
      </c>
      <c r="I133" s="13">
        <f t="shared" si="1"/>
        <v>112043297.65000001</v>
      </c>
    </row>
    <row r="134" spans="1:9" ht="15.75" x14ac:dyDescent="0.25">
      <c r="A134" s="8"/>
      <c r="B134" s="8"/>
      <c r="C134" s="9"/>
      <c r="D134" s="12" t="s">
        <v>130</v>
      </c>
      <c r="E134" s="16">
        <v>8271452.7300000004</v>
      </c>
      <c r="F134" s="16">
        <v>3086607.6853895262</v>
      </c>
      <c r="G134" s="16">
        <v>4761.28</v>
      </c>
      <c r="H134" s="16">
        <v>0</v>
      </c>
      <c r="I134" s="13">
        <f t="shared" si="1"/>
        <v>11362821.695389526</v>
      </c>
    </row>
    <row r="135" spans="1:9" ht="15.75" x14ac:dyDescent="0.25">
      <c r="A135" s="8"/>
      <c r="B135" s="8"/>
      <c r="C135" s="9"/>
      <c r="D135" s="12" t="s">
        <v>131</v>
      </c>
      <c r="E135" s="16">
        <v>25584244.559999999</v>
      </c>
      <c r="F135" s="16">
        <v>39003135.049959093</v>
      </c>
      <c r="G135" s="16">
        <v>352809.88</v>
      </c>
      <c r="H135" s="16">
        <v>0</v>
      </c>
      <c r="I135" s="13">
        <f t="shared" si="1"/>
        <v>64940189.489959098</v>
      </c>
    </row>
    <row r="136" spans="1:9" ht="15.75" x14ac:dyDescent="0.25">
      <c r="A136" s="8"/>
      <c r="B136" s="8"/>
      <c r="C136" s="9"/>
      <c r="D136" s="12" t="s">
        <v>132</v>
      </c>
      <c r="E136" s="16">
        <v>192222327.97999996</v>
      </c>
      <c r="F136" s="16">
        <v>47140193.246022925</v>
      </c>
      <c r="G136" s="16">
        <v>8549033.5</v>
      </c>
      <c r="H136" s="16">
        <v>0</v>
      </c>
      <c r="I136" s="13">
        <f t="shared" si="1"/>
        <v>247911554.7260229</v>
      </c>
    </row>
    <row r="137" spans="1:9" ht="15.75" x14ac:dyDescent="0.25">
      <c r="A137" s="8"/>
      <c r="B137" s="8"/>
      <c r="C137" s="9"/>
      <c r="D137" s="12" t="s">
        <v>133</v>
      </c>
      <c r="E137" s="16">
        <v>177310887.82000002</v>
      </c>
      <c r="F137" s="16">
        <v>74119497.841542065</v>
      </c>
      <c r="G137" s="16">
        <v>9721163.0899999999</v>
      </c>
      <c r="H137" s="16">
        <v>0</v>
      </c>
      <c r="I137" s="13">
        <f t="shared" si="1"/>
        <v>261151548.75154209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33137491.740000002</v>
      </c>
      <c r="H138" s="16">
        <v>0</v>
      </c>
      <c r="I138" s="13">
        <f t="shared" ref="I138:I144" si="2">SUM(E138:H138)</f>
        <v>33137491.740000002</v>
      </c>
    </row>
    <row r="139" spans="1:9" ht="15.75" x14ac:dyDescent="0.25">
      <c r="A139" s="8"/>
      <c r="B139" s="8"/>
      <c r="C139" s="9"/>
      <c r="D139" s="12" t="s">
        <v>135</v>
      </c>
      <c r="E139" s="16">
        <v>16971263.66</v>
      </c>
      <c r="F139" s="16">
        <v>11097667.116114294</v>
      </c>
      <c r="G139" s="16">
        <v>1696056.4300000002</v>
      </c>
      <c r="H139" s="16">
        <v>0</v>
      </c>
      <c r="I139" s="13">
        <f t="shared" si="2"/>
        <v>29764987.206114292</v>
      </c>
    </row>
    <row r="140" spans="1:9" ht="15.75" x14ac:dyDescent="0.25">
      <c r="A140" s="8"/>
      <c r="B140" s="8"/>
      <c r="C140" s="9"/>
      <c r="D140" s="12" t="s">
        <v>136</v>
      </c>
      <c r="E140" s="16">
        <v>99871574.039999992</v>
      </c>
      <c r="F140" s="16">
        <v>78707590.813888803</v>
      </c>
      <c r="G140" s="16">
        <v>4165895.58</v>
      </c>
      <c r="H140" s="16">
        <v>0</v>
      </c>
      <c r="I140" s="13">
        <f t="shared" si="2"/>
        <v>182745060.43388882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40537330.590000004</v>
      </c>
      <c r="H141" s="16">
        <v>1063087.9449999998</v>
      </c>
      <c r="I141" s="13">
        <f t="shared" si="2"/>
        <v>41600418.535000004</v>
      </c>
    </row>
    <row r="142" spans="1:9" ht="15.75" x14ac:dyDescent="0.25">
      <c r="A142" s="8"/>
      <c r="B142" s="8"/>
      <c r="C142" s="9"/>
      <c r="D142" s="12" t="s">
        <v>138</v>
      </c>
      <c r="E142" s="16">
        <v>360813.22</v>
      </c>
      <c r="F142" s="16">
        <v>0</v>
      </c>
      <c r="G142" s="16">
        <v>4877195.0600000015</v>
      </c>
      <c r="H142" s="16">
        <v>0</v>
      </c>
      <c r="I142" s="13">
        <f t="shared" si="2"/>
        <v>5238008.2800000012</v>
      </c>
    </row>
    <row r="143" spans="1:9" ht="15.75" x14ac:dyDescent="0.25">
      <c r="A143" s="8"/>
      <c r="B143" s="8"/>
      <c r="C143" s="9"/>
      <c r="D143" s="12" t="s">
        <v>139</v>
      </c>
      <c r="E143" s="16">
        <v>8434054.379999999</v>
      </c>
      <c r="F143" s="16">
        <v>72744735.450759187</v>
      </c>
      <c r="G143" s="16">
        <v>146687.25999999998</v>
      </c>
      <c r="H143" s="16">
        <v>0</v>
      </c>
      <c r="I143" s="13">
        <f t="shared" si="2"/>
        <v>81325477.090759188</v>
      </c>
    </row>
    <row r="144" spans="1:9" ht="15.75" x14ac:dyDescent="0.25">
      <c r="A144" s="8"/>
      <c r="B144" s="8"/>
      <c r="C144" s="9"/>
      <c r="D144" s="12" t="s">
        <v>140</v>
      </c>
      <c r="E144" s="16">
        <v>147539784.23999998</v>
      </c>
      <c r="F144" s="16">
        <v>8838740.9754520953</v>
      </c>
      <c r="G144" s="16">
        <v>12905541.710000001</v>
      </c>
      <c r="H144" s="16">
        <v>0</v>
      </c>
      <c r="I144" s="13">
        <f t="shared" si="2"/>
        <v>169284066.92545208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8228282693.409996</v>
      </c>
      <c r="F145" s="22">
        <f>SUM(F10:F144)</f>
        <v>3620486178.0562158</v>
      </c>
      <c r="G145" s="22">
        <f>SUM(G10:G144)</f>
        <v>1798931899.2599995</v>
      </c>
      <c r="H145" s="22">
        <f>SUM(H10:H144)</f>
        <v>18184952.534999996</v>
      </c>
      <c r="I145" s="22">
        <f>SUM(I10:I144)</f>
        <v>13665885723.261209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6" width="20.1640625" style="2" customWidth="1"/>
    <col min="7" max="7" width="21.6640625" style="2" customWidth="1"/>
    <col min="8" max="8" width="20.1640625" style="2" customWidth="1"/>
    <col min="9" max="9" width="21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3793075.28</v>
      </c>
      <c r="F10" s="16">
        <v>19811786.701645426</v>
      </c>
      <c r="G10" s="16">
        <v>2680592.7599999993</v>
      </c>
      <c r="H10" s="16">
        <v>0</v>
      </c>
      <c r="I10" s="13">
        <f t="shared" ref="I10:I73" si="0">SUM(E10:H10)</f>
        <v>26285454.741645426</v>
      </c>
    </row>
    <row r="11" spans="1:9" ht="15.75" x14ac:dyDescent="0.25">
      <c r="A11" s="8"/>
      <c r="B11" s="8"/>
      <c r="C11" s="9"/>
      <c r="D11" s="12" t="s">
        <v>7</v>
      </c>
      <c r="E11" s="16">
        <v>4486904.83</v>
      </c>
      <c r="F11" s="16">
        <v>11119869.982232261</v>
      </c>
      <c r="G11" s="16">
        <v>1722535.65</v>
      </c>
      <c r="H11" s="16">
        <v>0</v>
      </c>
      <c r="I11" s="13">
        <f t="shared" si="0"/>
        <v>17329310.462232262</v>
      </c>
    </row>
    <row r="12" spans="1:9" ht="15.75" x14ac:dyDescent="0.25">
      <c r="A12" s="8"/>
      <c r="B12" s="8"/>
      <c r="C12" s="9"/>
      <c r="D12" s="12" t="s">
        <v>8</v>
      </c>
      <c r="E12" s="16">
        <v>3357061.0100000002</v>
      </c>
      <c r="F12" s="16">
        <v>4031329.0109501849</v>
      </c>
      <c r="G12" s="16">
        <v>1873618.5100000002</v>
      </c>
      <c r="H12" s="16">
        <v>0</v>
      </c>
      <c r="I12" s="13">
        <f t="shared" si="0"/>
        <v>9262008.5309501849</v>
      </c>
    </row>
    <row r="13" spans="1:9" ht="15.75" x14ac:dyDescent="0.25">
      <c r="A13" s="8"/>
      <c r="B13" s="8"/>
      <c r="C13" s="9"/>
      <c r="D13" s="12" t="s">
        <v>9</v>
      </c>
      <c r="E13" s="16">
        <v>145279.48000000001</v>
      </c>
      <c r="F13" s="16">
        <v>106604.25812944598</v>
      </c>
      <c r="G13" s="16">
        <v>44964913.24000001</v>
      </c>
      <c r="H13" s="16">
        <v>0</v>
      </c>
      <c r="I13" s="13">
        <f t="shared" si="0"/>
        <v>45216796.978129454</v>
      </c>
    </row>
    <row r="14" spans="1:9" ht="15.75" x14ac:dyDescent="0.25">
      <c r="A14" s="8"/>
      <c r="B14" s="8"/>
      <c r="C14" s="9"/>
      <c r="D14" s="12" t="s">
        <v>10</v>
      </c>
      <c r="E14" s="16">
        <v>7352052.6200000001</v>
      </c>
      <c r="F14" s="16">
        <v>4479213.6823683903</v>
      </c>
      <c r="G14" s="16">
        <v>3267475.59</v>
      </c>
      <c r="H14" s="16">
        <v>0</v>
      </c>
      <c r="I14" s="13">
        <f t="shared" si="0"/>
        <v>15098741.892368391</v>
      </c>
    </row>
    <row r="15" spans="1:9" ht="15.75" x14ac:dyDescent="0.25">
      <c r="A15" s="8"/>
      <c r="B15" s="8"/>
      <c r="C15" s="9"/>
      <c r="D15" s="12" t="s">
        <v>11</v>
      </c>
      <c r="E15" s="16">
        <v>59845.57</v>
      </c>
      <c r="F15" s="16">
        <v>24862.094623992998</v>
      </c>
      <c r="G15" s="16">
        <v>40533861.200000003</v>
      </c>
      <c r="H15" s="16">
        <v>0</v>
      </c>
      <c r="I15" s="13">
        <f t="shared" si="0"/>
        <v>40618568.864623994</v>
      </c>
    </row>
    <row r="16" spans="1:9" ht="15.75" x14ac:dyDescent="0.25">
      <c r="A16" s="8"/>
      <c r="B16" s="8"/>
      <c r="C16" s="9"/>
      <c r="D16" s="12" t="s">
        <v>12</v>
      </c>
      <c r="E16" s="16">
        <v>8249701.4099999992</v>
      </c>
      <c r="F16" s="16">
        <v>21358190.638848476</v>
      </c>
      <c r="G16" s="16">
        <v>3254425.61</v>
      </c>
      <c r="H16" s="16">
        <v>0</v>
      </c>
      <c r="I16" s="13">
        <f t="shared" si="0"/>
        <v>32862317.658848476</v>
      </c>
    </row>
    <row r="17" spans="1:9" ht="15.75" x14ac:dyDescent="0.25">
      <c r="A17" s="8"/>
      <c r="B17" s="8"/>
      <c r="C17" s="9"/>
      <c r="D17" s="12" t="s">
        <v>13</v>
      </c>
      <c r="E17" s="16">
        <v>14970702.909999998</v>
      </c>
      <c r="F17" s="16">
        <v>19623348.537963945</v>
      </c>
      <c r="G17" s="16">
        <v>9486846.1399999987</v>
      </c>
      <c r="H17" s="16">
        <v>0</v>
      </c>
      <c r="I17" s="13">
        <f t="shared" si="0"/>
        <v>44080897.587963946</v>
      </c>
    </row>
    <row r="18" spans="1:9" ht="15.75" x14ac:dyDescent="0.25">
      <c r="A18" s="8"/>
      <c r="B18" s="8"/>
      <c r="C18" s="9"/>
      <c r="D18" s="12" t="s">
        <v>14</v>
      </c>
      <c r="E18" s="16">
        <v>4702368.3399999989</v>
      </c>
      <c r="F18" s="16">
        <v>1599706.0662677707</v>
      </c>
      <c r="G18" s="16">
        <v>61194915.45000001</v>
      </c>
      <c r="H18" s="16">
        <v>0</v>
      </c>
      <c r="I18" s="13">
        <f t="shared" si="0"/>
        <v>67496989.85626778</v>
      </c>
    </row>
    <row r="19" spans="1:9" ht="15.75" x14ac:dyDescent="0.25">
      <c r="A19" s="8"/>
      <c r="B19" s="8"/>
      <c r="C19" s="9"/>
      <c r="D19" s="12" t="s">
        <v>15</v>
      </c>
      <c r="E19" s="16">
        <v>22178011.690000001</v>
      </c>
      <c r="F19" s="16">
        <v>15268537.070762102</v>
      </c>
      <c r="G19" s="16">
        <v>8328427.8500000006</v>
      </c>
      <c r="H19" s="16">
        <v>0</v>
      </c>
      <c r="I19" s="13">
        <f t="shared" si="0"/>
        <v>45774976.610762104</v>
      </c>
    </row>
    <row r="20" spans="1:9" ht="15.75" x14ac:dyDescent="0.25">
      <c r="A20" s="8"/>
      <c r="B20" s="8"/>
      <c r="C20" s="9"/>
      <c r="D20" s="12" t="s">
        <v>16</v>
      </c>
      <c r="E20" s="16">
        <v>7983567.8399999999</v>
      </c>
      <c r="F20" s="16">
        <v>3800230.7956076078</v>
      </c>
      <c r="G20" s="16">
        <v>4567105.8199999994</v>
      </c>
      <c r="H20" s="16">
        <v>0</v>
      </c>
      <c r="I20" s="13">
        <f t="shared" si="0"/>
        <v>16350904.455607608</v>
      </c>
    </row>
    <row r="21" spans="1:9" ht="15.75" x14ac:dyDescent="0.25">
      <c r="A21" s="8"/>
      <c r="B21" s="8"/>
      <c r="C21" s="9"/>
      <c r="D21" s="12" t="s">
        <v>17</v>
      </c>
      <c r="E21" s="16">
        <v>12974407.679999998</v>
      </c>
      <c r="F21" s="16">
        <v>18265382.764442381</v>
      </c>
      <c r="G21" s="16">
        <v>2204812.46</v>
      </c>
      <c r="H21" s="16">
        <v>0</v>
      </c>
      <c r="I21" s="13">
        <f t="shared" si="0"/>
        <v>33444602.904442377</v>
      </c>
    </row>
    <row r="22" spans="1:9" ht="15.75" x14ac:dyDescent="0.25">
      <c r="A22" s="8"/>
      <c r="B22" s="8"/>
      <c r="C22" s="9"/>
      <c r="D22" s="12" t="s">
        <v>18</v>
      </c>
      <c r="E22" s="16">
        <v>393332.85</v>
      </c>
      <c r="F22" s="16">
        <v>782100.94712007476</v>
      </c>
      <c r="G22" s="16">
        <v>23418919.420000002</v>
      </c>
      <c r="H22" s="16">
        <v>0</v>
      </c>
      <c r="I22" s="13">
        <f t="shared" si="0"/>
        <v>24594353.217120077</v>
      </c>
    </row>
    <row r="23" spans="1:9" ht="15.75" x14ac:dyDescent="0.25">
      <c r="A23" s="8"/>
      <c r="B23" s="8"/>
      <c r="C23" s="9"/>
      <c r="D23" s="12" t="s">
        <v>19</v>
      </c>
      <c r="E23" s="16">
        <v>94124.84</v>
      </c>
      <c r="F23" s="16">
        <v>291464.48199419095</v>
      </c>
      <c r="G23" s="16">
        <v>12777697.200000001</v>
      </c>
      <c r="H23" s="16">
        <v>0</v>
      </c>
      <c r="I23" s="13">
        <f t="shared" si="0"/>
        <v>13163286.521994192</v>
      </c>
    </row>
    <row r="24" spans="1:9" ht="15.75" x14ac:dyDescent="0.25">
      <c r="A24" s="8"/>
      <c r="B24" s="8"/>
      <c r="C24" s="9"/>
      <c r="D24" s="12" t="s">
        <v>20</v>
      </c>
      <c r="E24" s="16">
        <v>12426486.439999999</v>
      </c>
      <c r="F24" s="16">
        <v>11201703.887784299</v>
      </c>
      <c r="G24" s="16">
        <v>6670099.3099999996</v>
      </c>
      <c r="H24" s="16">
        <v>0</v>
      </c>
      <c r="I24" s="13">
        <f t="shared" si="0"/>
        <v>30298289.637784299</v>
      </c>
    </row>
    <row r="25" spans="1:9" ht="15.75" x14ac:dyDescent="0.25">
      <c r="A25" s="8"/>
      <c r="B25" s="8"/>
      <c r="C25" s="9"/>
      <c r="D25" s="12" t="s">
        <v>21</v>
      </c>
      <c r="E25" s="16">
        <v>11989094.740000002</v>
      </c>
      <c r="F25" s="16">
        <v>8318618.3318669396</v>
      </c>
      <c r="G25" s="16">
        <v>6460310.1200000001</v>
      </c>
      <c r="H25" s="16">
        <v>0</v>
      </c>
      <c r="I25" s="13">
        <f t="shared" si="0"/>
        <v>26768023.191866942</v>
      </c>
    </row>
    <row r="26" spans="1:9" ht="15.75" x14ac:dyDescent="0.25">
      <c r="A26" s="8"/>
      <c r="B26" s="8"/>
      <c r="C26" s="9"/>
      <c r="D26" s="12" t="s">
        <v>22</v>
      </c>
      <c r="E26" s="16">
        <v>4703636.45</v>
      </c>
      <c r="F26" s="16">
        <v>4763614.0267756917</v>
      </c>
      <c r="G26" s="16">
        <v>4518739.32</v>
      </c>
      <c r="H26" s="16">
        <v>0</v>
      </c>
      <c r="I26" s="13">
        <f t="shared" si="0"/>
        <v>13985989.796775691</v>
      </c>
    </row>
    <row r="27" spans="1:9" ht="15.75" x14ac:dyDescent="0.25">
      <c r="A27" s="8"/>
      <c r="B27" s="8"/>
      <c r="C27" s="9"/>
      <c r="D27" s="12" t="s">
        <v>23</v>
      </c>
      <c r="E27" s="16">
        <v>1030214.5499999999</v>
      </c>
      <c r="F27" s="16">
        <v>817605.11914769583</v>
      </c>
      <c r="G27" s="16">
        <v>13099174.5</v>
      </c>
      <c r="H27" s="16">
        <v>0</v>
      </c>
      <c r="I27" s="13">
        <f t="shared" si="0"/>
        <v>14946994.169147696</v>
      </c>
    </row>
    <row r="28" spans="1:9" ht="15.75" x14ac:dyDescent="0.25">
      <c r="A28" s="8"/>
      <c r="B28" s="8"/>
      <c r="C28" s="9"/>
      <c r="D28" s="12" t="s">
        <v>24</v>
      </c>
      <c r="E28" s="16">
        <v>7964380.9000000004</v>
      </c>
      <c r="F28" s="16">
        <v>3874908.8215261698</v>
      </c>
      <c r="G28" s="16">
        <v>6080637.1600000011</v>
      </c>
      <c r="H28" s="16">
        <v>0</v>
      </c>
      <c r="I28" s="13">
        <f t="shared" si="0"/>
        <v>17919926.881526172</v>
      </c>
    </row>
    <row r="29" spans="1:9" ht="15.75" x14ac:dyDescent="0.25">
      <c r="A29" s="8"/>
      <c r="B29" s="8"/>
      <c r="C29" s="9"/>
      <c r="D29" s="12" t="s">
        <v>25</v>
      </c>
      <c r="E29" s="16">
        <v>1859163.9900000002</v>
      </c>
      <c r="F29" s="16">
        <v>2168506.7550823702</v>
      </c>
      <c r="G29" s="16">
        <v>2262956.1</v>
      </c>
      <c r="H29" s="16">
        <v>0</v>
      </c>
      <c r="I29" s="13">
        <f t="shared" si="0"/>
        <v>6290626.8450823706</v>
      </c>
    </row>
    <row r="30" spans="1:9" ht="15.75" x14ac:dyDescent="0.25">
      <c r="A30" s="8"/>
      <c r="B30" s="8"/>
      <c r="C30" s="9"/>
      <c r="D30" s="12" t="s">
        <v>26</v>
      </c>
      <c r="E30" s="16">
        <v>9286570.2800000012</v>
      </c>
      <c r="F30" s="16">
        <v>11695826.550680336</v>
      </c>
      <c r="G30" s="16">
        <v>3244319.2800000003</v>
      </c>
      <c r="H30" s="16">
        <v>0</v>
      </c>
      <c r="I30" s="13">
        <f t="shared" si="0"/>
        <v>24226716.110680338</v>
      </c>
    </row>
    <row r="31" spans="1:9" ht="15.75" x14ac:dyDescent="0.25">
      <c r="A31" s="8"/>
      <c r="B31" s="8"/>
      <c r="C31" s="9"/>
      <c r="D31" s="12" t="s">
        <v>27</v>
      </c>
      <c r="E31" s="16">
        <v>9051480.6799999997</v>
      </c>
      <c r="F31" s="16">
        <v>12122427.067291286</v>
      </c>
      <c r="G31" s="16">
        <v>2909451.11</v>
      </c>
      <c r="H31" s="16">
        <v>0</v>
      </c>
      <c r="I31" s="13">
        <f t="shared" si="0"/>
        <v>24083358.857291285</v>
      </c>
    </row>
    <row r="32" spans="1:9" ht="15.75" x14ac:dyDescent="0.25">
      <c r="A32" s="8"/>
      <c r="B32" s="8"/>
      <c r="C32" s="9"/>
      <c r="D32" s="12" t="s">
        <v>28</v>
      </c>
      <c r="E32" s="16">
        <v>6067106.4400000004</v>
      </c>
      <c r="F32" s="16">
        <v>4091787.0196483824</v>
      </c>
      <c r="G32" s="16">
        <v>1704989.26</v>
      </c>
      <c r="H32" s="16">
        <v>0</v>
      </c>
      <c r="I32" s="13">
        <f t="shared" si="0"/>
        <v>11863882.719648382</v>
      </c>
    </row>
    <row r="33" spans="1:9" ht="15.75" x14ac:dyDescent="0.25">
      <c r="A33" s="8"/>
      <c r="B33" s="8"/>
      <c r="C33" s="9"/>
      <c r="D33" s="12" t="s">
        <v>29</v>
      </c>
      <c r="E33" s="16">
        <v>2608142.7100000004</v>
      </c>
      <c r="F33" s="16">
        <v>6185615.7488121893</v>
      </c>
      <c r="G33" s="16">
        <v>1549837.4099999997</v>
      </c>
      <c r="H33" s="16">
        <v>0</v>
      </c>
      <c r="I33" s="13">
        <f t="shared" si="0"/>
        <v>10343595.86881219</v>
      </c>
    </row>
    <row r="34" spans="1:9" ht="15.75" x14ac:dyDescent="0.25">
      <c r="A34" s="8"/>
      <c r="B34" s="8"/>
      <c r="C34" s="9"/>
      <c r="D34" s="12" t="s">
        <v>30</v>
      </c>
      <c r="E34" s="16">
        <v>10957851.74</v>
      </c>
      <c r="F34" s="16">
        <v>8876685.2012313288</v>
      </c>
      <c r="G34" s="16">
        <v>7671064.9300000006</v>
      </c>
      <c r="H34" s="16">
        <v>0</v>
      </c>
      <c r="I34" s="13">
        <f t="shared" si="0"/>
        <v>27505601.871231329</v>
      </c>
    </row>
    <row r="35" spans="1:9" ht="15.75" x14ac:dyDescent="0.25">
      <c r="A35" s="8"/>
      <c r="B35" s="8"/>
      <c r="C35" s="9"/>
      <c r="D35" s="12" t="s">
        <v>31</v>
      </c>
      <c r="E35" s="16">
        <v>16532255.850000001</v>
      </c>
      <c r="F35" s="16">
        <v>13050214.384385165</v>
      </c>
      <c r="G35" s="16">
        <v>5601622.4799999995</v>
      </c>
      <c r="H35" s="16">
        <v>0</v>
      </c>
      <c r="I35" s="13">
        <f t="shared" si="0"/>
        <v>35184092.714385167</v>
      </c>
    </row>
    <row r="36" spans="1:9" ht="15.75" x14ac:dyDescent="0.25">
      <c r="A36" s="8"/>
      <c r="B36" s="8"/>
      <c r="C36" s="9"/>
      <c r="D36" s="12" t="s">
        <v>32</v>
      </c>
      <c r="E36" s="16">
        <v>7818340.75</v>
      </c>
      <c r="F36" s="16">
        <v>8098162.1939279903</v>
      </c>
      <c r="G36" s="16">
        <v>9612771.4400000013</v>
      </c>
      <c r="H36" s="16">
        <v>0</v>
      </c>
      <c r="I36" s="13">
        <f t="shared" si="0"/>
        <v>25529274.383927993</v>
      </c>
    </row>
    <row r="37" spans="1:9" ht="15.75" x14ac:dyDescent="0.25">
      <c r="A37" s="8"/>
      <c r="B37" s="8"/>
      <c r="C37" s="9"/>
      <c r="D37" s="12" t="s">
        <v>33</v>
      </c>
      <c r="E37" s="16">
        <v>8153313.8399999999</v>
      </c>
      <c r="F37" s="16">
        <v>4479213.6823683903</v>
      </c>
      <c r="G37" s="16">
        <v>3332569.4400000004</v>
      </c>
      <c r="H37" s="16">
        <v>0</v>
      </c>
      <c r="I37" s="13">
        <f t="shared" si="0"/>
        <v>15965096.962368391</v>
      </c>
    </row>
    <row r="38" spans="1:9" ht="15.75" x14ac:dyDescent="0.25">
      <c r="A38" s="8"/>
      <c r="B38" s="8"/>
      <c r="C38" s="9"/>
      <c r="D38" s="12" t="s">
        <v>34</v>
      </c>
      <c r="E38" s="16">
        <v>4561207.6800000006</v>
      </c>
      <c r="F38" s="16">
        <v>9733464.1742699631</v>
      </c>
      <c r="G38" s="16">
        <v>3226308.9899999998</v>
      </c>
      <c r="H38" s="16">
        <v>0</v>
      </c>
      <c r="I38" s="13">
        <f t="shared" si="0"/>
        <v>17520980.844269961</v>
      </c>
    </row>
    <row r="39" spans="1:9" ht="15.75" x14ac:dyDescent="0.25">
      <c r="A39" s="8"/>
      <c r="B39" s="8"/>
      <c r="C39" s="9"/>
      <c r="D39" s="12" t="s">
        <v>35</v>
      </c>
      <c r="E39" s="16">
        <v>4429306.4699999988</v>
      </c>
      <c r="F39" s="16">
        <v>15240097.036321374</v>
      </c>
      <c r="G39" s="16">
        <v>3011749.5099999993</v>
      </c>
      <c r="H39" s="16">
        <v>0</v>
      </c>
      <c r="I39" s="13">
        <f t="shared" si="0"/>
        <v>22681153.016321369</v>
      </c>
    </row>
    <row r="40" spans="1:9" ht="15.75" x14ac:dyDescent="0.25">
      <c r="A40" s="8"/>
      <c r="B40" s="8"/>
      <c r="C40" s="9"/>
      <c r="D40" s="12" t="s">
        <v>36</v>
      </c>
      <c r="E40" s="16">
        <v>418880.89</v>
      </c>
      <c r="F40" s="16">
        <v>799898.90415717685</v>
      </c>
      <c r="G40" s="16">
        <v>103532.65000000001</v>
      </c>
      <c r="H40" s="16">
        <v>0</v>
      </c>
      <c r="I40" s="13">
        <f t="shared" si="0"/>
        <v>1322312.4441571767</v>
      </c>
    </row>
    <row r="41" spans="1:9" ht="15.75" x14ac:dyDescent="0.25">
      <c r="A41" s="8"/>
      <c r="B41" s="8"/>
      <c r="C41" s="9"/>
      <c r="D41" s="12" t="s">
        <v>37</v>
      </c>
      <c r="E41" s="16">
        <v>16344316.819999998</v>
      </c>
      <c r="F41" s="16">
        <v>13366632.70304993</v>
      </c>
      <c r="G41" s="16">
        <v>6443882.129999999</v>
      </c>
      <c r="H41" s="16">
        <v>0</v>
      </c>
      <c r="I41" s="13">
        <f t="shared" si="0"/>
        <v>36154831.653049931</v>
      </c>
    </row>
    <row r="42" spans="1:9" ht="15.75" x14ac:dyDescent="0.25">
      <c r="A42" s="8"/>
      <c r="B42" s="8"/>
      <c r="C42" s="9"/>
      <c r="D42" s="12" t="s">
        <v>38</v>
      </c>
      <c r="E42" s="16">
        <v>21975056.66</v>
      </c>
      <c r="F42" s="16">
        <v>14475794.0462384</v>
      </c>
      <c r="G42" s="16">
        <v>3210025.25</v>
      </c>
      <c r="H42" s="16">
        <v>0</v>
      </c>
      <c r="I42" s="13">
        <f t="shared" si="0"/>
        <v>39660875.956238404</v>
      </c>
    </row>
    <row r="43" spans="1:9" ht="15.75" x14ac:dyDescent="0.25">
      <c r="A43" s="8"/>
      <c r="B43" s="8"/>
      <c r="C43" s="9"/>
      <c r="D43" s="12" t="s">
        <v>39</v>
      </c>
      <c r="E43" s="16">
        <v>2402291.4899999998</v>
      </c>
      <c r="F43" s="16">
        <v>5264892.569305202</v>
      </c>
      <c r="G43" s="16">
        <v>3785745.56</v>
      </c>
      <c r="H43" s="16">
        <v>0</v>
      </c>
      <c r="I43" s="13">
        <f t="shared" si="0"/>
        <v>11452929.619305203</v>
      </c>
    </row>
    <row r="44" spans="1:9" ht="15.75" x14ac:dyDescent="0.25">
      <c r="A44" s="8"/>
      <c r="B44" s="8"/>
      <c r="C44" s="9"/>
      <c r="D44" s="12" t="s">
        <v>40</v>
      </c>
      <c r="E44" s="16">
        <v>1309.5899999999999</v>
      </c>
      <c r="F44" s="16">
        <v>405224.61975711095</v>
      </c>
      <c r="G44" s="16">
        <v>8589401.9299999997</v>
      </c>
      <c r="H44" s="16">
        <v>0</v>
      </c>
      <c r="I44" s="13">
        <f t="shared" si="0"/>
        <v>8995936.1397571098</v>
      </c>
    </row>
    <row r="45" spans="1:9" ht="15.75" x14ac:dyDescent="0.25">
      <c r="A45" s="8"/>
      <c r="B45" s="8"/>
      <c r="C45" s="9"/>
      <c r="D45" s="12" t="s">
        <v>41</v>
      </c>
      <c r="E45" s="16">
        <v>7398768.8200000012</v>
      </c>
      <c r="F45" s="16">
        <v>117338.07757965697</v>
      </c>
      <c r="G45" s="16">
        <v>15215797.430000002</v>
      </c>
      <c r="H45" s="16">
        <v>0</v>
      </c>
      <c r="I45" s="13">
        <f t="shared" si="0"/>
        <v>22731904.327579658</v>
      </c>
    </row>
    <row r="46" spans="1:9" ht="15.75" x14ac:dyDescent="0.25">
      <c r="A46" s="8"/>
      <c r="B46" s="8"/>
      <c r="C46" s="9"/>
      <c r="D46" s="12" t="s">
        <v>42</v>
      </c>
      <c r="E46" s="16">
        <v>8259281.9700000007</v>
      </c>
      <c r="F46" s="16">
        <v>391004.60253674589</v>
      </c>
      <c r="G46" s="16">
        <v>40210116.169999994</v>
      </c>
      <c r="H46" s="16">
        <v>0</v>
      </c>
      <c r="I46" s="13">
        <f t="shared" si="0"/>
        <v>48860402.742536739</v>
      </c>
    </row>
    <row r="47" spans="1:9" ht="15.75" x14ac:dyDescent="0.25">
      <c r="A47" s="8"/>
      <c r="B47" s="8"/>
      <c r="C47" s="9"/>
      <c r="D47" s="12" t="s">
        <v>43</v>
      </c>
      <c r="E47" s="16">
        <v>4677061.0900000008</v>
      </c>
      <c r="F47" s="16">
        <v>2481347.1339304</v>
      </c>
      <c r="G47" s="16">
        <v>3561533.0600000005</v>
      </c>
      <c r="H47" s="16">
        <v>0</v>
      </c>
      <c r="I47" s="13">
        <f t="shared" si="0"/>
        <v>10719941.283930402</v>
      </c>
    </row>
    <row r="48" spans="1:9" ht="15.75" x14ac:dyDescent="0.25">
      <c r="A48" s="8"/>
      <c r="B48" s="8"/>
      <c r="C48" s="9"/>
      <c r="D48" s="12" t="s">
        <v>44</v>
      </c>
      <c r="E48" s="16">
        <v>1191209.24</v>
      </c>
      <c r="F48" s="16">
        <v>391004.60253674589</v>
      </c>
      <c r="G48" s="16">
        <v>14742001.179999998</v>
      </c>
      <c r="H48" s="16">
        <v>0</v>
      </c>
      <c r="I48" s="13">
        <f t="shared" si="0"/>
        <v>16324215.022536743</v>
      </c>
    </row>
    <row r="49" spans="1:9" ht="15.75" x14ac:dyDescent="0.25">
      <c r="A49" s="8"/>
      <c r="B49" s="8"/>
      <c r="C49" s="9"/>
      <c r="D49" s="12" t="s">
        <v>45</v>
      </c>
      <c r="E49" s="16">
        <v>936001.16000000015</v>
      </c>
      <c r="F49" s="16">
        <v>465682.62845530786</v>
      </c>
      <c r="G49" s="16">
        <v>28492339.520000003</v>
      </c>
      <c r="H49" s="16">
        <v>0</v>
      </c>
      <c r="I49" s="13">
        <f t="shared" si="0"/>
        <v>29894023.308455311</v>
      </c>
    </row>
    <row r="50" spans="1:9" ht="15.75" x14ac:dyDescent="0.25">
      <c r="A50" s="8"/>
      <c r="B50" s="8"/>
      <c r="C50" s="9"/>
      <c r="D50" s="12" t="s">
        <v>46</v>
      </c>
      <c r="E50" s="16">
        <v>5459544.1000000006</v>
      </c>
      <c r="F50" s="16">
        <v>4500589.5792222302</v>
      </c>
      <c r="G50" s="16">
        <v>1354592.7700000003</v>
      </c>
      <c r="H50" s="16">
        <v>0</v>
      </c>
      <c r="I50" s="13">
        <f t="shared" si="0"/>
        <v>11314726.449222229</v>
      </c>
    </row>
    <row r="51" spans="1:9" ht="15.75" x14ac:dyDescent="0.25">
      <c r="A51" s="8"/>
      <c r="B51" s="8"/>
      <c r="C51" s="9"/>
      <c r="D51" s="12" t="s">
        <v>47</v>
      </c>
      <c r="E51" s="16">
        <v>1832640.5500000005</v>
      </c>
      <c r="F51" s="16">
        <v>8183482.2972501814</v>
      </c>
      <c r="G51" s="16">
        <v>5786566.75</v>
      </c>
      <c r="H51" s="16">
        <v>0</v>
      </c>
      <c r="I51" s="13">
        <f t="shared" si="0"/>
        <v>15802689.597250182</v>
      </c>
    </row>
    <row r="52" spans="1:9" ht="15.75" x14ac:dyDescent="0.25">
      <c r="A52" s="8"/>
      <c r="B52" s="8"/>
      <c r="C52" s="9"/>
      <c r="D52" s="12" t="s">
        <v>48</v>
      </c>
      <c r="E52" s="16">
        <v>2652707.16</v>
      </c>
      <c r="F52" s="16">
        <v>8247518.2457651142</v>
      </c>
      <c r="G52" s="16">
        <v>1416986.1600000001</v>
      </c>
      <c r="H52" s="16">
        <v>0</v>
      </c>
      <c r="I52" s="13">
        <f t="shared" si="0"/>
        <v>12317211.565765115</v>
      </c>
    </row>
    <row r="53" spans="1:9" ht="15.75" x14ac:dyDescent="0.25">
      <c r="A53" s="8"/>
      <c r="B53" s="8"/>
      <c r="C53" s="9"/>
      <c r="D53" s="12" t="s">
        <v>49</v>
      </c>
      <c r="E53" s="16">
        <v>4809512.3800000008</v>
      </c>
      <c r="F53" s="16">
        <v>5652410.9740717951</v>
      </c>
      <c r="G53" s="16">
        <v>2782999.05</v>
      </c>
      <c r="H53" s="16">
        <v>0</v>
      </c>
      <c r="I53" s="13">
        <f t="shared" si="0"/>
        <v>13244922.404071797</v>
      </c>
    </row>
    <row r="54" spans="1:9" ht="15.75" x14ac:dyDescent="0.25">
      <c r="A54" s="8"/>
      <c r="B54" s="8"/>
      <c r="C54" s="9"/>
      <c r="D54" s="12" t="s">
        <v>50</v>
      </c>
      <c r="E54" s="16">
        <v>9470990.7300000004</v>
      </c>
      <c r="F54" s="16">
        <v>5190214.543386641</v>
      </c>
      <c r="G54" s="16">
        <v>3107518.39</v>
      </c>
      <c r="H54" s="16">
        <v>0</v>
      </c>
      <c r="I54" s="13">
        <f t="shared" si="0"/>
        <v>17768723.663386643</v>
      </c>
    </row>
    <row r="55" spans="1:9" ht="15.75" x14ac:dyDescent="0.25">
      <c r="A55" s="8"/>
      <c r="B55" s="8"/>
      <c r="C55" s="9"/>
      <c r="D55" s="12" t="s">
        <v>51</v>
      </c>
      <c r="E55" s="16">
        <v>2003112.8399999999</v>
      </c>
      <c r="F55" s="16">
        <v>10629325.25915296</v>
      </c>
      <c r="G55" s="16">
        <v>293434.69999999995</v>
      </c>
      <c r="H55" s="16">
        <v>0</v>
      </c>
      <c r="I55" s="13">
        <f t="shared" si="0"/>
        <v>12925872.799152959</v>
      </c>
    </row>
    <row r="56" spans="1:9" ht="15.75" x14ac:dyDescent="0.25">
      <c r="A56" s="8"/>
      <c r="B56" s="8"/>
      <c r="C56" s="9"/>
      <c r="D56" s="12" t="s">
        <v>52</v>
      </c>
      <c r="E56" s="16">
        <v>3476437.19</v>
      </c>
      <c r="F56" s="16">
        <v>11830870.843250511</v>
      </c>
      <c r="G56" s="16">
        <v>2024329.76</v>
      </c>
      <c r="H56" s="16">
        <v>0</v>
      </c>
      <c r="I56" s="13">
        <f t="shared" si="0"/>
        <v>17331637.793250512</v>
      </c>
    </row>
    <row r="57" spans="1:9" ht="15.75" x14ac:dyDescent="0.25">
      <c r="A57" s="8"/>
      <c r="B57" s="8"/>
      <c r="C57" s="9"/>
      <c r="D57" s="12" t="s">
        <v>53</v>
      </c>
      <c r="E57" s="16">
        <v>4868281</v>
      </c>
      <c r="F57" s="16">
        <v>3910412.9935537907</v>
      </c>
      <c r="G57" s="16">
        <v>1832776.74</v>
      </c>
      <c r="H57" s="16">
        <v>0</v>
      </c>
      <c r="I57" s="13">
        <f t="shared" si="0"/>
        <v>10611470.733553791</v>
      </c>
    </row>
    <row r="58" spans="1:9" ht="15.75" x14ac:dyDescent="0.25">
      <c r="A58" s="8"/>
      <c r="B58" s="8"/>
      <c r="C58" s="9"/>
      <c r="D58" s="12" t="s">
        <v>54</v>
      </c>
      <c r="E58" s="16">
        <v>4953992.1500000004</v>
      </c>
      <c r="F58" s="16">
        <v>4209033.3551814556</v>
      </c>
      <c r="G58" s="16">
        <v>226682.88</v>
      </c>
      <c r="H58" s="16">
        <v>0</v>
      </c>
      <c r="I58" s="13">
        <f t="shared" si="0"/>
        <v>9389708.3851814568</v>
      </c>
    </row>
    <row r="59" spans="1:9" ht="15.75" x14ac:dyDescent="0.25">
      <c r="A59" s="8"/>
      <c r="B59" s="8"/>
      <c r="C59" s="9"/>
      <c r="D59" s="12" t="s">
        <v>55</v>
      </c>
      <c r="E59" s="16">
        <v>3531759.28</v>
      </c>
      <c r="F59" s="16">
        <v>7109916.8681359142</v>
      </c>
      <c r="G59" s="16">
        <v>2782458.9</v>
      </c>
      <c r="H59" s="16">
        <v>0</v>
      </c>
      <c r="I59" s="13">
        <f t="shared" si="0"/>
        <v>13424135.048135914</v>
      </c>
    </row>
    <row r="60" spans="1:9" ht="15.75" x14ac:dyDescent="0.25">
      <c r="A60" s="8"/>
      <c r="B60" s="8"/>
      <c r="C60" s="9"/>
      <c r="D60" s="12" t="s">
        <v>56</v>
      </c>
      <c r="E60" s="16">
        <v>993943.54</v>
      </c>
      <c r="F60" s="16">
        <v>4301509.33813712</v>
      </c>
      <c r="G60" s="16">
        <v>1984940.1300000001</v>
      </c>
      <c r="H60" s="16">
        <v>0</v>
      </c>
      <c r="I60" s="13">
        <f t="shared" si="0"/>
        <v>7280393.0081371199</v>
      </c>
    </row>
    <row r="61" spans="1:9" ht="15.75" x14ac:dyDescent="0.25">
      <c r="A61" s="8"/>
      <c r="B61" s="8"/>
      <c r="C61" s="9"/>
      <c r="D61" s="12" t="s">
        <v>57</v>
      </c>
      <c r="E61" s="16">
        <v>17794003.800000004</v>
      </c>
      <c r="F61" s="16">
        <v>7216521.126265361</v>
      </c>
      <c r="G61" s="16">
        <v>1776123.11</v>
      </c>
      <c r="H61" s="16">
        <v>0</v>
      </c>
      <c r="I61" s="13">
        <f t="shared" si="0"/>
        <v>26786648.036265366</v>
      </c>
    </row>
    <row r="62" spans="1:9" ht="15.75" x14ac:dyDescent="0.25">
      <c r="A62" s="8"/>
      <c r="B62" s="8"/>
      <c r="C62" s="9"/>
      <c r="D62" s="12" t="s">
        <v>58</v>
      </c>
      <c r="E62" s="16">
        <v>8106580.5200000005</v>
      </c>
      <c r="F62" s="16">
        <v>8052015.9444967415</v>
      </c>
      <c r="G62" s="16">
        <v>133004912.94999999</v>
      </c>
      <c r="H62" s="16">
        <v>0</v>
      </c>
      <c r="I62" s="13">
        <f t="shared" si="0"/>
        <v>149163509.41449672</v>
      </c>
    </row>
    <row r="63" spans="1:9" ht="15.75" x14ac:dyDescent="0.25">
      <c r="A63" s="8"/>
      <c r="B63" s="8"/>
      <c r="C63" s="9"/>
      <c r="D63" s="12" t="s">
        <v>59</v>
      </c>
      <c r="E63" s="16">
        <v>749960.55999999994</v>
      </c>
      <c r="F63" s="16">
        <v>888705.20524952072</v>
      </c>
      <c r="G63" s="16">
        <v>9376582.9399999976</v>
      </c>
      <c r="H63" s="16">
        <v>0</v>
      </c>
      <c r="I63" s="13">
        <f t="shared" si="0"/>
        <v>11015248.705249518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65385292.760000013</v>
      </c>
      <c r="H64" s="16">
        <v>0</v>
      </c>
      <c r="I64" s="13">
        <f t="shared" si="0"/>
        <v>65385292.760000013</v>
      </c>
    </row>
    <row r="65" spans="1:9" ht="15.75" x14ac:dyDescent="0.25">
      <c r="A65" s="8"/>
      <c r="B65" s="8"/>
      <c r="C65" s="9"/>
      <c r="D65" s="12" t="s">
        <v>61</v>
      </c>
      <c r="E65" s="16">
        <v>6126466.3399999999</v>
      </c>
      <c r="F65" s="16">
        <v>10522629.258976933</v>
      </c>
      <c r="G65" s="16">
        <v>2148030.2600000007</v>
      </c>
      <c r="H65" s="16">
        <v>0</v>
      </c>
      <c r="I65" s="13">
        <f t="shared" si="0"/>
        <v>18797125.858976934</v>
      </c>
    </row>
    <row r="66" spans="1:9" ht="15.75" x14ac:dyDescent="0.25">
      <c r="A66" s="8"/>
      <c r="B66" s="8"/>
      <c r="C66" s="9"/>
      <c r="D66" s="12" t="s">
        <v>62</v>
      </c>
      <c r="E66" s="16">
        <v>27046924.690000001</v>
      </c>
      <c r="F66" s="16">
        <v>20920948.044833899</v>
      </c>
      <c r="G66" s="16">
        <v>5196276.3999999985</v>
      </c>
      <c r="H66" s="16">
        <v>0</v>
      </c>
      <c r="I66" s="13">
        <f t="shared" si="0"/>
        <v>53164149.134833895</v>
      </c>
    </row>
    <row r="67" spans="1:9" ht="15.75" x14ac:dyDescent="0.25">
      <c r="A67" s="8"/>
      <c r="B67" s="8"/>
      <c r="C67" s="9"/>
      <c r="D67" s="12" t="s">
        <v>63</v>
      </c>
      <c r="E67" s="16">
        <v>4301032.9400000004</v>
      </c>
      <c r="F67" s="16">
        <v>9669519.9678016156</v>
      </c>
      <c r="G67" s="16">
        <v>1487386.46</v>
      </c>
      <c r="H67" s="16">
        <v>0</v>
      </c>
      <c r="I67" s="13">
        <f t="shared" si="0"/>
        <v>15457939.367801618</v>
      </c>
    </row>
    <row r="68" spans="1:9" ht="15.75" x14ac:dyDescent="0.25">
      <c r="A68" s="8"/>
      <c r="B68" s="8"/>
      <c r="C68" s="9"/>
      <c r="D68" s="12" t="s">
        <v>64</v>
      </c>
      <c r="E68" s="16">
        <v>5189370.7400000012</v>
      </c>
      <c r="F68" s="16">
        <v>4088209.0798316449</v>
      </c>
      <c r="G68" s="16">
        <v>31804.44</v>
      </c>
      <c r="H68" s="16">
        <v>0</v>
      </c>
      <c r="I68" s="13">
        <f t="shared" si="0"/>
        <v>9309384.2598316465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17538152.800000001</v>
      </c>
      <c r="H69" s="16">
        <v>0</v>
      </c>
      <c r="I69" s="13">
        <f t="shared" si="0"/>
        <v>17538152.800000001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20087275.099999998</v>
      </c>
      <c r="H70" s="16">
        <v>0</v>
      </c>
      <c r="I70" s="13">
        <f t="shared" si="0"/>
        <v>20087275.099999998</v>
      </c>
    </row>
    <row r="71" spans="1:9" ht="15.75" x14ac:dyDescent="0.25">
      <c r="A71" s="8"/>
      <c r="B71" s="8"/>
      <c r="C71" s="9"/>
      <c r="D71" s="12" t="s">
        <v>67</v>
      </c>
      <c r="E71" s="16">
        <v>2811.66</v>
      </c>
      <c r="F71" s="16">
        <v>106604.25812944598</v>
      </c>
      <c r="G71" s="16">
        <v>22186262.32</v>
      </c>
      <c r="H71" s="16">
        <v>0</v>
      </c>
      <c r="I71" s="13">
        <f t="shared" si="0"/>
        <v>22295678.238129444</v>
      </c>
    </row>
    <row r="72" spans="1:9" ht="15.75" x14ac:dyDescent="0.25">
      <c r="A72" s="8"/>
      <c r="B72" s="8"/>
      <c r="C72" s="9"/>
      <c r="D72" s="12" t="s">
        <v>68</v>
      </c>
      <c r="E72" s="16">
        <v>7072924.6300000008</v>
      </c>
      <c r="F72" s="16">
        <v>6640656.2998638712</v>
      </c>
      <c r="G72" s="16">
        <v>15770051.309999999</v>
      </c>
      <c r="H72" s="16">
        <v>0</v>
      </c>
      <c r="I72" s="13">
        <f t="shared" si="0"/>
        <v>29483632.239863873</v>
      </c>
    </row>
    <row r="73" spans="1:9" ht="15.75" x14ac:dyDescent="0.25">
      <c r="A73" s="8"/>
      <c r="B73" s="8"/>
      <c r="C73" s="9"/>
      <c r="D73" s="12" t="s">
        <v>69</v>
      </c>
      <c r="E73" s="16">
        <v>72479.969999999987</v>
      </c>
      <c r="F73" s="16">
        <v>0</v>
      </c>
      <c r="G73" s="16">
        <v>11581212.040000001</v>
      </c>
      <c r="H73" s="16">
        <v>0</v>
      </c>
      <c r="I73" s="13">
        <f t="shared" si="0"/>
        <v>11653692.010000002</v>
      </c>
    </row>
    <row r="74" spans="1:9" ht="15.75" x14ac:dyDescent="0.25">
      <c r="A74" s="8"/>
      <c r="B74" s="8"/>
      <c r="C74" s="9"/>
      <c r="D74" s="12" t="s">
        <v>70</v>
      </c>
      <c r="E74" s="16">
        <v>199697.48</v>
      </c>
      <c r="F74" s="16">
        <v>561644.80918112583</v>
      </c>
      <c r="G74" s="16">
        <v>104435796.44000001</v>
      </c>
      <c r="H74" s="16">
        <v>0</v>
      </c>
      <c r="I74" s="13">
        <f t="shared" ref="I74:I137" si="1">SUM(E74:H74)</f>
        <v>105197138.72918114</v>
      </c>
    </row>
    <row r="75" spans="1:9" ht="15.75" x14ac:dyDescent="0.25">
      <c r="A75" s="8"/>
      <c r="B75" s="8"/>
      <c r="C75" s="9"/>
      <c r="D75" s="12" t="s">
        <v>71</v>
      </c>
      <c r="E75" s="16">
        <v>3878032.87</v>
      </c>
      <c r="F75" s="16">
        <v>2182726.7723027356</v>
      </c>
      <c r="G75" s="16">
        <v>158081280.57000002</v>
      </c>
      <c r="H75" s="16">
        <v>0</v>
      </c>
      <c r="I75" s="13">
        <f t="shared" si="1"/>
        <v>164142040.21230274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50705889.839999996</v>
      </c>
      <c r="H76" s="16">
        <v>0</v>
      </c>
      <c r="I76" s="13">
        <f t="shared" si="1"/>
        <v>50705889.839999996</v>
      </c>
    </row>
    <row r="77" spans="1:9" ht="15.75" x14ac:dyDescent="0.25">
      <c r="A77" s="8"/>
      <c r="B77" s="8"/>
      <c r="C77" s="9"/>
      <c r="D77" s="12" t="s">
        <v>73</v>
      </c>
      <c r="E77" s="16">
        <v>3520400.1199999996</v>
      </c>
      <c r="F77" s="16">
        <v>10824827.560421333</v>
      </c>
      <c r="G77" s="16">
        <v>1465225.5199999998</v>
      </c>
      <c r="H77" s="16">
        <v>0</v>
      </c>
      <c r="I77" s="13">
        <f t="shared" si="1"/>
        <v>15810453.200421331</v>
      </c>
    </row>
    <row r="78" spans="1:9" ht="15.75" x14ac:dyDescent="0.25">
      <c r="A78" s="8"/>
      <c r="B78" s="8"/>
      <c r="C78" s="9"/>
      <c r="D78" s="12" t="s">
        <v>74</v>
      </c>
      <c r="E78" s="16">
        <v>4656196.5</v>
      </c>
      <c r="F78" s="16">
        <v>10984825.689662084</v>
      </c>
      <c r="G78" s="16">
        <v>2720612.25</v>
      </c>
      <c r="H78" s="16">
        <v>0</v>
      </c>
      <c r="I78" s="13">
        <f t="shared" si="1"/>
        <v>18361634.439662084</v>
      </c>
    </row>
    <row r="79" spans="1:9" ht="15.75" x14ac:dyDescent="0.25">
      <c r="A79" s="8"/>
      <c r="B79" s="8"/>
      <c r="C79" s="9"/>
      <c r="D79" s="12" t="s">
        <v>75</v>
      </c>
      <c r="E79" s="16">
        <v>6771257.1000000006</v>
      </c>
      <c r="F79" s="16">
        <v>6167817.7917750888</v>
      </c>
      <c r="G79" s="16">
        <v>2460481.7000000002</v>
      </c>
      <c r="H79" s="16">
        <v>0</v>
      </c>
      <c r="I79" s="13">
        <f t="shared" si="1"/>
        <v>15399556.59177509</v>
      </c>
    </row>
    <row r="80" spans="1:9" ht="15.75" x14ac:dyDescent="0.25">
      <c r="A80" s="8"/>
      <c r="B80" s="8"/>
      <c r="C80" s="9"/>
      <c r="D80" s="12" t="s">
        <v>76</v>
      </c>
      <c r="E80" s="16">
        <v>4120379.6599999997</v>
      </c>
      <c r="F80" s="16">
        <v>3259870.1412337376</v>
      </c>
      <c r="G80" s="16">
        <v>666579.16</v>
      </c>
      <c r="H80" s="16">
        <v>0</v>
      </c>
      <c r="I80" s="13">
        <f t="shared" si="1"/>
        <v>8046828.9612337369</v>
      </c>
    </row>
    <row r="81" spans="1:9" ht="15.75" x14ac:dyDescent="0.25">
      <c r="A81" s="8"/>
      <c r="B81" s="8"/>
      <c r="C81" s="9"/>
      <c r="D81" s="12" t="s">
        <v>77</v>
      </c>
      <c r="E81" s="16">
        <v>12233304.839999998</v>
      </c>
      <c r="F81" s="16">
        <v>19669586.529441781</v>
      </c>
      <c r="G81" s="16">
        <v>5861833.8499999987</v>
      </c>
      <c r="H81" s="16">
        <v>0</v>
      </c>
      <c r="I81" s="13">
        <f t="shared" si="1"/>
        <v>37764725.219441779</v>
      </c>
    </row>
    <row r="82" spans="1:9" ht="15.75" x14ac:dyDescent="0.25">
      <c r="A82" s="8"/>
      <c r="B82" s="8"/>
      <c r="C82" s="9"/>
      <c r="D82" s="12" t="s">
        <v>78</v>
      </c>
      <c r="E82" s="16">
        <v>11129583.709999999</v>
      </c>
      <c r="F82" s="16">
        <v>13633235.090420129</v>
      </c>
      <c r="G82" s="16">
        <v>2178247.7400000002</v>
      </c>
      <c r="H82" s="16">
        <v>0</v>
      </c>
      <c r="I82" s="13">
        <f t="shared" si="1"/>
        <v>26941066.54042013</v>
      </c>
    </row>
    <row r="83" spans="1:9" ht="15.75" x14ac:dyDescent="0.25">
      <c r="A83" s="8"/>
      <c r="B83" s="8"/>
      <c r="C83" s="9"/>
      <c r="D83" s="12" t="s">
        <v>79</v>
      </c>
      <c r="E83" s="16">
        <v>5453621.2299999995</v>
      </c>
      <c r="F83" s="16">
        <v>5599017.1029604878</v>
      </c>
      <c r="G83" s="16">
        <v>6979315.1800000006</v>
      </c>
      <c r="H83" s="16">
        <v>0</v>
      </c>
      <c r="I83" s="13">
        <f t="shared" si="1"/>
        <v>18031953.512960486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63593420.43</v>
      </c>
      <c r="H84" s="16">
        <v>0</v>
      </c>
      <c r="I84" s="13">
        <f t="shared" si="1"/>
        <v>63593420.43</v>
      </c>
    </row>
    <row r="85" spans="1:9" ht="15.75" x14ac:dyDescent="0.25">
      <c r="A85" s="8"/>
      <c r="B85" s="8"/>
      <c r="C85" s="9"/>
      <c r="D85" s="12" t="s">
        <v>81</v>
      </c>
      <c r="E85" s="16">
        <v>3663961.5200000005</v>
      </c>
      <c r="F85" s="16">
        <v>1741906.2384714207</v>
      </c>
      <c r="G85" s="16">
        <v>16099819.429999998</v>
      </c>
      <c r="H85" s="16">
        <v>0</v>
      </c>
      <c r="I85" s="13">
        <f t="shared" si="1"/>
        <v>21505687.188471418</v>
      </c>
    </row>
    <row r="86" spans="1:9" ht="15.75" x14ac:dyDescent="0.25">
      <c r="A86" s="8"/>
      <c r="B86" s="8"/>
      <c r="C86" s="9"/>
      <c r="D86" s="12" t="s">
        <v>82</v>
      </c>
      <c r="E86" s="16">
        <v>4176758.080000001</v>
      </c>
      <c r="F86" s="16">
        <v>7234319.0833024625</v>
      </c>
      <c r="G86" s="16">
        <v>2296947.5299999998</v>
      </c>
      <c r="H86" s="16">
        <v>0</v>
      </c>
      <c r="I86" s="13">
        <f t="shared" si="1"/>
        <v>13708024.693302462</v>
      </c>
    </row>
    <row r="87" spans="1:9" ht="15.75" x14ac:dyDescent="0.25">
      <c r="A87" s="8"/>
      <c r="B87" s="8"/>
      <c r="C87" s="9"/>
      <c r="D87" s="12" t="s">
        <v>83</v>
      </c>
      <c r="E87" s="16">
        <v>2010690.88</v>
      </c>
      <c r="F87" s="16">
        <v>9527319.795597963</v>
      </c>
      <c r="G87" s="16">
        <v>1435803.73</v>
      </c>
      <c r="H87" s="16">
        <v>0</v>
      </c>
      <c r="I87" s="13">
        <f t="shared" si="1"/>
        <v>12973814.405597962</v>
      </c>
    </row>
    <row r="88" spans="1:9" ht="15.75" x14ac:dyDescent="0.25">
      <c r="A88" s="8"/>
      <c r="B88" s="8"/>
      <c r="C88" s="9"/>
      <c r="D88" s="12" t="s">
        <v>84</v>
      </c>
      <c r="E88" s="16">
        <v>554689.31000000006</v>
      </c>
      <c r="F88" s="16">
        <v>0</v>
      </c>
      <c r="G88" s="16">
        <v>18953230.949999999</v>
      </c>
      <c r="H88" s="16">
        <v>0</v>
      </c>
      <c r="I88" s="13">
        <f t="shared" si="1"/>
        <v>19507920.259999998</v>
      </c>
    </row>
    <row r="89" spans="1:9" ht="15.75" x14ac:dyDescent="0.25">
      <c r="A89" s="8"/>
      <c r="B89" s="8"/>
      <c r="C89" s="9"/>
      <c r="D89" s="12" t="s">
        <v>85</v>
      </c>
      <c r="E89" s="16">
        <v>2569155.87</v>
      </c>
      <c r="F89" s="16">
        <v>9342459.5717332195</v>
      </c>
      <c r="G89" s="16">
        <v>1266712.1099999999</v>
      </c>
      <c r="H89" s="16">
        <v>0</v>
      </c>
      <c r="I89" s="13">
        <f t="shared" si="1"/>
        <v>13178327.551733218</v>
      </c>
    </row>
    <row r="90" spans="1:9" ht="15.75" x14ac:dyDescent="0.25">
      <c r="A90" s="8"/>
      <c r="B90" s="8"/>
      <c r="C90" s="9"/>
      <c r="D90" s="12" t="s">
        <v>86</v>
      </c>
      <c r="E90" s="16">
        <v>1954967.7499999998</v>
      </c>
      <c r="F90" s="16">
        <v>2417402.9274620498</v>
      </c>
      <c r="G90" s="16">
        <v>5217568.5500000007</v>
      </c>
      <c r="H90" s="16">
        <v>0</v>
      </c>
      <c r="I90" s="13">
        <f t="shared" si="1"/>
        <v>9589939.2274620496</v>
      </c>
    </row>
    <row r="91" spans="1:9" ht="15.75" x14ac:dyDescent="0.25">
      <c r="A91" s="8"/>
      <c r="B91" s="8"/>
      <c r="C91" s="9"/>
      <c r="D91" s="12" t="s">
        <v>87</v>
      </c>
      <c r="E91" s="16">
        <v>4033292.5400000005</v>
      </c>
      <c r="F91" s="16">
        <v>5513696.9996382985</v>
      </c>
      <c r="G91" s="16">
        <v>9907057.870000001</v>
      </c>
      <c r="H91" s="16">
        <v>0</v>
      </c>
      <c r="I91" s="13">
        <f t="shared" si="1"/>
        <v>19454047.409638301</v>
      </c>
    </row>
    <row r="92" spans="1:9" ht="15.75" x14ac:dyDescent="0.25">
      <c r="A92" s="8"/>
      <c r="B92" s="8"/>
      <c r="C92" s="9"/>
      <c r="D92" s="12" t="s">
        <v>88</v>
      </c>
      <c r="E92" s="16">
        <v>692322.35</v>
      </c>
      <c r="F92" s="16">
        <v>760725.05026623583</v>
      </c>
      <c r="G92" s="16">
        <v>29567271.109999999</v>
      </c>
      <c r="H92" s="16">
        <v>0</v>
      </c>
      <c r="I92" s="13">
        <f t="shared" si="1"/>
        <v>31020318.510266237</v>
      </c>
    </row>
    <row r="93" spans="1:9" ht="15.75" x14ac:dyDescent="0.25">
      <c r="A93" s="8"/>
      <c r="B93" s="8"/>
      <c r="C93" s="9"/>
      <c r="D93" s="12" t="s">
        <v>89</v>
      </c>
      <c r="E93" s="16">
        <v>6624328.2599999998</v>
      </c>
      <c r="F93" s="16">
        <v>6164331.5940049347</v>
      </c>
      <c r="G93" s="16">
        <v>2890262.0799999996</v>
      </c>
      <c r="H93" s="16">
        <v>0</v>
      </c>
      <c r="I93" s="13">
        <f t="shared" si="1"/>
        <v>15678921.934004935</v>
      </c>
    </row>
    <row r="94" spans="1:9" ht="15.75" x14ac:dyDescent="0.25">
      <c r="A94" s="8"/>
      <c r="B94" s="8"/>
      <c r="C94" s="9"/>
      <c r="D94" s="12" t="s">
        <v>90</v>
      </c>
      <c r="E94" s="16">
        <v>170405.71</v>
      </c>
      <c r="F94" s="16">
        <v>0</v>
      </c>
      <c r="G94" s="16">
        <v>771434.64999999991</v>
      </c>
      <c r="H94" s="16">
        <v>0</v>
      </c>
      <c r="I94" s="13">
        <f t="shared" si="1"/>
        <v>941840.35999999987</v>
      </c>
    </row>
    <row r="95" spans="1:9" ht="15.75" x14ac:dyDescent="0.25">
      <c r="A95" s="8"/>
      <c r="B95" s="8"/>
      <c r="C95" s="9"/>
      <c r="D95" s="12" t="s">
        <v>91</v>
      </c>
      <c r="E95" s="16">
        <v>589944.1</v>
      </c>
      <c r="F95" s="16">
        <v>195502.30126837295</v>
      </c>
      <c r="G95" s="16">
        <v>34284371.700000003</v>
      </c>
      <c r="H95" s="16">
        <v>0</v>
      </c>
      <c r="I95" s="13">
        <f t="shared" si="1"/>
        <v>35069818.101268373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47355550.120000005</v>
      </c>
      <c r="H96" s="16">
        <v>0</v>
      </c>
      <c r="I96" s="13">
        <f t="shared" si="1"/>
        <v>47355550.120000005</v>
      </c>
    </row>
    <row r="97" spans="1:9" ht="15.75" x14ac:dyDescent="0.25">
      <c r="A97" s="8"/>
      <c r="B97" s="8"/>
      <c r="C97" s="9"/>
      <c r="D97" s="12" t="s">
        <v>93</v>
      </c>
      <c r="E97" s="16">
        <v>1364617.8199999998</v>
      </c>
      <c r="F97" s="16">
        <v>8780723.0205055103</v>
      </c>
      <c r="G97" s="16">
        <v>1906444.27</v>
      </c>
      <c r="H97" s="16">
        <v>0</v>
      </c>
      <c r="I97" s="13">
        <f t="shared" si="1"/>
        <v>12051785.11050551</v>
      </c>
    </row>
    <row r="98" spans="1:9" ht="15.75" x14ac:dyDescent="0.25">
      <c r="A98" s="8"/>
      <c r="B98" s="8"/>
      <c r="C98" s="9"/>
      <c r="D98" s="12" t="s">
        <v>94</v>
      </c>
      <c r="E98" s="16">
        <v>8688276.3699999992</v>
      </c>
      <c r="F98" s="16">
        <v>11550048.438659947</v>
      </c>
      <c r="G98" s="16">
        <v>15578315.869999999</v>
      </c>
      <c r="H98" s="16">
        <v>0</v>
      </c>
      <c r="I98" s="13">
        <f t="shared" si="1"/>
        <v>35816640.678659946</v>
      </c>
    </row>
    <row r="99" spans="1:9" ht="15.75" x14ac:dyDescent="0.25">
      <c r="A99" s="8"/>
      <c r="B99" s="8"/>
      <c r="C99" s="9"/>
      <c r="D99" s="12" t="s">
        <v>95</v>
      </c>
      <c r="E99" s="16">
        <v>12007388.520000001</v>
      </c>
      <c r="F99" s="16">
        <v>22008733.491168529</v>
      </c>
      <c r="G99" s="16">
        <v>6724127.9800000004</v>
      </c>
      <c r="H99" s="16">
        <v>0</v>
      </c>
      <c r="I99" s="13">
        <f t="shared" si="1"/>
        <v>40740249.991168529</v>
      </c>
    </row>
    <row r="100" spans="1:9" ht="15.75" x14ac:dyDescent="0.25">
      <c r="A100" s="8"/>
      <c r="B100" s="8"/>
      <c r="C100" s="9"/>
      <c r="D100" s="12" t="s">
        <v>96</v>
      </c>
      <c r="E100" s="16">
        <v>9028194.9399999995</v>
      </c>
      <c r="F100" s="16">
        <v>22019375.568572156</v>
      </c>
      <c r="G100" s="16">
        <v>14765133.630000001</v>
      </c>
      <c r="H100" s="16">
        <v>0</v>
      </c>
      <c r="I100" s="13">
        <f t="shared" si="1"/>
        <v>45812704.138572156</v>
      </c>
    </row>
    <row r="101" spans="1:9" ht="15.75" x14ac:dyDescent="0.25">
      <c r="A101" s="8"/>
      <c r="B101" s="8"/>
      <c r="C101" s="9"/>
      <c r="D101" s="12" t="s">
        <v>97</v>
      </c>
      <c r="E101" s="16">
        <v>293711.78999999998</v>
      </c>
      <c r="F101" s="16">
        <v>29549471.010058209</v>
      </c>
      <c r="G101" s="16">
        <v>445524.48999999993</v>
      </c>
      <c r="H101" s="16">
        <v>0</v>
      </c>
      <c r="I101" s="13">
        <f t="shared" si="1"/>
        <v>30288707.290058207</v>
      </c>
    </row>
    <row r="102" spans="1:9" ht="15.75" x14ac:dyDescent="0.25">
      <c r="A102" s="8"/>
      <c r="B102" s="8"/>
      <c r="C102" s="9"/>
      <c r="D102" s="12" t="s">
        <v>98</v>
      </c>
      <c r="E102" s="16">
        <v>13992091.910000002</v>
      </c>
      <c r="F102" s="16">
        <v>12705447.773326252</v>
      </c>
      <c r="G102" s="16">
        <v>7178610.4600000009</v>
      </c>
      <c r="H102" s="16">
        <v>0</v>
      </c>
      <c r="I102" s="13">
        <f t="shared" si="1"/>
        <v>33876150.143326253</v>
      </c>
    </row>
    <row r="103" spans="1:9" ht="15.75" x14ac:dyDescent="0.25">
      <c r="A103" s="8"/>
      <c r="B103" s="8"/>
      <c r="C103" s="9"/>
      <c r="D103" s="12" t="s">
        <v>99</v>
      </c>
      <c r="E103" s="16">
        <v>4226360.3800000008</v>
      </c>
      <c r="F103" s="16">
        <v>4034906.950766922</v>
      </c>
      <c r="G103" s="16">
        <v>1248457.19</v>
      </c>
      <c r="H103" s="16">
        <v>0</v>
      </c>
      <c r="I103" s="13">
        <f t="shared" si="1"/>
        <v>9509724.5207669232</v>
      </c>
    </row>
    <row r="104" spans="1:9" ht="15.75" x14ac:dyDescent="0.25">
      <c r="A104" s="8"/>
      <c r="B104" s="8"/>
      <c r="C104" s="9"/>
      <c r="D104" s="12" t="s">
        <v>100</v>
      </c>
      <c r="E104" s="16">
        <v>25081733.039999988</v>
      </c>
      <c r="F104" s="16">
        <v>7372941.3156893766</v>
      </c>
      <c r="G104" s="16">
        <v>16117168.51</v>
      </c>
      <c r="H104" s="16">
        <v>0</v>
      </c>
      <c r="I104" s="13">
        <f t="shared" si="1"/>
        <v>48571842.865689367</v>
      </c>
    </row>
    <row r="105" spans="1:9" ht="15.75" x14ac:dyDescent="0.25">
      <c r="A105" s="8"/>
      <c r="B105" s="8"/>
      <c r="C105" s="9"/>
      <c r="D105" s="12" t="s">
        <v>101</v>
      </c>
      <c r="E105" s="16">
        <v>5662204.3300000001</v>
      </c>
      <c r="F105" s="16">
        <v>10949229.775587883</v>
      </c>
      <c r="G105" s="16">
        <v>347863.68</v>
      </c>
      <c r="H105" s="16">
        <v>0</v>
      </c>
      <c r="I105" s="13">
        <f t="shared" si="1"/>
        <v>16959297.785587884</v>
      </c>
    </row>
    <row r="106" spans="1:9" ht="15.75" x14ac:dyDescent="0.25">
      <c r="A106" s="8"/>
      <c r="B106" s="8"/>
      <c r="C106" s="9"/>
      <c r="D106" s="12" t="s">
        <v>102</v>
      </c>
      <c r="E106" s="16">
        <v>5381341.6200000001</v>
      </c>
      <c r="F106" s="16">
        <v>675404.94694404583</v>
      </c>
      <c r="G106" s="16">
        <v>37140237.259999998</v>
      </c>
      <c r="H106" s="16">
        <v>0</v>
      </c>
      <c r="I106" s="13">
        <f t="shared" si="1"/>
        <v>43196983.826944046</v>
      </c>
    </row>
    <row r="107" spans="1:9" ht="15.75" x14ac:dyDescent="0.25">
      <c r="A107" s="8"/>
      <c r="B107" s="8"/>
      <c r="C107" s="9"/>
      <c r="D107" s="12" t="s">
        <v>103</v>
      </c>
      <c r="E107" s="16">
        <v>54122.21</v>
      </c>
      <c r="F107" s="16">
        <v>0</v>
      </c>
      <c r="G107" s="16">
        <v>7117966.6800000006</v>
      </c>
      <c r="H107" s="16">
        <v>0</v>
      </c>
      <c r="I107" s="13">
        <f t="shared" si="1"/>
        <v>7172088.8900000006</v>
      </c>
    </row>
    <row r="108" spans="1:9" ht="15.75" x14ac:dyDescent="0.25">
      <c r="A108" s="8"/>
      <c r="B108" s="8"/>
      <c r="C108" s="9"/>
      <c r="D108" s="12" t="s">
        <v>104</v>
      </c>
      <c r="E108" s="16">
        <v>1678102.47</v>
      </c>
      <c r="F108" s="16">
        <v>0</v>
      </c>
      <c r="G108" s="16">
        <v>4950396.4500000011</v>
      </c>
      <c r="H108" s="16">
        <v>0</v>
      </c>
      <c r="I108" s="13">
        <f t="shared" si="1"/>
        <v>6628498.9200000009</v>
      </c>
    </row>
    <row r="109" spans="1:9" ht="15.75" x14ac:dyDescent="0.25">
      <c r="A109" s="8"/>
      <c r="B109" s="8"/>
      <c r="C109" s="9"/>
      <c r="D109" s="12" t="s">
        <v>105</v>
      </c>
      <c r="E109" s="16">
        <v>1075619.3800000001</v>
      </c>
      <c r="F109" s="16">
        <v>17611261.972305592</v>
      </c>
      <c r="G109" s="16">
        <v>506412.8000000001</v>
      </c>
      <c r="H109" s="16">
        <v>0</v>
      </c>
      <c r="I109" s="13">
        <f t="shared" si="1"/>
        <v>19193294.152305592</v>
      </c>
    </row>
    <row r="110" spans="1:9" ht="15.75" x14ac:dyDescent="0.25">
      <c r="A110" s="8"/>
      <c r="B110" s="8"/>
      <c r="C110" s="9"/>
      <c r="D110" s="12" t="s">
        <v>106</v>
      </c>
      <c r="E110" s="16">
        <v>1761052.8499999996</v>
      </c>
      <c r="F110" s="16">
        <v>4084631.1400149083</v>
      </c>
      <c r="G110" s="16">
        <v>1378355.91</v>
      </c>
      <c r="H110" s="16">
        <v>0</v>
      </c>
      <c r="I110" s="13">
        <f t="shared" si="1"/>
        <v>7224039.9000149081</v>
      </c>
    </row>
    <row r="111" spans="1:9" ht="15.75" x14ac:dyDescent="0.25">
      <c r="A111" s="8"/>
      <c r="B111" s="8"/>
      <c r="C111" s="9"/>
      <c r="D111" s="12" t="s">
        <v>107</v>
      </c>
      <c r="E111" s="16">
        <v>196380.81</v>
      </c>
      <c r="F111" s="16">
        <v>67522.146285087976</v>
      </c>
      <c r="G111" s="16">
        <v>61632466.160000011</v>
      </c>
      <c r="H111" s="16">
        <v>0</v>
      </c>
      <c r="I111" s="13">
        <f t="shared" si="1"/>
        <v>61896369.116285101</v>
      </c>
    </row>
    <row r="112" spans="1:9" ht="15.75" x14ac:dyDescent="0.25">
      <c r="A112" s="8"/>
      <c r="B112" s="8"/>
      <c r="C112" s="9"/>
      <c r="D112" s="12" t="s">
        <v>108</v>
      </c>
      <c r="E112" s="16">
        <v>6062185.4299999997</v>
      </c>
      <c r="F112" s="16">
        <v>4621413.854572041</v>
      </c>
      <c r="G112" s="16">
        <v>5983926.5399999991</v>
      </c>
      <c r="H112" s="16">
        <v>0</v>
      </c>
      <c r="I112" s="13">
        <f t="shared" si="1"/>
        <v>16667525.82457204</v>
      </c>
    </row>
    <row r="113" spans="1:9" ht="15.75" x14ac:dyDescent="0.25">
      <c r="A113" s="8"/>
      <c r="B113" s="8"/>
      <c r="C113" s="9"/>
      <c r="D113" s="12" t="s">
        <v>109</v>
      </c>
      <c r="E113" s="16">
        <v>2255011.5300000003</v>
      </c>
      <c r="F113" s="16">
        <v>11127025.861865737</v>
      </c>
      <c r="G113" s="16">
        <v>2141746.65</v>
      </c>
      <c r="H113" s="16">
        <v>0</v>
      </c>
      <c r="I113" s="13">
        <f t="shared" si="1"/>
        <v>15523784.041865738</v>
      </c>
    </row>
    <row r="114" spans="1:9" ht="15.75" x14ac:dyDescent="0.25">
      <c r="A114" s="8"/>
      <c r="B114" s="8"/>
      <c r="C114" s="9"/>
      <c r="D114" s="12" t="s">
        <v>110</v>
      </c>
      <c r="E114" s="16">
        <v>6253685.0600000005</v>
      </c>
      <c r="F114" s="16">
        <v>12762327.842207711</v>
      </c>
      <c r="G114" s="16">
        <v>3708920.8899999997</v>
      </c>
      <c r="H114" s="16">
        <v>0</v>
      </c>
      <c r="I114" s="13">
        <f t="shared" si="1"/>
        <v>22724933.79220771</v>
      </c>
    </row>
    <row r="115" spans="1:9" ht="15.75" x14ac:dyDescent="0.25">
      <c r="A115" s="8"/>
      <c r="B115" s="8"/>
      <c r="C115" s="9"/>
      <c r="D115" s="12" t="s">
        <v>111</v>
      </c>
      <c r="E115" s="16">
        <v>21604867.489999998</v>
      </c>
      <c r="F115" s="16">
        <v>6310017.9639787385</v>
      </c>
      <c r="G115" s="16">
        <v>3907227.75</v>
      </c>
      <c r="H115" s="16">
        <v>0</v>
      </c>
      <c r="I115" s="13">
        <f t="shared" si="1"/>
        <v>31822113.203978736</v>
      </c>
    </row>
    <row r="116" spans="1:9" ht="15.75" x14ac:dyDescent="0.25">
      <c r="A116" s="8"/>
      <c r="B116" s="8"/>
      <c r="C116" s="9"/>
      <c r="D116" s="12" t="s">
        <v>112</v>
      </c>
      <c r="E116" s="16">
        <v>2004308.5699999998</v>
      </c>
      <c r="F116" s="16">
        <v>8194216.1167003922</v>
      </c>
      <c r="G116" s="16">
        <v>32555.32</v>
      </c>
      <c r="H116" s="16">
        <v>0</v>
      </c>
      <c r="I116" s="13">
        <f t="shared" si="1"/>
        <v>10231080.006700393</v>
      </c>
    </row>
    <row r="117" spans="1:9" ht="15.75" x14ac:dyDescent="0.25">
      <c r="A117" s="8"/>
      <c r="B117" s="8"/>
      <c r="C117" s="9"/>
      <c r="D117" s="12" t="s">
        <v>113</v>
      </c>
      <c r="E117" s="16">
        <v>3653121.82</v>
      </c>
      <c r="F117" s="16">
        <v>6327815.92101584</v>
      </c>
      <c r="G117" s="16">
        <v>3362450.94</v>
      </c>
      <c r="H117" s="16">
        <v>0</v>
      </c>
      <c r="I117" s="13">
        <f t="shared" si="1"/>
        <v>13343388.68101584</v>
      </c>
    </row>
    <row r="118" spans="1:9" ht="15.75" x14ac:dyDescent="0.25">
      <c r="A118" s="8"/>
      <c r="B118" s="8"/>
      <c r="C118" s="9"/>
      <c r="D118" s="12" t="s">
        <v>114</v>
      </c>
      <c r="E118" s="16">
        <v>5849235.3100000015</v>
      </c>
      <c r="F118" s="16">
        <v>9882820.2261070888</v>
      </c>
      <c r="G118" s="16">
        <v>5621643.3799999999</v>
      </c>
      <c r="H118" s="16">
        <v>0</v>
      </c>
      <c r="I118" s="13">
        <f t="shared" si="1"/>
        <v>21353698.916107088</v>
      </c>
    </row>
    <row r="119" spans="1:9" ht="15.75" x14ac:dyDescent="0.25">
      <c r="A119" s="8"/>
      <c r="B119" s="8"/>
      <c r="C119" s="9"/>
      <c r="D119" s="12" t="s">
        <v>115</v>
      </c>
      <c r="E119" s="16">
        <v>1188137.0899999999</v>
      </c>
      <c r="F119" s="16">
        <v>959805.29135134583</v>
      </c>
      <c r="G119" s="16">
        <v>1994651.33</v>
      </c>
      <c r="H119" s="16">
        <v>0</v>
      </c>
      <c r="I119" s="13">
        <f t="shared" si="1"/>
        <v>4142593.7113513458</v>
      </c>
    </row>
    <row r="120" spans="1:9" ht="15.75" x14ac:dyDescent="0.25">
      <c r="A120" s="8"/>
      <c r="B120" s="8"/>
      <c r="C120" s="9"/>
      <c r="D120" s="12" t="s">
        <v>116</v>
      </c>
      <c r="E120" s="16">
        <v>4766889.2100000009</v>
      </c>
      <c r="F120" s="16">
        <v>4194813.3379610907</v>
      </c>
      <c r="G120" s="16">
        <v>4404040.2000000011</v>
      </c>
      <c r="H120" s="16">
        <v>0</v>
      </c>
      <c r="I120" s="13">
        <f t="shared" si="1"/>
        <v>13365742.747961093</v>
      </c>
    </row>
    <row r="121" spans="1:9" ht="15.75" x14ac:dyDescent="0.25">
      <c r="A121" s="8"/>
      <c r="B121" s="8"/>
      <c r="C121" s="9"/>
      <c r="D121" s="12" t="s">
        <v>117</v>
      </c>
      <c r="E121" s="16">
        <v>9109438.3599999994</v>
      </c>
      <c r="F121" s="16">
        <v>6224697.8606565483</v>
      </c>
      <c r="G121" s="16">
        <v>4271913.49</v>
      </c>
      <c r="H121" s="16">
        <v>0</v>
      </c>
      <c r="I121" s="13">
        <f t="shared" si="1"/>
        <v>19606049.710656546</v>
      </c>
    </row>
    <row r="122" spans="1:9" ht="15.75" x14ac:dyDescent="0.25">
      <c r="A122" s="8"/>
      <c r="B122" s="8"/>
      <c r="C122" s="9"/>
      <c r="D122" s="12" t="s">
        <v>118</v>
      </c>
      <c r="E122" s="16">
        <v>6067542.2699999996</v>
      </c>
      <c r="F122" s="16">
        <v>4589487.6223611571</v>
      </c>
      <c r="G122" s="16">
        <v>3325966.4699999997</v>
      </c>
      <c r="H122" s="16">
        <v>0</v>
      </c>
      <c r="I122" s="13">
        <f t="shared" si="1"/>
        <v>13982996.362361155</v>
      </c>
    </row>
    <row r="123" spans="1:9" ht="15.75" x14ac:dyDescent="0.25">
      <c r="A123" s="8"/>
      <c r="B123" s="8"/>
      <c r="C123" s="9"/>
      <c r="D123" s="12" t="s">
        <v>119</v>
      </c>
      <c r="E123" s="16">
        <v>5075875.93</v>
      </c>
      <c r="F123" s="16">
        <v>8432378.4696298596</v>
      </c>
      <c r="G123" s="16">
        <v>1176817.3500000001</v>
      </c>
      <c r="H123" s="16">
        <v>0</v>
      </c>
      <c r="I123" s="13">
        <f t="shared" si="1"/>
        <v>14685071.749629859</v>
      </c>
    </row>
    <row r="124" spans="1:9" ht="15.75" x14ac:dyDescent="0.25">
      <c r="A124" s="8"/>
      <c r="B124" s="8"/>
      <c r="C124" s="9"/>
      <c r="D124" s="12" t="s">
        <v>120</v>
      </c>
      <c r="E124" s="16">
        <v>150371.67000000001</v>
      </c>
      <c r="F124" s="16">
        <v>0</v>
      </c>
      <c r="G124" s="16">
        <v>18636832.959999993</v>
      </c>
      <c r="H124" s="16">
        <v>16756388.705</v>
      </c>
      <c r="I124" s="13">
        <f t="shared" si="1"/>
        <v>35543593.334999993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55300130.560000002</v>
      </c>
      <c r="H125" s="16">
        <v>4516763.7450000001</v>
      </c>
      <c r="I125" s="13">
        <f t="shared" si="1"/>
        <v>59816894.305</v>
      </c>
    </row>
    <row r="126" spans="1:9" ht="15.75" x14ac:dyDescent="0.25">
      <c r="A126" s="8"/>
      <c r="B126" s="8"/>
      <c r="C126" s="9"/>
      <c r="D126" s="12" t="s">
        <v>122</v>
      </c>
      <c r="E126" s="16">
        <v>742.36</v>
      </c>
      <c r="F126" s="16">
        <v>0</v>
      </c>
      <c r="G126" s="16">
        <v>32395607.040000003</v>
      </c>
      <c r="H126" s="16">
        <v>0</v>
      </c>
      <c r="I126" s="13">
        <f t="shared" si="1"/>
        <v>32396349.400000002</v>
      </c>
    </row>
    <row r="127" spans="1:9" ht="15.75" x14ac:dyDescent="0.25">
      <c r="A127" s="8"/>
      <c r="B127" s="8"/>
      <c r="C127" s="9"/>
      <c r="D127" s="12" t="s">
        <v>123</v>
      </c>
      <c r="E127" s="16">
        <v>5765480.2400000002</v>
      </c>
      <c r="F127" s="16">
        <v>1777502.1525456244</v>
      </c>
      <c r="G127" s="16">
        <v>18395053.82</v>
      </c>
      <c r="H127" s="16">
        <v>0</v>
      </c>
      <c r="I127" s="13">
        <f t="shared" si="1"/>
        <v>25938036.212545626</v>
      </c>
    </row>
    <row r="128" spans="1:9" ht="15.75" x14ac:dyDescent="0.25">
      <c r="A128" s="8"/>
      <c r="B128" s="8"/>
      <c r="C128" s="9"/>
      <c r="D128" s="12" t="s">
        <v>124</v>
      </c>
      <c r="E128" s="16">
        <v>7175948.0399999982</v>
      </c>
      <c r="F128" s="16">
        <v>5545714.9738957649</v>
      </c>
      <c r="G128" s="16">
        <v>6453876.7199999997</v>
      </c>
      <c r="H128" s="16">
        <v>0</v>
      </c>
      <c r="I128" s="13">
        <f t="shared" si="1"/>
        <v>19175539.733895764</v>
      </c>
    </row>
    <row r="129" spans="1:9" ht="15.75" x14ac:dyDescent="0.25">
      <c r="A129" s="8"/>
      <c r="B129" s="8"/>
      <c r="C129" s="9"/>
      <c r="D129" s="12" t="s">
        <v>125</v>
      </c>
      <c r="E129" s="16">
        <v>5865831.4899999993</v>
      </c>
      <c r="F129" s="16">
        <v>2684005.3148322469</v>
      </c>
      <c r="G129" s="16">
        <v>6678529.4500000011</v>
      </c>
      <c r="H129" s="16">
        <v>0</v>
      </c>
      <c r="I129" s="13">
        <f t="shared" si="1"/>
        <v>15228366.254832247</v>
      </c>
    </row>
    <row r="130" spans="1:9" ht="15.75" x14ac:dyDescent="0.25">
      <c r="A130" s="8"/>
      <c r="B130" s="8"/>
      <c r="C130" s="9"/>
      <c r="D130" s="12" t="s">
        <v>126</v>
      </c>
      <c r="E130" s="16">
        <v>695711.82</v>
      </c>
      <c r="F130" s="16">
        <v>4728109.8547480702</v>
      </c>
      <c r="G130" s="16">
        <v>1249694.4200000002</v>
      </c>
      <c r="H130" s="16">
        <v>0</v>
      </c>
      <c r="I130" s="13">
        <f t="shared" si="1"/>
        <v>6673516.0947480705</v>
      </c>
    </row>
    <row r="131" spans="1:9" ht="15.75" x14ac:dyDescent="0.25">
      <c r="A131" s="8"/>
      <c r="B131" s="8"/>
      <c r="C131" s="9"/>
      <c r="D131" s="12" t="s">
        <v>127</v>
      </c>
      <c r="E131" s="16">
        <v>15646486.069999998</v>
      </c>
      <c r="F131" s="16">
        <v>25840982.261033606</v>
      </c>
      <c r="G131" s="16">
        <v>30305588.110000003</v>
      </c>
      <c r="H131" s="16">
        <v>0</v>
      </c>
      <c r="I131" s="13">
        <f t="shared" si="1"/>
        <v>71793056.441033602</v>
      </c>
    </row>
    <row r="132" spans="1:9" ht="15.75" x14ac:dyDescent="0.25">
      <c r="A132" s="8"/>
      <c r="B132" s="8"/>
      <c r="C132" s="9"/>
      <c r="D132" s="12" t="s">
        <v>128</v>
      </c>
      <c r="E132" s="16">
        <v>16943833.890000001</v>
      </c>
      <c r="F132" s="16">
        <v>15855135.716613803</v>
      </c>
      <c r="G132" s="16">
        <v>39171.299999999996</v>
      </c>
      <c r="H132" s="16">
        <v>0</v>
      </c>
      <c r="I132" s="13">
        <f t="shared" si="1"/>
        <v>32838140.906613804</v>
      </c>
    </row>
    <row r="133" spans="1:9" ht="15.75" x14ac:dyDescent="0.25">
      <c r="A133" s="8"/>
      <c r="B133" s="8"/>
      <c r="C133" s="9"/>
      <c r="D133" s="12" t="s">
        <v>129</v>
      </c>
      <c r="E133" s="16">
        <v>4048408.74</v>
      </c>
      <c r="F133" s="16">
        <v>0</v>
      </c>
      <c r="G133" s="16">
        <v>46615516.210000001</v>
      </c>
      <c r="H133" s="16">
        <v>8491258.2299999986</v>
      </c>
      <c r="I133" s="13">
        <f t="shared" si="1"/>
        <v>59155183.18</v>
      </c>
    </row>
    <row r="134" spans="1:9" ht="15.75" x14ac:dyDescent="0.25">
      <c r="A134" s="8"/>
      <c r="B134" s="8"/>
      <c r="C134" s="9"/>
      <c r="D134" s="12" t="s">
        <v>130</v>
      </c>
      <c r="E134" s="16">
        <v>634740.36</v>
      </c>
      <c r="F134" s="16">
        <v>782100.94712007476</v>
      </c>
      <c r="G134" s="16">
        <v>5688.6900000000005</v>
      </c>
      <c r="H134" s="16">
        <v>0</v>
      </c>
      <c r="I134" s="13">
        <f t="shared" si="1"/>
        <v>1422529.9971200747</v>
      </c>
    </row>
    <row r="135" spans="1:9" ht="15.75" x14ac:dyDescent="0.25">
      <c r="A135" s="8"/>
      <c r="B135" s="8"/>
      <c r="C135" s="9"/>
      <c r="D135" s="12" t="s">
        <v>131</v>
      </c>
      <c r="E135" s="16">
        <v>3227796.5900000003</v>
      </c>
      <c r="F135" s="16">
        <v>9882820.2261070888</v>
      </c>
      <c r="G135" s="16">
        <v>373272.12</v>
      </c>
      <c r="H135" s="16">
        <v>0</v>
      </c>
      <c r="I135" s="13">
        <f t="shared" si="1"/>
        <v>13483888.936107088</v>
      </c>
    </row>
    <row r="136" spans="1:9" ht="15.75" x14ac:dyDescent="0.25">
      <c r="A136" s="8"/>
      <c r="B136" s="8"/>
      <c r="C136" s="9"/>
      <c r="D136" s="12" t="s">
        <v>132</v>
      </c>
      <c r="E136" s="16">
        <v>11720413.08</v>
      </c>
      <c r="F136" s="16">
        <v>11944630.98101343</v>
      </c>
      <c r="G136" s="16">
        <v>9121328.7799999993</v>
      </c>
      <c r="H136" s="16">
        <v>0</v>
      </c>
      <c r="I136" s="13">
        <f t="shared" si="1"/>
        <v>32786372.841013432</v>
      </c>
    </row>
    <row r="137" spans="1:9" ht="15.75" x14ac:dyDescent="0.25">
      <c r="A137" s="8"/>
      <c r="B137" s="8"/>
      <c r="C137" s="9"/>
      <c r="D137" s="12" t="s">
        <v>133</v>
      </c>
      <c r="E137" s="16">
        <v>17352384.080000002</v>
      </c>
      <c r="F137" s="16">
        <v>18780789.582145676</v>
      </c>
      <c r="G137" s="16">
        <v>12953090.399999999</v>
      </c>
      <c r="H137" s="16">
        <v>0</v>
      </c>
      <c r="I137" s="13">
        <f t="shared" si="1"/>
        <v>49086264.062145673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35593436.869999997</v>
      </c>
      <c r="H138" s="16">
        <v>0</v>
      </c>
      <c r="I138" s="13">
        <f t="shared" ref="I138:I144" si="2">SUM(E138:H138)</f>
        <v>35593436.869999997</v>
      </c>
    </row>
    <row r="139" spans="1:9" ht="15.75" x14ac:dyDescent="0.25">
      <c r="A139" s="8"/>
      <c r="B139" s="8"/>
      <c r="C139" s="9"/>
      <c r="D139" s="12" t="s">
        <v>135</v>
      </c>
      <c r="E139" s="16">
        <v>733101.9800000001</v>
      </c>
      <c r="F139" s="16">
        <v>2811985.4698155322</v>
      </c>
      <c r="G139" s="16">
        <v>1574745.36</v>
      </c>
      <c r="H139" s="16">
        <v>0</v>
      </c>
      <c r="I139" s="13">
        <f t="shared" si="2"/>
        <v>5119832.8098155325</v>
      </c>
    </row>
    <row r="140" spans="1:9" ht="15.75" x14ac:dyDescent="0.25">
      <c r="A140" s="8"/>
      <c r="B140" s="8"/>
      <c r="C140" s="9"/>
      <c r="D140" s="12" t="s">
        <v>136</v>
      </c>
      <c r="E140" s="16">
        <v>7896423.4199999999</v>
      </c>
      <c r="F140" s="16">
        <v>19943344.796445444</v>
      </c>
      <c r="G140" s="16">
        <v>4838382.6499999994</v>
      </c>
      <c r="H140" s="16">
        <v>0</v>
      </c>
      <c r="I140" s="13">
        <f t="shared" si="2"/>
        <v>32678150.866445445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50048504.730000004</v>
      </c>
      <c r="H141" s="16">
        <v>933825.46000000008</v>
      </c>
      <c r="I141" s="13">
        <f t="shared" si="2"/>
        <v>50982330.190000005</v>
      </c>
    </row>
    <row r="142" spans="1:9" ht="15.75" x14ac:dyDescent="0.25">
      <c r="A142" s="8"/>
      <c r="B142" s="8"/>
      <c r="C142" s="9"/>
      <c r="D142" s="12" t="s">
        <v>138</v>
      </c>
      <c r="E142" s="16">
        <v>49384.959999999992</v>
      </c>
      <c r="F142" s="16">
        <v>0</v>
      </c>
      <c r="G142" s="16">
        <v>5151256.6899999995</v>
      </c>
      <c r="H142" s="16">
        <v>0</v>
      </c>
      <c r="I142" s="13">
        <f t="shared" si="2"/>
        <v>5200641.6499999994</v>
      </c>
    </row>
    <row r="143" spans="1:9" ht="15.75" x14ac:dyDescent="0.25">
      <c r="A143" s="8"/>
      <c r="B143" s="8"/>
      <c r="C143" s="9"/>
      <c r="D143" s="12" t="s">
        <v>139</v>
      </c>
      <c r="E143" s="16">
        <v>1164352.0799999998</v>
      </c>
      <c r="F143" s="16">
        <v>18432445.031270023</v>
      </c>
      <c r="G143" s="16">
        <v>80779.710000000006</v>
      </c>
      <c r="H143" s="16">
        <v>0</v>
      </c>
      <c r="I143" s="13">
        <f t="shared" si="2"/>
        <v>19677576.821270023</v>
      </c>
    </row>
    <row r="144" spans="1:9" ht="15.75" x14ac:dyDescent="0.25">
      <c r="A144" s="8"/>
      <c r="B144" s="8"/>
      <c r="C144" s="9"/>
      <c r="D144" s="12" t="s">
        <v>140</v>
      </c>
      <c r="E144" s="16">
        <v>5807199.2299999995</v>
      </c>
      <c r="F144" s="16">
        <v>2239606.8411841951</v>
      </c>
      <c r="G144" s="16">
        <v>13474975.109999996</v>
      </c>
      <c r="H144" s="16">
        <v>0</v>
      </c>
      <c r="I144" s="13">
        <f t="shared" si="2"/>
        <v>21521781.181184191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742561740.85000038</v>
      </c>
      <c r="F145" s="22">
        <f>SUM(F10:F144)</f>
        <v>917377897.52038503</v>
      </c>
      <c r="G145" s="22">
        <f>SUM(G10:G144)</f>
        <v>1890199287.1200004</v>
      </c>
      <c r="H145" s="22">
        <f>SUM(H10:H144)</f>
        <v>30698236.140000001</v>
      </c>
      <c r="I145" s="22">
        <f>SUM(I10:I144)</f>
        <v>3580837161.6303844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tabSelected="1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1.5" style="2" customWidth="1"/>
    <col min="6" max="7" width="20.6640625" style="2" customWidth="1"/>
    <col min="8" max="8" width="21" style="2" customWidth="1"/>
    <col min="9" max="9" width="22.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38236424.210000001</v>
      </c>
      <c r="F10" s="16">
        <v>93863101.696502864</v>
      </c>
      <c r="G10" s="16">
        <v>3479088.2899999996</v>
      </c>
      <c r="H10" s="16">
        <v>0</v>
      </c>
      <c r="I10" s="13">
        <f>SUM(E10:H10)</f>
        <v>135578614.19650286</v>
      </c>
    </row>
    <row r="11" spans="1:9" ht="15.75" x14ac:dyDescent="0.25">
      <c r="A11" s="8"/>
      <c r="B11" s="8"/>
      <c r="C11" s="9"/>
      <c r="D11" s="12" t="s">
        <v>7</v>
      </c>
      <c r="E11" s="16">
        <v>61971672.740000002</v>
      </c>
      <c r="F11" s="16">
        <v>52683056.945463181</v>
      </c>
      <c r="G11" s="16">
        <v>2704538.6899999995</v>
      </c>
      <c r="H11" s="16">
        <v>0</v>
      </c>
      <c r="I11" s="13">
        <f t="shared" ref="I11:I73" si="0">SUM(E11:H11)</f>
        <v>117359268.37546319</v>
      </c>
    </row>
    <row r="12" spans="1:9" ht="15.75" x14ac:dyDescent="0.25">
      <c r="A12" s="8"/>
      <c r="B12" s="8"/>
      <c r="C12" s="9"/>
      <c r="D12" s="12" t="s">
        <v>8</v>
      </c>
      <c r="E12" s="16">
        <v>82270953.810000002</v>
      </c>
      <c r="F12" s="16">
        <v>19099390.207721792</v>
      </c>
      <c r="G12" s="16">
        <v>2945297.1399999997</v>
      </c>
      <c r="H12" s="16">
        <v>0</v>
      </c>
      <c r="I12" s="13">
        <f t="shared" si="0"/>
        <v>104315641.1577218</v>
      </c>
    </row>
    <row r="13" spans="1:9" ht="15.75" x14ac:dyDescent="0.25">
      <c r="A13" s="8"/>
      <c r="B13" s="8"/>
      <c r="C13" s="9"/>
      <c r="D13" s="12" t="s">
        <v>9</v>
      </c>
      <c r="E13" s="16">
        <v>3908108.1799999997</v>
      </c>
      <c r="F13" s="16">
        <v>505063.2975597998</v>
      </c>
      <c r="G13" s="16">
        <v>61824145.880000003</v>
      </c>
      <c r="H13" s="16">
        <v>0</v>
      </c>
      <c r="I13" s="13">
        <f t="shared" si="0"/>
        <v>66237317.3575598</v>
      </c>
    </row>
    <row r="14" spans="1:9" ht="15.75" x14ac:dyDescent="0.25">
      <c r="A14" s="8"/>
      <c r="B14" s="8"/>
      <c r="C14" s="9"/>
      <c r="D14" s="12" t="s">
        <v>10</v>
      </c>
      <c r="E14" s="16">
        <v>125914723.52</v>
      </c>
      <c r="F14" s="16">
        <v>21221351.497469593</v>
      </c>
      <c r="G14" s="16">
        <v>4689956.03</v>
      </c>
      <c r="H14" s="16">
        <v>0</v>
      </c>
      <c r="I14" s="13">
        <f t="shared" si="0"/>
        <v>151826031.04746959</v>
      </c>
    </row>
    <row r="15" spans="1:9" ht="15.75" x14ac:dyDescent="0.25">
      <c r="A15" s="8"/>
      <c r="B15" s="8"/>
      <c r="C15" s="9"/>
      <c r="D15" s="12" t="s">
        <v>11</v>
      </c>
      <c r="E15" s="16">
        <v>949288.37</v>
      </c>
      <c r="F15" s="16">
        <v>117790.14943089995</v>
      </c>
      <c r="G15" s="16">
        <v>50803257.930000007</v>
      </c>
      <c r="H15" s="16">
        <v>0</v>
      </c>
      <c r="I15" s="13">
        <f t="shared" si="0"/>
        <v>51870336.449430905</v>
      </c>
    </row>
    <row r="16" spans="1:9" ht="15.75" x14ac:dyDescent="0.25">
      <c r="A16" s="8"/>
      <c r="B16" s="8"/>
      <c r="C16" s="9"/>
      <c r="D16" s="12" t="s">
        <v>12</v>
      </c>
      <c r="E16" s="16">
        <v>132645125.31</v>
      </c>
      <c r="F16" s="16">
        <v>101189562.06110525</v>
      </c>
      <c r="G16" s="16">
        <v>4137397.91</v>
      </c>
      <c r="H16" s="16">
        <v>0</v>
      </c>
      <c r="I16" s="13">
        <f t="shared" si="0"/>
        <v>237972085.28110525</v>
      </c>
    </row>
    <row r="17" spans="1:9" ht="15.75" x14ac:dyDescent="0.25">
      <c r="A17" s="8"/>
      <c r="B17" s="8"/>
      <c r="C17" s="9"/>
      <c r="D17" s="12" t="s">
        <v>13</v>
      </c>
      <c r="E17" s="16">
        <v>251028057.61999997</v>
      </c>
      <c r="F17" s="16">
        <v>92970330.60081625</v>
      </c>
      <c r="G17" s="16">
        <v>14297089.940000001</v>
      </c>
      <c r="H17" s="16">
        <v>0</v>
      </c>
      <c r="I17" s="13">
        <f t="shared" si="0"/>
        <v>358295478.16081625</v>
      </c>
    </row>
    <row r="18" spans="1:9" ht="15.75" x14ac:dyDescent="0.25">
      <c r="A18" s="8"/>
      <c r="B18" s="8"/>
      <c r="C18" s="9"/>
      <c r="D18" s="12" t="s">
        <v>14</v>
      </c>
      <c r="E18" s="16">
        <v>35940520.649999999</v>
      </c>
      <c r="F18" s="16">
        <v>7578992.013382297</v>
      </c>
      <c r="G18" s="16">
        <v>85200278.270000011</v>
      </c>
      <c r="H18" s="16">
        <v>0</v>
      </c>
      <c r="I18" s="13">
        <f t="shared" si="0"/>
        <v>128719790.9333823</v>
      </c>
    </row>
    <row r="19" spans="1:9" ht="15.75" x14ac:dyDescent="0.25">
      <c r="A19" s="8"/>
      <c r="B19" s="8"/>
      <c r="C19" s="9"/>
      <c r="D19" s="12" t="s">
        <v>15</v>
      </c>
      <c r="E19" s="16">
        <v>252679807.06</v>
      </c>
      <c r="F19" s="16">
        <v>72338364.50049907</v>
      </c>
      <c r="G19" s="16">
        <v>13572348.820000002</v>
      </c>
      <c r="H19" s="16">
        <v>0</v>
      </c>
      <c r="I19" s="13">
        <f t="shared" si="0"/>
        <v>338590520.38049906</v>
      </c>
    </row>
    <row r="20" spans="1:9" ht="15.75" x14ac:dyDescent="0.25">
      <c r="A20" s="8"/>
      <c r="B20" s="8"/>
      <c r="C20" s="9"/>
      <c r="D20" s="12" t="s">
        <v>16</v>
      </c>
      <c r="E20" s="16">
        <v>84367645.219999999</v>
      </c>
      <c r="F20" s="16">
        <v>18004506.863011695</v>
      </c>
      <c r="G20" s="16">
        <v>8678356.0299999993</v>
      </c>
      <c r="H20" s="16">
        <v>0</v>
      </c>
      <c r="I20" s="13">
        <f t="shared" si="0"/>
        <v>111050508.11301169</v>
      </c>
    </row>
    <row r="21" spans="1:9" ht="15.75" x14ac:dyDescent="0.25">
      <c r="A21" s="8"/>
      <c r="B21" s="8"/>
      <c r="C21" s="9"/>
      <c r="D21" s="12" t="s">
        <v>17</v>
      </c>
      <c r="E21" s="16">
        <v>117364441.58000001</v>
      </c>
      <c r="F21" s="16">
        <v>86536641.331900448</v>
      </c>
      <c r="G21" s="16">
        <v>3362415.6799999997</v>
      </c>
      <c r="H21" s="16">
        <v>0</v>
      </c>
      <c r="I21" s="13">
        <f t="shared" si="0"/>
        <v>207263498.59190047</v>
      </c>
    </row>
    <row r="22" spans="1:9" ht="15.75" x14ac:dyDescent="0.25">
      <c r="A22" s="8"/>
      <c r="B22" s="8"/>
      <c r="C22" s="9"/>
      <c r="D22" s="12" t="s">
        <v>18</v>
      </c>
      <c r="E22" s="16">
        <v>15468987.24</v>
      </c>
      <c r="F22" s="16">
        <v>3705391.2320974991</v>
      </c>
      <c r="G22" s="16">
        <v>35024928.019999996</v>
      </c>
      <c r="H22" s="16">
        <v>0</v>
      </c>
      <c r="I22" s="13">
        <f t="shared" si="0"/>
        <v>54199306.492097497</v>
      </c>
    </row>
    <row r="23" spans="1:9" ht="15.75" x14ac:dyDescent="0.25">
      <c r="A23" s="8"/>
      <c r="B23" s="8"/>
      <c r="C23" s="9"/>
      <c r="D23" s="12" t="s">
        <v>19</v>
      </c>
      <c r="E23" s="16">
        <v>624042.57999999984</v>
      </c>
      <c r="F23" s="16">
        <v>1380883.0433282992</v>
      </c>
      <c r="G23" s="16">
        <v>20043397.91</v>
      </c>
      <c r="H23" s="16">
        <v>0</v>
      </c>
      <c r="I23" s="13">
        <f t="shared" si="0"/>
        <v>22048323.533328298</v>
      </c>
    </row>
    <row r="24" spans="1:9" ht="15.75" x14ac:dyDescent="0.25">
      <c r="A24" s="8"/>
      <c r="B24" s="8"/>
      <c r="C24" s="9"/>
      <c r="D24" s="12" t="s">
        <v>20</v>
      </c>
      <c r="E24" s="16">
        <v>90086795.689999998</v>
      </c>
      <c r="F24" s="16">
        <v>53070764.743589975</v>
      </c>
      <c r="G24" s="16">
        <v>6839589.3799999999</v>
      </c>
      <c r="H24" s="16">
        <v>0</v>
      </c>
      <c r="I24" s="13">
        <f t="shared" si="0"/>
        <v>149997149.81358996</v>
      </c>
    </row>
    <row r="25" spans="1:9" ht="15.75" x14ac:dyDescent="0.25">
      <c r="A25" s="8"/>
      <c r="B25" s="8"/>
      <c r="C25" s="9"/>
      <c r="D25" s="12" t="s">
        <v>21</v>
      </c>
      <c r="E25" s="16">
        <v>82499802.150000006</v>
      </c>
      <c r="F25" s="16">
        <v>39411453.909584582</v>
      </c>
      <c r="G25" s="16">
        <v>9276486.5700000003</v>
      </c>
      <c r="H25" s="16">
        <v>0</v>
      </c>
      <c r="I25" s="13">
        <f t="shared" si="0"/>
        <v>131187742.62958458</v>
      </c>
    </row>
    <row r="26" spans="1:9" ht="15.75" x14ac:dyDescent="0.25">
      <c r="A26" s="8"/>
      <c r="B26" s="8"/>
      <c r="C26" s="9"/>
      <c r="D26" s="12" t="s">
        <v>22</v>
      </c>
      <c r="E26" s="16">
        <v>36190000.619999997</v>
      </c>
      <c r="F26" s="16">
        <v>22568766.490959592</v>
      </c>
      <c r="G26" s="16">
        <v>5851631.7200000007</v>
      </c>
      <c r="H26" s="16">
        <v>0</v>
      </c>
      <c r="I26" s="13">
        <f t="shared" si="0"/>
        <v>64610398.830959588</v>
      </c>
    </row>
    <row r="27" spans="1:9" ht="15.75" x14ac:dyDescent="0.25">
      <c r="A27" s="8"/>
      <c r="B27" s="8"/>
      <c r="C27" s="9"/>
      <c r="D27" s="12" t="s">
        <v>23</v>
      </c>
      <c r="E27" s="16">
        <v>33112334.18</v>
      </c>
      <c r="F27" s="16">
        <v>3873600.7812847989</v>
      </c>
      <c r="G27" s="16">
        <v>18935473.620000001</v>
      </c>
      <c r="H27" s="16">
        <v>0</v>
      </c>
      <c r="I27" s="13">
        <f t="shared" si="0"/>
        <v>55921408.581284806</v>
      </c>
    </row>
    <row r="28" spans="1:9" ht="15.75" x14ac:dyDescent="0.25">
      <c r="A28" s="8"/>
      <c r="B28" s="8"/>
      <c r="C28" s="9"/>
      <c r="D28" s="12" t="s">
        <v>24</v>
      </c>
      <c r="E28" s="16">
        <v>36889887.5</v>
      </c>
      <c r="F28" s="16">
        <v>18358311.961302292</v>
      </c>
      <c r="G28" s="16">
        <v>8246023.0200000005</v>
      </c>
      <c r="H28" s="16">
        <v>0</v>
      </c>
      <c r="I28" s="13">
        <f t="shared" si="0"/>
        <v>63494222.481302299</v>
      </c>
    </row>
    <row r="29" spans="1:9" ht="15.75" x14ac:dyDescent="0.25">
      <c r="A29" s="8"/>
      <c r="B29" s="8"/>
      <c r="C29" s="9"/>
      <c r="D29" s="12" t="s">
        <v>25</v>
      </c>
      <c r="E29" s="16">
        <v>44606477.190000005</v>
      </c>
      <c r="F29" s="16">
        <v>10273822.000362296</v>
      </c>
      <c r="G29" s="16">
        <v>3028747.88</v>
      </c>
      <c r="H29" s="16">
        <v>0</v>
      </c>
      <c r="I29" s="13">
        <f t="shared" si="0"/>
        <v>57909047.070362307</v>
      </c>
    </row>
    <row r="30" spans="1:9" ht="15.75" x14ac:dyDescent="0.25">
      <c r="A30" s="8"/>
      <c r="B30" s="8"/>
      <c r="C30" s="9"/>
      <c r="D30" s="12" t="s">
        <v>26</v>
      </c>
      <c r="E30" s="16">
        <v>63643199.979999997</v>
      </c>
      <c r="F30" s="16">
        <v>55411789.632279381</v>
      </c>
      <c r="G30" s="16">
        <v>4252915.1099999994</v>
      </c>
      <c r="H30" s="16">
        <v>0</v>
      </c>
      <c r="I30" s="13">
        <f t="shared" si="0"/>
        <v>123307904.72227938</v>
      </c>
    </row>
    <row r="31" spans="1:9" ht="15.75" x14ac:dyDescent="0.25">
      <c r="A31" s="8"/>
      <c r="B31" s="8"/>
      <c r="C31" s="9"/>
      <c r="D31" s="12" t="s">
        <v>27</v>
      </c>
      <c r="E31" s="16">
        <v>101353894.2</v>
      </c>
      <c r="F31" s="16">
        <v>57432912.122514375</v>
      </c>
      <c r="G31" s="16">
        <v>4194683.2700000005</v>
      </c>
      <c r="H31" s="16">
        <v>0</v>
      </c>
      <c r="I31" s="13">
        <f t="shared" si="0"/>
        <v>162981489.5925144</v>
      </c>
    </row>
    <row r="32" spans="1:9" ht="15.75" x14ac:dyDescent="0.25">
      <c r="A32" s="8"/>
      <c r="B32" s="8"/>
      <c r="C32" s="9"/>
      <c r="D32" s="12" t="s">
        <v>28</v>
      </c>
      <c r="E32" s="16">
        <v>64741200.379999995</v>
      </c>
      <c r="F32" s="16">
        <v>19385824.556337893</v>
      </c>
      <c r="G32" s="16">
        <v>3143048.48</v>
      </c>
      <c r="H32" s="16">
        <v>0</v>
      </c>
      <c r="I32" s="13">
        <f t="shared" si="0"/>
        <v>87270073.416337892</v>
      </c>
    </row>
    <row r="33" spans="1:9" ht="15.75" x14ac:dyDescent="0.25">
      <c r="A33" s="8"/>
      <c r="B33" s="8"/>
      <c r="C33" s="9"/>
      <c r="D33" s="12" t="s">
        <v>29</v>
      </c>
      <c r="E33" s="16">
        <v>16985619.620000001</v>
      </c>
      <c r="F33" s="16">
        <v>29305841.458409585</v>
      </c>
      <c r="G33" s="16">
        <v>2909313.64</v>
      </c>
      <c r="H33" s="16">
        <v>0</v>
      </c>
      <c r="I33" s="13">
        <f t="shared" si="0"/>
        <v>49200774.718409583</v>
      </c>
    </row>
    <row r="34" spans="1:9" ht="15.75" x14ac:dyDescent="0.25">
      <c r="A34" s="8"/>
      <c r="B34" s="8"/>
      <c r="C34" s="9"/>
      <c r="D34" s="12" t="s">
        <v>30</v>
      </c>
      <c r="E34" s="16">
        <v>218041504.09999996</v>
      </c>
      <c r="F34" s="16">
        <v>42055429.846810281</v>
      </c>
      <c r="G34" s="16">
        <v>8491144.2300000004</v>
      </c>
      <c r="H34" s="16">
        <v>0</v>
      </c>
      <c r="I34" s="13">
        <f t="shared" si="0"/>
        <v>268588078.17681026</v>
      </c>
    </row>
    <row r="35" spans="1:9" ht="15.75" x14ac:dyDescent="0.25">
      <c r="A35" s="8"/>
      <c r="B35" s="8"/>
      <c r="C35" s="9"/>
      <c r="D35" s="12" t="s">
        <v>31</v>
      </c>
      <c r="E35" s="16">
        <v>64144723.340000004</v>
      </c>
      <c r="F35" s="16">
        <v>61828527.551277079</v>
      </c>
      <c r="G35" s="16">
        <v>7056076.4000000004</v>
      </c>
      <c r="H35" s="16">
        <v>0</v>
      </c>
      <c r="I35" s="13">
        <f t="shared" si="0"/>
        <v>133029327.29127708</v>
      </c>
    </row>
    <row r="36" spans="1:9" ht="15.75" x14ac:dyDescent="0.25">
      <c r="A36" s="8"/>
      <c r="B36" s="8"/>
      <c r="C36" s="9"/>
      <c r="D36" s="12" t="s">
        <v>32</v>
      </c>
      <c r="E36" s="16">
        <v>83606253.25999999</v>
      </c>
      <c r="F36" s="16">
        <v>38366989.964630879</v>
      </c>
      <c r="G36" s="16">
        <v>12309577.010000002</v>
      </c>
      <c r="H36" s="16">
        <v>0</v>
      </c>
      <c r="I36" s="13">
        <f t="shared" si="0"/>
        <v>134282820.23463085</v>
      </c>
    </row>
    <row r="37" spans="1:9" ht="15.75" x14ac:dyDescent="0.25">
      <c r="A37" s="8"/>
      <c r="B37" s="8"/>
      <c r="C37" s="9"/>
      <c r="D37" s="12" t="s">
        <v>33</v>
      </c>
      <c r="E37" s="16">
        <v>84383628.340000004</v>
      </c>
      <c r="F37" s="16">
        <v>21221351.497469593</v>
      </c>
      <c r="G37" s="16">
        <v>4745195.2300000004</v>
      </c>
      <c r="H37" s="16">
        <v>0</v>
      </c>
      <c r="I37" s="13">
        <f t="shared" si="0"/>
        <v>110350175.0674696</v>
      </c>
    </row>
    <row r="38" spans="1:9" ht="15.75" x14ac:dyDescent="0.25">
      <c r="A38" s="8"/>
      <c r="B38" s="8"/>
      <c r="C38" s="9"/>
      <c r="D38" s="12" t="s">
        <v>34</v>
      </c>
      <c r="E38" s="16">
        <v>69387986.700000003</v>
      </c>
      <c r="F38" s="16">
        <v>46114626.177198373</v>
      </c>
      <c r="G38" s="16">
        <v>5259658.95</v>
      </c>
      <c r="H38" s="16">
        <v>0</v>
      </c>
      <c r="I38" s="13">
        <f t="shared" si="0"/>
        <v>120762271.82719837</v>
      </c>
    </row>
    <row r="39" spans="1:9" ht="15.75" x14ac:dyDescent="0.25">
      <c r="A39" s="8"/>
      <c r="B39" s="8"/>
      <c r="C39" s="9"/>
      <c r="D39" s="12" t="s">
        <v>35</v>
      </c>
      <c r="E39" s="16">
        <v>46944466.859999999</v>
      </c>
      <c r="F39" s="16">
        <v>72203623.001150072</v>
      </c>
      <c r="G39" s="16">
        <v>3750914.5400000005</v>
      </c>
      <c r="H39" s="16">
        <v>0</v>
      </c>
      <c r="I39" s="13">
        <f t="shared" si="0"/>
        <v>122899004.40115008</v>
      </c>
    </row>
    <row r="40" spans="1:9" ht="15.75" x14ac:dyDescent="0.25">
      <c r="A40" s="8"/>
      <c r="B40" s="8"/>
      <c r="C40" s="9"/>
      <c r="D40" s="12" t="s">
        <v>36</v>
      </c>
      <c r="E40" s="16">
        <v>6396600.9900000002</v>
      </c>
      <c r="F40" s="16">
        <v>3789713.3316900991</v>
      </c>
      <c r="G40" s="16">
        <v>350070.07</v>
      </c>
      <c r="H40" s="16">
        <v>0</v>
      </c>
      <c r="I40" s="13">
        <f t="shared" si="0"/>
        <v>10536384.3916901</v>
      </c>
    </row>
    <row r="41" spans="1:9" ht="15.75" x14ac:dyDescent="0.25">
      <c r="A41" s="8"/>
      <c r="B41" s="8"/>
      <c r="C41" s="9"/>
      <c r="D41" s="12" t="s">
        <v>37</v>
      </c>
      <c r="E41" s="16">
        <v>164256890.82999998</v>
      </c>
      <c r="F41" s="16">
        <v>63327635.394034162</v>
      </c>
      <c r="G41" s="16">
        <v>8939333.870000001</v>
      </c>
      <c r="H41" s="16">
        <v>0</v>
      </c>
      <c r="I41" s="13">
        <f t="shared" si="0"/>
        <v>236523860.09403414</v>
      </c>
    </row>
    <row r="42" spans="1:9" ht="15.75" x14ac:dyDescent="0.25">
      <c r="A42" s="8"/>
      <c r="B42" s="8"/>
      <c r="C42" s="9"/>
      <c r="D42" s="12" t="s">
        <v>38</v>
      </c>
      <c r="E42" s="16">
        <v>100031410.44</v>
      </c>
      <c r="F42" s="16">
        <v>68582553.868645161</v>
      </c>
      <c r="G42" s="16">
        <v>3442132.29</v>
      </c>
      <c r="H42" s="16">
        <v>0</v>
      </c>
      <c r="I42" s="13">
        <f t="shared" si="0"/>
        <v>172056096.59864515</v>
      </c>
    </row>
    <row r="43" spans="1:9" ht="15.75" x14ac:dyDescent="0.25">
      <c r="A43" s="8"/>
      <c r="B43" s="8"/>
      <c r="C43" s="9"/>
      <c r="D43" s="12" t="s">
        <v>39</v>
      </c>
      <c r="E43" s="16">
        <v>27978449.370000001</v>
      </c>
      <c r="F43" s="16">
        <v>24943694.079485185</v>
      </c>
      <c r="G43" s="16">
        <v>6838055.1499999994</v>
      </c>
      <c r="H43" s="16">
        <v>0</v>
      </c>
      <c r="I43" s="13">
        <f t="shared" si="0"/>
        <v>59760198.599485181</v>
      </c>
    </row>
    <row r="44" spans="1:9" ht="15.75" x14ac:dyDescent="0.25">
      <c r="A44" s="8"/>
      <c r="B44" s="8"/>
      <c r="C44" s="9"/>
      <c r="D44" s="12" t="s">
        <v>40</v>
      </c>
      <c r="E44" s="16">
        <v>99675.110000000015</v>
      </c>
      <c r="F44" s="16">
        <v>1919849.0407242994</v>
      </c>
      <c r="G44" s="16">
        <v>9561025.3200000003</v>
      </c>
      <c r="H44" s="16">
        <v>0</v>
      </c>
      <c r="I44" s="13">
        <f t="shared" si="0"/>
        <v>11580549.4707243</v>
      </c>
    </row>
    <row r="45" spans="1:9" ht="15.75" x14ac:dyDescent="0.25">
      <c r="A45" s="8"/>
      <c r="B45" s="8"/>
      <c r="C45" s="9"/>
      <c r="D45" s="12" t="s">
        <v>41</v>
      </c>
      <c r="E45" s="16">
        <v>47037743.980000004</v>
      </c>
      <c r="F45" s="16">
        <v>555917.34731409978</v>
      </c>
      <c r="G45" s="16">
        <v>20655497</v>
      </c>
      <c r="H45" s="16">
        <v>0</v>
      </c>
      <c r="I45" s="13">
        <f t="shared" si="0"/>
        <v>68249158.327314109</v>
      </c>
    </row>
    <row r="46" spans="1:9" ht="15.75" x14ac:dyDescent="0.25">
      <c r="A46" s="8"/>
      <c r="B46" s="8"/>
      <c r="C46" s="9"/>
      <c r="D46" s="12" t="s">
        <v>42</v>
      </c>
      <c r="E46" s="16">
        <v>19193011.240000002</v>
      </c>
      <c r="F46" s="16">
        <v>1852478.291049799</v>
      </c>
      <c r="G46" s="16">
        <v>54238819.829999998</v>
      </c>
      <c r="H46" s="16">
        <v>0</v>
      </c>
      <c r="I46" s="13">
        <f t="shared" si="0"/>
        <v>75284309.361049801</v>
      </c>
    </row>
    <row r="47" spans="1:9" ht="15.75" x14ac:dyDescent="0.25">
      <c r="A47" s="8"/>
      <c r="B47" s="8"/>
      <c r="C47" s="9"/>
      <c r="D47" s="12" t="s">
        <v>43</v>
      </c>
      <c r="E47" s="16">
        <v>45267452.150000006</v>
      </c>
      <c r="F47" s="16">
        <v>11755978.493201293</v>
      </c>
      <c r="G47" s="16">
        <v>5540371.96</v>
      </c>
      <c r="H47" s="16">
        <v>0</v>
      </c>
      <c r="I47" s="13">
        <f t="shared" si="0"/>
        <v>62563802.6032013</v>
      </c>
    </row>
    <row r="48" spans="1:9" ht="15.75" x14ac:dyDescent="0.25">
      <c r="A48" s="8"/>
      <c r="B48" s="8"/>
      <c r="C48" s="9"/>
      <c r="D48" s="12" t="s">
        <v>44</v>
      </c>
      <c r="E48" s="16">
        <v>7884408.2499999991</v>
      </c>
      <c r="F48" s="16">
        <v>1852478.291049799</v>
      </c>
      <c r="G48" s="16">
        <v>21206747.009999998</v>
      </c>
      <c r="H48" s="16">
        <v>0</v>
      </c>
      <c r="I48" s="13">
        <f t="shared" si="0"/>
        <v>30943633.551049795</v>
      </c>
    </row>
    <row r="49" spans="1:9" ht="15.75" x14ac:dyDescent="0.25">
      <c r="A49" s="8"/>
      <c r="B49" s="8"/>
      <c r="C49" s="9"/>
      <c r="D49" s="12" t="s">
        <v>45</v>
      </c>
      <c r="E49" s="16">
        <v>11140262.5</v>
      </c>
      <c r="F49" s="16">
        <v>2206283.3893403988</v>
      </c>
      <c r="G49" s="16">
        <v>38637374.619999997</v>
      </c>
      <c r="H49" s="16">
        <v>0</v>
      </c>
      <c r="I49" s="13">
        <f t="shared" si="0"/>
        <v>51983920.509340398</v>
      </c>
    </row>
    <row r="50" spans="1:9" ht="15.75" x14ac:dyDescent="0.25">
      <c r="A50" s="8"/>
      <c r="B50" s="8"/>
      <c r="C50" s="9"/>
      <c r="D50" s="12" t="s">
        <v>46</v>
      </c>
      <c r="E50" s="16">
        <v>53892791.980000004</v>
      </c>
      <c r="F50" s="16">
        <v>21322624.94698029</v>
      </c>
      <c r="G50" s="16">
        <v>1801482.5999999999</v>
      </c>
      <c r="H50" s="16">
        <v>0</v>
      </c>
      <c r="I50" s="13">
        <f t="shared" si="0"/>
        <v>77016899.526980281</v>
      </c>
    </row>
    <row r="51" spans="1:9" ht="15.75" x14ac:dyDescent="0.25">
      <c r="A51" s="8"/>
      <c r="B51" s="8"/>
      <c r="C51" s="9"/>
      <c r="D51" s="12" t="s">
        <v>47</v>
      </c>
      <c r="E51" s="16">
        <v>70761106.670000002</v>
      </c>
      <c r="F51" s="16">
        <v>38771214.462677881</v>
      </c>
      <c r="G51" s="16">
        <v>6802450.3599999994</v>
      </c>
      <c r="H51" s="16">
        <v>0</v>
      </c>
      <c r="I51" s="13">
        <f t="shared" si="0"/>
        <v>116334771.49267788</v>
      </c>
    </row>
    <row r="52" spans="1:9" ht="15.75" x14ac:dyDescent="0.25">
      <c r="A52" s="8"/>
      <c r="B52" s="8"/>
      <c r="C52" s="9"/>
      <c r="D52" s="12" t="s">
        <v>48</v>
      </c>
      <c r="E52" s="16">
        <v>34556584.270000003</v>
      </c>
      <c r="F52" s="16">
        <v>39074600.161212079</v>
      </c>
      <c r="G52" s="16">
        <v>1937393.79</v>
      </c>
      <c r="H52" s="16">
        <v>0</v>
      </c>
      <c r="I52" s="13">
        <f t="shared" si="0"/>
        <v>75568578.221212089</v>
      </c>
    </row>
    <row r="53" spans="1:9" ht="15.75" x14ac:dyDescent="0.25">
      <c r="A53" s="8"/>
      <c r="B53" s="8"/>
      <c r="C53" s="9"/>
      <c r="D53" s="12" t="s">
        <v>49</v>
      </c>
      <c r="E53" s="16">
        <v>88739648.210000008</v>
      </c>
      <c r="F53" s="16">
        <v>26779655.670614786</v>
      </c>
      <c r="G53" s="16">
        <v>3924382.46</v>
      </c>
      <c r="H53" s="16">
        <v>0</v>
      </c>
      <c r="I53" s="13">
        <f t="shared" si="0"/>
        <v>119443686.34061478</v>
      </c>
    </row>
    <row r="54" spans="1:9" ht="15.75" x14ac:dyDescent="0.25">
      <c r="A54" s="8"/>
      <c r="B54" s="8"/>
      <c r="C54" s="9"/>
      <c r="D54" s="12" t="s">
        <v>50</v>
      </c>
      <c r="E54" s="16">
        <v>64130664.340000004</v>
      </c>
      <c r="F54" s="16">
        <v>24589888.981194593</v>
      </c>
      <c r="G54" s="16">
        <v>4318658.3099999996</v>
      </c>
      <c r="H54" s="16">
        <v>0</v>
      </c>
      <c r="I54" s="13">
        <f t="shared" si="0"/>
        <v>93039211.631194592</v>
      </c>
    </row>
    <row r="55" spans="1:9" ht="15.75" x14ac:dyDescent="0.25">
      <c r="A55" s="8"/>
      <c r="B55" s="8"/>
      <c r="C55" s="9"/>
      <c r="D55" s="12" t="s">
        <v>51</v>
      </c>
      <c r="E55" s="16">
        <v>25365476.119999997</v>
      </c>
      <c r="F55" s="16">
        <v>50358983.406691879</v>
      </c>
      <c r="G55" s="16">
        <v>492531.49</v>
      </c>
      <c r="H55" s="16">
        <v>0</v>
      </c>
      <c r="I55" s="13">
        <f t="shared" si="0"/>
        <v>76216991.016691878</v>
      </c>
    </row>
    <row r="56" spans="1:9" ht="15.75" x14ac:dyDescent="0.25">
      <c r="A56" s="8"/>
      <c r="B56" s="8"/>
      <c r="C56" s="9"/>
      <c r="D56" s="12" t="s">
        <v>52</v>
      </c>
      <c r="E56" s="16">
        <v>51500819.280000001</v>
      </c>
      <c r="F56" s="16">
        <v>56051594.429188177</v>
      </c>
      <c r="G56" s="16">
        <v>4398031.8599999994</v>
      </c>
      <c r="H56" s="16">
        <v>0</v>
      </c>
      <c r="I56" s="13">
        <f t="shared" si="0"/>
        <v>111950445.56918818</v>
      </c>
    </row>
    <row r="57" spans="1:9" ht="15.75" x14ac:dyDescent="0.25">
      <c r="A57" s="8"/>
      <c r="B57" s="8"/>
      <c r="C57" s="9"/>
      <c r="D57" s="12" t="s">
        <v>53</v>
      </c>
      <c r="E57" s="16">
        <v>15754305.560000001</v>
      </c>
      <c r="F57" s="16">
        <v>18526521.51048959</v>
      </c>
      <c r="G57" s="16">
        <v>2925698.97</v>
      </c>
      <c r="H57" s="16">
        <v>0</v>
      </c>
      <c r="I57" s="13">
        <f t="shared" si="0"/>
        <v>37206526.040489592</v>
      </c>
    </row>
    <row r="58" spans="1:9" ht="15.75" x14ac:dyDescent="0.25">
      <c r="A58" s="8"/>
      <c r="B58" s="8"/>
      <c r="C58" s="9"/>
      <c r="D58" s="12" t="s">
        <v>54</v>
      </c>
      <c r="E58" s="16">
        <v>21641652.930000003</v>
      </c>
      <c r="F58" s="16">
        <v>19941307.253654093</v>
      </c>
      <c r="G58" s="16">
        <v>402950.64</v>
      </c>
      <c r="H58" s="16">
        <v>0</v>
      </c>
      <c r="I58" s="13">
        <f t="shared" si="0"/>
        <v>41985910.8236541</v>
      </c>
    </row>
    <row r="59" spans="1:9" ht="15.75" x14ac:dyDescent="0.25">
      <c r="A59" s="8"/>
      <c r="B59" s="8"/>
      <c r="C59" s="9"/>
      <c r="D59" s="12" t="s">
        <v>55</v>
      </c>
      <c r="E59" s="16">
        <v>46765869.509999998</v>
      </c>
      <c r="F59" s="16">
        <v>33684940.187252089</v>
      </c>
      <c r="G59" s="16">
        <v>4987738.04</v>
      </c>
      <c r="H59" s="16">
        <v>0</v>
      </c>
      <c r="I59" s="13">
        <f t="shared" si="0"/>
        <v>85438547.737252101</v>
      </c>
    </row>
    <row r="60" spans="1:9" ht="15.75" x14ac:dyDescent="0.25">
      <c r="A60" s="8"/>
      <c r="B60" s="8"/>
      <c r="C60" s="9"/>
      <c r="D60" s="12" t="s">
        <v>56</v>
      </c>
      <c r="E60" s="16">
        <v>24479017.190000001</v>
      </c>
      <c r="F60" s="16">
        <v>20379434.451537292</v>
      </c>
      <c r="G60" s="16">
        <v>2761280.1900000004</v>
      </c>
      <c r="H60" s="16">
        <v>0</v>
      </c>
      <c r="I60" s="13">
        <f t="shared" si="0"/>
        <v>47619731.831537291</v>
      </c>
    </row>
    <row r="61" spans="1:9" ht="15.75" x14ac:dyDescent="0.25">
      <c r="A61" s="8"/>
      <c r="B61" s="8"/>
      <c r="C61" s="9"/>
      <c r="D61" s="12" t="s">
        <v>57</v>
      </c>
      <c r="E61" s="16">
        <v>137581963.83000001</v>
      </c>
      <c r="F61" s="16">
        <v>34190003.484811887</v>
      </c>
      <c r="G61" s="16">
        <v>2117547.4700000002</v>
      </c>
      <c r="H61" s="16">
        <v>0</v>
      </c>
      <c r="I61" s="13">
        <f t="shared" si="0"/>
        <v>173889514.78481188</v>
      </c>
    </row>
    <row r="62" spans="1:9" ht="15.75" x14ac:dyDescent="0.25">
      <c r="A62" s="8"/>
      <c r="B62" s="8"/>
      <c r="C62" s="9"/>
      <c r="D62" s="12" t="s">
        <v>58</v>
      </c>
      <c r="E62" s="16">
        <v>80334502.600000009</v>
      </c>
      <c r="F62" s="16">
        <v>38148361.015687183</v>
      </c>
      <c r="G62" s="16">
        <v>185487797.40000001</v>
      </c>
      <c r="H62" s="16">
        <v>0</v>
      </c>
      <c r="I62" s="13">
        <f t="shared" si="0"/>
        <v>303970661.01568723</v>
      </c>
    </row>
    <row r="63" spans="1:9" ht="15.75" x14ac:dyDescent="0.25">
      <c r="A63" s="8"/>
      <c r="B63" s="8"/>
      <c r="C63" s="9"/>
      <c r="D63" s="12" t="s">
        <v>59</v>
      </c>
      <c r="E63" s="16">
        <v>16485746.800000001</v>
      </c>
      <c r="F63" s="16">
        <v>4210454.5296572987</v>
      </c>
      <c r="G63" s="16">
        <v>13833820.85</v>
      </c>
      <c r="H63" s="16">
        <v>0</v>
      </c>
      <c r="I63" s="13">
        <f t="shared" si="0"/>
        <v>34530022.179657303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90789734.439999998</v>
      </c>
      <c r="H64" s="16">
        <v>0</v>
      </c>
      <c r="I64" s="13">
        <f t="shared" si="0"/>
        <v>90789734.439999998</v>
      </c>
    </row>
    <row r="65" spans="1:9" ht="15.75" x14ac:dyDescent="0.25">
      <c r="A65" s="8"/>
      <c r="B65" s="8"/>
      <c r="C65" s="9"/>
      <c r="D65" s="12" t="s">
        <v>61</v>
      </c>
      <c r="E65" s="16">
        <v>64206263.579999998</v>
      </c>
      <c r="F65" s="16">
        <v>49853485.459134176</v>
      </c>
      <c r="G65" s="16">
        <v>2791031.81</v>
      </c>
      <c r="H65" s="16">
        <v>0</v>
      </c>
      <c r="I65" s="13">
        <f t="shared" si="0"/>
        <v>116850780.84913418</v>
      </c>
    </row>
    <row r="66" spans="1:9" ht="15.75" x14ac:dyDescent="0.25">
      <c r="A66" s="8"/>
      <c r="B66" s="8"/>
      <c r="C66" s="9"/>
      <c r="D66" s="12" t="s">
        <v>62</v>
      </c>
      <c r="E66" s="16">
        <v>319503452.40000004</v>
      </c>
      <c r="F66" s="16">
        <v>99118020.171113849</v>
      </c>
      <c r="G66" s="16">
        <v>5467793.5800000001</v>
      </c>
      <c r="H66" s="16">
        <v>0</v>
      </c>
      <c r="I66" s="13">
        <f t="shared" si="0"/>
        <v>424089266.15111387</v>
      </c>
    </row>
    <row r="67" spans="1:9" ht="15.75" x14ac:dyDescent="0.25">
      <c r="A67" s="8"/>
      <c r="B67" s="8"/>
      <c r="C67" s="9"/>
      <c r="D67" s="12" t="s">
        <v>63</v>
      </c>
      <c r="E67" s="16">
        <v>54848516.279999994</v>
      </c>
      <c r="F67" s="16">
        <v>45811675.12866208</v>
      </c>
      <c r="G67" s="16">
        <v>1813715.09</v>
      </c>
      <c r="H67" s="16">
        <v>0</v>
      </c>
      <c r="I67" s="13">
        <f t="shared" si="0"/>
        <v>102473906.49866208</v>
      </c>
    </row>
    <row r="68" spans="1:9" ht="15.75" x14ac:dyDescent="0.25">
      <c r="A68" s="8"/>
      <c r="B68" s="8"/>
      <c r="C68" s="9"/>
      <c r="D68" s="12" t="s">
        <v>64</v>
      </c>
      <c r="E68" s="16">
        <v>65636610.439999998</v>
      </c>
      <c r="F68" s="16">
        <v>19368873.206419792</v>
      </c>
      <c r="G68" s="16">
        <v>67523.61</v>
      </c>
      <c r="H68" s="16">
        <v>0</v>
      </c>
      <c r="I68" s="13">
        <f t="shared" si="0"/>
        <v>85073007.256419793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25791989.110000003</v>
      </c>
      <c r="H69" s="16">
        <v>0</v>
      </c>
      <c r="I69" s="13">
        <f t="shared" si="0"/>
        <v>25791989.110000003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30186026.500000004</v>
      </c>
      <c r="H70" s="16">
        <v>0</v>
      </c>
      <c r="I70" s="13">
        <f t="shared" si="0"/>
        <v>30186026.500000004</v>
      </c>
    </row>
    <row r="71" spans="1:9" ht="15.75" x14ac:dyDescent="0.25">
      <c r="A71" s="8"/>
      <c r="B71" s="8"/>
      <c r="C71" s="9"/>
      <c r="D71" s="12" t="s">
        <v>67</v>
      </c>
      <c r="E71" s="16">
        <v>159860.57</v>
      </c>
      <c r="F71" s="16">
        <v>505063.2975597998</v>
      </c>
      <c r="G71" s="16">
        <v>30252148.25</v>
      </c>
      <c r="H71" s="16">
        <v>0</v>
      </c>
      <c r="I71" s="13">
        <f t="shared" si="0"/>
        <v>30917072.117559798</v>
      </c>
    </row>
    <row r="72" spans="1:9" ht="15.75" x14ac:dyDescent="0.25">
      <c r="A72" s="8"/>
      <c r="B72" s="8"/>
      <c r="C72" s="9"/>
      <c r="D72" s="12" t="s">
        <v>68</v>
      </c>
      <c r="E72" s="16">
        <v>87527770.349999994</v>
      </c>
      <c r="F72" s="16">
        <v>31461705.447993588</v>
      </c>
      <c r="G72" s="16">
        <v>22964473.579999998</v>
      </c>
      <c r="H72" s="16">
        <v>0</v>
      </c>
      <c r="I72" s="13">
        <f t="shared" si="0"/>
        <v>141953949.37799358</v>
      </c>
    </row>
    <row r="73" spans="1:9" ht="15.75" x14ac:dyDescent="0.25">
      <c r="A73" s="8"/>
      <c r="B73" s="8"/>
      <c r="C73" s="9"/>
      <c r="D73" s="12" t="s">
        <v>69</v>
      </c>
      <c r="E73" s="16">
        <v>422309.63</v>
      </c>
      <c r="F73" s="16">
        <v>0</v>
      </c>
      <c r="G73" s="16">
        <v>15808794.9</v>
      </c>
      <c r="H73" s="16">
        <v>0</v>
      </c>
      <c r="I73" s="13">
        <f t="shared" si="0"/>
        <v>16231104.530000001</v>
      </c>
    </row>
    <row r="74" spans="1:9" ht="15.75" x14ac:dyDescent="0.25">
      <c r="A74" s="8"/>
      <c r="B74" s="8"/>
      <c r="C74" s="9"/>
      <c r="D74" s="12" t="s">
        <v>70</v>
      </c>
      <c r="E74" s="16">
        <v>12056828.83</v>
      </c>
      <c r="F74" s="16">
        <v>2660927.2871437985</v>
      </c>
      <c r="G74" s="16">
        <v>147486791.13</v>
      </c>
      <c r="H74" s="16">
        <v>0</v>
      </c>
      <c r="I74" s="13">
        <f t="shared" ref="I74:I137" si="1">SUM(E74:H74)</f>
        <v>162204547.24714381</v>
      </c>
    </row>
    <row r="75" spans="1:9" ht="15.75" x14ac:dyDescent="0.25">
      <c r="A75" s="8"/>
      <c r="B75" s="8"/>
      <c r="C75" s="9"/>
      <c r="D75" s="12" t="s">
        <v>71</v>
      </c>
      <c r="E75" s="16">
        <v>25476072.690000001</v>
      </c>
      <c r="F75" s="16">
        <v>10341192.750036795</v>
      </c>
      <c r="G75" s="16">
        <v>207092035.53999996</v>
      </c>
      <c r="H75" s="16">
        <v>0</v>
      </c>
      <c r="I75" s="13">
        <f t="shared" si="1"/>
        <v>242909300.98003677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71085596.75</v>
      </c>
      <c r="H76" s="16">
        <v>0</v>
      </c>
      <c r="I76" s="13">
        <f t="shared" si="1"/>
        <v>71085596.75</v>
      </c>
    </row>
    <row r="77" spans="1:9" ht="15.75" x14ac:dyDescent="0.25">
      <c r="A77" s="8"/>
      <c r="B77" s="8"/>
      <c r="C77" s="9"/>
      <c r="D77" s="12" t="s">
        <v>73</v>
      </c>
      <c r="E77" s="16">
        <v>28669395.309999999</v>
      </c>
      <c r="F77" s="16">
        <v>51285222.552216783</v>
      </c>
      <c r="G77" s="16">
        <v>2171734.15</v>
      </c>
      <c r="H77" s="16">
        <v>0</v>
      </c>
      <c r="I77" s="13">
        <f t="shared" si="1"/>
        <v>82126352.012216792</v>
      </c>
    </row>
    <row r="78" spans="1:9" ht="15.75" x14ac:dyDescent="0.25">
      <c r="A78" s="8"/>
      <c r="B78" s="8"/>
      <c r="C78" s="9"/>
      <c r="D78" s="12" t="s">
        <v>74</v>
      </c>
      <c r="E78" s="16">
        <v>64836199.340000004</v>
      </c>
      <c r="F78" s="16">
        <v>52043252.148554377</v>
      </c>
      <c r="G78" s="16">
        <v>3692396.21</v>
      </c>
      <c r="H78" s="16">
        <v>0</v>
      </c>
      <c r="I78" s="13">
        <f t="shared" si="1"/>
        <v>120571847.69855438</v>
      </c>
    </row>
    <row r="79" spans="1:9" ht="15.75" x14ac:dyDescent="0.25">
      <c r="A79" s="8"/>
      <c r="B79" s="8"/>
      <c r="C79" s="9"/>
      <c r="D79" s="12" t="s">
        <v>75</v>
      </c>
      <c r="E79" s="16">
        <v>83481028.270000011</v>
      </c>
      <c r="F79" s="16">
        <v>29221519.358816989</v>
      </c>
      <c r="G79" s="16">
        <v>3446647.46</v>
      </c>
      <c r="H79" s="16">
        <v>0</v>
      </c>
      <c r="I79" s="13">
        <f t="shared" si="1"/>
        <v>116149195.08881699</v>
      </c>
    </row>
    <row r="80" spans="1:9" ht="15.75" x14ac:dyDescent="0.25">
      <c r="A80" s="8"/>
      <c r="B80" s="8"/>
      <c r="C80" s="9"/>
      <c r="D80" s="12" t="s">
        <v>76</v>
      </c>
      <c r="E80" s="16">
        <v>24620486.52</v>
      </c>
      <c r="F80" s="16">
        <v>15444418.375380691</v>
      </c>
      <c r="G80" s="16">
        <v>1064807.1399999999</v>
      </c>
      <c r="H80" s="16">
        <v>0</v>
      </c>
      <c r="I80" s="13">
        <f t="shared" si="1"/>
        <v>41129712.035380691</v>
      </c>
    </row>
    <row r="81" spans="1:9" ht="15.75" x14ac:dyDescent="0.25">
      <c r="A81" s="8"/>
      <c r="B81" s="8"/>
      <c r="C81" s="9"/>
      <c r="D81" s="12" t="s">
        <v>77</v>
      </c>
      <c r="E81" s="16">
        <v>170638464.28999999</v>
      </c>
      <c r="F81" s="16">
        <v>93189394.199757874</v>
      </c>
      <c r="G81" s="16">
        <v>7499919.3499999996</v>
      </c>
      <c r="H81" s="16">
        <v>0</v>
      </c>
      <c r="I81" s="13">
        <f t="shared" si="1"/>
        <v>271327777.83975786</v>
      </c>
    </row>
    <row r="82" spans="1:9" ht="15.75" x14ac:dyDescent="0.25">
      <c r="A82" s="8"/>
      <c r="B82" s="8"/>
      <c r="C82" s="9"/>
      <c r="D82" s="12" t="s">
        <v>78</v>
      </c>
      <c r="E82" s="16">
        <v>241023865.69</v>
      </c>
      <c r="F82" s="16">
        <v>64590728.287931576</v>
      </c>
      <c r="G82" s="16">
        <v>2879240.38</v>
      </c>
      <c r="H82" s="16">
        <v>0</v>
      </c>
      <c r="I82" s="13">
        <f t="shared" si="1"/>
        <v>308493834.35793155</v>
      </c>
    </row>
    <row r="83" spans="1:9" ht="15.75" x14ac:dyDescent="0.25">
      <c r="A83" s="8"/>
      <c r="B83" s="8"/>
      <c r="C83" s="9"/>
      <c r="D83" s="12" t="s">
        <v>79</v>
      </c>
      <c r="E83" s="16">
        <v>48220308.43</v>
      </c>
      <c r="F83" s="16">
        <v>26526689.371836983</v>
      </c>
      <c r="G83" s="16">
        <v>10532535.630000001</v>
      </c>
      <c r="H83" s="16">
        <v>0</v>
      </c>
      <c r="I83" s="13">
        <f t="shared" si="1"/>
        <v>85279533.431836978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86449338.699999988</v>
      </c>
      <c r="H84" s="16">
        <v>0</v>
      </c>
      <c r="I84" s="13">
        <f t="shared" si="1"/>
        <v>86449338.699999988</v>
      </c>
    </row>
    <row r="85" spans="1:9" ht="15.75" x14ac:dyDescent="0.25">
      <c r="A85" s="8"/>
      <c r="B85" s="8"/>
      <c r="C85" s="9"/>
      <c r="D85" s="12" t="s">
        <v>81</v>
      </c>
      <c r="E85" s="16">
        <v>47379868.950000003</v>
      </c>
      <c r="F85" s="16">
        <v>8252699.5101272967</v>
      </c>
      <c r="G85" s="16">
        <v>27309513.560000002</v>
      </c>
      <c r="H85" s="16">
        <v>0</v>
      </c>
      <c r="I85" s="13">
        <f t="shared" si="1"/>
        <v>82942082.020127296</v>
      </c>
    </row>
    <row r="86" spans="1:9" ht="15.75" x14ac:dyDescent="0.25">
      <c r="A86" s="8"/>
      <c r="B86" s="8"/>
      <c r="C86" s="9"/>
      <c r="D86" s="12" t="s">
        <v>82</v>
      </c>
      <c r="E86" s="16">
        <v>38621516.590000004</v>
      </c>
      <c r="F86" s="16">
        <v>34274325.584404483</v>
      </c>
      <c r="G86" s="16">
        <v>3639024.1</v>
      </c>
      <c r="H86" s="16">
        <v>0</v>
      </c>
      <c r="I86" s="13">
        <f t="shared" si="1"/>
        <v>76534866.274404481</v>
      </c>
    </row>
    <row r="87" spans="1:9" ht="15.75" x14ac:dyDescent="0.25">
      <c r="A87" s="8"/>
      <c r="B87" s="8"/>
      <c r="C87" s="9"/>
      <c r="D87" s="12" t="s">
        <v>83</v>
      </c>
      <c r="E87" s="16">
        <v>18596173.800000001</v>
      </c>
      <c r="F87" s="16">
        <v>45137967.631917074</v>
      </c>
      <c r="G87" s="16">
        <v>2236645.1399999997</v>
      </c>
      <c r="H87" s="16">
        <v>0</v>
      </c>
      <c r="I87" s="13">
        <f t="shared" si="1"/>
        <v>65970786.571917072</v>
      </c>
    </row>
    <row r="88" spans="1:9" ht="15.75" x14ac:dyDescent="0.25">
      <c r="A88" s="8"/>
      <c r="B88" s="8"/>
      <c r="C88" s="9"/>
      <c r="D88" s="12" t="s">
        <v>84</v>
      </c>
      <c r="E88" s="16">
        <v>246955.13</v>
      </c>
      <c r="F88" s="16">
        <v>0</v>
      </c>
      <c r="G88" s="16">
        <v>26878519.669999998</v>
      </c>
      <c r="H88" s="16">
        <v>0</v>
      </c>
      <c r="I88" s="13">
        <f t="shared" si="1"/>
        <v>27125474.799999997</v>
      </c>
    </row>
    <row r="89" spans="1:9" ht="15.75" x14ac:dyDescent="0.25">
      <c r="A89" s="8"/>
      <c r="B89" s="8"/>
      <c r="C89" s="9"/>
      <c r="D89" s="12" t="s">
        <v>85</v>
      </c>
      <c r="E89" s="16">
        <v>31932554.670000002</v>
      </c>
      <c r="F89" s="16">
        <v>44262147.886148572</v>
      </c>
      <c r="G89" s="16">
        <v>2047932.08</v>
      </c>
      <c r="H89" s="16">
        <v>0</v>
      </c>
      <c r="I89" s="13">
        <f t="shared" si="1"/>
        <v>78242634.636148572</v>
      </c>
    </row>
    <row r="90" spans="1:9" ht="15.75" x14ac:dyDescent="0.25">
      <c r="A90" s="8"/>
      <c r="B90" s="8"/>
      <c r="C90" s="9"/>
      <c r="D90" s="12" t="s">
        <v>86</v>
      </c>
      <c r="E90" s="16">
        <v>15469483.140000001</v>
      </c>
      <c r="F90" s="16">
        <v>11453027.444664994</v>
      </c>
      <c r="G90" s="16">
        <v>6938753.6699999999</v>
      </c>
      <c r="H90" s="16">
        <v>0</v>
      </c>
      <c r="I90" s="13">
        <f t="shared" si="1"/>
        <v>33861264.254664995</v>
      </c>
    </row>
    <row r="91" spans="1:9" ht="15.75" x14ac:dyDescent="0.25">
      <c r="A91" s="8"/>
      <c r="B91" s="8"/>
      <c r="C91" s="9"/>
      <c r="D91" s="12" t="s">
        <v>87</v>
      </c>
      <c r="E91" s="16">
        <v>46469919.519999996</v>
      </c>
      <c r="F91" s="16">
        <v>26122464.873789988</v>
      </c>
      <c r="G91" s="16">
        <v>12460898.350000001</v>
      </c>
      <c r="H91" s="16">
        <v>0</v>
      </c>
      <c r="I91" s="13">
        <f t="shared" si="1"/>
        <v>85053282.743789971</v>
      </c>
    </row>
    <row r="92" spans="1:9" ht="15.75" x14ac:dyDescent="0.25">
      <c r="A92" s="8"/>
      <c r="B92" s="8"/>
      <c r="C92" s="9"/>
      <c r="D92" s="12" t="s">
        <v>88</v>
      </c>
      <c r="E92" s="16">
        <v>3081944.37</v>
      </c>
      <c r="F92" s="16">
        <v>3604117.7825867981</v>
      </c>
      <c r="G92" s="16">
        <v>43309284.730000004</v>
      </c>
      <c r="H92" s="16">
        <v>0</v>
      </c>
      <c r="I92" s="13">
        <f t="shared" si="1"/>
        <v>49995346.8825868</v>
      </c>
    </row>
    <row r="93" spans="1:9" ht="15.75" x14ac:dyDescent="0.25">
      <c r="A93" s="8"/>
      <c r="B93" s="8"/>
      <c r="C93" s="9"/>
      <c r="D93" s="12" t="s">
        <v>89</v>
      </c>
      <c r="E93" s="16">
        <v>72200051.390000001</v>
      </c>
      <c r="F93" s="16">
        <v>29205002.658896789</v>
      </c>
      <c r="G93" s="16">
        <v>4002907.51</v>
      </c>
      <c r="H93" s="16">
        <v>0</v>
      </c>
      <c r="I93" s="13">
        <f t="shared" si="1"/>
        <v>105407961.55889679</v>
      </c>
    </row>
    <row r="94" spans="1:9" ht="15.75" x14ac:dyDescent="0.25">
      <c r="A94" s="8"/>
      <c r="B94" s="8"/>
      <c r="C94" s="9"/>
      <c r="D94" s="12" t="s">
        <v>90</v>
      </c>
      <c r="E94" s="16">
        <v>465238.58999999997</v>
      </c>
      <c r="F94" s="16">
        <v>0</v>
      </c>
      <c r="G94" s="16">
        <v>1170682.6199999999</v>
      </c>
      <c r="H94" s="16">
        <v>0</v>
      </c>
      <c r="I94" s="13">
        <f t="shared" si="1"/>
        <v>1635921.21</v>
      </c>
    </row>
    <row r="95" spans="1:9" ht="15.75" x14ac:dyDescent="0.25">
      <c r="A95" s="8"/>
      <c r="B95" s="8"/>
      <c r="C95" s="9"/>
      <c r="D95" s="12" t="s">
        <v>91</v>
      </c>
      <c r="E95" s="16">
        <v>7473252.5199999996</v>
      </c>
      <c r="F95" s="16">
        <v>926239.14552489948</v>
      </c>
      <c r="G95" s="16">
        <v>46219568.969999999</v>
      </c>
      <c r="H95" s="16">
        <v>0</v>
      </c>
      <c r="I95" s="13">
        <f t="shared" si="1"/>
        <v>54619060.635524899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60748699.260000005</v>
      </c>
      <c r="H96" s="16">
        <v>0</v>
      </c>
      <c r="I96" s="13">
        <f t="shared" si="1"/>
        <v>60748699.260000005</v>
      </c>
    </row>
    <row r="97" spans="1:9" ht="15.75" x14ac:dyDescent="0.25">
      <c r="A97" s="8"/>
      <c r="B97" s="8"/>
      <c r="C97" s="9"/>
      <c r="D97" s="12" t="s">
        <v>93</v>
      </c>
      <c r="E97" s="16">
        <v>24959989.960000001</v>
      </c>
      <c r="F97" s="16">
        <v>41600785.949006885</v>
      </c>
      <c r="G97" s="16">
        <v>3331301.66</v>
      </c>
      <c r="H97" s="16">
        <v>0</v>
      </c>
      <c r="I97" s="13">
        <f t="shared" si="1"/>
        <v>69892077.56900689</v>
      </c>
    </row>
    <row r="98" spans="1:9" ht="15.75" x14ac:dyDescent="0.25">
      <c r="A98" s="8"/>
      <c r="B98" s="8"/>
      <c r="C98" s="9"/>
      <c r="D98" s="12" t="s">
        <v>94</v>
      </c>
      <c r="E98" s="16">
        <v>100309003.53</v>
      </c>
      <c r="F98" s="16">
        <v>54721130.785616271</v>
      </c>
      <c r="G98" s="16">
        <v>21565831.52</v>
      </c>
      <c r="H98" s="16">
        <v>0</v>
      </c>
      <c r="I98" s="13">
        <f t="shared" si="1"/>
        <v>176595965.83561629</v>
      </c>
    </row>
    <row r="99" spans="1:9" ht="15.75" x14ac:dyDescent="0.25">
      <c r="A99" s="8"/>
      <c r="B99" s="8"/>
      <c r="C99" s="9"/>
      <c r="D99" s="12" t="s">
        <v>95</v>
      </c>
      <c r="E99" s="16">
        <v>66025658.129999995</v>
      </c>
      <c r="F99" s="16">
        <v>104271665.19621417</v>
      </c>
      <c r="G99" s="16">
        <v>10100049.24</v>
      </c>
      <c r="H99" s="16">
        <v>0</v>
      </c>
      <c r="I99" s="13">
        <f t="shared" si="1"/>
        <v>180397372.56621417</v>
      </c>
    </row>
    <row r="100" spans="1:9" ht="15.75" x14ac:dyDescent="0.25">
      <c r="A100" s="8"/>
      <c r="B100" s="8"/>
      <c r="C100" s="9"/>
      <c r="D100" s="12" t="s">
        <v>96</v>
      </c>
      <c r="E100" s="16">
        <v>137366130.18000001</v>
      </c>
      <c r="F100" s="16">
        <v>104322084.59597056</v>
      </c>
      <c r="G100" s="16">
        <v>20757162.469999999</v>
      </c>
      <c r="H100" s="16">
        <v>0</v>
      </c>
      <c r="I100" s="13">
        <f t="shared" si="1"/>
        <v>262445377.24597058</v>
      </c>
    </row>
    <row r="101" spans="1:9" ht="15.75" x14ac:dyDescent="0.25">
      <c r="A101" s="8"/>
      <c r="B101" s="8"/>
      <c r="C101" s="9"/>
      <c r="D101" s="12" t="s">
        <v>97</v>
      </c>
      <c r="E101" s="16">
        <v>4825885.9799999995</v>
      </c>
      <c r="F101" s="16">
        <v>139997721.77360466</v>
      </c>
      <c r="G101" s="16">
        <v>273325.44999999995</v>
      </c>
      <c r="H101" s="16">
        <v>0</v>
      </c>
      <c r="I101" s="13">
        <f t="shared" si="1"/>
        <v>145096933.20360464</v>
      </c>
    </row>
    <row r="102" spans="1:9" ht="15.75" x14ac:dyDescent="0.25">
      <c r="A102" s="8"/>
      <c r="B102" s="8"/>
      <c r="C102" s="9"/>
      <c r="D102" s="12" t="s">
        <v>98</v>
      </c>
      <c r="E102" s="16">
        <v>166118873.51999998</v>
      </c>
      <c r="F102" s="16">
        <v>60195112.85916888</v>
      </c>
      <c r="G102" s="16">
        <v>9896824.1400000006</v>
      </c>
      <c r="H102" s="16">
        <v>0</v>
      </c>
      <c r="I102" s="13">
        <f t="shared" si="1"/>
        <v>236210810.51916885</v>
      </c>
    </row>
    <row r="103" spans="1:9" ht="15.75" x14ac:dyDescent="0.25">
      <c r="A103" s="8"/>
      <c r="B103" s="8"/>
      <c r="C103" s="9"/>
      <c r="D103" s="12" t="s">
        <v>99</v>
      </c>
      <c r="E103" s="16">
        <v>43292717.240000002</v>
      </c>
      <c r="F103" s="16">
        <v>19116341.557639889</v>
      </c>
      <c r="G103" s="16">
        <v>1400724.54</v>
      </c>
      <c r="H103" s="16">
        <v>0</v>
      </c>
      <c r="I103" s="13">
        <f t="shared" si="1"/>
        <v>63809783.337639891</v>
      </c>
    </row>
    <row r="104" spans="1:9" ht="15.75" x14ac:dyDescent="0.25">
      <c r="A104" s="8"/>
      <c r="B104" s="8"/>
      <c r="C104" s="9"/>
      <c r="D104" s="12" t="s">
        <v>100</v>
      </c>
      <c r="E104" s="16">
        <v>257699311.19</v>
      </c>
      <c r="F104" s="16">
        <v>34931081.731231384</v>
      </c>
      <c r="G104" s="16">
        <v>22504696.489999998</v>
      </c>
      <c r="H104" s="16">
        <v>0</v>
      </c>
      <c r="I104" s="13">
        <f t="shared" si="1"/>
        <v>315135089.4112314</v>
      </c>
    </row>
    <row r="105" spans="1:9" ht="15.75" x14ac:dyDescent="0.25">
      <c r="A105" s="8"/>
      <c r="B105" s="8"/>
      <c r="C105" s="9"/>
      <c r="D105" s="12" t="s">
        <v>101</v>
      </c>
      <c r="E105" s="16">
        <v>34469068.789999999</v>
      </c>
      <c r="F105" s="16">
        <v>51874607.949369177</v>
      </c>
      <c r="G105" s="16">
        <v>1006974.7399999999</v>
      </c>
      <c r="H105" s="16">
        <v>0</v>
      </c>
      <c r="I105" s="13">
        <f t="shared" si="1"/>
        <v>87350651.479369178</v>
      </c>
    </row>
    <row r="106" spans="1:9" ht="15.75" x14ac:dyDescent="0.25">
      <c r="A106" s="8"/>
      <c r="B106" s="8"/>
      <c r="C106" s="9"/>
      <c r="D106" s="12" t="s">
        <v>102</v>
      </c>
      <c r="E106" s="16">
        <v>25007940.68</v>
      </c>
      <c r="F106" s="16">
        <v>3199893.2845397987</v>
      </c>
      <c r="G106" s="16">
        <v>53229010.940000005</v>
      </c>
      <c r="H106" s="16">
        <v>0</v>
      </c>
      <c r="I106" s="13">
        <f t="shared" si="1"/>
        <v>81436844.904539809</v>
      </c>
    </row>
    <row r="107" spans="1:9" ht="15.75" x14ac:dyDescent="0.25">
      <c r="A107" s="8"/>
      <c r="B107" s="8"/>
      <c r="C107" s="9"/>
      <c r="D107" s="12" t="s">
        <v>103</v>
      </c>
      <c r="E107" s="16">
        <v>863191.69</v>
      </c>
      <c r="F107" s="16">
        <v>0</v>
      </c>
      <c r="G107" s="16">
        <v>10462227.609999999</v>
      </c>
      <c r="H107" s="16">
        <v>0</v>
      </c>
      <c r="I107" s="13">
        <f t="shared" si="1"/>
        <v>11325419.299999999</v>
      </c>
    </row>
    <row r="108" spans="1:9" ht="15.75" x14ac:dyDescent="0.25">
      <c r="A108" s="8"/>
      <c r="B108" s="8"/>
      <c r="C108" s="9"/>
      <c r="D108" s="12" t="s">
        <v>104</v>
      </c>
      <c r="E108" s="16">
        <v>3956272.37</v>
      </c>
      <c r="F108" s="16">
        <v>0</v>
      </c>
      <c r="G108" s="16">
        <v>7105919.9700000007</v>
      </c>
      <c r="H108" s="16">
        <v>0</v>
      </c>
      <c r="I108" s="13">
        <f t="shared" si="1"/>
        <v>11062192.34</v>
      </c>
    </row>
    <row r="109" spans="1:9" ht="15.75" x14ac:dyDescent="0.25">
      <c r="A109" s="8"/>
      <c r="B109" s="8"/>
      <c r="C109" s="9"/>
      <c r="D109" s="12" t="s">
        <v>105</v>
      </c>
      <c r="E109" s="16">
        <v>11169272.359999999</v>
      </c>
      <c r="F109" s="16">
        <v>83437586.846873462</v>
      </c>
      <c r="G109" s="16">
        <v>1035070.6299999999</v>
      </c>
      <c r="H109" s="16">
        <v>0</v>
      </c>
      <c r="I109" s="13">
        <f t="shared" si="1"/>
        <v>95641929.836873457</v>
      </c>
    </row>
    <row r="110" spans="1:9" ht="15.75" x14ac:dyDescent="0.25">
      <c r="A110" s="8"/>
      <c r="B110" s="8"/>
      <c r="C110" s="9"/>
      <c r="D110" s="12" t="s">
        <v>106</v>
      </c>
      <c r="E110" s="16">
        <v>25149863.82</v>
      </c>
      <c r="F110" s="16">
        <v>19351921.856501691</v>
      </c>
      <c r="G110" s="16">
        <v>2119804.83</v>
      </c>
      <c r="H110" s="16">
        <v>0</v>
      </c>
      <c r="I110" s="13">
        <f t="shared" si="1"/>
        <v>46621590.50650169</v>
      </c>
    </row>
    <row r="111" spans="1:9" ht="15.75" x14ac:dyDescent="0.25">
      <c r="A111" s="8"/>
      <c r="B111" s="8"/>
      <c r="C111" s="9"/>
      <c r="D111" s="12" t="s">
        <v>107</v>
      </c>
      <c r="E111" s="16">
        <v>588874.14999999991</v>
      </c>
      <c r="F111" s="16">
        <v>319902.3984543999</v>
      </c>
      <c r="G111" s="16">
        <v>84564251.909999996</v>
      </c>
      <c r="H111" s="16">
        <v>0</v>
      </c>
      <c r="I111" s="13">
        <f t="shared" si="1"/>
        <v>85473028.4584544</v>
      </c>
    </row>
    <row r="112" spans="1:9" ht="15.75" x14ac:dyDescent="0.25">
      <c r="A112" s="8"/>
      <c r="B112" s="8"/>
      <c r="C112" s="9"/>
      <c r="D112" s="12" t="s">
        <v>108</v>
      </c>
      <c r="E112" s="16">
        <v>60061872.410000004</v>
      </c>
      <c r="F112" s="16">
        <v>21895058.994214587</v>
      </c>
      <c r="G112" s="16">
        <v>5685374.1499999994</v>
      </c>
      <c r="H112" s="16">
        <v>0</v>
      </c>
      <c r="I112" s="13">
        <f t="shared" si="1"/>
        <v>87642305.554214597</v>
      </c>
    </row>
    <row r="113" spans="1:9" ht="15.75" x14ac:dyDescent="0.25">
      <c r="A113" s="8"/>
      <c r="B113" s="8"/>
      <c r="C113" s="9"/>
      <c r="D113" s="12" t="s">
        <v>109</v>
      </c>
      <c r="E113" s="16">
        <v>51900220.469999999</v>
      </c>
      <c r="F113" s="16">
        <v>52716959.645299375</v>
      </c>
      <c r="G113" s="16">
        <v>3076096.45</v>
      </c>
      <c r="H113" s="16">
        <v>0</v>
      </c>
      <c r="I113" s="13">
        <f t="shared" si="1"/>
        <v>107693276.56529938</v>
      </c>
    </row>
    <row r="114" spans="1:9" ht="15.75" x14ac:dyDescent="0.25">
      <c r="A114" s="8"/>
      <c r="B114" s="8"/>
      <c r="C114" s="9"/>
      <c r="D114" s="12" t="s">
        <v>110</v>
      </c>
      <c r="E114" s="16">
        <v>141548788.27000004</v>
      </c>
      <c r="F114" s="16">
        <v>60464595.857866868</v>
      </c>
      <c r="G114" s="16">
        <v>4502249.76</v>
      </c>
      <c r="H114" s="16">
        <v>0</v>
      </c>
      <c r="I114" s="13">
        <f t="shared" si="1"/>
        <v>206515633.88786691</v>
      </c>
    </row>
    <row r="115" spans="1:9" ht="15.75" x14ac:dyDescent="0.25">
      <c r="A115" s="8"/>
      <c r="B115" s="8"/>
      <c r="C115" s="9"/>
      <c r="D115" s="12" t="s">
        <v>111</v>
      </c>
      <c r="E115" s="16">
        <v>285544742.20999998</v>
      </c>
      <c r="F115" s="16">
        <v>29895226.855561987</v>
      </c>
      <c r="G115" s="16">
        <v>4909683.97</v>
      </c>
      <c r="H115" s="16">
        <v>0</v>
      </c>
      <c r="I115" s="13">
        <f t="shared" si="1"/>
        <v>320349653.03556198</v>
      </c>
    </row>
    <row r="116" spans="1:9" ht="15.75" x14ac:dyDescent="0.25">
      <c r="A116" s="8"/>
      <c r="B116" s="8"/>
      <c r="C116" s="9"/>
      <c r="D116" s="12" t="s">
        <v>112</v>
      </c>
      <c r="E116" s="16">
        <v>27482863.349999998</v>
      </c>
      <c r="F116" s="16">
        <v>38822068.51243218</v>
      </c>
      <c r="G116" s="16">
        <v>73995.429999999993</v>
      </c>
      <c r="H116" s="16">
        <v>0</v>
      </c>
      <c r="I116" s="13">
        <f t="shared" si="1"/>
        <v>66378927.292432182</v>
      </c>
    </row>
    <row r="117" spans="1:9" ht="15.75" x14ac:dyDescent="0.25">
      <c r="A117" s="8"/>
      <c r="B117" s="8"/>
      <c r="C117" s="9"/>
      <c r="D117" s="12" t="s">
        <v>113</v>
      </c>
      <c r="E117" s="16">
        <v>26738865.25</v>
      </c>
      <c r="F117" s="16">
        <v>29979548.95515459</v>
      </c>
      <c r="G117" s="16">
        <v>5235208.5</v>
      </c>
      <c r="H117" s="16">
        <v>0</v>
      </c>
      <c r="I117" s="13">
        <f t="shared" si="1"/>
        <v>61953622.70515459</v>
      </c>
    </row>
    <row r="118" spans="1:9" ht="15.75" x14ac:dyDescent="0.25">
      <c r="A118" s="8"/>
      <c r="B118" s="8"/>
      <c r="C118" s="9"/>
      <c r="D118" s="12" t="s">
        <v>114</v>
      </c>
      <c r="E118" s="16">
        <v>33073145.169999998</v>
      </c>
      <c r="F118" s="16">
        <v>46822236.37377958</v>
      </c>
      <c r="G118" s="16">
        <v>7935624.04</v>
      </c>
      <c r="H118" s="16">
        <v>0</v>
      </c>
      <c r="I118" s="13">
        <f t="shared" si="1"/>
        <v>87831005.583779588</v>
      </c>
    </row>
    <row r="119" spans="1:9" ht="15.75" x14ac:dyDescent="0.25">
      <c r="A119" s="8"/>
      <c r="B119" s="8"/>
      <c r="C119" s="9"/>
      <c r="D119" s="12" t="s">
        <v>115</v>
      </c>
      <c r="E119" s="16">
        <v>14338098.530000001</v>
      </c>
      <c r="F119" s="16">
        <v>4547308.2780297976</v>
      </c>
      <c r="G119" s="16">
        <v>3093075.68</v>
      </c>
      <c r="H119" s="16">
        <v>0</v>
      </c>
      <c r="I119" s="13">
        <f t="shared" si="1"/>
        <v>21978482.4880298</v>
      </c>
    </row>
    <row r="120" spans="1:9" ht="15.75" x14ac:dyDescent="0.25">
      <c r="A120" s="8"/>
      <c r="B120" s="8"/>
      <c r="C120" s="9"/>
      <c r="D120" s="12" t="s">
        <v>116</v>
      </c>
      <c r="E120" s="16">
        <v>156260607.53999999</v>
      </c>
      <c r="F120" s="16">
        <v>19873936.50397959</v>
      </c>
      <c r="G120" s="16">
        <v>7120628.21</v>
      </c>
      <c r="H120" s="16">
        <v>0</v>
      </c>
      <c r="I120" s="13">
        <f t="shared" si="1"/>
        <v>183255172.25397959</v>
      </c>
    </row>
    <row r="121" spans="1:9" ht="15.75" x14ac:dyDescent="0.25">
      <c r="A121" s="8"/>
      <c r="B121" s="8"/>
      <c r="C121" s="9"/>
      <c r="D121" s="12" t="s">
        <v>117</v>
      </c>
      <c r="E121" s="16">
        <v>51508619.170000002</v>
      </c>
      <c r="F121" s="16">
        <v>29491002.357514985</v>
      </c>
      <c r="G121" s="16">
        <v>5272157.3100000005</v>
      </c>
      <c r="H121" s="16">
        <v>0</v>
      </c>
      <c r="I121" s="13">
        <f t="shared" si="1"/>
        <v>86271778.837514997</v>
      </c>
    </row>
    <row r="122" spans="1:9" ht="15.75" x14ac:dyDescent="0.25">
      <c r="A122" s="8"/>
      <c r="B122" s="8"/>
      <c r="C122" s="9"/>
      <c r="D122" s="12" t="s">
        <v>118</v>
      </c>
      <c r="E122" s="16">
        <v>77442073.700000018</v>
      </c>
      <c r="F122" s="16">
        <v>21743800.794945389</v>
      </c>
      <c r="G122" s="16">
        <v>5281287.82</v>
      </c>
      <c r="H122" s="16">
        <v>0</v>
      </c>
      <c r="I122" s="13">
        <f t="shared" si="1"/>
        <v>104467162.3149454</v>
      </c>
    </row>
    <row r="123" spans="1:9" ht="15.75" x14ac:dyDescent="0.25">
      <c r="A123" s="8"/>
      <c r="B123" s="8"/>
      <c r="C123" s="9"/>
      <c r="D123" s="12" t="s">
        <v>119</v>
      </c>
      <c r="E123" s="16">
        <v>68137354.550000012</v>
      </c>
      <c r="F123" s="16">
        <v>39950419.906980582</v>
      </c>
      <c r="G123" s="16">
        <v>1966905.73</v>
      </c>
      <c r="H123" s="16">
        <v>0</v>
      </c>
      <c r="I123" s="13">
        <f t="shared" si="1"/>
        <v>110054680.18698059</v>
      </c>
    </row>
    <row r="124" spans="1:9" ht="15.75" x14ac:dyDescent="0.25">
      <c r="A124" s="8"/>
      <c r="B124" s="8"/>
      <c r="C124" s="9"/>
      <c r="D124" s="12" t="s">
        <v>120</v>
      </c>
      <c r="E124" s="16">
        <v>1626100.03</v>
      </c>
      <c r="F124" s="16">
        <v>0</v>
      </c>
      <c r="G124" s="16">
        <v>27585100.289999999</v>
      </c>
      <c r="H124" s="16">
        <v>287326409</v>
      </c>
      <c r="I124" s="13">
        <f t="shared" si="1"/>
        <v>316537609.31999999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77026186.629999995</v>
      </c>
      <c r="H125" s="16">
        <v>46133195.565000005</v>
      </c>
      <c r="I125" s="13">
        <f t="shared" si="1"/>
        <v>123159382.19499999</v>
      </c>
    </row>
    <row r="126" spans="1:9" ht="15.75" x14ac:dyDescent="0.25">
      <c r="A126" s="8"/>
      <c r="B126" s="8"/>
      <c r="C126" s="9"/>
      <c r="D126" s="12" t="s">
        <v>122</v>
      </c>
      <c r="E126" s="16">
        <v>32392.45</v>
      </c>
      <c r="F126" s="16">
        <v>0</v>
      </c>
      <c r="G126" s="16">
        <v>48478455.5</v>
      </c>
      <c r="H126" s="16">
        <v>0</v>
      </c>
      <c r="I126" s="13">
        <f t="shared" si="1"/>
        <v>48510847.950000003</v>
      </c>
    </row>
    <row r="127" spans="1:9" ht="15.75" x14ac:dyDescent="0.25">
      <c r="A127" s="8"/>
      <c r="B127" s="8"/>
      <c r="C127" s="9"/>
      <c r="D127" s="12" t="s">
        <v>123</v>
      </c>
      <c r="E127" s="16">
        <v>39427759.170000002</v>
      </c>
      <c r="F127" s="16">
        <v>8421343.7093124986</v>
      </c>
      <c r="G127" s="16">
        <v>24239795.009999998</v>
      </c>
      <c r="H127" s="16">
        <v>0</v>
      </c>
      <c r="I127" s="13">
        <f t="shared" si="1"/>
        <v>72088897.889312506</v>
      </c>
    </row>
    <row r="128" spans="1:9" ht="15.75" x14ac:dyDescent="0.25">
      <c r="A128" s="8"/>
      <c r="B128" s="8"/>
      <c r="C128" s="9"/>
      <c r="D128" s="12" t="s">
        <v>124</v>
      </c>
      <c r="E128" s="16">
        <v>61716655.539999992</v>
      </c>
      <c r="F128" s="16">
        <v>26274157.723057091</v>
      </c>
      <c r="G128" s="16">
        <v>11999606.879999999</v>
      </c>
      <c r="H128" s="16">
        <v>0</v>
      </c>
      <c r="I128" s="13">
        <f t="shared" si="1"/>
        <v>99990420.143057078</v>
      </c>
    </row>
    <row r="129" spans="1:9" ht="15.75" x14ac:dyDescent="0.25">
      <c r="A129" s="8"/>
      <c r="B129" s="8"/>
      <c r="C129" s="9"/>
      <c r="D129" s="12" t="s">
        <v>125</v>
      </c>
      <c r="E129" s="16">
        <v>21898660.710000001</v>
      </c>
      <c r="F129" s="16">
        <v>12716120.338562394</v>
      </c>
      <c r="G129" s="16">
        <v>9019832.629999999</v>
      </c>
      <c r="H129" s="16">
        <v>0</v>
      </c>
      <c r="I129" s="13">
        <f t="shared" si="1"/>
        <v>43634613.678562388</v>
      </c>
    </row>
    <row r="130" spans="1:9" ht="15.75" x14ac:dyDescent="0.25">
      <c r="A130" s="8"/>
      <c r="B130" s="8"/>
      <c r="C130" s="9"/>
      <c r="D130" s="12" t="s">
        <v>126</v>
      </c>
      <c r="E130" s="16">
        <v>26693936.73</v>
      </c>
      <c r="F130" s="16">
        <v>22400556.94177229</v>
      </c>
      <c r="G130" s="16">
        <v>1732567.39</v>
      </c>
      <c r="H130" s="16">
        <v>0</v>
      </c>
      <c r="I130" s="13">
        <f t="shared" si="1"/>
        <v>50827061.061772287</v>
      </c>
    </row>
    <row r="131" spans="1:9" ht="15.75" x14ac:dyDescent="0.25">
      <c r="A131" s="8"/>
      <c r="B131" s="8"/>
      <c r="C131" s="9"/>
      <c r="D131" s="12" t="s">
        <v>127</v>
      </c>
      <c r="E131" s="16">
        <v>204291468.25</v>
      </c>
      <c r="F131" s="16">
        <v>122427864.90849295</v>
      </c>
      <c r="G131" s="16">
        <v>41749925.590000004</v>
      </c>
      <c r="H131" s="16">
        <v>0</v>
      </c>
      <c r="I131" s="13">
        <f t="shared" si="1"/>
        <v>368469258.74849296</v>
      </c>
    </row>
    <row r="132" spans="1:9" ht="15.75" x14ac:dyDescent="0.25">
      <c r="A132" s="8"/>
      <c r="B132" s="8"/>
      <c r="C132" s="9"/>
      <c r="D132" s="12" t="s">
        <v>128</v>
      </c>
      <c r="E132" s="16">
        <v>38800890.740000002</v>
      </c>
      <c r="F132" s="16">
        <v>75117516.587071657</v>
      </c>
      <c r="G132" s="16">
        <v>85908.69</v>
      </c>
      <c r="H132" s="16">
        <v>0</v>
      </c>
      <c r="I132" s="13">
        <f t="shared" si="1"/>
        <v>114004316.01707166</v>
      </c>
    </row>
    <row r="133" spans="1:9" ht="15.75" x14ac:dyDescent="0.25">
      <c r="A133" s="8"/>
      <c r="B133" s="8"/>
      <c r="C133" s="9"/>
      <c r="D133" s="12" t="s">
        <v>129</v>
      </c>
      <c r="E133" s="16">
        <v>28168021.379999995</v>
      </c>
      <c r="F133" s="16">
        <v>0</v>
      </c>
      <c r="G133" s="16">
        <v>70061359.729999989</v>
      </c>
      <c r="H133" s="16">
        <v>145274862.14999998</v>
      </c>
      <c r="I133" s="13">
        <f t="shared" si="1"/>
        <v>243504243.25999996</v>
      </c>
    </row>
    <row r="134" spans="1:9" ht="15.75" x14ac:dyDescent="0.25">
      <c r="A134" s="8"/>
      <c r="B134" s="8"/>
      <c r="C134" s="9"/>
      <c r="D134" s="12" t="s">
        <v>130</v>
      </c>
      <c r="E134" s="16">
        <v>7543631.6100000003</v>
      </c>
      <c r="F134" s="16">
        <v>3705391.2320974991</v>
      </c>
      <c r="G134" s="16">
        <v>7067.5999999999995</v>
      </c>
      <c r="H134" s="16">
        <v>0</v>
      </c>
      <c r="I134" s="13">
        <f t="shared" si="1"/>
        <v>11256090.442097498</v>
      </c>
    </row>
    <row r="135" spans="1:9" ht="15.75" x14ac:dyDescent="0.25">
      <c r="A135" s="8"/>
      <c r="B135" s="8"/>
      <c r="C135" s="9"/>
      <c r="D135" s="12" t="s">
        <v>131</v>
      </c>
      <c r="E135" s="16">
        <v>21657004.66</v>
      </c>
      <c r="F135" s="16">
        <v>46822236.37377958</v>
      </c>
      <c r="G135" s="16">
        <v>482269.78</v>
      </c>
      <c r="H135" s="16">
        <v>0</v>
      </c>
      <c r="I135" s="13">
        <f t="shared" si="1"/>
        <v>68961510.813779578</v>
      </c>
    </row>
    <row r="136" spans="1:9" ht="15.75" x14ac:dyDescent="0.25">
      <c r="A136" s="8"/>
      <c r="B136" s="8"/>
      <c r="C136" s="9"/>
      <c r="D136" s="12" t="s">
        <v>132</v>
      </c>
      <c r="E136" s="16">
        <v>170497085.62</v>
      </c>
      <c r="F136" s="16">
        <v>56590560.426584169</v>
      </c>
      <c r="G136" s="16">
        <v>13237145.469999999</v>
      </c>
      <c r="H136" s="16">
        <v>0</v>
      </c>
      <c r="I136" s="13">
        <f t="shared" si="1"/>
        <v>240324791.51658419</v>
      </c>
    </row>
    <row r="137" spans="1:9" ht="15.75" x14ac:dyDescent="0.25">
      <c r="A137" s="8"/>
      <c r="B137" s="8"/>
      <c r="C137" s="9"/>
      <c r="D137" s="12" t="s">
        <v>133</v>
      </c>
      <c r="E137" s="16">
        <v>183443422.58000001</v>
      </c>
      <c r="F137" s="16">
        <v>88978505.020102665</v>
      </c>
      <c r="G137" s="16">
        <v>15387053.900000002</v>
      </c>
      <c r="H137" s="16">
        <v>0</v>
      </c>
      <c r="I137" s="13">
        <f t="shared" si="1"/>
        <v>287808981.50010264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48799219.25</v>
      </c>
      <c r="H138" s="16">
        <v>0</v>
      </c>
      <c r="I138" s="13">
        <f t="shared" ref="I138:I144" si="2">SUM(E138:H138)</f>
        <v>48799219.25</v>
      </c>
    </row>
    <row r="139" spans="1:9" ht="15.75" x14ac:dyDescent="0.25">
      <c r="A139" s="8"/>
      <c r="B139" s="8"/>
      <c r="C139" s="9"/>
      <c r="D139" s="12" t="s">
        <v>135</v>
      </c>
      <c r="E139" s="16">
        <v>15217558.32</v>
      </c>
      <c r="F139" s="16">
        <v>13322457.085632894</v>
      </c>
      <c r="G139" s="16">
        <v>1800349.4000000001</v>
      </c>
      <c r="H139" s="16">
        <v>0</v>
      </c>
      <c r="I139" s="13">
        <f t="shared" si="2"/>
        <v>30340364.805632893</v>
      </c>
    </row>
    <row r="140" spans="1:9" ht="15.75" x14ac:dyDescent="0.25">
      <c r="A140" s="8"/>
      <c r="B140" s="8"/>
      <c r="C140" s="9"/>
      <c r="D140" s="12" t="s">
        <v>136</v>
      </c>
      <c r="E140" s="16">
        <v>80396209.859999999</v>
      </c>
      <c r="F140" s="16">
        <v>94486389.793491453</v>
      </c>
      <c r="G140" s="16">
        <v>6598314.6899999995</v>
      </c>
      <c r="H140" s="16">
        <v>0</v>
      </c>
      <c r="I140" s="13">
        <f t="shared" si="2"/>
        <v>181480914.34349144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67226362.519999996</v>
      </c>
      <c r="H141" s="16">
        <v>16841738.350000001</v>
      </c>
      <c r="I141" s="13">
        <f t="shared" si="2"/>
        <v>84068100.870000005</v>
      </c>
    </row>
    <row r="142" spans="1:9" ht="15.75" x14ac:dyDescent="0.25">
      <c r="A142" s="8"/>
      <c r="B142" s="8"/>
      <c r="C142" s="9"/>
      <c r="D142" s="12" t="s">
        <v>138</v>
      </c>
      <c r="E142" s="16">
        <v>1055038.45</v>
      </c>
      <c r="F142" s="16">
        <v>0</v>
      </c>
      <c r="G142" s="16">
        <v>8172614.4000000004</v>
      </c>
      <c r="H142" s="16">
        <v>0</v>
      </c>
      <c r="I142" s="13">
        <f t="shared" si="2"/>
        <v>9227652.8499999996</v>
      </c>
    </row>
    <row r="143" spans="1:9" ht="15.75" x14ac:dyDescent="0.25">
      <c r="A143" s="8"/>
      <c r="B143" s="8"/>
      <c r="C143" s="9"/>
      <c r="D143" s="12" t="s">
        <v>139</v>
      </c>
      <c r="E143" s="16">
        <v>7720292.2199999997</v>
      </c>
      <c r="F143" s="16">
        <v>87328138.978076369</v>
      </c>
      <c r="G143" s="16">
        <v>1708048.6500000001</v>
      </c>
      <c r="H143" s="16">
        <v>0</v>
      </c>
      <c r="I143" s="13">
        <f t="shared" si="2"/>
        <v>96756479.848076373</v>
      </c>
    </row>
    <row r="144" spans="1:9" ht="15.75" x14ac:dyDescent="0.25">
      <c r="A144" s="8"/>
      <c r="B144" s="8"/>
      <c r="C144" s="9"/>
      <c r="D144" s="12" t="s">
        <v>140</v>
      </c>
      <c r="E144" s="16">
        <v>80228855.649999991</v>
      </c>
      <c r="F144" s="16">
        <v>10610675.748734796</v>
      </c>
      <c r="G144" s="16">
        <v>19799046.030000001</v>
      </c>
      <c r="H144" s="16">
        <v>0</v>
      </c>
      <c r="I144" s="13">
        <f t="shared" si="2"/>
        <v>110638577.42873479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7960782305.8199987</v>
      </c>
      <c r="F145" s="22">
        <f>SUM(F10:F144)</f>
        <v>4346298301.4009705</v>
      </c>
      <c r="G145" s="22">
        <f>SUM(G10:G144)</f>
        <v>2629652563.3300023</v>
      </c>
      <c r="H145" s="22">
        <f>SUM(H10:H144)</f>
        <v>495576205.065</v>
      </c>
      <c r="I145" s="22">
        <f>SUM(I10:I144)</f>
        <v>15432309375.615971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5" width="22" style="2" customWidth="1"/>
    <col min="6" max="6" width="21.5" style="2" customWidth="1"/>
    <col min="7" max="7" width="21.83203125" style="2" customWidth="1"/>
    <col min="8" max="8" width="20.1640625" style="2" customWidth="1"/>
    <col min="9" max="9" width="22.83203125" style="2" customWidth="1"/>
    <col min="10" max="10" width="21.1640625" style="2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f>+Enero!E10+Febrero!E10+Marzo!E10+Abril!E10+Mayo!E10+Junio!E10+Julio!E10+Agosto!E10+Septiembre!E10+Octubre!E10+Noviembre!E10+Diciembre!E10</f>
        <v>245290651.38</v>
      </c>
      <c r="F10" s="14">
        <f>+Enero!F10+Febrero!F10+Marzo!F10+Abril!F10+Mayo!F10+Junio!F10+Julio!F10+Agosto!F10+Septiembre!F10+Octubre!F10+Noviembre!F10+Diciembre!F10</f>
        <v>553587678.82826555</v>
      </c>
      <c r="G10" s="14">
        <f>+Enero!G10+Febrero!G10+Marzo!G10+Abril!G10+Mayo!G10+Junio!G10+Julio!G10+Agosto!G10+Septiembre!G10+Octubre!G10+Noviembre!G10+Diciembre!G10</f>
        <v>54932315.149999999</v>
      </c>
      <c r="H10" s="14">
        <f>+Enero!H10+Febrero!H10+Marzo!H10+Abril!H10+Mayo!H10+Junio!H10+Julio!H10+Agosto!H10+Septiembre!H10+Octubre!H10+Noviembre!H10+Diciembre!H10</f>
        <v>0</v>
      </c>
      <c r="I10" s="13">
        <f t="shared" ref="I10:I41" si="0">SUM(E10:H10)</f>
        <v>853810645.35826552</v>
      </c>
    </row>
    <row r="11" spans="1:9" ht="15.75" x14ac:dyDescent="0.25">
      <c r="A11" s="8"/>
      <c r="B11" s="8"/>
      <c r="C11" s="9"/>
      <c r="D11" s="12" t="s">
        <v>7</v>
      </c>
      <c r="E11" s="14">
        <f>+Enero!E11+Febrero!E11+Marzo!E11+Abril!E11+Mayo!E11+Junio!E11+Julio!E11+Agosto!E11+Septiembre!E11+Octubre!E11+Noviembre!E11+Diciembre!E11</f>
        <v>396490575.17000002</v>
      </c>
      <c r="F11" s="14">
        <f>+Enero!F11+Febrero!F11+Marzo!F11+Abril!F11+Mayo!F11+Junio!F11+Julio!F11+Agosto!F11+Septiembre!F11+Octubre!F11+Noviembre!F11+Diciembre!F11</f>
        <v>310715187.12771147</v>
      </c>
      <c r="G11" s="14">
        <f>+Enero!G11+Febrero!G11+Marzo!G11+Abril!G11+Mayo!G11+Junio!G11+Julio!G11+Agosto!G11+Septiembre!G11+Octubre!G11+Noviembre!G11+Diciembre!G11</f>
        <v>48256640.969999999</v>
      </c>
      <c r="H11" s="14">
        <f>+Enero!H11+Febrero!H11+Marzo!H11+Abril!H11+Mayo!H11+Junio!H11+Julio!H11+Agosto!H11+Septiembre!H11+Octubre!H11+Noviembre!H11+Diciembre!H11</f>
        <v>0</v>
      </c>
      <c r="I11" s="13">
        <f t="shared" si="0"/>
        <v>755462403.26771152</v>
      </c>
    </row>
    <row r="12" spans="1:9" ht="15.75" x14ac:dyDescent="0.25">
      <c r="A12" s="8"/>
      <c r="B12" s="8"/>
      <c r="C12" s="9"/>
      <c r="D12" s="12" t="s">
        <v>8</v>
      </c>
      <c r="E12" s="14">
        <f>+Enero!E12+Febrero!E12+Marzo!E12+Abril!E12+Mayo!E12+Junio!E12+Julio!E12+Agosto!E12+Septiembre!E12+Octubre!E12+Noviembre!E12+Diciembre!E12</f>
        <v>406942375.31</v>
      </c>
      <c r="F12" s="14">
        <f>+Enero!F12+Febrero!F12+Marzo!F12+Abril!F12+Mayo!F12+Junio!F12+Julio!F12+Agosto!F12+Septiembre!F12+Octubre!F12+Noviembre!F12+Diciembre!F12</f>
        <v>112644765.63235015</v>
      </c>
      <c r="G12" s="14">
        <f>+Enero!G12+Febrero!G12+Marzo!G12+Abril!G12+Mayo!G12+Junio!G12+Julio!G12+Agosto!G12+Septiembre!G12+Octubre!G12+Noviembre!G12+Diciembre!G12</f>
        <v>35108109.089999996</v>
      </c>
      <c r="H12" s="14">
        <f>+Enero!H12+Febrero!H12+Marzo!H12+Abril!H12+Mayo!H12+Junio!H12+Julio!H12+Agosto!H12+Septiembre!H12+Octubre!H12+Noviembre!H12+Diciembre!H12</f>
        <v>0</v>
      </c>
      <c r="I12" s="13">
        <f t="shared" si="0"/>
        <v>554695250.03235018</v>
      </c>
    </row>
    <row r="13" spans="1:9" ht="15.75" x14ac:dyDescent="0.25">
      <c r="A13" s="8"/>
      <c r="B13" s="8"/>
      <c r="C13" s="9"/>
      <c r="D13" s="12" t="s">
        <v>9</v>
      </c>
      <c r="E13" s="14">
        <f>+Enero!E13+Febrero!E13+Marzo!E13+Abril!E13+Mayo!E13+Junio!E13+Julio!E13+Agosto!E13+Septiembre!E13+Octubre!E13+Noviembre!E13+Diciembre!E13</f>
        <v>52428320.619999997</v>
      </c>
      <c r="F13" s="14">
        <f>+Enero!F13+Febrero!F13+Marzo!F13+Abril!F13+Mayo!F13+Junio!F13+Julio!F13+Agosto!F13+Septiembre!F13+Octubre!F13+Noviembre!F13+Diciembre!F13</f>
        <v>2978772.4196620742</v>
      </c>
      <c r="G13" s="14">
        <f>+Enero!G13+Febrero!G13+Marzo!G13+Abril!G13+Mayo!G13+Junio!G13+Julio!G13+Agosto!G13+Septiembre!G13+Octubre!G13+Noviembre!G13+Diciembre!G13</f>
        <v>683454998.41999996</v>
      </c>
      <c r="H13" s="14">
        <f>+Enero!H13+Febrero!H13+Marzo!H13+Abril!H13+Mayo!H13+Junio!H13+Julio!H13+Agosto!H13+Septiembre!H13+Octubre!H13+Noviembre!H13+Diciembre!H13</f>
        <v>0</v>
      </c>
      <c r="I13" s="13">
        <f t="shared" si="0"/>
        <v>738862091.45966208</v>
      </c>
    </row>
    <row r="14" spans="1:9" ht="15.75" x14ac:dyDescent="0.25">
      <c r="A14" s="8"/>
      <c r="B14" s="8"/>
      <c r="C14" s="9"/>
      <c r="D14" s="12" t="s">
        <v>10</v>
      </c>
      <c r="E14" s="14">
        <f>+Enero!E14+Febrero!E14+Marzo!E14+Abril!E14+Mayo!E14+Junio!E14+Julio!E14+Agosto!E14+Septiembre!E14+Octubre!E14+Noviembre!E14+Diciembre!E14</f>
        <v>627334006.06999993</v>
      </c>
      <c r="F14" s="14">
        <f>+Enero!F14+Febrero!F14+Marzo!F14+Abril!F14+Mayo!F14+Junio!F14+Julio!F14+Agosto!F14+Septiembre!F14+Octubre!F14+Noviembre!F14+Diciembre!F14</f>
        <v>125159711.37485467</v>
      </c>
      <c r="G14" s="14">
        <f>+Enero!G14+Febrero!G14+Marzo!G14+Abril!G14+Mayo!G14+Junio!G14+Julio!G14+Agosto!G14+Septiembre!G14+Octubre!G14+Noviembre!G14+Diciembre!G14</f>
        <v>65974858.800000012</v>
      </c>
      <c r="H14" s="14">
        <f>+Enero!H14+Febrero!H14+Marzo!H14+Abril!H14+Mayo!H14+Junio!H14+Julio!H14+Agosto!H14+Septiembre!H14+Octubre!H14+Noviembre!H14+Diciembre!H14</f>
        <v>0</v>
      </c>
      <c r="I14" s="13">
        <f t="shared" si="0"/>
        <v>818468576.24485469</v>
      </c>
    </row>
    <row r="15" spans="1:9" ht="15.75" x14ac:dyDescent="0.25">
      <c r="A15" s="8"/>
      <c r="B15" s="8"/>
      <c r="C15" s="9"/>
      <c r="D15" s="12" t="s">
        <v>11</v>
      </c>
      <c r="E15" s="14">
        <f>+Enero!E15+Febrero!E15+Marzo!E15+Abril!E15+Mayo!E15+Junio!E15+Julio!E15+Agosto!E15+Septiembre!E15+Octubre!E15+Noviembre!E15+Diciembre!E15</f>
        <v>14313927.49</v>
      </c>
      <c r="F15" s="14">
        <f>+Enero!F15+Febrero!F15+Marzo!F15+Abril!F15+Mayo!F15+Junio!F15+Julio!F15+Agosto!F15+Septiembre!F15+Octubre!F15+Noviembre!F15+Diciembre!F15</f>
        <v>694705.09959416708</v>
      </c>
      <c r="G15" s="14">
        <f>+Enero!G15+Febrero!G15+Marzo!G15+Abril!G15+Mayo!G15+Junio!G15+Julio!G15+Agosto!G15+Septiembre!G15+Octubre!G15+Noviembre!G15+Diciembre!G15</f>
        <v>588186450.27999997</v>
      </c>
      <c r="H15" s="14">
        <f>+Enero!H15+Febrero!H15+Marzo!H15+Abril!H15+Mayo!H15+Junio!H15+Julio!H15+Agosto!H15+Septiembre!H15+Octubre!H15+Noviembre!H15+Diciembre!H15</f>
        <v>0</v>
      </c>
      <c r="I15" s="13">
        <f t="shared" si="0"/>
        <v>603195082.8695941</v>
      </c>
    </row>
    <row r="16" spans="1:9" ht="15.75" x14ac:dyDescent="0.25">
      <c r="A16" s="8"/>
      <c r="B16" s="8"/>
      <c r="C16" s="9"/>
      <c r="D16" s="12" t="s">
        <v>12</v>
      </c>
      <c r="E16" s="14">
        <f>+Enero!E16+Febrero!E16+Marzo!E16+Abril!E16+Mayo!E16+Junio!E16+Julio!E16+Agosto!E16+Septiembre!E16+Octubre!E16+Noviembre!E16+Diciembre!E16</f>
        <v>589179763.5</v>
      </c>
      <c r="F16" s="14">
        <f>+Enero!F16+Febrero!F16+Marzo!F16+Abril!F16+Mayo!F16+Junio!F16+Julio!F16+Agosto!F16+Septiembre!F16+Octubre!F16+Noviembre!F16+Diciembre!F16</f>
        <v>596797823.3255322</v>
      </c>
      <c r="G16" s="14">
        <f>+Enero!G16+Febrero!G16+Marzo!G16+Abril!G16+Mayo!G16+Junio!G16+Julio!G16+Agosto!G16+Septiembre!G16+Octubre!G16+Noviembre!G16+Diciembre!G16</f>
        <v>74236874.75</v>
      </c>
      <c r="H16" s="14">
        <f>+Enero!H16+Febrero!H16+Marzo!H16+Abril!H16+Mayo!H16+Junio!H16+Julio!H16+Agosto!H16+Septiembre!H16+Octubre!H16+Noviembre!H16+Diciembre!H16</f>
        <v>0</v>
      </c>
      <c r="I16" s="13">
        <f t="shared" si="0"/>
        <v>1260214461.5755322</v>
      </c>
    </row>
    <row r="17" spans="1:9" ht="15.75" x14ac:dyDescent="0.25">
      <c r="A17" s="8"/>
      <c r="B17" s="8"/>
      <c r="C17" s="9"/>
      <c r="D17" s="12" t="s">
        <v>13</v>
      </c>
      <c r="E17" s="14">
        <f>+Enero!E17+Febrero!E17+Marzo!E17+Abril!E17+Mayo!E17+Junio!E17+Julio!E17+Agosto!E17+Septiembre!E17+Octubre!E17+Noviembre!E17+Diciembre!E17</f>
        <v>1279292682.02</v>
      </c>
      <c r="F17" s="14">
        <f>+Enero!F17+Febrero!F17+Marzo!F17+Abril!F17+Mayo!F17+Junio!F17+Julio!F17+Agosto!F17+Septiembre!F17+Octubre!F17+Noviembre!F17+Diciembre!F17</f>
        <v>548322275.60108328</v>
      </c>
      <c r="G17" s="14">
        <f>+Enero!G17+Febrero!G17+Marzo!G17+Abril!G17+Mayo!G17+Junio!G17+Julio!G17+Agosto!G17+Septiembre!G17+Octubre!G17+Noviembre!G17+Diciembre!G17</f>
        <v>208248759.5</v>
      </c>
      <c r="H17" s="14">
        <f>+Enero!H17+Febrero!H17+Marzo!H17+Abril!H17+Mayo!H17+Junio!H17+Julio!H17+Agosto!H17+Septiembre!H17+Octubre!H17+Noviembre!H17+Diciembre!H17</f>
        <v>0</v>
      </c>
      <c r="I17" s="13">
        <f t="shared" si="0"/>
        <v>2035863717.1210833</v>
      </c>
    </row>
    <row r="18" spans="1:9" ht="15.75" x14ac:dyDescent="0.25">
      <c r="A18" s="8"/>
      <c r="B18" s="8"/>
      <c r="C18" s="9"/>
      <c r="D18" s="12" t="s">
        <v>14</v>
      </c>
      <c r="E18" s="14">
        <f>+Enero!E18+Febrero!E18+Marzo!E18+Abril!E18+Mayo!E18+Junio!E18+Julio!E18+Agosto!E18+Septiembre!E18+Octubre!E18+Noviembre!E18+Diciembre!E18</f>
        <v>178826216.78</v>
      </c>
      <c r="F18" s="14">
        <f>+Enero!F18+Febrero!F18+Marzo!F18+Abril!F18+Mayo!F18+Junio!F18+Julio!F18+Agosto!F18+Septiembre!F18+Octubre!F18+Noviembre!F18+Diciembre!F18</f>
        <v>44699530.707097769</v>
      </c>
      <c r="G18" s="14">
        <f>+Enero!G18+Febrero!G18+Marzo!G18+Abril!G18+Mayo!G18+Junio!G18+Julio!G18+Agosto!G18+Septiembre!G18+Octubre!G18+Noviembre!G18+Diciembre!G18</f>
        <v>1052909791.9200001</v>
      </c>
      <c r="H18" s="14">
        <f>+Enero!H18+Febrero!H18+Marzo!H18+Abril!H18+Mayo!H18+Junio!H18+Julio!H18+Agosto!H18+Septiembre!H18+Octubre!H18+Noviembre!H18+Diciembre!H18</f>
        <v>0</v>
      </c>
      <c r="I18" s="13">
        <f t="shared" si="0"/>
        <v>1276435539.4070978</v>
      </c>
    </row>
    <row r="19" spans="1:9" ht="15.75" x14ac:dyDescent="0.25">
      <c r="A19" s="8"/>
      <c r="B19" s="8"/>
      <c r="C19" s="9"/>
      <c r="D19" s="12" t="s">
        <v>15</v>
      </c>
      <c r="E19" s="14">
        <f>+Enero!E19+Febrero!E19+Marzo!E19+Abril!E19+Mayo!E19+Junio!E19+Julio!E19+Agosto!E19+Septiembre!E19+Octubre!E19+Noviembre!E19+Diciembre!E19</f>
        <v>1189217215.6800001</v>
      </c>
      <c r="F19" s="14">
        <f>+Enero!F19+Febrero!F19+Marzo!F19+Abril!F19+Mayo!F19+Junio!F19+Julio!F19+Agosto!F19+Septiembre!F19+Octubre!F19+Noviembre!F19+Diciembre!F19</f>
        <v>426638653.21165174</v>
      </c>
      <c r="G19" s="14">
        <f>+Enero!G19+Febrero!G19+Marzo!G19+Abril!G19+Mayo!G19+Junio!G19+Julio!G19+Agosto!G19+Septiembre!G19+Octubre!G19+Noviembre!G19+Diciembre!G19</f>
        <v>187836221.24999997</v>
      </c>
      <c r="H19" s="14">
        <f>+Enero!H19+Febrero!H19+Marzo!H19+Abril!H19+Mayo!H19+Junio!H19+Julio!H19+Agosto!H19+Septiembre!H19+Octubre!H19+Noviembre!H19+Diciembre!H19</f>
        <v>0</v>
      </c>
      <c r="I19" s="13">
        <f t="shared" si="0"/>
        <v>1803692090.1416519</v>
      </c>
    </row>
    <row r="20" spans="1:9" ht="15.75" x14ac:dyDescent="0.25">
      <c r="A20" s="8"/>
      <c r="B20" s="8"/>
      <c r="C20" s="9"/>
      <c r="D20" s="12" t="s">
        <v>16</v>
      </c>
      <c r="E20" s="14">
        <f>+Enero!E20+Febrero!E20+Marzo!E20+Abril!E20+Mayo!E20+Junio!E20+Julio!E20+Agosto!E20+Septiembre!E20+Octubre!E20+Noviembre!E20+Diciembre!E20</f>
        <v>464409543.71999991</v>
      </c>
      <c r="F20" s="14">
        <f>+Enero!F20+Febrero!F20+Marzo!F20+Abril!F20+Mayo!F20+Junio!F20+Julio!F20+Agosto!F20+Septiembre!F20+Octubre!F20+Noviembre!F20+Diciembre!F20</f>
        <v>106187340.73981249</v>
      </c>
      <c r="G20" s="14">
        <f>+Enero!G20+Febrero!G20+Marzo!G20+Abril!G20+Mayo!G20+Junio!G20+Julio!G20+Agosto!G20+Septiembre!G20+Octubre!G20+Noviembre!G20+Diciembre!G20</f>
        <v>87040437.870000005</v>
      </c>
      <c r="H20" s="14">
        <f>+Enero!H20+Febrero!H20+Marzo!H20+Abril!H20+Mayo!H20+Junio!H20+Julio!H20+Agosto!H20+Septiembre!H20+Octubre!H20+Noviembre!H20+Diciembre!H20</f>
        <v>0</v>
      </c>
      <c r="I20" s="13">
        <f t="shared" si="0"/>
        <v>657637322.32981241</v>
      </c>
    </row>
    <row r="21" spans="1:9" ht="15.75" x14ac:dyDescent="0.25">
      <c r="A21" s="8"/>
      <c r="B21" s="8"/>
      <c r="C21" s="9"/>
      <c r="D21" s="12" t="s">
        <v>17</v>
      </c>
      <c r="E21" s="14">
        <f>+Enero!E21+Febrero!E21+Marzo!E21+Abril!E21+Mayo!E21+Junio!E21+Julio!E21+Agosto!E21+Septiembre!E21+Octubre!E21+Noviembre!E21+Diciembre!E21</f>
        <v>624831971.22000003</v>
      </c>
      <c r="F21" s="14">
        <f>+Enero!F21+Febrero!F21+Marzo!F21+Abril!F21+Mayo!F21+Junio!F21+Julio!F21+Agosto!F21+Septiembre!F21+Octubre!F21+Noviembre!F21+Diciembre!F21</f>
        <v>510377534.33099878</v>
      </c>
      <c r="G21" s="14">
        <f>+Enero!G21+Febrero!G21+Marzo!G21+Abril!G21+Mayo!G21+Junio!G21+Julio!G21+Agosto!G21+Septiembre!G21+Octubre!G21+Noviembre!G21+Diciembre!G21</f>
        <v>43942234.670000002</v>
      </c>
      <c r="H21" s="14">
        <f>+Enero!H21+Febrero!H21+Marzo!H21+Abril!H21+Mayo!H21+Junio!H21+Julio!H21+Agosto!H21+Septiembre!H21+Octubre!H21+Noviembre!H21+Diciembre!H21</f>
        <v>0</v>
      </c>
      <c r="I21" s="13">
        <f t="shared" si="0"/>
        <v>1179151740.2209988</v>
      </c>
    </row>
    <row r="22" spans="1:9" ht="15.75" x14ac:dyDescent="0.25">
      <c r="A22" s="8"/>
      <c r="B22" s="8"/>
      <c r="C22" s="9"/>
      <c r="D22" s="12" t="s">
        <v>18</v>
      </c>
      <c r="E22" s="14">
        <f>+Enero!E22+Febrero!E22+Marzo!E22+Abril!E22+Mayo!E22+Junio!E22+Julio!E22+Agosto!E22+Septiembre!E22+Octubre!E22+Noviembre!E22+Diciembre!E22</f>
        <v>31899275.09</v>
      </c>
      <c r="F22" s="14">
        <f>+Enero!F22+Febrero!F22+Marzo!F22+Abril!F22+Mayo!F22+Junio!F22+Julio!F22+Agosto!F22+Septiembre!F22+Octubre!F22+Noviembre!F22+Diciembre!F22</f>
        <v>21853730.531513926</v>
      </c>
      <c r="G22" s="14">
        <f>+Enero!G22+Febrero!G22+Marzo!G22+Abril!G22+Mayo!G22+Junio!G22+Julio!G22+Agosto!G22+Septiembre!G22+Octubre!G22+Noviembre!G22+Diciembre!G22</f>
        <v>389391578.50999993</v>
      </c>
      <c r="H22" s="14">
        <f>+Enero!H22+Febrero!H22+Marzo!H22+Abril!H22+Mayo!H22+Junio!H22+Julio!H22+Agosto!H22+Septiembre!H22+Octubre!H22+Noviembre!H22+Diciembre!H22</f>
        <v>0</v>
      </c>
      <c r="I22" s="13">
        <f t="shared" si="0"/>
        <v>443144584.13151383</v>
      </c>
    </row>
    <row r="23" spans="1:9" ht="15.75" x14ac:dyDescent="0.25">
      <c r="A23" s="8"/>
      <c r="B23" s="8"/>
      <c r="C23" s="9"/>
      <c r="D23" s="12" t="s">
        <v>19</v>
      </c>
      <c r="E23" s="14">
        <f>+Enero!E23+Febrero!E23+Marzo!E23+Abril!E23+Mayo!E23+Junio!E23+Julio!E23+Agosto!E23+Septiembre!E23+Octubre!E23+Noviembre!E23+Diciembre!E23</f>
        <v>21775031.25</v>
      </c>
      <c r="F23" s="14">
        <f>+Enero!F23+Febrero!F23+Marzo!F23+Abril!F23+Mayo!F23+Junio!F23+Julio!F23+Agosto!F23+Septiembre!F23+Octubre!F23+Noviembre!F23+Diciembre!F23</f>
        <v>8144199.6362017309</v>
      </c>
      <c r="G23" s="14">
        <f>+Enero!G23+Febrero!G23+Marzo!G23+Abril!G23+Mayo!G23+Junio!G23+Julio!G23+Agosto!G23+Septiembre!G23+Octubre!G23+Noviembre!G23+Diciembre!G23</f>
        <v>186868553.05999997</v>
      </c>
      <c r="H23" s="14">
        <f>+Enero!H23+Febrero!H23+Marzo!H23+Abril!H23+Mayo!H23+Junio!H23+Julio!H23+Agosto!H23+Septiembre!H23+Octubre!H23+Noviembre!H23+Diciembre!H23</f>
        <v>0</v>
      </c>
      <c r="I23" s="13">
        <f t="shared" si="0"/>
        <v>216787783.94620171</v>
      </c>
    </row>
    <row r="24" spans="1:9" ht="15.75" x14ac:dyDescent="0.25">
      <c r="A24" s="8"/>
      <c r="B24" s="8"/>
      <c r="C24" s="9"/>
      <c r="D24" s="12" t="s">
        <v>20</v>
      </c>
      <c r="E24" s="14">
        <f>+Enero!E24+Febrero!E24+Marzo!E24+Abril!E24+Mayo!E24+Junio!E24+Julio!E24+Agosto!E24+Septiembre!E24+Octubre!E24+Noviembre!E24+Diciembre!E24</f>
        <v>556869321.96000004</v>
      </c>
      <c r="F24" s="14">
        <f>+Enero!F24+Febrero!F24+Marzo!F24+Abril!F24+Mayo!F24+Junio!F24+Julio!F24+Agosto!F24+Septiembre!F24+Octubre!F24+Noviembre!F24+Diciembre!F24</f>
        <v>313001817.93523175</v>
      </c>
      <c r="G24" s="14">
        <f>+Enero!G24+Febrero!G24+Marzo!G24+Abril!G24+Mayo!G24+Junio!G24+Julio!G24+Agosto!G24+Septiembre!G24+Octubre!G24+Noviembre!G24+Diciembre!G24</f>
        <v>108886020.11</v>
      </c>
      <c r="H24" s="14">
        <f>+Enero!H24+Febrero!H24+Marzo!H24+Abril!H24+Mayo!H24+Junio!H24+Julio!H24+Agosto!H24+Septiembre!H24+Octubre!H24+Noviembre!H24+Diciembre!H24</f>
        <v>0</v>
      </c>
      <c r="I24" s="13">
        <f t="shared" si="0"/>
        <v>978757160.00523174</v>
      </c>
    </row>
    <row r="25" spans="1:9" ht="15.75" x14ac:dyDescent="0.25">
      <c r="A25" s="8"/>
      <c r="B25" s="8"/>
      <c r="C25" s="9"/>
      <c r="D25" s="12" t="s">
        <v>21</v>
      </c>
      <c r="E25" s="14">
        <f>+Enero!E25+Febrero!E25+Marzo!E25+Abril!E25+Mayo!E25+Junio!E25+Julio!E25+Agosto!E25+Septiembre!E25+Octubre!E25+Noviembre!E25+Diciembre!E25</f>
        <v>452089740.24000001</v>
      </c>
      <c r="F25" s="14">
        <f>+Enero!F25+Febrero!F25+Marzo!F25+Abril!F25+Mayo!F25+Junio!F25+Julio!F25+Agosto!F25+Septiembre!F25+Octubre!F25+Noviembre!F25+Diciembre!F25</f>
        <v>232441661.25683218</v>
      </c>
      <c r="G25" s="14">
        <f>+Enero!G25+Febrero!G25+Marzo!G25+Abril!G25+Mayo!G25+Junio!G25+Julio!G25+Agosto!G25+Septiembre!G25+Octubre!G25+Noviembre!G25+Diciembre!G25</f>
        <v>107959758.50999999</v>
      </c>
      <c r="H25" s="14">
        <f>+Enero!H25+Febrero!H25+Marzo!H25+Abril!H25+Mayo!H25+Junio!H25+Julio!H25+Agosto!H25+Septiembre!H25+Octubre!H25+Noviembre!H25+Diciembre!H25</f>
        <v>0</v>
      </c>
      <c r="I25" s="13">
        <f t="shared" si="0"/>
        <v>792491160.00683212</v>
      </c>
    </row>
    <row r="26" spans="1:9" ht="15.75" x14ac:dyDescent="0.25">
      <c r="A26" s="8"/>
      <c r="B26" s="8"/>
      <c r="C26" s="9"/>
      <c r="D26" s="12" t="s">
        <v>22</v>
      </c>
      <c r="E26" s="14">
        <f>+Enero!E26+Febrero!E26+Marzo!E26+Abril!E26+Mayo!E26+Junio!E26+Julio!E26+Agosto!E26+Septiembre!E26+Octubre!E26+Noviembre!E26+Diciembre!E26</f>
        <v>240262614.66</v>
      </c>
      <c r="F26" s="14">
        <f>+Enero!F26+Febrero!F26+Marzo!F26+Abril!F26+Mayo!F26+Junio!F26+Julio!F26+Agosto!F26+Septiembre!F26+Octubre!F26+Noviembre!F26+Diciembre!F26</f>
        <v>133106522.47722337</v>
      </c>
      <c r="G26" s="14">
        <f>+Enero!G26+Febrero!G26+Marzo!G26+Abril!G26+Mayo!G26+Junio!G26+Julio!G26+Agosto!G26+Septiembre!G26+Octubre!G26+Noviembre!G26+Diciembre!G26</f>
        <v>107775025.60999998</v>
      </c>
      <c r="H26" s="14">
        <f>+Enero!H26+Febrero!H26+Marzo!H26+Abril!H26+Mayo!H26+Junio!H26+Julio!H26+Agosto!H26+Septiembre!H26+Octubre!H26+Noviembre!H26+Diciembre!H26</f>
        <v>0</v>
      </c>
      <c r="I26" s="13">
        <f t="shared" si="0"/>
        <v>481144162.74722338</v>
      </c>
    </row>
    <row r="27" spans="1:9" ht="15.75" x14ac:dyDescent="0.25">
      <c r="A27" s="8"/>
      <c r="B27" s="8"/>
      <c r="C27" s="9"/>
      <c r="D27" s="12" t="s">
        <v>23</v>
      </c>
      <c r="E27" s="14">
        <f>+Enero!E27+Febrero!E27+Marzo!E27+Abril!E27+Mayo!E27+Junio!E27+Julio!E27+Agosto!E27+Septiembre!E27+Octubre!E27+Noviembre!E27+Diciembre!E27</f>
        <v>144752878.91999999</v>
      </c>
      <c r="F27" s="14">
        <f>+Enero!F27+Febrero!F27+Marzo!F27+Abril!F27+Mayo!F27+Junio!F27+Julio!F27+Agosto!F27+Septiembre!F27+Octubre!F27+Noviembre!F27+Diciembre!F27</f>
        <v>22845800.175583828</v>
      </c>
      <c r="G27" s="14">
        <f>+Enero!G27+Febrero!G27+Marzo!G27+Abril!G27+Mayo!G27+Junio!G27+Julio!G27+Agosto!G27+Septiembre!G27+Octubre!G27+Noviembre!G27+Diciembre!G27</f>
        <v>328718734.76999992</v>
      </c>
      <c r="H27" s="14">
        <f>+Enero!H27+Febrero!H27+Marzo!H27+Abril!H27+Mayo!H27+Junio!H27+Julio!H27+Agosto!H27+Septiembre!H27+Octubre!H27+Noviembre!H27+Diciembre!H27</f>
        <v>0</v>
      </c>
      <c r="I27" s="13">
        <f t="shared" si="0"/>
        <v>496317413.86558378</v>
      </c>
    </row>
    <row r="28" spans="1:9" ht="15.75" x14ac:dyDescent="0.25">
      <c r="A28" s="8"/>
      <c r="B28" s="8"/>
      <c r="C28" s="9"/>
      <c r="D28" s="12" t="s">
        <v>24</v>
      </c>
      <c r="E28" s="14">
        <f>+Enero!E28+Febrero!E28+Marzo!E28+Abril!E28+Mayo!E28+Junio!E28+Julio!E28+Agosto!E28+Septiembre!E28+Octubre!E28+Noviembre!E28+Diciembre!E28</f>
        <v>222016046.83000001</v>
      </c>
      <c r="F28" s="14">
        <f>+Enero!F28+Febrero!F28+Marzo!F28+Abril!F28+Mayo!F28+Junio!F28+Julio!F28+Agosto!F28+Septiembre!F28+Octubre!F28+Noviembre!F28+Diciembre!F28</f>
        <v>108274019.52604736</v>
      </c>
      <c r="G28" s="14">
        <f>+Enero!G28+Febrero!G28+Marzo!G28+Abril!G28+Mayo!G28+Junio!G28+Julio!G28+Agosto!G28+Septiembre!G28+Octubre!G28+Noviembre!G28+Diciembre!G28</f>
        <v>118217359.93999998</v>
      </c>
      <c r="H28" s="14">
        <f>+Enero!H28+Febrero!H28+Marzo!H28+Abril!H28+Mayo!H28+Junio!H28+Julio!H28+Agosto!H28+Septiembre!H28+Octubre!H28+Noviembre!H28+Diciembre!H28</f>
        <v>0</v>
      </c>
      <c r="I28" s="13">
        <f t="shared" si="0"/>
        <v>448507426.29604739</v>
      </c>
    </row>
    <row r="29" spans="1:9" ht="15.75" x14ac:dyDescent="0.25">
      <c r="A29" s="8"/>
      <c r="B29" s="8"/>
      <c r="C29" s="9"/>
      <c r="D29" s="12" t="s">
        <v>25</v>
      </c>
      <c r="E29" s="14">
        <f>+Enero!E29+Febrero!E29+Marzo!E29+Abril!E29+Mayo!E29+Junio!E29+Julio!E29+Agosto!E29+Septiembre!E29+Octubre!E29+Noviembre!E29+Diciembre!E29</f>
        <v>221795084.09</v>
      </c>
      <c r="F29" s="14">
        <f>+Enero!F29+Febrero!F29+Marzo!F29+Abril!F29+Mayo!F29+Junio!F29+Julio!F29+Agosto!F29+Septiembre!F29+Octubre!F29+Noviembre!F29+Diciembre!F29</f>
        <v>60593152.911835149</v>
      </c>
      <c r="G29" s="14">
        <f>+Enero!G29+Febrero!G29+Marzo!G29+Abril!G29+Mayo!G29+Junio!G29+Julio!G29+Agosto!G29+Septiembre!G29+Octubre!G29+Noviembre!G29+Diciembre!G29</f>
        <v>37047295.450000003</v>
      </c>
      <c r="H29" s="14">
        <f>+Enero!H29+Febrero!H29+Marzo!H29+Abril!H29+Mayo!H29+Junio!H29+Julio!H29+Agosto!H29+Septiembre!H29+Octubre!H29+Noviembre!H29+Diciembre!H29</f>
        <v>0</v>
      </c>
      <c r="I29" s="13">
        <f t="shared" si="0"/>
        <v>319435532.45183516</v>
      </c>
    </row>
    <row r="30" spans="1:9" ht="15.75" x14ac:dyDescent="0.25">
      <c r="A30" s="8"/>
      <c r="B30" s="8"/>
      <c r="C30" s="9"/>
      <c r="D30" s="12" t="s">
        <v>26</v>
      </c>
      <c r="E30" s="14">
        <f>+Enero!E30+Febrero!E30+Marzo!E30+Abril!E30+Mayo!E30+Junio!E30+Julio!E30+Agosto!E30+Septiembre!E30+Octubre!E30+Noviembre!E30+Diciembre!E30</f>
        <v>440500058.23000002</v>
      </c>
      <c r="F30" s="14">
        <f>+Enero!F30+Febrero!F30+Marzo!F30+Abril!F30+Mayo!F30+Junio!F30+Julio!F30+Agosto!F30+Septiembre!F30+Octubre!F30+Noviembre!F30+Diciembre!F30</f>
        <v>326808761.35373431</v>
      </c>
      <c r="G30" s="14">
        <f>+Enero!G30+Febrero!G30+Marzo!G30+Abril!G30+Mayo!G30+Junio!G30+Julio!G30+Agosto!G30+Septiembre!G30+Octubre!G30+Noviembre!G30+Diciembre!G30</f>
        <v>77811748.270000011</v>
      </c>
      <c r="H30" s="14">
        <f>+Enero!H30+Febrero!H30+Marzo!H30+Abril!H30+Mayo!H30+Junio!H30+Julio!H30+Agosto!H30+Septiembre!H30+Octubre!H30+Noviembre!H30+Diciembre!H30</f>
        <v>0</v>
      </c>
      <c r="I30" s="13">
        <f t="shared" si="0"/>
        <v>845120567.85373425</v>
      </c>
    </row>
    <row r="31" spans="1:9" ht="15.75" x14ac:dyDescent="0.25">
      <c r="A31" s="8"/>
      <c r="B31" s="8"/>
      <c r="C31" s="9"/>
      <c r="D31" s="12" t="s">
        <v>27</v>
      </c>
      <c r="E31" s="14">
        <f>+Enero!E31+Febrero!E31+Marzo!E31+Abril!E31+Mayo!E31+Junio!E31+Julio!E31+Agosto!E31+Septiembre!E31+Octubre!E31+Noviembre!E31+Diciembre!E31</f>
        <v>469738689.77999997</v>
      </c>
      <c r="F31" s="14">
        <f>+Enero!F31+Febrero!F31+Marzo!F31+Abril!F31+Mayo!F31+Junio!F31+Julio!F31+Agosto!F31+Septiembre!F31+Octubre!F31+Noviembre!F31+Diciembre!F31</f>
        <v>338728978.00728732</v>
      </c>
      <c r="G31" s="14">
        <f>+Enero!G31+Febrero!G31+Marzo!G31+Abril!G31+Mayo!G31+Junio!G31+Julio!G31+Agosto!G31+Septiembre!G31+Octubre!G31+Noviembre!G31+Diciembre!G31</f>
        <v>58213881.039999999</v>
      </c>
      <c r="H31" s="14">
        <f>+Enero!H31+Febrero!H31+Marzo!H31+Abril!H31+Mayo!H31+Junio!H31+Julio!H31+Agosto!H31+Septiembre!H31+Octubre!H31+Noviembre!H31+Diciembre!H31</f>
        <v>0</v>
      </c>
      <c r="I31" s="13">
        <f t="shared" si="0"/>
        <v>866681548.8272872</v>
      </c>
    </row>
    <row r="32" spans="1:9" ht="15.75" x14ac:dyDescent="0.25">
      <c r="A32" s="8"/>
      <c r="B32" s="8"/>
      <c r="C32" s="9"/>
      <c r="D32" s="12" t="s">
        <v>28</v>
      </c>
      <c r="E32" s="14">
        <f>+Enero!E32+Febrero!E32+Marzo!E32+Abril!E32+Mayo!E32+Junio!E32+Julio!E32+Agosto!E32+Septiembre!E32+Octubre!E32+Noviembre!E32+Diciembre!E32</f>
        <v>392398745.02999997</v>
      </c>
      <c r="F32" s="14">
        <f>+Enero!F32+Febrero!F32+Marzo!F32+Abril!F32+Mayo!F32+Junio!F32+Julio!F32+Agosto!F32+Septiembre!F32+Octubre!F32+Noviembre!F32+Diciembre!F32</f>
        <v>114334103.86346661</v>
      </c>
      <c r="G32" s="14">
        <f>+Enero!G32+Febrero!G32+Marzo!G32+Abril!G32+Mayo!G32+Junio!G32+Julio!G32+Agosto!G32+Septiembre!G32+Octubre!G32+Noviembre!G32+Diciembre!G32</f>
        <v>36487491.340000004</v>
      </c>
      <c r="H32" s="14">
        <f>+Enero!H32+Febrero!H32+Marzo!H32+Abril!H32+Mayo!H32+Junio!H32+Julio!H32+Agosto!H32+Septiembre!H32+Octubre!H32+Noviembre!H32+Diciembre!H32</f>
        <v>0</v>
      </c>
      <c r="I32" s="13">
        <f t="shared" si="0"/>
        <v>543220340.23346663</v>
      </c>
    </row>
    <row r="33" spans="1:9" ht="15.75" x14ac:dyDescent="0.25">
      <c r="A33" s="8"/>
      <c r="B33" s="8"/>
      <c r="C33" s="9"/>
      <c r="D33" s="12" t="s">
        <v>29</v>
      </c>
      <c r="E33" s="14">
        <f>+Enero!E33+Febrero!E33+Marzo!E33+Abril!E33+Mayo!E33+Junio!E33+Julio!E33+Agosto!E33+Septiembre!E33+Octubre!E33+Noviembre!E33+Diciembre!E33</f>
        <v>98486318.700000003</v>
      </c>
      <c r="F33" s="14">
        <f>+Enero!F33+Febrero!F33+Marzo!F33+Abril!F33+Mayo!F33+Junio!F33+Julio!F33+Agosto!F33+Septiembre!F33+Octubre!F33+Noviembre!F33+Diciembre!F33</f>
        <v>172840577.98906687</v>
      </c>
      <c r="G33" s="14">
        <f>+Enero!G33+Febrero!G33+Marzo!G33+Abril!G33+Mayo!G33+Junio!G33+Julio!G33+Agosto!G33+Septiembre!G33+Octubre!G33+Noviembre!G33+Diciembre!G33</f>
        <v>28881870.580000002</v>
      </c>
      <c r="H33" s="14">
        <f>+Enero!H33+Febrero!H33+Marzo!H33+Abril!H33+Mayo!H33+Junio!H33+Julio!H33+Agosto!H33+Septiembre!H33+Octubre!H33+Noviembre!H33+Diciembre!H33</f>
        <v>0</v>
      </c>
      <c r="I33" s="13">
        <f t="shared" si="0"/>
        <v>300208767.26906687</v>
      </c>
    </row>
    <row r="34" spans="1:9" ht="15.75" x14ac:dyDescent="0.25">
      <c r="A34" s="8"/>
      <c r="B34" s="8"/>
      <c r="C34" s="9"/>
      <c r="D34" s="12" t="s">
        <v>30</v>
      </c>
      <c r="E34" s="14">
        <f>+Enero!E34+Febrero!E34+Marzo!E34+Abril!E34+Mayo!E34+Junio!E34+Julio!E34+Agosto!E34+Septiembre!E34+Octubre!E34+Noviembre!E34+Diciembre!E34</f>
        <v>1040748429.5899999</v>
      </c>
      <c r="F34" s="14">
        <f>+Enero!F34+Febrero!F34+Marzo!F34+Abril!F34+Mayo!F34+Junio!F34+Julio!F34+Agosto!F34+Septiembre!F34+Octubre!F34+Noviembre!F34+Diciembre!F34</f>
        <v>248035355.42964143</v>
      </c>
      <c r="G34" s="14">
        <f>+Enero!G34+Febrero!G34+Marzo!G34+Abril!G34+Mayo!G34+Junio!G34+Julio!G34+Agosto!G34+Septiembre!G34+Octubre!G34+Noviembre!G34+Diciembre!G34</f>
        <v>134623476.07999998</v>
      </c>
      <c r="H34" s="14">
        <f>+Enero!H34+Febrero!H34+Marzo!H34+Abril!H34+Mayo!H34+Junio!H34+Julio!H34+Agosto!H34+Septiembre!H34+Octubre!H34+Noviembre!H34+Diciembre!H34</f>
        <v>0</v>
      </c>
      <c r="I34" s="13">
        <f t="shared" si="0"/>
        <v>1423407261.0996413</v>
      </c>
    </row>
    <row r="35" spans="1:9" ht="15.75" x14ac:dyDescent="0.25">
      <c r="A35" s="8"/>
      <c r="B35" s="8"/>
      <c r="C35" s="9"/>
      <c r="D35" s="12" t="s">
        <v>31</v>
      </c>
      <c r="E35" s="14">
        <f>+Enero!E35+Febrero!E35+Marzo!E35+Abril!E35+Mayo!E35+Junio!E35+Julio!E35+Agosto!E35+Septiembre!E35+Octubre!E35+Noviembre!E35+Diciembre!E35</f>
        <v>418474094.49000001</v>
      </c>
      <c r="F35" s="14">
        <f>+Enero!F35+Febrero!F35+Marzo!F35+Abril!F35+Mayo!F35+Junio!F35+Julio!F35+Agosto!F35+Septiembre!F35+Octubre!F35+Noviembre!F35+Diciembre!F35</f>
        <v>364653526.61317593</v>
      </c>
      <c r="G35" s="14">
        <f>+Enero!G35+Febrero!G35+Marzo!G35+Abril!G35+Mayo!G35+Junio!G35+Julio!G35+Agosto!G35+Septiembre!G35+Octubre!G35+Noviembre!G35+Diciembre!G35</f>
        <v>110069402.08000001</v>
      </c>
      <c r="H35" s="14">
        <f>+Enero!H35+Febrero!H35+Marzo!H35+Abril!H35+Mayo!H35+Junio!H35+Julio!H35+Agosto!H35+Septiembre!H35+Octubre!H35+Noviembre!H35+Diciembre!H35</f>
        <v>0</v>
      </c>
      <c r="I35" s="13">
        <f t="shared" si="0"/>
        <v>893197023.18317592</v>
      </c>
    </row>
    <row r="36" spans="1:9" ht="15.75" x14ac:dyDescent="0.25">
      <c r="A36" s="8"/>
      <c r="B36" s="8"/>
      <c r="C36" s="9"/>
      <c r="D36" s="12" t="s">
        <v>32</v>
      </c>
      <c r="E36" s="14">
        <f>+Enero!E36+Febrero!E36+Marzo!E36+Abril!E36+Mayo!E36+Junio!E36+Julio!E36+Agosto!E36+Septiembre!E36+Octubre!E36+Noviembre!E36+Diciembre!E36</f>
        <v>491915094.85999995</v>
      </c>
      <c r="F36" s="14">
        <f>+Enero!F36+Febrero!F36+Marzo!F36+Abril!F36+Mayo!F36+Junio!F36+Julio!F36+Agosto!F36+Septiembre!F36+Octubre!F36+Noviembre!F36+Diciembre!F36</f>
        <v>226281600.90877017</v>
      </c>
      <c r="G36" s="14">
        <f>+Enero!G36+Febrero!G36+Marzo!G36+Abril!G36+Mayo!G36+Junio!G36+Julio!G36+Agosto!G36+Septiembre!G36+Octubre!G36+Noviembre!G36+Diciembre!G36</f>
        <v>178980875.08999997</v>
      </c>
      <c r="H36" s="14">
        <f>+Enero!H36+Febrero!H36+Marzo!H36+Abril!H36+Mayo!H36+Junio!H36+Julio!H36+Agosto!H36+Septiembre!H36+Octubre!H36+Noviembre!H36+Diciembre!H36</f>
        <v>0</v>
      </c>
      <c r="I36" s="13">
        <f t="shared" si="0"/>
        <v>897177570.85877013</v>
      </c>
    </row>
    <row r="37" spans="1:9" ht="15.75" x14ac:dyDescent="0.25">
      <c r="A37" s="8"/>
      <c r="B37" s="8"/>
      <c r="C37" s="9"/>
      <c r="D37" s="12" t="s">
        <v>33</v>
      </c>
      <c r="E37" s="14">
        <f>+Enero!E37+Febrero!E37+Marzo!E37+Abril!E37+Mayo!E37+Junio!E37+Julio!E37+Agosto!E37+Septiembre!E37+Octubre!E37+Noviembre!E37+Diciembre!E37</f>
        <v>479778865.88</v>
      </c>
      <c r="F37" s="14">
        <f>+Enero!F37+Febrero!F37+Marzo!F37+Abril!F37+Mayo!F37+Junio!F37+Julio!F37+Agosto!F37+Septiembre!F37+Octubre!F37+Noviembre!F37+Diciembre!F37</f>
        <v>125159711.37485467</v>
      </c>
      <c r="G37" s="14">
        <f>+Enero!G37+Febrero!G37+Marzo!G37+Abril!G37+Mayo!G37+Junio!G37+Julio!G37+Agosto!G37+Septiembre!G37+Octubre!G37+Noviembre!G37+Diciembre!G37</f>
        <v>58395796.909999996</v>
      </c>
      <c r="H37" s="14">
        <f>+Enero!H37+Febrero!H37+Marzo!H37+Abril!H37+Mayo!H37+Junio!H37+Julio!H37+Agosto!H37+Septiembre!H37+Octubre!H37+Noviembre!H37+Diciembre!H37</f>
        <v>0</v>
      </c>
      <c r="I37" s="13">
        <f t="shared" si="0"/>
        <v>663334374.16485465</v>
      </c>
    </row>
    <row r="38" spans="1:9" ht="15.75" x14ac:dyDescent="0.25">
      <c r="A38" s="8"/>
      <c r="B38" s="8"/>
      <c r="C38" s="9"/>
      <c r="D38" s="12" t="s">
        <v>34</v>
      </c>
      <c r="E38" s="14">
        <f>+Enero!E38+Febrero!E38+Marzo!E38+Abril!E38+Mayo!E38+Junio!E38+Julio!E38+Agosto!E38+Septiembre!E38+Octubre!E38+Noviembre!E38+Diciembre!E38</f>
        <v>360136188.10000002</v>
      </c>
      <c r="F38" s="14">
        <f>+Enero!F38+Febrero!F38+Marzo!F38+Abril!F38+Mayo!F38+Junio!F38+Julio!F38+Agosto!F38+Septiembre!F38+Octubre!F38+Noviembre!F38+Diciembre!F38</f>
        <v>271975764.74739015</v>
      </c>
      <c r="G38" s="14">
        <f>+Enero!G38+Febrero!G38+Marzo!G38+Abril!G38+Mayo!G38+Junio!G38+Julio!G38+Agosto!G38+Septiembre!G38+Octubre!G38+Noviembre!G38+Diciembre!G38</f>
        <v>74793609.520000011</v>
      </c>
      <c r="H38" s="14">
        <f>+Enero!H38+Febrero!H38+Marzo!H38+Abril!H38+Mayo!H38+Junio!H38+Julio!H38+Agosto!H38+Septiembre!H38+Octubre!H38+Noviembre!H38+Diciembre!H38</f>
        <v>0</v>
      </c>
      <c r="I38" s="13">
        <f t="shared" si="0"/>
        <v>706905562.36739016</v>
      </c>
    </row>
    <row r="39" spans="1:9" ht="15.75" x14ac:dyDescent="0.25">
      <c r="A39" s="8"/>
      <c r="B39" s="8"/>
      <c r="C39" s="9"/>
      <c r="D39" s="12" t="s">
        <v>35</v>
      </c>
      <c r="E39" s="14">
        <f>+Enero!E39+Febrero!E39+Marzo!E39+Abril!E39+Mayo!E39+Junio!E39+Julio!E39+Agosto!E39+Septiembre!E39+Octubre!E39+Noviembre!E39+Diciembre!E39</f>
        <v>284608433.30999994</v>
      </c>
      <c r="F39" s="14">
        <f>+Enero!F39+Febrero!F39+Marzo!F39+Abril!F39+Mayo!F39+Junio!F39+Julio!F39+Agosto!F39+Septiembre!F39+Octubre!F39+Noviembre!F39+Diciembre!F39</f>
        <v>425843972.10141492</v>
      </c>
      <c r="G39" s="14">
        <f>+Enero!G39+Febrero!G39+Marzo!G39+Abril!G39+Mayo!G39+Junio!G39+Julio!G39+Agosto!G39+Septiembre!G39+Octubre!G39+Noviembre!G39+Diciembre!G39</f>
        <v>67793508.739999995</v>
      </c>
      <c r="H39" s="14">
        <f>+Enero!H39+Febrero!H39+Marzo!H39+Abril!H39+Mayo!H39+Junio!H39+Julio!H39+Agosto!H39+Septiembre!H39+Octubre!H39+Noviembre!H39+Diciembre!H39</f>
        <v>0</v>
      </c>
      <c r="I39" s="13">
        <f t="shared" si="0"/>
        <v>778245914.15141487</v>
      </c>
    </row>
    <row r="40" spans="1:9" ht="15.75" x14ac:dyDescent="0.25">
      <c r="A40" s="8"/>
      <c r="B40" s="8"/>
      <c r="C40" s="9"/>
      <c r="D40" s="12" t="s">
        <v>36</v>
      </c>
      <c r="E40" s="14">
        <f>+Enero!E40+Febrero!E40+Marzo!E40+Abril!E40+Mayo!E40+Junio!E40+Julio!E40+Agosto!E40+Septiembre!E40+Octubre!E40+Noviembre!E40+Diciembre!E40</f>
        <v>29854477.729999997</v>
      </c>
      <c r="F40" s="14">
        <f>+Enero!F40+Febrero!F40+Marzo!F40+Abril!F40+Mayo!F40+Junio!F40+Julio!F40+Agosto!F40+Septiembre!F40+Octubre!F40+Noviembre!F40+Diciembre!F40</f>
        <v>22351047.097275067</v>
      </c>
      <c r="G40" s="14">
        <f>+Enero!G40+Febrero!G40+Marzo!G40+Abril!G40+Mayo!G40+Junio!G40+Julio!G40+Agosto!G40+Septiembre!G40+Octubre!G40+Noviembre!G40+Diciembre!G40</f>
        <v>32470598.110000007</v>
      </c>
      <c r="H40" s="14">
        <f>+Enero!H40+Febrero!H40+Marzo!H40+Abril!H40+Mayo!H40+Junio!H40+Julio!H40+Agosto!H40+Septiembre!H40+Octubre!H40+Noviembre!H40+Diciembre!H40</f>
        <v>0</v>
      </c>
      <c r="I40" s="13">
        <f t="shared" si="0"/>
        <v>84676122.937275082</v>
      </c>
    </row>
    <row r="41" spans="1:9" ht="15.75" x14ac:dyDescent="0.25">
      <c r="A41" s="8"/>
      <c r="B41" s="8"/>
      <c r="C41" s="9"/>
      <c r="D41" s="12" t="s">
        <v>37</v>
      </c>
      <c r="E41" s="14">
        <f>+Enero!E41+Febrero!E41+Marzo!E41+Abril!E41+Mayo!E41+Junio!E41+Julio!E41+Agosto!E41+Septiembre!E41+Octubre!E41+Noviembre!E41+Diciembre!E41</f>
        <v>683815403.13999999</v>
      </c>
      <c r="F41" s="14">
        <f>+Enero!F41+Febrero!F41+Marzo!F41+Abril!F41+Mayo!F41+Junio!F41+Julio!F41+Agosto!F41+Septiembre!F41+Octubre!F41+Noviembre!F41+Diciembre!F41</f>
        <v>373494994.83642417</v>
      </c>
      <c r="G41" s="14">
        <f>+Enero!G41+Febrero!G41+Marzo!G41+Abril!G41+Mayo!G41+Junio!G41+Julio!G41+Agosto!G41+Septiembre!G41+Octubre!G41+Noviembre!G41+Diciembre!G41</f>
        <v>139707780.96999997</v>
      </c>
      <c r="H41" s="14">
        <f>+Enero!H41+Febrero!H41+Marzo!H41+Abril!H41+Mayo!H41+Junio!H41+Julio!H41+Agosto!H41+Septiembre!H41+Octubre!H41+Noviembre!H41+Diciembre!H41</f>
        <v>0</v>
      </c>
      <c r="I41" s="13">
        <f t="shared" si="0"/>
        <v>1197018178.9464242</v>
      </c>
    </row>
    <row r="42" spans="1:9" ht="15.75" x14ac:dyDescent="0.25">
      <c r="A42" s="8"/>
      <c r="B42" s="8"/>
      <c r="C42" s="9"/>
      <c r="D42" s="12" t="s">
        <v>38</v>
      </c>
      <c r="E42" s="14">
        <f>+Enero!E42+Febrero!E42+Marzo!E42+Abril!E42+Mayo!E42+Junio!E42+Julio!E42+Agosto!E42+Septiembre!E42+Octubre!E42+Noviembre!E42+Diciembre!E42</f>
        <v>512033642.03000009</v>
      </c>
      <c r="F42" s="14">
        <f>+Enero!F42+Febrero!F42+Marzo!F42+Abril!F42+Mayo!F42+Junio!F42+Julio!F42+Agosto!F42+Septiembre!F42+Octubre!F42+Noviembre!F42+Diciembre!F42</f>
        <v>404487558.1356622</v>
      </c>
      <c r="G42" s="14">
        <f>+Enero!G42+Febrero!G42+Marzo!G42+Abril!G42+Mayo!G42+Junio!G42+Julio!G42+Agosto!G42+Septiembre!G42+Octubre!G42+Noviembre!G42+Diciembre!G42</f>
        <v>56129730.590000004</v>
      </c>
      <c r="H42" s="14">
        <f>+Enero!H42+Febrero!H42+Marzo!H42+Abril!H42+Mayo!H42+Junio!H42+Julio!H42+Agosto!H42+Septiembre!H42+Octubre!H42+Noviembre!H42+Diciembre!H42</f>
        <v>0</v>
      </c>
      <c r="I42" s="13">
        <f t="shared" ref="I42:I73" si="1">SUM(E42:H42)</f>
        <v>972650930.75566232</v>
      </c>
    </row>
    <row r="43" spans="1:9" ht="15.75" x14ac:dyDescent="0.25">
      <c r="A43" s="8"/>
      <c r="B43" s="8"/>
      <c r="C43" s="9"/>
      <c r="D43" s="12" t="s">
        <v>39</v>
      </c>
      <c r="E43" s="14">
        <f>+Enero!E43+Febrero!E43+Marzo!E43+Abril!E43+Mayo!E43+Junio!E43+Julio!E43+Agosto!E43+Septiembre!E43+Octubre!E43+Noviembre!E43+Diciembre!E43</f>
        <v>118739041.52</v>
      </c>
      <c r="F43" s="14">
        <f>+Enero!F43+Febrero!F43+Marzo!F43+Abril!F43+Mayo!F43+Junio!F43+Julio!F43+Agosto!F43+Septiembre!F43+Octubre!F43+Noviembre!F43+Diciembre!F43</f>
        <v>147113417.91701129</v>
      </c>
      <c r="G43" s="14">
        <f>+Enero!G43+Febrero!G43+Marzo!G43+Abril!G43+Mayo!G43+Junio!G43+Julio!G43+Agosto!G43+Septiembre!G43+Octubre!G43+Noviembre!G43+Diciembre!G43</f>
        <v>74025957.060000002</v>
      </c>
      <c r="H43" s="14">
        <f>+Enero!H43+Febrero!H43+Marzo!H43+Abril!H43+Mayo!H43+Junio!H43+Julio!H43+Agosto!H43+Septiembre!H43+Octubre!H43+Noviembre!H43+Diciembre!H43</f>
        <v>0</v>
      </c>
      <c r="I43" s="13">
        <f t="shared" si="1"/>
        <v>339878416.4970113</v>
      </c>
    </row>
    <row r="44" spans="1:9" ht="15.75" x14ac:dyDescent="0.25">
      <c r="A44" s="8"/>
      <c r="B44" s="8"/>
      <c r="C44" s="9"/>
      <c r="D44" s="12" t="s">
        <v>40</v>
      </c>
      <c r="E44" s="14">
        <f>+Enero!E44+Febrero!E44+Marzo!E44+Abril!E44+Mayo!E44+Junio!E44+Julio!E44+Agosto!E44+Septiembre!E44+Octubre!E44+Noviembre!E44+Diciembre!E44</f>
        <v>1086492.99</v>
      </c>
      <c r="F44" s="14">
        <f>+Enero!F44+Febrero!F44+Marzo!F44+Abril!F44+Mayo!F44+Junio!F44+Julio!F44+Agosto!F44+Septiembre!F44+Octubre!F44+Noviembre!F44+Diciembre!F44</f>
        <v>11322924.07714921</v>
      </c>
      <c r="G44" s="14">
        <f>+Enero!G44+Febrero!G44+Marzo!G44+Abril!G44+Mayo!G44+Junio!G44+Julio!G44+Agosto!G44+Septiembre!G44+Octubre!G44+Noviembre!G44+Diciembre!G44</f>
        <v>107404112.45999998</v>
      </c>
      <c r="H44" s="14">
        <f>+Enero!H44+Febrero!H44+Marzo!H44+Abril!H44+Mayo!H44+Junio!H44+Julio!H44+Agosto!H44+Septiembre!H44+Octubre!H44+Noviembre!H44+Diciembre!H44</f>
        <v>0</v>
      </c>
      <c r="I44" s="13">
        <f t="shared" si="1"/>
        <v>119813529.52714919</v>
      </c>
    </row>
    <row r="45" spans="1:9" ht="15.75" x14ac:dyDescent="0.25">
      <c r="A45" s="8"/>
      <c r="B45" s="8"/>
      <c r="C45" s="9"/>
      <c r="D45" s="12" t="s">
        <v>41</v>
      </c>
      <c r="E45" s="14">
        <f>+Enero!E45+Febrero!E45+Marzo!E45+Abril!E45+Mayo!E45+Junio!E45+Julio!E45+Agosto!E45+Septiembre!E45+Octubre!E45+Noviembre!E45+Diciembre!E45</f>
        <v>208578015.81</v>
      </c>
      <c r="F45" s="14">
        <f>+Enero!F45+Febrero!F45+Marzo!F45+Abril!F45+Mayo!F45+Junio!F45+Julio!F45+Agosto!F45+Septiembre!F45+Octubre!F45+Noviembre!F45+Diciembre!F45</f>
        <v>3278700.4515901832</v>
      </c>
      <c r="G45" s="14">
        <f>+Enero!G45+Febrero!G45+Marzo!G45+Abril!G45+Mayo!G45+Junio!G45+Julio!G45+Agosto!G45+Septiembre!G45+Octubre!G45+Noviembre!G45+Diciembre!G45</f>
        <v>278916444.63</v>
      </c>
      <c r="H45" s="14">
        <f>+Enero!H45+Febrero!H45+Marzo!H45+Abril!H45+Mayo!H45+Junio!H45+Julio!H45+Agosto!H45+Septiembre!H45+Octubre!H45+Noviembre!H45+Diciembre!H45</f>
        <v>0</v>
      </c>
      <c r="I45" s="13">
        <f t="shared" si="1"/>
        <v>490773160.89159018</v>
      </c>
    </row>
    <row r="46" spans="1:9" ht="15.75" x14ac:dyDescent="0.25">
      <c r="A46" s="8"/>
      <c r="B46" s="8"/>
      <c r="C46" s="9"/>
      <c r="D46" s="12" t="s">
        <v>42</v>
      </c>
      <c r="E46" s="14">
        <f>+Enero!E46+Febrero!E46+Marzo!E46+Abril!E46+Mayo!E46+Junio!E46+Julio!E46+Agosto!E46+Septiembre!E46+Octubre!E46+Noviembre!E46+Diciembre!E46</f>
        <v>58823750.020000003</v>
      </c>
      <c r="F46" s="14">
        <f>+Enero!F46+Febrero!F46+Marzo!F46+Abril!F46+Mayo!F46+Junio!F46+Julio!F46+Agosto!F46+Septiembre!F46+Octubre!F46+Noviembre!F46+Diciembre!F46</f>
        <v>10925583.522030775</v>
      </c>
      <c r="G46" s="14">
        <f>+Enero!G46+Febrero!G46+Marzo!G46+Abril!G46+Mayo!G46+Junio!G46+Julio!G46+Agosto!G46+Septiembre!G46+Octubre!G46+Noviembre!G46+Diciembre!G46</f>
        <v>467478473.56000006</v>
      </c>
      <c r="H46" s="14">
        <f>+Enero!H46+Febrero!H46+Marzo!H46+Abril!H46+Mayo!H46+Junio!H46+Julio!H46+Agosto!H46+Septiembre!H46+Octubre!H46+Noviembre!H46+Diciembre!H46</f>
        <v>0</v>
      </c>
      <c r="I46" s="13">
        <f t="shared" si="1"/>
        <v>537227807.10203087</v>
      </c>
    </row>
    <row r="47" spans="1:9" ht="15.75" x14ac:dyDescent="0.25">
      <c r="A47" s="8"/>
      <c r="B47" s="8"/>
      <c r="C47" s="9"/>
      <c r="D47" s="12" t="s">
        <v>43</v>
      </c>
      <c r="E47" s="14">
        <f>+Enero!E47+Febrero!E47+Marzo!E47+Abril!E47+Mayo!E47+Junio!E47+Julio!E47+Agosto!E47+Septiembre!E47+Octubre!E47+Noviembre!E47+Diciembre!E47</f>
        <v>249070930.34000006</v>
      </c>
      <c r="F47" s="14">
        <f>+Enero!F47+Febrero!F47+Marzo!F47+Abril!F47+Mayo!F47+Junio!F47+Julio!F47+Agosto!F47+Septiembre!F47+Octubre!F47+Noviembre!F47+Diciembre!F47</f>
        <v>69334645.12444073</v>
      </c>
      <c r="G47" s="14">
        <f>+Enero!G47+Febrero!G47+Marzo!G47+Abril!G47+Mayo!G47+Junio!G47+Julio!G47+Agosto!G47+Septiembre!G47+Octubre!G47+Noviembre!G47+Diciembre!G47</f>
        <v>64468784.850000001</v>
      </c>
      <c r="H47" s="14">
        <f>+Enero!H47+Febrero!H47+Marzo!H47+Abril!H47+Mayo!H47+Junio!H47+Julio!H47+Agosto!H47+Septiembre!H47+Octubre!H47+Noviembre!H47+Diciembre!H47</f>
        <v>0</v>
      </c>
      <c r="I47" s="13">
        <f t="shared" si="1"/>
        <v>382874360.31444085</v>
      </c>
    </row>
    <row r="48" spans="1:9" ht="15.75" x14ac:dyDescent="0.25">
      <c r="A48" s="8"/>
      <c r="B48" s="8"/>
      <c r="C48" s="9"/>
      <c r="D48" s="12" t="s">
        <v>44</v>
      </c>
      <c r="E48" s="14">
        <f>+Enero!E48+Febrero!E48+Marzo!E48+Abril!E48+Mayo!E48+Junio!E48+Julio!E48+Agosto!E48+Septiembre!E48+Octubre!E48+Noviembre!E48+Diciembre!E48</f>
        <v>101359899.59999999</v>
      </c>
      <c r="F48" s="14">
        <f>+Enero!F48+Febrero!F48+Marzo!F48+Abril!F48+Mayo!F48+Junio!F48+Julio!F48+Agosto!F48+Septiembre!F48+Octubre!F48+Noviembre!F48+Diciembre!F48</f>
        <v>10925583.522030775</v>
      </c>
      <c r="G48" s="14">
        <f>+Enero!G48+Febrero!G48+Marzo!G48+Abril!G48+Mayo!G48+Junio!G48+Julio!G48+Agosto!G48+Septiembre!G48+Octubre!G48+Noviembre!G48+Diciembre!G48</f>
        <v>245443016.89000002</v>
      </c>
      <c r="H48" s="14">
        <f>+Enero!H48+Febrero!H48+Marzo!H48+Abril!H48+Mayo!H48+Junio!H48+Julio!H48+Agosto!H48+Septiembre!H48+Octubre!H48+Noviembre!H48+Diciembre!H48</f>
        <v>0</v>
      </c>
      <c r="I48" s="13">
        <f t="shared" si="1"/>
        <v>357728500.01203078</v>
      </c>
    </row>
    <row r="49" spans="1:9" ht="15.75" x14ac:dyDescent="0.25">
      <c r="A49" s="8"/>
      <c r="B49" s="8"/>
      <c r="C49" s="9"/>
      <c r="D49" s="12" t="s">
        <v>45</v>
      </c>
      <c r="E49" s="14">
        <f>+Enero!E49+Febrero!E49+Marzo!E49+Abril!E49+Mayo!E49+Junio!E49+Julio!E49+Agosto!E49+Septiembre!E49+Octubre!E49+Noviembre!E49+Diciembre!E49</f>
        <v>56095549.969999999</v>
      </c>
      <c r="F49" s="14">
        <f>+Enero!F49+Febrero!F49+Marzo!F49+Abril!F49+Mayo!F49+Junio!F49+Julio!F49+Agosto!F49+Septiembre!F49+Octubre!F49+Noviembre!F49+Diciembre!F49</f>
        <v>13012262.308265654</v>
      </c>
      <c r="G49" s="14">
        <f>+Enero!G49+Febrero!G49+Marzo!G49+Abril!G49+Mayo!G49+Junio!G49+Julio!G49+Agosto!G49+Septiembre!G49+Octubre!G49+Noviembre!G49+Diciembre!G49</f>
        <v>458392862.80999994</v>
      </c>
      <c r="H49" s="14">
        <f>+Enero!H49+Febrero!H49+Marzo!H49+Abril!H49+Mayo!H49+Junio!H49+Julio!H49+Agosto!H49+Septiembre!H49+Octubre!H49+Noviembre!H49+Diciembre!H49</f>
        <v>0</v>
      </c>
      <c r="I49" s="13">
        <f t="shared" si="1"/>
        <v>527500675.0882656</v>
      </c>
    </row>
    <row r="50" spans="1:9" ht="15.75" x14ac:dyDescent="0.25">
      <c r="A50" s="8"/>
      <c r="B50" s="8"/>
      <c r="C50" s="9"/>
      <c r="D50" s="12" t="s">
        <v>46</v>
      </c>
      <c r="E50" s="14">
        <f>+Enero!E50+Febrero!E50+Marzo!E50+Abril!E50+Mayo!E50+Junio!E50+Julio!E50+Agosto!E50+Septiembre!E50+Octubre!E50+Noviembre!E50+Diciembre!E50</f>
        <v>279928343.25</v>
      </c>
      <c r="F50" s="14">
        <f>+Enero!F50+Febrero!F50+Marzo!F50+Abril!F50+Mayo!F50+Junio!F50+Julio!F50+Agosto!F50+Septiembre!F50+Octubre!F50+Noviembre!F50+Diciembre!F50</f>
        <v>125757003.95125851</v>
      </c>
      <c r="G50" s="14">
        <f>+Enero!G50+Febrero!G50+Marzo!G50+Abril!G50+Mayo!G50+Junio!G50+Julio!G50+Agosto!G50+Septiembre!G50+Octubre!G50+Noviembre!G50+Diciembre!G50</f>
        <v>24915592.09</v>
      </c>
      <c r="H50" s="14">
        <f>+Enero!H50+Febrero!H50+Marzo!H50+Abril!H50+Mayo!H50+Junio!H50+Julio!H50+Agosto!H50+Septiembre!H50+Octubre!H50+Noviembre!H50+Diciembre!H50</f>
        <v>0</v>
      </c>
      <c r="I50" s="13">
        <f t="shared" si="1"/>
        <v>430600939.29125851</v>
      </c>
    </row>
    <row r="51" spans="1:9" ht="15.75" x14ac:dyDescent="0.25">
      <c r="A51" s="8"/>
      <c r="B51" s="8"/>
      <c r="C51" s="9"/>
      <c r="D51" s="12" t="s">
        <v>47</v>
      </c>
      <c r="E51" s="14">
        <f>+Enero!E51+Febrero!E51+Marzo!E51+Abril!E51+Mayo!E51+Junio!E51+Julio!E51+Agosto!E51+Septiembre!E51+Octubre!E51+Noviembre!E51+Diciembre!E51</f>
        <v>382169155.58999997</v>
      </c>
      <c r="F51" s="14">
        <f>+Enero!F51+Febrero!F51+Marzo!F51+Abril!F51+Mayo!F51+Junio!F51+Julio!F51+Agosto!F51+Septiembre!F51+Octubre!F51+Noviembre!F51+Diciembre!F51</f>
        <v>228665644.23948079</v>
      </c>
      <c r="G51" s="14">
        <f>+Enero!G51+Febrero!G51+Marzo!G51+Abril!G51+Mayo!G51+Junio!G51+Julio!G51+Agosto!G51+Septiembre!G51+Octubre!G51+Noviembre!G51+Diciembre!G51</f>
        <v>113917888.91999999</v>
      </c>
      <c r="H51" s="14">
        <f>+Enero!H51+Febrero!H51+Marzo!H51+Abril!H51+Mayo!H51+Junio!H51+Julio!H51+Agosto!H51+Septiembre!H51+Octubre!H51+Noviembre!H51+Diciembre!H51</f>
        <v>0</v>
      </c>
      <c r="I51" s="13">
        <f t="shared" si="1"/>
        <v>724752688.74948072</v>
      </c>
    </row>
    <row r="52" spans="1:9" ht="15.75" x14ac:dyDescent="0.25">
      <c r="A52" s="8"/>
      <c r="B52" s="8"/>
      <c r="C52" s="9"/>
      <c r="D52" s="12" t="s">
        <v>48</v>
      </c>
      <c r="E52" s="14">
        <f>+Enero!E52+Febrero!E52+Marzo!E52+Abril!E52+Mayo!E52+Junio!E52+Julio!E52+Agosto!E52+Septiembre!E52+Octubre!E52+Noviembre!E52+Diciembre!E52</f>
        <v>235103413.52000001</v>
      </c>
      <c r="F52" s="14">
        <f>+Enero!F52+Febrero!F52+Marzo!F52+Abril!F52+Mayo!F52+Junio!F52+Julio!F52+Agosto!F52+Septiembre!F52+Octubre!F52+Noviembre!F52+Diciembre!F52</f>
        <v>230454958.48123994</v>
      </c>
      <c r="G52" s="14">
        <f>+Enero!G52+Febrero!G52+Marzo!G52+Abril!G52+Mayo!G52+Junio!G52+Julio!G52+Agosto!G52+Septiembre!G52+Octubre!G52+Noviembre!G52+Diciembre!G52</f>
        <v>21456140.399999999</v>
      </c>
      <c r="H52" s="14">
        <f>+Enero!H52+Febrero!H52+Marzo!H52+Abril!H52+Mayo!H52+Junio!H52+Julio!H52+Agosto!H52+Septiembre!H52+Octubre!H52+Noviembre!H52+Diciembre!H52</f>
        <v>0</v>
      </c>
      <c r="I52" s="13">
        <f t="shared" si="1"/>
        <v>487014512.40123993</v>
      </c>
    </row>
    <row r="53" spans="1:9" ht="15.75" x14ac:dyDescent="0.25">
      <c r="A53" s="8"/>
      <c r="B53" s="8"/>
      <c r="C53" s="9"/>
      <c r="D53" s="12" t="s">
        <v>49</v>
      </c>
      <c r="E53" s="14">
        <f>+Enero!E53+Febrero!E53+Marzo!E53+Abril!E53+Mayo!E53+Junio!E53+Julio!E53+Agosto!E53+Septiembre!E53+Octubre!E53+Noviembre!E53+Diciembre!E53</f>
        <v>398975128.14999998</v>
      </c>
      <c r="F53" s="14">
        <f>+Enero!F53+Febrero!F53+Marzo!F53+Abril!F53+Mayo!F53+Junio!F53+Julio!F53+Agosto!F53+Septiembre!F53+Octubre!F53+Noviembre!F53+Diciembre!F53</f>
        <v>157941588.91585174</v>
      </c>
      <c r="G53" s="14">
        <f>+Enero!G53+Febrero!G53+Marzo!G53+Abril!G53+Mayo!G53+Junio!G53+Julio!G53+Agosto!G53+Septiembre!G53+Octubre!G53+Noviembre!G53+Diciembre!G53</f>
        <v>59993872.109999999</v>
      </c>
      <c r="H53" s="14">
        <f>+Enero!H53+Febrero!H53+Marzo!H53+Abril!H53+Mayo!H53+Junio!H53+Julio!H53+Agosto!H53+Septiembre!H53+Octubre!H53+Noviembre!H53+Diciembre!H53</f>
        <v>0</v>
      </c>
      <c r="I53" s="13">
        <f t="shared" si="1"/>
        <v>616910589.1758517</v>
      </c>
    </row>
    <row r="54" spans="1:9" ht="15.75" x14ac:dyDescent="0.25">
      <c r="A54" s="8"/>
      <c r="B54" s="8"/>
      <c r="C54" s="9"/>
      <c r="D54" s="12" t="s">
        <v>50</v>
      </c>
      <c r="E54" s="14">
        <f>+Enero!E54+Febrero!E54+Marzo!E54+Abril!E54+Mayo!E54+Junio!E54+Julio!E54+Agosto!E54+Septiembre!E54+Octubre!E54+Noviembre!E54+Diciembre!E54</f>
        <v>367950500.10000002</v>
      </c>
      <c r="F54" s="14">
        <f>+Enero!F54+Febrero!F54+Marzo!F54+Abril!F54+Mayo!F54+Junio!F54+Julio!F54+Agosto!F54+Septiembre!F54+Octubre!F54+Noviembre!F54+Diciembre!F54</f>
        <v>145026739.13077641</v>
      </c>
      <c r="G54" s="14">
        <f>+Enero!G54+Febrero!G54+Marzo!G54+Abril!G54+Mayo!G54+Junio!G54+Julio!G54+Agosto!G54+Septiembre!G54+Octubre!G54+Noviembre!G54+Diciembre!G54</f>
        <v>58427040.300000004</v>
      </c>
      <c r="H54" s="14">
        <f>+Enero!H54+Febrero!H54+Marzo!H54+Abril!H54+Mayo!H54+Junio!H54+Julio!H54+Agosto!H54+Septiembre!H54+Octubre!H54+Noviembre!H54+Diciembre!H54</f>
        <v>0</v>
      </c>
      <c r="I54" s="13">
        <f t="shared" si="1"/>
        <v>571404279.53077638</v>
      </c>
    </row>
    <row r="55" spans="1:9" ht="15.75" x14ac:dyDescent="0.25">
      <c r="A55" s="8"/>
      <c r="B55" s="8"/>
      <c r="C55" s="9"/>
      <c r="D55" s="12" t="s">
        <v>51</v>
      </c>
      <c r="E55" s="14">
        <f>+Enero!E55+Febrero!E55+Marzo!E55+Abril!E55+Mayo!E55+Junio!E55+Julio!E55+Agosto!E55+Septiembre!E55+Octubre!E55+Noviembre!E55+Diciembre!E55</f>
        <v>119306308.50999999</v>
      </c>
      <c r="F55" s="14">
        <f>+Enero!F55+Febrero!F55+Marzo!F55+Abril!F55+Mayo!F55+Junio!F55+Julio!F55+Agosto!F55+Septiembre!F55+Octubre!F55+Noviembre!F55+Diciembre!F55</f>
        <v>297008219.71985161</v>
      </c>
      <c r="G55" s="14">
        <f>+Enero!G55+Febrero!G55+Marzo!G55+Abril!G55+Mayo!G55+Junio!G55+Julio!G55+Agosto!G55+Septiembre!G55+Octubre!G55+Noviembre!G55+Diciembre!G55</f>
        <v>4887235.55</v>
      </c>
      <c r="H55" s="14">
        <f>+Enero!H55+Febrero!H55+Marzo!H55+Abril!H55+Mayo!H55+Junio!H55+Julio!H55+Agosto!H55+Septiembre!H55+Octubre!H55+Noviembre!H55+Diciembre!H55</f>
        <v>0</v>
      </c>
      <c r="I55" s="13">
        <f t="shared" si="1"/>
        <v>421201763.77985162</v>
      </c>
    </row>
    <row r="56" spans="1:9" ht="15.75" x14ac:dyDescent="0.25">
      <c r="A56" s="8"/>
      <c r="B56" s="8"/>
      <c r="C56" s="9"/>
      <c r="D56" s="12" t="s">
        <v>52</v>
      </c>
      <c r="E56" s="14">
        <f>+Enero!E56+Febrero!E56+Marzo!E56+Abril!E56+Mayo!E56+Junio!E56+Julio!E56+Agosto!E56+Septiembre!E56+Octubre!E56+Noviembre!E56+Diciembre!E56</f>
        <v>294598976.61000001</v>
      </c>
      <c r="F56" s="14">
        <f>+Enero!F56+Febrero!F56+Marzo!F56+Abril!F56+Mayo!F56+Junio!F56+Julio!F56+Agosto!F56+Septiembre!F56+Octubre!F56+Noviembre!F56+Diciembre!F56</f>
        <v>330582214.8836332</v>
      </c>
      <c r="G56" s="14">
        <f>+Enero!G56+Febrero!G56+Marzo!G56+Abril!G56+Mayo!G56+Junio!G56+Julio!G56+Agosto!G56+Septiembre!G56+Octubre!G56+Noviembre!G56+Diciembre!G56</f>
        <v>35207491.440000013</v>
      </c>
      <c r="H56" s="14">
        <f>+Enero!H56+Febrero!H56+Marzo!H56+Abril!H56+Mayo!H56+Junio!H56+Julio!H56+Agosto!H56+Septiembre!H56+Octubre!H56+Noviembre!H56+Diciembre!H56</f>
        <v>0</v>
      </c>
      <c r="I56" s="13">
        <f t="shared" si="1"/>
        <v>660388682.93363333</v>
      </c>
    </row>
    <row r="57" spans="1:9" ht="15.75" x14ac:dyDescent="0.25">
      <c r="A57" s="8"/>
      <c r="B57" s="8"/>
      <c r="C57" s="9"/>
      <c r="D57" s="12" t="s">
        <v>53</v>
      </c>
      <c r="E57" s="14">
        <f>+Enero!E57+Febrero!E57+Marzo!E57+Abril!E57+Mayo!E57+Junio!E57+Julio!E57+Agosto!E57+Septiembre!E57+Octubre!E57+Noviembre!E57+Diciembre!E57</f>
        <v>84580023.189999998</v>
      </c>
      <c r="F57" s="14">
        <f>+Enero!F57+Febrero!F57+Marzo!F57+Abril!F57+Mayo!F57+Junio!F57+Julio!F57+Agosto!F57+Septiembre!F57+Octubre!F57+Noviembre!F57+Diciembre!F57</f>
        <v>109266089.17011726</v>
      </c>
      <c r="G57" s="14">
        <f>+Enero!G57+Febrero!G57+Marzo!G57+Abril!G57+Mayo!G57+Junio!G57+Julio!G57+Agosto!G57+Septiembre!G57+Octubre!G57+Noviembre!G57+Diciembre!G57</f>
        <v>34406541.579999998</v>
      </c>
      <c r="H57" s="14">
        <f>+Enero!H57+Febrero!H57+Marzo!H57+Abril!H57+Mayo!H57+Junio!H57+Julio!H57+Agosto!H57+Septiembre!H57+Octubre!H57+Noviembre!H57+Diciembre!H57</f>
        <v>0</v>
      </c>
      <c r="I57" s="13">
        <f t="shared" si="1"/>
        <v>228252653.94011724</v>
      </c>
    </row>
    <row r="58" spans="1:9" ht="15.75" x14ac:dyDescent="0.25">
      <c r="A58" s="8"/>
      <c r="B58" s="8"/>
      <c r="C58" s="9"/>
      <c r="D58" s="12" t="s">
        <v>54</v>
      </c>
      <c r="E58" s="14">
        <f>+Enero!E58+Febrero!E58+Marzo!E58+Abril!E58+Mayo!E58+Junio!E58+Julio!E58+Agosto!E58+Septiembre!E58+Octubre!E58+Noviembre!E58+Diciembre!E58</f>
        <v>97298950.390000001</v>
      </c>
      <c r="F58" s="14">
        <f>+Enero!F58+Febrero!F58+Marzo!F58+Abril!F58+Mayo!F58+Junio!F58+Julio!F58+Agosto!F58+Septiembre!F58+Octubre!F58+Noviembre!F58+Diciembre!F58</f>
        <v>117610240.82760438</v>
      </c>
      <c r="G58" s="14">
        <f>+Enero!G58+Febrero!G58+Marzo!G58+Abril!G58+Mayo!G58+Junio!G58+Julio!G58+Agosto!G58+Septiembre!G58+Octubre!G58+Noviembre!G58+Diciembre!G58</f>
        <v>4688275.3099999996</v>
      </c>
      <c r="H58" s="14">
        <f>+Enero!H58+Febrero!H58+Marzo!H58+Abril!H58+Mayo!H58+Junio!H58+Julio!H58+Agosto!H58+Septiembre!H58+Octubre!H58+Noviembre!H58+Diciembre!H58</f>
        <v>0</v>
      </c>
      <c r="I58" s="13">
        <f t="shared" si="1"/>
        <v>219597466.5276044</v>
      </c>
    </row>
    <row r="59" spans="1:9" ht="15.75" x14ac:dyDescent="0.25">
      <c r="A59" s="8"/>
      <c r="B59" s="8"/>
      <c r="C59" s="9"/>
      <c r="D59" s="12" t="s">
        <v>55</v>
      </c>
      <c r="E59" s="14">
        <f>+Enero!E59+Febrero!E59+Marzo!E59+Abril!E59+Mayo!E59+Junio!E59+Julio!E59+Agosto!E59+Septiembre!E59+Octubre!E59+Noviembre!E59+Diciembre!E59</f>
        <v>233601947.73999998</v>
      </c>
      <c r="F59" s="14">
        <f>+Enero!F59+Febrero!F59+Marzo!F59+Abril!F59+Mayo!F59+Junio!F59+Julio!F59+Agosto!F59+Septiembre!F59+Octubre!F59+Noviembre!F59+Diciembre!F59</f>
        <v>198667714.07176512</v>
      </c>
      <c r="G59" s="14">
        <f>+Enero!G59+Febrero!G59+Marzo!G59+Abril!G59+Mayo!G59+Junio!G59+Julio!G59+Agosto!G59+Septiembre!G59+Octubre!G59+Noviembre!G59+Diciembre!G59</f>
        <v>65302574.439999998</v>
      </c>
      <c r="H59" s="14">
        <f>+Enero!H59+Febrero!H59+Marzo!H59+Abril!H59+Mayo!H59+Junio!H59+Julio!H59+Agosto!H59+Septiembre!H59+Octubre!H59+Noviembre!H59+Diciembre!H59</f>
        <v>0</v>
      </c>
      <c r="I59" s="13">
        <f t="shared" si="1"/>
        <v>497572236.25176507</v>
      </c>
    </row>
    <row r="60" spans="1:9" ht="15.75" x14ac:dyDescent="0.25">
      <c r="A60" s="8"/>
      <c r="B60" s="8"/>
      <c r="C60" s="9"/>
      <c r="D60" s="12" t="s">
        <v>56</v>
      </c>
      <c r="E60" s="14">
        <f>+Enero!E60+Febrero!E60+Marzo!E60+Abril!E60+Mayo!E60+Junio!E60+Julio!E60+Agosto!E60+Septiembre!E60+Octubre!E60+Noviembre!E60+Diciembre!E60</f>
        <v>135223016.96000001</v>
      </c>
      <c r="F60" s="14">
        <f>+Enero!F60+Febrero!F60+Marzo!F60+Abril!F60+Mayo!F60+Junio!F60+Julio!F60+Agosto!F60+Septiembre!F60+Octubre!F60+Noviembre!F60+Diciembre!F60</f>
        <v>120194236.17960042</v>
      </c>
      <c r="G60" s="14">
        <f>+Enero!G60+Febrero!G60+Marzo!G60+Abril!G60+Mayo!G60+Junio!G60+Julio!G60+Agosto!G60+Septiembre!G60+Octubre!G60+Noviembre!G60+Diciembre!G60</f>
        <v>26890309.170000002</v>
      </c>
      <c r="H60" s="14">
        <f>+Enero!H60+Febrero!H60+Marzo!H60+Abril!H60+Mayo!H60+Junio!H60+Julio!H60+Agosto!H60+Septiembre!H60+Octubre!H60+Noviembre!H60+Diciembre!H60</f>
        <v>0</v>
      </c>
      <c r="I60" s="13">
        <f t="shared" si="1"/>
        <v>282307562.30960041</v>
      </c>
    </row>
    <row r="61" spans="1:9" ht="15.75" x14ac:dyDescent="0.25">
      <c r="A61" s="8"/>
      <c r="B61" s="8"/>
      <c r="C61" s="9"/>
      <c r="D61" s="12" t="s">
        <v>57</v>
      </c>
      <c r="E61" s="14">
        <f>+Enero!E61+Febrero!E61+Marzo!E61+Abril!E61+Mayo!E61+Junio!E61+Julio!E61+Agosto!E61+Septiembre!E61+Octubre!E61+Noviembre!E61+Diciembre!E61</f>
        <v>553996766.08000004</v>
      </c>
      <c r="F61" s="14">
        <f>+Enero!F61+Febrero!F61+Marzo!F61+Abril!F61+Mayo!F61+Junio!F61+Julio!F61+Agosto!F61+Septiembre!F61+Octubre!F61+Noviembre!F61+Diciembre!F61</f>
        <v>201646486.49142724</v>
      </c>
      <c r="G61" s="14">
        <f>+Enero!G61+Febrero!G61+Marzo!G61+Abril!G61+Mayo!G61+Junio!G61+Julio!G61+Agosto!G61+Septiembre!G61+Octubre!G61+Noviembre!G61+Diciembre!G61</f>
        <v>35055265.450000003</v>
      </c>
      <c r="H61" s="14">
        <f>+Enero!H61+Febrero!H61+Marzo!H61+Abril!H61+Mayo!H61+Junio!H61+Julio!H61+Agosto!H61+Septiembre!H61+Octubre!H61+Noviembre!H61+Diciembre!H61</f>
        <v>0</v>
      </c>
      <c r="I61" s="13">
        <f t="shared" si="1"/>
        <v>790698518.02142739</v>
      </c>
    </row>
    <row r="62" spans="1:9" ht="15.75" x14ac:dyDescent="0.25">
      <c r="A62" s="8"/>
      <c r="B62" s="8"/>
      <c r="C62" s="9"/>
      <c r="D62" s="12" t="s">
        <v>58</v>
      </c>
      <c r="E62" s="14">
        <f>+Enero!E62+Febrero!E62+Marzo!E62+Abril!E62+Mayo!E62+Junio!E62+Julio!E62+Agosto!E62+Septiembre!E62+Octubre!E62+Noviembre!E62+Diciembre!E62</f>
        <v>418137638.98999995</v>
      </c>
      <c r="F62" s="14">
        <f>+Enero!F62+Febrero!F62+Marzo!F62+Abril!F62+Mayo!F62+Junio!F62+Julio!F62+Agosto!F62+Septiembre!F62+Octubre!F62+Noviembre!F62+Diciembre!F62</f>
        <v>224992166.72022462</v>
      </c>
      <c r="G62" s="14">
        <f>+Enero!G62+Febrero!G62+Marzo!G62+Abril!G62+Mayo!G62+Junio!G62+Julio!G62+Agosto!G62+Septiembre!G62+Octubre!G62+Noviembre!G62+Diciembre!G62</f>
        <v>2685960919.48</v>
      </c>
      <c r="H62" s="14">
        <f>+Enero!H62+Febrero!H62+Marzo!H62+Abril!H62+Mayo!H62+Junio!H62+Julio!H62+Agosto!H62+Septiembre!H62+Octubre!H62+Noviembre!H62+Diciembre!H62</f>
        <v>0</v>
      </c>
      <c r="I62" s="13">
        <f t="shared" si="1"/>
        <v>3329090725.1902246</v>
      </c>
    </row>
    <row r="63" spans="1:9" ht="15.75" x14ac:dyDescent="0.25">
      <c r="A63" s="8"/>
      <c r="B63" s="8"/>
      <c r="C63" s="9"/>
      <c r="D63" s="12" t="s">
        <v>59</v>
      </c>
      <c r="E63" s="14">
        <f>+Enero!E63+Febrero!E63+Marzo!E63+Abril!E63+Mayo!E63+Junio!E63+Julio!E63+Agosto!E63+Septiembre!E63+Octubre!E63+Noviembre!E63+Diciembre!E63</f>
        <v>111434276.42</v>
      </c>
      <c r="F63" s="14">
        <f>+Enero!F63+Febrero!F63+Marzo!F63+Abril!F63+Mayo!F63+Junio!F63+Julio!F63+Agosto!F63+Septiembre!F63+Octubre!F63+Noviembre!F63+Diciembre!F63</f>
        <v>24832502.951176003</v>
      </c>
      <c r="G63" s="14">
        <f>+Enero!G63+Febrero!G63+Marzo!G63+Abril!G63+Mayo!G63+Junio!G63+Julio!G63+Agosto!G63+Septiembre!G63+Octubre!G63+Noviembre!G63+Diciembre!G63</f>
        <v>176340436.19000003</v>
      </c>
      <c r="H63" s="14">
        <f>+Enero!H63+Febrero!H63+Marzo!H63+Abril!H63+Mayo!H63+Junio!H63+Julio!H63+Agosto!H63+Septiembre!H63+Octubre!H63+Noviembre!H63+Diciembre!H63</f>
        <v>0</v>
      </c>
      <c r="I63" s="13">
        <f t="shared" si="1"/>
        <v>312607215.56117606</v>
      </c>
    </row>
    <row r="64" spans="1:9" ht="15.75" x14ac:dyDescent="0.25">
      <c r="A64" s="8"/>
      <c r="B64" s="8"/>
      <c r="C64" s="9"/>
      <c r="D64" s="12" t="s">
        <v>60</v>
      </c>
      <c r="E64" s="14">
        <f>+Enero!E64+Febrero!E64+Marzo!E64+Abril!E64+Mayo!E64+Junio!E64+Julio!E64+Agosto!E64+Septiembre!E64+Octubre!E64+Noviembre!E64+Diciembre!E64</f>
        <v>0</v>
      </c>
      <c r="F64" s="14">
        <f>+Enero!F64+Febrero!F64+Marzo!F64+Abril!F64+Mayo!F64+Junio!F64+Julio!F64+Agosto!F64+Septiembre!F64+Octubre!F64+Noviembre!F64+Diciembre!F64</f>
        <v>0</v>
      </c>
      <c r="G64" s="14">
        <f>+Enero!G64+Febrero!G64+Marzo!G64+Abril!G64+Mayo!G64+Junio!G64+Julio!G64+Agosto!G64+Septiembre!G64+Octubre!G64+Noviembre!G64+Diciembre!G64</f>
        <v>973321787.94000006</v>
      </c>
      <c r="H64" s="14">
        <f>+Enero!H64+Febrero!H64+Marzo!H64+Abril!H64+Mayo!H64+Junio!H64+Julio!H64+Agosto!H64+Septiembre!H64+Octubre!H64+Noviembre!H64+Diciembre!H64</f>
        <v>0</v>
      </c>
      <c r="I64" s="13">
        <f t="shared" si="1"/>
        <v>973321787.94000006</v>
      </c>
    </row>
    <row r="65" spans="1:9" ht="15.75" x14ac:dyDescent="0.25">
      <c r="A65" s="8"/>
      <c r="B65" s="8"/>
      <c r="C65" s="9"/>
      <c r="D65" s="12" t="s">
        <v>61</v>
      </c>
      <c r="E65" s="14">
        <f>+Enero!E65+Febrero!E65+Marzo!E65+Abril!E65+Mayo!E65+Junio!E65+Julio!E65+Agosto!E65+Septiembre!E65+Octubre!E65+Noviembre!E65+Diciembre!E65</f>
        <v>381667154.99999994</v>
      </c>
      <c r="F65" s="14">
        <f>+Enero!F65+Febrero!F65+Marzo!F65+Abril!F65+Mayo!F65+Junio!F65+Julio!F65+Agosto!F65+Septiembre!F65+Octubre!F65+Noviembre!F65+Diciembre!F65</f>
        <v>294026883.81273723</v>
      </c>
      <c r="G65" s="14">
        <f>+Enero!G65+Febrero!G65+Marzo!G65+Abril!G65+Mayo!G65+Junio!G65+Julio!G65+Agosto!G65+Septiembre!G65+Octubre!G65+Noviembre!G65+Diciembre!G65</f>
        <v>42205839.609999992</v>
      </c>
      <c r="H65" s="14">
        <f>+Enero!H65+Febrero!H65+Marzo!H65+Abril!H65+Mayo!H65+Junio!H65+Julio!H65+Agosto!H65+Septiembre!H65+Octubre!H65+Noviembre!H65+Diciembre!H65</f>
        <v>0</v>
      </c>
      <c r="I65" s="13">
        <f t="shared" si="1"/>
        <v>717899878.42273724</v>
      </c>
    </row>
    <row r="66" spans="1:9" ht="15.75" x14ac:dyDescent="0.25">
      <c r="A66" s="8"/>
      <c r="B66" s="8"/>
      <c r="C66" s="9"/>
      <c r="D66" s="12" t="s">
        <v>62</v>
      </c>
      <c r="E66" s="14">
        <f>+Enero!E66+Febrero!E66+Marzo!E66+Abril!E66+Mayo!E66+Junio!E66+Julio!E66+Agosto!E66+Septiembre!E66+Octubre!E66+Noviembre!E66+Diciembre!E66</f>
        <v>1712566303.6800003</v>
      </c>
      <c r="F66" s="14">
        <f>+Enero!F66+Febrero!F66+Marzo!F66+Abril!F66+Mayo!F66+Junio!F66+Julio!F66+Agosto!F66+Septiembre!F66+Octubre!F66+Noviembre!F66+Diciembre!F66</f>
        <v>584580242.1275034</v>
      </c>
      <c r="G66" s="14">
        <f>+Enero!G66+Febrero!G66+Marzo!G66+Abril!G66+Mayo!G66+Junio!G66+Julio!G66+Agosto!G66+Septiembre!G66+Octubre!G66+Noviembre!G66+Diciembre!G66</f>
        <v>90879391.589999989</v>
      </c>
      <c r="H66" s="14">
        <f>+Enero!H66+Febrero!H66+Marzo!H66+Abril!H66+Mayo!H66+Junio!H66+Julio!H66+Agosto!H66+Septiembre!H66+Octubre!H66+Noviembre!H66+Diciembre!H66</f>
        <v>0</v>
      </c>
      <c r="I66" s="13">
        <f t="shared" si="1"/>
        <v>2388025937.3975039</v>
      </c>
    </row>
    <row r="67" spans="1:9" ht="15.75" x14ac:dyDescent="0.25">
      <c r="A67" s="8"/>
      <c r="B67" s="8"/>
      <c r="C67" s="9"/>
      <c r="D67" s="12" t="s">
        <v>63</v>
      </c>
      <c r="E67" s="14">
        <f>+Enero!E67+Febrero!E67+Marzo!E67+Abril!E67+Mayo!E67+Junio!E67+Julio!E67+Agosto!E67+Septiembre!E67+Octubre!E67+Noviembre!E67+Diciembre!E67</f>
        <v>272082595.00999993</v>
      </c>
      <c r="F67" s="14">
        <f>+Enero!F67+Febrero!F67+Marzo!F67+Abril!F67+Mayo!F67+Junio!F67+Julio!F67+Agosto!F67+Septiembre!F67+Octubre!F67+Noviembre!F67+Diciembre!F67</f>
        <v>270189013.99308348</v>
      </c>
      <c r="G67" s="14">
        <f>+Enero!G67+Febrero!G67+Marzo!G67+Abril!G67+Mayo!G67+Junio!G67+Julio!G67+Agosto!G67+Septiembre!G67+Octubre!G67+Noviembre!G67+Diciembre!G67</f>
        <v>34941112.250000007</v>
      </c>
      <c r="H67" s="14">
        <f>+Enero!H67+Febrero!H67+Marzo!H67+Abril!H67+Mayo!H67+Junio!H67+Julio!H67+Agosto!H67+Septiembre!H67+Octubre!H67+Noviembre!H67+Diciembre!H67</f>
        <v>0</v>
      </c>
      <c r="I67" s="13">
        <f t="shared" si="1"/>
        <v>577212721.25308347</v>
      </c>
    </row>
    <row r="68" spans="1:9" ht="15.75" x14ac:dyDescent="0.25">
      <c r="A68" s="8"/>
      <c r="B68" s="8"/>
      <c r="C68" s="9"/>
      <c r="D68" s="12" t="s">
        <v>64</v>
      </c>
      <c r="E68" s="14">
        <f>+Enero!E68+Febrero!E68+Marzo!E68+Abril!E68+Mayo!E68+Junio!E68+Julio!E68+Agosto!E68+Septiembre!E68+Octubre!E68+Noviembre!E68+Diciembre!E68</f>
        <v>339037132.38</v>
      </c>
      <c r="F68" s="14">
        <f>+Enero!F68+Febrero!F68+Marzo!F68+Abril!F68+Mayo!F68+Junio!F68+Julio!F68+Agosto!F68+Septiembre!F68+Octubre!F68+Noviembre!F68+Diciembre!F68</f>
        <v>114234127.8528239</v>
      </c>
      <c r="G68" s="14">
        <f>+Enero!G68+Febrero!G68+Marzo!G68+Abril!G68+Mayo!G68+Junio!G68+Julio!G68+Agosto!G68+Septiembre!G68+Octubre!G68+Noviembre!G68+Diciembre!G68</f>
        <v>6595135.6100000003</v>
      </c>
      <c r="H68" s="14">
        <f>+Enero!H68+Febrero!H68+Marzo!H68+Abril!H68+Mayo!H68+Junio!H68+Julio!H68+Agosto!H68+Septiembre!H68+Octubre!H68+Noviembre!H68+Diciembre!H68</f>
        <v>0</v>
      </c>
      <c r="I68" s="13">
        <f t="shared" si="1"/>
        <v>459866395.84282392</v>
      </c>
    </row>
    <row r="69" spans="1:9" ht="15.75" x14ac:dyDescent="0.25">
      <c r="A69" s="8"/>
      <c r="B69" s="8"/>
      <c r="C69" s="9"/>
      <c r="D69" s="12" t="s">
        <v>65</v>
      </c>
      <c r="E69" s="14">
        <f>+Enero!E69+Febrero!E69+Marzo!E69+Abril!E69+Mayo!E69+Junio!E69+Julio!E69+Agosto!E69+Septiembre!E69+Octubre!E69+Noviembre!E69+Diciembre!E69</f>
        <v>0</v>
      </c>
      <c r="F69" s="14">
        <f>+Enero!F69+Febrero!F69+Marzo!F69+Abril!F69+Mayo!F69+Junio!F69+Julio!F69+Agosto!F69+Septiembre!F69+Octubre!F69+Noviembre!F69+Diciembre!F69</f>
        <v>0</v>
      </c>
      <c r="G69" s="14">
        <f>+Enero!G69+Febrero!G69+Marzo!G69+Abril!G69+Mayo!G69+Junio!G69+Julio!G69+Agosto!G69+Septiembre!G69+Octubre!G69+Noviembre!G69+Diciembre!G69</f>
        <v>275947768.03000003</v>
      </c>
      <c r="H69" s="14">
        <f>+Enero!H69+Febrero!H69+Marzo!H69+Abril!H69+Mayo!H69+Junio!H69+Julio!H69+Agosto!H69+Septiembre!H69+Octubre!H69+Noviembre!H69+Diciembre!H69</f>
        <v>0</v>
      </c>
      <c r="I69" s="13">
        <f t="shared" si="1"/>
        <v>275947768.03000003</v>
      </c>
    </row>
    <row r="70" spans="1:9" ht="15.75" x14ac:dyDescent="0.25">
      <c r="A70" s="8"/>
      <c r="B70" s="8"/>
      <c r="C70" s="9"/>
      <c r="D70" s="12" t="s">
        <v>66</v>
      </c>
      <c r="E70" s="14">
        <f>+Enero!E70+Febrero!E70+Marzo!E70+Abril!E70+Mayo!E70+Junio!E70+Julio!E70+Agosto!E70+Septiembre!E70+Octubre!E70+Noviembre!E70+Diciembre!E70</f>
        <v>0</v>
      </c>
      <c r="F70" s="14">
        <f>+Enero!F70+Febrero!F70+Marzo!F70+Abril!F70+Mayo!F70+Junio!F70+Julio!F70+Agosto!F70+Septiembre!F70+Octubre!F70+Noviembre!F70+Diciembre!F70</f>
        <v>0</v>
      </c>
      <c r="G70" s="14">
        <f>+Enero!G70+Febrero!G70+Marzo!G70+Abril!G70+Mayo!G70+Junio!G70+Julio!G70+Agosto!G70+Septiembre!G70+Octubre!G70+Noviembre!G70+Diciembre!G70</f>
        <v>349756578.56000006</v>
      </c>
      <c r="H70" s="14">
        <f>+Enero!H70+Febrero!H70+Marzo!H70+Abril!H70+Mayo!H70+Junio!H70+Julio!H70+Agosto!H70+Septiembre!H70+Octubre!H70+Noviembre!H70+Diciembre!H70</f>
        <v>0</v>
      </c>
      <c r="I70" s="13">
        <f t="shared" si="1"/>
        <v>349756578.56000006</v>
      </c>
    </row>
    <row r="71" spans="1:9" ht="15.75" x14ac:dyDescent="0.25">
      <c r="A71" s="8"/>
      <c r="B71" s="8"/>
      <c r="C71" s="9"/>
      <c r="D71" s="12" t="s">
        <v>67</v>
      </c>
      <c r="E71" s="14">
        <f>+Enero!E71+Febrero!E71+Marzo!E71+Abril!E71+Mayo!E71+Junio!E71+Julio!E71+Agosto!E71+Septiembre!E71+Octubre!E71+Noviembre!E71+Diciembre!E71</f>
        <v>1455905.87</v>
      </c>
      <c r="F71" s="14">
        <f>+Enero!F71+Febrero!F71+Marzo!F71+Abril!F71+Mayo!F71+Junio!F71+Julio!F71+Agosto!F71+Septiembre!F71+Octubre!F71+Noviembre!F71+Diciembre!F71</f>
        <v>2978772.4196620742</v>
      </c>
      <c r="G71" s="14">
        <f>+Enero!G71+Febrero!G71+Marzo!G71+Abril!G71+Mayo!G71+Junio!G71+Julio!G71+Agosto!G71+Septiembre!G71+Octubre!G71+Noviembre!G71+Diciembre!G71</f>
        <v>317055897.63</v>
      </c>
      <c r="H71" s="14">
        <f>+Enero!H71+Febrero!H71+Marzo!H71+Abril!H71+Mayo!H71+Junio!H71+Julio!H71+Agosto!H71+Septiembre!H71+Octubre!H71+Noviembre!H71+Diciembre!H71</f>
        <v>0</v>
      </c>
      <c r="I71" s="13">
        <f t="shared" si="1"/>
        <v>321490575.91966206</v>
      </c>
    </row>
    <row r="72" spans="1:9" ht="15.75" x14ac:dyDescent="0.25">
      <c r="A72" s="8"/>
      <c r="B72" s="8"/>
      <c r="C72" s="9"/>
      <c r="D72" s="12" t="s">
        <v>68</v>
      </c>
      <c r="E72" s="14">
        <f>+Enero!E72+Febrero!E72+Marzo!E72+Abril!E72+Mayo!E72+Junio!E72+Julio!E72+Agosto!E72+Septiembre!E72+Octubre!E72+Noviembre!E72+Diciembre!E72</f>
        <v>550670368.81999993</v>
      </c>
      <c r="F72" s="14">
        <f>+Enero!F72+Febrero!F72+Marzo!F72+Abril!F72+Mayo!F72+Junio!F72+Julio!F72+Agosto!F72+Septiembre!F72+Octubre!F72+Noviembre!F72+Diciembre!F72</f>
        <v>185555475.75285679</v>
      </c>
      <c r="G72" s="14">
        <f>+Enero!G72+Febrero!G72+Marzo!G72+Abril!G72+Mayo!G72+Junio!G72+Julio!G72+Agosto!G72+Septiembre!G72+Octubre!G72+Noviembre!G72+Diciembre!G72</f>
        <v>324553266.45999998</v>
      </c>
      <c r="H72" s="14">
        <f>+Enero!H72+Febrero!H72+Marzo!H72+Abril!H72+Mayo!H72+Junio!H72+Julio!H72+Agosto!H72+Septiembre!H72+Octubre!H72+Noviembre!H72+Diciembre!H72</f>
        <v>0</v>
      </c>
      <c r="I72" s="13">
        <f t="shared" si="1"/>
        <v>1060779111.0328567</v>
      </c>
    </row>
    <row r="73" spans="1:9" ht="15.75" x14ac:dyDescent="0.25">
      <c r="A73" s="8"/>
      <c r="B73" s="8"/>
      <c r="C73" s="9"/>
      <c r="D73" s="12" t="s">
        <v>69</v>
      </c>
      <c r="E73" s="14">
        <f>+Enero!E73+Febrero!E73+Marzo!E73+Abril!E73+Mayo!E73+Junio!E73+Julio!E73+Agosto!E73+Septiembre!E73+Octubre!E73+Noviembre!E73+Diciembre!E73</f>
        <v>5403640.4099999992</v>
      </c>
      <c r="F73" s="14">
        <f>+Enero!F73+Febrero!F73+Marzo!F73+Abril!F73+Mayo!F73+Junio!F73+Julio!F73+Agosto!F73+Septiembre!F73+Octubre!F73+Noviembre!F73+Diciembre!F73</f>
        <v>0</v>
      </c>
      <c r="G73" s="14">
        <f>+Enero!G73+Febrero!G73+Marzo!G73+Abril!G73+Mayo!G73+Junio!G73+Julio!G73+Agosto!G73+Septiembre!G73+Octubre!G73+Noviembre!G73+Diciembre!G73</f>
        <v>314732006.29000002</v>
      </c>
      <c r="H73" s="14">
        <f>+Enero!H73+Febrero!H73+Marzo!H73+Abril!H73+Mayo!H73+Junio!H73+Julio!H73+Agosto!H73+Septiembre!H73+Octubre!H73+Noviembre!H73+Diciembre!H73</f>
        <v>0</v>
      </c>
      <c r="I73" s="13">
        <f t="shared" si="1"/>
        <v>320135646.70000005</v>
      </c>
    </row>
    <row r="74" spans="1:9" ht="15.75" x14ac:dyDescent="0.25">
      <c r="A74" s="8"/>
      <c r="B74" s="8"/>
      <c r="C74" s="9"/>
      <c r="D74" s="12" t="s">
        <v>70</v>
      </c>
      <c r="E74" s="14">
        <f>+Enero!E74+Febrero!E74+Marzo!E74+Abril!E74+Mayo!E74+Junio!E74+Julio!E74+Agosto!E74+Septiembre!E74+Octubre!E74+Noviembre!E74+Diciembre!E74</f>
        <v>55910593.299999997</v>
      </c>
      <c r="F74" s="14">
        <f>+Enero!F74+Febrero!F74+Marzo!F74+Abril!F74+Mayo!F74+Junio!F74+Julio!F74+Agosto!F74+Septiembre!F74+Octubre!F74+Noviembre!F74+Diciembre!F74</f>
        <v>15693670.183451993</v>
      </c>
      <c r="G74" s="14">
        <f>+Enero!G74+Febrero!G74+Marzo!G74+Abril!G74+Mayo!G74+Junio!G74+Julio!G74+Agosto!G74+Septiembre!G74+Octubre!G74+Noviembre!G74+Diciembre!G74</f>
        <v>1697923024.7200003</v>
      </c>
      <c r="H74" s="14">
        <f>+Enero!H74+Febrero!H74+Marzo!H74+Abril!H74+Mayo!H74+Junio!H74+Julio!H74+Agosto!H74+Septiembre!H74+Octubre!H74+Noviembre!H74+Diciembre!H74</f>
        <v>0</v>
      </c>
      <c r="I74" s="13">
        <f t="shared" ref="I74:I105" si="2">SUM(E74:H74)</f>
        <v>1769527288.2034523</v>
      </c>
    </row>
    <row r="75" spans="1:9" ht="15.75" x14ac:dyDescent="0.25">
      <c r="A75" s="8"/>
      <c r="B75" s="8"/>
      <c r="C75" s="9"/>
      <c r="D75" s="12" t="s">
        <v>71</v>
      </c>
      <c r="E75" s="14">
        <f>+Enero!E75+Febrero!E75+Marzo!E75+Abril!E75+Mayo!E75+Junio!E75+Julio!E75+Agosto!E75+Septiembre!E75+Octubre!E75+Noviembre!E75+Diciembre!E75</f>
        <v>179858357.59999999</v>
      </c>
      <c r="F75" s="14">
        <f>+Enero!F75+Febrero!F75+Marzo!F75+Abril!F75+Mayo!F75+Junio!F75+Julio!F75+Agosto!F75+Septiembre!F75+Octubre!F75+Noviembre!F75+Diciembre!F75</f>
        <v>60990493.466953591</v>
      </c>
      <c r="G75" s="14">
        <f>+Enero!G75+Febrero!G75+Marzo!G75+Abril!G75+Mayo!G75+Junio!G75+Julio!G75+Agosto!G75+Septiembre!G75+Octubre!G75+Noviembre!G75+Diciembre!G75</f>
        <v>2441768207.5899997</v>
      </c>
      <c r="H75" s="14">
        <f>+Enero!H75+Febrero!H75+Marzo!H75+Abril!H75+Mayo!H75+Junio!H75+Julio!H75+Agosto!H75+Septiembre!H75+Octubre!H75+Noviembre!H75+Diciembre!H75</f>
        <v>0</v>
      </c>
      <c r="I75" s="13">
        <f t="shared" si="2"/>
        <v>2682617058.6569533</v>
      </c>
    </row>
    <row r="76" spans="1:9" ht="15.75" x14ac:dyDescent="0.25">
      <c r="A76" s="8"/>
      <c r="B76" s="8"/>
      <c r="C76" s="9"/>
      <c r="D76" s="12" t="s">
        <v>72</v>
      </c>
      <c r="E76" s="14">
        <f>+Enero!E76+Febrero!E76+Marzo!E76+Abril!E76+Mayo!E76+Junio!E76+Julio!E76+Agosto!E76+Septiembre!E76+Octubre!E76+Noviembre!E76+Diciembre!E76</f>
        <v>0</v>
      </c>
      <c r="F76" s="14">
        <f>+Enero!F76+Febrero!F76+Marzo!F76+Abril!F76+Mayo!F76+Junio!F76+Julio!F76+Agosto!F76+Septiembre!F76+Octubre!F76+Noviembre!F76+Diciembre!F76</f>
        <v>0</v>
      </c>
      <c r="G76" s="14">
        <f>+Enero!G76+Febrero!G76+Marzo!G76+Abril!G76+Mayo!G76+Junio!G76+Julio!G76+Agosto!G76+Septiembre!G76+Octubre!G76+Noviembre!G76+Diciembre!G76</f>
        <v>788305944.11000001</v>
      </c>
      <c r="H76" s="14">
        <f>+Enero!H76+Febrero!H76+Marzo!H76+Abril!H76+Mayo!H76+Junio!H76+Julio!H76+Agosto!H76+Septiembre!H76+Octubre!H76+Noviembre!H76+Diciembre!H76</f>
        <v>0</v>
      </c>
      <c r="I76" s="13">
        <f t="shared" si="2"/>
        <v>788305944.11000001</v>
      </c>
    </row>
    <row r="77" spans="1:9" ht="15.75" x14ac:dyDescent="0.25">
      <c r="A77" s="8"/>
      <c r="B77" s="8"/>
      <c r="C77" s="9"/>
      <c r="D77" s="12" t="s">
        <v>73</v>
      </c>
      <c r="E77" s="14">
        <f>+Enero!E77+Febrero!E77+Marzo!E77+Abril!E77+Mayo!E77+Junio!E77+Julio!E77+Agosto!E77+Septiembre!E77+Octubre!E77+Noviembre!E77+Diciembre!E77</f>
        <v>167408991</v>
      </c>
      <c r="F77" s="14">
        <f>+Enero!F77+Febrero!F77+Marzo!F77+Abril!F77+Mayo!F77+Junio!F77+Julio!F77+Agosto!F77+Septiembre!F77+Octubre!F77+Noviembre!F77+Diciembre!F77</f>
        <v>302471011.48086703</v>
      </c>
      <c r="G77" s="14">
        <f>+Enero!G77+Febrero!G77+Marzo!G77+Abril!G77+Mayo!G77+Junio!G77+Julio!G77+Agosto!G77+Septiembre!G77+Octubre!G77+Noviembre!G77+Diciembre!G77</f>
        <v>33040879.23</v>
      </c>
      <c r="H77" s="14">
        <f>+Enero!H77+Febrero!H77+Marzo!H77+Abril!H77+Mayo!H77+Junio!H77+Julio!H77+Agosto!H77+Septiembre!H77+Octubre!H77+Noviembre!H77+Diciembre!H77</f>
        <v>0</v>
      </c>
      <c r="I77" s="13">
        <f t="shared" si="2"/>
        <v>502920881.71086705</v>
      </c>
    </row>
    <row r="78" spans="1:9" ht="15.75" x14ac:dyDescent="0.25">
      <c r="A78" s="8"/>
      <c r="B78" s="8"/>
      <c r="C78" s="9"/>
      <c r="D78" s="12" t="s">
        <v>74</v>
      </c>
      <c r="E78" s="14">
        <f>+Enero!E78+Febrero!E78+Marzo!E78+Abril!E78+Mayo!E78+Junio!E78+Julio!E78+Agosto!E78+Septiembre!E78+Octubre!E78+Noviembre!E78+Diciembre!E78</f>
        <v>388126388.38</v>
      </c>
      <c r="F78" s="14">
        <f>+Enero!F78+Febrero!F78+Marzo!F78+Abril!F78+Mayo!F78+Junio!F78+Julio!F78+Agosto!F78+Septiembre!F78+Octubre!F78+Noviembre!F78+Diciembre!F78</f>
        <v>306941733.59781253</v>
      </c>
      <c r="G78" s="14">
        <f>+Enero!G78+Febrero!G78+Marzo!G78+Abril!G78+Mayo!G78+Junio!G78+Julio!G78+Agosto!G78+Septiembre!G78+Octubre!G78+Noviembre!G78+Diciembre!G78</f>
        <v>54147110.600000009</v>
      </c>
      <c r="H78" s="14">
        <f>+Enero!H78+Febrero!H78+Marzo!H78+Abril!H78+Mayo!H78+Junio!H78+Julio!H78+Agosto!H78+Septiembre!H78+Octubre!H78+Noviembre!H78+Diciembre!H78</f>
        <v>0</v>
      </c>
      <c r="I78" s="13">
        <f t="shared" si="2"/>
        <v>749215232.57781255</v>
      </c>
    </row>
    <row r="79" spans="1:9" ht="15.75" x14ac:dyDescent="0.25">
      <c r="A79" s="8"/>
      <c r="B79" s="8"/>
      <c r="C79" s="9"/>
      <c r="D79" s="12" t="s">
        <v>75</v>
      </c>
      <c r="E79" s="14">
        <f>+Enero!E79+Febrero!E79+Marzo!E79+Abril!E79+Mayo!E79+Junio!E79+Julio!E79+Agosto!E79+Septiembre!E79+Octubre!E79+Noviembre!E79+Diciembre!E79</f>
        <v>404461043.95000005</v>
      </c>
      <c r="F79" s="14">
        <f>+Enero!F79+Febrero!F79+Marzo!F79+Abril!F79+Mayo!F79+Junio!F79+Julio!F79+Agosto!F79+Septiembre!F79+Octubre!F79+Noviembre!F79+Diciembre!F79</f>
        <v>172343261.42330572</v>
      </c>
      <c r="G79" s="14">
        <f>+Enero!G79+Febrero!G79+Marzo!G79+Abril!G79+Mayo!G79+Junio!G79+Julio!G79+Agosto!G79+Septiembre!G79+Octubre!G79+Noviembre!G79+Diciembre!G79</f>
        <v>50593768.899999999</v>
      </c>
      <c r="H79" s="14">
        <f>+Enero!H79+Febrero!H79+Marzo!H79+Abril!H79+Mayo!H79+Junio!H79+Julio!H79+Agosto!H79+Septiembre!H79+Octubre!H79+Noviembre!H79+Diciembre!H79</f>
        <v>0</v>
      </c>
      <c r="I79" s="13">
        <f t="shared" si="2"/>
        <v>627398074.27330577</v>
      </c>
    </row>
    <row r="80" spans="1:9" ht="15.75" x14ac:dyDescent="0.25">
      <c r="A80" s="8"/>
      <c r="B80" s="8"/>
      <c r="C80" s="9"/>
      <c r="D80" s="12" t="s">
        <v>76</v>
      </c>
      <c r="E80" s="14">
        <f>+Enero!E80+Febrero!E80+Marzo!E80+Abril!E80+Mayo!E80+Junio!E80+Julio!E80+Agosto!E80+Septiembre!E80+Octubre!E80+Noviembre!E80+Diciembre!E80</f>
        <v>138218220.19</v>
      </c>
      <c r="F80" s="14">
        <f>+Enero!F80+Febrero!F80+Marzo!F80+Abril!F80+Mayo!F80+Junio!F80+Julio!F80+Agosto!F80+Septiembre!F80+Octubre!F80+Noviembre!F80+Diciembre!F80</f>
        <v>91088399.645311952</v>
      </c>
      <c r="G80" s="14">
        <f>+Enero!G80+Febrero!G80+Marzo!G80+Abril!G80+Mayo!G80+Junio!G80+Julio!G80+Agosto!G80+Septiembre!G80+Octubre!G80+Noviembre!G80+Diciembre!G80</f>
        <v>12683586.410000004</v>
      </c>
      <c r="H80" s="14">
        <f>+Enero!H80+Febrero!H80+Marzo!H80+Abril!H80+Mayo!H80+Junio!H80+Julio!H80+Agosto!H80+Septiembre!H80+Octubre!H80+Noviembre!H80+Diciembre!H80</f>
        <v>0</v>
      </c>
      <c r="I80" s="13">
        <f t="shared" si="2"/>
        <v>241990206.24531195</v>
      </c>
    </row>
    <row r="81" spans="1:9" ht="15.75" x14ac:dyDescent="0.25">
      <c r="A81" s="8"/>
      <c r="B81" s="8"/>
      <c r="C81" s="9"/>
      <c r="D81" s="12" t="s">
        <v>77</v>
      </c>
      <c r="E81" s="14">
        <f>+Enero!E81+Febrero!E81+Marzo!E81+Abril!E81+Mayo!E81+Junio!E81+Julio!E81+Agosto!E81+Septiembre!E81+Octubre!E81+Noviembre!E81+Diciembre!E81</f>
        <v>994718180.89999998</v>
      </c>
      <c r="F81" s="14">
        <f>+Enero!F81+Febrero!F81+Marzo!F81+Abril!F81+Mayo!F81+Junio!F81+Julio!F81+Agosto!F81+Septiembre!F81+Octubre!F81+Noviembre!F81+Diciembre!F81</f>
        <v>549614273.27708125</v>
      </c>
      <c r="G81" s="14">
        <f>+Enero!G81+Febrero!G81+Marzo!G81+Abril!G81+Mayo!G81+Junio!G81+Julio!G81+Agosto!G81+Septiembre!G81+Octubre!G81+Noviembre!G81+Diciembre!G81</f>
        <v>121420304.82999998</v>
      </c>
      <c r="H81" s="14">
        <f>+Enero!H81+Febrero!H81+Marzo!H81+Abril!H81+Mayo!H81+Junio!H81+Julio!H81+Agosto!H81+Septiembre!H81+Octubre!H81+Noviembre!H81+Diciembre!H81</f>
        <v>0</v>
      </c>
      <c r="I81" s="13">
        <f t="shared" si="2"/>
        <v>1665752759.007081</v>
      </c>
    </row>
    <row r="82" spans="1:9" ht="15.75" x14ac:dyDescent="0.25">
      <c r="A82" s="8"/>
      <c r="B82" s="8"/>
      <c r="C82" s="9"/>
      <c r="D82" s="12" t="s">
        <v>78</v>
      </c>
      <c r="E82" s="14">
        <f>+Enero!E82+Febrero!E82+Marzo!E82+Abril!E82+Mayo!E82+Junio!E82+Julio!E82+Agosto!E82+Septiembre!E82+Octubre!E82+Noviembre!E82+Diciembre!E82</f>
        <v>1242786189.8200002</v>
      </c>
      <c r="F82" s="14">
        <f>+Enero!F82+Febrero!F82+Marzo!F82+Abril!F82+Mayo!F82+Junio!F82+Julio!F82+Agosto!F82+Septiembre!F82+Octubre!F82+Noviembre!F82+Diciembre!F82</f>
        <v>380944489.37303174</v>
      </c>
      <c r="G82" s="14">
        <f>+Enero!G82+Febrero!G82+Marzo!G82+Abril!G82+Mayo!G82+Junio!G82+Julio!G82+Agosto!G82+Septiembre!G82+Octubre!G82+Noviembre!G82+Diciembre!G82</f>
        <v>37130699.750000007</v>
      </c>
      <c r="H82" s="14">
        <f>+Enero!H82+Febrero!H82+Marzo!H82+Abril!H82+Mayo!H82+Junio!H82+Julio!H82+Agosto!H82+Septiembre!H82+Octubre!H82+Noviembre!H82+Diciembre!H82</f>
        <v>0</v>
      </c>
      <c r="I82" s="13">
        <f t="shared" si="2"/>
        <v>1660861378.9430318</v>
      </c>
    </row>
    <row r="83" spans="1:9" ht="15.75" x14ac:dyDescent="0.25">
      <c r="A83" s="8"/>
      <c r="B83" s="8"/>
      <c r="C83" s="9"/>
      <c r="D83" s="12" t="s">
        <v>79</v>
      </c>
      <c r="E83" s="14">
        <f>+Enero!E83+Febrero!E83+Marzo!E83+Abril!E83+Mayo!E83+Junio!E83+Julio!E83+Agosto!E83+Septiembre!E83+Octubre!E83+Noviembre!E83+Diciembre!E83</f>
        <v>243281421.97</v>
      </c>
      <c r="F83" s="14">
        <f>+Enero!F83+Febrero!F83+Marzo!F83+Abril!F83+Mayo!F83+Junio!F83+Julio!F83+Agosto!F83+Septiembre!F83+Octubre!F83+Noviembre!F83+Diciembre!F83</f>
        <v>156449639.21856833</v>
      </c>
      <c r="G83" s="14">
        <f>+Enero!G83+Febrero!G83+Marzo!G83+Abril!G83+Mayo!G83+Junio!G83+Julio!G83+Agosto!G83+Septiembre!G83+Octubre!G83+Noviembre!G83+Diciembre!G83</f>
        <v>123969454.03999999</v>
      </c>
      <c r="H83" s="14">
        <f>+Enero!H83+Febrero!H83+Marzo!H83+Abril!H83+Mayo!H83+Junio!H83+Julio!H83+Agosto!H83+Septiembre!H83+Octubre!H83+Noviembre!H83+Diciembre!H83</f>
        <v>0</v>
      </c>
      <c r="I83" s="13">
        <f t="shared" si="2"/>
        <v>523700515.22856832</v>
      </c>
    </row>
    <row r="84" spans="1:9" ht="15.75" x14ac:dyDescent="0.25">
      <c r="A84" s="8"/>
      <c r="B84" s="8"/>
      <c r="C84" s="9"/>
      <c r="D84" s="12" t="s">
        <v>80</v>
      </c>
      <c r="E84" s="14">
        <f>+Enero!E84+Febrero!E84+Marzo!E84+Abril!E84+Mayo!E84+Junio!E84+Julio!E84+Agosto!E84+Septiembre!E84+Octubre!E84+Noviembre!E84+Diciembre!E84</f>
        <v>0</v>
      </c>
      <c r="F84" s="14">
        <f>+Enero!F84+Febrero!F84+Marzo!F84+Abril!F84+Mayo!F84+Junio!F84+Julio!F84+Agosto!F84+Septiembre!F84+Octubre!F84+Noviembre!F84+Diciembre!F84</f>
        <v>0</v>
      </c>
      <c r="G84" s="14">
        <f>+Enero!G84+Febrero!G84+Marzo!G84+Abril!G84+Mayo!G84+Junio!G84+Julio!G84+Agosto!G84+Septiembre!G84+Octubre!G84+Noviembre!G84+Diciembre!G84</f>
        <v>1006352941.3199999</v>
      </c>
      <c r="H84" s="14">
        <f>+Enero!H84+Febrero!H84+Marzo!H84+Abril!H84+Mayo!H84+Junio!H84+Julio!H84+Agosto!H84+Septiembre!H84+Octubre!H84+Noviembre!H84+Diciembre!H84</f>
        <v>0</v>
      </c>
      <c r="I84" s="13">
        <f t="shared" si="2"/>
        <v>1006352941.3199999</v>
      </c>
    </row>
    <row r="85" spans="1:9" ht="15.75" x14ac:dyDescent="0.25">
      <c r="A85" s="8"/>
      <c r="B85" s="8"/>
      <c r="C85" s="9"/>
      <c r="D85" s="12" t="s">
        <v>81</v>
      </c>
      <c r="E85" s="14">
        <f>+Enero!E85+Febrero!E85+Marzo!E85+Abril!E85+Mayo!E85+Junio!E85+Julio!E85+Agosto!E85+Septiembre!E85+Octubre!E85+Noviembre!E85+Diciembre!E85</f>
        <v>287682598.32999998</v>
      </c>
      <c r="F85" s="14">
        <f>+Enero!F85+Febrero!F85+Marzo!F85+Abril!F85+Mayo!F85+Junio!F85+Julio!F85+Agosto!F85+Septiembre!F85+Octubre!F85+Noviembre!F85+Diciembre!F85</f>
        <v>48672936.25828211</v>
      </c>
      <c r="G85" s="14">
        <f>+Enero!G85+Febrero!G85+Marzo!G85+Abril!G85+Mayo!G85+Junio!G85+Julio!G85+Agosto!G85+Septiembre!G85+Octubre!G85+Noviembre!G85+Diciembre!G85</f>
        <v>327488089.45000005</v>
      </c>
      <c r="H85" s="14">
        <f>+Enero!H85+Febrero!H85+Marzo!H85+Abril!H85+Mayo!H85+Junio!H85+Julio!H85+Agosto!H85+Septiembre!H85+Octubre!H85+Noviembre!H85+Diciembre!H85</f>
        <v>0</v>
      </c>
      <c r="I85" s="13">
        <f t="shared" si="2"/>
        <v>663843624.03828216</v>
      </c>
    </row>
    <row r="86" spans="1:9" ht="15.75" x14ac:dyDescent="0.25">
      <c r="A86" s="8"/>
      <c r="B86" s="8"/>
      <c r="C86" s="9"/>
      <c r="D86" s="12" t="s">
        <v>82</v>
      </c>
      <c r="E86" s="14">
        <f>+Enero!E86+Febrero!E86+Marzo!E86+Abril!E86+Mayo!E86+Junio!E86+Julio!E86+Agosto!E86+Septiembre!E86+Octubre!E86+Noviembre!E86+Diciembre!E86</f>
        <v>206528524.71000001</v>
      </c>
      <c r="F86" s="14">
        <f>+Enero!F86+Febrero!F86+Marzo!F86+Abril!F86+Mayo!F86+Junio!F86+Julio!F86+Agosto!F86+Septiembre!F86+Octubre!F86+Noviembre!F86+Diciembre!F86</f>
        <v>202143803.05718839</v>
      </c>
      <c r="G86" s="14">
        <f>+Enero!G86+Febrero!G86+Marzo!G86+Abril!G86+Mayo!G86+Junio!G86+Julio!G86+Agosto!G86+Septiembre!G86+Octubre!G86+Noviembre!G86+Diciembre!G86</f>
        <v>43250689.289999999</v>
      </c>
      <c r="H86" s="14">
        <f>+Enero!H86+Febrero!H86+Marzo!H86+Abril!H86+Mayo!H86+Junio!H86+Julio!H86+Agosto!H86+Septiembre!H86+Octubre!H86+Noviembre!H86+Diciembre!H86</f>
        <v>0</v>
      </c>
      <c r="I86" s="13">
        <f t="shared" si="2"/>
        <v>451923017.05718845</v>
      </c>
    </row>
    <row r="87" spans="1:9" ht="15.75" x14ac:dyDescent="0.25">
      <c r="A87" s="8"/>
      <c r="B87" s="8"/>
      <c r="C87" s="9"/>
      <c r="D87" s="12" t="s">
        <v>83</v>
      </c>
      <c r="E87" s="14">
        <f>+Enero!E87+Febrero!E87+Marzo!E87+Abril!E87+Mayo!E87+Junio!E87+Julio!E87+Agosto!E87+Septiembre!E87+Octubre!E87+Noviembre!E87+Diciembre!E87</f>
        <v>114780635.33</v>
      </c>
      <c r="F87" s="14">
        <f>+Enero!F87+Febrero!F87+Marzo!F87+Abril!F87+Mayo!F87+Junio!F87+Julio!F87+Agosto!F87+Septiembre!F87+Octubre!F87+Noviembre!F87+Diciembre!F87</f>
        <v>266215608.44189906</v>
      </c>
      <c r="G87" s="14">
        <f>+Enero!G87+Febrero!G87+Marzo!G87+Abril!G87+Mayo!G87+Junio!G87+Julio!G87+Agosto!G87+Septiembre!G87+Octubre!G87+Noviembre!G87+Diciembre!G87</f>
        <v>29626833.660000004</v>
      </c>
      <c r="H87" s="14">
        <f>+Enero!H87+Febrero!H87+Marzo!H87+Abril!H87+Mayo!H87+Junio!H87+Julio!H87+Agosto!H87+Septiembre!H87+Octubre!H87+Noviembre!H87+Diciembre!H87</f>
        <v>0</v>
      </c>
      <c r="I87" s="13">
        <f t="shared" si="2"/>
        <v>410623077.43189907</v>
      </c>
    </row>
    <row r="88" spans="1:9" ht="15.75" x14ac:dyDescent="0.25">
      <c r="A88" s="8"/>
      <c r="B88" s="8"/>
      <c r="C88" s="9"/>
      <c r="D88" s="12" t="s">
        <v>84</v>
      </c>
      <c r="E88" s="14">
        <f>+Enero!E88+Febrero!E88+Marzo!E88+Abril!E88+Mayo!E88+Junio!E88+Julio!E88+Agosto!E88+Septiembre!E88+Octubre!E88+Noviembre!E88+Diciembre!E88</f>
        <v>33276535.729999997</v>
      </c>
      <c r="F88" s="14">
        <f>+Enero!F88+Febrero!F88+Marzo!F88+Abril!F88+Mayo!F88+Junio!F88+Julio!F88+Agosto!F88+Septiembre!F88+Octubre!F88+Noviembre!F88+Diciembre!F88</f>
        <v>0</v>
      </c>
      <c r="G88" s="14">
        <f>+Enero!G88+Febrero!G88+Marzo!G88+Abril!G88+Mayo!G88+Junio!G88+Julio!G88+Agosto!G88+Septiembre!G88+Octubre!G88+Noviembre!G88+Diciembre!G88</f>
        <v>464850789.44999999</v>
      </c>
      <c r="H88" s="14">
        <f>+Enero!H88+Febrero!H88+Marzo!H88+Abril!H88+Mayo!H88+Junio!H88+Julio!H88+Agosto!H88+Septiembre!H88+Octubre!H88+Noviembre!H88+Diciembre!H88</f>
        <v>0</v>
      </c>
      <c r="I88" s="13">
        <f t="shared" si="2"/>
        <v>498127325.18000001</v>
      </c>
    </row>
    <row r="89" spans="1:9" ht="15.75" x14ac:dyDescent="0.25">
      <c r="A89" s="8"/>
      <c r="B89" s="8"/>
      <c r="C89" s="9"/>
      <c r="D89" s="12" t="s">
        <v>85</v>
      </c>
      <c r="E89" s="14">
        <f>+Enero!E89+Febrero!E89+Marzo!E89+Abril!E89+Mayo!E89+Junio!E89+Julio!E89+Agosto!E89+Septiembre!E89+Octubre!E89+Noviembre!E89+Diciembre!E89</f>
        <v>187190701.54000002</v>
      </c>
      <c r="F89" s="14">
        <f>+Enero!F89+Febrero!F89+Marzo!F89+Abril!F89+Mayo!F89+Junio!F89+Julio!F89+Agosto!F89+Septiembre!F89+Octubre!F89+Noviembre!F89+Diciembre!F89</f>
        <v>261050181.22535941</v>
      </c>
      <c r="G89" s="14">
        <f>+Enero!G89+Febrero!G89+Marzo!G89+Abril!G89+Mayo!G89+Junio!G89+Julio!G89+Agosto!G89+Septiembre!G89+Octubre!G89+Noviembre!G89+Diciembre!G89</f>
        <v>40470625.160000004</v>
      </c>
      <c r="H89" s="14">
        <f>+Enero!H89+Febrero!H89+Marzo!H89+Abril!H89+Mayo!H89+Junio!H89+Julio!H89+Agosto!H89+Septiembre!H89+Octubre!H89+Noviembre!H89+Diciembre!H89</f>
        <v>0</v>
      </c>
      <c r="I89" s="13">
        <f t="shared" si="2"/>
        <v>488711507.92535943</v>
      </c>
    </row>
    <row r="90" spans="1:9" ht="15.75" x14ac:dyDescent="0.25">
      <c r="A90" s="8"/>
      <c r="B90" s="8"/>
      <c r="C90" s="9"/>
      <c r="D90" s="12" t="s">
        <v>86</v>
      </c>
      <c r="E90" s="14">
        <f>+Enero!E90+Febrero!E90+Marzo!E90+Abril!E90+Mayo!E90+Junio!E90+Julio!E90+Agosto!E90+Septiembre!E90+Octubre!E90+Noviembre!E90+Diciembre!E90</f>
        <v>79509044.610000014</v>
      </c>
      <c r="F90" s="14">
        <f>+Enero!F90+Febrero!F90+Marzo!F90+Abril!F90+Mayo!F90+Junio!F90+Julio!F90+Agosto!F90+Septiembre!F90+Octubre!F90+Noviembre!F90+Diciembre!F90</f>
        <v>67547894.370133951</v>
      </c>
      <c r="G90" s="14">
        <f>+Enero!G90+Febrero!G90+Marzo!G90+Abril!G90+Mayo!G90+Junio!G90+Julio!G90+Agosto!G90+Septiembre!G90+Octubre!G90+Noviembre!G90+Diciembre!G90</f>
        <v>75101365.579999998</v>
      </c>
      <c r="H90" s="14">
        <f>+Enero!H90+Febrero!H90+Marzo!H90+Abril!H90+Mayo!H90+Junio!H90+Julio!H90+Agosto!H90+Septiembre!H90+Octubre!H90+Noviembre!H90+Diciembre!H90</f>
        <v>0</v>
      </c>
      <c r="I90" s="13">
        <f t="shared" si="2"/>
        <v>222158304.56013393</v>
      </c>
    </row>
    <row r="91" spans="1:9" ht="15.75" x14ac:dyDescent="0.25">
      <c r="A91" s="8"/>
      <c r="B91" s="8"/>
      <c r="C91" s="9"/>
      <c r="D91" s="12" t="s">
        <v>87</v>
      </c>
      <c r="E91" s="14">
        <f>+Enero!E91+Febrero!E91+Marzo!E91+Abril!E91+Mayo!E91+Junio!E91+Julio!E91+Agosto!E91+Septiembre!E91+Octubre!E91+Noviembre!E91+Diciembre!E91</f>
        <v>224742832.23000002</v>
      </c>
      <c r="F91" s="14">
        <f>+Enero!F91+Febrero!F91+Marzo!F91+Abril!F91+Mayo!F91+Junio!F91+Julio!F91+Agosto!F91+Septiembre!F91+Octubre!F91+Noviembre!F91+Diciembre!F91</f>
        <v>154065595.88785771</v>
      </c>
      <c r="G91" s="14">
        <f>+Enero!G91+Febrero!G91+Marzo!G91+Abril!G91+Mayo!G91+Junio!G91+Julio!G91+Agosto!G91+Septiembre!G91+Octubre!G91+Noviembre!G91+Diciembre!G91</f>
        <v>166526214.13</v>
      </c>
      <c r="H91" s="14">
        <f>+Enero!H91+Febrero!H91+Marzo!H91+Abril!H91+Mayo!H91+Junio!H91+Julio!H91+Agosto!H91+Septiembre!H91+Octubre!H91+Noviembre!H91+Diciembre!H91</f>
        <v>0</v>
      </c>
      <c r="I91" s="13">
        <f t="shared" si="2"/>
        <v>545334642.24785769</v>
      </c>
    </row>
    <row r="92" spans="1:9" ht="15.75" x14ac:dyDescent="0.25">
      <c r="A92" s="8"/>
      <c r="B92" s="8"/>
      <c r="C92" s="9"/>
      <c r="D92" s="12" t="s">
        <v>88</v>
      </c>
      <c r="E92" s="14">
        <f>+Enero!E92+Febrero!E92+Marzo!E92+Abril!E92+Mayo!E92+Junio!E92+Julio!E92+Agosto!E92+Septiembre!E92+Octubre!E92+Noviembre!E92+Diciembre!E92</f>
        <v>26664179.290000007</v>
      </c>
      <c r="F92" s="14">
        <f>+Enero!F92+Febrero!F92+Marzo!F92+Abril!F92+Mayo!F92+Junio!F92+Julio!F92+Agosto!F92+Septiembre!F92+Octubre!F92+Noviembre!F92+Diciembre!F92</f>
        <v>21256437.955110084</v>
      </c>
      <c r="G92" s="14">
        <f>+Enero!G92+Febrero!G92+Marzo!G92+Abril!G92+Mayo!G92+Junio!G92+Julio!G92+Agosto!G92+Septiembre!G92+Octubre!G92+Noviembre!G92+Diciembre!G92</f>
        <v>487594531.45000005</v>
      </c>
      <c r="H92" s="14">
        <f>+Enero!H92+Febrero!H92+Marzo!H92+Abril!H92+Mayo!H92+Junio!H92+Julio!H92+Agosto!H92+Septiembre!H92+Octubre!H92+Noviembre!H92+Diciembre!H92</f>
        <v>0</v>
      </c>
      <c r="I92" s="13">
        <f t="shared" si="2"/>
        <v>535515148.69511014</v>
      </c>
    </row>
    <row r="93" spans="1:9" ht="15.75" x14ac:dyDescent="0.25">
      <c r="A93" s="8"/>
      <c r="B93" s="8"/>
      <c r="C93" s="9"/>
      <c r="D93" s="12" t="s">
        <v>89</v>
      </c>
      <c r="E93" s="14">
        <f>+Enero!E93+Febrero!E93+Marzo!E93+Abril!E93+Mayo!E93+Junio!E93+Julio!E93+Agosto!E93+Septiembre!E93+Octubre!E93+Noviembre!E93+Diciembre!E93</f>
        <v>388804850.64999998</v>
      </c>
      <c r="F93" s="14">
        <f>+Enero!F93+Febrero!F93+Marzo!F93+Abril!F93+Mayo!F93+Junio!F93+Julio!F93+Agosto!F93+Septiembre!F93+Octubre!F93+Noviembre!F93+Diciembre!F93</f>
        <v>172245848.90011537</v>
      </c>
      <c r="G93" s="14">
        <f>+Enero!G93+Febrero!G93+Marzo!G93+Abril!G93+Mayo!G93+Junio!G93+Julio!G93+Agosto!G93+Septiembre!G93+Octubre!G93+Noviembre!G93+Diciembre!G93</f>
        <v>63734087.809999995</v>
      </c>
      <c r="H93" s="14">
        <f>+Enero!H93+Febrero!H93+Marzo!H93+Abril!H93+Mayo!H93+Junio!H93+Julio!H93+Agosto!H93+Septiembre!H93+Octubre!H93+Noviembre!H93+Diciembre!H93</f>
        <v>0</v>
      </c>
      <c r="I93" s="13">
        <f t="shared" si="2"/>
        <v>624784787.36011529</v>
      </c>
    </row>
    <row r="94" spans="1:9" ht="15.75" x14ac:dyDescent="0.25">
      <c r="A94" s="8"/>
      <c r="B94" s="8"/>
      <c r="C94" s="9"/>
      <c r="D94" s="12" t="s">
        <v>90</v>
      </c>
      <c r="E94" s="14">
        <f>+Enero!E94+Febrero!E94+Marzo!E94+Abril!E94+Mayo!E94+Junio!E94+Julio!E94+Agosto!E94+Septiembre!E94+Octubre!E94+Noviembre!E94+Diciembre!E94</f>
        <v>2881546.8199999994</v>
      </c>
      <c r="F94" s="14">
        <f>+Enero!F94+Febrero!F94+Marzo!F94+Abril!F94+Mayo!F94+Junio!F94+Julio!F94+Agosto!F94+Septiembre!F94+Octubre!F94+Noviembre!F94+Diciembre!F94</f>
        <v>0</v>
      </c>
      <c r="G94" s="14">
        <f>+Enero!G94+Febrero!G94+Marzo!G94+Abril!G94+Mayo!G94+Junio!G94+Julio!G94+Agosto!G94+Septiembre!G94+Octubre!G94+Noviembre!G94+Diciembre!G94</f>
        <v>20727130.659999996</v>
      </c>
      <c r="H94" s="14">
        <f>+Enero!H94+Febrero!H94+Marzo!H94+Abril!H94+Mayo!H94+Junio!H94+Julio!H94+Agosto!H94+Septiembre!H94+Octubre!H94+Noviembre!H94+Diciembre!H94</f>
        <v>0</v>
      </c>
      <c r="I94" s="13">
        <f t="shared" si="2"/>
        <v>23608677.479999997</v>
      </c>
    </row>
    <row r="95" spans="1:9" ht="15.75" x14ac:dyDescent="0.25">
      <c r="A95" s="8"/>
      <c r="B95" s="8"/>
      <c r="C95" s="9"/>
      <c r="D95" s="12" t="s">
        <v>91</v>
      </c>
      <c r="E95" s="14">
        <f>+Enero!E95+Febrero!E95+Marzo!E95+Abril!E95+Mayo!E95+Junio!E95+Julio!E95+Agosto!E95+Septiembre!E95+Octubre!E95+Noviembre!E95+Diciembre!E95</f>
        <v>38408043.180000007</v>
      </c>
      <c r="F95" s="14">
        <f>+Enero!F95+Febrero!F95+Marzo!F95+Abril!F95+Mayo!F95+Junio!F95+Julio!F95+Agosto!F95+Septiembre!F95+Octubre!F95+Noviembre!F95+Diciembre!F95</f>
        <v>5462791.7610153873</v>
      </c>
      <c r="G95" s="14">
        <f>+Enero!G95+Febrero!G95+Marzo!G95+Abril!G95+Mayo!G95+Junio!G95+Julio!G95+Agosto!G95+Septiembre!G95+Octubre!G95+Noviembre!G95+Diciembre!G95</f>
        <v>611094186.88000011</v>
      </c>
      <c r="H95" s="14">
        <f>+Enero!H95+Febrero!H95+Marzo!H95+Abril!H95+Mayo!H95+Junio!H95+Julio!H95+Agosto!H95+Septiembre!H95+Octubre!H95+Noviembre!H95+Diciembre!H95</f>
        <v>0</v>
      </c>
      <c r="I95" s="13">
        <f t="shared" si="2"/>
        <v>654965021.82101548</v>
      </c>
    </row>
    <row r="96" spans="1:9" ht="15.75" x14ac:dyDescent="0.25">
      <c r="A96" s="8"/>
      <c r="B96" s="8"/>
      <c r="C96" s="9"/>
      <c r="D96" s="12" t="s">
        <v>92</v>
      </c>
      <c r="E96" s="14">
        <f>+Enero!E96+Febrero!E96+Marzo!E96+Abril!E96+Mayo!E96+Junio!E96+Julio!E96+Agosto!E96+Septiembre!E96+Octubre!E96+Noviembre!E96+Diciembre!E96</f>
        <v>0</v>
      </c>
      <c r="F96" s="14">
        <f>+Enero!F96+Febrero!F96+Marzo!F96+Abril!F96+Mayo!F96+Junio!F96+Julio!F96+Agosto!F96+Septiembre!F96+Octubre!F96+Noviembre!F96+Diciembre!F96</f>
        <v>0</v>
      </c>
      <c r="G96" s="14">
        <f>+Enero!G96+Febrero!G96+Marzo!G96+Abril!G96+Mayo!G96+Junio!G96+Julio!G96+Agosto!G96+Septiembre!G96+Octubre!G96+Noviembre!G96+Diciembre!G96</f>
        <v>789980550.27999997</v>
      </c>
      <c r="H96" s="14">
        <f>+Enero!H96+Febrero!H96+Marzo!H96+Abril!H96+Mayo!H96+Junio!H96+Julio!H96+Agosto!H96+Septiembre!H96+Octubre!H96+Noviembre!H96+Diciembre!H96</f>
        <v>0</v>
      </c>
      <c r="I96" s="13">
        <f t="shared" si="2"/>
        <v>789980550.27999997</v>
      </c>
    </row>
    <row r="97" spans="1:9" ht="15.75" x14ac:dyDescent="0.25">
      <c r="A97" s="8"/>
      <c r="B97" s="8"/>
      <c r="C97" s="9"/>
      <c r="D97" s="12" t="s">
        <v>93</v>
      </c>
      <c r="E97" s="14">
        <f>+Enero!E97+Febrero!E97+Marzo!E97+Abril!E97+Mayo!E97+Junio!E97+Julio!E97+Agosto!E97+Septiembre!E97+Octubre!E97+Noviembre!E97+Diciembre!E97</f>
        <v>128605861.28999999</v>
      </c>
      <c r="F97" s="14">
        <f>+Enero!F97+Febrero!F97+Marzo!F97+Abril!F97+Mayo!F97+Junio!F97+Julio!F97+Agosto!F97+Septiembre!F97+Octubre!F97+Noviembre!F97+Diciembre!F97</f>
        <v>245353947.5544551</v>
      </c>
      <c r="G97" s="14">
        <f>+Enero!G97+Febrero!G97+Marzo!G97+Abril!G97+Mayo!G97+Junio!G97+Julio!G97+Agosto!G97+Septiembre!G97+Octubre!G97+Noviembre!G97+Diciembre!G97</f>
        <v>46505658.900000006</v>
      </c>
      <c r="H97" s="14">
        <f>+Enero!H97+Febrero!H97+Marzo!H97+Abril!H97+Mayo!H97+Junio!H97+Julio!H97+Agosto!H97+Septiembre!H97+Octubre!H97+Noviembre!H97+Diciembre!H97</f>
        <v>0</v>
      </c>
      <c r="I97" s="13">
        <f t="shared" si="2"/>
        <v>420465467.7444551</v>
      </c>
    </row>
    <row r="98" spans="1:9" ht="15.75" x14ac:dyDescent="0.25">
      <c r="A98" s="8"/>
      <c r="B98" s="8"/>
      <c r="C98" s="9"/>
      <c r="D98" s="12" t="s">
        <v>94</v>
      </c>
      <c r="E98" s="14">
        <f>+Enero!E98+Febrero!E98+Marzo!E98+Abril!E98+Mayo!E98+Junio!E98+Julio!E98+Agosto!E98+Septiembre!E98+Octubre!E98+Noviembre!E98+Diciembre!E98</f>
        <v>579134308.86000001</v>
      </c>
      <c r="F98" s="14">
        <f>+Enero!F98+Febrero!F98+Marzo!F98+Abril!F98+Mayo!F98+Junio!F98+Julio!F98+Agosto!F98+Septiembre!F98+Octubre!F98+Noviembre!F98+Diciembre!F98</f>
        <v>322735379.79190713</v>
      </c>
      <c r="G98" s="14">
        <f>+Enero!G98+Febrero!G98+Marzo!G98+Abril!G98+Mayo!G98+Junio!G98+Julio!G98+Agosto!G98+Septiembre!G98+Octubre!G98+Noviembre!G98+Diciembre!G98</f>
        <v>301313746.13999999</v>
      </c>
      <c r="H98" s="14">
        <f>+Enero!H98+Febrero!H98+Marzo!H98+Abril!H98+Mayo!H98+Junio!H98+Julio!H98+Agosto!H98+Septiembre!H98+Octubre!H98+Noviembre!H98+Diciembre!H98</f>
        <v>0</v>
      </c>
      <c r="I98" s="13">
        <f t="shared" si="2"/>
        <v>1203183434.7919073</v>
      </c>
    </row>
    <row r="99" spans="1:9" ht="15.75" x14ac:dyDescent="0.25">
      <c r="A99" s="8"/>
      <c r="B99" s="8"/>
      <c r="C99" s="9"/>
      <c r="D99" s="12" t="s">
        <v>95</v>
      </c>
      <c r="E99" s="14">
        <f>+Enero!E99+Febrero!E99+Marzo!E99+Abril!E99+Mayo!E99+Junio!E99+Julio!E99+Agosto!E99+Septiembre!E99+Octubre!E99+Noviembre!E99+Diciembre!E99</f>
        <v>658762012.08999991</v>
      </c>
      <c r="F99" s="14">
        <f>+Enero!F99+Febrero!F99+Marzo!F99+Abril!F99+Mayo!F99+Junio!F99+Julio!F99+Agosto!F99+Septiembre!F99+Octubre!F99+Noviembre!F99+Diciembre!F99</f>
        <v>614975512.85033762</v>
      </c>
      <c r="G99" s="14">
        <f>+Enero!G99+Febrero!G99+Marzo!G99+Abril!G99+Mayo!G99+Junio!G99+Julio!G99+Agosto!G99+Septiembre!G99+Octubre!G99+Noviembre!G99+Diciembre!G99</f>
        <v>137890939.53</v>
      </c>
      <c r="H99" s="14">
        <f>+Enero!H99+Febrero!H99+Marzo!H99+Abril!H99+Mayo!H99+Junio!H99+Julio!H99+Agosto!H99+Septiembre!H99+Octubre!H99+Noviembre!H99+Diciembre!H99</f>
        <v>0</v>
      </c>
      <c r="I99" s="13">
        <f t="shared" si="2"/>
        <v>1411628464.4703376</v>
      </c>
    </row>
    <row r="100" spans="1:9" ht="15.75" x14ac:dyDescent="0.25">
      <c r="A100" s="8"/>
      <c r="B100" s="8"/>
      <c r="C100" s="9"/>
      <c r="D100" s="12" t="s">
        <v>96</v>
      </c>
      <c r="E100" s="14">
        <f>+Enero!E100+Febrero!E100+Marzo!E100+Abril!E100+Mayo!E100+Junio!E100+Julio!E100+Agosto!E100+Septiembre!E100+Octubre!E100+Noviembre!E100+Diciembre!E100</f>
        <v>701676783.47000027</v>
      </c>
      <c r="F100" s="14">
        <f>+Enero!F100+Febrero!F100+Marzo!F100+Abril!F100+Mayo!F100+Junio!F100+Julio!F100+Agosto!F100+Septiembre!F100+Octubre!F100+Noviembre!F100+Diciembre!F100</f>
        <v>615272877.3948133</v>
      </c>
      <c r="G100" s="14">
        <f>+Enero!G100+Febrero!G100+Marzo!G100+Abril!G100+Mayo!G100+Junio!G100+Julio!G100+Agosto!G100+Septiembre!G100+Octubre!G100+Noviembre!G100+Diciembre!G100</f>
        <v>283462382.75</v>
      </c>
      <c r="H100" s="14">
        <f>+Enero!H100+Febrero!H100+Marzo!H100+Abril!H100+Mayo!H100+Junio!H100+Julio!H100+Agosto!H100+Septiembre!H100+Octubre!H100+Noviembre!H100+Diciembre!H100</f>
        <v>0</v>
      </c>
      <c r="I100" s="13">
        <f t="shared" si="2"/>
        <v>1600412043.6148136</v>
      </c>
    </row>
    <row r="101" spans="1:9" ht="15.75" x14ac:dyDescent="0.25">
      <c r="A101" s="8"/>
      <c r="B101" s="8"/>
      <c r="C101" s="9"/>
      <c r="D101" s="12" t="s">
        <v>97</v>
      </c>
      <c r="E101" s="14">
        <f>+Enero!E101+Febrero!E101+Marzo!E101+Abril!E101+Mayo!E101+Junio!E101+Julio!E101+Agosto!E101+Septiembre!E101+Octubre!E101+Noviembre!E101+Diciembre!E101</f>
        <v>24050480.82</v>
      </c>
      <c r="F101" s="14">
        <f>+Enero!F101+Febrero!F101+Marzo!F101+Abril!F101+Mayo!F101+Junio!F101+Julio!F101+Agosto!F101+Septiembre!F101+Octubre!F101+Noviembre!F101+Diciembre!F101</f>
        <v>825681363.99846506</v>
      </c>
      <c r="G101" s="14">
        <f>+Enero!G101+Febrero!G101+Marzo!G101+Abril!G101+Mayo!G101+Junio!G101+Julio!G101+Agosto!G101+Septiembre!G101+Octubre!G101+Noviembre!G101+Diciembre!G101</f>
        <v>3386414.05</v>
      </c>
      <c r="H101" s="14">
        <f>+Enero!H101+Febrero!H101+Marzo!H101+Abril!H101+Mayo!H101+Junio!H101+Julio!H101+Agosto!H101+Septiembre!H101+Octubre!H101+Noviembre!H101+Diciembre!H101</f>
        <v>0</v>
      </c>
      <c r="I101" s="13">
        <f t="shared" si="2"/>
        <v>853118258.86846507</v>
      </c>
    </row>
    <row r="102" spans="1:9" ht="15.75" x14ac:dyDescent="0.25">
      <c r="A102" s="8"/>
      <c r="B102" s="8"/>
      <c r="C102" s="9"/>
      <c r="D102" s="12" t="s">
        <v>98</v>
      </c>
      <c r="E102" s="14">
        <f>+Enero!E102+Febrero!E102+Marzo!E102+Abril!E102+Mayo!E102+Junio!E102+Julio!E102+Agosto!E102+Septiembre!E102+Octubre!E102+Noviembre!E102+Diciembre!E102</f>
        <v>863547115.68999994</v>
      </c>
      <c r="F102" s="14">
        <f>+Enero!F102+Febrero!F102+Marzo!F102+Abril!F102+Mayo!F102+Junio!F102+Julio!F102+Agosto!F102+Septiembre!F102+Octubre!F102+Noviembre!F102+Diciembre!F102</f>
        <v>355019940.76714319</v>
      </c>
      <c r="G102" s="14">
        <f>+Enero!G102+Febrero!G102+Marzo!G102+Abril!G102+Mayo!G102+Junio!G102+Julio!G102+Agosto!G102+Septiembre!G102+Octubre!G102+Noviembre!G102+Diciembre!G102</f>
        <v>143785412.31</v>
      </c>
      <c r="H102" s="14">
        <f>+Enero!H102+Febrero!H102+Marzo!H102+Abril!H102+Mayo!H102+Junio!H102+Julio!H102+Agosto!H102+Septiembre!H102+Octubre!H102+Noviembre!H102+Diciembre!H102</f>
        <v>0</v>
      </c>
      <c r="I102" s="13">
        <f t="shared" si="2"/>
        <v>1362352468.767143</v>
      </c>
    </row>
    <row r="103" spans="1:9" ht="15.75" x14ac:dyDescent="0.25">
      <c r="A103" s="8"/>
      <c r="B103" s="8"/>
      <c r="C103" s="9"/>
      <c r="D103" s="12" t="s">
        <v>99</v>
      </c>
      <c r="E103" s="14">
        <f>+Enero!E103+Febrero!E103+Marzo!E103+Abril!E103+Mayo!E103+Junio!E103+Julio!E103+Agosto!E103+Septiembre!E103+Octubre!E103+Noviembre!E103+Diciembre!E103</f>
        <v>249476722.59</v>
      </c>
      <c r="F103" s="14">
        <f>+Enero!F103+Febrero!F103+Marzo!F103+Abril!F103+Mayo!F103+Junio!F103+Julio!F103+Agosto!F103+Septiembre!F103+Octubre!F103+Noviembre!F103+Diciembre!F103</f>
        <v>112744741.64299285</v>
      </c>
      <c r="G103" s="14">
        <f>+Enero!G103+Febrero!G103+Marzo!G103+Abril!G103+Mayo!G103+Junio!G103+Julio!G103+Agosto!G103+Septiembre!G103+Octubre!G103+Noviembre!G103+Diciembre!G103</f>
        <v>26100970.310000002</v>
      </c>
      <c r="H103" s="14">
        <f>+Enero!H103+Febrero!H103+Marzo!H103+Abril!H103+Mayo!H103+Junio!H103+Julio!H103+Agosto!H103+Septiembre!H103+Octubre!H103+Noviembre!H103+Diciembre!H103</f>
        <v>0</v>
      </c>
      <c r="I103" s="13">
        <f t="shared" si="2"/>
        <v>388322434.54299289</v>
      </c>
    </row>
    <row r="104" spans="1:9" ht="15.75" x14ac:dyDescent="0.25">
      <c r="A104" s="8"/>
      <c r="B104" s="8"/>
      <c r="C104" s="9"/>
      <c r="D104" s="12" t="s">
        <v>100</v>
      </c>
      <c r="E104" s="14">
        <f>+Enero!E104+Febrero!E104+Marzo!E104+Abril!E104+Mayo!E104+Junio!E104+Julio!E104+Agosto!E104+Septiembre!E104+Octubre!E104+Noviembre!E104+Diciembre!E104</f>
        <v>1391177541.5999999</v>
      </c>
      <c r="F104" s="14">
        <f>+Enero!F104+Febrero!F104+Marzo!F104+Abril!F104+Mayo!F104+Junio!F104+Julio!F104+Agosto!F104+Septiembre!F104+Octubre!F104+Noviembre!F104+Diciembre!F104</f>
        <v>206017232.59773004</v>
      </c>
      <c r="G104" s="14">
        <f>+Enero!G104+Febrero!G104+Marzo!G104+Abril!G104+Mayo!G104+Junio!G104+Julio!G104+Agosto!G104+Septiembre!G104+Octubre!G104+Noviembre!G104+Diciembre!G104</f>
        <v>302244394.62000006</v>
      </c>
      <c r="H104" s="14">
        <f>+Enero!H104+Febrero!H104+Marzo!H104+Abril!H104+Mayo!H104+Junio!H104+Julio!H104+Agosto!H104+Septiembre!H104+Octubre!H104+Noviembre!H104+Diciembre!H104</f>
        <v>0</v>
      </c>
      <c r="I104" s="13">
        <f t="shared" si="2"/>
        <v>1899439168.8177302</v>
      </c>
    </row>
    <row r="105" spans="1:9" ht="15.75" x14ac:dyDescent="0.25">
      <c r="A105" s="8"/>
      <c r="B105" s="8"/>
      <c r="C105" s="9"/>
      <c r="D105" s="12" t="s">
        <v>101</v>
      </c>
      <c r="E105" s="14">
        <f>+Enero!E105+Febrero!E105+Marzo!E105+Abril!E105+Mayo!E105+Junio!E105+Julio!E105+Agosto!E105+Septiembre!E105+Octubre!E105+Noviembre!E105+Diciembre!E105</f>
        <v>187476833.62</v>
      </c>
      <c r="F105" s="14">
        <f>+Enero!F105+Febrero!F105+Marzo!F105+Abril!F105+Mayo!F105+Junio!F105+Julio!F105+Agosto!F105+Septiembre!F105+Octubre!F105+Noviembre!F105+Diciembre!F105</f>
        <v>305947100.46629024</v>
      </c>
      <c r="G105" s="14">
        <f>+Enero!G105+Febrero!G105+Marzo!G105+Abril!G105+Mayo!G105+Junio!G105+Julio!G105+Agosto!G105+Septiembre!G105+Octubre!G105+Noviembre!G105+Diciembre!G105</f>
        <v>6266664.2400000002</v>
      </c>
      <c r="H105" s="14">
        <f>+Enero!H105+Febrero!H105+Marzo!H105+Abril!H105+Mayo!H105+Junio!H105+Julio!H105+Agosto!H105+Septiembre!H105+Octubre!H105+Noviembre!H105+Diciembre!H105</f>
        <v>0</v>
      </c>
      <c r="I105" s="13">
        <f t="shared" si="2"/>
        <v>499690598.32629025</v>
      </c>
    </row>
    <row r="106" spans="1:9" ht="15.75" x14ac:dyDescent="0.25">
      <c r="A106" s="8"/>
      <c r="B106" s="8"/>
      <c r="C106" s="9"/>
      <c r="D106" s="12" t="s">
        <v>102</v>
      </c>
      <c r="E106" s="14">
        <f>+Enero!E106+Febrero!E106+Marzo!E106+Abril!E106+Mayo!E106+Junio!E106+Julio!E106+Agosto!E106+Septiembre!E106+Octubre!E106+Noviembre!E106+Diciembre!E106</f>
        <v>180149663.5</v>
      </c>
      <c r="F106" s="14">
        <f>+Enero!F106+Febrero!F106+Marzo!F106+Abril!F106+Mayo!F106+Junio!F106+Julio!F106+Agosto!F106+Septiembre!F106+Octubre!F106+Noviembre!F106+Diciembre!F106</f>
        <v>18872394.624399479</v>
      </c>
      <c r="G106" s="14">
        <f>+Enero!G106+Febrero!G106+Marzo!G106+Abril!G106+Mayo!G106+Junio!G106+Julio!G106+Agosto!G106+Septiembre!G106+Octubre!G106+Noviembre!G106+Diciembre!G106</f>
        <v>625164142.98000014</v>
      </c>
      <c r="H106" s="14">
        <f>+Enero!H106+Febrero!H106+Marzo!H106+Abril!H106+Mayo!H106+Junio!H106+Julio!H106+Agosto!H106+Septiembre!H106+Octubre!H106+Noviembre!H106+Diciembre!H106</f>
        <v>0</v>
      </c>
      <c r="I106" s="13">
        <f t="shared" ref="I106:I137" si="3">SUM(E106:H106)</f>
        <v>824186201.10439968</v>
      </c>
    </row>
    <row r="107" spans="1:9" ht="15.75" x14ac:dyDescent="0.25">
      <c r="A107" s="8"/>
      <c r="B107" s="8"/>
      <c r="C107" s="9"/>
      <c r="D107" s="12" t="s">
        <v>103</v>
      </c>
      <c r="E107" s="14">
        <f>+Enero!E107+Febrero!E107+Marzo!E107+Abril!E107+Mayo!E107+Junio!E107+Julio!E107+Agosto!E107+Septiembre!E107+Octubre!E107+Noviembre!E107+Diciembre!E107</f>
        <v>5989941.4700000007</v>
      </c>
      <c r="F107" s="14">
        <f>+Enero!F107+Febrero!F107+Marzo!F107+Abril!F107+Mayo!F107+Junio!F107+Julio!F107+Agosto!F107+Septiembre!F107+Octubre!F107+Noviembre!F107+Diciembre!F107</f>
        <v>0</v>
      </c>
      <c r="G107" s="14">
        <f>+Enero!G107+Febrero!G107+Marzo!G107+Abril!G107+Mayo!G107+Junio!G107+Julio!G107+Agosto!G107+Septiembre!G107+Octubre!G107+Noviembre!G107+Diciembre!G107</f>
        <v>188001074.29000002</v>
      </c>
      <c r="H107" s="14">
        <f>+Enero!H107+Febrero!H107+Marzo!H107+Abril!H107+Mayo!H107+Junio!H107+Julio!H107+Agosto!H107+Septiembre!H107+Octubre!H107+Noviembre!H107+Diciembre!H107</f>
        <v>0</v>
      </c>
      <c r="I107" s="13">
        <f t="shared" si="3"/>
        <v>193991015.76000002</v>
      </c>
    </row>
    <row r="108" spans="1:9" ht="15.75" x14ac:dyDescent="0.25">
      <c r="A108" s="8"/>
      <c r="B108" s="8"/>
      <c r="C108" s="9"/>
      <c r="D108" s="12" t="s">
        <v>104</v>
      </c>
      <c r="E108" s="14">
        <f>+Enero!E108+Febrero!E108+Marzo!E108+Abril!E108+Mayo!E108+Junio!E108+Julio!E108+Agosto!E108+Septiembre!E108+Octubre!E108+Noviembre!E108+Diciembre!E108</f>
        <v>15568039.150000002</v>
      </c>
      <c r="F108" s="14">
        <f>+Enero!F108+Febrero!F108+Marzo!F108+Abril!F108+Mayo!F108+Junio!F108+Julio!F108+Agosto!F108+Septiembre!F108+Octubre!F108+Noviembre!F108+Diciembre!F108</f>
        <v>0</v>
      </c>
      <c r="G108" s="14">
        <f>+Enero!G108+Febrero!G108+Marzo!G108+Abril!G108+Mayo!G108+Junio!G108+Julio!G108+Agosto!G108+Septiembre!G108+Octubre!G108+Noviembre!G108+Diciembre!G108</f>
        <v>86619696.710000008</v>
      </c>
      <c r="H108" s="14">
        <f>+Enero!H108+Febrero!H108+Marzo!H108+Abril!H108+Mayo!H108+Junio!H108+Julio!H108+Agosto!H108+Septiembre!H108+Octubre!H108+Noviembre!H108+Diciembre!H108</f>
        <v>0</v>
      </c>
      <c r="I108" s="13">
        <f t="shared" si="3"/>
        <v>102187735.86000001</v>
      </c>
    </row>
    <row r="109" spans="1:9" ht="15.75" x14ac:dyDescent="0.25">
      <c r="A109" s="8"/>
      <c r="B109" s="8"/>
      <c r="C109" s="9"/>
      <c r="D109" s="12" t="s">
        <v>105</v>
      </c>
      <c r="E109" s="14">
        <f>+Enero!E109+Febrero!E109+Marzo!E109+Abril!E109+Mayo!E109+Junio!E109+Julio!E109+Agosto!E109+Septiembre!E109+Octubre!E109+Noviembre!E109+Diciembre!E109</f>
        <v>82370858.859999999</v>
      </c>
      <c r="F109" s="14">
        <f>+Enero!F109+Febrero!F109+Marzo!F109+Abril!F109+Mayo!F109+Junio!F109+Julio!F109+Agosto!F109+Septiembre!F109+Octubre!F109+Noviembre!F109+Diciembre!F109</f>
        <v>492099868.79555082</v>
      </c>
      <c r="G109" s="14">
        <f>+Enero!G109+Febrero!G109+Marzo!G109+Abril!G109+Mayo!G109+Junio!G109+Julio!G109+Agosto!G109+Septiembre!G109+Octubre!G109+Noviembre!G109+Diciembre!G109</f>
        <v>15402036.969999999</v>
      </c>
      <c r="H109" s="14">
        <f>+Enero!H109+Febrero!H109+Marzo!H109+Abril!H109+Mayo!H109+Junio!H109+Julio!H109+Agosto!H109+Septiembre!H109+Octubre!H109+Noviembre!H109+Diciembre!H109</f>
        <v>0</v>
      </c>
      <c r="I109" s="13">
        <f t="shared" si="3"/>
        <v>589872764.62555087</v>
      </c>
    </row>
    <row r="110" spans="1:9" ht="15.75" x14ac:dyDescent="0.25">
      <c r="A110" s="8"/>
      <c r="B110" s="8"/>
      <c r="C110" s="9"/>
      <c r="D110" s="12" t="s">
        <v>106</v>
      </c>
      <c r="E110" s="14">
        <f>+Enero!E110+Febrero!E110+Marzo!E110+Abril!E110+Mayo!E110+Junio!E110+Julio!E110+Agosto!E110+Septiembre!E110+Octubre!E110+Noviembre!E110+Diciembre!E110</f>
        <v>118057014.75999999</v>
      </c>
      <c r="F110" s="14">
        <f>+Enero!F110+Febrero!F110+Marzo!F110+Abril!F110+Mayo!F110+Junio!F110+Julio!F110+Agosto!F110+Septiembre!F110+Octubre!F110+Noviembre!F110+Diciembre!F110</f>
        <v>114134151.84218118</v>
      </c>
      <c r="G110" s="14">
        <f>+Enero!G110+Febrero!G110+Marzo!G110+Abril!G110+Mayo!G110+Junio!G110+Julio!G110+Agosto!G110+Septiembre!G110+Octubre!G110+Noviembre!G110+Diciembre!G110</f>
        <v>28188252.340000004</v>
      </c>
      <c r="H110" s="14">
        <f>+Enero!H110+Febrero!H110+Marzo!H110+Abril!H110+Mayo!H110+Junio!H110+Julio!H110+Agosto!H110+Septiembre!H110+Octubre!H110+Noviembre!H110+Diciembre!H110</f>
        <v>0</v>
      </c>
      <c r="I110" s="13">
        <f t="shared" si="3"/>
        <v>260379418.94218117</v>
      </c>
    </row>
    <row r="111" spans="1:9" ht="15.75" x14ac:dyDescent="0.25">
      <c r="A111" s="8"/>
      <c r="B111" s="8"/>
      <c r="C111" s="9"/>
      <c r="D111" s="12" t="s">
        <v>107</v>
      </c>
      <c r="E111" s="14">
        <f>+Enero!E111+Febrero!E111+Marzo!E111+Abril!E111+Mayo!E111+Junio!E111+Julio!E111+Agosto!E111+Septiembre!E111+Octubre!E111+Noviembre!E111+Diciembre!E111</f>
        <v>5464485.5899999999</v>
      </c>
      <c r="F111" s="14">
        <f>+Enero!F111+Febrero!F111+Marzo!F111+Abril!F111+Mayo!F111+Junio!F111+Julio!F111+Agosto!F111+Septiembre!F111+Octubre!F111+Noviembre!F111+Diciembre!F111</f>
        <v>1886726.7649494722</v>
      </c>
      <c r="G111" s="14">
        <f>+Enero!G111+Febrero!G111+Marzo!G111+Abril!G111+Mayo!G111+Junio!G111+Julio!G111+Agosto!G111+Septiembre!G111+Octubre!G111+Noviembre!G111+Diciembre!G111</f>
        <v>1068987169.9499999</v>
      </c>
      <c r="H111" s="14">
        <f>+Enero!H111+Febrero!H111+Marzo!H111+Abril!H111+Mayo!H111+Junio!H111+Julio!H111+Agosto!H111+Septiembre!H111+Octubre!H111+Noviembre!H111+Diciembre!H111</f>
        <v>0</v>
      </c>
      <c r="I111" s="13">
        <f t="shared" si="3"/>
        <v>1076338382.3049493</v>
      </c>
    </row>
    <row r="112" spans="1:9" ht="15.75" x14ac:dyDescent="0.25">
      <c r="A112" s="8"/>
      <c r="B112" s="8"/>
      <c r="C112" s="9"/>
      <c r="D112" s="12" t="s">
        <v>108</v>
      </c>
      <c r="E112" s="14">
        <f>+Enero!E112+Febrero!E112+Marzo!E112+Abril!E112+Mayo!E112+Junio!E112+Julio!E112+Agosto!E112+Septiembre!E112+Octubre!E112+Noviembre!E112+Diciembre!E112</f>
        <v>380016821.38999999</v>
      </c>
      <c r="F112" s="14">
        <f>+Enero!F112+Febrero!F112+Marzo!F112+Abril!F112+Mayo!F112+Junio!F112+Julio!F112+Agosto!F112+Septiembre!F112+Octubre!F112+Noviembre!F112+Diciembre!F112</f>
        <v>129133116.92603898</v>
      </c>
      <c r="G112" s="14">
        <f>+Enero!G112+Febrero!G112+Marzo!G112+Abril!G112+Mayo!G112+Junio!G112+Julio!G112+Agosto!G112+Septiembre!G112+Octubre!G112+Noviembre!G112+Diciembre!G112</f>
        <v>83472919.50999999</v>
      </c>
      <c r="H112" s="14">
        <f>+Enero!H112+Febrero!H112+Marzo!H112+Abril!H112+Mayo!H112+Junio!H112+Julio!H112+Agosto!H112+Septiembre!H112+Octubre!H112+Noviembre!H112+Diciembre!H112</f>
        <v>0</v>
      </c>
      <c r="I112" s="13">
        <f t="shared" si="3"/>
        <v>592622857.82603896</v>
      </c>
    </row>
    <row r="113" spans="1:9" ht="15.75" x14ac:dyDescent="0.25">
      <c r="A113" s="8"/>
      <c r="B113" s="8"/>
      <c r="C113" s="9"/>
      <c r="D113" s="12" t="s">
        <v>109</v>
      </c>
      <c r="E113" s="14">
        <f>+Enero!E113+Febrero!E113+Marzo!E113+Abril!E113+Mayo!E113+Junio!E113+Julio!E113+Agosto!E113+Septiembre!E113+Octubre!E113+Noviembre!E113+Diciembre!E113</f>
        <v>237246895.13</v>
      </c>
      <c r="F113" s="14">
        <f>+Enero!F113+Febrero!F113+Marzo!F113+Abril!F113+Mayo!F113+Junio!F113+Julio!F113+Agosto!F113+Septiembre!F113+Octubre!F113+Noviembre!F113+Diciembre!F113</f>
        <v>310915139.14899683</v>
      </c>
      <c r="G113" s="14">
        <f>+Enero!G113+Febrero!G113+Marzo!G113+Abril!G113+Mayo!G113+Junio!G113+Julio!G113+Agosto!G113+Septiembre!G113+Octubre!G113+Noviembre!G113+Diciembre!G113</f>
        <v>56142771.829999991</v>
      </c>
      <c r="H113" s="14">
        <f>+Enero!H113+Febrero!H113+Marzo!H113+Abril!H113+Mayo!H113+Junio!H113+Julio!H113+Agosto!H113+Septiembre!H113+Octubre!H113+Noviembre!H113+Diciembre!H113</f>
        <v>0</v>
      </c>
      <c r="I113" s="13">
        <f t="shared" si="3"/>
        <v>604304806.10899687</v>
      </c>
    </row>
    <row r="114" spans="1:9" ht="15.75" x14ac:dyDescent="0.25">
      <c r="A114" s="8"/>
      <c r="B114" s="8"/>
      <c r="C114" s="9"/>
      <c r="D114" s="12" t="s">
        <v>110</v>
      </c>
      <c r="E114" s="14">
        <f>+Enero!E114+Febrero!E114+Marzo!E114+Abril!E114+Mayo!E114+Junio!E114+Julio!E114+Agosto!E114+Septiembre!E114+Octubre!E114+Noviembre!E114+Diciembre!E114</f>
        <v>654844835.25</v>
      </c>
      <c r="F114" s="14">
        <f>+Enero!F114+Febrero!F114+Marzo!F114+Abril!F114+Mayo!F114+Junio!F114+Julio!F114+Agosto!F114+Septiembre!F114+Octubre!F114+Noviembre!F114+Diciembre!F114</f>
        <v>356609302.98761696</v>
      </c>
      <c r="G114" s="14">
        <f>+Enero!G114+Febrero!G114+Marzo!G114+Abril!G114+Mayo!G114+Junio!G114+Julio!G114+Agosto!G114+Septiembre!G114+Octubre!G114+Noviembre!G114+Diciembre!G114</f>
        <v>78726607.960000008</v>
      </c>
      <c r="H114" s="14">
        <f>+Enero!H114+Febrero!H114+Marzo!H114+Abril!H114+Mayo!H114+Junio!H114+Julio!H114+Agosto!H114+Septiembre!H114+Octubre!H114+Noviembre!H114+Diciembre!H114</f>
        <v>0</v>
      </c>
      <c r="I114" s="13">
        <f t="shared" si="3"/>
        <v>1090180746.1976171</v>
      </c>
    </row>
    <row r="115" spans="1:9" ht="15.75" x14ac:dyDescent="0.25">
      <c r="A115" s="8"/>
      <c r="B115" s="8"/>
      <c r="C115" s="9"/>
      <c r="D115" s="12" t="s">
        <v>111</v>
      </c>
      <c r="E115" s="14">
        <f>+Enero!E115+Febrero!E115+Marzo!E115+Abril!E115+Mayo!E115+Junio!E115+Julio!E115+Agosto!E115+Septiembre!E115+Octubre!E115+Noviembre!E115+Diciembre!E115</f>
        <v>1215362452.03</v>
      </c>
      <c r="F115" s="14">
        <f>+Enero!F115+Febrero!F115+Marzo!F115+Abril!F115+Mayo!F115+Junio!F115+Julio!F115+Agosto!F115+Septiembre!F115+Octubre!F115+Noviembre!F115+Diciembre!F115</f>
        <v>176316666.97449005</v>
      </c>
      <c r="G115" s="14">
        <f>+Enero!G115+Febrero!G115+Marzo!G115+Abril!G115+Mayo!G115+Junio!G115+Julio!G115+Agosto!G115+Septiembre!G115+Octubre!G115+Noviembre!G115+Diciembre!G115</f>
        <v>85667087.570000008</v>
      </c>
      <c r="H115" s="14">
        <f>+Enero!H115+Febrero!H115+Marzo!H115+Abril!H115+Mayo!H115+Junio!H115+Julio!H115+Agosto!H115+Septiembre!H115+Octubre!H115+Noviembre!H115+Diciembre!H115</f>
        <v>0</v>
      </c>
      <c r="I115" s="13">
        <f t="shared" si="3"/>
        <v>1477346206.5744898</v>
      </c>
    </row>
    <row r="116" spans="1:9" ht="15.75" x14ac:dyDescent="0.25">
      <c r="A116" s="8"/>
      <c r="B116" s="8"/>
      <c r="C116" s="9"/>
      <c r="D116" s="12" t="s">
        <v>112</v>
      </c>
      <c r="E116" s="14">
        <f>+Enero!E116+Febrero!E116+Marzo!E116+Abril!E116+Mayo!E116+Junio!E116+Julio!E116+Agosto!E116+Septiembre!E116+Octubre!E116+Noviembre!E116+Diciembre!E116</f>
        <v>180740484.48999998</v>
      </c>
      <c r="F116" s="14">
        <f>+Enero!F116+Febrero!F116+Marzo!F116+Abril!F116+Mayo!F116+Junio!F116+Julio!F116+Agosto!F116+Septiembre!F116+Octubre!F116+Noviembre!F116+Diciembre!F116</f>
        <v>228965572.27140889</v>
      </c>
      <c r="G116" s="14">
        <f>+Enero!G116+Febrero!G116+Marzo!G116+Abril!G116+Mayo!G116+Junio!G116+Julio!G116+Agosto!G116+Septiembre!G116+Octubre!G116+Noviembre!G116+Diciembre!G116</f>
        <v>8958667.0599999987</v>
      </c>
      <c r="H116" s="14">
        <f>+Enero!H116+Febrero!H116+Marzo!H116+Abril!H116+Mayo!H116+Junio!H116+Julio!H116+Agosto!H116+Septiembre!H116+Octubre!H116+Noviembre!H116+Diciembre!H116</f>
        <v>0</v>
      </c>
      <c r="I116" s="13">
        <f t="shared" si="3"/>
        <v>418664723.82140887</v>
      </c>
    </row>
    <row r="117" spans="1:9" ht="15.75" x14ac:dyDescent="0.25">
      <c r="A117" s="8"/>
      <c r="B117" s="8"/>
      <c r="C117" s="9"/>
      <c r="D117" s="12" t="s">
        <v>113</v>
      </c>
      <c r="E117" s="14">
        <f>+Enero!E117+Febrero!E117+Marzo!E117+Abril!E117+Mayo!E117+Junio!E117+Julio!E117+Agosto!E117+Septiembre!E117+Octubre!E117+Noviembre!E117+Diciembre!E117</f>
        <v>152814441.55000001</v>
      </c>
      <c r="F117" s="14">
        <f>+Enero!F117+Febrero!F117+Marzo!F117+Abril!F117+Mayo!F117+Junio!F117+Julio!F117+Agosto!F117+Septiembre!F117+Octubre!F117+Noviembre!F117+Diciembre!F117</f>
        <v>176813983.54025123</v>
      </c>
      <c r="G117" s="14">
        <f>+Enero!G117+Febrero!G117+Marzo!G117+Abril!G117+Mayo!G117+Junio!G117+Julio!G117+Agosto!G117+Septiembre!G117+Octubre!G117+Noviembre!G117+Diciembre!G117</f>
        <v>64264063.259999998</v>
      </c>
      <c r="H117" s="14">
        <f>+Enero!H117+Febrero!H117+Marzo!H117+Abril!H117+Mayo!H117+Junio!H117+Julio!H117+Agosto!H117+Septiembre!H117+Octubre!H117+Noviembre!H117+Diciembre!H117</f>
        <v>0</v>
      </c>
      <c r="I117" s="13">
        <f t="shared" si="3"/>
        <v>393892488.3502512</v>
      </c>
    </row>
    <row r="118" spans="1:9" ht="15.75" x14ac:dyDescent="0.25">
      <c r="A118" s="8"/>
      <c r="B118" s="8"/>
      <c r="C118" s="9"/>
      <c r="D118" s="12" t="s">
        <v>114</v>
      </c>
      <c r="E118" s="14">
        <f>+Enero!E118+Febrero!E118+Marzo!E118+Abril!E118+Mayo!E118+Junio!E118+Julio!E118+Agosto!E118+Septiembre!E118+Octubre!E118+Noviembre!E118+Diciembre!E118</f>
        <v>285975390.18000001</v>
      </c>
      <c r="F118" s="14">
        <f>+Enero!F118+Febrero!F118+Marzo!F118+Abril!F118+Mayo!F118+Junio!F118+Julio!F118+Agosto!F118+Septiembre!F118+Octubre!F118+Noviembre!F118+Diciembre!F118</f>
        <v>276149122.31985992</v>
      </c>
      <c r="G118" s="14">
        <f>+Enero!G118+Febrero!G118+Marzo!G118+Abril!G118+Mayo!G118+Junio!G118+Julio!G118+Agosto!G118+Septiembre!G118+Octubre!G118+Noviembre!G118+Diciembre!G118</f>
        <v>99858048.190000013</v>
      </c>
      <c r="H118" s="14">
        <f>+Enero!H118+Febrero!H118+Marzo!H118+Abril!H118+Mayo!H118+Junio!H118+Julio!H118+Agosto!H118+Septiembre!H118+Octubre!H118+Noviembre!H118+Diciembre!H118</f>
        <v>0</v>
      </c>
      <c r="I118" s="13">
        <f t="shared" si="3"/>
        <v>661982560.68985999</v>
      </c>
    </row>
    <row r="119" spans="1:9" ht="15.75" x14ac:dyDescent="0.25">
      <c r="A119" s="8"/>
      <c r="B119" s="8"/>
      <c r="C119" s="9"/>
      <c r="D119" s="12" t="s">
        <v>115</v>
      </c>
      <c r="E119" s="14">
        <f>+Enero!E119+Febrero!E119+Marzo!E119+Abril!E119+Mayo!E119+Junio!E119+Julio!E119+Agosto!E119+Septiembre!E119+Octubre!E119+Noviembre!E119+Diciembre!E119</f>
        <v>82203311.539999992</v>
      </c>
      <c r="F119" s="14">
        <f>+Enero!F119+Febrero!F119+Marzo!F119+Abril!F119+Mayo!F119+Junio!F119+Julio!F119+Agosto!F119+Septiembre!F119+Octubre!F119+Noviembre!F119+Diciembre!F119</f>
        <v>26819205.726768173</v>
      </c>
      <c r="G119" s="14">
        <f>+Enero!G119+Febrero!G119+Marzo!G119+Abril!G119+Mayo!G119+Junio!G119+Julio!G119+Agosto!G119+Septiembre!G119+Octubre!G119+Noviembre!G119+Diciembre!G119</f>
        <v>35302493.340000011</v>
      </c>
      <c r="H119" s="14">
        <f>+Enero!H119+Febrero!H119+Marzo!H119+Abril!H119+Mayo!H119+Junio!H119+Julio!H119+Agosto!H119+Septiembre!H119+Octubre!H119+Noviembre!H119+Diciembre!H119</f>
        <v>0</v>
      </c>
      <c r="I119" s="13">
        <f t="shared" si="3"/>
        <v>144325010.60676816</v>
      </c>
    </row>
    <row r="120" spans="1:9" ht="15.75" x14ac:dyDescent="0.25">
      <c r="A120" s="8"/>
      <c r="B120" s="8"/>
      <c r="C120" s="9"/>
      <c r="D120" s="12" t="s">
        <v>116</v>
      </c>
      <c r="E120" s="14">
        <f>+Enero!E120+Febrero!E120+Marzo!E120+Abril!E120+Mayo!E120+Junio!E120+Julio!E120+Agosto!E120+Septiembre!E120+Octubre!E120+Noviembre!E120+Diciembre!E120</f>
        <v>885763700.60999978</v>
      </c>
      <c r="F120" s="14">
        <f>+Enero!F120+Febrero!F120+Marzo!F120+Abril!F120+Mayo!F120+Junio!F120+Julio!F120+Agosto!F120+Septiembre!F120+Octubre!F120+Noviembre!F120+Diciembre!F120</f>
        <v>117212900.27248597</v>
      </c>
      <c r="G120" s="14">
        <f>+Enero!G120+Febrero!G120+Marzo!G120+Abril!G120+Mayo!G120+Junio!G120+Julio!G120+Agosto!G120+Septiembre!G120+Octubre!G120+Noviembre!G120+Diciembre!G120</f>
        <v>89182420.609999985</v>
      </c>
      <c r="H120" s="14">
        <f>+Enero!H120+Febrero!H120+Marzo!H120+Abril!H120+Mayo!H120+Junio!H120+Julio!H120+Agosto!H120+Septiembre!H120+Octubre!H120+Noviembre!H120+Diciembre!H120</f>
        <v>0</v>
      </c>
      <c r="I120" s="13">
        <f t="shared" si="3"/>
        <v>1092159021.4924858</v>
      </c>
    </row>
    <row r="121" spans="1:9" ht="15.75" x14ac:dyDescent="0.25">
      <c r="A121" s="8"/>
      <c r="B121" s="8"/>
      <c r="C121" s="9"/>
      <c r="D121" s="12" t="s">
        <v>117</v>
      </c>
      <c r="E121" s="14">
        <f>+Enero!E121+Febrero!E121+Marzo!E121+Abril!E121+Mayo!E121+Junio!E121+Julio!E121+Agosto!E121+Septiembre!E121+Octubre!E121+Noviembre!E121+Diciembre!E121</f>
        <v>296982362.05000001</v>
      </c>
      <c r="F121" s="14">
        <f>+Enero!F121+Febrero!F121+Marzo!F121+Abril!F121+Mayo!F121+Junio!F121+Julio!F121+Agosto!F121+Septiembre!F121+Octubre!F121+Noviembre!F121+Diciembre!F121</f>
        <v>173932623.64377949</v>
      </c>
      <c r="G121" s="14">
        <f>+Enero!G121+Febrero!G121+Marzo!G121+Abril!G121+Mayo!G121+Junio!G121+Julio!G121+Agosto!G121+Septiembre!G121+Octubre!G121+Noviembre!G121+Diciembre!G121</f>
        <v>59277946.420000002</v>
      </c>
      <c r="H121" s="14">
        <f>+Enero!H121+Febrero!H121+Marzo!H121+Abril!H121+Mayo!H121+Junio!H121+Julio!H121+Agosto!H121+Septiembre!H121+Octubre!H121+Noviembre!H121+Diciembre!H121</f>
        <v>0</v>
      </c>
      <c r="I121" s="13">
        <f t="shared" si="3"/>
        <v>530192932.11377949</v>
      </c>
    </row>
    <row r="122" spans="1:9" ht="15.75" x14ac:dyDescent="0.25">
      <c r="A122" s="8"/>
      <c r="B122" s="8"/>
      <c r="C122" s="9"/>
      <c r="D122" s="12" t="s">
        <v>118</v>
      </c>
      <c r="E122" s="14">
        <f>+Enero!E122+Febrero!E122+Marzo!E122+Abril!E122+Mayo!E122+Junio!E122+Julio!E122+Agosto!E122+Septiembre!E122+Octubre!E122+Noviembre!E122+Diciembre!E122</f>
        <v>378777240.20000005</v>
      </c>
      <c r="F122" s="14">
        <f>+Enero!F122+Febrero!F122+Marzo!F122+Abril!F122+Mayo!F122+Junio!F122+Julio!F122+Agosto!F122+Septiembre!F122+Octubre!F122+Noviembre!F122+Diciembre!F122</f>
        <v>128241023.29261182</v>
      </c>
      <c r="G122" s="14">
        <f>+Enero!G122+Febrero!G122+Marzo!G122+Abril!G122+Mayo!G122+Junio!G122+Julio!G122+Agosto!G122+Septiembre!G122+Octubre!G122+Noviembre!G122+Diciembre!G122</f>
        <v>82057570.769999981</v>
      </c>
      <c r="H122" s="14">
        <f>+Enero!H122+Febrero!H122+Marzo!H122+Abril!H122+Mayo!H122+Junio!H122+Julio!H122+Agosto!H122+Septiembre!H122+Octubre!H122+Noviembre!H122+Diciembre!H122</f>
        <v>0</v>
      </c>
      <c r="I122" s="13">
        <f t="shared" si="3"/>
        <v>589075834.26261187</v>
      </c>
    </row>
    <row r="123" spans="1:9" ht="15.75" x14ac:dyDescent="0.25">
      <c r="A123" s="8"/>
      <c r="B123" s="8"/>
      <c r="C123" s="9"/>
      <c r="D123" s="12" t="s">
        <v>119</v>
      </c>
      <c r="E123" s="14">
        <f>+Enero!E123+Febrero!E123+Marzo!E123+Abril!E123+Mayo!E123+Junio!E123+Julio!E123+Agosto!E123+Septiembre!E123+Octubre!E123+Noviembre!E123+Diciembre!E123</f>
        <v>336984338.68000007</v>
      </c>
      <c r="F123" s="14">
        <f>+Enero!F123+Febrero!F123+Marzo!F123+Abril!F123+Mayo!F123+Junio!F123+Julio!F123+Agosto!F123+Septiembre!F123+Octubre!F123+Noviembre!F123+Diciembre!F123</f>
        <v>235620385.69777957</v>
      </c>
      <c r="G123" s="14">
        <f>+Enero!G123+Febrero!G123+Marzo!G123+Abril!G123+Mayo!G123+Junio!G123+Julio!G123+Agosto!G123+Septiembre!G123+Octubre!G123+Noviembre!G123+Diciembre!G123</f>
        <v>25685641.029999997</v>
      </c>
      <c r="H123" s="14">
        <f>+Enero!H123+Febrero!H123+Marzo!H123+Abril!H123+Mayo!H123+Junio!H123+Julio!H123+Agosto!H123+Septiembre!H123+Octubre!H123+Noviembre!H123+Diciembre!H123</f>
        <v>0</v>
      </c>
      <c r="I123" s="13">
        <f t="shared" si="3"/>
        <v>598290365.40777957</v>
      </c>
    </row>
    <row r="124" spans="1:9" ht="15.75" x14ac:dyDescent="0.25">
      <c r="A124" s="8"/>
      <c r="B124" s="8"/>
      <c r="C124" s="9"/>
      <c r="D124" s="12" t="s">
        <v>120</v>
      </c>
      <c r="E124" s="14">
        <f>+Enero!E124+Febrero!E124+Marzo!E124+Abril!E124+Mayo!E124+Junio!E124+Julio!E124+Agosto!E124+Septiembre!E124+Octubre!E124+Noviembre!E124+Diciembre!E124</f>
        <v>8792854.9799999986</v>
      </c>
      <c r="F124" s="14">
        <f>+Enero!F124+Febrero!F124+Marzo!F124+Abril!F124+Mayo!F124+Junio!F124+Julio!F124+Agosto!F124+Septiembre!F124+Octubre!F124+Noviembre!F124+Diciembre!F124</f>
        <v>0</v>
      </c>
      <c r="G124" s="14">
        <f>+Enero!G124+Febrero!G124+Marzo!G124+Abril!G124+Mayo!G124+Junio!G124+Julio!G124+Agosto!G124+Septiembre!G124+Octubre!G124+Noviembre!G124+Diciembre!G124</f>
        <v>293065117.28000003</v>
      </c>
      <c r="H124" s="14">
        <f>+Enero!H124+Febrero!H124+Marzo!H124+Abril!H124+Mayo!H124+Junio!H124+Julio!H124+Agosto!H124+Septiembre!H124+Octubre!H124+Noviembre!H124+Diciembre!H124</f>
        <v>874455448.07000017</v>
      </c>
      <c r="I124" s="13">
        <f t="shared" si="3"/>
        <v>1176313420.3300002</v>
      </c>
    </row>
    <row r="125" spans="1:9" ht="15.75" x14ac:dyDescent="0.25">
      <c r="A125" s="8"/>
      <c r="B125" s="8"/>
      <c r="C125" s="9"/>
      <c r="D125" s="12" t="s">
        <v>121</v>
      </c>
      <c r="E125" s="14">
        <f>+Enero!E125+Febrero!E125+Marzo!E125+Abril!E125+Mayo!E125+Junio!E125+Julio!E125+Agosto!E125+Septiembre!E125+Octubre!E125+Noviembre!E125+Diciembre!E125</f>
        <v>0</v>
      </c>
      <c r="F125" s="14">
        <f>+Enero!F125+Febrero!F125+Marzo!F125+Abril!F125+Mayo!F125+Junio!F125+Julio!F125+Agosto!F125+Septiembre!F125+Octubre!F125+Noviembre!F125+Diciembre!F125</f>
        <v>0</v>
      </c>
      <c r="G125" s="14">
        <f>+Enero!G125+Febrero!G125+Marzo!G125+Abril!G125+Mayo!G125+Junio!G125+Julio!G125+Agosto!G125+Septiembre!G125+Octubre!G125+Noviembre!G125+Diciembre!G125</f>
        <v>1185015869.1799998</v>
      </c>
      <c r="H125" s="14">
        <f>+Enero!H125+Febrero!H125+Marzo!H125+Abril!H125+Mayo!H125+Junio!H125+Julio!H125+Agosto!H125+Septiembre!H125+Octubre!H125+Noviembre!H125+Diciembre!H125</f>
        <v>152361410.35500002</v>
      </c>
      <c r="I125" s="13">
        <f t="shared" si="3"/>
        <v>1337377279.5349998</v>
      </c>
    </row>
    <row r="126" spans="1:9" ht="15.75" x14ac:dyDescent="0.25">
      <c r="A126" s="8"/>
      <c r="B126" s="8"/>
      <c r="C126" s="9"/>
      <c r="D126" s="12" t="s">
        <v>122</v>
      </c>
      <c r="E126" s="14">
        <f>+Enero!E126+Febrero!E126+Marzo!E126+Abril!E126+Mayo!E126+Junio!E126+Julio!E126+Agosto!E126+Septiembre!E126+Octubre!E126+Noviembre!E126+Diciembre!E126</f>
        <v>1736673.03</v>
      </c>
      <c r="F126" s="14">
        <f>+Enero!F126+Febrero!F126+Marzo!F126+Abril!F126+Mayo!F126+Junio!F126+Julio!F126+Agosto!F126+Septiembre!F126+Octubre!F126+Noviembre!F126+Diciembre!F126</f>
        <v>0</v>
      </c>
      <c r="G126" s="14">
        <f>+Enero!G126+Febrero!G126+Marzo!G126+Abril!G126+Mayo!G126+Junio!G126+Julio!G126+Agosto!G126+Septiembre!G126+Octubre!G126+Noviembre!G126+Diciembre!G126</f>
        <v>489692963.76999998</v>
      </c>
      <c r="H126" s="14">
        <f>+Enero!H126+Febrero!H126+Marzo!H126+Abril!H126+Mayo!H126+Junio!H126+Julio!H126+Agosto!H126+Septiembre!H126+Octubre!H126+Noviembre!H126+Diciembre!H126</f>
        <v>0</v>
      </c>
      <c r="I126" s="13">
        <f t="shared" si="3"/>
        <v>491429636.79999995</v>
      </c>
    </row>
    <row r="127" spans="1:9" ht="15.75" x14ac:dyDescent="0.25">
      <c r="A127" s="8"/>
      <c r="B127" s="8"/>
      <c r="C127" s="9"/>
      <c r="D127" s="12" t="s">
        <v>123</v>
      </c>
      <c r="E127" s="14">
        <f>+Enero!E127+Febrero!E127+Marzo!E127+Abril!E127+Mayo!E127+Junio!E127+Julio!E127+Agosto!E127+Septiembre!E127+Octubre!E127+Noviembre!E127+Diciembre!E127</f>
        <v>221868664.91000003</v>
      </c>
      <c r="F127" s="14">
        <f>+Enero!F127+Febrero!F127+Marzo!F127+Abril!F127+Mayo!F127+Junio!F127+Julio!F127+Agosto!F127+Septiembre!F127+Octubre!F127+Noviembre!F127+Diciembre!F127</f>
        <v>49667569.389804378</v>
      </c>
      <c r="G127" s="14">
        <f>+Enero!G127+Febrero!G127+Marzo!G127+Abril!G127+Mayo!G127+Junio!G127+Julio!G127+Agosto!G127+Septiembre!G127+Octubre!G127+Noviembre!G127+Diciembre!G127</f>
        <v>338593316.04999995</v>
      </c>
      <c r="H127" s="14">
        <f>+Enero!H127+Febrero!H127+Marzo!H127+Abril!H127+Mayo!H127+Junio!H127+Julio!H127+Agosto!H127+Septiembre!H127+Octubre!H127+Noviembre!H127+Diciembre!H127</f>
        <v>0</v>
      </c>
      <c r="I127" s="13">
        <f t="shared" si="3"/>
        <v>610129550.3498044</v>
      </c>
    </row>
    <row r="128" spans="1:9" ht="15.75" x14ac:dyDescent="0.25">
      <c r="A128" s="8"/>
      <c r="B128" s="8"/>
      <c r="C128" s="9"/>
      <c r="D128" s="12" t="s">
        <v>124</v>
      </c>
      <c r="E128" s="14">
        <f>+Enero!E128+Febrero!E128+Marzo!E128+Abril!E128+Mayo!E128+Junio!E128+Julio!E128+Agosto!E128+Septiembre!E128+Octubre!E128+Noviembre!E128+Diciembre!E128</f>
        <v>411555340.29000008</v>
      </c>
      <c r="F128" s="14">
        <f>+Enero!F128+Febrero!F128+Marzo!F128+Abril!F128+Mayo!F128+Junio!F128+Julio!F128+Agosto!F128+Septiembre!F128+Octubre!F128+Noviembre!F128+Diciembre!F128</f>
        <v>154960253.00873727</v>
      </c>
      <c r="G128" s="14">
        <f>+Enero!G128+Febrero!G128+Marzo!G128+Abril!G128+Mayo!G128+Junio!G128+Julio!G128+Agosto!G128+Septiembre!G128+Octubre!G128+Noviembre!G128+Diciembre!G128</f>
        <v>133280309.33999997</v>
      </c>
      <c r="H128" s="14">
        <f>+Enero!H128+Febrero!H128+Marzo!H128+Abril!H128+Mayo!H128+Junio!H128+Julio!H128+Agosto!H128+Septiembre!H128+Octubre!H128+Noviembre!H128+Diciembre!H128</f>
        <v>0</v>
      </c>
      <c r="I128" s="13">
        <f t="shared" si="3"/>
        <v>699795902.6387372</v>
      </c>
    </row>
    <row r="129" spans="1:9" ht="15.75" x14ac:dyDescent="0.25">
      <c r="A129" s="8"/>
      <c r="B129" s="8"/>
      <c r="C129" s="9"/>
      <c r="D129" s="12" t="s">
        <v>125</v>
      </c>
      <c r="E129" s="14">
        <f>+Enero!E129+Febrero!E129+Marzo!E129+Abril!E129+Mayo!E129+Junio!E129+Julio!E129+Agosto!E129+Septiembre!E129+Octubre!E129+Noviembre!E129+Diciembre!E129</f>
        <v>124363889.5</v>
      </c>
      <c r="F129" s="14">
        <f>+Enero!F129+Febrero!F129+Marzo!F129+Abril!F129+Mayo!F129+Junio!F129+Julio!F129+Agosto!F129+Septiembre!F129+Octubre!F129+Noviembre!F129+Diciembre!F129</f>
        <v>74997388.906741515</v>
      </c>
      <c r="G129" s="14">
        <f>+Enero!G129+Febrero!G129+Marzo!G129+Abril!G129+Mayo!G129+Junio!G129+Julio!G129+Agosto!G129+Septiembre!G129+Octubre!G129+Noviembre!G129+Diciembre!G129</f>
        <v>117956845.62000002</v>
      </c>
      <c r="H129" s="14">
        <f>+Enero!H129+Febrero!H129+Marzo!H129+Abril!H129+Mayo!H129+Junio!H129+Julio!H129+Agosto!H129+Septiembre!H129+Octubre!H129+Noviembre!H129+Diciembre!H129</f>
        <v>0</v>
      </c>
      <c r="I129" s="13">
        <f t="shared" si="3"/>
        <v>317318124.0267415</v>
      </c>
    </row>
    <row r="130" spans="1:9" ht="15.75" x14ac:dyDescent="0.25">
      <c r="A130" s="8"/>
      <c r="B130" s="8"/>
      <c r="C130" s="9"/>
      <c r="D130" s="12" t="s">
        <v>126</v>
      </c>
      <c r="E130" s="14">
        <f>+Enero!E130+Febrero!E130+Marzo!E130+Abril!E130+Mayo!E130+Junio!E130+Julio!E130+Agosto!E130+Septiembre!E130+Octubre!E130+Noviembre!E130+Diciembre!E130</f>
        <v>112120285.04000001</v>
      </c>
      <c r="F130" s="14">
        <f>+Enero!F130+Febrero!F130+Marzo!F130+Abril!F130+Mayo!F130+Junio!F130+Julio!F130+Agosto!F130+Septiembre!F130+Octubre!F130+Noviembre!F130+Diciembre!F130</f>
        <v>132114452.83315346</v>
      </c>
      <c r="G130" s="14">
        <f>+Enero!G130+Febrero!G130+Marzo!G130+Abril!G130+Mayo!G130+Junio!G130+Julio!G130+Agosto!G130+Septiembre!G130+Octubre!G130+Noviembre!G130+Diciembre!G130</f>
        <v>25438007.660000004</v>
      </c>
      <c r="H130" s="14">
        <f>+Enero!H130+Febrero!H130+Marzo!H130+Abril!H130+Mayo!H130+Junio!H130+Julio!H130+Agosto!H130+Septiembre!H130+Octubre!H130+Noviembre!H130+Diciembre!H130</f>
        <v>0</v>
      </c>
      <c r="I130" s="13">
        <f t="shared" si="3"/>
        <v>269672745.53315347</v>
      </c>
    </row>
    <row r="131" spans="1:9" ht="15.75" x14ac:dyDescent="0.25">
      <c r="A131" s="8"/>
      <c r="B131" s="8"/>
      <c r="C131" s="9"/>
      <c r="D131" s="12" t="s">
        <v>127</v>
      </c>
      <c r="E131" s="14">
        <f>+Enero!E131+Febrero!E131+Marzo!E131+Abril!E131+Mayo!E131+Junio!E131+Julio!E131+Agosto!E131+Septiembre!E131+Octubre!E131+Noviembre!E131+Diciembre!E131</f>
        <v>1183342513.1900001</v>
      </c>
      <c r="F131" s="14">
        <f>+Enero!F131+Febrero!F131+Marzo!F131+Abril!F131+Mayo!F131+Junio!F131+Julio!F131+Agosto!F131+Septiembre!F131+Octubre!F131+Noviembre!F131+Diciembre!F131</f>
        <v>722057510.71102965</v>
      </c>
      <c r="G131" s="14">
        <f>+Enero!G131+Febrero!G131+Marzo!G131+Abril!G131+Mayo!G131+Junio!G131+Julio!G131+Agosto!G131+Septiembre!G131+Octubre!G131+Noviembre!G131+Diciembre!G131</f>
        <v>653223288.04000008</v>
      </c>
      <c r="H131" s="14">
        <f>+Enero!H131+Febrero!H131+Marzo!H131+Abril!H131+Mayo!H131+Junio!H131+Julio!H131+Agosto!H131+Septiembre!H131+Octubre!H131+Noviembre!H131+Diciembre!H131</f>
        <v>0</v>
      </c>
      <c r="I131" s="13">
        <f t="shared" si="3"/>
        <v>2558623311.9410295</v>
      </c>
    </row>
    <row r="132" spans="1:9" ht="15.75" x14ac:dyDescent="0.25">
      <c r="A132" s="8"/>
      <c r="B132" s="8"/>
      <c r="C132" s="9"/>
      <c r="D132" s="12" t="s">
        <v>128</v>
      </c>
      <c r="E132" s="14">
        <f>+Enero!E132+Febrero!E132+Marzo!E132+Abril!E132+Mayo!E132+Junio!E132+Julio!E132+Agosto!E132+Septiembre!E132+Octubre!E132+Noviembre!E132+Diciembre!E132</f>
        <v>223186723.74000001</v>
      </c>
      <c r="F132" s="14">
        <f>+Enero!F132+Febrero!F132+Marzo!F132+Abril!F132+Mayo!F132+Junio!F132+Julio!F132+Agosto!F132+Septiembre!F132+Octubre!F132+Noviembre!F132+Diciembre!F132</f>
        <v>443029591.98215032</v>
      </c>
      <c r="G132" s="14">
        <f>+Enero!G132+Febrero!G132+Marzo!G132+Abril!G132+Mayo!G132+Junio!G132+Julio!G132+Agosto!G132+Septiembre!G132+Octubre!G132+Noviembre!G132+Diciembre!G132</f>
        <v>3724410.8200000003</v>
      </c>
      <c r="H132" s="14">
        <f>+Enero!H132+Febrero!H132+Marzo!H132+Abril!H132+Mayo!H132+Junio!H132+Julio!H132+Agosto!H132+Septiembre!H132+Octubre!H132+Noviembre!H132+Diciembre!H132</f>
        <v>0</v>
      </c>
      <c r="I132" s="13">
        <f t="shared" si="3"/>
        <v>669940726.54215038</v>
      </c>
    </row>
    <row r="133" spans="1:9" ht="15.75" x14ac:dyDescent="0.25">
      <c r="A133" s="8"/>
      <c r="B133" s="8"/>
      <c r="C133" s="9"/>
      <c r="D133" s="12" t="s">
        <v>129</v>
      </c>
      <c r="E133" s="14">
        <f>+Enero!E133+Febrero!E133+Marzo!E133+Abril!E133+Mayo!E133+Junio!E133+Julio!E133+Agosto!E133+Septiembre!E133+Octubre!E133+Noviembre!E133+Diciembre!E133</f>
        <v>103105467.67999999</v>
      </c>
      <c r="F133" s="14">
        <f>+Enero!F133+Febrero!F133+Marzo!F133+Abril!F133+Mayo!F133+Junio!F133+Julio!F133+Agosto!F133+Septiembre!F133+Octubre!F133+Noviembre!F133+Diciembre!F133</f>
        <v>0</v>
      </c>
      <c r="G133" s="14">
        <f>+Enero!G133+Febrero!G133+Marzo!G133+Abril!G133+Mayo!G133+Junio!G133+Julio!G133+Agosto!G133+Septiembre!G133+Octubre!G133+Noviembre!G133+Diciembre!G133</f>
        <v>974544514.49000001</v>
      </c>
      <c r="H133" s="14">
        <f>+Enero!H133+Febrero!H133+Marzo!H133+Abril!H133+Mayo!H133+Junio!H133+Julio!H133+Agosto!H133+Septiembre!H133+Octubre!H133+Noviembre!H133+Diciembre!H133</f>
        <v>463099355.31</v>
      </c>
      <c r="I133" s="13">
        <f t="shared" si="3"/>
        <v>1540749337.48</v>
      </c>
    </row>
    <row r="134" spans="1:9" ht="15.75" x14ac:dyDescent="0.25">
      <c r="A134" s="8"/>
      <c r="B134" s="8"/>
      <c r="C134" s="9"/>
      <c r="D134" s="12" t="s">
        <v>130</v>
      </c>
      <c r="E134" s="14">
        <f>+Enero!E134+Febrero!E134+Marzo!E134+Abril!E134+Mayo!E134+Junio!E134+Julio!E134+Agosto!E134+Septiembre!E134+Octubre!E134+Noviembre!E134+Diciembre!E134</f>
        <v>44037540.179999992</v>
      </c>
      <c r="F134" s="14">
        <f>+Enero!F134+Febrero!F134+Marzo!F134+Abril!F134+Mayo!F134+Junio!F134+Julio!F134+Agosto!F134+Septiembre!F134+Octubre!F134+Noviembre!F134+Diciembre!F134</f>
        <v>21853730.531513926</v>
      </c>
      <c r="G134" s="14">
        <f>+Enero!G134+Febrero!G134+Marzo!G134+Abril!G134+Mayo!G134+Junio!G134+Julio!G134+Agosto!G134+Septiembre!G134+Octubre!G134+Noviembre!G134+Diciembre!G134</f>
        <v>524288.09</v>
      </c>
      <c r="H134" s="14">
        <f>+Enero!H134+Febrero!H134+Marzo!H134+Abril!H134+Mayo!H134+Junio!H134+Julio!H134+Agosto!H134+Septiembre!H134+Octubre!H134+Noviembre!H134+Diciembre!H134</f>
        <v>0</v>
      </c>
      <c r="I134" s="13">
        <f t="shared" si="3"/>
        <v>66415558.801513925</v>
      </c>
    </row>
    <row r="135" spans="1:9" ht="15.75" x14ac:dyDescent="0.25">
      <c r="A135" s="8"/>
      <c r="B135" s="8"/>
      <c r="C135" s="9"/>
      <c r="D135" s="12" t="s">
        <v>131</v>
      </c>
      <c r="E135" s="14">
        <f>+Enero!E135+Febrero!E135+Marzo!E135+Abril!E135+Mayo!E135+Junio!E135+Julio!E135+Agosto!E135+Septiembre!E135+Octubre!E135+Noviembre!E135+Diciembre!E135</f>
        <v>136413492.43000001</v>
      </c>
      <c r="F135" s="14">
        <f>+Enero!F135+Febrero!F135+Marzo!F135+Abril!F135+Mayo!F135+Junio!F135+Julio!F135+Agosto!F135+Septiembre!F135+Octubre!F135+Noviembre!F135+Diciembre!F135</f>
        <v>276149122.31985992</v>
      </c>
      <c r="G135" s="14">
        <f>+Enero!G135+Febrero!G135+Marzo!G135+Abril!G135+Mayo!G135+Junio!G135+Julio!G135+Agosto!G135+Septiembre!G135+Octubre!G135+Noviembre!G135+Diciembre!G135</f>
        <v>14660574.6</v>
      </c>
      <c r="H135" s="14">
        <f>+Enero!H135+Febrero!H135+Marzo!H135+Abril!H135+Mayo!H135+Junio!H135+Julio!H135+Agosto!H135+Septiembre!H135+Octubre!H135+Noviembre!H135+Diciembre!H135</f>
        <v>0</v>
      </c>
      <c r="I135" s="13">
        <f t="shared" si="3"/>
        <v>427223189.34985995</v>
      </c>
    </row>
    <row r="136" spans="1:9" ht="15.75" x14ac:dyDescent="0.25">
      <c r="A136" s="8"/>
      <c r="B136" s="8"/>
      <c r="C136" s="9"/>
      <c r="D136" s="12" t="s">
        <v>132</v>
      </c>
      <c r="E136" s="14">
        <f>+Enero!E136+Febrero!E136+Marzo!E136+Abril!E136+Mayo!E136+Junio!E136+Julio!E136+Agosto!E136+Septiembre!E136+Octubre!E136+Noviembre!E136+Diciembre!E136</f>
        <v>914753430.62000012</v>
      </c>
      <c r="F136" s="14">
        <f>+Enero!F136+Febrero!F136+Marzo!F136+Abril!F136+Mayo!F136+Junio!F136+Julio!F136+Agosto!F136+Septiembre!F136+Octubre!F136+Noviembre!F136+Diciembre!F136</f>
        <v>333760939.32458067</v>
      </c>
      <c r="G136" s="14">
        <f>+Enero!G136+Febrero!G136+Marzo!G136+Abril!G136+Mayo!G136+Junio!G136+Julio!G136+Agosto!G136+Septiembre!G136+Octubre!G136+Noviembre!G136+Diciembre!G136</f>
        <v>188933877.56</v>
      </c>
      <c r="H136" s="14">
        <f>+Enero!H136+Febrero!H136+Marzo!H136+Abril!H136+Mayo!H136+Junio!H136+Julio!H136+Agosto!H136+Septiembre!H136+Octubre!H136+Noviembre!H136+Diciembre!H136</f>
        <v>0</v>
      </c>
      <c r="I136" s="13">
        <f t="shared" si="3"/>
        <v>1437448247.5045807</v>
      </c>
    </row>
    <row r="137" spans="1:9" ht="15.75" x14ac:dyDescent="0.25">
      <c r="A137" s="8"/>
      <c r="B137" s="8"/>
      <c r="C137" s="9"/>
      <c r="D137" s="12" t="s">
        <v>133</v>
      </c>
      <c r="E137" s="14">
        <f>+Enero!E137+Febrero!E137+Marzo!E137+Abril!E137+Mayo!E137+Junio!E137+Julio!E137+Agosto!E137+Septiembre!E137+Octubre!E137+Noviembre!E137+Diciembre!E137</f>
        <v>928398843.24000013</v>
      </c>
      <c r="F137" s="14">
        <f>+Enero!F137+Febrero!F137+Marzo!F137+Abril!F137+Mayo!F137+Junio!F137+Julio!F137+Agosto!F137+Septiembre!F137+Octubre!F137+Noviembre!F137+Diciembre!F137</f>
        <v>524779206.83845288</v>
      </c>
      <c r="G137" s="14">
        <f>+Enero!G137+Febrero!G137+Marzo!G137+Abril!G137+Mayo!G137+Junio!G137+Julio!G137+Agosto!G137+Septiembre!G137+Octubre!G137+Noviembre!G137+Diciembre!G137</f>
        <v>274301041.63</v>
      </c>
      <c r="H137" s="14">
        <f>+Enero!H137+Febrero!H137+Marzo!H137+Abril!H137+Mayo!H137+Junio!H137+Julio!H137+Agosto!H137+Septiembre!H137+Octubre!H137+Noviembre!H137+Diciembre!H137</f>
        <v>0</v>
      </c>
      <c r="I137" s="13">
        <f t="shared" si="3"/>
        <v>1727479091.7084532</v>
      </c>
    </row>
    <row r="138" spans="1:9" ht="15.75" x14ac:dyDescent="0.25">
      <c r="A138" s="8"/>
      <c r="B138" s="8"/>
      <c r="C138" s="9"/>
      <c r="D138" s="12" t="s">
        <v>134</v>
      </c>
      <c r="E138" s="14">
        <f>+Enero!E138+Febrero!E138+Marzo!E138+Abril!E138+Mayo!E138+Junio!E138+Julio!E138+Agosto!E138+Septiembre!E138+Octubre!E138+Noviembre!E138+Diciembre!E138</f>
        <v>0</v>
      </c>
      <c r="F138" s="14">
        <f>+Enero!F138+Febrero!F138+Marzo!F138+Abril!F138+Mayo!F138+Junio!F138+Julio!F138+Agosto!F138+Septiembre!F138+Octubre!F138+Noviembre!F138+Diciembre!F138</f>
        <v>0</v>
      </c>
      <c r="G138" s="14">
        <f>+Enero!G138+Febrero!G138+Marzo!G138+Abril!G138+Mayo!G138+Junio!G138+Julio!G138+Agosto!G138+Septiembre!G138+Octubre!G138+Noviembre!G138+Diciembre!G138</f>
        <v>580203042.25</v>
      </c>
      <c r="H138" s="14">
        <f>+Enero!H138+Febrero!H138+Marzo!H138+Abril!H138+Mayo!H138+Junio!H138+Julio!H138+Agosto!H138+Septiembre!H138+Octubre!H138+Noviembre!H138+Diciembre!H138</f>
        <v>0</v>
      </c>
      <c r="I138" s="13">
        <f t="shared" ref="I138:I144" si="4">SUM(E138:H138)</f>
        <v>580203042.25</v>
      </c>
    </row>
    <row r="139" spans="1:9" ht="15.75" x14ac:dyDescent="0.25">
      <c r="A139" s="8"/>
      <c r="B139" s="8"/>
      <c r="C139" s="9"/>
      <c r="D139" s="12" t="s">
        <v>135</v>
      </c>
      <c r="E139" s="14">
        <f>+Enero!E139+Febrero!E139+Marzo!E139+Abril!E139+Mayo!E139+Junio!E139+Julio!E139+Agosto!E139+Septiembre!E139+Octubre!E139+Noviembre!E139+Diciembre!E139</f>
        <v>102178639.70000002</v>
      </c>
      <c r="F139" s="14">
        <f>+Enero!F139+Febrero!F139+Marzo!F139+Abril!F139+Mayo!F139+Junio!F139+Julio!F139+Agosto!F139+Septiembre!F139+Octubre!F139+Noviembre!F139+Diciembre!F139</f>
        <v>78573453.902807444</v>
      </c>
      <c r="G139" s="14">
        <f>+Enero!G139+Febrero!G139+Marzo!G139+Abril!G139+Mayo!G139+Junio!G139+Julio!G139+Agosto!G139+Septiembre!G139+Octubre!G139+Noviembre!G139+Diciembre!G139</f>
        <v>30277186.309999995</v>
      </c>
      <c r="H139" s="14">
        <f>+Enero!H139+Febrero!H139+Marzo!H139+Abril!H139+Mayo!H139+Junio!H139+Julio!H139+Agosto!H139+Septiembre!H139+Octubre!H139+Noviembre!H139+Diciembre!H139</f>
        <v>0</v>
      </c>
      <c r="I139" s="13">
        <f t="shared" si="4"/>
        <v>211029279.91280746</v>
      </c>
    </row>
    <row r="140" spans="1:9" ht="15.75" x14ac:dyDescent="0.25">
      <c r="A140" s="8"/>
      <c r="B140" s="8"/>
      <c r="C140" s="9"/>
      <c r="D140" s="12" t="s">
        <v>136</v>
      </c>
      <c r="E140" s="14">
        <f>+Enero!E140+Febrero!E140+Marzo!E140+Abril!E140+Mayo!E140+Junio!E140+Julio!E140+Agosto!E140+Septiembre!E140+Octubre!E140+Noviembre!E140+Diciembre!E140</f>
        <v>541443485.86000001</v>
      </c>
      <c r="F140" s="14">
        <f>+Enero!F140+Febrero!F140+Marzo!F140+Abril!F140+Mayo!F140+Junio!F140+Julio!F140+Agosto!F140+Septiembre!F140+Octubre!F140+Noviembre!F140+Diciembre!F140</f>
        <v>557263719.83497405</v>
      </c>
      <c r="G140" s="14">
        <f>+Enero!G140+Febrero!G140+Marzo!G140+Abril!G140+Mayo!G140+Junio!G140+Julio!G140+Agosto!G140+Septiembre!G140+Octubre!G140+Noviembre!G140+Diciembre!G140</f>
        <v>112115777.72999999</v>
      </c>
      <c r="H140" s="14">
        <f>+Enero!H140+Febrero!H140+Marzo!H140+Abril!H140+Mayo!H140+Junio!H140+Julio!H140+Agosto!H140+Septiembre!H140+Octubre!H140+Noviembre!H140+Diciembre!H140</f>
        <v>0</v>
      </c>
      <c r="I140" s="13">
        <f t="shared" si="4"/>
        <v>1210822983.424974</v>
      </c>
    </row>
    <row r="141" spans="1:9" ht="15.75" x14ac:dyDescent="0.25">
      <c r="A141" s="8"/>
      <c r="B141" s="8"/>
      <c r="C141" s="9"/>
      <c r="D141" s="12" t="s">
        <v>137</v>
      </c>
      <c r="E141" s="14">
        <f>+Enero!E141+Febrero!E141+Marzo!E141+Abril!E141+Mayo!E141+Junio!E141+Julio!E141+Agosto!E141+Septiembre!E141+Octubre!E141+Noviembre!E141+Diciembre!E141</f>
        <v>0</v>
      </c>
      <c r="F141" s="14">
        <f>+Enero!F141+Febrero!F141+Marzo!F141+Abril!F141+Mayo!F141+Junio!F141+Julio!F141+Agosto!F141+Septiembre!F141+Octubre!F141+Noviembre!F141+Diciembre!F141</f>
        <v>0</v>
      </c>
      <c r="G141" s="14">
        <f>+Enero!G141+Febrero!G141+Marzo!G141+Abril!G141+Mayo!G141+Junio!G141+Julio!G141+Agosto!G141+Septiembre!G141+Octubre!G141+Noviembre!G141+Diciembre!G141</f>
        <v>748551069.11000001</v>
      </c>
      <c r="H141" s="14">
        <f>+Enero!H141+Febrero!H141+Marzo!H141+Abril!H141+Mayo!H141+Junio!H141+Julio!H141+Agosto!H141+Septiembre!H141+Octubre!H141+Noviembre!H141+Diciembre!H141</f>
        <v>51343463.920000009</v>
      </c>
      <c r="I141" s="13">
        <f t="shared" si="4"/>
        <v>799894533.02999997</v>
      </c>
    </row>
    <row r="142" spans="1:9" ht="15.75" x14ac:dyDescent="0.25">
      <c r="A142" s="8"/>
      <c r="B142" s="8"/>
      <c r="C142" s="9"/>
      <c r="D142" s="12" t="s">
        <v>138</v>
      </c>
      <c r="E142" s="14">
        <f>+Enero!E142+Febrero!E142+Marzo!E142+Abril!E142+Mayo!E142+Junio!E142+Julio!E142+Agosto!E142+Septiembre!E142+Octubre!E142+Noviembre!E142+Diciembre!E142</f>
        <v>2993656.1900000004</v>
      </c>
      <c r="F142" s="14">
        <f>+Enero!F142+Febrero!F142+Marzo!F142+Abril!F142+Mayo!F142+Junio!F142+Julio!F142+Agosto!F142+Septiembre!F142+Octubre!F142+Noviembre!F142+Diciembre!F142</f>
        <v>0</v>
      </c>
      <c r="G142" s="14">
        <f>+Enero!G142+Febrero!G142+Marzo!G142+Abril!G142+Mayo!G142+Junio!G142+Julio!G142+Agosto!G142+Septiembre!G142+Octubre!G142+Noviembre!G142+Diciembre!G142</f>
        <v>156697376.37</v>
      </c>
      <c r="H142" s="14">
        <f>+Enero!H142+Febrero!H142+Marzo!H142+Abril!H142+Mayo!H142+Junio!H142+Julio!H142+Agosto!H142+Septiembre!H142+Octubre!H142+Noviembre!H142+Diciembre!H142</f>
        <v>0</v>
      </c>
      <c r="I142" s="13">
        <f t="shared" si="4"/>
        <v>159691032.56</v>
      </c>
    </row>
    <row r="143" spans="1:9" ht="15.75" x14ac:dyDescent="0.25">
      <c r="A143" s="8"/>
      <c r="B143" s="8"/>
      <c r="C143" s="9"/>
      <c r="D143" s="12" t="s">
        <v>139</v>
      </c>
      <c r="E143" s="14">
        <f>+Enero!E143+Febrero!E143+Marzo!E143+Abril!E143+Mayo!E143+Junio!E143+Julio!E143+Agosto!E143+Septiembre!E143+Octubre!E143+Noviembre!E143+Diciembre!E143</f>
        <v>39629902.399999999</v>
      </c>
      <c r="F143" s="14">
        <f>+Enero!F143+Febrero!F143+Marzo!F143+Abril!F143+Mayo!F143+Junio!F143+Julio!F143+Agosto!F143+Septiembre!F143+Octubre!F143+Noviembre!F143+Diciembre!F143</f>
        <v>515045644.98177743</v>
      </c>
      <c r="G143" s="14">
        <f>+Enero!G143+Febrero!G143+Marzo!G143+Abril!G143+Mayo!G143+Junio!G143+Julio!G143+Agosto!G143+Septiembre!G143+Octubre!G143+Noviembre!G143+Diciembre!G143</f>
        <v>6501459.3600000003</v>
      </c>
      <c r="H143" s="14">
        <f>+Enero!H143+Febrero!H143+Marzo!H143+Abril!H143+Mayo!H143+Junio!H143+Julio!H143+Agosto!H143+Septiembre!H143+Octubre!H143+Noviembre!H143+Diciembre!H143</f>
        <v>0</v>
      </c>
      <c r="I143" s="13">
        <f t="shared" si="4"/>
        <v>561177006.74177742</v>
      </c>
    </row>
    <row r="144" spans="1:9" ht="15.75" x14ac:dyDescent="0.25">
      <c r="A144" s="8"/>
      <c r="B144" s="8"/>
      <c r="C144" s="9"/>
      <c r="D144" s="12" t="s">
        <v>140</v>
      </c>
      <c r="E144" s="14">
        <f>+Enero!E144+Febrero!E144+Marzo!E144+Abril!E144+Mayo!E144+Junio!E144+Julio!E144+Agosto!E144+Septiembre!E144+Octubre!E144+Noviembre!E144+Diciembre!E144</f>
        <v>417470356.31999999</v>
      </c>
      <c r="F144" s="14">
        <f>+Enero!F144+Febrero!F144+Marzo!F144+Abril!F144+Mayo!F144+Junio!F144+Julio!F144+Agosto!F144+Septiembre!F144+Octubre!F144+Noviembre!F144+Diciembre!F144</f>
        <v>62579855.687427334</v>
      </c>
      <c r="G144" s="14">
        <f>+Enero!G144+Febrero!G144+Marzo!G144+Abril!G144+Mayo!G144+Junio!G144+Julio!G144+Agosto!G144+Septiembre!G144+Octubre!G144+Noviembre!G144+Diciembre!G144</f>
        <v>211312160.38000003</v>
      </c>
      <c r="H144" s="14">
        <f>+Enero!H144+Febrero!H144+Marzo!H144+Abril!H144+Mayo!H144+Junio!H144+Julio!H144+Agosto!H144+Septiembre!H144+Octubre!H144+Noviembre!H144+Diciembre!H144</f>
        <v>0</v>
      </c>
      <c r="I144" s="13">
        <f t="shared" si="4"/>
        <v>691362372.38742733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42633297485.080025</v>
      </c>
      <c r="F145" s="22">
        <f>SUM(F10:F144)</f>
        <v>25633685065.592102</v>
      </c>
      <c r="G145" s="22">
        <f>SUM(G10:G144)</f>
        <v>33401228511.190014</v>
      </c>
      <c r="H145" s="22">
        <f>SUM(H10:H144)</f>
        <v>1541259677.6550002</v>
      </c>
      <c r="I145" s="22">
        <f>SUM(I10:I144)</f>
        <v>103209470739.51711</v>
      </c>
    </row>
  </sheetData>
  <customSheetViews>
    <customSheetView guid="{F1F511AB-5865-40AB-8DB4-DDEDE7CBB603}" scale="80" showGridLines="0" fitToPage="1">
      <selection activeCell="I20" sqref="I20"/>
      <pageMargins left="0" right="0" top="0.19685039370078741" bottom="0.43307086614173229" header="0.15748031496062992" footer="0"/>
      <printOptions horizontalCentered="1"/>
      <pageSetup paperSize="9" scale="86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M10" sqref="M10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&amp;C&amp;"Arial,Negrita"&amp;K09-023MINISTERIO DE ECONOMÍA - 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2021-02-02T11:49:13Z</cp:lastPrinted>
  <dcterms:created xsi:type="dcterms:W3CDTF">2012-05-08T13:32:03Z</dcterms:created>
  <dcterms:modified xsi:type="dcterms:W3CDTF">2026-01-05T13:52:31Z</dcterms:modified>
</cp:coreProperties>
</file>